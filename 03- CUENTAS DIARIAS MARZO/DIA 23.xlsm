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0EC10B68-1904-470C-BB50-C91C554DC0DC}" xr6:coauthVersionLast="47" xr6:coauthVersionMax="47" xr10:uidLastSave="{55D7EAB5-8B57-451D-877A-0CF06D34A11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2" i="69" l="1"/>
  <c r="K14" i="69"/>
  <c r="H12" i="69"/>
  <c r="H17" i="60" l="1"/>
  <c r="G17" i="60"/>
  <c r="H18" i="60"/>
  <c r="G18" i="60"/>
  <c r="F17" i="60"/>
  <c r="E17" i="60"/>
  <c r="F18" i="60"/>
  <c r="E18" i="60"/>
  <c r="D18" i="60"/>
  <c r="C18" i="60"/>
  <c r="D17" i="60"/>
  <c r="C17" i="60"/>
  <c r="B2" i="15" l="1"/>
  <c r="D11" i="65" l="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I5" i="69"/>
  <c r="B2" i="7"/>
  <c r="B2" i="6"/>
  <c r="B2" i="23"/>
  <c r="B2" i="22"/>
  <c r="B2" i="25"/>
  <c r="B2" i="14"/>
  <c r="B2" i="21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B2" i="16"/>
  <c r="F14" i="19"/>
  <c r="F10" i="19"/>
  <c r="F6" i="19"/>
  <c r="F14" i="8"/>
  <c r="F10" i="8"/>
  <c r="F6" i="8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2" i="60"/>
  <c r="D36" i="60" s="1"/>
  <c r="D11" i="60"/>
  <c r="E7" i="16" s="1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F8" i="65"/>
  <c r="F16" i="61"/>
  <c r="D6" i="60"/>
  <c r="F15" i="60"/>
  <c r="F14" i="60"/>
  <c r="F11" i="60"/>
  <c r="F9" i="60"/>
  <c r="F7" i="60"/>
  <c r="F6" i="60"/>
  <c r="F4" i="60"/>
  <c r="H16" i="60"/>
  <c r="H15" i="60"/>
  <c r="H14" i="60"/>
  <c r="H13" i="60"/>
  <c r="H12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5" i="60"/>
  <c r="F34" i="60"/>
  <c r="D35" i="60"/>
  <c r="D34" i="60"/>
  <c r="J8" i="14"/>
  <c r="D21" i="14"/>
  <c r="C12" i="71"/>
  <c r="D22" i="14"/>
  <c r="G12" i="71"/>
  <c r="E19" i="16"/>
  <c r="D20" i="16"/>
  <c r="F18" i="64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F30" i="72"/>
  <c r="E30" i="72"/>
  <c r="D30" i="72"/>
  <c r="C30" i="72"/>
  <c r="B30" i="72"/>
  <c r="F29" i="72"/>
  <c r="J29" i="72" s="1"/>
  <c r="K29" i="72" s="1"/>
  <c r="E29" i="72"/>
  <c r="H29" i="72" s="1"/>
  <c r="I29" i="72" s="1"/>
  <c r="D29" i="72"/>
  <c r="C29" i="72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C25" i="72"/>
  <c r="B25" i="72"/>
  <c r="F24" i="72"/>
  <c r="E24" i="72"/>
  <c r="D24" i="72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B22" i="72"/>
  <c r="F21" i="72"/>
  <c r="J21" i="72" s="1"/>
  <c r="K21" i="72" s="1"/>
  <c r="E21" i="72"/>
  <c r="D21" i="72"/>
  <c r="C21" i="72"/>
  <c r="B21" i="72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M5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31" i="64" l="1"/>
  <c r="J26" i="71"/>
  <c r="L29" i="71"/>
  <c r="M29" i="71" s="1"/>
  <c r="H21" i="72"/>
  <c r="J24" i="72"/>
  <c r="K24" i="72" s="1"/>
  <c r="E33" i="66"/>
  <c r="L28" i="71"/>
  <c r="M28" i="71" s="1"/>
  <c r="J29" i="64"/>
  <c r="H30" i="66"/>
  <c r="H21" i="70"/>
  <c r="J24" i="70"/>
  <c r="K24" i="70" s="1"/>
  <c r="J28" i="70"/>
  <c r="H31" i="70"/>
  <c r="I31" i="70" s="1"/>
  <c r="N31" i="70" s="1"/>
  <c r="J26" i="72"/>
  <c r="K26" i="72" s="1"/>
  <c r="H30" i="72"/>
  <c r="L24" i="71"/>
  <c r="M24" i="71" s="1"/>
  <c r="K27" i="64"/>
  <c r="H32" i="66"/>
  <c r="H23" i="70"/>
  <c r="J26" i="70"/>
  <c r="K26" i="70" s="1"/>
  <c r="J20" i="72"/>
  <c r="K20" i="72" s="1"/>
  <c r="H25" i="72"/>
  <c r="I25" i="72" s="1"/>
  <c r="N25" i="72" s="1"/>
  <c r="G33" i="64"/>
  <c r="H20" i="70"/>
  <c r="H22" i="72"/>
  <c r="J25" i="72"/>
  <c r="K25" i="72" s="1"/>
  <c r="I21" i="72"/>
  <c r="N21" i="72" s="1"/>
  <c r="F25" i="29"/>
  <c r="F27" i="72"/>
  <c r="J21" i="70"/>
  <c r="K21" i="70" s="1"/>
  <c r="F22" i="15"/>
  <c r="L8" i="15" s="1"/>
  <c r="F16" i="71"/>
  <c r="L16" i="71" s="1"/>
  <c r="M16" i="71" s="1"/>
  <c r="G22" i="15"/>
  <c r="L25" i="71"/>
  <c r="M25" i="71" s="1"/>
  <c r="J31" i="72"/>
  <c r="K31" i="72" s="1"/>
  <c r="K28" i="70"/>
  <c r="H29" i="66"/>
  <c r="J23" i="70"/>
  <c r="K23" i="70" s="1"/>
  <c r="L22" i="71"/>
  <c r="M22" i="71" s="1"/>
  <c r="H23" i="72"/>
  <c r="J30" i="72"/>
  <c r="K30" i="72" s="1"/>
  <c r="J32" i="64"/>
  <c r="L6" i="6"/>
  <c r="K20" i="19"/>
  <c r="K9" i="19"/>
  <c r="L21" i="71"/>
  <c r="M21" i="71" s="1"/>
  <c r="J31" i="71"/>
  <c r="K31" i="71" s="1"/>
  <c r="D17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J7" i="19"/>
  <c r="F25" i="19"/>
  <c r="L9" i="19" s="1"/>
  <c r="F18" i="72"/>
  <c r="J18" i="72" s="1"/>
  <c r="K18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G19" i="29" s="1"/>
  <c r="D20" i="29"/>
  <c r="G13" i="14"/>
  <c r="M12" i="61"/>
  <c r="E33" i="64"/>
  <c r="J24" i="71"/>
  <c r="K24" i="71" s="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G20" i="19"/>
  <c r="G25" i="19"/>
  <c r="G20" i="21"/>
  <c r="D33" i="68"/>
  <c r="D33" i="65"/>
  <c r="D36" i="65" s="1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2" l="1"/>
  <c r="N27" i="72" s="1"/>
  <c r="K20" i="21"/>
  <c r="K10" i="21"/>
  <c r="L27" i="70"/>
  <c r="K21" i="8"/>
  <c r="K10" i="8"/>
  <c r="L27" i="71"/>
  <c r="M27" i="71" s="1"/>
  <c r="K21" i="19"/>
  <c r="K10" i="19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M20" i="52"/>
  <c r="L5" i="23"/>
  <c r="M25" i="52"/>
  <c r="L4" i="23"/>
  <c r="M22" i="52"/>
  <c r="C24" i="15"/>
  <c r="F17" i="52"/>
  <c r="M24" i="52"/>
  <c r="M21" i="52"/>
  <c r="M26" i="52"/>
  <c r="J5" i="23"/>
  <c r="M23" i="52"/>
  <c r="J5" i="19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K4" i="23"/>
  <c r="D32" i="61"/>
  <c r="L19" i="71"/>
  <c r="M19" i="71" s="1"/>
  <c r="E32" i="61"/>
  <c r="J19" i="70"/>
  <c r="K19" i="70" s="1"/>
  <c r="C32" i="61"/>
  <c r="I32" i="61"/>
  <c r="G32" i="60"/>
  <c r="L19" i="59"/>
  <c r="F32" i="60"/>
  <c r="F33" i="60" s="1"/>
  <c r="H32" i="60"/>
  <c r="H33" i="60" s="1"/>
  <c r="K5" i="23"/>
  <c r="G32" i="61"/>
  <c r="F32" i="61"/>
  <c r="L6" i="25"/>
  <c r="H32" i="61"/>
  <c r="H19" i="70"/>
  <c r="L5" i="15"/>
  <c r="K6" i="23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3" i="58"/>
  <c r="P22" i="58"/>
  <c r="P20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5"/>
  <c r="F12" i="19"/>
  <c r="F12" i="8"/>
  <c r="K6" i="52"/>
  <c r="C5" i="1" s="1"/>
  <c r="B5" i="1"/>
  <c r="K23" i="52"/>
  <c r="C22" i="1" s="1"/>
  <c r="B22" i="1"/>
  <c r="K4" i="52"/>
  <c r="C3" i="1" s="1"/>
  <c r="B3" i="1"/>
  <c r="K21" i="52"/>
  <c r="C20" i="1" s="1"/>
  <c r="B20" i="1"/>
  <c r="K20" i="52"/>
  <c r="C19" i="1" s="1"/>
  <c r="B19" i="1"/>
  <c r="K5" i="52"/>
  <c r="C4" i="1" s="1"/>
  <c r="B4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<sst xmlns="http://schemas.openxmlformats.org/spreadsheetml/2006/main" count="1293" uniqueCount="160">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</sst>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249500</v>
      </c>
      <c r="C3" s="9">
        <f>+HojaTICA!K4+HojaNICA!M4+HojaREVENTADO!K4+HojaPrimera!I4+HojaHonduras!K4+HojaDominicana!I4+HojaPANA!G4</f>
        <v>32450</v>
      </c>
      <c r="D3" s="9">
        <f>+HojaTICA!N4+HojaNICA!P4+HojaREVENTADO!O4+HojaPrimera!L4+HojaHonduras!N4+HojaDominicana!L4+HojaPANA!J4</f>
        <v>144500</v>
      </c>
      <c r="F3" s="10">
        <f t="shared" ref="F3:F27" si="0">+B3-C3-D3</f>
        <v>72550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211600</v>
      </c>
      <c r="C4" s="9">
        <f>+HojaTICA!K5+HojaNICA!M5+HojaREVENTADO!K5+HojaPrimera!I5+HojaHonduras!K5+HojaDominicana!I5+HojaPANA!G5</f>
        <v>27500</v>
      </c>
      <c r="D4" s="9">
        <f>+HojaTICA!N5+HojaNICA!P5+HojaREVENTADO!O5+HojaPrimera!L5+HojaHonduras!N5+HojaDominicana!L5+HojaPANA!J5</f>
        <v>191500</v>
      </c>
      <c r="F4" s="14">
        <f t="shared" si="0"/>
        <v>-7400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459850</v>
      </c>
      <c r="C7" s="9">
        <f>+HojaTICA!K8+HojaNICA!M8+HojaREVENTADO!K8+HojaPrimera!I8+HojaHonduras!K8+HojaDominicana!I8+HojaPANA!G8</f>
        <v>55200</v>
      </c>
      <c r="D7" s="9">
        <f>+HojaTICA!N8+HojaNICA!P8+HojaREVENTADO!O8+HojaPrimera!L8+HojaHonduras!N8+HojaDominicana!L8+HojaPANA!J8</f>
        <v>559750</v>
      </c>
      <c r="F7" s="14">
        <f t="shared" si="0"/>
        <v>-155100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1009200</v>
      </c>
      <c r="C9" s="9">
        <f>+HojaTICA!K10+HojaNICA!M10+HojaREVENTADO!K10+HojaPrimera!I10+HojaHonduras!K10+HojaDominicana!I10+HojaPANA!G10</f>
        <v>119555</v>
      </c>
      <c r="D9" s="9">
        <f>+HojaTICA!N10+HojaNICA!P10+HojaREVENTADO!O10+HojaPrimera!L10+HojaHonduras!N10+HojaDominicana!L10+HojaPANA!J10</f>
        <v>1339000</v>
      </c>
      <c r="F9" s="14">
        <f t="shared" si="0"/>
        <v>-449355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6900</v>
      </c>
      <c r="C10" s="9">
        <f>+HojaTICA!K11+HojaNICA!M11+HojaREVENTADO!K11+HojaPrimera!I11+HojaHonduras!K11+HojaDominicana!I11+HojaPANA!G11</f>
        <v>850</v>
      </c>
      <c r="D10" s="9">
        <f>+HojaTICA!N11+HojaNICA!P11+HojaREVENTADO!O11+HojaPrimera!L11+HojaHonduras!N11+HojaDominicana!L11+HojaPANA!J11</f>
        <v>0</v>
      </c>
      <c r="F10" s="14">
        <f t="shared" si="0"/>
        <v>6050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134050</v>
      </c>
      <c r="C11" s="9">
        <f>+HojaTICA!K12+HojaNICA!M12+HojaREVENTADO!K12+HojaPrimera!I12+HojaHonduras!K12+HojaDominicana!I12+HojaPANA!G12</f>
        <v>15980</v>
      </c>
      <c r="D11" s="9">
        <f>+HojaTICA!N12+HojaNICA!P12+HojaREVENTADO!O12+HojaPrimera!L12+HojaHonduras!N12+HojaDominicana!L12+HojaPANA!J12</f>
        <v>136000</v>
      </c>
      <c r="F11" s="14">
        <f t="shared" si="0"/>
        <v>-17930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163900</v>
      </c>
      <c r="C12" s="9">
        <f>+HojaTICA!K13+HojaNICA!M13+HojaREVENTADO!K13+HojaPrimera!I13+HojaHonduras!K13+HojaDominicana!I13+HojaPANA!G13</f>
        <v>19700</v>
      </c>
      <c r="D12" s="9">
        <f>+HojaTICA!N13+HojaNICA!P13+HojaREVENTADO!O13+HojaPrimera!L13+HojaHonduras!N13+HojaDominicana!L13+HojaPANA!J13</f>
        <v>368250</v>
      </c>
      <c r="F12" s="14">
        <f t="shared" si="0"/>
        <v>-224050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70250</v>
      </c>
      <c r="C13" s="9">
        <f>+HojaTICA!K14+HojaNICA!M14+HojaREVENTADO!K14+HojaPrimera!I14+HojaHonduras!K14+HojaDominicana!I14+HojaPANA!G14</f>
        <v>10550</v>
      </c>
      <c r="D13" s="9">
        <f>+HojaTICA!N14+HojaNICA!P14+HojaREVENTADO!O14+HojaPrimera!L14+HojaHonduras!N14+HojaDominicana!L14+HojaPANA!J14</f>
        <v>0</v>
      </c>
      <c r="F13" s="14">
        <f t="shared" si="0"/>
        <v>59700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79250</v>
      </c>
      <c r="C15" s="9">
        <f>+HojaTICA!K16+HojaNICA!M16+HojaREVENTADO!K16+HojaPrimera!I16+HojaHonduras!K16+HojaDominicana!I16+HojaPANA!G16</f>
        <v>9500</v>
      </c>
      <c r="D15" s="9">
        <f>+HojaTICA!N16+HojaNICA!P16+HojaREVENTADO!O16+HojaPrimera!L16+HojaHonduras!N16+HojaDominicana!L16+HojaPANA!J16</f>
        <v>62500</v>
      </c>
      <c r="F15" s="14">
        <f t="shared" si="0"/>
        <v>7250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1325700</v>
      </c>
      <c r="C16" s="9">
        <f>+HojaTICA!K17+HojaNICA!M17+HojaREVENTADO!K17+HojaPrimera!I17+HojaHonduras!K17+HojaDominicana!I17+HojaPANA!G17</f>
        <v>156680</v>
      </c>
      <c r="D16" s="9">
        <f>+HojaTICA!N17+HojaNICA!P17+HojaREVENTADO!O17+HojaPrimera!L17+HojaHonduras!N17+HojaDominicana!L17+HojaPANA!J17</f>
        <v>1226500</v>
      </c>
      <c r="F16" s="14">
        <f t="shared" si="0"/>
        <v>-57480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714650</v>
      </c>
      <c r="C17" s="9">
        <f>+HojaTICA!K18+HojaNICA!M18+HojaREVENTADO!K18+HojaPrimera!I18+HojaHonduras!K18+HojaDominicana!I18+HojaPANA!G18</f>
        <v>84050</v>
      </c>
      <c r="D17" s="9">
        <f>+HojaTICA!N18+HojaNICA!P18+HojaREVENTADO!O18+HojaPrimera!L18+HojaHonduras!N18+HojaDominicana!L18+HojaPANA!J18</f>
        <v>847750</v>
      </c>
      <c r="F17" s="14">
        <f t="shared" si="0"/>
        <v>-217150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-2150</v>
      </c>
      <c r="C26" s="9">
        <f>+HojaTICA!K27+HojaNICA!M27+HojaREVENTADO!K27+HojaPrimera!I27+HojaHonduras!K27+HojaDominicana!I27+HojaPANA!G27</f>
        <v>-250</v>
      </c>
      <c r="D26" s="9">
        <f>+HojaTICA!N27+HojaNICA!P27+HojaREVENTADO!O27+HojaPrimera!L27+HojaHonduras!N27+HojaDominicana!L27+HojaPANA!J27</f>
        <v>-182750</v>
      </c>
      <c r="F26" s="14">
        <f t="shared" si="0"/>
        <v>180850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4422700</v>
      </c>
      <c r="C28" s="17">
        <f t="shared" si="1"/>
        <v>531765</v>
      </c>
      <c r="D28" s="18">
        <f t="shared" si="1"/>
        <v>4693000</v>
      </c>
      <c r="F28" s="20">
        <f>SUM(F3:F27)</f>
        <v>-802065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12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 t="s">
        <v>159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93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25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12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99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29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23</v>
      </c>
      <c r="C19" s="133">
        <v>37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46</v>
      </c>
      <c r="C20" s="164">
        <v>91</v>
      </c>
      <c r="D20" s="167">
        <v>55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84</v>
      </c>
      <c r="C21" s="165">
        <v>81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 t="str">
        <f>DigitaTICA!C2</f>
        <v>04</v>
      </c>
      <c r="D2" s="269"/>
      <c r="E2" s="268">
        <f>DigitaTICA!E2</f>
        <v>25</v>
      </c>
      <c r="F2" s="269"/>
      <c r="G2" s="268">
        <f>DigitaTICA!G2</f>
        <v>99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41900</v>
      </c>
      <c r="D4" s="30">
        <f>IF(Vendedor1!$E$7="",0,Vendedor1!$E$7)</f>
        <v>0</v>
      </c>
      <c r="E4" s="181">
        <f>IF(Vendedor1!$C$11="",0,Vendedor1!$C$11)</f>
        <v>49050</v>
      </c>
      <c r="F4" s="30">
        <f>IF(Vendedor1!$E$11="",0,Vendedor1!$E$11)</f>
        <v>0</v>
      </c>
      <c r="G4" s="181">
        <f>IF(Vendedor1!$C$15="",0,Vendedor1!$C$15)</f>
        <v>77450</v>
      </c>
      <c r="H4" s="30">
        <f>IF(Vendedor1!$E$15="",0,Vendedor1!$E$15)</f>
        <v>100</v>
      </c>
      <c r="J4" s="42">
        <f t="shared" ref="J4:J7" si="0">+C4+E4+G4</f>
        <v>168400</v>
      </c>
      <c r="K4" s="41">
        <f>MROUND(J4*Vendedor1!J$9,50)</f>
        <v>21900</v>
      </c>
      <c r="L4" s="42">
        <f t="shared" ref="L4:L7" si="1">+D4+F4+H4</f>
        <v>100</v>
      </c>
      <c r="M4" s="42">
        <f t="shared" ref="M4:M7" si="2">+L4*85</f>
        <v>8500</v>
      </c>
      <c r="N4" s="42">
        <f>Vendedor1!$F$7+Vendedor1!$F$11+Vendedor1!$F$15</f>
        <v>8500</v>
      </c>
      <c r="P4" s="42">
        <f t="shared" ref="P4:P7" si="3">+J4-K4-N4</f>
        <v>138000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53550</v>
      </c>
      <c r="D5" s="30">
        <f>IF(Vendedor2!$E$7="",0,Vendedor2!$E$7)</f>
        <v>250</v>
      </c>
      <c r="E5" s="181">
        <f>IF(Vendedor2!$C$11="",0,Vendedor2!$C$11)</f>
        <v>39500</v>
      </c>
      <c r="F5" s="30">
        <f>IF(Vendedor2!$E$11="",0,Vendedor2!$E$11)</f>
        <v>250</v>
      </c>
      <c r="G5" s="181">
        <f>IF(Vendedor2!$C$15="",0,Vendedor2!$C$15)</f>
        <v>90500</v>
      </c>
      <c r="H5" s="30">
        <f>IF(Vendedor2!$E$15="",0,Vendedor2!$E$15)</f>
        <v>1000</v>
      </c>
      <c r="J5" s="42">
        <f t="shared" si="0"/>
        <v>183550</v>
      </c>
      <c r="K5" s="41">
        <f>MROUND(J5*Vendedor2!J$9,50)</f>
        <v>23850</v>
      </c>
      <c r="L5" s="42">
        <f t="shared" si="1"/>
        <v>1500</v>
      </c>
      <c r="M5" s="42">
        <f t="shared" si="2"/>
        <v>127500</v>
      </c>
      <c r="N5" s="42">
        <f>Vendedor2!$F$7+Vendedor2!$F$11+Vendedor2!$F$15</f>
        <v>127500</v>
      </c>
      <c r="P5" s="42">
        <f t="shared" si="3"/>
        <v>32200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78600</v>
      </c>
      <c r="D8" s="30">
        <f>IF(Vendedor5!$E$7="",0,Vendedor5!$E$7)</f>
        <v>1100</v>
      </c>
      <c r="E8" s="181">
        <f>IF(Vendedor5!$C$11="",0,Vendedor5!$C$11)</f>
        <v>61700</v>
      </c>
      <c r="F8" s="30">
        <f>IF(Vendedor5!$E$11="",0,Vendedor5!$E$11)</f>
        <v>1850</v>
      </c>
      <c r="G8" s="181">
        <f>IF(Vendedor5!$C$15="",0,Vendedor5!$C$15)</f>
        <v>75050</v>
      </c>
      <c r="H8" s="30">
        <f>IF(Vendedor5!$E$15="",0,Vendedor5!$E$15)</f>
        <v>1000</v>
      </c>
      <c r="J8" s="42">
        <f t="shared" ref="J8" si="4">+C8+E8+G8</f>
        <v>215350</v>
      </c>
      <c r="K8" s="41">
        <f>MROUND(J8*Vendedor5!J$11,50)</f>
        <v>25850</v>
      </c>
      <c r="L8" s="42">
        <f t="shared" ref="L8" si="5">+D8+F8+H8</f>
        <v>3950</v>
      </c>
      <c r="M8" s="42">
        <f t="shared" ref="M8" si="6">+L8*85</f>
        <v>335750</v>
      </c>
      <c r="N8" s="42">
        <f>Vendedor5!$F$7+Vendedor5!$F$11+Vendedor5!$F$15</f>
        <v>335750</v>
      </c>
      <c r="P8" s="42">
        <f t="shared" ref="P8" si="7">+J8-K8-N8</f>
        <v>-146250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127500</v>
      </c>
      <c r="D10" s="30">
        <f>IF(Vendedor7!$E$7="",0,Vendedor7!$E$7)</f>
        <v>2700</v>
      </c>
      <c r="E10" s="181">
        <f>IF(Vendedor7!$C$11="",0,Vendedor7!$C$11)</f>
        <v>107050</v>
      </c>
      <c r="F10" s="30">
        <f>IF(Vendedor7!$E$11="",0,Vendedor7!$E$11)</f>
        <v>4300</v>
      </c>
      <c r="G10" s="181">
        <f>IF(Vendedor7!$C$15="",0,Vendedor7!$C$15)</f>
        <v>160750</v>
      </c>
      <c r="H10" s="30">
        <f>IF(Vendedor7!$E$15="",0,Vendedor7!$E$15)</f>
        <v>150</v>
      </c>
      <c r="J10" s="42">
        <f t="shared" si="8"/>
        <v>395300</v>
      </c>
      <c r="K10" s="41">
        <f>MROUND(J10*Vendedor7!J$14,50)</f>
        <v>47450</v>
      </c>
      <c r="L10" s="42">
        <f t="shared" si="9"/>
        <v>7150</v>
      </c>
      <c r="M10" s="42">
        <f t="shared" si="10"/>
        <v>607750</v>
      </c>
      <c r="N10" s="42">
        <f>Vendedor7!$F$7+Vendedor7!$F$11+Vendedor7!$F$15</f>
        <v>607750</v>
      </c>
      <c r="P10" s="42">
        <f t="shared" si="11"/>
        <v>-259900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4400</v>
      </c>
      <c r="H11" s="30">
        <f>IF(Vendedor8!$E$15="",0,Vendedor8!$E$15)</f>
        <v>0</v>
      </c>
      <c r="J11" s="42">
        <f t="shared" si="8"/>
        <v>6900</v>
      </c>
      <c r="K11" s="41">
        <f>MROUND(J11*Vendedor8!J$11,50)</f>
        <v>850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6050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26750</v>
      </c>
      <c r="D12" s="30">
        <f>IF(Vendedor9!$E$7="",0,Vendedor9!$E$7)</f>
        <v>0</v>
      </c>
      <c r="E12" s="181">
        <f>IF(Vendedor9!$C$11="",0,Vendedor9!$C$11)</f>
        <v>15350</v>
      </c>
      <c r="F12" s="30">
        <f>IF(Vendedor9!$E$11="",0,Vendedor9!$E$11)</f>
        <v>350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42100</v>
      </c>
      <c r="K12" s="41">
        <f>MROUND(J12*Vendedor9!J$11,50)</f>
        <v>5050</v>
      </c>
      <c r="L12" s="42">
        <f t="shared" si="9"/>
        <v>350</v>
      </c>
      <c r="M12" s="42">
        <f t="shared" si="10"/>
        <v>29750</v>
      </c>
      <c r="N12" s="42">
        <f>Vendedor9!$F$7+Vendedor9!$F$11+Vendedor9!$F$15</f>
        <v>29750</v>
      </c>
      <c r="P12" s="42">
        <f t="shared" si="11"/>
        <v>7300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36100</v>
      </c>
      <c r="D13" s="30">
        <f>IF(Vendedor10!$E$7="",0,Vendedor10!$E$7)</f>
        <v>1700</v>
      </c>
      <c r="E13" s="181">
        <f>IF(Vendedor10!$C$11="",0,Vendedor10!$C$11)</f>
        <v>21100</v>
      </c>
      <c r="F13" s="30">
        <f>IF(Vendedor10!$E$11="",0,Vendedor10!$E$11)</f>
        <v>750</v>
      </c>
      <c r="G13" s="181">
        <f>IF(Vendedor10!$C$15="",0,Vendedor10!$C$15)</f>
        <v>39300</v>
      </c>
      <c r="H13" s="30">
        <f>IF(Vendedor10!$E$15="",0,Vendedor10!$E$15)</f>
        <v>0</v>
      </c>
      <c r="J13" s="42">
        <f t="shared" si="8"/>
        <v>96500</v>
      </c>
      <c r="K13" s="41">
        <f>MROUND(J13*Vendedor10!J$9,50)</f>
        <v>11600</v>
      </c>
      <c r="L13" s="42">
        <f t="shared" si="9"/>
        <v>2450</v>
      </c>
      <c r="M13" s="42">
        <f t="shared" si="10"/>
        <v>208250</v>
      </c>
      <c r="N13" s="42">
        <f>Vendedor10!$F$7+Vendedor10!$F$11+Vendedor10!$F$15</f>
        <v>208250</v>
      </c>
      <c r="P13" s="42">
        <f t="shared" si="11"/>
        <v>-123350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36000</v>
      </c>
      <c r="D14" s="30">
        <f>IF(Vendedor11!$E$7="",0,Vendedor11!$E$7)</f>
        <v>0</v>
      </c>
      <c r="E14" s="181">
        <f>IF(Vendedor11!$C$11="",0,Vendedor11!$C$11)</f>
        <v>12950</v>
      </c>
      <c r="F14" s="30">
        <f>IF(Vendedor11!$E$11="",0,Vendedor11!$E$11)</f>
        <v>0</v>
      </c>
      <c r="G14" s="181">
        <f>IF(Vendedor11!$C$15="",0,Vendedor11!$C$15)</f>
        <v>21300</v>
      </c>
      <c r="H14" s="30">
        <f>IF(Vendedor11!$E$15="",0,Vendedor11!$E$15)</f>
        <v>0</v>
      </c>
      <c r="J14" s="42">
        <f t="shared" si="8"/>
        <v>70250</v>
      </c>
      <c r="K14" s="41">
        <f>MROUND(J14*Vendedor11!J$9,50)</f>
        <v>10550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59700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18000</v>
      </c>
      <c r="D16" s="30">
        <f>IF(Vendedor13!$E$7="",0,Vendedor13!$E$7)</f>
        <v>250</v>
      </c>
      <c r="E16" s="181">
        <f>IF(Vendedor13!$C$11="",0,Vendedor13!$C$11)</f>
        <v>10000</v>
      </c>
      <c r="F16" s="30">
        <f>IF(Vendedor13!$E$11="",0,Vendedor13!$E$11)</f>
        <v>250</v>
      </c>
      <c r="G16" s="181">
        <f>IF(Vendedor13!$C$15="",0,Vendedor13!$C$15)</f>
        <v>24900</v>
      </c>
      <c r="H16" s="30">
        <f>IF(Vendedor13!$E$15="",0,Vendedor13!$E$15)</f>
        <v>0</v>
      </c>
      <c r="J16" s="42">
        <f t="shared" si="8"/>
        <v>52900</v>
      </c>
      <c r="K16" s="41">
        <f>MROUND(J16*Vendedor13!J$11,50)</f>
        <v>6350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4050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126950</v>
      </c>
      <c r="D17" s="30">
        <f>IF(Vendedor14!$E$7="",0,Vendedor14!$E$7)</f>
        <v>2050</v>
      </c>
      <c r="E17" s="181">
        <f>IF(Vendedor14!$C$11="",0,Vendedor14!$C$11)</f>
        <v>128600</v>
      </c>
      <c r="F17" s="30">
        <f>IF(Vendedor14!$E$11="",0,Vendedor14!$E$11)</f>
        <v>1350</v>
      </c>
      <c r="G17" s="181">
        <f>IF(Vendedor14!$C$15="",0,Vendedor14!$C$15)</f>
        <v>239750</v>
      </c>
      <c r="H17" s="30">
        <f>IF(Vendedor14!$E$15="",0,Vendedor14!$E$15)</f>
        <v>2000</v>
      </c>
      <c r="J17" s="42">
        <f t="shared" si="8"/>
        <v>495300</v>
      </c>
      <c r="K17" s="41">
        <f>MROUND(J17*Vendedor14!J$15,50)</f>
        <v>59450</v>
      </c>
      <c r="L17" s="42">
        <f t="shared" si="9"/>
        <v>5400</v>
      </c>
      <c r="M17" s="42">
        <f t="shared" si="10"/>
        <v>459000</v>
      </c>
      <c r="N17" s="42">
        <f>Vendedor14!$F$7+Vendedor14!$F$11+Vendedor14!$F$15</f>
        <v>459000</v>
      </c>
      <c r="P17" s="42">
        <f t="shared" si="11"/>
        <v>-23150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82850</v>
      </c>
      <c r="D18" s="30">
        <f>IF(Vendedor15!$E$7="",0,Vendedor15!$E$7)</f>
        <v>700</v>
      </c>
      <c r="E18" s="181">
        <f>IF(Vendedor15!$C$11="",0,Vendedor15!$C$11)</f>
        <v>57950</v>
      </c>
      <c r="F18" s="30">
        <f>IF(Vendedor15!$E$11="",0,Vendedor15!$E$11)</f>
        <v>800</v>
      </c>
      <c r="G18" s="181">
        <f>IF(Vendedor15!$C$15="",0,Vendedor15!$C$15)</f>
        <v>68300</v>
      </c>
      <c r="H18" s="30">
        <f>IF(Vendedor15!$E$15="",0,Vendedor15!$E$15)</f>
        <v>500</v>
      </c>
      <c r="J18" s="42">
        <f t="shared" ref="J18" si="12">+C18+E18+G18</f>
        <v>209100</v>
      </c>
      <c r="K18" s="41">
        <f>MROUND(J18*Vendedor15!J$15,50)</f>
        <v>25100</v>
      </c>
      <c r="L18" s="42">
        <f t="shared" ref="L18" si="13">+D18+F18+H18</f>
        <v>2000</v>
      </c>
      <c r="M18" s="42">
        <f t="shared" ref="M18" si="14">+L18*85</f>
        <v>170000</v>
      </c>
      <c r="N18" s="42">
        <f>Vendedor15!$F$7+Vendedor15!$F$11+Vendedor15!$F$15</f>
        <v>170000</v>
      </c>
      <c r="P18" s="42">
        <f t="shared" ref="P18" si="15">+J18-K18-N18</f>
        <v>14000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630700</v>
      </c>
      <c r="D32" s="44">
        <f t="shared" si="16"/>
        <v>8750</v>
      </c>
      <c r="E32" s="43">
        <f t="shared" si="16"/>
        <v>503250</v>
      </c>
      <c r="F32" s="44">
        <f t="shared" si="16"/>
        <v>9900</v>
      </c>
      <c r="G32" s="43">
        <f t="shared" si="16"/>
        <v>801700</v>
      </c>
      <c r="H32" s="44">
        <f t="shared" si="16"/>
        <v>4750</v>
      </c>
      <c r="J32" s="96">
        <f>SUM(J4:J31)</f>
        <v>1935650</v>
      </c>
      <c r="K32" s="45">
        <f>SUM(K7:K31)</f>
        <v>192250</v>
      </c>
      <c r="L32" s="96">
        <f>SUM(L4:L31)</f>
        <v>23400</v>
      </c>
      <c r="M32" s="96">
        <f>SUM(M4:M31)</f>
        <v>1989000</v>
      </c>
      <c r="N32" s="96">
        <f>SUM(N4:N31)</f>
        <v>1989000</v>
      </c>
      <c r="P32" s="80">
        <f>SUM(P4:P31)</f>
        <v>-291350</v>
      </c>
    </row>
    <row r="33" spans="3:13" x14ac:dyDescent="0.35">
      <c r="D33" s="100">
        <f>+D32*85</f>
        <v>743750</v>
      </c>
      <c r="F33" s="100">
        <f>+F32*85</f>
        <v>841500</v>
      </c>
      <c r="H33" s="100">
        <f>+H32*85</f>
        <v>403750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1935650</v>
      </c>
      <c r="E36" s="43">
        <f>+D36-J4-J5-J6</f>
        <v>1583700</v>
      </c>
      <c r="G36" s="102"/>
    </row>
    <row r="37" spans="3:13" x14ac:dyDescent="0.35">
      <c r="C37" s="47" t="s">
        <v>33</v>
      </c>
      <c r="D37" s="48">
        <f>D36*13%</f>
        <v>251634.5</v>
      </c>
      <c r="E37">
        <f>+D37-K4-K5-K6</f>
        <v>205884.5</v>
      </c>
      <c r="G37" s="101"/>
      <c r="H37" s="101"/>
    </row>
    <row r="38" spans="3:13" ht="15" thickBot="1" x14ac:dyDescent="0.4">
      <c r="C38" s="47" t="s">
        <v>30</v>
      </c>
      <c r="D38" s="30">
        <f>M32</f>
        <v>1989000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-304984.5</v>
      </c>
      <c r="F39" s="99">
        <f>+P32-D39</f>
        <v>13634.5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-304984.5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12</v>
      </c>
      <c r="D2" s="269"/>
      <c r="E2" s="268">
        <f>DigitaNICA!E2</f>
        <v>93</v>
      </c>
      <c r="F2" s="269"/>
      <c r="G2" s="268">
        <f>DigitaNICA!G2</f>
        <v>12</v>
      </c>
      <c r="H2" s="269"/>
      <c r="I2" s="268">
        <f>DigitaNICA!I2</f>
        <v>29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33800</v>
      </c>
      <c r="D4" s="79">
        <f>IF(Vendedor1!$E$5="",0,Vendedor1!$E$5)</f>
        <v>450</v>
      </c>
      <c r="E4" s="190">
        <f>IF(Vendedor1!$C$9="",0,Vendedor1!$C$9)</f>
        <v>12700</v>
      </c>
      <c r="F4" s="79">
        <f>IF(Vendedor1!$E$9="",0,Vendedor1!$E$9)</f>
        <v>0</v>
      </c>
      <c r="G4" s="190">
        <f>IF(Vendedor1!$C$13="",0,Vendedor1!$C$13)</f>
        <v>12900</v>
      </c>
      <c r="H4" s="79">
        <f>IF(Vendedor1!$E$13="",0,Vendedor1!$E$13)</f>
        <v>300</v>
      </c>
      <c r="I4" s="190">
        <f>IF(Vendedor1!$C$17="",0,Vendedor1!$C$17)</f>
        <v>4300</v>
      </c>
      <c r="J4" s="79">
        <f>IF(Vendedor1!$E$17="",0,Vendedor1!$E$17)</f>
        <v>0</v>
      </c>
      <c r="L4" s="42">
        <f t="shared" ref="L4:L7" si="0">C4+E4+G4+I4</f>
        <v>63700</v>
      </c>
      <c r="M4" s="41">
        <f>MROUND(L4*Vendedor1!J$10,50)</f>
        <v>8300</v>
      </c>
      <c r="N4" s="42">
        <f t="shared" ref="N4:N7" si="1">D4+F4+H4+J4</f>
        <v>750</v>
      </c>
      <c r="O4" s="41">
        <f>IFERROR(N4*85,0)</f>
        <v>63750</v>
      </c>
      <c r="P4" s="42">
        <f>Vendedor1!$F$5+Vendedor1!$F$9+Vendedor1!$F$13+Vendedor1!$F$17</f>
        <v>60000</v>
      </c>
      <c r="R4" s="41">
        <f t="shared" ref="R4:R7" si="2">+L4-M4-O4</f>
        <v>-8350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16000</v>
      </c>
      <c r="D5" s="30">
        <f>IF(Vendedor2!$E$5="",0,Vendedor2!$E$5)</f>
        <v>500</v>
      </c>
      <c r="E5" s="181">
        <f>IF(Vendedor2!$C$9="",0,Vendedor2!$C$9)</f>
        <v>3000</v>
      </c>
      <c r="F5" s="30">
        <f>IF(Vendedor2!$E$9="",0,Vendedor2!$E$9)</f>
        <v>0</v>
      </c>
      <c r="G5" s="181">
        <f>IF(Vendedor2!$C$13="",0,Vendedor2!$C$13)</f>
        <v>8050</v>
      </c>
      <c r="H5" s="30">
        <f>IF(Vendedor2!$E$13="",0,Vendedor2!$E$13)</f>
        <v>300</v>
      </c>
      <c r="I5" s="181">
        <f>IF(Vendedor2!$C$17="",0,Vendedor2!$C$17)</f>
        <v>1000</v>
      </c>
      <c r="J5" s="30">
        <f>IF(Vendedor2!$E$17="",0,Vendedor2!$E$17)</f>
        <v>0</v>
      </c>
      <c r="L5" s="42">
        <f t="shared" si="0"/>
        <v>28050</v>
      </c>
      <c r="M5" s="41">
        <f>MROUND(L5*Vendedor2!J$10,50)</f>
        <v>3650</v>
      </c>
      <c r="N5" s="42">
        <f t="shared" si="1"/>
        <v>800</v>
      </c>
      <c r="O5" s="41">
        <f t="shared" ref="O5:O27" si="3">IFERROR(N5*85,0)</f>
        <v>68000</v>
      </c>
      <c r="P5" s="42">
        <f>Vendedor2!$F$5+Vendedor2!$F$9+Vendedor2!$F$13+Vendedor2!$F$17</f>
        <v>64000</v>
      </c>
      <c r="Q5">
        <v>5</v>
      </c>
      <c r="R5" s="41">
        <f t="shared" si="2"/>
        <v>-43600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65650</v>
      </c>
      <c r="D8" s="30">
        <f>IF(Vendedor5!$E$5="",0,Vendedor5!$E$5)</f>
        <v>900</v>
      </c>
      <c r="E8" s="181">
        <f>IF(Vendedor5!$C$9="",0,Vendedor5!$C$9)</f>
        <v>55400</v>
      </c>
      <c r="F8" s="30">
        <f>IF(Vendedor5!$E$9="",0,Vendedor5!$E$9)</f>
        <v>400</v>
      </c>
      <c r="G8" s="181">
        <f>IF(Vendedor5!$C$13="",0,Vendedor5!$C$13)</f>
        <v>7700</v>
      </c>
      <c r="H8" s="30">
        <f>IF(Vendedor5!$E$13="",0,Vendedor5!$E$13)</f>
        <v>0</v>
      </c>
      <c r="I8" s="181">
        <f>IF(Vendedor5!$C$17="",0,Vendedor5!$C$17)</f>
        <v>49500</v>
      </c>
      <c r="J8" s="30">
        <f>IF(Vendedor5!$E$17="",0,Vendedor5!$E$17)</f>
        <v>0</v>
      </c>
      <c r="L8" s="42">
        <f t="shared" ref="L8" si="4">C8+E8+G8+I8</f>
        <v>178250</v>
      </c>
      <c r="M8" s="41">
        <f>MROUND(L8*Vendedor5!J$12,50)</f>
        <v>21400</v>
      </c>
      <c r="N8" s="42">
        <f t="shared" ref="N8" si="5">D8+F8+H8+J8</f>
        <v>1300</v>
      </c>
      <c r="O8" s="41">
        <f t="shared" si="3"/>
        <v>110500</v>
      </c>
      <c r="P8" s="42">
        <f>Vendedor5!$F$5+Vendedor5!$F$9+Vendedor5!$F$13+Vendedor5!$F$17</f>
        <v>104000</v>
      </c>
      <c r="Q8">
        <v>17</v>
      </c>
      <c r="R8" s="41">
        <f t="shared" ref="R8" si="6">+L8-M8-O8</f>
        <v>46350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73150</v>
      </c>
      <c r="D10" s="30">
        <f>IF(Vendedor7!$E$5="",0,Vendedor7!$E$5)</f>
        <v>2650</v>
      </c>
      <c r="E10" s="181">
        <f>IF(Vendedor7!$C$9="",0,Vendedor7!$C$9)</f>
        <v>129500</v>
      </c>
      <c r="F10" s="30">
        <f>IF(Vendedor7!$E$9="",0,Vendedor7!$E$9)</f>
        <v>250</v>
      </c>
      <c r="G10" s="181">
        <f>IF(Vendedor7!$C$13="",0,Vendedor7!$C$13)</f>
        <v>59400</v>
      </c>
      <c r="H10" s="30">
        <f>IF(Vendedor7!$E$13="",0,Vendedor7!$E$13)</f>
        <v>300</v>
      </c>
      <c r="I10" s="181">
        <f>IF(Vendedor7!$C$17="",0,Vendedor7!$C$17)</f>
        <v>129150</v>
      </c>
      <c r="J10" s="30">
        <f>IF(Vendedor7!$E$17="",0,Vendedor7!$E$17)</f>
        <v>100</v>
      </c>
      <c r="L10" s="42">
        <f t="shared" si="7"/>
        <v>391200</v>
      </c>
      <c r="M10" s="41">
        <f>MROUND(L10*Vendedor7!J$15,50)</f>
        <v>46950</v>
      </c>
      <c r="N10" s="42">
        <f t="shared" ref="N10:N27" si="9">D10+F10+H10+J10</f>
        <v>3300</v>
      </c>
      <c r="O10" s="41">
        <f t="shared" si="3"/>
        <v>280500</v>
      </c>
      <c r="P10" s="42">
        <f>Vendedor7!$F$5+Vendedor7!$F$9+Vendedor7!$F$13+Vendedor7!$F$17</f>
        <v>280500</v>
      </c>
      <c r="R10" s="41">
        <f t="shared" si="8"/>
        <v>63750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34900</v>
      </c>
      <c r="D12" s="30">
        <f>IF(Vendedor9!$E$5="",0,Vendedor9!$E$5)</f>
        <v>0</v>
      </c>
      <c r="E12" s="181">
        <f>IF(Vendedor9!$C$9="",0,Vendedor9!$C$9)</f>
        <v>13100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48000</v>
      </c>
      <c r="M12" s="41">
        <f>MROUND(L12*Vendedor9!J$12,50)</f>
        <v>5750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42250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37100</v>
      </c>
      <c r="D13" s="30">
        <f>IF(Vendedor10!$E$5="",0,Vendedor10!$E$5)</f>
        <v>1000</v>
      </c>
      <c r="E13" s="181">
        <f>IF(Vendedor10!$C$9="",0,Vendedor10!$C$9)</f>
        <v>12100</v>
      </c>
      <c r="F13" s="30">
        <f>IF(Vendedor10!$E$9="",0,Vendedor10!$E$9)</f>
        <v>0</v>
      </c>
      <c r="G13" s="181">
        <f>IF(Vendedor10!$C$13="",0,Vendedor10!$C$13)</f>
        <v>15750</v>
      </c>
      <c r="H13" s="30">
        <f>IF(Vendedor10!$E$13="",0,Vendedor10!$E$13)</f>
        <v>1000</v>
      </c>
      <c r="I13" s="181">
        <f>IF(Vendedor10!$C$17="",0,Vendedor10!$C$17)</f>
        <v>2450</v>
      </c>
      <c r="J13" s="30">
        <f>IF(Vendedor10!$E$17="",0,Vendedor10!$E$17)</f>
        <v>0</v>
      </c>
      <c r="L13" s="42">
        <f t="shared" si="7"/>
        <v>67400</v>
      </c>
      <c r="M13" s="41">
        <f>MROUND(L13*Vendedor10!J$10,50)</f>
        <v>8100</v>
      </c>
      <c r="N13" s="42">
        <f t="shared" si="9"/>
        <v>2000</v>
      </c>
      <c r="O13" s="41">
        <f t="shared" si="3"/>
        <v>170000</v>
      </c>
      <c r="P13" s="42">
        <f>Vendedor10!$F$5+Vendedor10!$F$9+Vendedor10!$F$13+Vendedor10!$F$17</f>
        <v>160000</v>
      </c>
      <c r="R13" s="41">
        <f t="shared" si="8"/>
        <v>-110700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2500</v>
      </c>
      <c r="D16" s="30">
        <f>IF(Vendedor13!$E$5="",0,Vendedor13!$E$5)</f>
        <v>250</v>
      </c>
      <c r="E16" s="181">
        <f>IF(Vendedor13!$C$9="",0,Vendedor13!$C$9)</f>
        <v>1500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22350</v>
      </c>
      <c r="J16" s="30">
        <f>IF(Vendedor13!$E$17="",0,Vendedor13!$E$17)</f>
        <v>0</v>
      </c>
      <c r="L16" s="42">
        <f t="shared" si="7"/>
        <v>26350</v>
      </c>
      <c r="M16" s="41">
        <f>MROUND(L16*Vendedor13!J$12,50)</f>
        <v>3150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1950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95700</v>
      </c>
      <c r="D17" s="30">
        <f>IF(Vendedor14!$E$5="",0,Vendedor14!$E$5)</f>
        <v>900</v>
      </c>
      <c r="E17" s="181">
        <f>IF(Vendedor14!$C$9="",0,Vendedor14!$C$9)</f>
        <v>114500</v>
      </c>
      <c r="F17" s="30">
        <f>IF(Vendedor14!$E$9="",0,Vendedor14!$E$9)</f>
        <v>150</v>
      </c>
      <c r="G17" s="181">
        <f>IF(Vendedor14!$C$13="",0,Vendedor14!$C$13)</f>
        <v>97200</v>
      </c>
      <c r="H17" s="30">
        <f>IF(Vendedor14!$E$13="",0,Vendedor14!$E$13)</f>
        <v>500</v>
      </c>
      <c r="I17" s="181">
        <f>IF(Vendedor14!$C$17="",0,Vendedor14!$C$17)</f>
        <v>181250</v>
      </c>
      <c r="J17" s="30">
        <f>IF(Vendedor14!$E$17="",0,Vendedor14!$E$17)</f>
        <v>1100</v>
      </c>
      <c r="L17" s="42">
        <f>C17+E17+G17+I17</f>
        <v>488650</v>
      </c>
      <c r="M17" s="41">
        <f>MROUND(L17*Vendedor14!J$16,50)</f>
        <v>58650</v>
      </c>
      <c r="N17" s="42">
        <f t="shared" si="9"/>
        <v>2650</v>
      </c>
      <c r="O17" s="41">
        <f t="shared" si="3"/>
        <v>225250</v>
      </c>
      <c r="P17" s="42">
        <f>Vendedor14!$F$5+Vendedor14!$F$9+Vendedor14!$F$13+Vendedor14!$F$17</f>
        <v>225250</v>
      </c>
      <c r="R17" s="41">
        <f t="shared" si="8"/>
        <v>204750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94150</v>
      </c>
      <c r="D18" s="30">
        <f>IF(Vendedor15!$E$5="",0,Vendedor15!$E$5)</f>
        <v>1300</v>
      </c>
      <c r="E18" s="181">
        <f>IF(Vendedor15!$C$9="",0,Vendedor15!$C$9)</f>
        <v>81200</v>
      </c>
      <c r="F18" s="30">
        <f>IF(Vendedor15!$E$9="",0,Vendedor15!$E$9)</f>
        <v>300</v>
      </c>
      <c r="G18" s="181">
        <f>IF(Vendedor15!$C$13="",0,Vendedor15!$C$13)</f>
        <v>66000</v>
      </c>
      <c r="H18" s="30">
        <f>IF(Vendedor15!$E$13="",0,Vendedor15!$E$13)</f>
        <v>1200</v>
      </c>
      <c r="I18" s="181">
        <f>IF(Vendedor15!$C$17="",0,Vendedor15!$C$17)</f>
        <v>29350</v>
      </c>
      <c r="J18" s="30">
        <f>IF(Vendedor15!$E$17="",0,Vendedor15!$E$17)</f>
        <v>200</v>
      </c>
      <c r="L18" s="42">
        <f t="shared" ref="L18:L27" si="10">C18+E18+G18+I18</f>
        <v>270700</v>
      </c>
      <c r="M18" s="41">
        <f>MROUND(L18*Vendedor15!J$16,50)</f>
        <v>32500</v>
      </c>
      <c r="N18" s="42">
        <f t="shared" si="9"/>
        <v>3000</v>
      </c>
      <c r="O18" s="41">
        <f t="shared" si="3"/>
        <v>255000</v>
      </c>
      <c r="P18" s="42">
        <f>Vendedor15!$F$5+Vendedor15!$F$9+Vendedor15!$F$13+Vendedor15!$F$17</f>
        <v>255000</v>
      </c>
      <c r="R18" s="41">
        <f t="shared" si="8"/>
        <v>-16800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452950</v>
      </c>
      <c r="D32" s="44">
        <f t="shared" si="14"/>
        <v>7950</v>
      </c>
      <c r="E32" s="43">
        <f t="shared" si="14"/>
        <v>423000</v>
      </c>
      <c r="F32" s="44">
        <f t="shared" si="14"/>
        <v>1100</v>
      </c>
      <c r="G32" s="43">
        <f t="shared" si="14"/>
        <v>267000</v>
      </c>
      <c r="H32" s="44">
        <f t="shared" si="14"/>
        <v>3600</v>
      </c>
      <c r="I32" s="43">
        <f t="shared" si="14"/>
        <v>419350</v>
      </c>
      <c r="J32" s="44">
        <f t="shared" si="14"/>
        <v>1400</v>
      </c>
      <c r="L32" s="45">
        <f>SUM(L4:L31)</f>
        <v>1562300</v>
      </c>
      <c r="M32" s="45">
        <f>SUM(M7:M31)</f>
        <v>176500</v>
      </c>
      <c r="N32" s="96">
        <f>SUM(N4:N31)</f>
        <v>14050</v>
      </c>
      <c r="O32" s="46">
        <f>SUM(O4:O31)</f>
        <v>1194250</v>
      </c>
      <c r="P32" s="141">
        <f>SUM(P4:P31)</f>
        <v>1168750</v>
      </c>
      <c r="R32" s="80">
        <f>SUM(R4:R31)</f>
        <v>179600</v>
      </c>
    </row>
    <row r="33" spans="3:15" x14ac:dyDescent="0.35">
      <c r="D33" s="121">
        <f>+D32*85</f>
        <v>675750</v>
      </c>
      <c r="F33" s="121">
        <f>+F32*85</f>
        <v>93500</v>
      </c>
      <c r="H33" s="121">
        <f>+H32*85</f>
        <v>306000</v>
      </c>
      <c r="J33" s="121">
        <f>+J32*85</f>
        <v>119000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1562300</v>
      </c>
      <c r="E36" s="43">
        <f>+D36-L4-L5-L6</f>
        <v>1470550</v>
      </c>
    </row>
    <row r="37" spans="3:15" x14ac:dyDescent="0.35">
      <c r="C37" s="47" t="s">
        <v>33</v>
      </c>
      <c r="D37" s="48">
        <f>D36*13%</f>
        <v>203099</v>
      </c>
      <c r="E37">
        <f>+D37-M4-M5-M6</f>
        <v>191149</v>
      </c>
    </row>
    <row r="38" spans="3:15" x14ac:dyDescent="0.35">
      <c r="C38" s="47" t="s">
        <v>30</v>
      </c>
      <c r="D38" s="30">
        <f>SUM(O4:O27)</f>
        <v>1194250</v>
      </c>
      <c r="G38" s="101"/>
    </row>
    <row r="39" spans="3:15" ht="15" thickBot="1" x14ac:dyDescent="0.4">
      <c r="C39" s="49" t="s">
        <v>4</v>
      </c>
      <c r="D39" s="81">
        <f>+D36-D37-D38</f>
        <v>164951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164951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04 Roja</v>
      </c>
      <c r="D2" s="269"/>
      <c r="E2" s="268" t="str">
        <f>IF(E33=0,"",CONCATENATE(PREMIOS!$B11," ",PREMIOS!$B12))</f>
        <v>25 Blanca</v>
      </c>
      <c r="F2" s="269"/>
      <c r="G2" s="268" t="str">
        <f>IF(G33=0,"",CONCATENATE(PREMIOS!$B15," ",PREMIOS!$B16))</f>
        <v>99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22850</v>
      </c>
      <c r="D10" s="30">
        <f>IF(Vendedor7!$E$8="",0,Vendedor7!$E$8)</f>
        <v>1000</v>
      </c>
      <c r="E10" s="181">
        <f>IF(Vendedor7!$C$12="",0,Vendedor7!$C$12)</f>
        <v>23400</v>
      </c>
      <c r="F10" s="30">
        <f>IF(Vendedor7!$E$12="",0,Vendedor7!$E$12)</f>
        <v>500</v>
      </c>
      <c r="G10" s="181">
        <f>IF(Vendedor7!$C$16="",0,Vendedor7!$C$16)</f>
        <v>31300</v>
      </c>
      <c r="H10" s="30">
        <f>IF(Vendedor7!$E$16="",0,Vendedor7!$E$16)</f>
        <v>0</v>
      </c>
      <c r="J10" s="42">
        <f t="shared" si="1"/>
        <v>77550</v>
      </c>
      <c r="K10" s="41">
        <f>J10*Vendedor7!J$16</f>
        <v>7755</v>
      </c>
      <c r="L10" s="42">
        <f t="shared" si="2"/>
        <v>1000</v>
      </c>
      <c r="M10" s="42">
        <f t="shared" si="3"/>
        <v>1500</v>
      </c>
      <c r="N10" s="42">
        <f t="shared" si="0"/>
        <v>220000</v>
      </c>
      <c r="O10" s="42">
        <f>Vendedor7!$F$8+Vendedor7!$F$12+Vendedor7!$F$16</f>
        <v>200000</v>
      </c>
      <c r="Q10" s="42">
        <f t="shared" si="4"/>
        <v>-130205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1400</v>
      </c>
      <c r="D12" s="30">
        <f>IF(Vendedor9!$E$8="",0,Vendedor9!$E$8)</f>
        <v>0</v>
      </c>
      <c r="E12" s="181">
        <f>IF(Vendedor9!$C$12="",0,Vendedor9!$C$12)</f>
        <v>3400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4800</v>
      </c>
      <c r="K12" s="41">
        <f>J12*Vendedor9!J$13</f>
        <v>480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4320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31100</v>
      </c>
      <c r="D17" s="30">
        <f>IF(Vendedor14!$E$8="",0,Vendedor14!$E$8)</f>
        <v>650</v>
      </c>
      <c r="E17" s="181">
        <f>IF(Vendedor14!$C$12="",0,Vendedor14!$C$12)</f>
        <v>43650</v>
      </c>
      <c r="F17" s="30">
        <f>IF(Vendedor14!$E$12="",0,Vendedor14!$E$12)</f>
        <v>400</v>
      </c>
      <c r="G17" s="181">
        <f>IF(Vendedor14!$C$16="",0,Vendedor14!$C$16)</f>
        <v>47550</v>
      </c>
      <c r="H17" s="30">
        <f>IF(Vendedor14!$E$16="",0,Vendedor14!$E$16)</f>
        <v>600</v>
      </c>
      <c r="J17" s="42">
        <f t="shared" si="1"/>
        <v>122300</v>
      </c>
      <c r="K17" s="41">
        <f>J17*Vendedor14!J$17</f>
        <v>12230</v>
      </c>
      <c r="L17" s="42">
        <f t="shared" si="2"/>
        <v>650</v>
      </c>
      <c r="M17" s="42">
        <f t="shared" si="3"/>
        <v>1650</v>
      </c>
      <c r="N17" s="42">
        <f t="shared" si="0"/>
        <v>143000</v>
      </c>
      <c r="O17" s="42">
        <f>Vendedor14!$F$8+Vendedor14!$F$12+Vendedor14!$F$16</f>
        <v>130000</v>
      </c>
      <c r="Q17" s="42">
        <f t="shared" si="4"/>
        <v>-19930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34950</v>
      </c>
      <c r="D18" s="30">
        <f>IF(Vendedor15!$E$8="",0,Vendedor15!$E$8)</f>
        <v>350</v>
      </c>
      <c r="E18" s="181">
        <f>IF(Vendedor15!$C$12="",0,Vendedor15!$C$12)</f>
        <v>24850</v>
      </c>
      <c r="F18" s="30">
        <f>IF(Vendedor15!$E$12="",0,Vendedor15!$E$12)</f>
        <v>300</v>
      </c>
      <c r="G18" s="181">
        <f>IF(Vendedor15!$C$16="",0,Vendedor15!$C$16)</f>
        <v>25700</v>
      </c>
      <c r="H18" s="30">
        <f>IF(Vendedor15!$E$16="",0,Vendedor15!$E$16)</f>
        <v>500</v>
      </c>
      <c r="J18" s="42">
        <f t="shared" ref="J18" si="5">+C18+E18+G18</f>
        <v>85500</v>
      </c>
      <c r="K18" s="41">
        <f>J18*Vendedor15!J$17</f>
        <v>8550</v>
      </c>
      <c r="L18" s="42">
        <f t="shared" si="2"/>
        <v>350</v>
      </c>
      <c r="M18" s="42">
        <f t="shared" si="3"/>
        <v>1150</v>
      </c>
      <c r="N18" s="42">
        <f t="shared" si="0"/>
        <v>77000</v>
      </c>
      <c r="O18" s="42">
        <f>Vendedor15!$F$8+Vendedor15!$F$12+Vendedor15!$F$16</f>
        <v>70000</v>
      </c>
      <c r="Q18" s="42">
        <f t="shared" si="4"/>
        <v>6950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90300</v>
      </c>
      <c r="D33" s="44">
        <f>IF(PREMIOS!E8&lt;&gt;0,SUM(D4:D32),0)</f>
        <v>2000</v>
      </c>
      <c r="E33" s="43">
        <f>SUM(E4:E32)</f>
        <v>95300</v>
      </c>
      <c r="F33" s="44">
        <f>IF(PREMIOS!E12&lt;&gt;0,SUM(F4:F32),0)</f>
        <v>0</v>
      </c>
      <c r="G33" s="43">
        <f>SUM(G4:G32)</f>
        <v>104550</v>
      </c>
      <c r="H33" s="44">
        <f>IF(PREMIOS!E16&lt;&gt;0,SUM(H4:H32),0)</f>
        <v>0</v>
      </c>
      <c r="J33" s="45">
        <f>SUM(J4:J32)</f>
        <v>290150</v>
      </c>
      <c r="K33" s="45">
        <f>SUM(K7:K32)</f>
        <v>29015</v>
      </c>
      <c r="L33" s="96">
        <f>SUM(L7:L32)</f>
        <v>2000</v>
      </c>
      <c r="M33" s="96">
        <f>SUM(M7:M32)</f>
        <v>4300</v>
      </c>
      <c r="N33" s="96">
        <f>SUM(N4:N27)</f>
        <v>440000</v>
      </c>
      <c r="O33" s="96">
        <f>SUM(O4:O27)</f>
        <v>400000</v>
      </c>
      <c r="Q33" s="80">
        <f>SUM(Q4:Q32)</f>
        <v>-138865</v>
      </c>
    </row>
    <row r="34" spans="3:17" x14ac:dyDescent="0.35">
      <c r="D34" s="119">
        <f>IF(PREMIOS!$D8=PREMIOS!$J$10,D33*$G$38,IF(PREMIOS!$D8=PREMIOS!$J$11,D33*$F$38,IF(PREMIOS!$D8=PREMIOS!$J$12,0,"")))</f>
        <v>440000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290150</v>
      </c>
      <c r="E37" s="43">
        <f>+D37-J4-J5-J6</f>
        <v>290150</v>
      </c>
      <c r="F37" s="276"/>
      <c r="G37" s="276"/>
    </row>
    <row r="38" spans="3:17" ht="15" thickBot="1" x14ac:dyDescent="0.4">
      <c r="C38" s="47" t="s">
        <v>33</v>
      </c>
      <c r="D38" s="30">
        <f>D37*10%</f>
        <v>29015</v>
      </c>
      <c r="E38" s="43">
        <f>+D38-K4-K5-K6</f>
        <v>29015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440000</v>
      </c>
    </row>
    <row r="40" spans="3:17" ht="15" thickBot="1" x14ac:dyDescent="0.4">
      <c r="C40" s="49" t="s">
        <v>4</v>
      </c>
      <c r="D40" s="81">
        <f>+D37-D38-D39</f>
        <v>-178865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-178865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23</v>
      </c>
      <c r="D2" s="269"/>
      <c r="E2" s="268">
        <f>DigitaPRIMERA!E2</f>
        <v>37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17200</v>
      </c>
      <c r="D4" s="79">
        <f>IF(Vendedor1!$E$19="",0,Vendedor1!$E$19)</f>
        <v>950</v>
      </c>
      <c r="E4" s="190">
        <f>IF(Vendedor1!$C$20="",0,Vendedor1!$C$20)</f>
        <v>200</v>
      </c>
      <c r="F4" s="79">
        <f>IF(Vendedor1!$E$20="",0,Vendedor1!$E$20)</f>
        <v>0</v>
      </c>
      <c r="H4" s="42">
        <f>+C4+E4</f>
        <v>17400</v>
      </c>
      <c r="I4" s="41">
        <f>MROUND(H4*Vendedor1!J$9,50)</f>
        <v>2250</v>
      </c>
      <c r="J4" s="42">
        <f>+D4+F4</f>
        <v>950</v>
      </c>
      <c r="K4" s="42">
        <f>+J4*85</f>
        <v>80750</v>
      </c>
      <c r="L4" s="42">
        <f>Vendedor1!$F$19+Vendedor1!$F$20</f>
        <v>76000</v>
      </c>
      <c r="N4" s="42">
        <f t="shared" ref="N4:N31" si="0">+H4-I4-L4</f>
        <v>-60850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31850</v>
      </c>
      <c r="D8" s="30">
        <f>IF(Vendedor5!$E$19="",0,Vendedor5!$E$19)</f>
        <v>1500</v>
      </c>
      <c r="E8" s="181">
        <f>IF(Vendedor5!$C$20="",0,Vendedor5!$C$20)</f>
        <v>34400</v>
      </c>
      <c r="F8" s="30">
        <f>IF(Vendedor5!$E$20="",0,Vendedor5!$E$20)</f>
        <v>0</v>
      </c>
      <c r="H8" s="134">
        <f t="shared" si="1"/>
        <v>66250</v>
      </c>
      <c r="I8" s="149">
        <f>MROUND(H8*Vendedor5!J$11,50)</f>
        <v>7950</v>
      </c>
      <c r="J8" s="134">
        <f t="shared" si="2"/>
        <v>1500</v>
      </c>
      <c r="K8" s="134">
        <f t="shared" si="3"/>
        <v>127500</v>
      </c>
      <c r="L8" s="134">
        <f>Vendedor5!$F$19+Vendedor5!$F$20</f>
        <v>120000</v>
      </c>
      <c r="M8" s="156"/>
      <c r="N8" s="134">
        <f t="shared" si="0"/>
        <v>-61700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35500</v>
      </c>
      <c r="D10" s="30">
        <f>IF(Vendedor7!$E$19="",0,Vendedor7!$E$19)</f>
        <v>1650</v>
      </c>
      <c r="E10" s="181">
        <f>IF(Vendedor7!$C$20="",0,Vendedor7!$C$20)</f>
        <v>31600</v>
      </c>
      <c r="F10" s="30">
        <f>IF(Vendedor7!$E$20="",0,Vendedor7!$E$20)</f>
        <v>800</v>
      </c>
      <c r="H10" s="42">
        <f t="shared" si="1"/>
        <v>67100</v>
      </c>
      <c r="I10" s="41">
        <f>MROUND(H10*Vendedor7!J$14,50)</f>
        <v>8050</v>
      </c>
      <c r="J10" s="42">
        <f t="shared" si="2"/>
        <v>2450</v>
      </c>
      <c r="K10" s="42">
        <f t="shared" si="3"/>
        <v>208250</v>
      </c>
      <c r="L10" s="42">
        <f>Vendedor7!$F$19+Vendedor7!$F$20</f>
        <v>208250</v>
      </c>
      <c r="N10" s="42">
        <f t="shared" si="0"/>
        <v>-149200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36750</v>
      </c>
      <c r="D12" s="30">
        <f>IF(Vendedor9!$E$19="",0,Vendedor9!$E$19)</f>
        <v>1250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36750</v>
      </c>
      <c r="I12" s="149">
        <f>MROUND(H12*Vendedor9!J$11,50)</f>
        <v>4400</v>
      </c>
      <c r="J12" s="134">
        <f t="shared" si="2"/>
        <v>1250</v>
      </c>
      <c r="K12" s="134">
        <f t="shared" si="3"/>
        <v>106250</v>
      </c>
      <c r="L12" s="134">
        <f>Vendedor9!$F$19+Vendedor9!$F$20</f>
        <v>106250</v>
      </c>
      <c r="M12" s="156"/>
      <c r="N12" s="134">
        <f t="shared" si="0"/>
        <v>-73900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74450</v>
      </c>
      <c r="D17" s="30">
        <f>IF(Vendedor14!$E$19="",0,Vendedor14!$E$19)</f>
        <v>3200</v>
      </c>
      <c r="E17" s="181">
        <f>IF(Vendedor14!$C$20="",0,Vendedor14!$C$20)</f>
        <v>38300</v>
      </c>
      <c r="F17" s="30">
        <f>IF(Vendedor14!$E$20="",0,Vendedor14!$E$20)</f>
        <v>1100</v>
      </c>
      <c r="H17" s="42">
        <f t="shared" si="1"/>
        <v>112750</v>
      </c>
      <c r="I17" s="41">
        <f>MROUND(H17*Vendedor14!J$15,50)</f>
        <v>13550</v>
      </c>
      <c r="J17" s="42">
        <f t="shared" si="2"/>
        <v>4300</v>
      </c>
      <c r="K17" s="42">
        <f t="shared" si="3"/>
        <v>365500</v>
      </c>
      <c r="L17" s="42">
        <f>Vendedor14!$F$19+Vendedor14!$F$20</f>
        <v>365500</v>
      </c>
      <c r="N17" s="42">
        <f t="shared" si="0"/>
        <v>-266300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63000</v>
      </c>
      <c r="D18" s="30">
        <f>IF(Vendedor15!$E$19="",0,Vendedor15!$E$19)</f>
        <v>3950</v>
      </c>
      <c r="E18" s="181">
        <f>IF(Vendedor15!$C$20="",0,Vendedor15!$C$20)</f>
        <v>57850</v>
      </c>
      <c r="F18" s="30">
        <f>IF(Vendedor15!$E$20="",0,Vendedor15!$E$20)</f>
        <v>100</v>
      </c>
      <c r="H18" s="42">
        <f t="shared" si="1"/>
        <v>120850</v>
      </c>
      <c r="I18" s="41">
        <f>MROUND(H18*Vendedor15!J$15,50)</f>
        <v>14500</v>
      </c>
      <c r="J18" s="42">
        <f t="shared" si="2"/>
        <v>4050</v>
      </c>
      <c r="K18" s="42">
        <f t="shared" si="3"/>
        <v>344250</v>
      </c>
      <c r="L18" s="42">
        <f>Vendedor15!$F$19+Vendedor15!$F$20</f>
        <v>344250</v>
      </c>
      <c r="N18" s="42">
        <f t="shared" si="0"/>
        <v>-237900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-2150</v>
      </c>
      <c r="D27" s="50">
        <f>IF(Vendedor24!$E$19="",0,Vendedor24!$E$19)</f>
        <v>-2150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-2150</v>
      </c>
      <c r="I27" s="41">
        <f>IF(H27*Vendedor24!J$9&gt;0,MROUND(H27*Vendedor24!J$9,50),MROUND(H27*Vendedor24!J$9,-50))</f>
        <v>-250</v>
      </c>
      <c r="J27" s="42">
        <f t="shared" si="2"/>
        <v>-2150</v>
      </c>
      <c r="K27" s="42">
        <f t="shared" si="3"/>
        <v>-182750</v>
      </c>
      <c r="L27" s="42">
        <f>Vendedor24!$F$19+Vendedor24!$F$20</f>
        <v>-182750</v>
      </c>
      <c r="N27" s="42">
        <f t="shared" si="0"/>
        <v>180850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256600</v>
      </c>
      <c r="D32" s="44">
        <f>SUM(D4:D31)</f>
        <v>10350</v>
      </c>
      <c r="E32" s="43">
        <f>SUM(E4:E31)</f>
        <v>162350</v>
      </c>
      <c r="F32" s="44">
        <f>SUM(F4:F31)</f>
        <v>2000</v>
      </c>
      <c r="H32" s="96">
        <f>SUM(H4:H31)</f>
        <v>418950</v>
      </c>
      <c r="I32" s="45">
        <f>SUM(I7:I31)</f>
        <v>48200</v>
      </c>
      <c r="J32" s="96"/>
      <c r="K32" s="96">
        <f>SUM(K4:K31)</f>
        <v>1049750</v>
      </c>
      <c r="L32" s="96">
        <f>SUM(L4:L31)</f>
        <v>1037500</v>
      </c>
      <c r="N32" s="80">
        <f>SUM(N4:N31)</f>
        <v>-669000</v>
      </c>
    </row>
    <row r="33" spans="3:6" x14ac:dyDescent="0.35">
      <c r="D33" s="100">
        <f>+D32*85</f>
        <v>879750</v>
      </c>
      <c r="F33" s="100">
        <f>+F32*85</f>
        <v>170000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418950</v>
      </c>
      <c r="E36" s="43">
        <f>+D36-H4-H5-H6</f>
        <v>401550</v>
      </c>
    </row>
    <row r="37" spans="3:6" x14ac:dyDescent="0.35">
      <c r="C37" s="47" t="s">
        <v>33</v>
      </c>
      <c r="D37" s="48">
        <f>D36*13%</f>
        <v>54463.5</v>
      </c>
      <c r="E37">
        <f>+D37-I4-I5-I6</f>
        <v>52213.5</v>
      </c>
    </row>
    <row r="38" spans="3:6" ht="15" thickBot="1" x14ac:dyDescent="0.4">
      <c r="C38" s="47" t="s">
        <v>30</v>
      </c>
      <c r="D38" s="30">
        <f>SUM(K4:K27)</f>
        <v>1049750</v>
      </c>
    </row>
    <row r="39" spans="3:6" ht="15" thickBot="1" x14ac:dyDescent="0.4">
      <c r="C39" s="49" t="s">
        <v>4</v>
      </c>
      <c r="D39" s="81">
        <f>+D36-D37-D38</f>
        <v>-685263.5</v>
      </c>
      <c r="F39" s="99">
        <f>+N32-D39</f>
        <v>16263.5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-685263.5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46</v>
      </c>
      <c r="D2" s="269"/>
      <c r="E2" s="268">
        <f>DigitaHONDURAS!E2</f>
        <v>91</v>
      </c>
      <c r="F2" s="269"/>
      <c r="G2" s="268">
        <f>DigitaHONDURAS!G2</f>
        <v>55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7300</v>
      </c>
      <c r="D10" s="30">
        <f>IF(Vendedor7!$E$21="",0,Vendedor7!$E$21)</f>
        <v>500</v>
      </c>
      <c r="E10" s="181">
        <f>IF(Vendedor7!$C$22="",0,Vendedor7!$C$22)</f>
        <v>1800</v>
      </c>
      <c r="F10" s="30">
        <f>IF(Vendedor7!$E$22="",0,Vendedor7!$E$22)</f>
        <v>0</v>
      </c>
      <c r="G10" s="181">
        <f>IF(Vendedor7!$C$23="",0,Vendedor7!$C$23)</f>
        <v>5200</v>
      </c>
      <c r="H10" s="30">
        <f>IF(Vendedor7!$E$23="",0,Vendedor7!$E$23)</f>
        <v>0</v>
      </c>
      <c r="J10" s="42">
        <f t="shared" si="0"/>
        <v>14300</v>
      </c>
      <c r="K10" s="41">
        <f>MROUND(J10*Vendedor7!J$14,50)</f>
        <v>1700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-29900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2400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2400</v>
      </c>
      <c r="K12" s="41">
        <f>MROUND(J12*Vendedor9!J$14,50)</f>
        <v>300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2100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44000</v>
      </c>
      <c r="D17" s="30">
        <f>IF(Vendedor14!$E$21="",0,Vendedor14!$E$21)</f>
        <v>150</v>
      </c>
      <c r="E17" s="181">
        <f>IF(Vendedor14!$C$22="",0,Vendedor14!$C$22)</f>
        <v>31600</v>
      </c>
      <c r="F17" s="30">
        <f>IF(Vendedor14!$E$22="",0,Vendedor14!$E$22)</f>
        <v>400</v>
      </c>
      <c r="G17" s="181">
        <f>IF(Vendedor14!$C$23="",0,Vendedor14!$C$23)</f>
        <v>31100</v>
      </c>
      <c r="H17" s="30">
        <f>IF(Vendedor14!$E$23="",0,Vendedor14!$E$23)</f>
        <v>0</v>
      </c>
      <c r="J17" s="42">
        <f t="shared" si="0"/>
        <v>106700</v>
      </c>
      <c r="K17" s="41">
        <f>MROUND(J17*Vendedor14!J$15,50)</f>
        <v>12800</v>
      </c>
      <c r="L17" s="42">
        <f t="shared" si="1"/>
        <v>550</v>
      </c>
      <c r="M17" s="42">
        <f t="shared" si="3"/>
        <v>46750</v>
      </c>
      <c r="N17" s="42">
        <f>Vendedor14!$F$21+Vendedor14!$F$22+Vendedor14!$F$23</f>
        <v>46750</v>
      </c>
      <c r="P17" s="42">
        <f t="shared" si="2"/>
        <v>47150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16350</v>
      </c>
      <c r="D18" s="30">
        <f>IF(Vendedor15!$E$21="",0,Vendedor15!$E$21)</f>
        <v>100</v>
      </c>
      <c r="E18" s="181">
        <f>IF(Vendedor15!$C$22="",0,Vendedor15!$C$22)</f>
        <v>12150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28500</v>
      </c>
      <c r="K18" s="41">
        <f>MROUND(J18*Vendedor15!J$15,50)</f>
        <v>3400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16600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70050</v>
      </c>
      <c r="D32" s="44">
        <f t="shared" si="8"/>
        <v>750</v>
      </c>
      <c r="E32" s="43">
        <f t="shared" si="8"/>
        <v>45550</v>
      </c>
      <c r="F32" s="44">
        <f t="shared" si="8"/>
        <v>400</v>
      </c>
      <c r="G32" s="43">
        <f t="shared" si="8"/>
        <v>36300</v>
      </c>
      <c r="H32" s="44">
        <f t="shared" si="8"/>
        <v>0</v>
      </c>
      <c r="J32" s="96">
        <f>SUM(J4:J31)</f>
        <v>151900</v>
      </c>
      <c r="K32" s="45">
        <f>SUM(K7:K31)</f>
        <v>18200</v>
      </c>
      <c r="L32" s="96"/>
      <c r="M32" s="96">
        <f>SUM(M4:M31)</f>
        <v>97750</v>
      </c>
      <c r="N32" s="96">
        <f>SUM(N4:N31)</f>
        <v>97750</v>
      </c>
      <c r="P32" s="80">
        <f>SUM(P4:P31)</f>
        <v>35950</v>
      </c>
    </row>
    <row r="33" spans="3:8" x14ac:dyDescent="0.35">
      <c r="D33" s="100">
        <f>+D32*85</f>
        <v>63750</v>
      </c>
      <c r="F33" s="100">
        <f>+F32*85</f>
        <v>34000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151900</v>
      </c>
      <c r="E36" s="43">
        <f>+D36-J4-J5-J6</f>
        <v>151900</v>
      </c>
    </row>
    <row r="37" spans="3:8" x14ac:dyDescent="0.35">
      <c r="C37" s="47" t="s">
        <v>33</v>
      </c>
      <c r="D37" s="48">
        <f>D36*13%</f>
        <v>19747</v>
      </c>
      <c r="E37">
        <f>+D37-K4-K5-K6</f>
        <v>19747</v>
      </c>
    </row>
    <row r="38" spans="3:8" ht="15" thickBot="1" x14ac:dyDescent="0.4">
      <c r="C38" s="47" t="s">
        <v>30</v>
      </c>
      <c r="D38" s="30">
        <f>SUM(M4:M27)</f>
        <v>97750</v>
      </c>
      <c r="G38" s="101"/>
    </row>
    <row r="39" spans="3:8" ht="15" thickBot="1" x14ac:dyDescent="0.4">
      <c r="C39" s="49" t="s">
        <v>4</v>
      </c>
      <c r="D39" s="81">
        <f>+D36-D37-D38</f>
        <v>34403</v>
      </c>
      <c r="F39" s="99">
        <f>+P32-D39</f>
        <v>1547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34403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84</v>
      </c>
      <c r="D2" s="269"/>
      <c r="E2" s="268">
        <f>DigitaDOMINICANA!E2</f>
        <v>81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1000</v>
      </c>
      <c r="D10" s="30">
        <f>IF(Vendedor7!$E$24="",0,Vendedor7!$E$24)</f>
        <v>0</v>
      </c>
      <c r="E10" s="181">
        <f>IF(Vendedor7!$C$25="",0,Vendedor7!$C$25)</f>
        <v>62750</v>
      </c>
      <c r="F10" s="30">
        <f>IF(Vendedor7!$E$25="",0,Vendedor7!$E$25)</f>
        <v>0</v>
      </c>
      <c r="H10" s="42">
        <f t="shared" si="1"/>
        <v>63750</v>
      </c>
      <c r="I10" s="41">
        <f>MROUND(H10*Vendedor7!J$14,50)</f>
        <v>7650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56100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1000</v>
      </c>
      <c r="D32" s="44">
        <f>SUM(D4:D31)</f>
        <v>0</v>
      </c>
      <c r="E32" s="43">
        <f>SUM(E4:E31)</f>
        <v>62750</v>
      </c>
      <c r="F32" s="44">
        <f>SUM(F4:F31)</f>
        <v>0</v>
      </c>
      <c r="H32" s="96">
        <f>SUM(H4:H31)</f>
        <v>63750</v>
      </c>
      <c r="I32" s="45">
        <f>SUM(I7:I31)</f>
        <v>7650</v>
      </c>
      <c r="J32" s="96"/>
      <c r="K32" s="96">
        <f>SUM(K4:K31)</f>
        <v>0</v>
      </c>
      <c r="L32" s="96">
        <f>SUM(L4:L31)</f>
        <v>0</v>
      </c>
      <c r="N32" s="80">
        <f>SUM(N4:N31)</f>
        <v>56100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63750</v>
      </c>
      <c r="E36" s="43">
        <f>+D36-H4-H5-H6</f>
        <v>63750</v>
      </c>
    </row>
    <row r="37" spans="3:6" x14ac:dyDescent="0.35">
      <c r="C37" s="47" t="s">
        <v>33</v>
      </c>
      <c r="D37" s="48">
        <f>D36*13%</f>
        <v>8287.5</v>
      </c>
      <c r="E37">
        <f>+D37-I4-I5-I6</f>
        <v>8287.5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55462.5</v>
      </c>
      <c r="F39" s="99">
        <f>+N32-D39</f>
        <v>637.5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55462.5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27-03-2026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1470550</v>
      </c>
      <c r="C4" s="158">
        <f>HojaNICA!M32</f>
        <v>176500</v>
      </c>
      <c r="D4" s="151">
        <f>HojaNICA!E37</f>
        <v>191149</v>
      </c>
      <c r="E4" s="151">
        <f>HojaNICA!P32</f>
        <v>1168750</v>
      </c>
      <c r="F4" s="151">
        <f>HojaNICA!O32</f>
        <v>1194250</v>
      </c>
      <c r="G4" s="152">
        <f t="shared" ref="G4:G10" si="0">+D4-C4+F4-E4</f>
        <v>40149</v>
      </c>
      <c r="H4" s="21"/>
      <c r="I4" s="183"/>
    </row>
    <row r="5" spans="1:9" x14ac:dyDescent="0.35">
      <c r="A5" s="28" t="s">
        <v>19</v>
      </c>
      <c r="B5" s="157">
        <f>HojaTICA!$E$36</f>
        <v>1583700</v>
      </c>
      <c r="C5" s="158">
        <f>HojaTICA!K32</f>
        <v>192250</v>
      </c>
      <c r="D5" s="151">
        <f>HojaTICA!E37</f>
        <v>205884.5</v>
      </c>
      <c r="E5" s="151">
        <f>HojaTICA!N32</f>
        <v>1989000</v>
      </c>
      <c r="F5" s="151">
        <f>HojaTICA!D38</f>
        <v>1989000</v>
      </c>
      <c r="G5" s="152">
        <f t="shared" si="0"/>
        <v>13634.5</v>
      </c>
      <c r="H5" s="21"/>
      <c r="I5" s="183"/>
    </row>
    <row r="6" spans="1:9" x14ac:dyDescent="0.35">
      <c r="A6" s="28" t="s">
        <v>125</v>
      </c>
      <c r="B6" s="157">
        <f>HojaREVENTADO!$E$37</f>
        <v>290150</v>
      </c>
      <c r="C6" s="158">
        <f>HojaREVENTADO!K33</f>
        <v>29015</v>
      </c>
      <c r="D6" s="151">
        <f>HojaREVENTADO!E38</f>
        <v>29015</v>
      </c>
      <c r="E6" s="151">
        <f>HojaREVENTADO!O33</f>
        <v>400000</v>
      </c>
      <c r="F6" s="151">
        <f>HojaREVENTADO!N33</f>
        <v>440000</v>
      </c>
      <c r="G6" s="152">
        <f t="shared" si="0"/>
        <v>40000</v>
      </c>
      <c r="H6" s="21"/>
      <c r="I6" s="183"/>
    </row>
    <row r="7" spans="1:9" x14ac:dyDescent="0.35">
      <c r="A7" s="28" t="s">
        <v>96</v>
      </c>
      <c r="B7" s="157">
        <f>HojaPrimera!$E$36</f>
        <v>401550</v>
      </c>
      <c r="C7" s="158">
        <f>HojaPrimera!I32</f>
        <v>48200</v>
      </c>
      <c r="D7" s="151">
        <f>HojaPrimera!E37</f>
        <v>52213.5</v>
      </c>
      <c r="E7" s="151">
        <f>HojaPrimera!L32</f>
        <v>1037500</v>
      </c>
      <c r="F7" s="151">
        <f>HojaPrimera!K32</f>
        <v>1049750</v>
      </c>
      <c r="G7" s="152">
        <f t="shared" si="0"/>
        <v>16263.5</v>
      </c>
      <c r="H7" s="21"/>
      <c r="I7" s="21"/>
    </row>
    <row r="8" spans="1:9" x14ac:dyDescent="0.35">
      <c r="A8" s="28" t="s">
        <v>104</v>
      </c>
      <c r="B8" s="157">
        <f>HojaHonduras!$E$36</f>
        <v>151900</v>
      </c>
      <c r="C8" s="158">
        <f>HojaHonduras!K32</f>
        <v>18200</v>
      </c>
      <c r="D8" s="151">
        <f>HojaHonduras!E37</f>
        <v>19747</v>
      </c>
      <c r="E8" s="151">
        <f>HojaHonduras!N32</f>
        <v>97750</v>
      </c>
      <c r="F8" s="151">
        <f>HojaHonduras!M32</f>
        <v>97750</v>
      </c>
      <c r="G8" s="152">
        <f t="shared" si="0"/>
        <v>1547</v>
      </c>
      <c r="H8" s="21"/>
      <c r="I8" s="21"/>
    </row>
    <row r="9" spans="1:9" x14ac:dyDescent="0.35">
      <c r="A9" s="28" t="s">
        <v>20</v>
      </c>
      <c r="B9" s="157">
        <f>HojaDominicana!$E$36</f>
        <v>63750</v>
      </c>
      <c r="C9" s="158">
        <f>HojaDominicana!I32</f>
        <v>7650</v>
      </c>
      <c r="D9" s="151">
        <f>HojaDominicana!E37</f>
        <v>8287.5</v>
      </c>
      <c r="E9" s="151">
        <f>HojaDominicana!L32</f>
        <v>0</v>
      </c>
      <c r="F9" s="151">
        <f>HojaDominicana!K32</f>
        <v>0</v>
      </c>
      <c r="G9" s="152">
        <f t="shared" si="0"/>
        <v>637.5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3961600</v>
      </c>
      <c r="C11" s="176">
        <f>SUM(C4:C10)</f>
        <v>471815</v>
      </c>
      <c r="D11" s="176">
        <f t="shared" ref="D11:F11" si="1">SUM(D4:D10)</f>
        <v>506296.5</v>
      </c>
      <c r="E11" s="176">
        <f t="shared" si="1"/>
        <v>4693000</v>
      </c>
      <c r="F11" s="176">
        <f t="shared" si="1"/>
        <v>4770750</v>
      </c>
      <c r="G11" s="177">
        <f>SUM(G4:G10)</f>
        <v>112231.5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77231.5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249500</v>
      </c>
      <c r="E16" s="158">
        <f>+Vendedor1!D21</f>
        <v>32435</v>
      </c>
      <c r="F16" s="159">
        <f>IF(D16&lt;&gt;0,15000,0)</f>
        <v>15000</v>
      </c>
      <c r="G16" s="152">
        <f>+E16-F16</f>
        <v>17435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211600</v>
      </c>
      <c r="E17" s="158">
        <f>+Vendedor2!D21</f>
        <v>27508</v>
      </c>
      <c r="F17" s="159">
        <f>IF(D17&lt;&gt;0,15000,0)</f>
        <v>15000</v>
      </c>
      <c r="G17" s="152">
        <f>+E17-F17</f>
        <v>12508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461100</v>
      </c>
      <c r="E19" s="160">
        <f>SUM(E16:E18)</f>
        <v>59943</v>
      </c>
      <c r="F19" s="161">
        <f>SUM(F16:F18)</f>
        <v>30000</v>
      </c>
      <c r="G19" s="162">
        <f>SUM(G16:G18)</f>
        <v>29943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2150</v>
      </c>
      <c r="E22" s="158">
        <f>-Vendedor24!D27</f>
        <v>258</v>
      </c>
      <c r="F22" s="159">
        <f>-Vendedor24!F27</f>
        <v>182750</v>
      </c>
      <c r="G22" s="152">
        <f>+D22-E22-F22</f>
        <v>-180858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-73683.5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1" sqref="K11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27-03-2026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1562300</v>
      </c>
      <c r="C5" s="151">
        <f>HojaNICA!D37</f>
        <v>203099</v>
      </c>
      <c r="D5" s="151">
        <f>HojaNICA!D38</f>
        <v>1194250</v>
      </c>
      <c r="E5" s="151"/>
      <c r="F5" s="152">
        <f>+B5-C5-D5+E5</f>
        <v>164951</v>
      </c>
      <c r="H5" s="251" t="s">
        <v>105</v>
      </c>
      <c r="I5" s="245">
        <f ca="1">TODAY()</f>
        <v>46108</v>
      </c>
      <c r="O5" s="120"/>
    </row>
    <row r="6" spans="1:15" ht="15" thickBot="1" x14ac:dyDescent="0.4">
      <c r="A6" s="47" t="s">
        <v>36</v>
      </c>
      <c r="B6" s="151">
        <f>HojaTICA!D36</f>
        <v>1935650</v>
      </c>
      <c r="C6" s="151">
        <f>HojaTICA!D37</f>
        <v>251634.5</v>
      </c>
      <c r="D6" s="151">
        <f>HojaTICA!D38</f>
        <v>1989000</v>
      </c>
      <c r="E6" s="151"/>
      <c r="F6" s="152">
        <f t="shared" ref="F6:F11" si="0">+B6-C6-D6+E6</f>
        <v>-304984.5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290150</v>
      </c>
      <c r="C7" s="151">
        <f>HojaREVENTADO!D38</f>
        <v>29015</v>
      </c>
      <c r="D7" s="151">
        <f>HojaREVENTADO!D39</f>
        <v>440000</v>
      </c>
      <c r="E7" s="151"/>
      <c r="F7" s="152">
        <f t="shared" si="0"/>
        <v>-178865</v>
      </c>
    </row>
    <row r="8" spans="1:15" x14ac:dyDescent="0.35">
      <c r="A8" s="47" t="s">
        <v>96</v>
      </c>
      <c r="B8" s="151">
        <f>HojaPrimera!$D36</f>
        <v>418950</v>
      </c>
      <c r="C8" s="151">
        <f>HojaPrimera!$D37</f>
        <v>54463.5</v>
      </c>
      <c r="D8" s="151">
        <f>HojaPrimera!$D38</f>
        <v>1049750</v>
      </c>
      <c r="E8" s="151"/>
      <c r="F8" s="152">
        <f t="shared" si="0"/>
        <v>-685263.5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151900</v>
      </c>
      <c r="C9" s="151">
        <f>HojaHonduras!$D37</f>
        <v>19747</v>
      </c>
      <c r="D9" s="151">
        <f>HojaHonduras!$D38</f>
        <v>97750</v>
      </c>
      <c r="E9" s="151"/>
      <c r="F9" s="152">
        <f t="shared" si="0"/>
        <v>34403</v>
      </c>
      <c r="H9" s="252">
        <f>+K12-K10-H6</f>
        <v>-914296.5</v>
      </c>
    </row>
    <row r="10" spans="1:15" ht="15" thickBot="1" x14ac:dyDescent="0.4">
      <c r="A10" s="47" t="s">
        <v>20</v>
      </c>
      <c r="B10" s="151">
        <f>HojaDominicana!$D36</f>
        <v>63750</v>
      </c>
      <c r="C10" s="151">
        <f>HojaDominicana!$D37</f>
        <v>8287.5</v>
      </c>
      <c r="D10" s="151">
        <f>HojaDominicana!$D38</f>
        <v>0</v>
      </c>
      <c r="E10" s="151"/>
      <c r="F10" s="152">
        <f t="shared" si="0"/>
        <v>55462.5</v>
      </c>
      <c r="H10" s="155"/>
      <c r="J10" t="s">
        <v>148</v>
      </c>
      <c r="K10" s="254">
        <v>4707348.9400000004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3793052.4400000004</v>
      </c>
    </row>
    <row r="12" spans="1:15" ht="16" thickBot="1" x14ac:dyDescent="0.4">
      <c r="A12" s="145" t="s">
        <v>5</v>
      </c>
      <c r="B12" s="153">
        <f>SUM(B5:B11)</f>
        <v>4422700</v>
      </c>
      <c r="C12" s="153">
        <f>SUM(C5:C11)</f>
        <v>566246.5</v>
      </c>
      <c r="D12" s="153">
        <f>SUM(D5:D11)</f>
        <v>4770750</v>
      </c>
      <c r="E12" s="153"/>
      <c r="F12" s="257">
        <f>SUM(F5:F11)</f>
        <v>-914296.5</v>
      </c>
      <c r="H12" s="253">
        <f>K11</f>
        <v>3793052.4400000004</v>
      </c>
      <c r="J12" t="s">
        <v>140</v>
      </c>
      <c r="K12" s="256">
        <f>-1586556.93+2994940.99+343869.8+2040798.58</f>
        <v>3793052.4400000004</v>
      </c>
    </row>
    <row r="13" spans="1:15" x14ac:dyDescent="0.35">
      <c r="M13" s="155"/>
    </row>
    <row r="14" spans="1:15" x14ac:dyDescent="0.35">
      <c r="K14">
        <f>-1586556.93+2994940.99+343869.8+2516133.08</f>
        <v>4268386.9400000004</v>
      </c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168400</v>
      </c>
      <c r="K4" s="233">
        <f t="shared" ref="K4" si="0">D7+D11+D15</f>
        <v>21892</v>
      </c>
      <c r="L4" s="222">
        <f>F7+F11+F15</f>
        <v>8500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IF(DigitaNICA!C4&lt;&gt;"",DigitaNICA!C4,"")</f>
        <v>33800</v>
      </c>
      <c r="D5" s="42">
        <f>IF(C5="",0,C5*J$10)</f>
        <v>4394</v>
      </c>
      <c r="E5" s="29">
        <f>IF(DigitaNICA!D4&lt;&gt;"",DigitaNICA!D4,"")</f>
        <v>450</v>
      </c>
      <c r="F5" s="42">
        <f>IF(E5="",0,E5*PREMIOS!E5)</f>
        <v>36000</v>
      </c>
      <c r="G5" s="30">
        <f t="shared" ref="G5:G12" si="1">IF(OR(C5="",E5=""),0,C5-D5-F5)</f>
        <v>-6594</v>
      </c>
      <c r="I5" s="243" t="s">
        <v>37</v>
      </c>
      <c r="J5" s="223">
        <f>SUM(IF(C5="",0,C5),IF(C9="",0,C9),IF(C13="",0,C13),IF(C17="",0,C17))</f>
        <v>63700</v>
      </c>
      <c r="K5" s="227">
        <f t="shared" ref="K5" si="2">D5+D9+D13+D17</f>
        <v>8281</v>
      </c>
      <c r="L5" s="224">
        <f>F5+F9+F13+F17</f>
        <v>60000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17400</v>
      </c>
      <c r="K6" s="230">
        <f>D19+D20</f>
        <v>2262</v>
      </c>
      <c r="L6" s="231">
        <f>F19+F20</f>
        <v>76000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IF(DigitaTICA!C4&lt;&gt;"",DigitaTICA!C4,"")</f>
        <v>41900</v>
      </c>
      <c r="D7" s="42">
        <f>IF(C7="",0,C7*J$9)</f>
        <v>5447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36453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93</v>
      </c>
      <c r="C9" s="29">
        <f>IF(DigitaNICA!E4&lt;&gt;"",DigitaNICA!E4,"")</f>
        <v>12700</v>
      </c>
      <c r="D9" s="42">
        <f>IF(C9="",0,C9*J$10)</f>
        <v>1651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11049</v>
      </c>
      <c r="I9" s="77" t="s">
        <v>36</v>
      </c>
      <c r="J9" s="78">
        <v>0.13</v>
      </c>
      <c r="K9" s="79">
        <f>MROUND(D7+D11+D15,50)</f>
        <v>21900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8300</v>
      </c>
    </row>
    <row r="11" spans="1:12" x14ac:dyDescent="0.35">
      <c r="A11" s="28" t="s">
        <v>59</v>
      </c>
      <c r="B11" s="133">
        <f>IF(DigitaTICA!E2&lt;&gt;"",DigitaTICA!E2,"")</f>
        <v>25</v>
      </c>
      <c r="C11" s="29">
        <f>IF(DigitaTICA!E4&lt;&gt;"",DigitaTICA!E4,"")</f>
        <v>49050</v>
      </c>
      <c r="D11" s="42">
        <f>IF(C11="",0,C11*J$9)</f>
        <v>6376.5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42673.5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2250</v>
      </c>
    </row>
    <row r="13" spans="1:12" x14ac:dyDescent="0.35">
      <c r="A13" s="28" t="s">
        <v>50</v>
      </c>
      <c r="B13" s="133">
        <f>IF(DigitaNICA!G2&lt;&gt;"",DigitaNICA!G2,"")</f>
        <v>12</v>
      </c>
      <c r="C13" s="29">
        <f>IF(DigitaNICA!G4&lt;&gt;"",DigitaNICA!G4,"")</f>
        <v>12900</v>
      </c>
      <c r="D13" s="42">
        <f>IF(C13="",0,C13*J$10)</f>
        <v>1677</v>
      </c>
      <c r="E13" s="29">
        <f>IF(DigitaNICA!H4&lt;&gt;"",DigitaNICA!H4,"")</f>
        <v>300</v>
      </c>
      <c r="F13" s="42">
        <f>IF(E13="",0,E13*PREMIOS!E13)</f>
        <v>24000</v>
      </c>
      <c r="G13" s="30">
        <f>IF(OR(C13="",E13=""),0,C13-D13-F13)</f>
        <v>-12777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IF(DigitaTICA!G4&lt;&gt;"",DigitaTICA!G4,"")</f>
        <v>77450</v>
      </c>
      <c r="D15" s="42">
        <f>IF(C15="",0,C15*J$9)</f>
        <v>10068.5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58881.5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>
        <f>IF(DigitaNICA!I4&lt;&gt;"",DigitaNICA!I4,"")</f>
        <v>4300</v>
      </c>
      <c r="D17" s="42">
        <f>IF(C17="",0,C17*J$10)</f>
        <v>559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3741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IF(DigitaPRIMERA!C4&lt;&gt;"",DigitaPRIMERA!C4,"")</f>
        <v>17200</v>
      </c>
      <c r="D19" s="42">
        <f>IF(C19="",0,C19*J$12)</f>
        <v>2236</v>
      </c>
      <c r="E19" s="29">
        <f>IF(DigitaPRIMERA!D4&lt;&gt;"",DigitaPRIMERA!D4,"")</f>
        <v>950</v>
      </c>
      <c r="F19" s="42">
        <f>IF(E19="",0,E19*PREMIOS!E19)</f>
        <v>76000</v>
      </c>
      <c r="G19" s="30">
        <f t="shared" ref="G19" si="4">IF(OR(C19="",E19=""),0,C19-D19-F19)</f>
        <v>-61036</v>
      </c>
    </row>
    <row r="20" spans="1:7" x14ac:dyDescent="0.35">
      <c r="A20" s="28" t="s">
        <v>98</v>
      </c>
      <c r="B20" s="133">
        <f>IF(DigitaPRIMERA!E2&lt;&gt;"",DigitaPRIMERA!E2,"")</f>
        <v>37</v>
      </c>
      <c r="C20" s="29">
        <f>IF(DigitaPRIMERA!E4&lt;&gt;"",DigitaPRIMERA!E4,"")</f>
        <v>200</v>
      </c>
      <c r="D20" s="42">
        <f>IF(C20="",0,C20*J$12)</f>
        <v>26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</v>
      </c>
    </row>
    <row r="21" spans="1:7" ht="15" thickBot="1" x14ac:dyDescent="0.4">
      <c r="A21" s="122" t="s">
        <v>5</v>
      </c>
      <c r="B21" s="129"/>
      <c r="C21" s="123">
        <f>SUM(C5:C20)</f>
        <v>249500</v>
      </c>
      <c r="D21" s="123">
        <f t="shared" ref="D21:G21" si="6">SUM(D5:D20)</f>
        <v>32435</v>
      </c>
      <c r="E21" s="123">
        <f t="shared" si="6"/>
        <v>1800</v>
      </c>
      <c r="F21" s="123">
        <f t="shared" si="6"/>
        <v>144500</v>
      </c>
      <c r="G21" s="124">
        <f t="shared" si="6"/>
        <v>72565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183550</v>
      </c>
      <c r="K4" s="233">
        <f t="shared" ref="K4" si="0">D7+D11+D15</f>
        <v>23861.5</v>
      </c>
      <c r="L4" s="222">
        <f>F7+F11+F15</f>
        <v>127500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IF(DigitaNICA!C5&lt;&gt;"",DigitaNICA!C5,"")</f>
        <v>16000</v>
      </c>
      <c r="D5" s="42">
        <f>IF(C5="",0,C5*J$10)</f>
        <v>2080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-26080</v>
      </c>
      <c r="I5" s="243" t="s">
        <v>37</v>
      </c>
      <c r="J5" s="223">
        <f>SUM(IF(C5="",0,C5),IF(C9="",0,C9),IF(C13="",0,C13),IF(C17="",0,C17))</f>
        <v>28050</v>
      </c>
      <c r="K5" s="227">
        <f t="shared" ref="K5" si="2">D5+D9+D13+D17</f>
        <v>3646.5</v>
      </c>
      <c r="L5" s="224">
        <f>F5+F9+F13+F17</f>
        <v>64000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IF(DigitaTICA!C5&lt;&gt;"",DigitaTICA!C5,"")</f>
        <v>53550</v>
      </c>
      <c r="D7" s="42">
        <f>IF(C7="",0,C7*J$9)</f>
        <v>6961.5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25338.5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93</v>
      </c>
      <c r="C9" s="29">
        <f>IF(DigitaNICA!E5&lt;&gt;"",DigitaNICA!E5,"")</f>
        <v>3000</v>
      </c>
      <c r="D9" s="42">
        <f>IF(C9="",0,C9*J$10)</f>
        <v>390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2610</v>
      </c>
      <c r="I9" s="60" t="s">
        <v>36</v>
      </c>
      <c r="J9" s="61">
        <v>0.13</v>
      </c>
      <c r="K9" s="62">
        <f>MROUND(D7+D11+D15,50)</f>
        <v>23850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3650</v>
      </c>
    </row>
    <row r="11" spans="1:12" x14ac:dyDescent="0.35">
      <c r="A11" s="28" t="s">
        <v>59</v>
      </c>
      <c r="B11" s="133">
        <f>IF(DigitaTICA!E2&lt;&gt;"",DigitaTICA!E2,"")</f>
        <v>25</v>
      </c>
      <c r="C11" s="29">
        <f>IF(DigitaTICA!E5&lt;&gt;"",DigitaTICA!E5,"")</f>
        <v>39500</v>
      </c>
      <c r="D11" s="42">
        <f>IF(C11="",0,C11*J$9)</f>
        <v>5135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13115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>
        <f>IF(DigitaNICA!G5&lt;&gt;"",DigitaNICA!G5,"")</f>
        <v>8050</v>
      </c>
      <c r="D13" s="42">
        <f>IF(C13="",0,C13*J$10)</f>
        <v>1046.5</v>
      </c>
      <c r="E13" s="29">
        <f>IF(DigitaNICA!H5&lt;&gt;"",DigitaNICA!H5,"")</f>
        <v>300</v>
      </c>
      <c r="F13" s="42">
        <f>IF(E13="",0,E13*PREMIOS!E13)</f>
        <v>24000</v>
      </c>
      <c r="G13" s="30">
        <f>IF(OR(C13="",E13=""),0,C13-D13-F13)</f>
        <v>-16996.5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IF(DigitaTICA!G5&lt;&gt;"",DigitaTICA!G5,"")</f>
        <v>90500</v>
      </c>
      <c r="D15" s="42">
        <f>IF(C15="",0,C15*J$9)</f>
        <v>11765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-6265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211600</v>
      </c>
      <c r="D21" s="68">
        <f t="shared" ref="D21:G21" si="4">SUM(D5:D20)</f>
        <v>27508</v>
      </c>
      <c r="E21" s="68">
        <f t="shared" si="4"/>
        <v>2300</v>
      </c>
      <c r="F21" s="68">
        <f t="shared" si="4"/>
        <v>191500</v>
      </c>
      <c r="G21" s="89">
        <f t="shared" si="4"/>
        <v>-7408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25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215350</v>
      </c>
      <c r="K4" s="233">
        <f t="shared" ref="K4" si="0">D7+D11+D15</f>
        <v>25842</v>
      </c>
      <c r="L4" s="222">
        <f>F7+F11+F15</f>
        <v>335750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IF(DigitaNICA!C8&lt;&gt;"",DigitaNICA!C8,"")</f>
        <v>65650</v>
      </c>
      <c r="D5" s="42">
        <f>IF(C5="",0,C5*J$12)</f>
        <v>7878</v>
      </c>
      <c r="E5" s="29">
        <f>IF(DigitaNICA!D8&lt;&gt;"",DigitaNICA!D8,"")</f>
        <v>900</v>
      </c>
      <c r="F5" s="42">
        <f>IF(E5="",0,E5*PREMIOS!E5)</f>
        <v>72000</v>
      </c>
      <c r="G5" s="30">
        <f t="shared" ref="G5:G12" si="1">IF(OR(C5="",E5=""),0,C5-D5-F5)</f>
        <v>-14228</v>
      </c>
      <c r="I5" s="243" t="s">
        <v>37</v>
      </c>
      <c r="J5" s="223">
        <f>SUM(IF(C5="",0,C5),IF(C9="",0,C9),IF(C13="",0,C13),IF(C17="",0,C17))</f>
        <v>178250</v>
      </c>
      <c r="K5" s="227">
        <f t="shared" ref="K5" si="2">D5+D9+D13+D17</f>
        <v>21390</v>
      </c>
      <c r="L5" s="224">
        <f>F5+F9+F13+F17</f>
        <v>104000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IF(DigitaTICA!C8&lt;&gt;"",DigitaTICA!C8,"")</f>
        <v>78600</v>
      </c>
      <c r="D7" s="42">
        <f>IF(C7="",0,C7*J$11)</f>
        <v>9432</v>
      </c>
      <c r="E7" s="29">
        <f>IF(DigitaTICA!D8&lt;&gt;"",DigitaTICA!D8,"")</f>
        <v>1100</v>
      </c>
      <c r="F7" s="42">
        <f>IF(E7="",0,E7*PREMIOS!F7)</f>
        <v>93500</v>
      </c>
      <c r="G7" s="30">
        <f t="shared" si="1"/>
        <v>-24332</v>
      </c>
      <c r="I7" s="244" t="s">
        <v>96</v>
      </c>
      <c r="J7" s="226">
        <f>SUM(IF(C19="",0,C19),IF(C20="",0,C20))</f>
        <v>66250</v>
      </c>
      <c r="K7" s="230">
        <f>+D19+D20</f>
        <v>7950</v>
      </c>
      <c r="L7" s="231">
        <f>+F19+F20</f>
        <v>120000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93</v>
      </c>
      <c r="C9" s="29">
        <f>IF(DigitaNICA!E8&lt;&gt;"",DigitaNICA!E8,"")</f>
        <v>55400</v>
      </c>
      <c r="D9" s="42">
        <f>IF(C9="",0,C9*J$12)</f>
        <v>6648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16752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25</v>
      </c>
      <c r="C11" s="29">
        <f>IF(DigitaTICA!E8&lt;&gt;"",DigitaTICA!E8,"")</f>
        <v>61700</v>
      </c>
      <c r="D11" s="42">
        <f>IF(C11="",0,C11*J$11)</f>
        <v>7404</v>
      </c>
      <c r="E11" s="29">
        <f>IF(DigitaTICA!F8&lt;&gt;"",DigitaTICA!F8,"")</f>
        <v>1850</v>
      </c>
      <c r="F11" s="42">
        <f>IF(E11="",0,E11*PREMIOS!F11)</f>
        <v>157250</v>
      </c>
      <c r="G11" s="30">
        <f t="shared" si="1"/>
        <v>-102954</v>
      </c>
      <c r="I11" s="60" t="s">
        <v>36</v>
      </c>
      <c r="J11" s="61">
        <v>0.12</v>
      </c>
      <c r="K11" s="62">
        <f>MROUND(D7+D11+D15,50)</f>
        <v>25850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21400</v>
      </c>
    </row>
    <row r="13" spans="1:12" x14ac:dyDescent="0.35">
      <c r="A13" s="28" t="s">
        <v>50</v>
      </c>
      <c r="B13" s="133">
        <f>IF(DigitaNICA!G2&lt;&gt;"",DigitaNICA!G2,"")</f>
        <v>12</v>
      </c>
      <c r="C13" s="29">
        <f>IF(DigitaNICA!G8&lt;&gt;"",DigitaNICA!G8,"")</f>
        <v>7700</v>
      </c>
      <c r="D13" s="42">
        <f>IF(C13="",0,C13*J$12)</f>
        <v>924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6776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7950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IF(DigitaTICA!G8&lt;&gt;"",DigitaTICA!G8,"")</f>
        <v>75050</v>
      </c>
      <c r="D15" s="42">
        <f>IF(C15="",0,C15*J$11)</f>
        <v>9006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-18956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>
        <f>IF(DigitaNICA!I8&lt;&gt;"",DigitaNICA!I8,"")</f>
        <v>49500</v>
      </c>
      <c r="D17" s="42">
        <f>IF(C17="",0,C17*J$12)</f>
        <v>5940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43560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IF(DigitaPRIMERA!C8&lt;&gt;"",DigitaPRIMERA!C8,"")</f>
        <v>31850</v>
      </c>
      <c r="D19" s="42">
        <f>IF(C19="",0,C19*J$14)</f>
        <v>3822</v>
      </c>
      <c r="E19" s="29">
        <f>IF(DigitaPRIMERA!D8&lt;&gt;"",DigitaPRIMERA!D8,"")</f>
        <v>1500</v>
      </c>
      <c r="F19" s="42">
        <f>IF(E19="",0,E19*PREMIOS!E19)</f>
        <v>120000</v>
      </c>
      <c r="G19" s="30">
        <f t="shared" si="4"/>
        <v>-91972</v>
      </c>
    </row>
    <row r="20" spans="1:7" x14ac:dyDescent="0.35">
      <c r="A20" s="28" t="s">
        <v>98</v>
      </c>
      <c r="B20" s="133">
        <f>IF(DigitaPRIMERA!E2&lt;&gt;"",DigitaPRIMERA!E2,"")</f>
        <v>37</v>
      </c>
      <c r="C20" s="29">
        <f>IF(DigitaPRIMERA!E8&lt;&gt;"",DigitaPRIMERA!E8,"")</f>
        <v>34400</v>
      </c>
      <c r="D20" s="42">
        <f>IF(C20="",0,C20*J$14)</f>
        <v>4128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30272</v>
      </c>
    </row>
    <row r="21" spans="1:7" ht="15" thickBot="1" x14ac:dyDescent="0.4">
      <c r="A21" s="122" t="s">
        <v>5</v>
      </c>
      <c r="B21" s="129"/>
      <c r="C21" s="123">
        <f>SUM(C5:C20)</f>
        <v>459850</v>
      </c>
      <c r="D21" s="123">
        <f t="shared" ref="D21:G21" si="5">SUM(D5:D20)</f>
        <v>55182</v>
      </c>
      <c r="E21" s="123">
        <f t="shared" si="5"/>
        <v>6750</v>
      </c>
      <c r="F21" s="123">
        <f t="shared" si="5"/>
        <v>559750</v>
      </c>
      <c r="G21" s="124">
        <f t="shared" si="5"/>
        <v>-155082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395300</v>
      </c>
      <c r="K4" s="233">
        <f t="shared" ref="K4" si="0">D7+D11+D15</f>
        <v>47436</v>
      </c>
      <c r="L4" s="222">
        <f>F7+F11+F15</f>
        <v>607750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IF(DigitaNICA!C10&lt;&gt;"",DigitaNICA!C10,"")</f>
        <v>73150</v>
      </c>
      <c r="D5" s="42">
        <f>IF(C5="",0,C5*J$15)</f>
        <v>8778</v>
      </c>
      <c r="E5" s="29">
        <f>IF(DigitaNICA!D10&lt;&gt;"",DigitaNICA!D10,"")</f>
        <v>2650</v>
      </c>
      <c r="F5" s="42">
        <f>IF(E5="",0,E5*PREMIOS!F5)</f>
        <v>225250</v>
      </c>
      <c r="G5" s="30">
        <f t="shared" ref="G5:G12" si="1">IF(OR(C5="",E5=""),0,C5-D5-F5)</f>
        <v>-160878</v>
      </c>
      <c r="I5" s="219" t="s">
        <v>37</v>
      </c>
      <c r="J5" s="223">
        <f>SUM(IF(C5="",0,C5),IF(C9="",0,C9),IF(C13="",0,C13),IF(C17="",0,C17))</f>
        <v>391200</v>
      </c>
      <c r="K5" s="227">
        <f t="shared" ref="K5" si="2">D5+D9+D13+D17</f>
        <v>46944</v>
      </c>
      <c r="L5" s="224">
        <f>F5+F9+F13+F17</f>
        <v>280500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77550</v>
      </c>
      <c r="K6" s="228">
        <f t="shared" ref="K6" si="3">+D8+D12+D16</f>
        <v>7755</v>
      </c>
      <c r="L6" s="229">
        <f>F8+F12+F16</f>
        <v>200000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IF(DigitaTICA!C10&lt;&gt;"",DigitaTICA!C10,"")</f>
        <v>127500</v>
      </c>
      <c r="D7" s="42">
        <f>IF(C7="",0,C7*J$14)</f>
        <v>15300</v>
      </c>
      <c r="E7" s="29">
        <f>IF(DigitaTICA!D10&lt;&gt;"",DigitaTICA!D10,"")</f>
        <v>2700</v>
      </c>
      <c r="F7" s="42">
        <f>IF(E7="",0,E7*PREMIOS!F7)</f>
        <v>229500</v>
      </c>
      <c r="G7" s="30">
        <f t="shared" si="1"/>
        <v>-117300</v>
      </c>
      <c r="I7" s="219" t="s">
        <v>96</v>
      </c>
      <c r="J7" s="225">
        <f>SUM(IF(C19="",0,C19),IF(C20="",0,C20))</f>
        <v>67100</v>
      </c>
      <c r="K7" s="228">
        <f>+D19+D20</f>
        <v>8052</v>
      </c>
      <c r="L7" s="229">
        <f>+F19+F20</f>
        <v>208250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22850</v>
      </c>
      <c r="D8" s="42">
        <f>IF(C8="",0,C8*J$16)</f>
        <v>2285</v>
      </c>
      <c r="E8" s="29">
        <f>IF(DigitaREVENTADO!D10&lt;&gt;"",DigitaREVENTADO!D10,"")</f>
        <v>1000</v>
      </c>
      <c r="F8" s="42">
        <f>IF(E8="",0,E8*PREMIOS!F8)</f>
        <v>200000</v>
      </c>
      <c r="G8" s="30">
        <f t="shared" si="1"/>
        <v>-179435</v>
      </c>
      <c r="I8" s="219" t="s">
        <v>104</v>
      </c>
      <c r="J8" s="225">
        <f>SUM(IF(C21="",0,C21),IF(C22="",0,C22),IF(C23="",0,C23))</f>
        <v>14300</v>
      </c>
      <c r="K8" s="228">
        <f t="shared" ref="K8" si="4">D21+D22+D23</f>
        <v>1716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93</v>
      </c>
      <c r="C9" s="29">
        <f>IF(DigitaNICA!E10&lt;&gt;"",DigitaNICA!E10,"")</f>
        <v>129500</v>
      </c>
      <c r="D9" s="42">
        <f>IF(C9="",0,C9*J$15)</f>
        <v>15540</v>
      </c>
      <c r="E9" s="29">
        <f>IF(DigitaNICA!F10&lt;&gt;"",DigitaNICA!F10,"")</f>
        <v>250</v>
      </c>
      <c r="F9" s="42">
        <f>IF(E9="",0,E9*PREMIOS!F9)</f>
        <v>21250</v>
      </c>
      <c r="G9" s="30">
        <f t="shared" si="1"/>
        <v>92710</v>
      </c>
      <c r="I9" s="219" t="s">
        <v>20</v>
      </c>
      <c r="J9" s="225">
        <f>SUM(IF(C24="",0,C24),IF(C25="",0,C25))</f>
        <v>63750</v>
      </c>
      <c r="K9" s="228">
        <f t="shared" ref="K9" si="5">+D24+D25</f>
        <v>7650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25</v>
      </c>
      <c r="C11" s="29">
        <f>IF(DigitaTICA!E10&lt;&gt;"",DigitaTICA!E10,"")</f>
        <v>107050</v>
      </c>
      <c r="D11" s="42">
        <f>IF(C11="",0,C11*J$14)</f>
        <v>12846</v>
      </c>
      <c r="E11" s="29">
        <f>IF(DigitaTICA!F10&lt;&gt;"",DigitaTICA!F10,"")</f>
        <v>4300</v>
      </c>
      <c r="F11" s="42">
        <f>IF(E11="",0,E11*PREMIOS!F11)</f>
        <v>365500</v>
      </c>
      <c r="G11" s="30">
        <f t="shared" si="1"/>
        <v>-271296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23400</v>
      </c>
      <c r="D12" s="42">
        <f>IF(C12="",0,C12*J$16)</f>
        <v>2340</v>
      </c>
      <c r="E12" s="29">
        <f>IF(DigitaREVENTADO!F10&lt;&gt;"",DigitaREVENTADO!F10,"")</f>
        <v>500</v>
      </c>
      <c r="F12" s="42">
        <f>IF(E12="",0,E12*PREMIOS!F12)</f>
        <v>0</v>
      </c>
      <c r="G12" s="30">
        <f t="shared" si="1"/>
        <v>21060</v>
      </c>
    </row>
    <row r="13" spans="1:12" ht="15" thickBot="1" x14ac:dyDescent="0.4">
      <c r="A13" s="28" t="s">
        <v>50</v>
      </c>
      <c r="B13" s="133">
        <f>IF(DigitaNICA!G2&lt;&gt;"",DigitaNICA!G2,"")</f>
        <v>12</v>
      </c>
      <c r="C13" s="29">
        <f>IF(DigitaNICA!G10&lt;&gt;"",DigitaNICA!G10,"")</f>
        <v>59400</v>
      </c>
      <c r="D13" s="42">
        <f>IF(C13="",0,C13*J$15)</f>
        <v>7128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26772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47450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IF(DigitaTICA!G10&lt;&gt;"",DigitaTICA!G10,"")</f>
        <v>160750</v>
      </c>
      <c r="D15" s="42">
        <f>IF(C15="",0,C15*J$14)</f>
        <v>19290</v>
      </c>
      <c r="E15" s="29">
        <f>IF(DigitaTICA!H10&lt;&gt;"",DigitaTICA!H10,"")</f>
        <v>150</v>
      </c>
      <c r="F15" s="42">
        <f>IF(E15="",0,E15*PREMIOS!F15)</f>
        <v>12750</v>
      </c>
      <c r="G15" s="30">
        <f t="shared" si="6"/>
        <v>128710</v>
      </c>
      <c r="I15" s="63" t="s">
        <v>37</v>
      </c>
      <c r="J15" s="64">
        <v>0.12</v>
      </c>
      <c r="K15" s="30">
        <f>MROUND(D5+D9+D13+D17,50)</f>
        <v>46950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31300</v>
      </c>
      <c r="D16" s="42">
        <f>IF(C16="",0,C16*J$16)</f>
        <v>3130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28170</v>
      </c>
      <c r="I16" s="63" t="s">
        <v>38</v>
      </c>
      <c r="J16" s="64">
        <v>0.1</v>
      </c>
      <c r="K16" s="30">
        <f>MROUND(D6+D8+D10+D12+D14+D16+D18,50)</f>
        <v>7750</v>
      </c>
    </row>
    <row r="17" spans="1:11" x14ac:dyDescent="0.35">
      <c r="A17" s="28" t="s">
        <v>52</v>
      </c>
      <c r="B17" s="133">
        <f>IF(DigitaNICA!I2&lt;&gt;"",DigitaNICA!I2,"")</f>
        <v>29</v>
      </c>
      <c r="C17" s="29">
        <f>IF(DigitaNICA!I10&lt;&gt;"",DigitaNICA!I10,"")</f>
        <v>129150</v>
      </c>
      <c r="D17" s="42">
        <f>IF(C17="",0,C17*J$15)</f>
        <v>15498</v>
      </c>
      <c r="E17" s="29">
        <f>IF(DigitaNICA!J10&lt;&gt;"",DigitaNICA!J10,"")</f>
        <v>100</v>
      </c>
      <c r="F17" s="42">
        <f>IF(E17="",0,E17*PREMIOS!F17)</f>
        <v>8500</v>
      </c>
      <c r="G17" s="30">
        <f t="shared" si="6"/>
        <v>105152</v>
      </c>
      <c r="I17" s="63" t="s">
        <v>96</v>
      </c>
      <c r="J17" s="64">
        <v>0.12</v>
      </c>
      <c r="K17" s="30">
        <f>MROUND(D19+D20,50)</f>
        <v>8050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1700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IF(DigitaPRIMERA!$C$10&lt;&gt;"",DigitaPRIMERA!$C$10,"")</f>
        <v>35500</v>
      </c>
      <c r="D19" s="42">
        <f>IF(C19="",0,C19*J$17)</f>
        <v>4260</v>
      </c>
      <c r="E19" s="29">
        <f>IF(DigitaPRIMERA!$D$10&lt;&gt;"",DigitaPRIMERA!$D$10,"")</f>
        <v>1650</v>
      </c>
      <c r="F19" s="42">
        <f>IF(E19="",0,E19*PREMIOS!F19)</f>
        <v>140250</v>
      </c>
      <c r="G19" s="30">
        <f t="shared" ref="G19:G22" si="7">IF(OR(C19="",E19=""),0,C19-D19-F19)</f>
        <v>-109010</v>
      </c>
      <c r="I19" s="63" t="s">
        <v>20</v>
      </c>
      <c r="J19" s="64">
        <v>0.12</v>
      </c>
      <c r="K19" s="30">
        <f>MROUND(D24+D25,50)</f>
        <v>7650</v>
      </c>
    </row>
    <row r="20" spans="1:11" ht="15" thickBot="1" x14ac:dyDescent="0.4">
      <c r="A20" s="28" t="s">
        <v>98</v>
      </c>
      <c r="B20" s="133">
        <f>IF(DigitaPRIMERA!E2&lt;&gt;"",DigitaPRIMERA!E2,"")</f>
        <v>37</v>
      </c>
      <c r="C20" s="29">
        <f>IF(DigitaPRIMERA!$E$10&lt;&gt;"",DigitaPRIMERA!$E$10,"")</f>
        <v>31600</v>
      </c>
      <c r="D20" s="42">
        <f>IF(C20="",0,C20*J$17)</f>
        <v>3792</v>
      </c>
      <c r="E20" s="29">
        <f>IF(DigitaPRIMERA!$F$10&lt;&gt;"",DigitaPRIMERA!$F$10,"")</f>
        <v>800</v>
      </c>
      <c r="F20" s="42">
        <f>IF(E20="",0,E20*PREMIOS!F19)</f>
        <v>68000</v>
      </c>
      <c r="G20" s="30">
        <f t="shared" si="7"/>
        <v>-40192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46</v>
      </c>
      <c r="C21" s="29">
        <f>IF(DigitaHONDURAS!$C$10&lt;&gt;"",DigitaHONDURAS!$C$10,"")</f>
        <v>7300</v>
      </c>
      <c r="D21" s="42">
        <f>IF(C21="",0,C21*J$18)</f>
        <v>876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-36076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IF(DigitaHONDURAS!$E$10&lt;&gt;"",DigitaHONDURAS!$E$10,"")</f>
        <v>1800</v>
      </c>
      <c r="D22" s="42">
        <f>IF(C22="",0,C22*J$18)</f>
        <v>216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1584</v>
      </c>
    </row>
    <row r="23" spans="1:11" x14ac:dyDescent="0.35">
      <c r="A23" s="28" t="s">
        <v>101</v>
      </c>
      <c r="B23" s="133">
        <f>IF(DigitaHONDURAS!G2&lt;&gt;"",DigitaHONDURAS!G2,"")</f>
        <v>55</v>
      </c>
      <c r="C23" s="29">
        <f>IF(DigitaHONDURAS!$G$10&lt;&gt;"",DigitaHONDURAS!$G$10,"")</f>
        <v>5200</v>
      </c>
      <c r="D23" s="42">
        <f>IF(C23="",0,C23*J$18)</f>
        <v>624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4576</v>
      </c>
    </row>
    <row r="24" spans="1:11" x14ac:dyDescent="0.35">
      <c r="A24" s="28" t="s">
        <v>107</v>
      </c>
      <c r="B24" s="133">
        <f>IF(DigitaDOMINICANA!C2&lt;&gt;"",DigitaDOMINICANA!C2,"")</f>
        <v>84</v>
      </c>
      <c r="C24" s="29">
        <f>IF(DigitaDOMINICANA!$C$10&lt;&gt;"",DigitaDOMINICANA!$C$10,"")</f>
        <v>1000</v>
      </c>
      <c r="D24" s="42">
        <f>IF(C24="",0,C24*J$19)</f>
        <v>120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880</v>
      </c>
    </row>
    <row r="25" spans="1:11" x14ac:dyDescent="0.35">
      <c r="A25" s="28" t="s">
        <v>108</v>
      </c>
      <c r="B25" s="133">
        <f>IF(DigitaDOMINICANA!E2&lt;&gt;"",DigitaDOMINICANA!E2,"")</f>
        <v>81</v>
      </c>
      <c r="C25" s="29">
        <f>IF(DigitaDOMINICANA!$E$10&lt;&gt;"",DigitaDOMINICANA!$E$10,"")</f>
        <v>62750</v>
      </c>
      <c r="D25" s="42">
        <f>IF(C25="",0,C25*J$19)</f>
        <v>7530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55220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1009200</v>
      </c>
      <c r="D27" s="68">
        <f t="shared" ref="D27:F27" si="9">SUM(D5:D26)</f>
        <v>119553</v>
      </c>
      <c r="E27" s="68">
        <f t="shared" si="9"/>
        <v>14900</v>
      </c>
      <c r="F27" s="68">
        <f t="shared" si="9"/>
        <v>1339000</v>
      </c>
      <c r="G27" s="89">
        <f>SUM(G5:G26)</f>
        <v>-449353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6900</v>
      </c>
      <c r="K4" s="233">
        <f t="shared" ref="K4" si="0">D7+D11+D15</f>
        <v>828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2200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850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IF(DigitaTICA!G11&lt;&gt;"",DigitaTICA!G11,"")</f>
        <v>4400</v>
      </c>
      <c r="D15" s="42">
        <f>IF(C15="",0,C15*J$11)</f>
        <v>528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3872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37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6900</v>
      </c>
      <c r="D21" s="123">
        <f t="shared" ref="D21:G21" si="5">SUM(D5:D20)</f>
        <v>828</v>
      </c>
      <c r="E21" s="123">
        <f t="shared" si="5"/>
        <v>0</v>
      </c>
      <c r="F21" s="123">
        <f t="shared" si="5"/>
        <v>0</v>
      </c>
      <c r="G21" s="124">
        <f t="shared" si="5"/>
        <v>6072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42100</v>
      </c>
      <c r="K4" s="233">
        <f>D7+D11+D15</f>
        <v>5052</v>
      </c>
      <c r="L4" s="222">
        <f>F7+F11+F15</f>
        <v>29750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IF(DigitaNICA!C12&lt;&gt;"",DigitaNICA!C12,"")</f>
        <v>34900</v>
      </c>
      <c r="D5" s="42">
        <f>IF(C5="",0,C5*J$12)</f>
        <v>4188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30712</v>
      </c>
      <c r="I5" s="219" t="s">
        <v>37</v>
      </c>
      <c r="J5" s="223">
        <f>SUM(IF(C5="",0,C5),IF(C9="",0,C9),IF(C13="",0,C13),IF(C17="",0,C17))</f>
        <v>48000</v>
      </c>
      <c r="K5" s="227">
        <f t="shared" ref="K5" si="1">D5+D9+D13+D17</f>
        <v>5760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4800</v>
      </c>
      <c r="K6" s="228">
        <f t="shared" ref="K6" si="2">+D8+D12+D16</f>
        <v>480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IF(DigitaTICA!C12&lt;&gt;"",DigitaTICA!C12,"")</f>
        <v>26750</v>
      </c>
      <c r="D7" s="42">
        <f>IF(C7="",0,C7*J$11)</f>
        <v>3210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23540</v>
      </c>
      <c r="I7" s="219" t="s">
        <v>96</v>
      </c>
      <c r="J7" s="225">
        <f>SUM(IF(C19="",0,C19),IF(C20="",0,C20))</f>
        <v>36750</v>
      </c>
      <c r="K7" s="228">
        <f>+D19+D20</f>
        <v>4410</v>
      </c>
      <c r="L7" s="229">
        <f>+F19+F20</f>
        <v>106250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1400</v>
      </c>
      <c r="D8" s="42">
        <f>IF(C8="",0,C8*J$13)</f>
        <v>140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1260</v>
      </c>
      <c r="I8" s="220" t="s">
        <v>104</v>
      </c>
      <c r="J8" s="226">
        <f>SUM(IF(C21="",0,C21),IF(C22="",0,C22),IF(C23="",0,C23))</f>
        <v>2400</v>
      </c>
      <c r="K8" s="230">
        <f>+D21+D22+D23</f>
        <v>288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93</v>
      </c>
      <c r="C9" s="29">
        <f>IF(DigitaNICA!E12&lt;&gt;"",DigitaNICA!E12,"")</f>
        <v>13100</v>
      </c>
      <c r="D9" s="42">
        <f>IF(C9="",0,C9*J$12)</f>
        <v>1572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11528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25</v>
      </c>
      <c r="C11" s="29">
        <f>IF(DigitaTICA!E12&lt;&gt;"",DigitaTICA!E12,"")</f>
        <v>15350</v>
      </c>
      <c r="D11" s="42">
        <f>IF(C11="",0,C11*J$11)</f>
        <v>1842</v>
      </c>
      <c r="E11" s="29">
        <f>IF(DigitaTICA!F12&lt;&gt;"",DigitaTICA!F12,"")</f>
        <v>350</v>
      </c>
      <c r="F11" s="42">
        <f>IF(E11="",0,E11*PREMIOS!F11)</f>
        <v>29750</v>
      </c>
      <c r="G11" s="30">
        <f t="shared" si="0"/>
        <v>-16242</v>
      </c>
      <c r="I11" s="60" t="s">
        <v>36</v>
      </c>
      <c r="J11" s="61">
        <v>0.12</v>
      </c>
      <c r="K11" s="62">
        <f>MROUND(D7+D11+D15,50)</f>
        <v>5050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3400</v>
      </c>
      <c r="D12" s="42">
        <f>IF(C12="",0,C12*J$13)</f>
        <v>340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3060</v>
      </c>
      <c r="I12" s="63" t="s">
        <v>37</v>
      </c>
      <c r="J12" s="64">
        <v>0.12</v>
      </c>
      <c r="K12" s="30">
        <f>MROUND(D5+D9+D13+D17,50)</f>
        <v>5750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4400</v>
      </c>
    </row>
    <row r="15" spans="1:12" ht="15" thickBot="1" x14ac:dyDescent="0.4">
      <c r="A15" s="28" t="s">
        <v>61</v>
      </c>
      <c r="B15" s="133">
        <f>IF(DigitaTICA!G2&lt;&gt;"",DigitaTICA!G2,"")</f>
        <v>99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300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IF(DigitaPRIMERA!$C$12&lt;&gt;"",DigitaPRIMERA!$C$12,"")</f>
        <v>36750</v>
      </c>
      <c r="D19" s="42">
        <f>IF(C19="",0,C19*J$14)</f>
        <v>4410</v>
      </c>
      <c r="E19" s="29">
        <f>IF(DigitaPRIMERA!$D$12&lt;&gt;"",DigitaPRIMERA!$D$12,"")</f>
        <v>1250</v>
      </c>
      <c r="F19" s="42">
        <f>IF(E19="",0,E19*PREMIOS!F19)</f>
        <v>106250</v>
      </c>
      <c r="G19" s="30">
        <f t="shared" si="3"/>
        <v>-73910</v>
      </c>
    </row>
    <row r="20" spans="1:7" x14ac:dyDescent="0.35">
      <c r="A20" s="28" t="s">
        <v>98</v>
      </c>
      <c r="B20" s="133">
        <f>IF(DigitaPRIMERA!E2&lt;&gt;"",DigitaPRIMERA!E2,"")</f>
        <v>37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46</v>
      </c>
      <c r="C21" s="29">
        <f>IF(DigitaHONDURAS!$C$12&lt;&gt;"",DigitaHONDURAS!$C$12,"")</f>
        <v>2400</v>
      </c>
      <c r="D21" s="42">
        <f>IF(C21="",0,C21*J$15)</f>
        <v>288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2112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134050</v>
      </c>
      <c r="D24" s="68">
        <f t="shared" ref="D24:G24" si="4">SUM(D5:D23)</f>
        <v>15990</v>
      </c>
      <c r="E24" s="68">
        <f t="shared" si="4"/>
        <v>1600</v>
      </c>
      <c r="F24" s="68">
        <f t="shared" si="4"/>
        <v>136000</v>
      </c>
      <c r="G24" s="89">
        <f t="shared" si="4"/>
        <v>-17940</v>
      </c>
    </row>
    <row r="27" spans="1:7" x14ac:dyDescent="0.35">
      <c r="G27" s="21">
        <v>266690</v>
      </c>
    </row>
    <row r="28" spans="1:7" x14ac:dyDescent="0.35">
      <c r="G28" s="142">
        <f>+G24+G27</f>
        <v>248750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96500</v>
      </c>
      <c r="K4" s="233">
        <f t="shared" ref="K4" si="0">D7+D11+D15</f>
        <v>11580</v>
      </c>
      <c r="L4" s="222">
        <f>F7+F11+F15</f>
        <v>208250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>
        <f>IF(DigitaNICA!C13&lt;&gt;"",DigitaNICA!C13,"")</f>
        <v>37100</v>
      </c>
      <c r="D5" s="42">
        <f>IF(C5="",0,C5*J$10)</f>
        <v>4452</v>
      </c>
      <c r="E5" s="29">
        <f>IF(DigitaNICA!D13&lt;&gt;"",DigitaNICA!D13,"")</f>
        <v>1000</v>
      </c>
      <c r="F5" s="42">
        <f>IF(E5="",0,E5*PREMIOS!E5)</f>
        <v>80000</v>
      </c>
      <c r="G5" s="30">
        <f t="shared" ref="G5:G12" si="1">IF(OR(C5="",E5=""),0,C5-D5-F5)</f>
        <v>-47352</v>
      </c>
      <c r="I5" s="220" t="s">
        <v>37</v>
      </c>
      <c r="J5" s="234">
        <f>SUM(IF(C5="",0,C5),IF(C9="",0,C9),IF(C13="",0,C13),IF(C17="",0,C17))</f>
        <v>67400</v>
      </c>
      <c r="K5" s="235">
        <f t="shared" ref="K5" si="2">D5+D9+D13+D17</f>
        <v>8088</v>
      </c>
      <c r="L5" s="236">
        <f>F5+F9+F13+F17</f>
        <v>160000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IF(DigitaTICA!C13&lt;&gt;"",DigitaTICA!C13,"")</f>
        <v>36100</v>
      </c>
      <c r="D7" s="42">
        <f>IF(C7="",0,C7*J$9)</f>
        <v>4332</v>
      </c>
      <c r="E7" s="29">
        <f>IF(DigitaTICA!D13&lt;&gt;"",DigitaTICA!D13,"")</f>
        <v>1700</v>
      </c>
      <c r="F7" s="134">
        <f>IF(E7="",0,E7*PREMIOS!F7)</f>
        <v>144500</v>
      </c>
      <c r="G7" s="30">
        <f t="shared" si="1"/>
        <v>-112732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93</v>
      </c>
      <c r="C9" s="29">
        <f>IF(DigitaNICA!E13&lt;&gt;"",DigitaNICA!E13,"")</f>
        <v>12100</v>
      </c>
      <c r="D9" s="42">
        <f>IF(C9="",0,C9*J$10)</f>
        <v>1452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10648</v>
      </c>
      <c r="I9" s="60" t="s">
        <v>36</v>
      </c>
      <c r="J9" s="61">
        <v>0.12</v>
      </c>
      <c r="K9" s="62">
        <f>MROUND(D7+D11+D15,50)</f>
        <v>11600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8100</v>
      </c>
    </row>
    <row r="11" spans="1:12" ht="15" thickBot="1" x14ac:dyDescent="0.4">
      <c r="A11" s="28" t="s">
        <v>59</v>
      </c>
      <c r="B11" s="133">
        <f>IF(DigitaTICA!E2&lt;&gt;"",DigitaTICA!E2,"")</f>
        <v>25</v>
      </c>
      <c r="C11" s="29">
        <f>IF(DigitaTICA!E13&lt;&gt;"",DigitaTICA!E13,"")</f>
        <v>21100</v>
      </c>
      <c r="D11" s="42">
        <f>IF(C11="",0,C11*J$9)</f>
        <v>2532</v>
      </c>
      <c r="E11" s="29">
        <f>IF(DigitaTICA!F13&lt;&gt;"",DigitaTICA!F13,"")</f>
        <v>750</v>
      </c>
      <c r="F11" s="134">
        <f>IF(E11="",0,E11*PREMIOS!F11)</f>
        <v>63750</v>
      </c>
      <c r="G11" s="30">
        <f t="shared" si="1"/>
        <v>-45182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>
        <f>IF(DigitaNICA!G13&lt;&gt;"",DigitaNICA!G13,"")</f>
        <v>15750</v>
      </c>
      <c r="D13" s="42">
        <f>IF(C13="",0,C13*J$10)</f>
        <v>1890</v>
      </c>
      <c r="E13" s="29">
        <f>IF(DigitaNICA!H13&lt;&gt;"",DigitaNICA!H13,"")</f>
        <v>1000</v>
      </c>
      <c r="F13" s="134">
        <f>IF(E13="",0,E13*PREMIOS!E13)</f>
        <v>80000</v>
      </c>
      <c r="G13" s="30">
        <f>IF(OR(C13="",E13=""),0,C13-D13-F13)</f>
        <v>-66140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IF(DigitaTICA!G13&lt;&gt;"",DigitaTICA!G13,"")</f>
        <v>39300</v>
      </c>
      <c r="D15" s="42">
        <f>IF(C15="",0,C15*J$9)</f>
        <v>4716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34584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>
        <f>IF(DigitaNICA!I13&lt;&gt;"",DigitaNICA!I13,"")</f>
        <v>2450</v>
      </c>
      <c r="D17" s="42">
        <f>IF(C17="",0,C17*J$10)</f>
        <v>294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2156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163900</v>
      </c>
      <c r="D19" s="68">
        <f>MROUND(SUM(D5:D18),50)</f>
        <v>19650</v>
      </c>
      <c r="E19" s="68">
        <f>SUM(E5:E18)</f>
        <v>4450</v>
      </c>
      <c r="F19" s="68">
        <f>SUM(F5:F18)</f>
        <v>368250</v>
      </c>
      <c r="G19" s="89">
        <f>SUM(G5:G18)</f>
        <v>-224018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70250</v>
      </c>
      <c r="K4" s="238">
        <f t="shared" ref="K4" si="0">D7+D11+D15</f>
        <v>10537.5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IF(DigitaTICA!C14&lt;&gt;"",DigitaTICA!C14,"")</f>
        <v>36000</v>
      </c>
      <c r="D7" s="42">
        <f>IF(C7="",0,C7*J$9)</f>
        <v>5400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30600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93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10550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25</v>
      </c>
      <c r="C11" s="29">
        <f>IF(DigitaTICA!E14&lt;&gt;"",DigitaTICA!E14,"")</f>
        <v>12950</v>
      </c>
      <c r="D11" s="42">
        <f>IF(C11="",0,C11*J$9)</f>
        <v>1942.5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11007.5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>
        <f>IF(DigitaTICA!G14&lt;&gt;"",DigitaTICA!G14,"")</f>
        <v>21300</v>
      </c>
      <c r="D15" s="42">
        <f>IF(C15="",0,C15*J$9)</f>
        <v>3195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18105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70250</v>
      </c>
      <c r="D19" s="68">
        <f>MROUND(SUM(D5:D18),50)</f>
        <v>10550</v>
      </c>
      <c r="E19" s="68">
        <f>SUM(E5:E18)</f>
        <v>0</v>
      </c>
      <c r="F19" s="68">
        <f>SUM(F5:F18)</f>
        <v>0</v>
      </c>
      <c r="G19" s="89">
        <f>SUM(G5:G18)</f>
        <v>59712.5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52900</v>
      </c>
      <c r="K4" s="233">
        <f>D7+D11+D15</f>
        <v>6348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IF(DigitaNICA!C16&lt;&gt;"",DigitaNICA!C16,"")</f>
        <v>2500</v>
      </c>
      <c r="D5" s="42">
        <f>IF(C5="",0,C5*J$12)</f>
        <v>300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-17800</v>
      </c>
      <c r="I5" s="63" t="s">
        <v>37</v>
      </c>
      <c r="J5" s="227">
        <f>SUM(IF(C5="",0,C5),IF(C9="",0,C9),IF(C13="",0,C13),IF(C17="",0,C17))</f>
        <v>26350</v>
      </c>
      <c r="K5" s="227">
        <f t="shared" ref="K5" si="1">D5+D9+D13+D17</f>
        <v>3162</v>
      </c>
      <c r="L5" s="224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IF(DigitaTICA!C16&lt;&gt;"",DigitaTICA!C16,"")</f>
        <v>18000</v>
      </c>
      <c r="D7" s="42">
        <f>IF(C7="",0,C7*J$11)</f>
        <v>2160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-5410</v>
      </c>
      <c r="I7" s="63" t="s">
        <v>96</v>
      </c>
      <c r="J7" s="228">
        <f>SUM(IF(C19="",0,C19),IF(C20="",0,C20))</f>
        <v>0</v>
      </c>
      <c r="K7" s="228">
        <f>+D19+D20</f>
        <v>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93</v>
      </c>
      <c r="C9" s="29">
        <f>IF(DigitaNICA!E16&lt;&gt;"",DigitaNICA!E16,"")</f>
        <v>1500</v>
      </c>
      <c r="D9" s="42">
        <f>IF(C9="",0,C9*J$12)</f>
        <v>180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1320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25</v>
      </c>
      <c r="C11" s="29">
        <f>IF(DigitaTICA!E16&lt;&gt;"",DigitaTICA!E16,"")</f>
        <v>10000</v>
      </c>
      <c r="D11" s="42">
        <f>IF(C11="",0,C11*J$11)</f>
        <v>1200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-12450</v>
      </c>
      <c r="I11" s="77" t="s">
        <v>36</v>
      </c>
      <c r="J11" s="78">
        <v>0.12</v>
      </c>
      <c r="K11" s="79">
        <f>MROUND(D7+D11+D15,50)</f>
        <v>6350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3150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>
        <f>IF(DigitaTICA!G2&lt;&gt;"",DigitaTICA!G2,"")</f>
        <v>99</v>
      </c>
      <c r="C15" s="29">
        <f>IF(DigitaTICA!G16&lt;&gt;"",DigitaTICA!G16,"")</f>
        <v>24900</v>
      </c>
      <c r="D15" s="42">
        <f>IF(C15="",0,C15*J$11)</f>
        <v>2988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21912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>
        <f>IF(DigitaNICA!I16&lt;&gt;"",DigitaNICA!I16,"")</f>
        <v>22350</v>
      </c>
      <c r="D17" s="42">
        <f>IF(C17="",0,C17*J$12)</f>
        <v>2682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19668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79250</v>
      </c>
      <c r="D24" s="123">
        <f t="shared" ref="D24:G24" si="5">SUM(D5:D23)</f>
        <v>9510</v>
      </c>
      <c r="E24" s="123">
        <f t="shared" si="5"/>
        <v>750</v>
      </c>
      <c r="F24" s="123">
        <f t="shared" si="5"/>
        <v>62500</v>
      </c>
      <c r="G24" s="124">
        <f t="shared" si="5"/>
        <v>7240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495300</v>
      </c>
      <c r="K4" s="233">
        <f t="shared" ref="K4" si="0">D7+D11+D15</f>
        <v>59436</v>
      </c>
      <c r="L4" s="222">
        <f>F7+F11+F15</f>
        <v>459000</v>
      </c>
    </row>
    <row r="5" spans="1:12" x14ac:dyDescent="0.35">
      <c r="A5" s="28" t="s">
        <v>43</v>
      </c>
      <c r="B5" s="133">
        <f>IF(DigitaNICA!C2&lt;&gt;"",DigitaNICA!C2,"")</f>
        <v>12</v>
      </c>
      <c r="C5" s="90">
        <f>IF(DigitaNICA!C17&lt;&gt;"",DigitaNICA!C17,"")</f>
        <v>95700</v>
      </c>
      <c r="D5" s="42">
        <f>IF(C5="",0,C5*J$16)</f>
        <v>11484</v>
      </c>
      <c r="E5" s="90">
        <f>IF(DigitaNICA!D17&lt;&gt;"",DigitaNICA!D17,"")</f>
        <v>900</v>
      </c>
      <c r="F5" s="42">
        <f>IF(E5="",0,E5*PREMIOS!F5)</f>
        <v>76500</v>
      </c>
      <c r="G5" s="91">
        <f t="shared" ref="G5:G12" si="1">IF(OR(C5="",E5=""),0,C5-D5-F5)</f>
        <v>7716</v>
      </c>
      <c r="I5" s="219" t="s">
        <v>37</v>
      </c>
      <c r="J5" s="223">
        <f>SUM(IF(C5="",0,C5),IF(C9="",0,C9),IF(C13="",0,C13),IF(C17="",0,C17))</f>
        <v>488650</v>
      </c>
      <c r="K5" s="227">
        <f t="shared" ref="K5" si="2">D5+D9+D13+D17</f>
        <v>58638</v>
      </c>
      <c r="L5" s="224">
        <f>F5+F9+F13+F17</f>
        <v>225250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122300</v>
      </c>
      <c r="K6" s="228">
        <f t="shared" ref="K6" si="3">+D8+D12+D16</f>
        <v>12230</v>
      </c>
      <c r="L6" s="229">
        <f>+F8+F12+F16</f>
        <v>130000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90">
        <f>IF(DigitaTICA!C17&lt;&gt;"",DigitaTICA!C17,"")</f>
        <v>126950</v>
      </c>
      <c r="D7" s="42">
        <f>IF(C7="",0,C7*J$15)</f>
        <v>15234</v>
      </c>
      <c r="E7" s="90">
        <f>IF(DigitaTICA!D17&lt;&gt;"",DigitaTICA!D17,"")</f>
        <v>2050</v>
      </c>
      <c r="F7" s="42">
        <f>IF(E7="",0,E7*PREMIOS!F7)</f>
        <v>174250</v>
      </c>
      <c r="G7" s="91">
        <f t="shared" si="1"/>
        <v>-62534</v>
      </c>
      <c r="I7" s="219" t="s">
        <v>96</v>
      </c>
      <c r="J7" s="225">
        <f>SUM(IF(C19="",0,C19),IF(C20="",0,C20))</f>
        <v>112750</v>
      </c>
      <c r="K7" s="228">
        <f>+D19+D20</f>
        <v>13530</v>
      </c>
      <c r="L7" s="229">
        <f>+F19+F20</f>
        <v>365500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31100</v>
      </c>
      <c r="D8" s="42">
        <f>IF(C8="",0,C8*J$17)</f>
        <v>3110</v>
      </c>
      <c r="E8" s="90">
        <f>IF(DigitaREVENTADO!D17&lt;&gt;"",DigitaREVENTADO!D17,"")</f>
        <v>650</v>
      </c>
      <c r="F8" s="42">
        <f>IF(E8="",0,E8*PREMIOS!F8)</f>
        <v>130000</v>
      </c>
      <c r="G8" s="91">
        <f t="shared" si="1"/>
        <v>-102010</v>
      </c>
      <c r="I8" s="219" t="s">
        <v>104</v>
      </c>
      <c r="J8" s="225">
        <f>SUM(IF(C21="",0,C21),IF(C22="",0,C22),IF(C23="",0,C23))</f>
        <v>106700</v>
      </c>
      <c r="K8" s="228">
        <f t="shared" ref="K8" si="4">D21+D22+D23</f>
        <v>12804</v>
      </c>
      <c r="L8" s="229">
        <f>F21+F22+F23</f>
        <v>46750</v>
      </c>
    </row>
    <row r="9" spans="1:12" x14ac:dyDescent="0.35">
      <c r="A9" s="28" t="s">
        <v>48</v>
      </c>
      <c r="B9" s="133">
        <f>IF(DigitaNICA!E2&lt;&gt;"",DigitaNICA!E2,"")</f>
        <v>93</v>
      </c>
      <c r="C9" s="90">
        <f>IF(DigitaNICA!E17&lt;&gt;"",DigitaNICA!E17,"")</f>
        <v>114500</v>
      </c>
      <c r="D9" s="42">
        <f>IF(C9="",0,C9*J$16)</f>
        <v>13740</v>
      </c>
      <c r="E9" s="90">
        <f>IF(DigitaNICA!F17&lt;&gt;"",DigitaNICA!F17,"")</f>
        <v>150</v>
      </c>
      <c r="F9" s="42">
        <f>IF(E9="",0,E9*PREMIOS!F9)</f>
        <v>12750</v>
      </c>
      <c r="G9" s="91">
        <f t="shared" si="1"/>
        <v>88010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25</v>
      </c>
      <c r="C11" s="90">
        <f>IF(DigitaTICA!E17&lt;&gt;"",DigitaTICA!E17,"")</f>
        <v>128600</v>
      </c>
      <c r="D11" s="42">
        <f>IF(C11="",0,C11*J$15)</f>
        <v>15432</v>
      </c>
      <c r="E11" s="90">
        <f>IF(DigitaTICA!F17&lt;&gt;"",DigitaTICA!F17,"")</f>
        <v>1350</v>
      </c>
      <c r="F11" s="42">
        <f>IF(E11="",0,E11*PREMIOS!F11)</f>
        <v>114750</v>
      </c>
      <c r="G11" s="91">
        <f t="shared" si="1"/>
        <v>-1582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43650</v>
      </c>
      <c r="D12" s="42">
        <f>IF(C12="",0,C12*J$17)</f>
        <v>4365</v>
      </c>
      <c r="E12" s="90">
        <f>IF(DigitaREVENTADO!F17&lt;&gt;"",DigitaREVENTADO!F17,"")</f>
        <v>400</v>
      </c>
      <c r="F12" s="42">
        <f>IF(E12="",0,E12*PREMIOS!F12)</f>
        <v>0</v>
      </c>
      <c r="G12" s="91">
        <f t="shared" si="1"/>
        <v>39285</v>
      </c>
    </row>
    <row r="13" spans="1:12" ht="15" thickBot="1" x14ac:dyDescent="0.4">
      <c r="A13" s="28" t="s">
        <v>50</v>
      </c>
      <c r="B13" s="133">
        <f>IF(DigitaNICA!G2&lt;&gt;"",DigitaNICA!G2,"")</f>
        <v>12</v>
      </c>
      <c r="C13" s="90">
        <f>IF(DigitaNICA!G17&lt;&gt;"",DigitaNICA!G17,"")</f>
        <v>97200</v>
      </c>
      <c r="D13" s="42">
        <f>IF(C13="",0,C13*J$16)</f>
        <v>11664</v>
      </c>
      <c r="E13" s="90">
        <f>IF(DigitaNICA!H17&lt;&gt;"",DigitaNICA!H17,"")</f>
        <v>500</v>
      </c>
      <c r="F13" s="42">
        <f>IF(E13="",0,E13*PREMIOS!F13)</f>
        <v>42500</v>
      </c>
      <c r="G13" s="91">
        <f>IF(OR(C13="",E13=""),0,C13-D13-F13)</f>
        <v>43036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99</v>
      </c>
      <c r="C15" s="90">
        <f>IF(DigitaTICA!G17&lt;&gt;"",DigitaTICA!G17,"")</f>
        <v>239750</v>
      </c>
      <c r="D15" s="42">
        <f>IF(C15="",0,C15*J$15)</f>
        <v>28770</v>
      </c>
      <c r="E15" s="90">
        <f>IF(DigitaTICA!H17&lt;&gt;"",DigitaTICA!H17,"")</f>
        <v>2000</v>
      </c>
      <c r="F15" s="42">
        <f>IF(E15="",0,E15*PREMIOS!F15)</f>
        <v>170000</v>
      </c>
      <c r="G15" s="91">
        <f t="shared" si="6"/>
        <v>40980</v>
      </c>
      <c r="I15" s="77" t="s">
        <v>36</v>
      </c>
      <c r="J15" s="78">
        <v>0.12</v>
      </c>
      <c r="K15" s="79">
        <f>MROUND(D7+D11+D15,50)</f>
        <v>59450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47550</v>
      </c>
      <c r="D16" s="42">
        <f>IF(C16="",0,C16*J$17)</f>
        <v>4755</v>
      </c>
      <c r="E16" s="90">
        <f>IF(DigitaREVENTADO!H17&lt;&gt;"",DigitaREVENTADO!H17,"")</f>
        <v>600</v>
      </c>
      <c r="F16" s="42">
        <f>IF(E16="",0,E16*PREMIOS!F16)</f>
        <v>0</v>
      </c>
      <c r="G16" s="91">
        <f t="shared" si="6"/>
        <v>42795</v>
      </c>
      <c r="I16" s="63" t="s">
        <v>37</v>
      </c>
      <c r="J16" s="64">
        <v>0.12</v>
      </c>
      <c r="K16" s="30">
        <f>MROUND(D5+D9+D13+D17,50)</f>
        <v>58650</v>
      </c>
    </row>
    <row r="17" spans="1:11" x14ac:dyDescent="0.35">
      <c r="A17" s="28" t="s">
        <v>52</v>
      </c>
      <c r="B17" s="133">
        <f>IF(DigitaNICA!I2&lt;&gt;"",DigitaNICA!I2,"")</f>
        <v>29</v>
      </c>
      <c r="C17" s="90">
        <f>IF(DigitaNICA!I17&lt;&gt;"",DigitaNICA!I17,"")</f>
        <v>181250</v>
      </c>
      <c r="D17" s="42">
        <f>IF(C17="",0,C17*J$16)</f>
        <v>21750</v>
      </c>
      <c r="E17" s="90">
        <f>IF(DigitaNICA!J17&lt;&gt;"",DigitaNICA!J17,"")</f>
        <v>1100</v>
      </c>
      <c r="F17" s="42">
        <f>IF(E17="",0,E17*PREMIOS!F17)</f>
        <v>93500</v>
      </c>
      <c r="G17" s="91">
        <f t="shared" si="6"/>
        <v>66000</v>
      </c>
      <c r="I17" s="63" t="s">
        <v>38</v>
      </c>
      <c r="J17" s="64">
        <v>0.1</v>
      </c>
      <c r="K17" s="30">
        <f>MROUND(D6+D8+D10+D12+D14+D16+D18,50)</f>
        <v>12250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13550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IF(DigitaPRIMERA!$C$17&lt;&gt;"",DigitaPRIMERA!$C$17,"")</f>
        <v>74450</v>
      </c>
      <c r="D19" s="42">
        <f>IF(C19="",0,C19*J$18)</f>
        <v>8934</v>
      </c>
      <c r="E19" s="29">
        <f>IF(DigitaPRIMERA!$D$17&lt;&gt;"",DigitaPRIMERA!$D$17,"")</f>
        <v>3200</v>
      </c>
      <c r="F19" s="42">
        <f>IF(E19="",0,E19*PREMIOS!F19)</f>
        <v>272000</v>
      </c>
      <c r="G19" s="30">
        <f t="shared" si="6"/>
        <v>-206484</v>
      </c>
      <c r="I19" s="63" t="s">
        <v>104</v>
      </c>
      <c r="J19" s="64">
        <v>0.12</v>
      </c>
      <c r="K19" s="30">
        <f>MROUND(D21+D22+D23,50)</f>
        <v>12800</v>
      </c>
    </row>
    <row r="20" spans="1:11" x14ac:dyDescent="0.35">
      <c r="A20" s="28" t="s">
        <v>98</v>
      </c>
      <c r="B20" s="133">
        <f>IF(DigitaPRIMERA!E2&lt;&gt;"",DigitaPRIMERA!E2,"")</f>
        <v>37</v>
      </c>
      <c r="C20" s="29">
        <f>IF(DigitaPRIMERA!$E$17&lt;&gt;"",DigitaPRIMERA!$E$17,"")</f>
        <v>38300</v>
      </c>
      <c r="D20" s="42">
        <f>IF(C20="",0,C20*J$18)</f>
        <v>4596</v>
      </c>
      <c r="E20" s="29">
        <f>IF(DigitaPRIMERA!$F$17&lt;&gt;"",DigitaPRIMERA!$F$17,"")</f>
        <v>1100</v>
      </c>
      <c r="F20" s="42">
        <f>IF(E20="",0,E20*PREMIOS!F19)</f>
        <v>93500</v>
      </c>
      <c r="G20" s="30">
        <f t="shared" si="6"/>
        <v>-59796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46</v>
      </c>
      <c r="C21" s="29">
        <f>IF(DigitaHONDURAS!$C$17&lt;&gt;"",DigitaHONDURAS!$C$17,"")</f>
        <v>44000</v>
      </c>
      <c r="D21" s="42">
        <f>IF(C21="",0,C21*J$19)</f>
        <v>5280</v>
      </c>
      <c r="E21" s="29">
        <f>IF(DigitaHONDURAS!$D$17&lt;&gt;"",DigitaHONDURAS!$D$17,"")</f>
        <v>150</v>
      </c>
      <c r="F21" s="42">
        <f>IF(E21="",0,E21*PREMIOS!F20)</f>
        <v>12750</v>
      </c>
      <c r="G21" s="30">
        <f t="shared" si="6"/>
        <v>25970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IF(DigitaHONDURAS!$E$17&lt;&gt;"",DigitaHONDURAS!$E$17,"")</f>
        <v>31600</v>
      </c>
      <c r="D22" s="42">
        <f>IF(C22="",0,C22*J$19)</f>
        <v>3792</v>
      </c>
      <c r="E22" s="29">
        <f>IF(DigitaHONDURAS!$F$17&lt;&gt;"",DigitaHONDURAS!$F$17,"")</f>
        <v>400</v>
      </c>
      <c r="F22" s="42">
        <f>IF(E22="",0,E22*PREMIOS!F20)</f>
        <v>34000</v>
      </c>
      <c r="G22" s="30">
        <f t="shared" si="6"/>
        <v>-6192</v>
      </c>
    </row>
    <row r="23" spans="1:11" x14ac:dyDescent="0.35">
      <c r="A23" s="28" t="s">
        <v>101</v>
      </c>
      <c r="B23" s="133">
        <f>IF(DigitaHONDURAS!G2&lt;&gt;"",DigitaHONDURAS!G2,"")</f>
        <v>55</v>
      </c>
      <c r="C23" s="29">
        <f>IF(DigitaHONDURAS!$G$17&lt;&gt;"",DigitaHONDURAS!$G$17,"")</f>
        <v>31100</v>
      </c>
      <c r="D23" s="42">
        <f>IF(C23="",0,C23*J$19)</f>
        <v>3732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27368</v>
      </c>
    </row>
    <row r="24" spans="1:11" x14ac:dyDescent="0.35">
      <c r="A24" s="28" t="s">
        <v>102</v>
      </c>
      <c r="B24" s="133">
        <f>IF(DigitaDOMINICANA!C2&lt;&gt;"",DigitaDOMINICANA!C2,"")</f>
        <v>84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1325700</v>
      </c>
      <c r="D27" s="68">
        <f t="shared" ref="D27:G27" si="7">SUM(D5:D26)</f>
        <v>156638</v>
      </c>
      <c r="E27" s="68">
        <f t="shared" si="7"/>
        <v>14550</v>
      </c>
      <c r="F27" s="68">
        <f t="shared" si="7"/>
        <v>1226500</v>
      </c>
      <c r="G27" s="89">
        <f t="shared" si="7"/>
        <v>-57438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209100</v>
      </c>
      <c r="K4" s="233">
        <f t="shared" ref="K4" si="0">D7+D11+D15</f>
        <v>25092</v>
      </c>
      <c r="L4" s="222">
        <f>F7+F11+F15</f>
        <v>170000</v>
      </c>
    </row>
    <row r="5" spans="1:12" x14ac:dyDescent="0.35">
      <c r="A5" s="28" t="str">
        <f>+Vendedor1!A5</f>
        <v>Nica 11am</v>
      </c>
      <c r="B5" s="133">
        <f>IF(DigitaNICA!C2&lt;&gt;"",DigitaNICA!C2,"")</f>
        <v>12</v>
      </c>
      <c r="C5" s="29">
        <f>IF(DigitaNICA!C18&lt;&gt;"",DigitaNICA!C18,"")</f>
        <v>94150</v>
      </c>
      <c r="D5" s="42">
        <f>IF(C5="",0,C5*J$16)</f>
        <v>11298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-27648</v>
      </c>
      <c r="I5" s="219" t="s">
        <v>37</v>
      </c>
      <c r="J5" s="223">
        <f>SUM(IF(C5="",0,C5),IF(C9="",0,C9),IF(C13="",0,C13),IF(C17="",0,C17))</f>
        <v>270700</v>
      </c>
      <c r="K5" s="227">
        <f t="shared" ref="K5" si="2">D5+D9+D13+D17</f>
        <v>32484</v>
      </c>
      <c r="L5" s="224">
        <f>F5+F9+F13+F17</f>
        <v>255000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85500</v>
      </c>
      <c r="K6" s="228">
        <f t="shared" ref="K6" si="3">+D8+D12+D16</f>
        <v>8550</v>
      </c>
      <c r="L6" s="229">
        <f>+F8+F12+F16</f>
        <v>70000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04</v>
      </c>
      <c r="C7" s="29">
        <f>IF(DigitaTICA!C18&lt;&gt;"",DigitaTICA!C18,"")</f>
        <v>82850</v>
      </c>
      <c r="D7" s="42">
        <f>IF(C7="",0,C7*J$15)</f>
        <v>9942</v>
      </c>
      <c r="E7" s="29">
        <f>IF(DigitaTICA!D18&lt;&gt;"",DigitaTICA!D18,"")</f>
        <v>700</v>
      </c>
      <c r="F7" s="42">
        <f>IF(E7="",0,E7*PREMIOS!F7)</f>
        <v>59500</v>
      </c>
      <c r="G7" s="30">
        <f t="shared" si="1"/>
        <v>13408</v>
      </c>
      <c r="I7" s="219" t="s">
        <v>96</v>
      </c>
      <c r="J7" s="225">
        <f>SUM(IF(C19="",0,C19),IF(C20="",0,C20))</f>
        <v>120850</v>
      </c>
      <c r="K7" s="228">
        <f>+D19+D20</f>
        <v>14502</v>
      </c>
      <c r="L7" s="229">
        <f>+F19+F20</f>
        <v>344250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34950</v>
      </c>
      <c r="D8" s="42">
        <f>IF(C8="",0,C8*J$17)</f>
        <v>3495</v>
      </c>
      <c r="E8" s="29">
        <f>IF(DigitaREVENTADO!D18&lt;&gt;"",DigitaREVENTADO!D18,"")</f>
        <v>350</v>
      </c>
      <c r="F8" s="42">
        <f>IF(E8="",0,E8*PREMIOS!F8)</f>
        <v>70000</v>
      </c>
      <c r="G8" s="30">
        <f t="shared" si="1"/>
        <v>-38545</v>
      </c>
      <c r="I8" s="219" t="s">
        <v>104</v>
      </c>
      <c r="J8" s="225">
        <f>SUM(IF(C21="",0,C21),IF(C22="",0,C22),IF(C23="",0,C23))</f>
        <v>28500</v>
      </c>
      <c r="K8" s="228">
        <f t="shared" ref="K8" si="4">D21+D22+D23</f>
        <v>3420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93</v>
      </c>
      <c r="C9" s="29">
        <f>IF(DigitaNICA!E18&lt;&gt;"",DigitaNICA!E18,"")</f>
        <v>81200</v>
      </c>
      <c r="D9" s="42">
        <f>IF(C9="",0,C9*J$16)</f>
        <v>9744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45956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25</v>
      </c>
      <c r="C11" s="29">
        <f>IF(DigitaTICA!E18&lt;&gt;"",DigitaTICA!E18,"")</f>
        <v>57950</v>
      </c>
      <c r="D11" s="42">
        <f>IF(C11="",0,C11*J$15)</f>
        <v>6954</v>
      </c>
      <c r="E11" s="29">
        <f>IF(DigitaTICA!F18&lt;&gt;"",DigitaTICA!F18,"")</f>
        <v>800</v>
      </c>
      <c r="F11" s="42">
        <f>IF(E11="",0,E11*PREMIOS!F11)</f>
        <v>68000</v>
      </c>
      <c r="G11" s="30">
        <f t="shared" si="1"/>
        <v>-17004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24850</v>
      </c>
      <c r="D12" s="42">
        <f>IF(C12="",0,C12*J$17)</f>
        <v>2485</v>
      </c>
      <c r="E12" s="29">
        <f>IF(DigitaREVENTADO!F18&lt;&gt;"",DigitaREVENTADO!F18,"")</f>
        <v>300</v>
      </c>
      <c r="F12" s="42">
        <f>IF(E12="",0,E12*PREMIOS!F12)</f>
        <v>0</v>
      </c>
      <c r="G12" s="30">
        <f t="shared" si="1"/>
        <v>22365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12</v>
      </c>
      <c r="C13" s="29">
        <f>IF(DigitaNICA!G18&lt;&gt;"",DigitaNICA!G18,"")</f>
        <v>66000</v>
      </c>
      <c r="D13" s="42">
        <f>IF(C13="",0,C13*J$16)</f>
        <v>7920</v>
      </c>
      <c r="E13" s="29">
        <f>IF(DigitaNICA!H18&lt;&gt;"",DigitaNICA!H18,"")</f>
        <v>1200</v>
      </c>
      <c r="F13" s="42">
        <f>IF(E13="",0,E13*PREMIOS!F13)</f>
        <v>102000</v>
      </c>
      <c r="G13" s="30">
        <f>IF(OR(C13="",E13=""),0,C13-D13-F13)</f>
        <v>-43920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99</v>
      </c>
      <c r="C15" s="29">
        <f>IF(DigitaTICA!G18&lt;&gt;"",DigitaTICA!G18,"")</f>
        <v>68300</v>
      </c>
      <c r="D15" s="42">
        <f>IF(C15="",0,C15*J$15)</f>
        <v>8196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17604</v>
      </c>
      <c r="I15" s="77" t="s">
        <v>36</v>
      </c>
      <c r="J15" s="78">
        <v>0.12</v>
      </c>
      <c r="K15" s="79">
        <f>MROUND(D7+D11+D15,50)</f>
        <v>25100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25700</v>
      </c>
      <c r="D16" s="42">
        <f>IF(C16="",0,C16*J$17)</f>
        <v>2570</v>
      </c>
      <c r="E16" s="29">
        <f>IF(DigitaREVENTADO!H18&lt;&gt;"",DigitaREVENTADO!H18,"")</f>
        <v>500</v>
      </c>
      <c r="F16" s="42">
        <f>IF(E16="",0,E16*PREMIOS!F16)</f>
        <v>0</v>
      </c>
      <c r="G16" s="30">
        <f t="shared" si="6"/>
        <v>23130</v>
      </c>
      <c r="I16" s="63" t="s">
        <v>37</v>
      </c>
      <c r="J16" s="64">
        <v>0.12</v>
      </c>
      <c r="K16" s="30">
        <f>MROUND(D5+D9+D13+D17,50)</f>
        <v>32500</v>
      </c>
    </row>
    <row r="17" spans="1:11" x14ac:dyDescent="0.35">
      <c r="A17" s="28" t="str">
        <f>+Vendedor1!A17</f>
        <v>Nica 9pm</v>
      </c>
      <c r="B17" s="133">
        <f>IF(DigitaNICA!I2&lt;&gt;"",DigitaNICA!I2,"")</f>
        <v>29</v>
      </c>
      <c r="C17" s="29">
        <f>IF(DigitaNICA!I18&lt;&gt;"",DigitaNICA!I18,"")</f>
        <v>29350</v>
      </c>
      <c r="D17" s="42">
        <f>IF(C17="",0,C17*J$16)</f>
        <v>3522</v>
      </c>
      <c r="E17" s="29">
        <f>IF(DigitaNICA!J18&lt;&gt;"",DigitaNICA!J18,"")</f>
        <v>200</v>
      </c>
      <c r="F17" s="42">
        <f>IF(E17="",0,E17*PREMIOS!F17)</f>
        <v>17000</v>
      </c>
      <c r="G17" s="30">
        <f t="shared" si="6"/>
        <v>8828</v>
      </c>
      <c r="I17" s="63" t="s">
        <v>38</v>
      </c>
      <c r="J17" s="64">
        <v>0.1</v>
      </c>
      <c r="K17" s="30">
        <f>MROUND(D6+D8+D10+D12+D14+D16+D18,50)</f>
        <v>8550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14500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IF(DigitaPRIMERA!$C$18&lt;&gt;"",DigitaPRIMERA!$C$18,"")</f>
        <v>63000</v>
      </c>
      <c r="D19" s="42">
        <f>IF(C19="",0,C19*J$18)</f>
        <v>7560</v>
      </c>
      <c r="E19" s="29">
        <f>IF(DigitaPRIMERA!$D$18&lt;&gt;"",DigitaPRIMERA!$D$18,"")</f>
        <v>3950</v>
      </c>
      <c r="F19" s="42">
        <f>IF(E19="",0,E19*PREMIOS!F19)</f>
        <v>335750</v>
      </c>
      <c r="G19" s="30">
        <f t="shared" si="6"/>
        <v>-280310</v>
      </c>
      <c r="I19" s="63" t="s">
        <v>104</v>
      </c>
      <c r="J19" s="64">
        <v>0.12</v>
      </c>
      <c r="K19" s="30">
        <f>MROUND(D21+D22+D23,50)</f>
        <v>3400</v>
      </c>
    </row>
    <row r="20" spans="1:11" x14ac:dyDescent="0.35">
      <c r="A20" s="28" t="s">
        <v>98</v>
      </c>
      <c r="B20" s="133">
        <f>IF(DigitaPRIMERA!E2&lt;&gt;"",DigitaPRIMERA!E2,"")</f>
        <v>37</v>
      </c>
      <c r="C20" s="29">
        <f>IF(DigitaPRIMERA!$E$18&lt;&gt;"",DigitaPRIMERA!$E$18,"")</f>
        <v>57850</v>
      </c>
      <c r="D20" s="42">
        <f>IF(C20="",0,C20*J$18)</f>
        <v>6942</v>
      </c>
      <c r="E20" s="29">
        <f>IF(DigitaPRIMERA!$F$18&lt;&gt;"",DigitaPRIMERA!$F$18,"")</f>
        <v>100</v>
      </c>
      <c r="F20" s="42">
        <f>IF(E20="",0,E20*PREMIOS!F19)</f>
        <v>8500</v>
      </c>
      <c r="G20" s="30">
        <f t="shared" si="6"/>
        <v>42408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46</v>
      </c>
      <c r="C21" s="29">
        <f>IF(DigitaHONDURAS!$C$18&lt;&gt;"",DigitaHONDURAS!$C$18,"")</f>
        <v>16350</v>
      </c>
      <c r="D21" s="42">
        <f>IF(C21="",0,C21*J$19)</f>
        <v>1962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5888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IF(DigitaHONDURAS!$E$18&lt;&gt;"",DigitaHONDURAS!$E$18,"")</f>
        <v>12150</v>
      </c>
      <c r="D22" s="42">
        <f>IF(C22="",0,C22*J$19)</f>
        <v>1458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10692</v>
      </c>
    </row>
    <row r="23" spans="1:11" x14ac:dyDescent="0.35">
      <c r="A23" s="28" t="s">
        <v>101</v>
      </c>
      <c r="B23" s="133">
        <f>IF(DigitaHONDURAS!G2&lt;&gt;"",DigitaHONDURAS!G2,"")</f>
        <v>55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84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714650</v>
      </c>
      <c r="D27" s="68">
        <f t="shared" ref="D27:G27" si="7">SUM(D5:D26)</f>
        <v>84048</v>
      </c>
      <c r="E27" s="68">
        <f t="shared" si="7"/>
        <v>10300</v>
      </c>
      <c r="F27" s="68">
        <f t="shared" si="7"/>
        <v>847750</v>
      </c>
      <c r="G27" s="89">
        <f t="shared" si="7"/>
        <v>-217148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93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25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12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99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29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12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29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>
        <f>IF(DigitaPRIMERA!$C$27&lt;&gt;"",DigitaPRIMERA!$C$27,"")</f>
        <v>-2150</v>
      </c>
      <c r="D19" s="42">
        <f>IF(C19="",0,C19*J$12)</f>
        <v>-258</v>
      </c>
      <c r="E19" s="29">
        <f>IF(DigitaPRIMERA!$D$27&lt;&gt;"",DigitaPRIMERA!$D$27,"")</f>
        <v>-2150</v>
      </c>
      <c r="F19" s="42">
        <f>IF(E19="",0,E19*PREMIOS!F19)</f>
        <v>-182750</v>
      </c>
      <c r="G19" s="30">
        <f t="shared" si="1"/>
        <v>180858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-2150</v>
      </c>
      <c r="D27" s="68">
        <f t="shared" ref="D27:G27" si="2">SUM(D5:D26)</f>
        <v>-258</v>
      </c>
      <c r="E27" s="68">
        <f t="shared" si="2"/>
        <v>-2150</v>
      </c>
      <c r="F27" s="68">
        <f t="shared" si="2"/>
        <v>-182750</v>
      </c>
      <c r="G27" s="89">
        <f t="shared" si="2"/>
        <v>180858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IF(PREMIOS!$B7="","",PREMIOS!$B7)</f>
        <v>04</v>
      </c>
      <c r="D2" s="269"/>
      <c r="E2" s="268">
        <f>IF(PREMIOS!$B11="","",PREMIOS!$B11)</f>
        <v>25</v>
      </c>
      <c r="F2" s="269"/>
      <c r="G2" s="268">
        <f>IF(PREMIOS!$B15="","",PREMIOS!$B15)</f>
        <v>99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41900</v>
      </c>
      <c r="D4" s="79">
        <f t="shared" ref="D4:H27" si="0">IF(C4="","",0)</f>
        <v>0</v>
      </c>
      <c r="E4" s="190">
        <v>49050</v>
      </c>
      <c r="F4" s="79">
        <f t="shared" si="0"/>
        <v>0</v>
      </c>
      <c r="G4" s="190">
        <v>77450</v>
      </c>
      <c r="H4" s="79">
        <v>100</v>
      </c>
      <c r="J4" s="42">
        <f t="shared" ref="J4:J8" si="1">+C4+E4+G4</f>
        <v>168400</v>
      </c>
      <c r="K4" s="42">
        <f>IF(D4="",0,IF(F4="",D4,IF(H4="",D4+F4,D4+F4+H4)))</f>
        <v>100</v>
      </c>
    </row>
    <row r="5" spans="1:11" x14ac:dyDescent="0.35">
      <c r="A5" s="47">
        <v>2</v>
      </c>
      <c r="B5" s="179" t="str">
        <f>Vendedor2!$B$2</f>
        <v>PUESTO 2</v>
      </c>
      <c r="C5" s="181">
        <v>53550</v>
      </c>
      <c r="D5" s="30">
        <v>250</v>
      </c>
      <c r="E5" s="181">
        <v>39500</v>
      </c>
      <c r="F5" s="30">
        <v>250</v>
      </c>
      <c r="G5" s="181">
        <v>90500</v>
      </c>
      <c r="H5" s="30">
        <v>1000</v>
      </c>
      <c r="J5" s="42">
        <f t="shared" si="1"/>
        <v>183550</v>
      </c>
      <c r="K5" s="42">
        <f t="shared" ref="K5:K27" si="2">IF(D5="",0,IF(F5="",D5,IF(H5="",D5+F5,D5+F5+H5)))</f>
        <v>1500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78600</v>
      </c>
      <c r="D8" s="30">
        <v>1100</v>
      </c>
      <c r="E8" s="181">
        <v>61700</v>
      </c>
      <c r="F8" s="30">
        <v>1850</v>
      </c>
      <c r="G8" s="181">
        <v>75050</v>
      </c>
      <c r="H8" s="30">
        <v>1000</v>
      </c>
      <c r="J8" s="42">
        <f t="shared" si="1"/>
        <v>215350</v>
      </c>
      <c r="K8" s="42">
        <f t="shared" si="2"/>
        <v>3950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127500</v>
      </c>
      <c r="D10" s="30">
        <v>2700</v>
      </c>
      <c r="E10" s="181">
        <v>107050</v>
      </c>
      <c r="F10" s="30">
        <v>4300</v>
      </c>
      <c r="G10" s="181">
        <v>160750</v>
      </c>
      <c r="H10" s="30">
        <v>150</v>
      </c>
      <c r="J10" s="42">
        <f t="shared" si="3"/>
        <v>395300</v>
      </c>
      <c r="K10" s="42">
        <f t="shared" si="2"/>
        <v>7150</v>
      </c>
    </row>
    <row r="11" spans="1:11" x14ac:dyDescent="0.35">
      <c r="A11" s="47">
        <v>8</v>
      </c>
      <c r="B11" s="179" t="str">
        <f>Vendedor8!$B$2</f>
        <v>ISA</v>
      </c>
      <c r="C11" s="181">
        <v>2500</v>
      </c>
      <c r="D11" s="30">
        <f t="shared" si="0"/>
        <v>0</v>
      </c>
      <c r="E11" s="181"/>
      <c r="F11" s="30" t="str">
        <f t="shared" si="0"/>
        <v/>
      </c>
      <c r="G11" s="181">
        <v>4400</v>
      </c>
      <c r="H11" s="30">
        <f t="shared" si="0"/>
        <v>0</v>
      </c>
      <c r="J11" s="42">
        <f t="shared" si="3"/>
        <v>6900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26750</v>
      </c>
      <c r="D12" s="30">
        <f t="shared" si="0"/>
        <v>0</v>
      </c>
      <c r="E12" s="181">
        <v>15350</v>
      </c>
      <c r="F12" s="30">
        <v>350</v>
      </c>
      <c r="G12" s="181"/>
      <c r="H12" s="30" t="str">
        <f t="shared" si="0"/>
        <v/>
      </c>
      <c r="J12" s="42">
        <f t="shared" si="3"/>
        <v>42100</v>
      </c>
      <c r="K12" s="42">
        <f t="shared" si="2"/>
        <v>350</v>
      </c>
    </row>
    <row r="13" spans="1:11" x14ac:dyDescent="0.35">
      <c r="A13" s="47">
        <v>10</v>
      </c>
      <c r="B13" s="179" t="str">
        <f>Vendedor10!$B$2</f>
        <v>MARIALIZ</v>
      </c>
      <c r="C13" s="181">
        <v>36100</v>
      </c>
      <c r="D13" s="30">
        <v>1700</v>
      </c>
      <c r="E13" s="181">
        <v>21100</v>
      </c>
      <c r="F13" s="30">
        <v>750</v>
      </c>
      <c r="G13" s="181">
        <v>39300</v>
      </c>
      <c r="H13" s="30">
        <f t="shared" si="0"/>
        <v>0</v>
      </c>
      <c r="J13" s="42">
        <f t="shared" si="3"/>
        <v>96500</v>
      </c>
      <c r="K13" s="42">
        <f t="shared" si="2"/>
        <v>2450</v>
      </c>
    </row>
    <row r="14" spans="1:11" x14ac:dyDescent="0.35">
      <c r="A14" s="47">
        <v>11</v>
      </c>
      <c r="B14" s="179" t="str">
        <f>Vendedor11!$B$2</f>
        <v>CHARLY</v>
      </c>
      <c r="C14" s="181">
        <v>36000</v>
      </c>
      <c r="D14" s="30">
        <f t="shared" si="0"/>
        <v>0</v>
      </c>
      <c r="E14" s="181">
        <v>12950</v>
      </c>
      <c r="F14" s="30">
        <f t="shared" si="0"/>
        <v>0</v>
      </c>
      <c r="G14" s="181">
        <v>21300</v>
      </c>
      <c r="H14" s="30">
        <f t="shared" si="0"/>
        <v>0</v>
      </c>
      <c r="J14" s="42">
        <f t="shared" si="3"/>
        <v>70250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18000</v>
      </c>
      <c r="D16" s="30">
        <v>250</v>
      </c>
      <c r="E16" s="181">
        <v>10000</v>
      </c>
      <c r="F16" s="30">
        <v>250</v>
      </c>
      <c r="G16" s="181">
        <v>24900</v>
      </c>
      <c r="H16" s="30">
        <f t="shared" si="0"/>
        <v>0</v>
      </c>
      <c r="J16" s="42">
        <f t="shared" si="3"/>
        <v>52900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33400+93550</f>
        <v>126950</v>
      </c>
      <c r="D17" s="30">
        <f>700+1350</f>
        <v>2050</v>
      </c>
      <c r="E17" s="181">
        <f>71650+56950</f>
        <v>128600</v>
      </c>
      <c r="F17" s="30">
        <f>850+500</f>
        <v>1350</v>
      </c>
      <c r="G17" s="181">
        <f>177550+62200</f>
        <v>239750</v>
      </c>
      <c r="H17" s="30">
        <f>1300+700</f>
        <v>2000</v>
      </c>
      <c r="J17" s="42">
        <f t="shared" si="3"/>
        <v>495300</v>
      </c>
      <c r="K17" s="42">
        <f t="shared" si="2"/>
        <v>5400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46700+36150</f>
        <v>82850</v>
      </c>
      <c r="D18" s="30">
        <f>350+350</f>
        <v>700</v>
      </c>
      <c r="E18" s="181">
        <f>33100+24850</f>
        <v>57950</v>
      </c>
      <c r="F18" s="30">
        <f>500+300</f>
        <v>800</v>
      </c>
      <c r="G18" s="181">
        <f>25700+42600</f>
        <v>68300</v>
      </c>
      <c r="H18" s="30">
        <f>500+0</f>
        <v>500</v>
      </c>
      <c r="J18" s="42">
        <f t="shared" si="3"/>
        <v>209100</v>
      </c>
      <c r="K18" s="42">
        <f t="shared" si="2"/>
        <v>2000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630700</v>
      </c>
      <c r="D32" s="44">
        <f t="shared" si="6"/>
        <v>8750</v>
      </c>
      <c r="E32" s="43">
        <f t="shared" si="6"/>
        <v>503250</v>
      </c>
      <c r="F32" s="44">
        <f t="shared" si="6"/>
        <v>9900</v>
      </c>
      <c r="G32" s="43">
        <f t="shared" si="6"/>
        <v>801700</v>
      </c>
      <c r="H32" s="44">
        <f t="shared" si="6"/>
        <v>4750</v>
      </c>
      <c r="J32" s="96">
        <f>SUM(J4:J31)</f>
        <v>1935650</v>
      </c>
      <c r="K32" s="96"/>
    </row>
    <row r="33" spans="2:8" x14ac:dyDescent="0.35">
      <c r="D33" s="100">
        <f>+D32*85</f>
        <v>743750</v>
      </c>
      <c r="F33" s="100">
        <f>+F32*85</f>
        <v>841500</v>
      </c>
      <c r="H33" s="100">
        <f>+H32*85</f>
        <v>403750</v>
      </c>
    </row>
    <row r="34" spans="2:8" x14ac:dyDescent="0.35">
      <c r="B34" s="249" t="s">
        <v>149</v>
      </c>
      <c r="C34" s="43">
        <f t="shared" ref="C34:H34" si="7">+C4+C5+C6+C8+C13</f>
        <v>210150</v>
      </c>
      <c r="D34" s="43" t="e">
        <f t="shared" si="7"/>
        <v>#VALUE!</v>
      </c>
      <c r="E34" s="43">
        <f t="shared" si="7"/>
        <v>171350</v>
      </c>
      <c r="F34" s="43" t="e">
        <f t="shared" si="7"/>
        <v>#VALUE!</v>
      </c>
      <c r="G34" s="43">
        <f t="shared" si="7"/>
        <v>282300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248300</v>
      </c>
      <c r="D35" s="43" t="e">
        <f t="shared" ref="D35:H35" si="8">+D11+D14+D15+D17+D18</f>
        <v>#VALUE!</v>
      </c>
      <c r="E35" s="43">
        <f t="shared" si="8"/>
        <v>199500</v>
      </c>
      <c r="F35" s="43" t="e">
        <f t="shared" si="8"/>
        <v>#VALUE!</v>
      </c>
      <c r="G35" s="43">
        <f t="shared" si="8"/>
        <v>333750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154250</v>
      </c>
      <c r="D36" s="43" t="e">
        <f t="shared" ref="D36:H36" si="9">+D10+D12+D27</f>
        <v>#VALUE!</v>
      </c>
      <c r="E36" s="43">
        <f t="shared" si="9"/>
        <v>122400</v>
      </c>
      <c r="F36" s="43" t="e">
        <f t="shared" si="9"/>
        <v>#VALUE!</v>
      </c>
      <c r="G36" s="43">
        <f t="shared" si="9"/>
        <v>160750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12</v>
      </c>
      <c r="D2" s="269"/>
      <c r="E2" s="268">
        <f>IF(PREMIOS!$B9="","",PREMIOS!$B9)</f>
        <v>93</v>
      </c>
      <c r="F2" s="269"/>
      <c r="G2" s="268">
        <f>IF(PREMIOS!$B13="","",PREMIOS!$B13)</f>
        <v>12</v>
      </c>
      <c r="H2" s="269"/>
      <c r="I2" s="268">
        <f>IF(PREMIOS!$B17="","",PREMIOS!$B17)</f>
        <v>29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33800</v>
      </c>
      <c r="D4" s="79">
        <v>450</v>
      </c>
      <c r="E4" s="207">
        <v>12700</v>
      </c>
      <c r="F4" s="79">
        <f t="shared" ref="D4:J27" si="0">IF(E4="","",0)</f>
        <v>0</v>
      </c>
      <c r="G4" s="190">
        <v>12900</v>
      </c>
      <c r="H4" s="79">
        <v>300</v>
      </c>
      <c r="I4" s="190">
        <v>4300</v>
      </c>
      <c r="J4" s="79">
        <f t="shared" si="0"/>
        <v>0</v>
      </c>
      <c r="L4" s="42">
        <f t="shared" ref="L4:L8" si="1">+C4+E4+G4+I4</f>
        <v>63700</v>
      </c>
      <c r="M4" s="42">
        <f>IF(D4=0,0,IF(F4="",D4,IF(H4="",D4+F4,IF(J4="",D4+F4+H4,D4+F4+H4+J4))))</f>
        <v>750</v>
      </c>
    </row>
    <row r="5" spans="1:13" x14ac:dyDescent="0.35">
      <c r="A5" s="47">
        <v>2</v>
      </c>
      <c r="B5" s="179" t="str">
        <f>Vendedor2!$B$2</f>
        <v>PUESTO 2</v>
      </c>
      <c r="C5" s="181">
        <v>16000</v>
      </c>
      <c r="D5" s="30">
        <v>500</v>
      </c>
      <c r="E5" s="208">
        <v>3000</v>
      </c>
      <c r="F5" s="30">
        <f t="shared" si="0"/>
        <v>0</v>
      </c>
      <c r="G5" s="181">
        <v>8050</v>
      </c>
      <c r="H5" s="30">
        <v>300</v>
      </c>
      <c r="I5" s="181">
        <v>1000</v>
      </c>
      <c r="J5" s="30">
        <f t="shared" ref="J5:J27" si="2">IF(I5="","",0)</f>
        <v>0</v>
      </c>
      <c r="L5" s="42">
        <f t="shared" si="1"/>
        <v>28050</v>
      </c>
      <c r="M5" s="42">
        <f t="shared" ref="M5:M27" si="3">IF(D5=0,0,IF(F5="",D5,IF(H5="",D5+F5,IF(J5="",D5+F5+H5,D5+F5+H5+J5))))</f>
        <v>800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ref="H6:H27" si="4">IF(G6="","",0)</f>
        <v/>
      </c>
      <c r="I6" s="181"/>
      <c r="J6" s="30" t="str">
        <f t="shared" si="2"/>
        <v/>
      </c>
      <c r="L6" s="42">
        <f t="shared" si="1"/>
        <v>0</v>
      </c>
      <c r="M6" s="42" t="str">
        <f t="shared" si="3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4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3"/>
        <v/>
      </c>
    </row>
    <row r="8" spans="1:13" x14ac:dyDescent="0.35">
      <c r="A8" s="47">
        <v>5</v>
      </c>
      <c r="B8" s="179" t="str">
        <f>Vendedor5!$B$2</f>
        <v>YOYO</v>
      </c>
      <c r="C8" s="181">
        <v>65650</v>
      </c>
      <c r="D8" s="30">
        <v>900</v>
      </c>
      <c r="E8" s="208">
        <v>55400</v>
      </c>
      <c r="F8" s="30">
        <v>400</v>
      </c>
      <c r="G8" s="181">
        <v>7700</v>
      </c>
      <c r="H8" s="30">
        <f t="shared" si="4"/>
        <v>0</v>
      </c>
      <c r="I8" s="181">
        <v>49500</v>
      </c>
      <c r="J8" s="30">
        <f t="shared" si="0"/>
        <v>0</v>
      </c>
      <c r="L8" s="42">
        <f t="shared" si="1"/>
        <v>178250</v>
      </c>
      <c r="M8" s="42">
        <f t="shared" si="3"/>
        <v>1300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4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9" t="str">
        <f>Vendedor7!$B$2</f>
        <v>PIKIS</v>
      </c>
      <c r="C10" s="181">
        <v>73150</v>
      </c>
      <c r="D10" s="30">
        <v>2650</v>
      </c>
      <c r="E10" s="208">
        <v>129500</v>
      </c>
      <c r="F10" s="30">
        <v>250</v>
      </c>
      <c r="G10" s="181">
        <v>59400</v>
      </c>
      <c r="H10" s="30">
        <v>300</v>
      </c>
      <c r="I10" s="181">
        <v>129150</v>
      </c>
      <c r="J10" s="30">
        <v>100</v>
      </c>
      <c r="L10" s="42">
        <f t="shared" si="5"/>
        <v>391200</v>
      </c>
      <c r="M10" s="42">
        <f t="shared" si="3"/>
        <v>3300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34900</v>
      </c>
      <c r="D12" s="30">
        <f t="shared" si="0"/>
        <v>0</v>
      </c>
      <c r="E12" s="208">
        <v>13100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48000</v>
      </c>
      <c r="M12" s="42">
        <f t="shared" si="3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37100</v>
      </c>
      <c r="D13" s="30">
        <v>1000</v>
      </c>
      <c r="E13" s="208">
        <v>12100</v>
      </c>
      <c r="F13" s="30">
        <f t="shared" si="0"/>
        <v>0</v>
      </c>
      <c r="G13" s="181">
        <v>15750</v>
      </c>
      <c r="H13" s="30">
        <v>1000</v>
      </c>
      <c r="I13" s="181">
        <v>2450</v>
      </c>
      <c r="J13" s="30">
        <f t="shared" si="0"/>
        <v>0</v>
      </c>
      <c r="L13" s="42">
        <f t="shared" si="5"/>
        <v>67400</v>
      </c>
      <c r="M13" s="42">
        <f t="shared" si="3"/>
        <v>2000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2500</v>
      </c>
      <c r="D16" s="30">
        <v>250</v>
      </c>
      <c r="E16" s="208">
        <v>1500</v>
      </c>
      <c r="F16" s="30">
        <f t="shared" si="0"/>
        <v>0</v>
      </c>
      <c r="G16" s="181"/>
      <c r="H16" s="30" t="str">
        <f t="shared" si="0"/>
        <v/>
      </c>
      <c r="I16" s="181">
        <v>22350</v>
      </c>
      <c r="J16" s="30">
        <f t="shared" si="0"/>
        <v>0</v>
      </c>
      <c r="L16" s="42">
        <f t="shared" si="5"/>
        <v>26350</v>
      </c>
      <c r="M16" s="42">
        <f t="shared" si="3"/>
        <v>250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95700</v>
      </c>
      <c r="D17" s="30">
        <v>900</v>
      </c>
      <c r="E17" s="208">
        <v>114500</v>
      </c>
      <c r="F17" s="30">
        <v>150</v>
      </c>
      <c r="G17" s="181">
        <v>97200</v>
      </c>
      <c r="H17" s="30">
        <v>500</v>
      </c>
      <c r="I17" s="181">
        <v>181250</v>
      </c>
      <c r="J17" s="30">
        <v>1100</v>
      </c>
      <c r="L17" s="42">
        <f t="shared" si="5"/>
        <v>488650</v>
      </c>
      <c r="M17" s="42">
        <f t="shared" si="3"/>
        <v>2650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94150</v>
      </c>
      <c r="D18" s="30">
        <v>1300</v>
      </c>
      <c r="E18" s="208">
        <v>81200</v>
      </c>
      <c r="F18" s="30">
        <v>300</v>
      </c>
      <c r="G18" s="181">
        <v>66000</v>
      </c>
      <c r="H18" s="30">
        <v>1200</v>
      </c>
      <c r="I18" s="181">
        <v>29350</v>
      </c>
      <c r="J18" s="30">
        <v>200</v>
      </c>
      <c r="L18" s="42">
        <f t="shared" si="5"/>
        <v>270700</v>
      </c>
      <c r="M18" s="42">
        <f t="shared" si="3"/>
        <v>3000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4"/>
        <v/>
      </c>
      <c r="I19" s="181"/>
      <c r="J19" s="30" t="str">
        <f t="shared" si="2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4"/>
        <v/>
      </c>
      <c r="I20" s="181"/>
      <c r="J20" s="30" t="str">
        <f t="shared" si="2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4"/>
        <v/>
      </c>
      <c r="I21" s="181"/>
      <c r="J21" s="30" t="str">
        <f t="shared" si="2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4"/>
        <v/>
      </c>
      <c r="I22" s="181"/>
      <c r="J22" s="30" t="str">
        <f t="shared" si="2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4"/>
        <v/>
      </c>
      <c r="I23" s="181"/>
      <c r="J23" s="30" t="str">
        <f t="shared" si="2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4"/>
        <v/>
      </c>
      <c r="I24" s="181"/>
      <c r="J24" s="30" t="str">
        <f t="shared" si="2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4"/>
        <v/>
      </c>
      <c r="I25" s="181"/>
      <c r="J25" s="30" t="str">
        <f t="shared" si="2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4"/>
        <v/>
      </c>
      <c r="I26" s="181"/>
      <c r="J26" s="30" t="str">
        <f t="shared" si="2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4"/>
        <v/>
      </c>
      <c r="I27" s="182"/>
      <c r="J27" s="50" t="str">
        <f t="shared" si="2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452950</v>
      </c>
      <c r="D32" s="44">
        <f t="shared" si="7"/>
        <v>7950</v>
      </c>
      <c r="E32" s="43">
        <f t="shared" si="7"/>
        <v>423000</v>
      </c>
      <c r="F32" s="44">
        <f t="shared" si="7"/>
        <v>1100</v>
      </c>
      <c r="G32" s="43">
        <f t="shared" si="7"/>
        <v>267000</v>
      </c>
      <c r="H32" s="44">
        <f t="shared" si="7"/>
        <v>3600</v>
      </c>
      <c r="I32" s="43">
        <f t="shared" si="7"/>
        <v>419350</v>
      </c>
      <c r="J32" s="44">
        <f t="shared" si="7"/>
        <v>1400</v>
      </c>
      <c r="L32" s="96">
        <f>SUM(L9:L31)</f>
        <v>1292300</v>
      </c>
      <c r="M32" s="96">
        <f>SUM(M9:M31)</f>
        <v>11200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04 Roja</v>
      </c>
      <c r="D2" s="269"/>
      <c r="E2" s="268" t="str">
        <f>IF(E33=0,"",CONCATENATE(PREMIOS!$B11," ",PREMIOS!$B12))</f>
        <v>25 Blanca</v>
      </c>
      <c r="F2" s="269"/>
      <c r="G2" s="268" t="str">
        <f>IF(G33=0,"",CONCATENATE(PREMIOS!$B15," ",PREMIOS!$B16))</f>
        <v>99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22850</v>
      </c>
      <c r="D10" s="30">
        <v>1000</v>
      </c>
      <c r="E10" s="181">
        <v>23400</v>
      </c>
      <c r="F10" s="30">
        <v>500</v>
      </c>
      <c r="G10" s="181">
        <v>31300</v>
      </c>
      <c r="H10" s="30">
        <f t="shared" si="0"/>
        <v>0</v>
      </c>
      <c r="J10" s="42">
        <f t="shared" si="3"/>
        <v>77550</v>
      </c>
      <c r="K10" s="42">
        <f t="shared" si="4"/>
        <v>1500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1400</v>
      </c>
      <c r="D12" s="30">
        <f t="shared" si="0"/>
        <v>0</v>
      </c>
      <c r="E12" s="181">
        <v>3400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4800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31100</v>
      </c>
      <c r="D17" s="30">
        <v>650</v>
      </c>
      <c r="E17" s="181">
        <v>43650</v>
      </c>
      <c r="F17" s="30">
        <v>400</v>
      </c>
      <c r="G17" s="181">
        <v>47550</v>
      </c>
      <c r="H17" s="30">
        <v>600</v>
      </c>
      <c r="J17" s="42">
        <f t="shared" si="3"/>
        <v>122300</v>
      </c>
      <c r="K17" s="42">
        <f t="shared" si="4"/>
        <v>1650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34950</v>
      </c>
      <c r="D18" s="30">
        <v>350</v>
      </c>
      <c r="E18" s="181">
        <v>24850</v>
      </c>
      <c r="F18" s="30">
        <v>300</v>
      </c>
      <c r="G18" s="181">
        <v>25700</v>
      </c>
      <c r="H18" s="30">
        <v>500</v>
      </c>
      <c r="J18" s="42">
        <f t="shared" si="3"/>
        <v>85500</v>
      </c>
      <c r="K18" s="42">
        <f t="shared" si="4"/>
        <v>1150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90300</v>
      </c>
      <c r="D33" s="44">
        <f t="shared" si="7"/>
        <v>2000</v>
      </c>
      <c r="E33" s="43">
        <f t="shared" si="7"/>
        <v>95300</v>
      </c>
      <c r="F33" s="44">
        <f t="shared" si="7"/>
        <v>1200</v>
      </c>
      <c r="G33" s="43">
        <f t="shared" si="7"/>
        <v>104550</v>
      </c>
      <c r="H33" s="44">
        <f t="shared" si="7"/>
        <v>1100</v>
      </c>
      <c r="J33" s="45">
        <f>SUM(J4:J32)</f>
        <v>290150</v>
      </c>
      <c r="K33" s="96">
        <f>SUM(K4:K32)</f>
        <v>4300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6"/>
  <sheetViews>
    <sheetView showGridLines="0" topLeftCell="A3" zoomScale="90" zoomScaleNormal="90" workbookViewId="0">
      <selection activeCell="D35" sqref="D3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23</v>
      </c>
      <c r="D2" s="269"/>
      <c r="E2" s="268">
        <f>IF(PREMIOS!$C19="","",PREMIOS!$C19)</f>
        <v>37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17200</v>
      </c>
      <c r="D4" s="79">
        <v>950</v>
      </c>
      <c r="E4" s="190">
        <v>200</v>
      </c>
      <c r="F4" s="79">
        <f t="shared" ref="D4:F26" si="0">IF(E4="","",0)</f>
        <v>0</v>
      </c>
      <c r="H4" s="42">
        <f>+C4+E4</f>
        <v>17400</v>
      </c>
      <c r="I4" s="42">
        <f>IF(D4="",0,IF(F4="",D4,D4+F4))</f>
        <v>950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31850</v>
      </c>
      <c r="D8" s="30">
        <v>1500</v>
      </c>
      <c r="E8" s="195">
        <v>34400</v>
      </c>
      <c r="F8" s="196">
        <f t="shared" si="1"/>
        <v>0</v>
      </c>
      <c r="H8" s="42">
        <f t="shared" si="2"/>
        <v>66250</v>
      </c>
      <c r="I8" s="42">
        <f t="shared" si="3"/>
        <v>1500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35500</v>
      </c>
      <c r="D10" s="30">
        <v>1650</v>
      </c>
      <c r="E10" s="181">
        <v>31600</v>
      </c>
      <c r="F10" s="196">
        <v>800</v>
      </c>
      <c r="H10" s="42">
        <f t="shared" si="2"/>
        <v>67100</v>
      </c>
      <c r="I10" s="42">
        <f t="shared" si="3"/>
        <v>2450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36750</v>
      </c>
      <c r="D12" s="30">
        <v>1250</v>
      </c>
      <c r="E12" s="195"/>
      <c r="F12" s="30" t="str">
        <f t="shared" si="0"/>
        <v/>
      </c>
      <c r="H12" s="42">
        <f t="shared" si="2"/>
        <v>36750</v>
      </c>
      <c r="I12" s="42">
        <f t="shared" si="3"/>
        <v>1250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74450</v>
      </c>
      <c r="D17" s="196">
        <v>3200</v>
      </c>
      <c r="E17" s="181">
        <v>38300</v>
      </c>
      <c r="F17" s="30">
        <v>1100</v>
      </c>
      <c r="H17" s="42">
        <f t="shared" si="2"/>
        <v>112750</v>
      </c>
      <c r="I17" s="42">
        <f t="shared" si="3"/>
        <v>4300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63000</v>
      </c>
      <c r="D18" s="196">
        <v>3950</v>
      </c>
      <c r="E18" s="181">
        <v>57850</v>
      </c>
      <c r="F18" s="30">
        <v>100</v>
      </c>
      <c r="H18" s="42">
        <f t="shared" si="2"/>
        <v>120850</v>
      </c>
      <c r="I18" s="42">
        <f t="shared" si="3"/>
        <v>4050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>
        <v>-2150</v>
      </c>
      <c r="D27" s="50">
        <v>-2150</v>
      </c>
      <c r="E27" s="182"/>
      <c r="F27" s="50" t="str">
        <f t="shared" si="1"/>
        <v/>
      </c>
      <c r="H27" s="42">
        <f t="shared" si="2"/>
        <v>-2150</v>
      </c>
      <c r="I27" s="42">
        <f t="shared" si="3"/>
        <v>-2150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256600</v>
      </c>
      <c r="D33" s="44">
        <f>SUM(D4:D32)</f>
        <v>10350</v>
      </c>
      <c r="E33" s="43">
        <f>SUM(E4:E32)</f>
        <v>162350</v>
      </c>
      <c r="F33" s="44">
        <f>SUM(F4:F32)</f>
        <v>2000</v>
      </c>
      <c r="H33" s="96">
        <f>SUM(H4:H32)</f>
        <v>418950</v>
      </c>
      <c r="I33" s="96">
        <f>SUM(I4:I32)</f>
        <v>12350</v>
      </c>
    </row>
    <row r="35" spans="3:9" x14ac:dyDescent="0.35">
      <c r="D35" s="43">
        <v>10350</v>
      </c>
    </row>
    <row r="36" spans="3:9" x14ac:dyDescent="0.35">
      <c r="D36" s="43">
        <f>+D33-D35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46</v>
      </c>
      <c r="D2" s="269"/>
      <c r="E2" s="268">
        <f>IF(PREMIOS!$C20="","",PREMIOS!$C20)</f>
        <v>91</v>
      </c>
      <c r="F2" s="269"/>
      <c r="G2" s="268">
        <f>IF(PREMIOS!$D20="","",PREMIOS!$D20)</f>
        <v>55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7300</v>
      </c>
      <c r="D10" s="196">
        <v>500</v>
      </c>
      <c r="E10" s="181">
        <v>1800</v>
      </c>
      <c r="F10" s="30">
        <f t="shared" si="0"/>
        <v>0</v>
      </c>
      <c r="G10" s="181">
        <v>5200</v>
      </c>
      <c r="H10" s="196">
        <f t="shared" si="0"/>
        <v>0</v>
      </c>
      <c r="J10" s="42">
        <f t="shared" si="3"/>
        <v>14300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2400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2400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44000</v>
      </c>
      <c r="D17" s="196">
        <v>150</v>
      </c>
      <c r="E17" s="195">
        <v>31600</v>
      </c>
      <c r="F17" s="196">
        <v>400</v>
      </c>
      <c r="G17" s="195">
        <v>31100</v>
      </c>
      <c r="H17" s="196">
        <f t="shared" si="2"/>
        <v>0</v>
      </c>
      <c r="J17" s="42">
        <f t="shared" si="3"/>
        <v>106700</v>
      </c>
      <c r="K17" s="42">
        <f t="shared" si="4"/>
        <v>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16350</v>
      </c>
      <c r="D18" s="196">
        <v>100</v>
      </c>
      <c r="E18" s="181">
        <v>12150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28500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70050</v>
      </c>
      <c r="D33" s="44">
        <f t="shared" si="6"/>
        <v>750</v>
      </c>
      <c r="E33" s="43">
        <f t="shared" si="6"/>
        <v>45550</v>
      </c>
      <c r="F33" s="44">
        <f t="shared" si="6"/>
        <v>400</v>
      </c>
      <c r="G33" s="43">
        <f t="shared" si="6"/>
        <v>36300</v>
      </c>
      <c r="H33" s="44">
        <f t="shared" si="6"/>
        <v>0</v>
      </c>
      <c r="J33" s="45">
        <f>SUM(J4:J32)</f>
        <v>151900</v>
      </c>
      <c r="K33" s="96">
        <f>SUM(K4:K32)</f>
        <v>1150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84</v>
      </c>
      <c r="D2" s="269"/>
      <c r="E2" s="268">
        <f>IF(PREMIOS!$C21="","",PREMIOS!$C21)</f>
        <v>81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1000</v>
      </c>
      <c r="D10" s="30">
        <f t="shared" si="0"/>
        <v>0</v>
      </c>
      <c r="E10" s="181">
        <v>62750</v>
      </c>
      <c r="F10" s="30">
        <f t="shared" si="0"/>
        <v>0</v>
      </c>
      <c r="H10" s="42">
        <f t="shared" si="2"/>
        <v>63750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1000</v>
      </c>
      <c r="D33" s="44">
        <f>SUM(D4:D32)</f>
        <v>0</v>
      </c>
      <c r="E33" s="43">
        <f>SUM(E4:E32)</f>
        <v>62750</v>
      </c>
      <c r="F33" s="44">
        <f>SUM(F4:F32)</f>
        <v>0</v>
      </c>
      <c r="H33" s="45">
        <f>SUM(H4:H32)</f>
        <v>63750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2026-03-27T16:04:01Z</dcterms:modified>
  <dc:language>es-CR</dc:language>
</cp:coreProperties>
</file>
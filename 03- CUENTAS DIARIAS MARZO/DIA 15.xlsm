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3- CUENTAS DIARIAS MARZO/"/>
    </mc:Choice>
  </mc:AlternateContent>
  <xr:revisionPtr revIDLastSave="1" documentId="13_ncr:1_{0520A008-3158-4674-9BD9-38D30A4C20A1}" xr6:coauthVersionLast="47" xr6:coauthVersionMax="47" xr10:uidLastSave="{53FF987B-79AA-40AE-A48F-5C3FD048A3ED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D17" i="68"/>
  <c r="B16" i="69"/>
  <c r="E10" i="64"/>
  <c r="E10" i="62"/>
  <c r="C10" i="62"/>
  <c r="G10" i="61"/>
  <c r="E10" i="61"/>
  <c r="C10" i="61"/>
  <c r="H17" i="60" l="1"/>
  <c r="G17" i="60"/>
  <c r="H18" i="60"/>
  <c r="G18" i="60"/>
  <c r="F27" i="60"/>
  <c r="F17" i="60"/>
  <c r="E17" i="60"/>
  <c r="F18" i="60"/>
  <c r="E18" i="60"/>
  <c r="E10" i="60"/>
  <c r="C18" i="60"/>
  <c r="C10" i="60"/>
  <c r="D17" i="60"/>
  <c r="C17" i="60"/>
  <c r="D11" i="65" l="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F14" i="19"/>
  <c r="F10" i="19"/>
  <c r="F6" i="19"/>
  <c r="F14" i="8"/>
  <c r="F10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1" i="73"/>
  <c r="I20" i="73"/>
  <c r="I19" i="73"/>
  <c r="I18" i="73"/>
  <c r="I16" i="73"/>
  <c r="I15" i="73"/>
  <c r="I14" i="73"/>
  <c r="I13" i="73"/>
  <c r="I12" i="73"/>
  <c r="I11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6" i="71"/>
  <c r="M25" i="71"/>
  <c r="M24" i="71"/>
  <c r="M23" i="71"/>
  <c r="M22" i="71"/>
  <c r="M21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2" i="19"/>
  <c r="F25" i="8"/>
  <c r="F24" i="8"/>
  <c r="D27" i="62"/>
  <c r="D26" i="62"/>
  <c r="D25" i="62"/>
  <c r="D24" i="62"/>
  <c r="D23" i="62"/>
  <c r="D22" i="62"/>
  <c r="D21" i="62"/>
  <c r="D20" i="62"/>
  <c r="D19" i="62"/>
  <c r="D18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6" i="60"/>
  <c r="D15" i="60"/>
  <c r="D13" i="60"/>
  <c r="D12" i="60"/>
  <c r="D36" i="60" s="1"/>
  <c r="D35" i="60"/>
  <c r="D9" i="60"/>
  <c r="D7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F17" i="65"/>
  <c r="F8" i="65"/>
  <c r="F10" i="62"/>
  <c r="D5" i="61"/>
  <c r="F16" i="61"/>
  <c r="D6" i="60"/>
  <c r="F16" i="60"/>
  <c r="F15" i="60"/>
  <c r="F14" i="60"/>
  <c r="F35" i="60" s="1"/>
  <c r="F11" i="60"/>
  <c r="F9" i="60"/>
  <c r="F8" i="60"/>
  <c r="F7" i="60"/>
  <c r="F6" i="60"/>
  <c r="F5" i="60"/>
  <c r="F4" i="60"/>
  <c r="H15" i="60"/>
  <c r="H14" i="60"/>
  <c r="H12" i="60"/>
  <c r="H11" i="60"/>
  <c r="H9" i="60"/>
  <c r="H7" i="60"/>
  <c r="H6" i="60"/>
  <c r="H5" i="60"/>
  <c r="F18" i="21"/>
  <c r="F14" i="21"/>
  <c r="F10" i="21"/>
  <c r="F6" i="21"/>
  <c r="K10" i="19"/>
  <c r="J10" i="19"/>
  <c r="L9" i="19"/>
  <c r="K9" i="19"/>
  <c r="J9" i="19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5" i="60" l="1"/>
  <c r="H36" i="60"/>
  <c r="H34" i="60"/>
  <c r="F34" i="60"/>
  <c r="D34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E11" i="16"/>
  <c r="K6" i="25"/>
  <c r="K6" i="22"/>
  <c r="H17" i="64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6" i="61"/>
  <c r="H15" i="61"/>
  <c r="H14" i="61"/>
  <c r="H12" i="61"/>
  <c r="H11" i="61"/>
  <c r="E13" i="16" s="1"/>
  <c r="H10" i="61"/>
  <c r="M26" i="52"/>
  <c r="M25" i="52"/>
  <c r="M24" i="52"/>
  <c r="M23" i="52"/>
  <c r="M22" i="52"/>
  <c r="M21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36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H11" i="64"/>
  <c r="E23" i="21"/>
  <c r="F23" i="21" s="1"/>
  <c r="E22" i="29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E20" i="29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C17" i="73" l="1"/>
  <c r="F17" i="73" s="1"/>
  <c r="J10" i="8"/>
  <c r="D26" i="21"/>
  <c r="J10" i="21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E27" i="71"/>
  <c r="J27" i="71" s="1"/>
  <c r="K27" i="71" s="1"/>
  <c r="F19" i="29"/>
  <c r="D27" i="70"/>
  <c r="F27" i="70"/>
  <c r="F20" i="29"/>
  <c r="D19" i="29"/>
  <c r="D20" i="29"/>
  <c r="G20" i="29" s="1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D21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27" i="70" l="1"/>
  <c r="G22" i="29"/>
  <c r="L27" i="71"/>
  <c r="M27" i="71" s="1"/>
  <c r="K21" i="8"/>
  <c r="K10" i="8"/>
  <c r="G26" i="8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L6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J5" i="19"/>
  <c r="C24" i="15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11" i="29" s="1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<sst xmlns="http://schemas.openxmlformats.org/spreadsheetml/2006/main" count="1294" uniqueCount="161">
  <si>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</si>
  <si>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</si>
  <si>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</si>
  <si>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</si>
  <si>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</si>
  <si>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</si>
  <si>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</si>
  <si>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</si>
  <si>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</si>
  <si>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</si>
  <si>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</si>
  <si>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</si>
  <si>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</si>
  <si>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</si>
  <si>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</si>
  <si>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</si>
  <si>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</si>
  <si>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</si>
  <si>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</si>
  <si>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</si>
  <si>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</si>
  <si>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</si>
  <si>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</si>
  <si>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</si>
  <si>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</si>
  <si>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</si>
  <si>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</si>
  <si>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</si>
  <si>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</si>
  <si>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</si>
  <si>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</si>
  <si>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</si>
  <si>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</si>
  <si>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</si>
  <si>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</si>
  <si>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</si>
  <si>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</si>
  <si>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</si>
  <si>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</si>
  <si>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</si>
  <si>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</si>
  <si>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</si>
  <si>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</si>
  <si>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</si>
  <si>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</si>
  <si>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</si>
  <si>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</si>
  <si>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</si>
  <si>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</si>
  <si>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</si>
  <si>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</si>
  <si>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</si>
  <si>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</si>
  <si>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</si>
  <si>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</si>
  <si>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</si>
  <si>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</si>
  <si>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</si>
  <si>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</si>
  <si>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</si>
  <si>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</si>
  <si>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</si>
  <si>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</si>
  <si>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</si>
  <si>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</si>
  <si>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</si>
  <si>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</si>
  <si>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</si>
  <si>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</si>
  <si>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</si>
  <si>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</si>
  <si>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</si>
  <si>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</si>
  <si>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</si>
  <si>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</si>
  <si>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</si>
  <si>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</si>
  <si>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</si>
  <si>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</si>
  <si>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</si>
  <si>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</si>
  <si>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</si>
  <si>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</si>
  <si>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</si>
  <si>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</si>
  <si>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</si>
  <si>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</si>
  <si>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</si>
  <si>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</si>
  <si>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</si>
  <si>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</si>
  <si>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</si>
  <si>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</si>
  <si>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</si>
  <si>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</si>
  <si>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</si>
  <si>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</si>
  <si>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</si>
  <si>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</si>
  <si>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</si>
  <si>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</si>
  <si>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</si>
  <si>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</si>
  <si>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</si>
  <si>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</si>
  <si>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</si>
  <si>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</si>
  <si>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</si>
  <si>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</si>
  <si>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</si>
  <si>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</si>
  <si>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</si>
  <si>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</si>
  <si>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</si>
  <si>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</si>
  <si>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</si>
  <si>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</si>
  <si>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</si>
  <si>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</si>
  <si>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</si>
  <si>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</si>
  <si>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</si>
  <si>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</si>
  <si>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</si>
  <si>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</si>
  <si>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</si>
  <si>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</si>
  <si>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</si>
  <si>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</si>
  <si>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</si>
  <si>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</si>
  <si>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</si>
  <si>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</si>
  <si>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</si>
  <si>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</si>
  <si>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</si>
  <si>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</si>
  <si>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</si>
  <si>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</si>
  <si>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</si>
  <si>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</si>
  <si>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</si>
  <si>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</si>
  <si>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</si>
  <si>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</si>
  <si>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</si>
  <si>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</si>
  <si>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</si>
  <si>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</si>
  <si>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</si>
  <si>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</si>
  <si>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</si>
  <si>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</si>
  <si>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</si>
  <si>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</si>
  <si>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</si>
  <si>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</si>
  <si>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</si>
  <si>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</si>
  <si>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01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</si>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</sst>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344200</v>
      </c>
      <c r="C3" s="9">
        <f>+HojaTICA!K4+HojaNICA!M4+HojaREVENTADO!K4+HojaPrimera!I4+HojaHonduras!K4+HojaDominicana!I4+HojaPANA!G4</f>
        <v>44750</v>
      </c>
      <c r="D3" s="9">
        <f>+HojaTICA!N4+HojaNICA!P4+HojaREVENTADO!O4+HojaPrimera!L4+HojaHonduras!N4+HojaDominicana!L4+HojaPANA!J4</f>
        <v>497250</v>
      </c>
      <c r="F3" s="10">
        <f t="shared" ref="F3:F27" si="0">+B3-C3-D3</f>
        <v>-197800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187600</v>
      </c>
      <c r="C4" s="9">
        <f>+HojaTICA!K5+HojaNICA!M5+HojaREVENTADO!K5+HojaPrimera!I5+HojaHonduras!K5+HojaDominicana!I5+HojaPANA!G5</f>
        <v>24450</v>
      </c>
      <c r="D4" s="9">
        <f>+HojaTICA!N5+HojaNICA!P5+HojaREVENTADO!O5+HojaPrimera!L5+HojaHonduras!N5+HojaDominicana!L5+HojaPANA!J5</f>
        <v>54250</v>
      </c>
      <c r="F4" s="14">
        <f t="shared" si="0"/>
        <v>108900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8750</v>
      </c>
      <c r="C6" s="9">
        <f>+HojaTICA!K7+HojaNICA!M7+HojaREVENTADO!K7+HojaPrimera!I7+HojaHonduras!K7+HojaDominicana!I7+HojaPANA!G7</f>
        <v>1050</v>
      </c>
      <c r="D6" s="9">
        <f>+HojaTICA!N7+HojaNICA!P7+HojaREVENTADO!O7+HojaPrimera!L7+HojaHonduras!N7+HojaDominicana!L7+HojaPANA!J7</f>
        <v>0</v>
      </c>
      <c r="F6" s="14">
        <f t="shared" si="0"/>
        <v>7700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336800</v>
      </c>
      <c r="C7" s="9">
        <f>+HojaTICA!K8+HojaNICA!M8+HojaREVENTADO!K8+HojaPrimera!I8+HojaHonduras!K8+HojaDominicana!I8+HojaPANA!G8</f>
        <v>40400</v>
      </c>
      <c r="D7" s="9">
        <f>+HojaTICA!N8+HojaNICA!P8+HojaREVENTADO!O8+HojaPrimera!L8+HojaHonduras!N8+HojaDominicana!L8+HojaPANA!J8</f>
        <v>177250</v>
      </c>
      <c r="F7" s="14">
        <f t="shared" si="0"/>
        <v>119150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1583050</v>
      </c>
      <c r="C9" s="9">
        <f>+HojaTICA!K10+HojaNICA!M10+HojaREVENTADO!K10+HojaPrimera!I10+HojaHonduras!K10+HojaDominicana!I10+HojaPANA!G10</f>
        <v>188665</v>
      </c>
      <c r="D9" s="9">
        <f>+HojaTICA!N10+HojaNICA!P10+HojaREVENTADO!O10+HojaPrimera!L10+HojaHonduras!N10+HojaDominicana!L10+HojaPANA!J10</f>
        <v>1506500</v>
      </c>
      <c r="F9" s="14">
        <f t="shared" si="0"/>
        <v>-112115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39700</v>
      </c>
      <c r="C10" s="9">
        <f>+HojaTICA!K11+HojaNICA!M11+HojaREVENTADO!K11+HojaPrimera!I11+HojaHonduras!K11+HojaDominicana!I11+HojaPANA!G11</f>
        <v>4750</v>
      </c>
      <c r="D10" s="9">
        <f>+HojaTICA!N11+HojaNICA!P11+HojaREVENTADO!O11+HojaPrimera!L11+HojaHonduras!N11+HojaDominicana!L11+HojaPANA!J11</f>
        <v>85000</v>
      </c>
      <c r="F10" s="14">
        <f t="shared" si="0"/>
        <v>-50050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140050</v>
      </c>
      <c r="C11" s="9">
        <f>+HojaTICA!K12+HojaNICA!M12+HojaREVENTADO!K12+HojaPrimera!I12+HojaHonduras!K12+HojaDominicana!I12+HojaPANA!G12</f>
        <v>16810</v>
      </c>
      <c r="D11" s="9">
        <f>+HojaTICA!N12+HojaNICA!P12+HojaREVENTADO!O12+HojaPrimera!L12+HojaHonduras!N12+HojaDominicana!L12+HojaPANA!J12</f>
        <v>59500</v>
      </c>
      <c r="F11" s="14">
        <f t="shared" si="0"/>
        <v>63740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209050</v>
      </c>
      <c r="C12" s="9">
        <f>+HojaTICA!K13+HojaNICA!M13+HojaREVENTADO!K13+HojaPrimera!I13+HojaHonduras!K13+HojaDominicana!I13+HojaPANA!G13</f>
        <v>25100</v>
      </c>
      <c r="D12" s="9">
        <f>+HojaTICA!N13+HojaNICA!P13+HojaREVENTADO!O13+HojaPrimera!L13+HojaHonduras!N13+HojaDominicana!L13+HojaPANA!J13</f>
        <v>58250</v>
      </c>
      <c r="F12" s="14">
        <f t="shared" si="0"/>
        <v>125700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86550</v>
      </c>
      <c r="C13" s="9">
        <f>+HojaTICA!K14+HojaNICA!M14+HojaREVENTADO!K14+HojaPrimera!I14+HojaHonduras!K14+HojaDominicana!I14+HojaPANA!G14</f>
        <v>13000</v>
      </c>
      <c r="D13" s="9">
        <f>+HojaTICA!N14+HojaNICA!P14+HojaREVENTADO!O14+HojaPrimera!L14+HojaHonduras!N14+HojaDominicana!L14+HojaPANA!J14</f>
        <v>40000</v>
      </c>
      <c r="F13" s="14">
        <f t="shared" si="0"/>
        <v>33550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121650</v>
      </c>
      <c r="C15" s="9">
        <f>+HojaTICA!K16+HojaNICA!M16+HojaREVENTADO!K16+HojaPrimera!I16+HojaHonduras!K16+HojaDominicana!I16+HojaPANA!G16</f>
        <v>14450</v>
      </c>
      <c r="D15" s="9">
        <f>+HojaTICA!N16+HojaNICA!P16+HojaREVENTADO!O16+HojaPrimera!L16+HojaHonduras!N16+HojaDominicana!L16+HojaPANA!J16</f>
        <v>85000</v>
      </c>
      <c r="F15" s="14">
        <f t="shared" si="0"/>
        <v>22200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1383900</v>
      </c>
      <c r="C16" s="9">
        <f>+HojaTICA!K17+HojaNICA!M17+HojaREVENTADO!K17+HojaPrimera!I17+HojaHonduras!K17+HojaDominicana!I17+HojaPANA!G17</f>
        <v>164205</v>
      </c>
      <c r="D16" s="9">
        <f>+HojaTICA!N17+HojaNICA!P17+HojaREVENTADO!O17+HojaPrimera!L17+HojaHonduras!N17+HojaDominicana!L17+HojaPANA!J17</f>
        <v>1597750</v>
      </c>
      <c r="F16" s="14">
        <f t="shared" si="0"/>
        <v>-378055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483300</v>
      </c>
      <c r="C17" s="9">
        <f>+HojaTICA!K18+HojaNICA!M18+HojaREVENTADO!K18+HojaPrimera!I18+HojaHonduras!K18+HojaDominicana!I18+HojaPANA!G18</f>
        <v>56700</v>
      </c>
      <c r="D17" s="9">
        <f>+HojaTICA!N18+HojaNICA!P18+HojaREVENTADO!O18+HojaPrimera!L18+HojaHonduras!N18+HojaDominicana!L18+HojaPANA!J18</f>
        <v>459000</v>
      </c>
      <c r="F17" s="14">
        <f t="shared" si="0"/>
        <v>-32400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-160300</v>
      </c>
      <c r="C26" s="9">
        <f>+HojaTICA!K27+HojaNICA!M27+HojaREVENTADO!K27+HojaPrimera!I27+HojaHonduras!K27+HojaDominicana!I27+HojaPANA!G27</f>
        <v>-19250</v>
      </c>
      <c r="D26" s="9">
        <f>+HojaTICA!N27+HojaNICA!P27+HojaREVENTADO!O27+HojaPrimera!L27+HojaHonduras!N27+HojaDominicana!L27+HojaPANA!J27</f>
        <v>-29750</v>
      </c>
      <c r="F26" s="14">
        <f t="shared" si="0"/>
        <v>-111300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4764300</v>
      </c>
      <c r="C28" s="17">
        <f t="shared" si="1"/>
        <v>575080</v>
      </c>
      <c r="D28" s="18">
        <f t="shared" si="1"/>
        <v>4590000</v>
      </c>
      <c r="F28" s="20">
        <f>SUM(F3:F27)</f>
        <v>-400780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48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69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42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99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64" t="s">
        <v>159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72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65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23</v>
      </c>
      <c r="C19" s="133">
        <v>64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24</v>
      </c>
      <c r="C20" s="164" t="s">
        <v>160</v>
      </c>
      <c r="D20" s="167">
        <v>49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68</v>
      </c>
      <c r="C21" s="165">
        <v>15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>
        <v>76</v>
      </c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69</v>
      </c>
      <c r="D2" s="269"/>
      <c r="E2" s="268">
        <f>DigitaTICA!E2</f>
        <v>99</v>
      </c>
      <c r="F2" s="269"/>
      <c r="G2" s="268">
        <f>DigitaTICA!G2</f>
        <v>72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65150</v>
      </c>
      <c r="D4" s="30">
        <f>IF(Vendedor1!$E$7="",0,Vendedor1!$E$7)</f>
        <v>4850</v>
      </c>
      <c r="E4" s="181">
        <f>IF(Vendedor1!$C$11="",0,Vendedor1!$C$11)</f>
        <v>56350</v>
      </c>
      <c r="F4" s="30">
        <f>IF(Vendedor1!$E$11="",0,Vendedor1!$E$11)</f>
        <v>0</v>
      </c>
      <c r="G4" s="181">
        <f>IF(Vendedor1!$C$15="",0,Vendedor1!$C$15)</f>
        <v>154550</v>
      </c>
      <c r="H4" s="30">
        <f>IF(Vendedor1!$E$15="",0,Vendedor1!$E$15)</f>
        <v>1000</v>
      </c>
      <c r="J4" s="42">
        <f t="shared" ref="J4:J7" si="0">+C4+E4+G4</f>
        <v>276050</v>
      </c>
      <c r="K4" s="41">
        <f>MROUND(J4*Vendedor1!J$9,50)</f>
        <v>35900</v>
      </c>
      <c r="L4" s="42">
        <f t="shared" ref="L4:L7" si="1">+D4+F4+H4</f>
        <v>5850</v>
      </c>
      <c r="M4" s="42">
        <f t="shared" ref="M4:M7" si="2">+L4*85</f>
        <v>497250</v>
      </c>
      <c r="N4" s="42">
        <f>Vendedor1!$F$7+Vendedor1!$F$11+Vendedor1!$F$15</f>
        <v>497250</v>
      </c>
      <c r="P4" s="42">
        <f t="shared" ref="P4:P7" si="3">+J4-K4-N4</f>
        <v>-257100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53700</v>
      </c>
      <c r="D5" s="30">
        <f>IF(Vendedor2!$E$7="",0,Vendedor2!$E$7)</f>
        <v>450</v>
      </c>
      <c r="E5" s="181">
        <f>IF(Vendedor2!$C$11="",0,Vendedor2!$C$11)</f>
        <v>27300</v>
      </c>
      <c r="F5" s="30">
        <f>IF(Vendedor2!$E$11="",0,Vendedor2!$E$11)</f>
        <v>0</v>
      </c>
      <c r="G5" s="181">
        <f>IF(Vendedor2!$C$15="",0,Vendedor2!$C$15)</f>
        <v>79250</v>
      </c>
      <c r="H5" s="30">
        <f>IF(Vendedor2!$E$15="",0,Vendedor2!$E$15)</f>
        <v>0</v>
      </c>
      <c r="J5" s="42">
        <f t="shared" si="0"/>
        <v>160250</v>
      </c>
      <c r="K5" s="41">
        <f>MROUND(J5*Vendedor2!J$9,50)</f>
        <v>20850</v>
      </c>
      <c r="L5" s="42">
        <f t="shared" si="1"/>
        <v>450</v>
      </c>
      <c r="M5" s="42">
        <f t="shared" si="2"/>
        <v>38250</v>
      </c>
      <c r="N5" s="42">
        <f>Vendedor2!$F$7+Vendedor2!$F$11+Vendedor2!$F$15</f>
        <v>38250</v>
      </c>
      <c r="P5" s="42">
        <f t="shared" si="3"/>
        <v>101150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8750</v>
      </c>
      <c r="H7" s="30">
        <f>IF(Vendedor4!$E$15="",0,Vendedor4!$E$15)</f>
        <v>0</v>
      </c>
      <c r="J7" s="42">
        <f t="shared" si="0"/>
        <v>8750</v>
      </c>
      <c r="K7" s="41">
        <f>MROUND(J7*Vendedor4!J$9,50)</f>
        <v>1050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7700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76450</v>
      </c>
      <c r="D8" s="30">
        <f>IF(Vendedor5!$E$7="",0,Vendedor5!$E$7)</f>
        <v>300</v>
      </c>
      <c r="E8" s="181">
        <f>IF(Vendedor5!$C$11="",0,Vendedor5!$C$11)</f>
        <v>38950</v>
      </c>
      <c r="F8" s="30">
        <f>IF(Vendedor5!$E$11="",0,Vendedor5!$E$11)</f>
        <v>0</v>
      </c>
      <c r="G8" s="181">
        <f>IF(Vendedor5!$C$15="",0,Vendedor5!$C$15)</f>
        <v>34600</v>
      </c>
      <c r="H8" s="30">
        <f>IF(Vendedor5!$E$15="",0,Vendedor5!$E$15)</f>
        <v>750</v>
      </c>
      <c r="J8" s="42">
        <f t="shared" ref="J8" si="4">+C8+E8+G8</f>
        <v>150000</v>
      </c>
      <c r="K8" s="41">
        <f>MROUND(J8*Vendedor5!J$11,50)</f>
        <v>18000</v>
      </c>
      <c r="L8" s="42">
        <f t="shared" ref="L8" si="5">+D8+F8+H8</f>
        <v>1050</v>
      </c>
      <c r="M8" s="42">
        <f t="shared" ref="M8" si="6">+L8*85</f>
        <v>89250</v>
      </c>
      <c r="N8" s="42">
        <f>Vendedor5!$F$7+Vendedor5!$F$11+Vendedor5!$F$15</f>
        <v>89250</v>
      </c>
      <c r="P8" s="42">
        <f t="shared" ref="P8" si="7">+J8-K8-N8</f>
        <v>42750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174350</v>
      </c>
      <c r="D10" s="30">
        <f>IF(Vendedor7!$E$7="",0,Vendedor7!$E$7)</f>
        <v>700</v>
      </c>
      <c r="E10" s="181">
        <f>IF(Vendedor7!$C$11="",0,Vendedor7!$C$11)</f>
        <v>159250</v>
      </c>
      <c r="F10" s="30">
        <f>IF(Vendedor7!$E$11="",0,Vendedor7!$E$11)</f>
        <v>3550</v>
      </c>
      <c r="G10" s="181">
        <f>IF(Vendedor7!$C$15="",0,Vendedor7!$C$15)</f>
        <v>227800</v>
      </c>
      <c r="H10" s="30">
        <f>IF(Vendedor7!$E$15="",0,Vendedor7!$E$15)</f>
        <v>1100</v>
      </c>
      <c r="J10" s="42">
        <f t="shared" si="8"/>
        <v>561400</v>
      </c>
      <c r="K10" s="41">
        <f>MROUND(J10*Vendedor7!J$14,50)</f>
        <v>67350</v>
      </c>
      <c r="L10" s="42">
        <f t="shared" si="9"/>
        <v>5350</v>
      </c>
      <c r="M10" s="42">
        <f t="shared" si="10"/>
        <v>454750</v>
      </c>
      <c r="N10" s="42">
        <f>Vendedor7!$F$7+Vendedor7!$F$11+Vendedor7!$F$15</f>
        <v>454750</v>
      </c>
      <c r="P10" s="42">
        <f t="shared" si="11"/>
        <v>39300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11500</v>
      </c>
      <c r="D11" s="30">
        <f>IF(Vendedor8!$E$7="",0,Vendedor8!$E$7)</f>
        <v>1000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28200</v>
      </c>
      <c r="H11" s="30">
        <f>IF(Vendedor8!$E$15="",0,Vendedor8!$E$15)</f>
        <v>0</v>
      </c>
      <c r="J11" s="42">
        <f t="shared" si="8"/>
        <v>39700</v>
      </c>
      <c r="K11" s="41">
        <f>MROUND(J11*Vendedor8!J$11,50)</f>
        <v>4750</v>
      </c>
      <c r="L11" s="42">
        <f t="shared" si="9"/>
        <v>1000</v>
      </c>
      <c r="M11" s="42">
        <f t="shared" si="10"/>
        <v>85000</v>
      </c>
      <c r="N11" s="42">
        <f>Vendedor8!$F$7+Vendedor8!$F$11+Vendedor8!$F$15</f>
        <v>85000</v>
      </c>
      <c r="P11" s="42">
        <f t="shared" si="11"/>
        <v>-50050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16400</v>
      </c>
      <c r="D12" s="30">
        <f>IF(Vendedor9!$E$7="",0,Vendedor9!$E$7)</f>
        <v>0</v>
      </c>
      <c r="E12" s="181">
        <f>IF(Vendedor9!$C$11="",0,Vendedor9!$C$11)</f>
        <v>8100</v>
      </c>
      <c r="F12" s="30">
        <f>IF(Vendedor9!$E$11="",0,Vendedor9!$E$11)</f>
        <v>200</v>
      </c>
      <c r="G12" s="181">
        <f>IF(Vendedor9!$C$15="",0,Vendedor9!$C$15)</f>
        <v>29700</v>
      </c>
      <c r="H12" s="30">
        <f>IF(Vendedor9!$E$15="",0,Vendedor9!$E$15)</f>
        <v>0</v>
      </c>
      <c r="J12" s="42">
        <f t="shared" si="8"/>
        <v>54200</v>
      </c>
      <c r="K12" s="41">
        <f>MROUND(J12*Vendedor9!J$11,50)</f>
        <v>6500</v>
      </c>
      <c r="L12" s="42">
        <f t="shared" si="9"/>
        <v>200</v>
      </c>
      <c r="M12" s="42">
        <f t="shared" si="10"/>
        <v>17000</v>
      </c>
      <c r="N12" s="42">
        <f>Vendedor9!$F$7+Vendedor9!$F$11+Vendedor9!$F$15</f>
        <v>17000</v>
      </c>
      <c r="P12" s="42">
        <f t="shared" si="11"/>
        <v>30700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30300</v>
      </c>
      <c r="D13" s="30">
        <f>IF(Vendedor10!$E$7="",0,Vendedor10!$E$7)</f>
        <v>0</v>
      </c>
      <c r="E13" s="181">
        <f>IF(Vendedor10!$C$11="",0,Vendedor10!$C$11)</f>
        <v>32200</v>
      </c>
      <c r="F13" s="30">
        <f>IF(Vendedor10!$E$11="",0,Vendedor10!$E$11)</f>
        <v>150</v>
      </c>
      <c r="G13" s="181">
        <f>IF(Vendedor10!$C$15="",0,Vendedor10!$C$15)</f>
        <v>74550</v>
      </c>
      <c r="H13" s="30">
        <f>IF(Vendedor10!$E$15="",0,Vendedor10!$E$15)</f>
        <v>300</v>
      </c>
      <c r="J13" s="42">
        <f t="shared" si="8"/>
        <v>137050</v>
      </c>
      <c r="K13" s="41">
        <f>MROUND(J13*Vendedor10!J$9,50)</f>
        <v>16450</v>
      </c>
      <c r="L13" s="42">
        <f t="shared" si="9"/>
        <v>450</v>
      </c>
      <c r="M13" s="42">
        <f t="shared" si="10"/>
        <v>38250</v>
      </c>
      <c r="N13" s="42">
        <f>Vendedor10!$F$7+Vendedor10!$F$11+Vendedor10!$F$15</f>
        <v>38250</v>
      </c>
      <c r="P13" s="42">
        <f t="shared" si="11"/>
        <v>82350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35750</v>
      </c>
      <c r="D14" s="30">
        <f>IF(Vendedor11!$E$7="",0,Vendedor11!$E$7)</f>
        <v>500</v>
      </c>
      <c r="E14" s="181">
        <f>IF(Vendedor11!$C$11="",0,Vendedor11!$C$11)</f>
        <v>9150</v>
      </c>
      <c r="F14" s="30">
        <f>IF(Vendedor11!$E$11="",0,Vendedor11!$E$11)</f>
        <v>0</v>
      </c>
      <c r="G14" s="181">
        <f>IF(Vendedor11!$C$15="",0,Vendedor11!$C$15)</f>
        <v>41650</v>
      </c>
      <c r="H14" s="30">
        <f>IF(Vendedor11!$E$15="",0,Vendedor11!$E$15)</f>
        <v>0</v>
      </c>
      <c r="J14" s="42">
        <f t="shared" si="8"/>
        <v>86550</v>
      </c>
      <c r="K14" s="41">
        <f>MROUND(J14*Vendedor11!J$9,50)</f>
        <v>13000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33550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29850</v>
      </c>
      <c r="D16" s="30">
        <f>IF(Vendedor13!$E$7="",0,Vendedor13!$E$7)</f>
        <v>0</v>
      </c>
      <c r="E16" s="181">
        <f>IF(Vendedor13!$C$11="",0,Vendedor13!$C$11)</f>
        <v>17450</v>
      </c>
      <c r="F16" s="30">
        <f>IF(Vendedor13!$E$11="",0,Vendedor13!$E$11)</f>
        <v>0</v>
      </c>
      <c r="G16" s="181">
        <f>IF(Vendedor13!$C$15="",0,Vendedor13!$C$15)</f>
        <v>49250</v>
      </c>
      <c r="H16" s="30">
        <f>IF(Vendedor13!$E$15="",0,Vendedor13!$E$15)</f>
        <v>1000</v>
      </c>
      <c r="J16" s="42">
        <f t="shared" si="8"/>
        <v>96550</v>
      </c>
      <c r="K16" s="41">
        <f>MROUND(J16*Vendedor13!J$11,50)</f>
        <v>11600</v>
      </c>
      <c r="L16" s="42">
        <f t="shared" si="9"/>
        <v>1000</v>
      </c>
      <c r="M16" s="42">
        <f t="shared" si="10"/>
        <v>85000</v>
      </c>
      <c r="N16" s="42">
        <f>Vendedor13!$F$7+Vendedor13!$F$11+Vendedor13!$F$15</f>
        <v>85000</v>
      </c>
      <c r="P16" s="42">
        <f t="shared" si="11"/>
        <v>-50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158850</v>
      </c>
      <c r="D17" s="30">
        <f>IF(Vendedor14!$E$7="",0,Vendedor14!$E$7)</f>
        <v>2100</v>
      </c>
      <c r="E17" s="181">
        <f>IF(Vendedor14!$C$11="",0,Vendedor14!$C$11)</f>
        <v>155200</v>
      </c>
      <c r="F17" s="30">
        <f>IF(Vendedor14!$E$11="",0,Vendedor14!$E$11)</f>
        <v>2450</v>
      </c>
      <c r="G17" s="181">
        <f>IF(Vendedor14!$C$15="",0,Vendedor14!$C$15)</f>
        <v>240400</v>
      </c>
      <c r="H17" s="30">
        <f>IF(Vendedor14!$E$15="",0,Vendedor14!$E$15)</f>
        <v>4700</v>
      </c>
      <c r="J17" s="42">
        <f t="shared" si="8"/>
        <v>554450</v>
      </c>
      <c r="K17" s="41">
        <f>MROUND(J17*Vendedor14!J$15,50)</f>
        <v>66550</v>
      </c>
      <c r="L17" s="42">
        <f t="shared" si="9"/>
        <v>9250</v>
      </c>
      <c r="M17" s="42">
        <f t="shared" si="10"/>
        <v>786250</v>
      </c>
      <c r="N17" s="42">
        <f>Vendedor14!$F$7+Vendedor14!$F$11+Vendedor14!$F$15</f>
        <v>786250</v>
      </c>
      <c r="P17" s="42">
        <f t="shared" si="11"/>
        <v>-298350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60900</v>
      </c>
      <c r="D18" s="30">
        <f>IF(Vendedor15!$E$7="",0,Vendedor15!$E$7)</f>
        <v>0</v>
      </c>
      <c r="E18" s="181">
        <f>IF(Vendedor15!$C$11="",0,Vendedor15!$C$11)</f>
        <v>39100</v>
      </c>
      <c r="F18" s="30">
        <f>IF(Vendedor15!$E$11="",0,Vendedor15!$E$11)</f>
        <v>200</v>
      </c>
      <c r="G18" s="181">
        <f>IF(Vendedor15!$C$15="",0,Vendedor15!$C$15)</f>
        <v>84050</v>
      </c>
      <c r="H18" s="30">
        <f>IF(Vendedor15!$E$15="",0,Vendedor15!$E$15)</f>
        <v>2450</v>
      </c>
      <c r="J18" s="42">
        <f t="shared" ref="J18" si="12">+C18+E18+G18</f>
        <v>184050</v>
      </c>
      <c r="K18" s="41">
        <f>MROUND(J18*Vendedor15!J$15,50)</f>
        <v>22100</v>
      </c>
      <c r="L18" s="42">
        <f t="shared" ref="L18" si="13">+D18+F18+H18</f>
        <v>2650</v>
      </c>
      <c r="M18" s="42">
        <f t="shared" ref="M18" si="14">+L18*85</f>
        <v>225250</v>
      </c>
      <c r="N18" s="42">
        <f>Vendedor15!$F$7+Vendedor15!$F$11+Vendedor15!$F$15</f>
        <v>225250</v>
      </c>
      <c r="P18" s="42">
        <f t="shared" ref="P18" si="15">+J18-K18-N18</f>
        <v>-63300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713200</v>
      </c>
      <c r="D32" s="44">
        <f t="shared" si="16"/>
        <v>9900</v>
      </c>
      <c r="E32" s="43">
        <f t="shared" si="16"/>
        <v>543050</v>
      </c>
      <c r="F32" s="44">
        <f t="shared" si="16"/>
        <v>6550</v>
      </c>
      <c r="G32" s="43">
        <f t="shared" si="16"/>
        <v>1052750</v>
      </c>
      <c r="H32" s="44">
        <f t="shared" si="16"/>
        <v>11300</v>
      </c>
      <c r="J32" s="96">
        <f>SUM(J4:J31)</f>
        <v>2309000</v>
      </c>
      <c r="K32" s="45">
        <f>SUM(K7:K31)</f>
        <v>227350</v>
      </c>
      <c r="L32" s="96">
        <f>SUM(L4:L31)</f>
        <v>27750</v>
      </c>
      <c r="M32" s="96">
        <f>SUM(M4:M31)</f>
        <v>2358750</v>
      </c>
      <c r="N32" s="96">
        <f>SUM(N4:N31)</f>
        <v>2356250</v>
      </c>
      <c r="P32" s="80">
        <f>SUM(P4:P31)</f>
        <v>-331350</v>
      </c>
    </row>
    <row r="33" spans="3:13" x14ac:dyDescent="0.35">
      <c r="D33" s="100">
        <f>+D32*85</f>
        <v>841500</v>
      </c>
      <c r="F33" s="100">
        <f>+F32*85</f>
        <v>556750</v>
      </c>
      <c r="H33" s="100">
        <f>+H32*85</f>
        <v>960500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2309000</v>
      </c>
      <c r="E36" s="43">
        <f>+D36-J4-J5-J6</f>
        <v>1872700</v>
      </c>
      <c r="G36" s="102"/>
    </row>
    <row r="37" spans="3:13" x14ac:dyDescent="0.35">
      <c r="C37" s="47" t="s">
        <v>33</v>
      </c>
      <c r="D37" s="48">
        <f>D36*13%</f>
        <v>300170</v>
      </c>
      <c r="E37">
        <f>+D37-K4-K5-K6</f>
        <v>243420</v>
      </c>
      <c r="G37" s="101"/>
      <c r="H37" s="101"/>
    </row>
    <row r="38" spans="3:13" ht="15" thickBot="1" x14ac:dyDescent="0.4">
      <c r="C38" s="47" t="s">
        <v>30</v>
      </c>
      <c r="D38" s="30">
        <f>M32</f>
        <v>2358750</v>
      </c>
      <c r="G38" s="101"/>
      <c r="H38" s="101"/>
    </row>
    <row r="39" spans="3:13" ht="15" thickBot="1" x14ac:dyDescent="0.4">
      <c r="C39" s="49" t="s">
        <v>4</v>
      </c>
      <c r="D39" s="81">
        <f>+D36-D37-D38</f>
        <v>-349920</v>
      </c>
      <c r="F39" s="99">
        <f>+P32-D39</f>
        <v>18570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-349920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48</v>
      </c>
      <c r="D2" s="269"/>
      <c r="E2" s="268">
        <f>DigitaNICA!E2</f>
        <v>42</v>
      </c>
      <c r="F2" s="269"/>
      <c r="G2" s="268" t="str">
        <f>DigitaNICA!G2</f>
        <v>01</v>
      </c>
      <c r="H2" s="269"/>
      <c r="I2" s="268">
        <f>DigitaNICA!I2</f>
        <v>65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24600</v>
      </c>
      <c r="D4" s="79">
        <f>IF(Vendedor1!$E$5="",0,Vendedor1!$E$5)</f>
        <v>0</v>
      </c>
      <c r="E4" s="190">
        <f>IF(Vendedor1!$C$9="",0,Vendedor1!$C$9)</f>
        <v>24550</v>
      </c>
      <c r="F4" s="79">
        <f>IF(Vendedor1!$E$9="",0,Vendedor1!$E$9)</f>
        <v>0</v>
      </c>
      <c r="G4" s="190">
        <f>IF(Vendedor1!$C$13="",0,Vendedor1!$C$13)</f>
        <v>2000</v>
      </c>
      <c r="H4" s="79">
        <f>IF(Vendedor1!$E$13="",0,Vendedor1!$E$13)</f>
        <v>0</v>
      </c>
      <c r="I4" s="190">
        <f>IF(Vendedor1!$C$17="",0,Vendedor1!$C$17)</f>
        <v>5500</v>
      </c>
      <c r="J4" s="79">
        <f>IF(Vendedor1!$E$17="",0,Vendedor1!$E$17)</f>
        <v>0</v>
      </c>
      <c r="L4" s="42">
        <f t="shared" ref="L4:L7" si="0">C4+E4+G4+I4</f>
        <v>56650</v>
      </c>
      <c r="M4" s="41">
        <f>MROUND(L4*Vendedor1!J$10,50)</f>
        <v>7350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49300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12600</v>
      </c>
      <c r="D5" s="30">
        <f>IF(Vendedor2!$E$5="",0,Vendedor2!$E$5)</f>
        <v>0</v>
      </c>
      <c r="E5" s="181">
        <f>IF(Vendedor2!$C$9="",0,Vendedor2!$C$9)</f>
        <v>3000</v>
      </c>
      <c r="F5" s="30">
        <f>IF(Vendedor2!$E$9="",0,Vendedor2!$E$9)</f>
        <v>0</v>
      </c>
      <c r="G5" s="181">
        <f>IF(Vendedor2!$C$13="",0,Vendedor2!$C$13)</f>
        <v>5750</v>
      </c>
      <c r="H5" s="30">
        <f>IF(Vendedor2!$E$13="",0,Vendedor2!$E$13)</f>
        <v>0</v>
      </c>
      <c r="I5" s="181">
        <f>IF(Vendedor2!$C$17="",0,Vendedor2!$C$17)</f>
        <v>0</v>
      </c>
      <c r="J5" s="30">
        <f>IF(Vendedor2!$E$17="",0,Vendedor2!$E$17)</f>
        <v>0</v>
      </c>
      <c r="L5" s="42">
        <f t="shared" si="0"/>
        <v>21350</v>
      </c>
      <c r="M5" s="41">
        <f>MROUND(L5*Vendedor2!J$10,50)</f>
        <v>2800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18550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74900</v>
      </c>
      <c r="D8" s="30">
        <f>IF(Vendedor5!$E$5="",0,Vendedor5!$E$5)</f>
        <v>500</v>
      </c>
      <c r="E8" s="181">
        <f>IF(Vendedor5!$C$9="",0,Vendedor5!$C$9)</f>
        <v>50950</v>
      </c>
      <c r="F8" s="30">
        <f>IF(Vendedor5!$E$9="",0,Vendedor5!$E$9)</f>
        <v>600</v>
      </c>
      <c r="G8" s="181">
        <f>IF(Vendedor5!$C$13="",0,Vendedor5!$C$13)</f>
        <v>8000</v>
      </c>
      <c r="H8" s="30">
        <f>IF(Vendedor5!$E$13="",0,Vendedor5!$E$13)</f>
        <v>0</v>
      </c>
      <c r="I8" s="181">
        <f>IF(Vendedor5!$C$17="",0,Vendedor5!$C$17)</f>
        <v>18750</v>
      </c>
      <c r="J8" s="30">
        <f>IF(Vendedor5!$E$17="",0,Vendedor5!$E$17)</f>
        <v>0</v>
      </c>
      <c r="L8" s="42">
        <f t="shared" ref="L8" si="4">C8+E8+G8+I8</f>
        <v>152600</v>
      </c>
      <c r="M8" s="41">
        <f>MROUND(L8*Vendedor5!J$12,50)</f>
        <v>18300</v>
      </c>
      <c r="N8" s="42">
        <f t="shared" ref="N8" si="5">D8+F8+H8+J8</f>
        <v>1100</v>
      </c>
      <c r="O8" s="41">
        <f t="shared" si="3"/>
        <v>93500</v>
      </c>
      <c r="P8" s="42">
        <f>Vendedor5!$F$5+Vendedor5!$F$9+Vendedor5!$F$13+Vendedor5!$F$17</f>
        <v>88000</v>
      </c>
      <c r="Q8">
        <v>17</v>
      </c>
      <c r="R8" s="41">
        <f t="shared" ref="R8" si="6">+L8-M8-O8</f>
        <v>40800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174700</v>
      </c>
      <c r="D10" s="30">
        <f>IF(Vendedor7!$E$5="",0,Vendedor7!$E$5)</f>
        <v>1000</v>
      </c>
      <c r="E10" s="181">
        <f>IF(Vendedor7!$C$9="",0,Vendedor7!$C$9)</f>
        <v>108550</v>
      </c>
      <c r="F10" s="30">
        <f>IF(Vendedor7!$E$9="",0,Vendedor7!$E$9)</f>
        <v>3400</v>
      </c>
      <c r="G10" s="181">
        <f>IF(Vendedor7!$C$13="",0,Vendedor7!$C$13)</f>
        <v>80900</v>
      </c>
      <c r="H10" s="30">
        <f>IF(Vendedor7!$E$13="",0,Vendedor7!$E$13)</f>
        <v>0</v>
      </c>
      <c r="I10" s="181">
        <f>IF(Vendedor7!$C$17="",0,Vendedor7!$C$17)</f>
        <v>179500</v>
      </c>
      <c r="J10" s="30">
        <f>IF(Vendedor7!$E$17="",0,Vendedor7!$E$17)</f>
        <v>450</v>
      </c>
      <c r="L10" s="42">
        <f t="shared" si="7"/>
        <v>543650</v>
      </c>
      <c r="M10" s="41">
        <f>MROUND(L10*Vendedor7!J$15,50)</f>
        <v>65250</v>
      </c>
      <c r="N10" s="42">
        <f t="shared" ref="N10:N27" si="9">D10+F10+H10+J10</f>
        <v>4850</v>
      </c>
      <c r="O10" s="41">
        <f t="shared" si="3"/>
        <v>412250</v>
      </c>
      <c r="P10" s="42">
        <f>Vendedor7!$F$5+Vendedor7!$F$9+Vendedor7!$F$13+Vendedor7!$F$17</f>
        <v>412250</v>
      </c>
      <c r="R10" s="41">
        <f t="shared" si="8"/>
        <v>66150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40400</v>
      </c>
      <c r="D12" s="30">
        <f>IF(Vendedor9!$E$5="",0,Vendedor9!$E$5)</f>
        <v>0</v>
      </c>
      <c r="E12" s="181">
        <f>IF(Vendedor9!$C$9="",0,Vendedor9!$C$9)</f>
        <v>10250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50650</v>
      </c>
      <c r="M12" s="41">
        <f>MROUND(L12*Vendedor9!J$12,50)</f>
        <v>6100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44550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29150</v>
      </c>
      <c r="D13" s="30">
        <f>IF(Vendedor10!$E$5="",0,Vendedor10!$E$5)</f>
        <v>0</v>
      </c>
      <c r="E13" s="181">
        <f>IF(Vendedor10!$C$9="",0,Vendedor10!$C$9)</f>
        <v>19950</v>
      </c>
      <c r="F13" s="30">
        <f>IF(Vendedor10!$E$9="",0,Vendedor10!$E$9)</f>
        <v>0</v>
      </c>
      <c r="G13" s="181">
        <f>IF(Vendedor10!$C$13="",0,Vendedor10!$C$13)</f>
        <v>16850</v>
      </c>
      <c r="H13" s="30">
        <f>IF(Vendedor10!$E$13="",0,Vendedor10!$E$13)</f>
        <v>250</v>
      </c>
      <c r="I13" s="181">
        <f>IF(Vendedor10!$C$17="",0,Vendedor10!$C$17)</f>
        <v>6050</v>
      </c>
      <c r="J13" s="30">
        <f>IF(Vendedor10!$E$17="",0,Vendedor10!$E$17)</f>
        <v>0</v>
      </c>
      <c r="L13" s="42">
        <f t="shared" si="7"/>
        <v>72000</v>
      </c>
      <c r="M13" s="41">
        <f>MROUND(L13*Vendedor10!J$10,50)</f>
        <v>8650</v>
      </c>
      <c r="N13" s="42">
        <f t="shared" si="9"/>
        <v>250</v>
      </c>
      <c r="O13" s="41">
        <f t="shared" si="3"/>
        <v>21250</v>
      </c>
      <c r="P13" s="42">
        <f>Vendedor10!$F$5+Vendedor10!$F$9+Vendedor10!$F$13+Vendedor10!$F$17</f>
        <v>20000</v>
      </c>
      <c r="R13" s="41">
        <f t="shared" si="8"/>
        <v>42100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4250</v>
      </c>
      <c r="D16" s="30">
        <f>IF(Vendedor13!$E$5="",0,Vendedor13!$E$5)</f>
        <v>0</v>
      </c>
      <c r="E16" s="181">
        <f>IF(Vendedor13!$C$9="",0,Vendedor13!$C$9)</f>
        <v>2350</v>
      </c>
      <c r="F16" s="30">
        <f>IF(Vendedor13!$E$9="",0,Vendedor13!$E$9)</f>
        <v>0</v>
      </c>
      <c r="G16" s="181">
        <f>IF(Vendedor13!$C$13="",0,Vendedor13!$C$13)</f>
        <v>0</v>
      </c>
      <c r="H16" s="30">
        <f>IF(Vendedor13!$E$13="",0,Vendedor13!$E$13)</f>
        <v>0</v>
      </c>
      <c r="I16" s="181">
        <f>IF(Vendedor13!$C$17="",0,Vendedor13!$C$17)</f>
        <v>4500</v>
      </c>
      <c r="J16" s="30">
        <f>IF(Vendedor13!$E$17="",0,Vendedor13!$E$17)</f>
        <v>0</v>
      </c>
      <c r="L16" s="42">
        <f t="shared" si="7"/>
        <v>11100</v>
      </c>
      <c r="M16" s="41">
        <f>MROUND(L16*Vendedor13!J$12,50)</f>
        <v>1350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9750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135100</v>
      </c>
      <c r="D17" s="30">
        <f>IF(Vendedor14!$E$5="",0,Vendedor14!$E$5)</f>
        <v>800</v>
      </c>
      <c r="E17" s="181">
        <f>IF(Vendedor14!$C$9="",0,Vendedor14!$C$9)</f>
        <v>113900</v>
      </c>
      <c r="F17" s="30">
        <f>IF(Vendedor14!$E$9="",0,Vendedor14!$E$9)</f>
        <v>1350</v>
      </c>
      <c r="G17" s="181">
        <f>IF(Vendedor14!$C$13="",0,Vendedor14!$C$13)</f>
        <v>77100</v>
      </c>
      <c r="H17" s="30">
        <f>IF(Vendedor14!$E$13="",0,Vendedor14!$E$13)</f>
        <v>850</v>
      </c>
      <c r="I17" s="181">
        <f>IF(Vendedor14!$C$17="",0,Vendedor14!$C$17)</f>
        <v>150200</v>
      </c>
      <c r="J17" s="30">
        <f>IF(Vendedor14!$E$17="",0,Vendedor14!$E$17)</f>
        <v>1600</v>
      </c>
      <c r="L17" s="42">
        <f>C17+E17+G17+I17</f>
        <v>476300</v>
      </c>
      <c r="M17" s="41">
        <f>MROUND(L17*Vendedor14!J$16,50)</f>
        <v>57150</v>
      </c>
      <c r="N17" s="42">
        <f t="shared" si="9"/>
        <v>4600</v>
      </c>
      <c r="O17" s="41">
        <f t="shared" si="3"/>
        <v>391000</v>
      </c>
      <c r="P17" s="42">
        <f>Vendedor14!$F$5+Vendedor14!$F$9+Vendedor14!$F$13+Vendedor14!$F$17</f>
        <v>391000</v>
      </c>
      <c r="R17" s="41">
        <f t="shared" si="8"/>
        <v>28150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67800</v>
      </c>
      <c r="D18" s="30">
        <f>IF(Vendedor15!$E$5="",0,Vendedor15!$E$5)</f>
        <v>200</v>
      </c>
      <c r="E18" s="181">
        <f>IF(Vendedor15!$C$9="",0,Vendedor15!$C$9)</f>
        <v>44300</v>
      </c>
      <c r="F18" s="30">
        <f>IF(Vendedor15!$E$9="",0,Vendedor15!$E$9)</f>
        <v>350</v>
      </c>
      <c r="G18" s="181">
        <f>IF(Vendedor15!$C$13="",0,Vendedor15!$C$13)</f>
        <v>19300</v>
      </c>
      <c r="H18" s="30">
        <f>IF(Vendedor15!$E$13="",0,Vendedor15!$E$13)</f>
        <v>650</v>
      </c>
      <c r="I18" s="181">
        <f>IF(Vendedor15!$C$17="",0,Vendedor15!$C$17)</f>
        <v>7700</v>
      </c>
      <c r="J18" s="30">
        <f>IF(Vendedor15!$E$17="",0,Vendedor15!$E$17)</f>
        <v>100</v>
      </c>
      <c r="L18" s="42">
        <f t="shared" ref="L18:L27" si="10">C18+E18+G18+I18</f>
        <v>139100</v>
      </c>
      <c r="M18" s="41">
        <f>MROUND(L18*Vendedor15!J$16,50)</f>
        <v>16700</v>
      </c>
      <c r="N18" s="42">
        <f t="shared" si="9"/>
        <v>1300</v>
      </c>
      <c r="O18" s="41">
        <f t="shared" si="3"/>
        <v>110500</v>
      </c>
      <c r="P18" s="42">
        <f>Vendedor15!$F$5+Vendedor15!$F$9+Vendedor15!$F$13+Vendedor15!$F$17</f>
        <v>110500</v>
      </c>
      <c r="R18" s="41">
        <f t="shared" si="8"/>
        <v>11900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563500</v>
      </c>
      <c r="D32" s="44">
        <f t="shared" si="14"/>
        <v>2500</v>
      </c>
      <c r="E32" s="43">
        <f t="shared" si="14"/>
        <v>377800</v>
      </c>
      <c r="F32" s="44">
        <f t="shared" si="14"/>
        <v>5700</v>
      </c>
      <c r="G32" s="43">
        <f t="shared" si="14"/>
        <v>209900</v>
      </c>
      <c r="H32" s="44">
        <f t="shared" si="14"/>
        <v>1750</v>
      </c>
      <c r="I32" s="43">
        <f t="shared" si="14"/>
        <v>372200</v>
      </c>
      <c r="J32" s="44">
        <f t="shared" si="14"/>
        <v>2150</v>
      </c>
      <c r="L32" s="45">
        <f>SUM(L4:L31)</f>
        <v>1523400</v>
      </c>
      <c r="M32" s="45">
        <f>SUM(M7:M31)</f>
        <v>173500</v>
      </c>
      <c r="N32" s="96">
        <f>SUM(N4:N31)</f>
        <v>12100</v>
      </c>
      <c r="O32" s="46">
        <f>SUM(O4:O31)</f>
        <v>1028500</v>
      </c>
      <c r="P32" s="141">
        <f>SUM(P4:P31)</f>
        <v>1021750</v>
      </c>
      <c r="R32" s="80">
        <f>SUM(R4:R31)</f>
        <v>311250</v>
      </c>
    </row>
    <row r="33" spans="3:15" x14ac:dyDescent="0.35">
      <c r="D33" s="121">
        <f>+D32*85</f>
        <v>212500</v>
      </c>
      <c r="F33" s="121">
        <f>+F32*85</f>
        <v>484500</v>
      </c>
      <c r="H33" s="121">
        <f>+H32*85</f>
        <v>148750</v>
      </c>
      <c r="J33" s="121">
        <f>+J32*85</f>
        <v>182750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1523400</v>
      </c>
      <c r="E36" s="43">
        <f>+D36-L4-L5-L6</f>
        <v>1445400</v>
      </c>
    </row>
    <row r="37" spans="3:15" x14ac:dyDescent="0.35">
      <c r="C37" s="47" t="s">
        <v>33</v>
      </c>
      <c r="D37" s="48">
        <f>D36*13%</f>
        <v>198042</v>
      </c>
      <c r="E37">
        <f>+D37-M4-M5-M6</f>
        <v>187892</v>
      </c>
    </row>
    <row r="38" spans="3:15" x14ac:dyDescent="0.35">
      <c r="C38" s="47" t="s">
        <v>30</v>
      </c>
      <c r="D38" s="30">
        <f>SUM(O4:O27)</f>
        <v>1028500</v>
      </c>
      <c r="G38" s="101"/>
    </row>
    <row r="39" spans="3:15" ht="15" thickBot="1" x14ac:dyDescent="0.4">
      <c r="C39" s="49" t="s">
        <v>4</v>
      </c>
      <c r="D39" s="81">
        <f>+D36-D37-D38</f>
        <v>296858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296858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69 Roja</v>
      </c>
      <c r="D2" s="269"/>
      <c r="E2" s="268" t="str">
        <f>IF(E33=0,"",CONCATENATE(PREMIOS!$B11," ",PREMIOS!$B12))</f>
        <v>99 Blanca</v>
      </c>
      <c r="F2" s="269"/>
      <c r="G2" s="268" t="str">
        <f>IF(G33=0,"",CONCATENATE(PREMIOS!$B15," ",PREMIOS!$B16))</f>
        <v>72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19950</v>
      </c>
      <c r="D10" s="30">
        <f>IF(Vendedor7!$E$8="",0,Vendedor7!$E$8)</f>
        <v>350</v>
      </c>
      <c r="E10" s="181">
        <f>IF(Vendedor7!$C$12="",0,Vendedor7!$C$12)</f>
        <v>18250</v>
      </c>
      <c r="F10" s="30">
        <f>IF(Vendedor7!$E$12="",0,Vendedor7!$E$12)</f>
        <v>0</v>
      </c>
      <c r="G10" s="181">
        <f>IF(Vendedor7!$C$16="",0,Vendedor7!$C$16)</f>
        <v>25450</v>
      </c>
      <c r="H10" s="30">
        <f>IF(Vendedor7!$E$16="",0,Vendedor7!$E$16)</f>
        <v>0</v>
      </c>
      <c r="J10" s="42">
        <f t="shared" si="1"/>
        <v>63650</v>
      </c>
      <c r="K10" s="41">
        <f>J10*Vendedor7!J$16</f>
        <v>6365</v>
      </c>
      <c r="L10" s="42">
        <f t="shared" si="2"/>
        <v>350</v>
      </c>
      <c r="M10" s="42">
        <f t="shared" si="3"/>
        <v>350</v>
      </c>
      <c r="N10" s="42">
        <f t="shared" si="0"/>
        <v>77000</v>
      </c>
      <c r="O10" s="42">
        <f>Vendedor7!$F$8+Vendedor7!$F$12+Vendedor7!$F$16</f>
        <v>70000</v>
      </c>
      <c r="Q10" s="42">
        <f t="shared" si="4"/>
        <v>-12715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1600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1600</v>
      </c>
      <c r="K12" s="41">
        <f>J12*Vendedor9!J$13</f>
        <v>160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1440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1000</v>
      </c>
      <c r="D16" s="30">
        <f>IF(Vendedor13!$E$8="",0,Vendedor13!$E$8)</f>
        <v>0</v>
      </c>
      <c r="E16" s="181">
        <f>IF(Vendedor13!$C$12="",0,Vendedor13!$C$12)</f>
        <v>4000</v>
      </c>
      <c r="F16" s="30">
        <f>IF(Vendedor13!$E$12="",0,Vendedor13!$E$12)</f>
        <v>0</v>
      </c>
      <c r="G16" s="181">
        <f>IF(Vendedor13!$C$16="",0,Vendedor13!$C$16)</f>
        <v>4000</v>
      </c>
      <c r="H16" s="30">
        <f>IF(Vendedor13!$E$16="",0,Vendedor13!$E$16)</f>
        <v>0</v>
      </c>
      <c r="J16" s="42">
        <f t="shared" si="1"/>
        <v>9000</v>
      </c>
      <c r="K16" s="41">
        <f>J16*Vendedor13!J$13</f>
        <v>900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8100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25750</v>
      </c>
      <c r="D17" s="30">
        <f>IF(Vendedor14!$E$8="",0,Vendedor14!$E$8)</f>
        <v>1550</v>
      </c>
      <c r="E17" s="181">
        <f>IF(Vendedor14!$C$12="",0,Vendedor14!$C$12)</f>
        <v>18400</v>
      </c>
      <c r="F17" s="30">
        <f>IF(Vendedor14!$E$12="",0,Vendedor14!$E$12)</f>
        <v>1000</v>
      </c>
      <c r="G17" s="181">
        <f>IF(Vendedor14!$C$16="",0,Vendedor14!$C$16)</f>
        <v>49900</v>
      </c>
      <c r="H17" s="30">
        <f>IF(Vendedor14!$E$16="",0,Vendedor14!$E$16)</f>
        <v>1100</v>
      </c>
      <c r="J17" s="42">
        <f t="shared" si="1"/>
        <v>94050</v>
      </c>
      <c r="K17" s="41">
        <f>J17*Vendedor14!J$17</f>
        <v>9405</v>
      </c>
      <c r="L17" s="42">
        <f t="shared" si="2"/>
        <v>1550</v>
      </c>
      <c r="M17" s="42">
        <f t="shared" si="3"/>
        <v>3650</v>
      </c>
      <c r="N17" s="42">
        <f t="shared" si="0"/>
        <v>341000</v>
      </c>
      <c r="O17" s="42">
        <f>Vendedor14!$F$8+Vendedor14!$F$12+Vendedor14!$F$16</f>
        <v>310000</v>
      </c>
      <c r="Q17" s="42">
        <f t="shared" si="4"/>
        <v>-225355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28800</v>
      </c>
      <c r="D18" s="30">
        <f>IF(Vendedor15!$E$8="",0,Vendedor15!$E$8)</f>
        <v>0</v>
      </c>
      <c r="E18" s="181">
        <f>IF(Vendedor15!$C$12="",0,Vendedor15!$C$12)</f>
        <v>10900</v>
      </c>
      <c r="F18" s="30">
        <f>IF(Vendedor15!$E$12="",0,Vendedor15!$E$12)</f>
        <v>100</v>
      </c>
      <c r="G18" s="181">
        <f>IF(Vendedor15!$C$16="",0,Vendedor15!$C$16)</f>
        <v>26300</v>
      </c>
      <c r="H18" s="30">
        <f>IF(Vendedor15!$E$16="",0,Vendedor15!$E$16)</f>
        <v>2000</v>
      </c>
      <c r="J18" s="42">
        <f t="shared" ref="J18" si="5">+C18+E18+G18</f>
        <v>66000</v>
      </c>
      <c r="K18" s="41">
        <f>J18*Vendedor15!J$17</f>
        <v>6600</v>
      </c>
      <c r="L18" s="42">
        <f t="shared" si="2"/>
        <v>0</v>
      </c>
      <c r="M18" s="42">
        <f t="shared" si="3"/>
        <v>2100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59400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77100</v>
      </c>
      <c r="D33" s="44">
        <f>IF(PREMIOS!E8&lt;&gt;0,SUM(D4:D32),0)</f>
        <v>1900</v>
      </c>
      <c r="E33" s="43">
        <f>SUM(E4:E32)</f>
        <v>51550</v>
      </c>
      <c r="F33" s="44">
        <f>IF(PREMIOS!E12&lt;&gt;0,SUM(F4:F32),0)</f>
        <v>0</v>
      </c>
      <c r="G33" s="43">
        <f>SUM(G4:G32)</f>
        <v>105650</v>
      </c>
      <c r="H33" s="44">
        <f>IF(PREMIOS!E16&lt;&gt;0,SUM(H4:H32),0)</f>
        <v>0</v>
      </c>
      <c r="J33" s="45">
        <f>SUM(J4:J32)</f>
        <v>234300</v>
      </c>
      <c r="K33" s="45">
        <f>SUM(K7:K32)</f>
        <v>23430</v>
      </c>
      <c r="L33" s="96">
        <f>SUM(L7:L32)</f>
        <v>1900</v>
      </c>
      <c r="M33" s="96">
        <f>SUM(M7:M32)</f>
        <v>6100</v>
      </c>
      <c r="N33" s="96">
        <f>SUM(N4:N27)</f>
        <v>418000</v>
      </c>
      <c r="O33" s="96">
        <f>SUM(O4:O27)</f>
        <v>380000</v>
      </c>
      <c r="Q33" s="80">
        <f>SUM(Q4:Q32)</f>
        <v>-169130</v>
      </c>
    </row>
    <row r="34" spans="3:17" x14ac:dyDescent="0.35">
      <c r="D34" s="119">
        <f>IF(PREMIOS!$D8=PREMIOS!$J$10,D33*$G$38,IF(PREMIOS!$D8=PREMIOS!$J$11,D33*$F$38,IF(PREMIOS!$D8=PREMIOS!$J$12,0,"")))</f>
        <v>418000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234300</v>
      </c>
      <c r="E37" s="43">
        <f>+D37-J4-J5-J6</f>
        <v>234300</v>
      </c>
      <c r="F37" s="276"/>
      <c r="G37" s="276"/>
    </row>
    <row r="38" spans="3:17" ht="15" thickBot="1" x14ac:dyDescent="0.4">
      <c r="C38" s="47" t="s">
        <v>33</v>
      </c>
      <c r="D38" s="30">
        <f>D37*10%</f>
        <v>23430</v>
      </c>
      <c r="E38" s="43">
        <f>+D38-K4-K5-K6</f>
        <v>23430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418000</v>
      </c>
    </row>
    <row r="40" spans="3:17" ht="15" thickBot="1" x14ac:dyDescent="0.4">
      <c r="C40" s="49" t="s">
        <v>4</v>
      </c>
      <c r="D40" s="81">
        <f>+D37-D38-D39</f>
        <v>-207130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-207130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23</v>
      </c>
      <c r="D2" s="269"/>
      <c r="E2" s="268">
        <f>DigitaPRIMERA!E2</f>
        <v>64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11100</v>
      </c>
      <c r="D4" s="79">
        <f>IF(Vendedor1!$E$19="",0,Vendedor1!$E$19)</f>
        <v>0</v>
      </c>
      <c r="E4" s="190">
        <f>IF(Vendedor1!$C$20="",0,Vendedor1!$C$20)</f>
        <v>400</v>
      </c>
      <c r="F4" s="79">
        <f>IF(Vendedor1!$E$20="",0,Vendedor1!$E$20)</f>
        <v>0</v>
      </c>
      <c r="H4" s="42">
        <f>+C4+E4</f>
        <v>11500</v>
      </c>
      <c r="I4" s="41">
        <f>MROUND(H4*Vendedor1!J$9,50)</f>
        <v>1500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10000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6000</v>
      </c>
      <c r="D5" s="30">
        <f>IF(Vendedor2!$E$19="",0,Vendedor2!$E$19)</f>
        <v>200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6000</v>
      </c>
      <c r="I5" s="41">
        <f>MROUND(H5*Vendedor2!J$9,50)</f>
        <v>800</v>
      </c>
      <c r="J5" s="42">
        <f t="shared" ref="J5:J31" si="2">+D5+F5</f>
        <v>200</v>
      </c>
      <c r="K5" s="42">
        <f t="shared" ref="K5:K27" si="3">+J5*85</f>
        <v>17000</v>
      </c>
      <c r="L5" s="42">
        <f>Vendedor2!$F$19+Vendedor2!$F$20</f>
        <v>16000</v>
      </c>
      <c r="N5" s="42">
        <f t="shared" si="0"/>
        <v>-10800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19150</v>
      </c>
      <c r="D8" s="30">
        <f>IF(Vendedor5!$E$19="",0,Vendedor5!$E$19)</f>
        <v>0</v>
      </c>
      <c r="E8" s="181">
        <f>IF(Vendedor5!$C$20="",0,Vendedor5!$C$20)</f>
        <v>15050</v>
      </c>
      <c r="F8" s="30">
        <f>IF(Vendedor5!$E$20="",0,Vendedor5!$E$20)</f>
        <v>0</v>
      </c>
      <c r="H8" s="134">
        <f t="shared" si="1"/>
        <v>34200</v>
      </c>
      <c r="I8" s="149">
        <f>MROUND(H8*Vendedor5!J$11,50)</f>
        <v>4100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30100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60950</v>
      </c>
      <c r="D10" s="30">
        <f>IF(Vendedor7!$E$19="",0,Vendedor7!$E$19)</f>
        <v>1000</v>
      </c>
      <c r="E10" s="181">
        <f>IF(Vendedor7!$C$20="",0,Vendedor7!$C$20)</f>
        <v>66200</v>
      </c>
      <c r="F10" s="30">
        <f>IF(Vendedor7!$E$20="",0,Vendedor7!$E$20)</f>
        <v>0</v>
      </c>
      <c r="H10" s="42">
        <f t="shared" si="1"/>
        <v>127150</v>
      </c>
      <c r="I10" s="41">
        <f>MROUND(H10*Vendedor7!J$14,50)</f>
        <v>15250</v>
      </c>
      <c r="J10" s="42">
        <f t="shared" si="2"/>
        <v>1000</v>
      </c>
      <c r="K10" s="42">
        <f t="shared" si="3"/>
        <v>85000</v>
      </c>
      <c r="L10" s="42">
        <f>Vendedor7!$F$19+Vendedor7!$F$20</f>
        <v>85000</v>
      </c>
      <c r="N10" s="42">
        <f t="shared" si="0"/>
        <v>26900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33600</v>
      </c>
      <c r="D12" s="30">
        <f>IF(Vendedor9!$E$19="",0,Vendedor9!$E$19)</f>
        <v>500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33600</v>
      </c>
      <c r="I12" s="149">
        <f>MROUND(H12*Vendedor9!J$11,50)</f>
        <v>4050</v>
      </c>
      <c r="J12" s="134">
        <f t="shared" si="2"/>
        <v>500</v>
      </c>
      <c r="K12" s="134">
        <f t="shared" si="3"/>
        <v>42500</v>
      </c>
      <c r="L12" s="134">
        <f>Vendedor9!$F$19+Vendedor9!$F$20</f>
        <v>42500</v>
      </c>
      <c r="M12" s="156"/>
      <c r="N12" s="134">
        <f t="shared" si="0"/>
        <v>-12950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5000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5000</v>
      </c>
      <c r="I16" s="149">
        <f>MROUND(H16*Vendedor13!J$11,50)</f>
        <v>600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4400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106850</v>
      </c>
      <c r="D17" s="30">
        <f>IF(Vendedor14!$E$19="",0,Vendedor14!$E$19)</f>
        <v>0</v>
      </c>
      <c r="E17" s="181">
        <f>IF(Vendedor14!$C$20="",0,Vendedor14!$C$20)</f>
        <v>56550</v>
      </c>
      <c r="F17" s="30">
        <f>IF(Vendedor14!$E$20="",0,Vendedor14!$E$20)</f>
        <v>0</v>
      </c>
      <c r="H17" s="42">
        <f t="shared" si="1"/>
        <v>163400</v>
      </c>
      <c r="I17" s="41">
        <f>MROUND(H17*Vendedor14!J$15,50)</f>
        <v>19600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143800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58050</v>
      </c>
      <c r="D18" s="30">
        <f>IF(Vendedor15!$E$19="",0,Vendedor15!$E$19)</f>
        <v>800</v>
      </c>
      <c r="E18" s="181">
        <f>IF(Vendedor15!$C$20="",0,Vendedor15!$C$20)</f>
        <v>22100</v>
      </c>
      <c r="F18" s="30">
        <f>IF(Vendedor15!$E$20="",0,Vendedor15!$E$20)</f>
        <v>350</v>
      </c>
      <c r="H18" s="42">
        <f t="shared" si="1"/>
        <v>80150</v>
      </c>
      <c r="I18" s="41">
        <f>MROUND(H18*Vendedor15!J$15,50)</f>
        <v>9600</v>
      </c>
      <c r="J18" s="42">
        <f t="shared" si="2"/>
        <v>1150</v>
      </c>
      <c r="K18" s="42">
        <f t="shared" si="3"/>
        <v>97750</v>
      </c>
      <c r="L18" s="42">
        <f>Vendedor15!$F$19+Vendedor15!$F$20</f>
        <v>97750</v>
      </c>
      <c r="N18" s="42">
        <f t="shared" si="0"/>
        <v>-27200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-160300</v>
      </c>
      <c r="F27" s="50">
        <f>IF(Vendedor24!$E$20="",0,Vendedor24!$E$20)</f>
        <v>-350</v>
      </c>
      <c r="H27" s="42">
        <f t="shared" si="1"/>
        <v>-160300</v>
      </c>
      <c r="I27" s="41">
        <f>IF(H27*Vendedor24!J$9&gt;0,MROUND(H27*Vendedor24!J$9,50),MROUND(H27*Vendedor24!J$9,-50))</f>
        <v>-19250</v>
      </c>
      <c r="J27" s="42">
        <f t="shared" si="2"/>
        <v>-350</v>
      </c>
      <c r="K27" s="42">
        <f t="shared" si="3"/>
        <v>-29750</v>
      </c>
      <c r="L27" s="42">
        <f>Vendedor24!$F$19+Vendedor24!$F$20</f>
        <v>-29750</v>
      </c>
      <c r="N27" s="42">
        <f t="shared" si="0"/>
        <v>-111300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300700</v>
      </c>
      <c r="D32" s="44">
        <f>SUM(D4:D31)</f>
        <v>2500</v>
      </c>
      <c r="E32" s="43">
        <f>SUM(E4:E31)</f>
        <v>0</v>
      </c>
      <c r="F32" s="44">
        <f>SUM(F4:F31)</f>
        <v>0</v>
      </c>
      <c r="H32" s="96">
        <f>SUM(H4:H31)</f>
        <v>300700</v>
      </c>
      <c r="I32" s="45">
        <f>SUM(I7:I31)</f>
        <v>33950</v>
      </c>
      <c r="J32" s="96"/>
      <c r="K32" s="96">
        <f>SUM(K4:K31)</f>
        <v>212500</v>
      </c>
      <c r="L32" s="96">
        <f>SUM(L4:L31)</f>
        <v>211500</v>
      </c>
      <c r="N32" s="80">
        <f>SUM(N4:N31)</f>
        <v>52950</v>
      </c>
    </row>
    <row r="33" spans="3:6" x14ac:dyDescent="0.35">
      <c r="D33" s="100">
        <f>+D32*85</f>
        <v>212500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300700</v>
      </c>
      <c r="E36" s="43">
        <f>+D36-H4-H5-H6</f>
        <v>283200</v>
      </c>
    </row>
    <row r="37" spans="3:6" x14ac:dyDescent="0.35">
      <c r="C37" s="47" t="s">
        <v>33</v>
      </c>
      <c r="D37" s="48">
        <f>D36*13%</f>
        <v>39091</v>
      </c>
      <c r="E37">
        <f>+D37-I4-I5-I6</f>
        <v>36791</v>
      </c>
    </row>
    <row r="38" spans="3:6" ht="15" thickBot="1" x14ac:dyDescent="0.4">
      <c r="C38" s="47" t="s">
        <v>30</v>
      </c>
      <c r="D38" s="30">
        <f>SUM(K4:K27)</f>
        <v>212500</v>
      </c>
    </row>
    <row r="39" spans="3:6" ht="15" thickBot="1" x14ac:dyDescent="0.4">
      <c r="C39" s="49" t="s">
        <v>4</v>
      </c>
      <c r="D39" s="81">
        <f>+D36-D37-D38</f>
        <v>49109</v>
      </c>
      <c r="F39" s="99">
        <f>+N32-D39</f>
        <v>3841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49109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24</v>
      </c>
      <c r="D2" s="269"/>
      <c r="E2" s="268" t="str">
        <f>DigitaHONDURAS!E2</f>
        <v>09</v>
      </c>
      <c r="F2" s="269"/>
      <c r="G2" s="268">
        <f>DigitaHONDURAS!G2</f>
        <v>49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77500</v>
      </c>
      <c r="D10" s="30">
        <f>IF(Vendedor7!$E$21="",0,Vendedor7!$E$21)</f>
        <v>1500</v>
      </c>
      <c r="E10" s="181">
        <f>IF(Vendedor7!$C$22="",0,Vendedor7!$C$22)</f>
        <v>47000</v>
      </c>
      <c r="F10" s="30">
        <f>IF(Vendedor7!$E$22="",0,Vendedor7!$E$22)</f>
        <v>0</v>
      </c>
      <c r="G10" s="181">
        <f>IF(Vendedor7!$C$23="",0,Vendedor7!$C$23)</f>
        <v>45800</v>
      </c>
      <c r="H10" s="30">
        <f>IF(Vendedor7!$E$23="",0,Vendedor7!$E$23)</f>
        <v>2200</v>
      </c>
      <c r="J10" s="42">
        <f t="shared" si="0"/>
        <v>170300</v>
      </c>
      <c r="K10" s="41">
        <f>MROUND(J10*Vendedor7!J$14,50)</f>
        <v>20450</v>
      </c>
      <c r="L10" s="42">
        <f t="shared" si="1"/>
        <v>3700</v>
      </c>
      <c r="M10" s="42">
        <f t="shared" si="3"/>
        <v>314500</v>
      </c>
      <c r="N10" s="42">
        <f>Vendedor7!$F$21+Vendedor7!$F$22+Vendedor7!$F$23</f>
        <v>314500</v>
      </c>
      <c r="P10" s="42">
        <f t="shared" si="2"/>
        <v>-164650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60700</v>
      </c>
      <c r="D17" s="30">
        <f>IF(Vendedor14!$E$21="",0,Vendedor14!$E$21)</f>
        <v>1200</v>
      </c>
      <c r="E17" s="181">
        <f>IF(Vendedor14!$C$22="",0,Vendedor14!$C$22)</f>
        <v>11100</v>
      </c>
      <c r="F17" s="30">
        <f>IF(Vendedor14!$E$22="",0,Vendedor14!$E$22)</f>
        <v>100</v>
      </c>
      <c r="G17" s="181">
        <f>IF(Vendedor14!$C$23="",0,Vendedor14!$C$23)</f>
        <v>23900</v>
      </c>
      <c r="H17" s="30">
        <f>IF(Vendedor14!$E$23="",0,Vendedor14!$E$23)</f>
        <v>0</v>
      </c>
      <c r="J17" s="42">
        <f t="shared" si="0"/>
        <v>95700</v>
      </c>
      <c r="K17" s="41">
        <f>MROUND(J17*Vendedor14!J$15,50)</f>
        <v>11500</v>
      </c>
      <c r="L17" s="42">
        <f t="shared" si="1"/>
        <v>1300</v>
      </c>
      <c r="M17" s="42">
        <f t="shared" si="3"/>
        <v>110500</v>
      </c>
      <c r="N17" s="42">
        <f>Vendedor14!$F$21+Vendedor14!$F$22+Vendedor14!$F$23</f>
        <v>110500</v>
      </c>
      <c r="P17" s="42">
        <f t="shared" si="2"/>
        <v>-26300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9800</v>
      </c>
      <c r="D18" s="30">
        <f>IF(Vendedor15!$E$21="",0,Vendedor15!$E$21)</f>
        <v>300</v>
      </c>
      <c r="E18" s="181">
        <f>IF(Vendedor15!$C$22="",0,Vendedor15!$C$22)</f>
        <v>0</v>
      </c>
      <c r="F18" s="30">
        <f>IF(Vendedor15!$E$22="",0,Vendedor15!$E$22)</f>
        <v>0</v>
      </c>
      <c r="G18" s="181">
        <f>IF(Vendedor15!$C$23="",0,Vendedor15!$C$23)</f>
        <v>4200</v>
      </c>
      <c r="H18" s="30">
        <f>IF(Vendedor15!$E$23="",0,Vendedor15!$E$23)</f>
        <v>0</v>
      </c>
      <c r="J18" s="42">
        <f t="shared" si="0"/>
        <v>14000</v>
      </c>
      <c r="K18" s="41">
        <f>MROUND(J18*Vendedor15!J$15,50)</f>
        <v>1700</v>
      </c>
      <c r="L18" s="42">
        <f t="shared" si="1"/>
        <v>300</v>
      </c>
      <c r="M18" s="42">
        <f t="shared" si="3"/>
        <v>25500</v>
      </c>
      <c r="N18" s="42">
        <f>Vendedor15!$F$21+Vendedor15!$F$22+Vendedor15!$F$23</f>
        <v>25500</v>
      </c>
      <c r="P18" s="42">
        <f t="shared" si="2"/>
        <v>-13200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148000</v>
      </c>
      <c r="D32" s="44">
        <f t="shared" si="8"/>
        <v>3000</v>
      </c>
      <c r="E32" s="43">
        <f t="shared" si="8"/>
        <v>58100</v>
      </c>
      <c r="F32" s="44">
        <f t="shared" si="8"/>
        <v>100</v>
      </c>
      <c r="G32" s="43">
        <f t="shared" si="8"/>
        <v>73900</v>
      </c>
      <c r="H32" s="44">
        <f t="shared" si="8"/>
        <v>2200</v>
      </c>
      <c r="J32" s="96">
        <f>SUM(J4:J31)</f>
        <v>280000</v>
      </c>
      <c r="K32" s="45">
        <f>SUM(K7:K31)</f>
        <v>33650</v>
      </c>
      <c r="L32" s="96"/>
      <c r="M32" s="96">
        <f>SUM(M4:M31)</f>
        <v>450500</v>
      </c>
      <c r="N32" s="96">
        <f>SUM(N4:N31)</f>
        <v>450500</v>
      </c>
      <c r="P32" s="80">
        <f>SUM(P4:P31)</f>
        <v>-204150</v>
      </c>
    </row>
    <row r="33" spans="3:8" x14ac:dyDescent="0.35">
      <c r="D33" s="100">
        <f>+D32*85</f>
        <v>255000</v>
      </c>
      <c r="F33" s="100">
        <f>+F32*85</f>
        <v>8500</v>
      </c>
      <c r="H33" s="100">
        <f>+H32*85</f>
        <v>187000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280000</v>
      </c>
      <c r="E36" s="43">
        <f>+D36-J4-J5-J6</f>
        <v>280000</v>
      </c>
    </row>
    <row r="37" spans="3:8" x14ac:dyDescent="0.35">
      <c r="C37" s="47" t="s">
        <v>33</v>
      </c>
      <c r="D37" s="48">
        <f>D36*13%</f>
        <v>36400</v>
      </c>
      <c r="E37">
        <f>+D37-K4-K5-K6</f>
        <v>36400</v>
      </c>
    </row>
    <row r="38" spans="3:8" ht="15" thickBot="1" x14ac:dyDescent="0.4">
      <c r="C38" s="47" t="s">
        <v>30</v>
      </c>
      <c r="D38" s="30">
        <f>SUM(M4:M27)</f>
        <v>450500</v>
      </c>
      <c r="G38" s="101"/>
    </row>
    <row r="39" spans="3:8" ht="15" thickBot="1" x14ac:dyDescent="0.4">
      <c r="C39" s="49" t="s">
        <v>4</v>
      </c>
      <c r="D39" s="81">
        <f>+D36-D37-D38</f>
        <v>-206900</v>
      </c>
      <c r="F39" s="99">
        <f>+P32-D39</f>
        <v>2750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-206900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68</v>
      </c>
      <c r="D2" s="269"/>
      <c r="E2" s="268">
        <f>DigitaDOMINICANA!E2</f>
        <v>15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66200</v>
      </c>
      <c r="D10" s="30">
        <f>IF(Vendedor7!$E$24="",0,Vendedor7!$E$24)</f>
        <v>0</v>
      </c>
      <c r="E10" s="181">
        <f>IF(Vendedor7!$C$25="",0,Vendedor7!$C$25)</f>
        <v>48500</v>
      </c>
      <c r="F10" s="30">
        <f>IF(Vendedor7!$E$25="",0,Vendedor7!$E$25)</f>
        <v>2000</v>
      </c>
      <c r="H10" s="42">
        <f t="shared" si="1"/>
        <v>114700</v>
      </c>
      <c r="I10" s="41">
        <f>MROUND(H10*Vendedor7!J$14,50)</f>
        <v>13750</v>
      </c>
      <c r="J10" s="42">
        <f t="shared" si="2"/>
        <v>2000</v>
      </c>
      <c r="K10" s="42">
        <f t="shared" si="3"/>
        <v>170000</v>
      </c>
      <c r="L10" s="42">
        <f>Vendedor7!$F$24+Vendedor7!$F$25</f>
        <v>170000</v>
      </c>
      <c r="N10" s="42">
        <f t="shared" si="0"/>
        <v>-69050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66200</v>
      </c>
      <c r="D32" s="44">
        <f>SUM(D4:D31)</f>
        <v>0</v>
      </c>
      <c r="E32" s="43">
        <f>SUM(E4:E31)</f>
        <v>48500</v>
      </c>
      <c r="F32" s="44">
        <f>SUM(F4:F31)</f>
        <v>2000</v>
      </c>
      <c r="H32" s="96">
        <f>SUM(H4:H31)</f>
        <v>114700</v>
      </c>
      <c r="I32" s="45">
        <f>SUM(I7:I31)</f>
        <v>13750</v>
      </c>
      <c r="J32" s="96"/>
      <c r="K32" s="96">
        <f>SUM(K4:K31)</f>
        <v>170000</v>
      </c>
      <c r="L32" s="96">
        <f>SUM(L4:L31)</f>
        <v>170000</v>
      </c>
      <c r="N32" s="80">
        <f>SUM(N4:N31)</f>
        <v>-69050</v>
      </c>
    </row>
    <row r="33" spans="3:6" x14ac:dyDescent="0.35">
      <c r="D33" s="100">
        <f>+D32*85</f>
        <v>0</v>
      </c>
      <c r="F33" s="100">
        <f>+F32*85</f>
        <v>170000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114700</v>
      </c>
      <c r="E36" s="43">
        <f>+D36-H4-H5-H6</f>
        <v>114700</v>
      </c>
    </row>
    <row r="37" spans="3:6" x14ac:dyDescent="0.35">
      <c r="C37" s="47" t="s">
        <v>33</v>
      </c>
      <c r="D37" s="48">
        <f>D36*13%</f>
        <v>14911</v>
      </c>
      <c r="E37">
        <f>+D37-I4-I5-I6</f>
        <v>14911</v>
      </c>
    </row>
    <row r="38" spans="3:6" ht="15" thickBot="1" x14ac:dyDescent="0.4">
      <c r="C38" s="47" t="s">
        <v>30</v>
      </c>
      <c r="D38" s="30">
        <f>SUM(K4:K27)</f>
        <v>170000</v>
      </c>
    </row>
    <row r="39" spans="3:6" ht="15" thickBot="1" x14ac:dyDescent="0.4">
      <c r="C39" s="49" t="s">
        <v>4</v>
      </c>
      <c r="D39" s="81">
        <f>+D36-D37-D38</f>
        <v>-70211</v>
      </c>
      <c r="F39" s="99">
        <f>+N32-D39</f>
        <v>1161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-70211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>
        <f>DigitaPANAMENA!C2</f>
        <v>76</v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2200</v>
      </c>
      <c r="D10" s="30">
        <f>IF(Vendedor7!$E$26="",0,Vendedor7!$E$26)</f>
        <v>0</v>
      </c>
      <c r="F10" s="42">
        <f t="shared" si="1"/>
        <v>2200</v>
      </c>
      <c r="G10" s="41">
        <f>MROUND(F10*Vendedor7!J$14,50)</f>
        <v>250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1950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2200</v>
      </c>
      <c r="D32" s="44">
        <f>SUM(D4:D31)</f>
        <v>0</v>
      </c>
      <c r="F32" s="96">
        <f>SUM(F4:F31)</f>
        <v>2200</v>
      </c>
      <c r="G32" s="96">
        <f>SUM(G7:G31)</f>
        <v>250</v>
      </c>
      <c r="H32" s="96"/>
      <c r="I32" s="96">
        <f>SUM(I4:I31)</f>
        <v>0</v>
      </c>
      <c r="J32" s="96">
        <f>SUM(J4:J31)</f>
        <v>0</v>
      </c>
      <c r="L32" s="92">
        <f>SUM(L4:L31)</f>
        <v>1950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2200</v>
      </c>
      <c r="F36" s="43">
        <f>+D36-F4-F5-F6</f>
        <v>2200</v>
      </c>
    </row>
    <row r="37" spans="3:6" x14ac:dyDescent="0.35">
      <c r="C37" s="47" t="s">
        <v>33</v>
      </c>
      <c r="D37" s="30">
        <f>D36*14%</f>
        <v>308.00000000000006</v>
      </c>
      <c r="E37" s="43"/>
      <c r="F37" s="43">
        <f>+D37-G4-G5-G6</f>
        <v>308.00000000000006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1892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1892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26-03-2026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1445400</v>
      </c>
      <c r="C4" s="158">
        <f>HojaNICA!M32</f>
        <v>173500</v>
      </c>
      <c r="D4" s="151">
        <f>HojaNICA!E37</f>
        <v>187892</v>
      </c>
      <c r="E4" s="151">
        <f>HojaNICA!P32</f>
        <v>1021750</v>
      </c>
      <c r="F4" s="151">
        <f>HojaNICA!O32</f>
        <v>1028500</v>
      </c>
      <c r="G4" s="152">
        <f t="shared" ref="G4:G10" si="0">+D4-C4+F4-E4</f>
        <v>21142</v>
      </c>
      <c r="H4" s="21"/>
      <c r="I4" s="183"/>
    </row>
    <row r="5" spans="1:9" x14ac:dyDescent="0.35">
      <c r="A5" s="28" t="s">
        <v>19</v>
      </c>
      <c r="B5" s="157">
        <f>HojaTICA!$E$36</f>
        <v>1872700</v>
      </c>
      <c r="C5" s="158">
        <f>HojaTICA!K32</f>
        <v>227350</v>
      </c>
      <c r="D5" s="151">
        <f>HojaTICA!E37</f>
        <v>243420</v>
      </c>
      <c r="E5" s="151">
        <f>HojaTICA!N32</f>
        <v>2356250</v>
      </c>
      <c r="F5" s="151">
        <f>HojaTICA!D38</f>
        <v>2358750</v>
      </c>
      <c r="G5" s="152">
        <f t="shared" si="0"/>
        <v>18570</v>
      </c>
      <c r="H5" s="21"/>
      <c r="I5" s="183"/>
    </row>
    <row r="6" spans="1:9" x14ac:dyDescent="0.35">
      <c r="A6" s="28" t="s">
        <v>125</v>
      </c>
      <c r="B6" s="157">
        <f>HojaREVENTADO!$E$37</f>
        <v>234300</v>
      </c>
      <c r="C6" s="158">
        <f>HojaREVENTADO!K33</f>
        <v>23430</v>
      </c>
      <c r="D6" s="151">
        <f>HojaREVENTADO!E38</f>
        <v>23430</v>
      </c>
      <c r="E6" s="151">
        <f>HojaREVENTADO!O33</f>
        <v>380000</v>
      </c>
      <c r="F6" s="151">
        <f>HojaREVENTADO!N33</f>
        <v>418000</v>
      </c>
      <c r="G6" s="152">
        <f t="shared" si="0"/>
        <v>38000</v>
      </c>
      <c r="H6" s="21"/>
      <c r="I6" s="183"/>
    </row>
    <row r="7" spans="1:9" x14ac:dyDescent="0.35">
      <c r="A7" s="28" t="s">
        <v>96</v>
      </c>
      <c r="B7" s="157">
        <f>HojaPrimera!$E$36</f>
        <v>283200</v>
      </c>
      <c r="C7" s="158">
        <f>HojaPrimera!I32</f>
        <v>33950</v>
      </c>
      <c r="D7" s="151">
        <f>HojaPrimera!E37</f>
        <v>36791</v>
      </c>
      <c r="E7" s="151">
        <f>HojaPrimera!L32</f>
        <v>211500</v>
      </c>
      <c r="F7" s="151">
        <f>HojaPrimera!K32</f>
        <v>212500</v>
      </c>
      <c r="G7" s="152">
        <f t="shared" si="0"/>
        <v>3841</v>
      </c>
      <c r="H7" s="21"/>
      <c r="I7" s="21"/>
    </row>
    <row r="8" spans="1:9" x14ac:dyDescent="0.35">
      <c r="A8" s="28" t="s">
        <v>104</v>
      </c>
      <c r="B8" s="157">
        <f>HojaHonduras!$E$36</f>
        <v>280000</v>
      </c>
      <c r="C8" s="158">
        <f>HojaHonduras!K32</f>
        <v>33650</v>
      </c>
      <c r="D8" s="151">
        <f>HojaHonduras!E37</f>
        <v>36400</v>
      </c>
      <c r="E8" s="151">
        <f>HojaHonduras!N32</f>
        <v>450500</v>
      </c>
      <c r="F8" s="151">
        <f>HojaHonduras!M32</f>
        <v>450500</v>
      </c>
      <c r="G8" s="152">
        <f t="shared" si="0"/>
        <v>2750</v>
      </c>
      <c r="H8" s="21"/>
      <c r="I8" s="21"/>
    </row>
    <row r="9" spans="1:9" x14ac:dyDescent="0.35">
      <c r="A9" s="28" t="s">
        <v>20</v>
      </c>
      <c r="B9" s="157">
        <f>HojaDominicana!$E$36</f>
        <v>114700</v>
      </c>
      <c r="C9" s="158">
        <f>HojaDominicana!I32</f>
        <v>13750</v>
      </c>
      <c r="D9" s="151">
        <f>HojaDominicana!E37</f>
        <v>14911</v>
      </c>
      <c r="E9" s="151">
        <f>HojaDominicana!L32</f>
        <v>170000</v>
      </c>
      <c r="F9" s="151">
        <f>HojaDominicana!K32</f>
        <v>170000</v>
      </c>
      <c r="G9" s="152">
        <f t="shared" si="0"/>
        <v>1161</v>
      </c>
      <c r="H9" s="21"/>
      <c r="I9" s="21"/>
    </row>
    <row r="10" spans="1:9" ht="15" thickBot="1" x14ac:dyDescent="0.4">
      <c r="A10" s="168" t="s">
        <v>21</v>
      </c>
      <c r="B10" s="169">
        <f>HojaPANA!F36</f>
        <v>2200</v>
      </c>
      <c r="C10" s="170">
        <f>HojaPANA!G32</f>
        <v>250</v>
      </c>
      <c r="D10" s="171">
        <f>HojaPANA!F37</f>
        <v>308.00000000000006</v>
      </c>
      <c r="E10" s="171">
        <f>HojaPANA!J32</f>
        <v>0</v>
      </c>
      <c r="F10" s="171">
        <f>HojaPANA!I32</f>
        <v>0</v>
      </c>
      <c r="G10" s="172">
        <f t="shared" si="0"/>
        <v>58.000000000000057</v>
      </c>
      <c r="H10" s="21"/>
      <c r="I10" s="21"/>
    </row>
    <row r="11" spans="1:9" ht="19" thickBot="1" x14ac:dyDescent="0.5">
      <c r="A11" s="175" t="s">
        <v>32</v>
      </c>
      <c r="B11" s="176">
        <f>SUM(B4:B10)</f>
        <v>4232500</v>
      </c>
      <c r="C11" s="176">
        <f>SUM(C4:C10)</f>
        <v>505880</v>
      </c>
      <c r="D11" s="176">
        <f t="shared" ref="D11:F11" si="1">SUM(D4:D10)</f>
        <v>543152</v>
      </c>
      <c r="E11" s="176">
        <f t="shared" si="1"/>
        <v>4590000</v>
      </c>
      <c r="F11" s="176">
        <f t="shared" si="1"/>
        <v>4638250</v>
      </c>
      <c r="G11" s="177">
        <f>SUM(G4:G10)</f>
        <v>85522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v>0</v>
      </c>
      <c r="H12" s="142">
        <f>+G11-G12</f>
        <v>85522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344200</v>
      </c>
      <c r="E16" s="158">
        <f>+Vendedor1!D21</f>
        <v>44746</v>
      </c>
      <c r="F16" s="159">
        <f>IF(D16&lt;&gt;0,15000,0)</f>
        <v>15000</v>
      </c>
      <c r="G16" s="152">
        <f>+E16-F16</f>
        <v>29746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187600</v>
      </c>
      <c r="E17" s="158">
        <f>+Vendedor2!D21</f>
        <v>24388</v>
      </c>
      <c r="F17" s="159">
        <f>IF(D17&lt;&gt;0,15000,0)</f>
        <v>15000</v>
      </c>
      <c r="G17" s="152">
        <f>+E17-F17</f>
        <v>9388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531800</v>
      </c>
      <c r="E19" s="160">
        <f>SUM(E16:E18)</f>
        <v>69134</v>
      </c>
      <c r="F19" s="161">
        <f>SUM(F16:F18)</f>
        <v>30000</v>
      </c>
      <c r="G19" s="162">
        <f>SUM(G16:G18)</f>
        <v>39134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160300</v>
      </c>
      <c r="E22" s="158">
        <f>-Vendedor24!D27</f>
        <v>19236</v>
      </c>
      <c r="F22" s="159">
        <f>-Vendedor24!F27</f>
        <v>29750</v>
      </c>
      <c r="G22" s="152">
        <f>+D22-E22-F22</f>
        <v>111314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235970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activeCell="H12" sqref="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26-03-2026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1523400</v>
      </c>
      <c r="C5" s="151">
        <f>HojaNICA!D37</f>
        <v>198042</v>
      </c>
      <c r="D5" s="151">
        <f>HojaNICA!D38</f>
        <v>1028500</v>
      </c>
      <c r="E5" s="151"/>
      <c r="F5" s="152">
        <f>+B5-C5-D5+E5</f>
        <v>296858</v>
      </c>
      <c r="H5" s="251" t="s">
        <v>105</v>
      </c>
      <c r="I5" s="245">
        <f ca="1">TODAY()-1</f>
        <v>46107</v>
      </c>
      <c r="O5" s="120"/>
    </row>
    <row r="6" spans="1:15" ht="15" thickBot="1" x14ac:dyDescent="0.4">
      <c r="A6" s="47" t="s">
        <v>36</v>
      </c>
      <c r="B6" s="151">
        <f>HojaTICA!D36</f>
        <v>2309000</v>
      </c>
      <c r="C6" s="151">
        <f>HojaTICA!D37</f>
        <v>300170</v>
      </c>
      <c r="D6" s="151">
        <f>HojaTICA!D38</f>
        <v>2358750</v>
      </c>
      <c r="E6" s="151"/>
      <c r="F6" s="152">
        <f t="shared" ref="F6:F11" si="0">+B6-C6-D6+E6</f>
        <v>-349920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234300</v>
      </c>
      <c r="C7" s="151">
        <f>HojaREVENTADO!D38</f>
        <v>23430</v>
      </c>
      <c r="D7" s="151">
        <f>HojaREVENTADO!D39</f>
        <v>418000</v>
      </c>
      <c r="E7" s="151"/>
      <c r="F7" s="152">
        <f t="shared" si="0"/>
        <v>-207130</v>
      </c>
    </row>
    <row r="8" spans="1:15" x14ac:dyDescent="0.35">
      <c r="A8" s="47" t="s">
        <v>96</v>
      </c>
      <c r="B8" s="151">
        <f>HojaPrimera!$D36</f>
        <v>300700</v>
      </c>
      <c r="C8" s="151">
        <f>HojaPrimera!$D37</f>
        <v>39091</v>
      </c>
      <c r="D8" s="151">
        <f>HojaPrimera!$D38</f>
        <v>212500</v>
      </c>
      <c r="E8" s="151"/>
      <c r="F8" s="152">
        <f t="shared" si="0"/>
        <v>49109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280000</v>
      </c>
      <c r="C9" s="151">
        <f>HojaHonduras!$D37</f>
        <v>36400</v>
      </c>
      <c r="D9" s="151">
        <f>HojaHonduras!$D38</f>
        <v>450500</v>
      </c>
      <c r="E9" s="151"/>
      <c r="F9" s="152">
        <f t="shared" si="0"/>
        <v>-206900</v>
      </c>
      <c r="H9" s="252">
        <f>+K12-K10-H6</f>
        <v>-486302</v>
      </c>
    </row>
    <row r="10" spans="1:15" ht="15" thickBot="1" x14ac:dyDescent="0.4">
      <c r="A10" s="47" t="s">
        <v>20</v>
      </c>
      <c r="B10" s="151">
        <f>HojaDominicana!$D36</f>
        <v>114700</v>
      </c>
      <c r="C10" s="151">
        <f>HojaDominicana!$D37</f>
        <v>14911</v>
      </c>
      <c r="D10" s="151">
        <f>HojaDominicana!$D38</f>
        <v>170000</v>
      </c>
      <c r="E10" s="151"/>
      <c r="F10" s="152">
        <f t="shared" si="0"/>
        <v>-70211</v>
      </c>
      <c r="H10" s="155"/>
      <c r="J10" t="s">
        <v>148</v>
      </c>
      <c r="K10" s="254">
        <v>7276894.9399999995</v>
      </c>
    </row>
    <row r="11" spans="1:15" ht="15" thickBot="1" x14ac:dyDescent="0.4">
      <c r="A11" s="47" t="s">
        <v>21</v>
      </c>
      <c r="B11" s="151">
        <f>HojaPANA!$D36</f>
        <v>2200</v>
      </c>
      <c r="C11" s="151">
        <f>HojaPANA!$D37</f>
        <v>308.00000000000006</v>
      </c>
      <c r="D11" s="166">
        <f>HojaPANA!$D38</f>
        <v>0</v>
      </c>
      <c r="E11" s="151"/>
      <c r="F11" s="152">
        <f t="shared" si="0"/>
        <v>1892</v>
      </c>
      <c r="H11" s="215" t="s">
        <v>154</v>
      </c>
      <c r="J11" t="s">
        <v>158</v>
      </c>
      <c r="K11" s="255">
        <f>+K10+F12+H6</f>
        <v>6790592.9399999995</v>
      </c>
    </row>
    <row r="12" spans="1:15" ht="16" thickBot="1" x14ac:dyDescent="0.4">
      <c r="A12" s="145" t="s">
        <v>5</v>
      </c>
      <c r="B12" s="153">
        <f>SUM(B5:B11)</f>
        <v>4764300</v>
      </c>
      <c r="C12" s="153">
        <f>SUM(C5:C11)</f>
        <v>612352</v>
      </c>
      <c r="D12" s="153">
        <f>SUM(D5:D11)</f>
        <v>4638250</v>
      </c>
      <c r="E12" s="153"/>
      <c r="F12" s="257">
        <f>SUM(F5:F11)</f>
        <v>-486302</v>
      </c>
      <c r="H12" s="253">
        <f>K12</f>
        <v>6790592.9399999995</v>
      </c>
      <c r="J12" t="s">
        <v>140</v>
      </c>
      <c r="K12" s="256">
        <f>2791465.07-601877.51+2727224.8+1873780.58</f>
        <v>6790592.9399999995</v>
      </c>
    </row>
    <row r="13" spans="1:15" x14ac:dyDescent="0.35">
      <c r="M13" s="155"/>
    </row>
    <row r="14" spans="1:15" x14ac:dyDescent="0.35">
      <c r="B14">
        <v>713050</v>
      </c>
      <c r="M14" s="43"/>
    </row>
    <row r="15" spans="1:15" x14ac:dyDescent="0.35">
      <c r="B15">
        <v>697600</v>
      </c>
      <c r="M15" s="43"/>
    </row>
    <row r="16" spans="1:15" x14ac:dyDescent="0.35">
      <c r="B16" s="155">
        <f>+B14-B15</f>
        <v>15450</v>
      </c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276050</v>
      </c>
      <c r="K4" s="233">
        <f t="shared" ref="K4" si="0">D7+D11+D15</f>
        <v>35886.5</v>
      </c>
      <c r="L4" s="222">
        <f>F7+F11+F15</f>
        <v>497250</v>
      </c>
    </row>
    <row r="5" spans="1:12" x14ac:dyDescent="0.35">
      <c r="A5" s="28" t="s">
        <v>43</v>
      </c>
      <c r="B5" s="133">
        <f>IF(DigitaNICA!C2&lt;&gt;"",DigitaNICA!C2,"")</f>
        <v>48</v>
      </c>
      <c r="C5" s="29">
        <f>IF(DigitaNICA!C4&lt;&gt;"",DigitaNICA!C4,"")</f>
        <v>24600</v>
      </c>
      <c r="D5" s="42">
        <f>IF(C5="",0,C5*J$10)</f>
        <v>3198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21402</v>
      </c>
      <c r="I5" s="243" t="s">
        <v>37</v>
      </c>
      <c r="J5" s="223">
        <f>SUM(IF(C5="",0,C5),IF(C9="",0,C9),IF(C13="",0,C13),IF(C17="",0,C17))</f>
        <v>56650</v>
      </c>
      <c r="K5" s="227">
        <f t="shared" ref="K5" si="2">D5+D9+D13+D17</f>
        <v>7364.5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11500</v>
      </c>
      <c r="K6" s="230">
        <f>D19+D20</f>
        <v>1495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69</v>
      </c>
      <c r="C7" s="29">
        <f>IF(DigitaTICA!C4&lt;&gt;"",DigitaTICA!C4,"")</f>
        <v>65150</v>
      </c>
      <c r="D7" s="42">
        <f>IF(C7="",0,C7*J$9)</f>
        <v>8469.5</v>
      </c>
      <c r="E7" s="29">
        <f>IF(DigitaTICA!D4&lt;&gt;"",DigitaTICA!D4,"")</f>
        <v>4850</v>
      </c>
      <c r="F7" s="42">
        <f>IF(E7="",0,E7*PREMIOS!F7)</f>
        <v>412250</v>
      </c>
      <c r="G7" s="30">
        <f t="shared" si="1"/>
        <v>-355569.5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42</v>
      </c>
      <c r="C9" s="29">
        <f>IF(DigitaNICA!E4&lt;&gt;"",DigitaNICA!E4,"")</f>
        <v>24550</v>
      </c>
      <c r="D9" s="42">
        <f>IF(C9="",0,C9*J$10)</f>
        <v>3191.5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21358.5</v>
      </c>
      <c r="I9" s="77" t="s">
        <v>36</v>
      </c>
      <c r="J9" s="78">
        <v>0.13</v>
      </c>
      <c r="K9" s="79">
        <f>MROUND(D7+D11+D15,50)</f>
        <v>35900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7350</v>
      </c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IF(DigitaTICA!E4&lt;&gt;"",DigitaTICA!E4,"")</f>
        <v>56350</v>
      </c>
      <c r="D11" s="42">
        <f>IF(C11="",0,C11*J$9)</f>
        <v>7325.5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49024.5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1500</v>
      </c>
    </row>
    <row r="13" spans="1:12" x14ac:dyDescent="0.35">
      <c r="A13" s="28" t="s">
        <v>50</v>
      </c>
      <c r="B13" s="133" t="str">
        <f>IF(DigitaNICA!G2&lt;&gt;"",DigitaNICA!G2,"")</f>
        <v>01</v>
      </c>
      <c r="C13" s="29">
        <f>IF(DigitaNICA!G4&lt;&gt;"",DigitaNICA!G4,"")</f>
        <v>2000</v>
      </c>
      <c r="D13" s="42">
        <f>IF(C13="",0,C13*J$10)</f>
        <v>260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1740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>
        <f>IF(DigitaTICA!G4&lt;&gt;"",DigitaTICA!G4,"")</f>
        <v>154550</v>
      </c>
      <c r="D15" s="42">
        <f>IF(C15="",0,C15*J$9)</f>
        <v>20091.5</v>
      </c>
      <c r="E15" s="29">
        <f>IF(DigitaTICA!H4&lt;&gt;"",DigitaTICA!H4,"")</f>
        <v>1000</v>
      </c>
      <c r="F15" s="42">
        <f>IF(E15="",0,E15*PREMIOS!F15)</f>
        <v>85000</v>
      </c>
      <c r="G15" s="30">
        <f t="shared" si="3"/>
        <v>49458.5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>
        <f>IF(DigitaNICA!I4&lt;&gt;"",DigitaNICA!I4,"")</f>
        <v>5500</v>
      </c>
      <c r="D17" s="42">
        <f>IF(C17="",0,C17*J$10)</f>
        <v>715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4785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>
        <f>IF(DigitaPRIMERA!C4&lt;&gt;"",DigitaPRIMERA!C4,"")</f>
        <v>11100</v>
      </c>
      <c r="D19" s="42">
        <f>IF(C19="",0,C19*J$12)</f>
        <v>1443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9657</v>
      </c>
    </row>
    <row r="20" spans="1:7" x14ac:dyDescent="0.35">
      <c r="A20" s="28" t="s">
        <v>98</v>
      </c>
      <c r="B20" s="133">
        <f>IF(DigitaPRIMERA!E2&lt;&gt;"",DigitaPRIMERA!E2,"")</f>
        <v>64</v>
      </c>
      <c r="C20" s="29">
        <f>IF(DigitaPRIMERA!E4&lt;&gt;"",DigitaPRIMERA!E4,"")</f>
        <v>400</v>
      </c>
      <c r="D20" s="42">
        <f>IF(C20="",0,C20*J$12)</f>
        <v>52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348</v>
      </c>
    </row>
    <row r="21" spans="1:7" ht="15" thickBot="1" x14ac:dyDescent="0.4">
      <c r="A21" s="122" t="s">
        <v>5</v>
      </c>
      <c r="B21" s="129"/>
      <c r="C21" s="123">
        <f>SUM(C5:C20)</f>
        <v>344200</v>
      </c>
      <c r="D21" s="123">
        <f t="shared" ref="D21:G21" si="6">SUM(D5:D20)</f>
        <v>44746</v>
      </c>
      <c r="E21" s="123">
        <f t="shared" si="6"/>
        <v>5850</v>
      </c>
      <c r="F21" s="123">
        <f t="shared" si="6"/>
        <v>497250</v>
      </c>
      <c r="G21" s="124">
        <f t="shared" si="6"/>
        <v>-197796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160250</v>
      </c>
      <c r="K4" s="233">
        <f t="shared" ref="K4" si="0">D7+D11+D15</f>
        <v>20832.5</v>
      </c>
      <c r="L4" s="222">
        <f>F7+F11+F15</f>
        <v>38250</v>
      </c>
    </row>
    <row r="5" spans="1:12" x14ac:dyDescent="0.35">
      <c r="A5" s="28" t="s">
        <v>43</v>
      </c>
      <c r="B5" s="133">
        <f>IF(DigitaNICA!C2&lt;&gt;"",DigitaNICA!C2,"")</f>
        <v>48</v>
      </c>
      <c r="C5" s="29">
        <f>IF(DigitaNICA!C5&lt;&gt;"",DigitaNICA!C5,"")</f>
        <v>12600</v>
      </c>
      <c r="D5" s="42">
        <f>IF(C5="",0,C5*J$10)</f>
        <v>1638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10962</v>
      </c>
      <c r="I5" s="243" t="s">
        <v>37</v>
      </c>
      <c r="J5" s="223">
        <f>SUM(IF(C5="",0,C5),IF(C9="",0,C9),IF(C13="",0,C13),IF(C17="",0,C17))</f>
        <v>21350</v>
      </c>
      <c r="K5" s="227">
        <f t="shared" ref="K5" si="2">D5+D9+D13+D17</f>
        <v>2775.5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6000</v>
      </c>
      <c r="K6" s="230">
        <f>D19+D20</f>
        <v>780</v>
      </c>
      <c r="L6" s="231">
        <f>F19+F20</f>
        <v>16000</v>
      </c>
    </row>
    <row r="7" spans="1:12" ht="15" thickBot="1" x14ac:dyDescent="0.4">
      <c r="A7" s="28" t="s">
        <v>46</v>
      </c>
      <c r="B7" s="133">
        <f>IF(DigitaTICA!C2&lt;&gt;"",DigitaTICA!C2,"")</f>
        <v>69</v>
      </c>
      <c r="C7" s="29">
        <f>IF(DigitaTICA!C5&lt;&gt;"",DigitaTICA!C5,"")</f>
        <v>53700</v>
      </c>
      <c r="D7" s="42">
        <f>IF(C7="",0,C7*J$9)</f>
        <v>6981</v>
      </c>
      <c r="E7" s="29">
        <f>IF(DigitaTICA!D5&lt;&gt;"",DigitaTICA!D5,"")</f>
        <v>450</v>
      </c>
      <c r="F7" s="42">
        <f>IF(E7="",0,E7*PREMIOS!F7)</f>
        <v>38250</v>
      </c>
      <c r="G7" s="30">
        <f t="shared" si="1"/>
        <v>8469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42</v>
      </c>
      <c r="C9" s="29">
        <f>IF(DigitaNICA!E5&lt;&gt;"",DigitaNICA!E5,"")</f>
        <v>3000</v>
      </c>
      <c r="D9" s="42">
        <f>IF(C9="",0,C9*J$10)</f>
        <v>390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2610</v>
      </c>
      <c r="I9" s="60" t="s">
        <v>36</v>
      </c>
      <c r="J9" s="61">
        <v>0.13</v>
      </c>
      <c r="K9" s="62">
        <f>MROUND(D7+D11+D15,50)</f>
        <v>20850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2800</v>
      </c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IF(DigitaTICA!E5&lt;&gt;"",DigitaTICA!E5,"")</f>
        <v>27300</v>
      </c>
      <c r="D11" s="42">
        <f>IF(C11="",0,C11*J$9)</f>
        <v>3549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23751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800</v>
      </c>
    </row>
    <row r="13" spans="1:12" x14ac:dyDescent="0.35">
      <c r="A13" s="28" t="s">
        <v>50</v>
      </c>
      <c r="B13" s="133" t="str">
        <f>IF(DigitaNICA!G2&lt;&gt;"",DigitaNICA!G2,"")</f>
        <v>01</v>
      </c>
      <c r="C13" s="29">
        <f>IF(DigitaNICA!G5&lt;&gt;"",DigitaNICA!G5,"")</f>
        <v>5750</v>
      </c>
      <c r="D13" s="42">
        <f>IF(C13="",0,C13*J$10)</f>
        <v>747.5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5002.5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>
        <f>IF(DigitaTICA!G5&lt;&gt;"",DigitaTICA!G5,"")</f>
        <v>79250</v>
      </c>
      <c r="D15" s="42">
        <f>IF(C15="",0,C15*J$9)</f>
        <v>10302.5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68947.5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>
        <f>IF(DigitaPRIMERA!C5&lt;&gt;"",DigitaPRIMERA!C5,"")</f>
        <v>6000</v>
      </c>
      <c r="D19" s="42">
        <f>IF(C19="",0,C19*J$12)</f>
        <v>780</v>
      </c>
      <c r="E19" s="29">
        <f>IF(DigitaPRIMERA!D5&lt;&gt;"",DigitaPRIMERA!D5,"")</f>
        <v>200</v>
      </c>
      <c r="F19" s="42">
        <f>IF(E19="",0,E19*PREMIOS!E19)</f>
        <v>16000</v>
      </c>
      <c r="G19" s="30">
        <f t="shared" si="3"/>
        <v>-10780</v>
      </c>
    </row>
    <row r="20" spans="1:7" x14ac:dyDescent="0.35">
      <c r="A20" s="28" t="s">
        <v>98</v>
      </c>
      <c r="B20" s="133">
        <f>IF(DigitaPRIMERA!E2&lt;&gt;"",DigitaPRIMERA!E2,"")</f>
        <v>64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187600</v>
      </c>
      <c r="D21" s="68">
        <f t="shared" ref="D21:G21" si="4">SUM(D5:D20)</f>
        <v>24388</v>
      </c>
      <c r="E21" s="68">
        <f t="shared" si="4"/>
        <v>650</v>
      </c>
      <c r="F21" s="68">
        <f t="shared" si="4"/>
        <v>54250</v>
      </c>
      <c r="G21" s="89">
        <f t="shared" si="4"/>
        <v>108962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69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42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99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 t="str">
        <f>IF(DigitaNICA!G2&lt;&gt;"",DigitaNICA!G2,"")</f>
        <v>01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8750</v>
      </c>
      <c r="K4" s="233">
        <f t="shared" ref="K4" si="0">D7+D11+D15</f>
        <v>1050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69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1050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95">
        <f>IF(DigitaTICA!G7&lt;&gt;"",DigitaTICA!G7,"")</f>
        <v>8750</v>
      </c>
      <c r="D15" s="113">
        <f>IF(C15="",0,C15*J$9)</f>
        <v>1050</v>
      </c>
      <c r="E15" s="114">
        <f>IF(DigitaTICA!H7&lt;&gt;"",DigitaTICA!H7,"")</f>
        <v>0</v>
      </c>
      <c r="F15" s="113">
        <f>IF(E15="",0,E15*PREMIOS!F15)</f>
        <v>0</v>
      </c>
      <c r="G15" s="115">
        <f t="shared" si="4"/>
        <v>7700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8750</v>
      </c>
      <c r="D19" s="68">
        <f>SUM(D5:D18)</f>
        <v>1050</v>
      </c>
      <c r="E19" s="68">
        <f>SUM(E5:E18)</f>
        <v>0</v>
      </c>
      <c r="F19" s="68">
        <f>SUM(F5:F18)</f>
        <v>0</v>
      </c>
      <c r="G19" s="89">
        <f>SUM(G5:G18)</f>
        <v>7700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150000</v>
      </c>
      <c r="K4" s="233">
        <f t="shared" ref="K4" si="0">D7+D11+D15</f>
        <v>18000</v>
      </c>
      <c r="L4" s="222">
        <f>F7+F11+F15</f>
        <v>89250</v>
      </c>
    </row>
    <row r="5" spans="1:12" x14ac:dyDescent="0.35">
      <c r="A5" s="28" t="s">
        <v>43</v>
      </c>
      <c r="B5" s="133">
        <f>IF(DigitaNICA!C2&lt;&gt;"",DigitaNICA!C2,"")</f>
        <v>48</v>
      </c>
      <c r="C5" s="29">
        <f>IF(DigitaNICA!C8&lt;&gt;"",DigitaNICA!C8,"")</f>
        <v>74900</v>
      </c>
      <c r="D5" s="42">
        <f>IF(C5="",0,C5*J$12)</f>
        <v>8988</v>
      </c>
      <c r="E5" s="29">
        <f>IF(DigitaNICA!D8&lt;&gt;"",DigitaNICA!D8,"")</f>
        <v>500</v>
      </c>
      <c r="F5" s="42">
        <f>IF(E5="",0,E5*PREMIOS!E5)</f>
        <v>40000</v>
      </c>
      <c r="G5" s="30">
        <f t="shared" ref="G5:G12" si="1">IF(OR(C5="",E5=""),0,C5-D5-F5)</f>
        <v>25912</v>
      </c>
      <c r="I5" s="243" t="s">
        <v>37</v>
      </c>
      <c r="J5" s="223">
        <f>SUM(IF(C5="",0,C5),IF(C9="",0,C9),IF(C13="",0,C13),IF(C17="",0,C17))</f>
        <v>152600</v>
      </c>
      <c r="K5" s="227">
        <f t="shared" ref="K5" si="2">D5+D9+D13+D17</f>
        <v>18312</v>
      </c>
      <c r="L5" s="224">
        <f>F5+F9+F13+F17</f>
        <v>88000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69</v>
      </c>
      <c r="C7" s="29">
        <f>IF(DigitaTICA!C8&lt;&gt;"",DigitaTICA!C8,"")</f>
        <v>76450</v>
      </c>
      <c r="D7" s="42">
        <f>IF(C7="",0,C7*J$11)</f>
        <v>9174</v>
      </c>
      <c r="E7" s="29">
        <f>IF(DigitaTICA!D8&lt;&gt;"",DigitaTICA!D8,"")</f>
        <v>300</v>
      </c>
      <c r="F7" s="42">
        <f>IF(E7="",0,E7*PREMIOS!F7)</f>
        <v>25500</v>
      </c>
      <c r="G7" s="30">
        <f t="shared" si="1"/>
        <v>41776</v>
      </c>
      <c r="I7" s="244" t="s">
        <v>96</v>
      </c>
      <c r="J7" s="226">
        <f>SUM(IF(C19="",0,C19),IF(C20="",0,C20))</f>
        <v>34200</v>
      </c>
      <c r="K7" s="230">
        <f>+D19+D20</f>
        <v>4104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42</v>
      </c>
      <c r="C9" s="29">
        <f>IF(DigitaNICA!E8&lt;&gt;"",DigitaNICA!E8,"")</f>
        <v>50950</v>
      </c>
      <c r="D9" s="42">
        <f>IF(C9="",0,C9*J$12)</f>
        <v>6114</v>
      </c>
      <c r="E9" s="29">
        <f>IF(DigitaNICA!F8&lt;&gt;"",DigitaNICA!F8,"")</f>
        <v>600</v>
      </c>
      <c r="F9" s="42">
        <f>IF(E9="",0,E9*PREMIOS!E9)</f>
        <v>48000</v>
      </c>
      <c r="G9" s="30">
        <f t="shared" si="1"/>
        <v>-3164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IF(DigitaTICA!E8&lt;&gt;"",DigitaTICA!E8,"")</f>
        <v>38950</v>
      </c>
      <c r="D11" s="42">
        <f>IF(C11="",0,C11*J$11)</f>
        <v>4674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34276</v>
      </c>
      <c r="I11" s="60" t="s">
        <v>36</v>
      </c>
      <c r="J11" s="61">
        <v>0.12</v>
      </c>
      <c r="K11" s="62">
        <f>MROUND(D7+D11+D15,50)</f>
        <v>18000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18300</v>
      </c>
    </row>
    <row r="13" spans="1:12" x14ac:dyDescent="0.35">
      <c r="A13" s="28" t="s">
        <v>50</v>
      </c>
      <c r="B13" s="133" t="str">
        <f>IF(DigitaNICA!G2&lt;&gt;"",DigitaNICA!G2,"")</f>
        <v>01</v>
      </c>
      <c r="C13" s="29">
        <f>IF(DigitaNICA!G8&lt;&gt;"",DigitaNICA!G8,"")</f>
        <v>8000</v>
      </c>
      <c r="D13" s="42">
        <f>IF(C13="",0,C13*J$12)</f>
        <v>960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7040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4100</v>
      </c>
    </row>
    <row r="15" spans="1:12" x14ac:dyDescent="0.35">
      <c r="A15" s="28" t="s">
        <v>61</v>
      </c>
      <c r="B15" s="133">
        <f>IF(DigitaTICA!G2&lt;&gt;"",DigitaTICA!G2,"")</f>
        <v>72</v>
      </c>
      <c r="C15" s="29">
        <f>IF(DigitaTICA!G8&lt;&gt;"",DigitaTICA!G8,"")</f>
        <v>34600</v>
      </c>
      <c r="D15" s="42">
        <f>IF(C15="",0,C15*J$11)</f>
        <v>4152</v>
      </c>
      <c r="E15" s="29">
        <f>IF(DigitaTICA!H8&lt;&gt;"",DigitaTICA!H8,"")</f>
        <v>750</v>
      </c>
      <c r="F15" s="42">
        <f>IF(E15="",0,E15*PREMIOS!F15)</f>
        <v>63750</v>
      </c>
      <c r="G15" s="30">
        <f t="shared" si="4"/>
        <v>-33302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>
        <f>IF(DigitaNICA!I8&lt;&gt;"",DigitaNICA!I8,"")</f>
        <v>18750</v>
      </c>
      <c r="D17" s="42">
        <f>IF(C17="",0,C17*J$12)</f>
        <v>2250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16500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>
        <f>IF(DigitaPRIMERA!C8&lt;&gt;"",DigitaPRIMERA!C8,"")</f>
        <v>19150</v>
      </c>
      <c r="D19" s="42">
        <f>IF(C19="",0,C19*J$14)</f>
        <v>2298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16852</v>
      </c>
    </row>
    <row r="20" spans="1:7" x14ac:dyDescent="0.35">
      <c r="A20" s="28" t="s">
        <v>98</v>
      </c>
      <c r="B20" s="133">
        <f>IF(DigitaPRIMERA!E2&lt;&gt;"",DigitaPRIMERA!E2,"")</f>
        <v>64</v>
      </c>
      <c r="C20" s="29">
        <f>IF(DigitaPRIMERA!E8&lt;&gt;"",DigitaPRIMERA!E8,"")</f>
        <v>15050</v>
      </c>
      <c r="D20" s="42">
        <f>IF(C20="",0,C20*J$14)</f>
        <v>1806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13244</v>
      </c>
    </row>
    <row r="21" spans="1:7" ht="15" thickBot="1" x14ac:dyDescent="0.4">
      <c r="A21" s="122" t="s">
        <v>5</v>
      </c>
      <c r="B21" s="129"/>
      <c r="C21" s="123">
        <f>SUM(C5:C20)</f>
        <v>336800</v>
      </c>
      <c r="D21" s="123">
        <f t="shared" ref="D21:G21" si="5">SUM(D5:D20)</f>
        <v>40416</v>
      </c>
      <c r="E21" s="123">
        <f t="shared" si="5"/>
        <v>2150</v>
      </c>
      <c r="F21" s="123">
        <f t="shared" si="5"/>
        <v>177250</v>
      </c>
      <c r="G21" s="124">
        <f t="shared" si="5"/>
        <v>119134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48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69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99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>01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561400</v>
      </c>
      <c r="K4" s="233">
        <f t="shared" ref="K4" si="0">D7+D11+D15</f>
        <v>67368</v>
      </c>
      <c r="L4" s="222">
        <f>F7+F11+F15</f>
        <v>454750</v>
      </c>
    </row>
    <row r="5" spans="1:12" x14ac:dyDescent="0.35">
      <c r="A5" s="28" t="s">
        <v>43</v>
      </c>
      <c r="B5" s="133">
        <f>IF(DigitaNICA!C2&lt;&gt;"",DigitaNICA!C2,"")</f>
        <v>48</v>
      </c>
      <c r="C5" s="29">
        <f>IF(DigitaNICA!C10&lt;&gt;"",DigitaNICA!C10,"")</f>
        <v>174700</v>
      </c>
      <c r="D5" s="42">
        <f>IF(C5="",0,C5*J$15)</f>
        <v>20964</v>
      </c>
      <c r="E5" s="29">
        <f>IF(DigitaNICA!D10&lt;&gt;"",DigitaNICA!D10,"")</f>
        <v>1000</v>
      </c>
      <c r="F5" s="42">
        <f>IF(E5="",0,E5*PREMIOS!F5)</f>
        <v>85000</v>
      </c>
      <c r="G5" s="30">
        <f t="shared" ref="G5:G12" si="1">IF(OR(C5="",E5=""),0,C5-D5-F5)</f>
        <v>68736</v>
      </c>
      <c r="I5" s="219" t="s">
        <v>37</v>
      </c>
      <c r="J5" s="223">
        <f>SUM(IF(C5="",0,C5),IF(C9="",0,C9),IF(C13="",0,C13),IF(C17="",0,C17))</f>
        <v>543650</v>
      </c>
      <c r="K5" s="227">
        <f t="shared" ref="K5" si="2">D5+D9+D13+D17</f>
        <v>65238</v>
      </c>
      <c r="L5" s="224">
        <f>F5+F9+F13+F17</f>
        <v>412250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63650</v>
      </c>
      <c r="K6" s="228">
        <f t="shared" ref="K6" si="3">+D8+D12+D16</f>
        <v>6365</v>
      </c>
      <c r="L6" s="229">
        <f>F8+F12+F16</f>
        <v>70000</v>
      </c>
    </row>
    <row r="7" spans="1:12" x14ac:dyDescent="0.35">
      <c r="A7" s="28" t="s">
        <v>46</v>
      </c>
      <c r="B7" s="133">
        <f>IF(DigitaTICA!C2&lt;&gt;"",DigitaTICA!C2,"")</f>
        <v>69</v>
      </c>
      <c r="C7" s="29">
        <f>IF(DigitaTICA!C10&lt;&gt;"",DigitaTICA!C10,"")</f>
        <v>174350</v>
      </c>
      <c r="D7" s="42">
        <f>IF(C7="",0,C7*J$14)</f>
        <v>20922</v>
      </c>
      <c r="E7" s="29">
        <f>IF(DigitaTICA!D10&lt;&gt;"",DigitaTICA!D10,"")</f>
        <v>700</v>
      </c>
      <c r="F7" s="42">
        <f>IF(E7="",0,E7*PREMIOS!F7)</f>
        <v>59500</v>
      </c>
      <c r="G7" s="30">
        <f t="shared" si="1"/>
        <v>93928</v>
      </c>
      <c r="I7" s="219" t="s">
        <v>96</v>
      </c>
      <c r="J7" s="225">
        <f>SUM(IF(C19="",0,C19),IF(C20="",0,C20))</f>
        <v>127150</v>
      </c>
      <c r="K7" s="228">
        <f>+D19+D20</f>
        <v>15258</v>
      </c>
      <c r="L7" s="229">
        <f>+F19+F20</f>
        <v>85000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19950</v>
      </c>
      <c r="D8" s="42">
        <f>IF(C8="",0,C8*J$16)</f>
        <v>1995</v>
      </c>
      <c r="E8" s="29">
        <f>IF(DigitaREVENTADO!D10&lt;&gt;"",DigitaREVENTADO!D10,"")</f>
        <v>350</v>
      </c>
      <c r="F8" s="42">
        <f>IF(E8="",0,E8*PREMIOS!F8)</f>
        <v>70000</v>
      </c>
      <c r="G8" s="30">
        <f t="shared" si="1"/>
        <v>-52045</v>
      </c>
      <c r="I8" s="219" t="s">
        <v>104</v>
      </c>
      <c r="J8" s="225">
        <f>SUM(IF(C21="",0,C21),IF(C22="",0,C22),IF(C23="",0,C23))</f>
        <v>170300</v>
      </c>
      <c r="K8" s="228">
        <f t="shared" ref="K8" si="4">D21+D22+D23</f>
        <v>20436</v>
      </c>
      <c r="L8" s="229">
        <f>F21+F22+F23</f>
        <v>314500</v>
      </c>
    </row>
    <row r="9" spans="1:12" x14ac:dyDescent="0.35">
      <c r="A9" s="28" t="s">
        <v>48</v>
      </c>
      <c r="B9" s="133">
        <f>IF(DigitaNICA!E2&lt;&gt;"",DigitaNICA!E2,"")</f>
        <v>42</v>
      </c>
      <c r="C9" s="29">
        <f>IF(DigitaNICA!E10&lt;&gt;"",DigitaNICA!E10,"")</f>
        <v>108550</v>
      </c>
      <c r="D9" s="42">
        <f>IF(C9="",0,C9*J$15)</f>
        <v>13026</v>
      </c>
      <c r="E9" s="29">
        <f>IF(DigitaNICA!F10&lt;&gt;"",DigitaNICA!F10,"")</f>
        <v>3400</v>
      </c>
      <c r="F9" s="42">
        <f>IF(E9="",0,E9*PREMIOS!F9)</f>
        <v>289000</v>
      </c>
      <c r="G9" s="30">
        <f t="shared" si="1"/>
        <v>-193476</v>
      </c>
      <c r="I9" s="219" t="s">
        <v>20</v>
      </c>
      <c r="J9" s="225">
        <f>SUM(IF(C24="",0,C24),IF(C25="",0,C25))</f>
        <v>114700</v>
      </c>
      <c r="K9" s="228">
        <f t="shared" ref="K9" si="5">+D24+D25</f>
        <v>13764</v>
      </c>
      <c r="L9" s="229">
        <f>F24+F25</f>
        <v>170000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2200</v>
      </c>
      <c r="K10" s="230">
        <f>+D26</f>
        <v>264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IF(DigitaTICA!E10&lt;&gt;"",DigitaTICA!E10,"")</f>
        <v>159250</v>
      </c>
      <c r="D11" s="42">
        <f>IF(C11="",0,C11*J$14)</f>
        <v>19110</v>
      </c>
      <c r="E11" s="29">
        <f>IF(DigitaTICA!F10&lt;&gt;"",DigitaTICA!F10,"")</f>
        <v>3550</v>
      </c>
      <c r="F11" s="42">
        <f>IF(E11="",0,E11*PREMIOS!F11)</f>
        <v>301750</v>
      </c>
      <c r="G11" s="30">
        <f t="shared" si="1"/>
        <v>-161610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18250</v>
      </c>
      <c r="D12" s="42">
        <f>IF(C12="",0,C12*J$16)</f>
        <v>1825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16425</v>
      </c>
    </row>
    <row r="13" spans="1:12" ht="15" thickBot="1" x14ac:dyDescent="0.4">
      <c r="A13" s="28" t="s">
        <v>50</v>
      </c>
      <c r="B13" s="133" t="str">
        <f>IF(DigitaNICA!G2&lt;&gt;"",DigitaNICA!G2,"")</f>
        <v>01</v>
      </c>
      <c r="C13" s="29">
        <f>IF(DigitaNICA!G10&lt;&gt;"",DigitaNICA!G10,"")</f>
        <v>80900</v>
      </c>
      <c r="D13" s="42">
        <f>IF(C13="",0,C13*J$15)</f>
        <v>9708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71192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67350</v>
      </c>
    </row>
    <row r="15" spans="1:12" x14ac:dyDescent="0.35">
      <c r="A15" s="28" t="s">
        <v>61</v>
      </c>
      <c r="B15" s="133">
        <f>IF(DigitaTICA!G2&lt;&gt;"",DigitaTICA!G2,"")</f>
        <v>72</v>
      </c>
      <c r="C15" s="29">
        <f>IF(DigitaTICA!G10&lt;&gt;"",DigitaTICA!G10,"")</f>
        <v>227800</v>
      </c>
      <c r="D15" s="42">
        <f>IF(C15="",0,C15*J$14)</f>
        <v>27336</v>
      </c>
      <c r="E15" s="29">
        <f>IF(DigitaTICA!H10&lt;&gt;"",DigitaTICA!H10,"")</f>
        <v>1100</v>
      </c>
      <c r="F15" s="42">
        <f>IF(E15="",0,E15*PREMIOS!F15)</f>
        <v>93500</v>
      </c>
      <c r="G15" s="30">
        <f t="shared" si="6"/>
        <v>106964</v>
      </c>
      <c r="I15" s="63" t="s">
        <v>37</v>
      </c>
      <c r="J15" s="64">
        <v>0.12</v>
      </c>
      <c r="K15" s="30">
        <f>MROUND(D5+D9+D13+D17,50)</f>
        <v>65250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25450</v>
      </c>
      <c r="D16" s="42">
        <f>IF(C16="",0,C16*J$16)</f>
        <v>2545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22905</v>
      </c>
      <c r="I16" s="63" t="s">
        <v>38</v>
      </c>
      <c r="J16" s="64">
        <v>0.1</v>
      </c>
      <c r="K16" s="30">
        <f>MROUND(D6+D8+D10+D12+D14+D16+D18,50)</f>
        <v>6350</v>
      </c>
    </row>
    <row r="17" spans="1:11" x14ac:dyDescent="0.35">
      <c r="A17" s="28" t="s">
        <v>52</v>
      </c>
      <c r="B17" s="133">
        <f>IF(DigitaNICA!I2&lt;&gt;"",DigitaNICA!I2,"")</f>
        <v>65</v>
      </c>
      <c r="C17" s="29">
        <f>IF(DigitaNICA!I10&lt;&gt;"",DigitaNICA!I10,"")</f>
        <v>179500</v>
      </c>
      <c r="D17" s="42">
        <f>IF(C17="",0,C17*J$15)</f>
        <v>21540</v>
      </c>
      <c r="E17" s="29">
        <f>IF(DigitaNICA!J10&lt;&gt;"",DigitaNICA!J10,"")</f>
        <v>450</v>
      </c>
      <c r="F17" s="42">
        <f>IF(E17="",0,E17*PREMIOS!F17)</f>
        <v>38250</v>
      </c>
      <c r="G17" s="30">
        <f t="shared" si="6"/>
        <v>119710</v>
      </c>
      <c r="I17" s="63" t="s">
        <v>96</v>
      </c>
      <c r="J17" s="64">
        <v>0.12</v>
      </c>
      <c r="K17" s="30">
        <f>MROUND(D19+D20,50)</f>
        <v>15250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20450</v>
      </c>
    </row>
    <row r="19" spans="1:11" x14ac:dyDescent="0.35">
      <c r="A19" s="28" t="s">
        <v>97</v>
      </c>
      <c r="B19" s="133">
        <f>IF(DigitaPRIMERA!C2&lt;&gt;"",DigitaPRIMERA!C2,"")</f>
        <v>23</v>
      </c>
      <c r="C19" s="29">
        <f>IF(DigitaPRIMERA!$C$10&lt;&gt;"",DigitaPRIMERA!$C$10,"")</f>
        <v>60950</v>
      </c>
      <c r="D19" s="42">
        <f>IF(C19="",0,C19*J$17)</f>
        <v>7314</v>
      </c>
      <c r="E19" s="29">
        <f>IF(DigitaPRIMERA!$D$10&lt;&gt;"",DigitaPRIMERA!$D$10,"")</f>
        <v>1000</v>
      </c>
      <c r="F19" s="42">
        <f>IF(E19="",0,E19*PREMIOS!F19)</f>
        <v>85000</v>
      </c>
      <c r="G19" s="30">
        <f t="shared" ref="G19:G22" si="7">IF(OR(C19="",E19=""),0,C19-D19-F19)</f>
        <v>-31364</v>
      </c>
      <c r="I19" s="63" t="s">
        <v>20</v>
      </c>
      <c r="J19" s="64">
        <v>0.12</v>
      </c>
      <c r="K19" s="30">
        <f>MROUND(D24+D25,50)</f>
        <v>13750</v>
      </c>
    </row>
    <row r="20" spans="1:11" ht="15" thickBot="1" x14ac:dyDescent="0.4">
      <c r="A20" s="28" t="s">
        <v>98</v>
      </c>
      <c r="B20" s="133">
        <f>IF(DigitaPRIMERA!E2&lt;&gt;"",DigitaPRIMERA!E2,"")</f>
        <v>64</v>
      </c>
      <c r="C20" s="29">
        <f>IF(DigitaPRIMERA!$E$10&lt;&gt;"",DigitaPRIMERA!$E$10,"")</f>
        <v>66200</v>
      </c>
      <c r="D20" s="42">
        <f>IF(C20="",0,C20*J$17)</f>
        <v>7944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58256</v>
      </c>
      <c r="I20" s="65" t="s">
        <v>21</v>
      </c>
      <c r="J20" s="66">
        <v>0.12</v>
      </c>
      <c r="K20" s="50">
        <f>MROUND(D26,50)</f>
        <v>250</v>
      </c>
    </row>
    <row r="21" spans="1:11" x14ac:dyDescent="0.35">
      <c r="A21" s="28" t="s">
        <v>99</v>
      </c>
      <c r="B21" s="133">
        <f>IF(DigitaHONDURAS!C2&lt;&gt;"",DigitaHONDURAS!C2,"")</f>
        <v>24</v>
      </c>
      <c r="C21" s="29">
        <f>IF(DigitaHONDURAS!$C$10&lt;&gt;"",DigitaHONDURAS!$C$10,"")</f>
        <v>77500</v>
      </c>
      <c r="D21" s="42">
        <f>IF(C21="",0,C21*J$18)</f>
        <v>9300</v>
      </c>
      <c r="E21" s="29">
        <f>IF(DigitaHONDURAS!$D$10&lt;&gt;"",DigitaHONDURAS!$D$10,"")</f>
        <v>1500</v>
      </c>
      <c r="F21" s="42">
        <f>IF(E21="",0,E21*PREMIOS!F20)</f>
        <v>127500</v>
      </c>
      <c r="G21" s="30">
        <f t="shared" si="7"/>
        <v>-59300</v>
      </c>
    </row>
    <row r="22" spans="1:11" x14ac:dyDescent="0.35">
      <c r="A22" s="28" t="s">
        <v>100</v>
      </c>
      <c r="B22" s="133" t="str">
        <f>IF(DigitaHONDURAS!E2&lt;&gt;"",DigitaHONDURAS!E2,"")</f>
        <v>09</v>
      </c>
      <c r="C22" s="29">
        <f>IF(DigitaHONDURAS!$E$10&lt;&gt;"",DigitaHONDURAS!$E$10,"")</f>
        <v>47000</v>
      </c>
      <c r="D22" s="42">
        <f>IF(C22="",0,C22*J$18)</f>
        <v>5640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41360</v>
      </c>
    </row>
    <row r="23" spans="1:11" x14ac:dyDescent="0.35">
      <c r="A23" s="28" t="s">
        <v>101</v>
      </c>
      <c r="B23" s="133">
        <f>IF(DigitaHONDURAS!G2&lt;&gt;"",DigitaHONDURAS!G2,"")</f>
        <v>49</v>
      </c>
      <c r="C23" s="29">
        <f>IF(DigitaHONDURAS!$G$10&lt;&gt;"",DigitaHONDURAS!$G$10,"")</f>
        <v>45800</v>
      </c>
      <c r="D23" s="42">
        <f>IF(C23="",0,C23*J$18)</f>
        <v>5496</v>
      </c>
      <c r="E23" s="29">
        <f>IF(DigitaHONDURAS!$H$10&lt;&gt;"",DigitaHONDURAS!$H$10,"")</f>
        <v>2200</v>
      </c>
      <c r="F23" s="42">
        <f>IF(E23="",0,E23*PREMIOS!F20)</f>
        <v>187000</v>
      </c>
      <c r="G23" s="30">
        <f t="shared" ref="G23:G26" si="8">IF(OR(C23="",E23=""),0,C23-D23-F23)</f>
        <v>-146696</v>
      </c>
    </row>
    <row r="24" spans="1:11" x14ac:dyDescent="0.35">
      <c r="A24" s="28" t="s">
        <v>107</v>
      </c>
      <c r="B24" s="133">
        <f>IF(DigitaDOMINICANA!C2&lt;&gt;"",DigitaDOMINICANA!C2,"")</f>
        <v>68</v>
      </c>
      <c r="C24" s="29">
        <f>IF(DigitaDOMINICANA!$C$10&lt;&gt;"",DigitaDOMINICANA!$C$10,"")</f>
        <v>66200</v>
      </c>
      <c r="D24" s="42">
        <f>IF(C24="",0,C24*J$19)</f>
        <v>7944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58256</v>
      </c>
    </row>
    <row r="25" spans="1:11" x14ac:dyDescent="0.35">
      <c r="A25" s="28" t="s">
        <v>108</v>
      </c>
      <c r="B25" s="133">
        <f>IF(DigitaDOMINICANA!E2&lt;&gt;"",DigitaDOMINICANA!E2,"")</f>
        <v>15</v>
      </c>
      <c r="C25" s="29">
        <f>IF(DigitaDOMINICANA!$E$10&lt;&gt;"",DigitaDOMINICANA!$E$10,"")</f>
        <v>48500</v>
      </c>
      <c r="D25" s="42">
        <f>IF(C25="",0,C25*J$19)</f>
        <v>5820</v>
      </c>
      <c r="E25" s="29">
        <f>IF(DigitaDOMINICANA!$F$10&lt;&gt;"",DigitaDOMINICANA!$F$10,"")</f>
        <v>2000</v>
      </c>
      <c r="F25" s="42">
        <f>IF(E25="",0,E25*PREMIOS!F21)</f>
        <v>170000</v>
      </c>
      <c r="G25" s="30">
        <f t="shared" si="8"/>
        <v>-127320</v>
      </c>
    </row>
    <row r="26" spans="1:11" x14ac:dyDescent="0.35">
      <c r="A26" s="28" t="s">
        <v>21</v>
      </c>
      <c r="B26" s="133">
        <f>IF(DigitaPANAMENA!C2&lt;&gt;"",DigitaPANAMENA!C2,"")</f>
        <v>76</v>
      </c>
      <c r="C26" s="29">
        <f>IF(DigitaPANAMENA!$C$10&lt;&gt;"",DigitaPANAMENA!$C$10,"")</f>
        <v>2200</v>
      </c>
      <c r="D26" s="42">
        <f>IF(C26="",0,C26*J$20)</f>
        <v>264</v>
      </c>
      <c r="E26" s="29">
        <f>IF(DigitaPANAMENA!$D$10&lt;&gt;"",DigitaPANAMENA!$D$10,"")</f>
        <v>0</v>
      </c>
      <c r="F26" s="42">
        <f>IF(E26="",0,E26*PREMIOS!F22)</f>
        <v>0</v>
      </c>
      <c r="G26" s="30">
        <f t="shared" si="8"/>
        <v>1936</v>
      </c>
    </row>
    <row r="27" spans="1:11" ht="15" thickBot="1" x14ac:dyDescent="0.4">
      <c r="A27" s="67" t="s">
        <v>5</v>
      </c>
      <c r="B27" s="128"/>
      <c r="C27" s="68">
        <f>SUM(C5:C26)</f>
        <v>1583050</v>
      </c>
      <c r="D27" s="68">
        <f t="shared" ref="D27:F27" si="9">SUM(D5:D26)</f>
        <v>188693</v>
      </c>
      <c r="E27" s="68">
        <f t="shared" si="9"/>
        <v>17250</v>
      </c>
      <c r="F27" s="68">
        <f t="shared" si="9"/>
        <v>1506500</v>
      </c>
      <c r="G27" s="89">
        <f>SUM(G5:G26)</f>
        <v>-112143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39700</v>
      </c>
      <c r="K4" s="233">
        <f t="shared" ref="K4" si="0">D7+D11+D15</f>
        <v>4764</v>
      </c>
      <c r="L4" s="222">
        <f>F7+F11+F15</f>
        <v>85000</v>
      </c>
    </row>
    <row r="5" spans="1:12" x14ac:dyDescent="0.35">
      <c r="A5" s="28" t="s">
        <v>43</v>
      </c>
      <c r="B5" s="133">
        <f>IF(DigitaNICA!C2&lt;&gt;"",DigitaNICA!C2,"")</f>
        <v>48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69</v>
      </c>
      <c r="C7" s="29">
        <f>IF(DigitaTICA!C11&lt;&gt;"",DigitaTICA!C11,"")</f>
        <v>11500</v>
      </c>
      <c r="D7" s="42">
        <f>IF(C7="",0,C7*J$11)</f>
        <v>1380</v>
      </c>
      <c r="E7" s="29">
        <f>IF(DigitaTICA!D11&lt;&gt;"",DigitaTICA!D11,"")</f>
        <v>1000</v>
      </c>
      <c r="F7" s="134">
        <f>IF(E7="",0,E7*PREMIOS!F7)</f>
        <v>85000</v>
      </c>
      <c r="G7" s="30">
        <f t="shared" si="1"/>
        <v>-74880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99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4750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>01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>
        <f>IF(DigitaTICA!G11&lt;&gt;"",DigitaTICA!G11,"")</f>
        <v>28200</v>
      </c>
      <c r="D15" s="42">
        <f>IF(C15="",0,C15*J$11)</f>
        <v>3384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24816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64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39700</v>
      </c>
      <c r="D21" s="123">
        <f t="shared" ref="D21:G21" si="5">SUM(D5:D20)</f>
        <v>4764</v>
      </c>
      <c r="E21" s="123">
        <f t="shared" si="5"/>
        <v>1000</v>
      </c>
      <c r="F21" s="123">
        <f t="shared" si="5"/>
        <v>85000</v>
      </c>
      <c r="G21" s="124">
        <f t="shared" si="5"/>
        <v>-50064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54200</v>
      </c>
      <c r="K4" s="233">
        <f>D7+D11+D15</f>
        <v>6504</v>
      </c>
      <c r="L4" s="222">
        <f>F7+F11+F15</f>
        <v>17000</v>
      </c>
    </row>
    <row r="5" spans="1:12" x14ac:dyDescent="0.35">
      <c r="A5" s="28" t="s">
        <v>43</v>
      </c>
      <c r="B5" s="133">
        <f>IF(DigitaNICA!C2&lt;&gt;"",DigitaNICA!C2,"")</f>
        <v>48</v>
      </c>
      <c r="C5" s="29">
        <f>IF(DigitaNICA!C12&lt;&gt;"",DigitaNICA!C12,"")</f>
        <v>40400</v>
      </c>
      <c r="D5" s="42">
        <f>IF(C5="",0,C5*J$12)</f>
        <v>4848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35552</v>
      </c>
      <c r="I5" s="219" t="s">
        <v>37</v>
      </c>
      <c r="J5" s="223">
        <f>SUM(IF(C5="",0,C5),IF(C9="",0,C9),IF(C13="",0,C13),IF(C17="",0,C17))</f>
        <v>50650</v>
      </c>
      <c r="K5" s="227">
        <f t="shared" ref="K5" si="1">D5+D9+D13+D17</f>
        <v>6078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1600</v>
      </c>
      <c r="K6" s="228">
        <f t="shared" ref="K6" si="2">+D8+D12+D16</f>
        <v>160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69</v>
      </c>
      <c r="C7" s="29">
        <f>IF(DigitaTICA!C12&lt;&gt;"",DigitaTICA!C12,"")</f>
        <v>16400</v>
      </c>
      <c r="D7" s="42">
        <f>IF(C7="",0,C7*J$11)</f>
        <v>1968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14432</v>
      </c>
      <c r="I7" s="219" t="s">
        <v>96</v>
      </c>
      <c r="J7" s="225">
        <f>SUM(IF(C19="",0,C19),IF(C20="",0,C20))</f>
        <v>33600</v>
      </c>
      <c r="K7" s="228">
        <f>+D19+D20</f>
        <v>4032</v>
      </c>
      <c r="L7" s="229">
        <f>+F19+F20</f>
        <v>42500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1600</v>
      </c>
      <c r="D8" s="42">
        <f>IF(C8="",0,C8*J$13)</f>
        <v>160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1440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42</v>
      </c>
      <c r="C9" s="29">
        <f>IF(DigitaNICA!E12&lt;&gt;"",DigitaNICA!E12,"")</f>
        <v>10250</v>
      </c>
      <c r="D9" s="42">
        <f>IF(C9="",0,C9*J$12)</f>
        <v>1230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9020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IF(DigitaTICA!E12&lt;&gt;"",DigitaTICA!E12,"")</f>
        <v>8100</v>
      </c>
      <c r="D11" s="42">
        <f>IF(C11="",0,C11*J$11)</f>
        <v>972</v>
      </c>
      <c r="E11" s="29">
        <f>IF(DigitaTICA!F12&lt;&gt;"",DigitaTICA!F12,"")</f>
        <v>200</v>
      </c>
      <c r="F11" s="42">
        <f>IF(E11="",0,E11*PREMIOS!F11)</f>
        <v>17000</v>
      </c>
      <c r="G11" s="30">
        <f t="shared" si="0"/>
        <v>-9872</v>
      </c>
      <c r="I11" s="60" t="s">
        <v>36</v>
      </c>
      <c r="J11" s="61">
        <v>0.12</v>
      </c>
      <c r="K11" s="62">
        <f>MROUND(D7+D11+D15,50)</f>
        <v>6500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6100</v>
      </c>
    </row>
    <row r="13" spans="1:12" x14ac:dyDescent="0.35">
      <c r="A13" s="28" t="s">
        <v>50</v>
      </c>
      <c r="B13" s="133" t="str">
        <f>IF(DigitaNICA!G2&lt;&gt;"",DigitaNICA!G2,"")</f>
        <v>01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4050</v>
      </c>
    </row>
    <row r="15" spans="1:12" ht="15" thickBot="1" x14ac:dyDescent="0.4">
      <c r="A15" s="28" t="s">
        <v>61</v>
      </c>
      <c r="B15" s="133">
        <f>IF(DigitaTICA!G2&lt;&gt;"",DigitaTICA!G2,"")</f>
        <v>72</v>
      </c>
      <c r="C15" s="29">
        <f>IF(DigitaTICA!G12&lt;&gt;"",DigitaTICA!G12,"")</f>
        <v>29700</v>
      </c>
      <c r="D15" s="42">
        <f>IF(C15="",0,C15*J$11)</f>
        <v>3564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26136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>
        <f>IF(DigitaPRIMERA!$C$12&lt;&gt;"",DigitaPRIMERA!$C$12,"")</f>
        <v>33600</v>
      </c>
      <c r="D19" s="42">
        <f>IF(C19="",0,C19*J$14)</f>
        <v>4032</v>
      </c>
      <c r="E19" s="29">
        <f>IF(DigitaPRIMERA!$D$12&lt;&gt;"",DigitaPRIMERA!$D$12,"")</f>
        <v>500</v>
      </c>
      <c r="F19" s="42">
        <f>IF(E19="",0,E19*PREMIOS!F19)</f>
        <v>42500</v>
      </c>
      <c r="G19" s="30">
        <f t="shared" si="3"/>
        <v>-12932</v>
      </c>
    </row>
    <row r="20" spans="1:7" x14ac:dyDescent="0.35">
      <c r="A20" s="28" t="s">
        <v>98</v>
      </c>
      <c r="B20" s="133">
        <f>IF(DigitaPRIMERA!E2&lt;&gt;"",DigitaPRIMERA!E2,"")</f>
        <v>64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24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 t="str">
        <f>IF(DigitaHONDURAS!E2&lt;&gt;"",DigitaHONDURAS!E2,"")</f>
        <v>09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49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140050</v>
      </c>
      <c r="D24" s="68">
        <f t="shared" ref="D24:G24" si="4">SUM(D5:D23)</f>
        <v>16774</v>
      </c>
      <c r="E24" s="68">
        <f t="shared" si="4"/>
        <v>700</v>
      </c>
      <c r="F24" s="68">
        <f t="shared" si="4"/>
        <v>59500</v>
      </c>
      <c r="G24" s="89">
        <f t="shared" si="4"/>
        <v>63776</v>
      </c>
    </row>
    <row r="27" spans="1:7" x14ac:dyDescent="0.35">
      <c r="G27" s="21">
        <v>124824</v>
      </c>
    </row>
    <row r="28" spans="1:7" x14ac:dyDescent="0.35">
      <c r="G28" s="142">
        <f>+G24+G27</f>
        <v>188600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137050</v>
      </c>
      <c r="K4" s="233">
        <f t="shared" ref="K4" si="0">D7+D11+D15</f>
        <v>16446</v>
      </c>
      <c r="L4" s="222">
        <f>F7+F11+F15</f>
        <v>38250</v>
      </c>
    </row>
    <row r="5" spans="1:12" ht="15" thickBot="1" x14ac:dyDescent="0.4">
      <c r="A5" s="28" t="s">
        <v>43</v>
      </c>
      <c r="B5" s="133">
        <f>IF(DigitaNICA!C2&lt;&gt;"",DigitaNICA!C2,"")</f>
        <v>48</v>
      </c>
      <c r="C5" s="29">
        <f>IF(DigitaNICA!C13&lt;&gt;"",DigitaNICA!C13,"")</f>
        <v>29150</v>
      </c>
      <c r="D5" s="42">
        <f>IF(C5="",0,C5*J$10)</f>
        <v>3498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25652</v>
      </c>
      <c r="I5" s="220" t="s">
        <v>37</v>
      </c>
      <c r="J5" s="234">
        <f>SUM(IF(C5="",0,C5),IF(C9="",0,C9),IF(C13="",0,C13),IF(C17="",0,C17))</f>
        <v>72000</v>
      </c>
      <c r="K5" s="235">
        <f t="shared" ref="K5" si="2">D5+D9+D13+D17</f>
        <v>8640</v>
      </c>
      <c r="L5" s="236">
        <f>F5+F9+F13+F17</f>
        <v>20000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69</v>
      </c>
      <c r="C7" s="29">
        <f>IF(DigitaTICA!C13&lt;&gt;"",DigitaTICA!C13,"")</f>
        <v>30300</v>
      </c>
      <c r="D7" s="42">
        <f>IF(C7="",0,C7*J$9)</f>
        <v>3636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26664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42</v>
      </c>
      <c r="C9" s="29">
        <f>IF(DigitaNICA!E13&lt;&gt;"",DigitaNICA!E13,"")</f>
        <v>19950</v>
      </c>
      <c r="D9" s="42">
        <f>IF(C9="",0,C9*J$10)</f>
        <v>2394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17556</v>
      </c>
      <c r="I9" s="60" t="s">
        <v>36</v>
      </c>
      <c r="J9" s="61">
        <v>0.12</v>
      </c>
      <c r="K9" s="62">
        <f>MROUND(D7+D11+D15,50)</f>
        <v>16450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8650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>
        <f>IF(DigitaTICA!E13&lt;&gt;"",DigitaTICA!E13,"")</f>
        <v>32200</v>
      </c>
      <c r="D11" s="42">
        <f>IF(C11="",0,C11*J$9)</f>
        <v>3864</v>
      </c>
      <c r="E11" s="29">
        <f>IF(DigitaTICA!F13&lt;&gt;"",DigitaTICA!F13,"")</f>
        <v>150</v>
      </c>
      <c r="F11" s="134">
        <f>IF(E11="",0,E11*PREMIOS!F11)</f>
        <v>12750</v>
      </c>
      <c r="G11" s="30">
        <f t="shared" si="1"/>
        <v>15586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01</v>
      </c>
      <c r="C13" s="29">
        <f>IF(DigitaNICA!G13&lt;&gt;"",DigitaNICA!G13,"")</f>
        <v>16850</v>
      </c>
      <c r="D13" s="42">
        <f>IF(C13="",0,C13*J$10)</f>
        <v>2022</v>
      </c>
      <c r="E13" s="29">
        <f>IF(DigitaNICA!H13&lt;&gt;"",DigitaNICA!H13,"")</f>
        <v>250</v>
      </c>
      <c r="F13" s="134">
        <f>IF(E13="",0,E13*PREMIOS!E13)</f>
        <v>20000</v>
      </c>
      <c r="G13" s="30">
        <f>IF(OR(C13="",E13=""),0,C13-D13-F13)</f>
        <v>-5172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>
        <f>IF(DigitaTICA!G13&lt;&gt;"",DigitaTICA!G13,"")</f>
        <v>74550</v>
      </c>
      <c r="D15" s="42">
        <f>IF(C15="",0,C15*J$9)</f>
        <v>8946</v>
      </c>
      <c r="E15" s="29">
        <f>IF(DigitaTICA!H13&lt;&gt;"",DigitaTICA!H13,"")</f>
        <v>300</v>
      </c>
      <c r="F15" s="134">
        <f>IF(E15="",0,E15*PREMIOS!F15)</f>
        <v>25500</v>
      </c>
      <c r="G15" s="30">
        <f t="shared" si="3"/>
        <v>40104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>
        <f>IF(DigitaNICA!I13&lt;&gt;"",DigitaNICA!I13,"")</f>
        <v>6050</v>
      </c>
      <c r="D17" s="42">
        <f>IF(C17="",0,C17*J$10)</f>
        <v>726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5324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209050</v>
      </c>
      <c r="D19" s="68">
        <f>MROUND(SUM(D5:D18),50)</f>
        <v>25100</v>
      </c>
      <c r="E19" s="68">
        <f>SUM(E5:E18)</f>
        <v>700</v>
      </c>
      <c r="F19" s="68">
        <f>SUM(F5:F18)</f>
        <v>58250</v>
      </c>
      <c r="G19" s="89">
        <f>SUM(G5:G18)</f>
        <v>125714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86550</v>
      </c>
      <c r="K4" s="238">
        <f t="shared" ref="K4" si="0">D7+D11+D15</f>
        <v>12982.5</v>
      </c>
      <c r="L4" s="239">
        <f>F7+F11+F15</f>
        <v>40000</v>
      </c>
    </row>
    <row r="5" spans="1:12" x14ac:dyDescent="0.35">
      <c r="A5" s="28" t="s">
        <v>43</v>
      </c>
      <c r="B5" s="133">
        <f>IF(DigitaNICA!C2&lt;&gt;"",DigitaNICA!C2,"")</f>
        <v>48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69</v>
      </c>
      <c r="C7" s="29">
        <f>IF(DigitaTICA!C14&lt;&gt;"",DigitaTICA!C14,"")</f>
        <v>35750</v>
      </c>
      <c r="D7" s="42">
        <f>IF(C7="",0,C7*J$9)</f>
        <v>5362.5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-9612.5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42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13000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>
        <f>IF(DigitaTICA!E14&lt;&gt;"",DigitaTICA!E14,"")</f>
        <v>9150</v>
      </c>
      <c r="D11" s="42">
        <f>IF(C11="",0,C11*J$9)</f>
        <v>1372.5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7777.5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01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>
        <f>IF(DigitaTICA!G14&lt;&gt;"",DigitaTICA!G14,"")</f>
        <v>41650</v>
      </c>
      <c r="D15" s="42">
        <f>IF(C15="",0,C15*J$9)</f>
        <v>6247.5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35402.5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86550</v>
      </c>
      <c r="D19" s="68">
        <f>MROUND(SUM(D5:D18),50)</f>
        <v>13000</v>
      </c>
      <c r="E19" s="68">
        <f>SUM(E5:E18)</f>
        <v>500</v>
      </c>
      <c r="F19" s="68">
        <f>SUM(F5:F18)</f>
        <v>40000</v>
      </c>
      <c r="G19" s="89">
        <f>SUM(G5:G18)</f>
        <v>33567.5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48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69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96550</v>
      </c>
      <c r="K4" s="233">
        <f>D7+D11+D15</f>
        <v>11586</v>
      </c>
      <c r="L4" s="222">
        <f>F7+F11+F15</f>
        <v>85000</v>
      </c>
    </row>
    <row r="5" spans="1:12" x14ac:dyDescent="0.35">
      <c r="A5" s="28" t="s">
        <v>43</v>
      </c>
      <c r="B5" s="133">
        <f>IF(DigitaNICA!C2&lt;&gt;"",DigitaNICA!C2,"")</f>
        <v>48</v>
      </c>
      <c r="C5" s="29">
        <f>IF(DigitaNICA!C16&lt;&gt;"",DigitaNICA!C16,"")</f>
        <v>4250</v>
      </c>
      <c r="D5" s="42">
        <f>IF(C5="",0,C5*J$12)</f>
        <v>510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3740</v>
      </c>
      <c r="I5" s="63" t="s">
        <v>37</v>
      </c>
      <c r="J5" s="227">
        <f>SUM(IF(C5="",0,C5),IF(C9="",0,C9),IF(C13="",0,C13),IF(C17="",0,C17))</f>
        <v>11100</v>
      </c>
      <c r="K5" s="227">
        <f t="shared" ref="K5" si="1">D5+D9+D13+D17</f>
        <v>1332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9000</v>
      </c>
      <c r="K6" s="228">
        <f t="shared" ref="K6" si="2">+D8+D12+D16</f>
        <v>900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69</v>
      </c>
      <c r="C7" s="29">
        <f>IF(DigitaTICA!C16&lt;&gt;"",DigitaTICA!C16,"")</f>
        <v>29850</v>
      </c>
      <c r="D7" s="42">
        <f>IF(C7="",0,C7*J$11)</f>
        <v>3582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26268</v>
      </c>
      <c r="I7" s="63" t="s">
        <v>96</v>
      </c>
      <c r="J7" s="228">
        <f>SUM(IF(C19="",0,C19),IF(C20="",0,C20))</f>
        <v>5000</v>
      </c>
      <c r="K7" s="228">
        <f>+D19+D20</f>
        <v>600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900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42</v>
      </c>
      <c r="C9" s="29">
        <f>IF(DigitaNICA!E16&lt;&gt;"",DigitaNICA!E16,"")</f>
        <v>2350</v>
      </c>
      <c r="D9" s="42">
        <f>IF(C9="",0,C9*J$12)</f>
        <v>282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2068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IF(DigitaTICA!E16&lt;&gt;"",DigitaTICA!E16,"")</f>
        <v>17450</v>
      </c>
      <c r="D11" s="42">
        <f>IF(C11="",0,C11*J$11)</f>
        <v>2094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15356</v>
      </c>
      <c r="I11" s="77" t="s">
        <v>36</v>
      </c>
      <c r="J11" s="78">
        <v>0.12</v>
      </c>
      <c r="K11" s="79">
        <f>MROUND(D7+D11+D15,50)</f>
        <v>11600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4000</v>
      </c>
      <c r="D12" s="42">
        <f>IF(C12="",0,C12*J$13)</f>
        <v>400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3600</v>
      </c>
      <c r="I12" s="63" t="s">
        <v>37</v>
      </c>
      <c r="J12" s="64">
        <v>0.12</v>
      </c>
      <c r="K12" s="30">
        <f>MROUND(D5+D9+D13+D17,50)</f>
        <v>1350</v>
      </c>
    </row>
    <row r="13" spans="1:12" x14ac:dyDescent="0.35">
      <c r="A13" s="28" t="s">
        <v>50</v>
      </c>
      <c r="B13" s="133" t="str">
        <f>IF(DigitaNICA!G2&lt;&gt;"",DigitaNICA!G2,"")</f>
        <v>01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900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600</v>
      </c>
    </row>
    <row r="15" spans="1:12" ht="15" thickBot="1" x14ac:dyDescent="0.4">
      <c r="A15" s="28" t="s">
        <v>61</v>
      </c>
      <c r="B15" s="133">
        <f>IF(DigitaTICA!G2&lt;&gt;"",DigitaTICA!G2,"")</f>
        <v>72</v>
      </c>
      <c r="C15" s="29">
        <f>IF(DigitaTICA!G16&lt;&gt;"",DigitaTICA!G16,"")</f>
        <v>49250</v>
      </c>
      <c r="D15" s="42">
        <f>IF(C15="",0,C15*J$11)</f>
        <v>5910</v>
      </c>
      <c r="E15" s="29">
        <f>IF(DigitaTICA!H16&lt;&gt;"",DigitaTICA!H16,"")</f>
        <v>1000</v>
      </c>
      <c r="F15" s="134">
        <f>IF(E15="",0,E15*PREMIOS!F15)</f>
        <v>85000</v>
      </c>
      <c r="G15" s="30">
        <f t="shared" si="3"/>
        <v>-41660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4000</v>
      </c>
      <c r="D16" s="42">
        <f>IF(C16="",0,C16*J$13)</f>
        <v>400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3600</v>
      </c>
    </row>
    <row r="17" spans="1:7" x14ac:dyDescent="0.35">
      <c r="A17" s="28" t="s">
        <v>52</v>
      </c>
      <c r="B17" s="133">
        <f>IF(DigitaNICA!I2&lt;&gt;"",DigitaNICA!I2,"")</f>
        <v>65</v>
      </c>
      <c r="C17" s="29">
        <f>IF(DigitaNICA!I16&lt;&gt;"",DigitaNICA!I16,"")</f>
        <v>4500</v>
      </c>
      <c r="D17" s="42">
        <f>IF(C17="",0,C17*J$12)</f>
        <v>540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3960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>
        <f>IF(DigitaPRIMERA!C16&lt;&gt;"",DigitaPRIMERA!C16,"")</f>
        <v>5000</v>
      </c>
      <c r="D19" s="42">
        <f>IF(C19="",0,C19*J$14)</f>
        <v>600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4400</v>
      </c>
    </row>
    <row r="20" spans="1:7" x14ac:dyDescent="0.35">
      <c r="A20" s="28" t="s">
        <v>98</v>
      </c>
      <c r="B20" s="133">
        <f>IF(DigitaPRIMERA!E2&lt;&gt;"",DigitaPRIMERA!E2,"")</f>
        <v>64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24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 t="str">
        <f>IF(DigitaHONDURAS!E2&lt;&gt;"",DigitaHONDURAS!E2,"")</f>
        <v>09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49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121650</v>
      </c>
      <c r="D24" s="123">
        <f t="shared" ref="D24:G24" si="5">SUM(D5:D23)</f>
        <v>14418</v>
      </c>
      <c r="E24" s="123">
        <f t="shared" si="5"/>
        <v>1000</v>
      </c>
      <c r="F24" s="123">
        <f t="shared" si="5"/>
        <v>85000</v>
      </c>
      <c r="G24" s="124">
        <f t="shared" si="5"/>
        <v>22232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554450</v>
      </c>
      <c r="K4" s="233">
        <f t="shared" ref="K4" si="0">D7+D11+D15</f>
        <v>66534</v>
      </c>
      <c r="L4" s="222">
        <f>F7+F11+F15</f>
        <v>786250</v>
      </c>
    </row>
    <row r="5" spans="1:12" x14ac:dyDescent="0.35">
      <c r="A5" s="28" t="s">
        <v>43</v>
      </c>
      <c r="B5" s="133">
        <f>IF(DigitaNICA!C2&lt;&gt;"",DigitaNICA!C2,"")</f>
        <v>48</v>
      </c>
      <c r="C5" s="90">
        <f>IF(DigitaNICA!C17&lt;&gt;"",DigitaNICA!C17,"")</f>
        <v>135100</v>
      </c>
      <c r="D5" s="42">
        <f>IF(C5="",0,C5*J$16)</f>
        <v>16212</v>
      </c>
      <c r="E5" s="90">
        <f>IF(DigitaNICA!D17&lt;&gt;"",DigitaNICA!D17,"")</f>
        <v>800</v>
      </c>
      <c r="F5" s="42">
        <f>IF(E5="",0,E5*PREMIOS!F5)</f>
        <v>68000</v>
      </c>
      <c r="G5" s="91">
        <f t="shared" ref="G5:G12" si="1">IF(OR(C5="",E5=""),0,C5-D5-F5)</f>
        <v>50888</v>
      </c>
      <c r="I5" s="219" t="s">
        <v>37</v>
      </c>
      <c r="J5" s="223">
        <f>SUM(IF(C5="",0,C5),IF(C9="",0,C9),IF(C13="",0,C13),IF(C17="",0,C17))</f>
        <v>476300</v>
      </c>
      <c r="K5" s="227">
        <f t="shared" ref="K5" si="2">D5+D9+D13+D17</f>
        <v>57156</v>
      </c>
      <c r="L5" s="224">
        <f>F5+F9+F13+F17</f>
        <v>391000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94050</v>
      </c>
      <c r="K6" s="228">
        <f t="shared" ref="K6" si="3">+D8+D12+D16</f>
        <v>9405</v>
      </c>
      <c r="L6" s="229">
        <f>+F8+F12+F16</f>
        <v>310000</v>
      </c>
    </row>
    <row r="7" spans="1:12" x14ac:dyDescent="0.35">
      <c r="A7" s="28" t="s">
        <v>46</v>
      </c>
      <c r="B7" s="133">
        <f>IF(DigitaTICA!C2&lt;&gt;"",DigitaTICA!C2,"")</f>
        <v>69</v>
      </c>
      <c r="C7" s="90">
        <f>IF(DigitaTICA!C17&lt;&gt;"",DigitaTICA!C17,"")</f>
        <v>158850</v>
      </c>
      <c r="D7" s="42">
        <f>IF(C7="",0,C7*J$15)</f>
        <v>19062</v>
      </c>
      <c r="E7" s="90">
        <f>IF(DigitaTICA!D17&lt;&gt;"",DigitaTICA!D17,"")</f>
        <v>2100</v>
      </c>
      <c r="F7" s="42">
        <f>IF(E7="",0,E7*PREMIOS!F7)</f>
        <v>178500</v>
      </c>
      <c r="G7" s="91">
        <f t="shared" si="1"/>
        <v>-38712</v>
      </c>
      <c r="I7" s="219" t="s">
        <v>96</v>
      </c>
      <c r="J7" s="225">
        <f>SUM(IF(C19="",0,C19),IF(C20="",0,C20))</f>
        <v>163400</v>
      </c>
      <c r="K7" s="228">
        <f>+D19+D20</f>
        <v>19608</v>
      </c>
      <c r="L7" s="229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25750</v>
      </c>
      <c r="D8" s="42">
        <f>IF(C8="",0,C8*J$17)</f>
        <v>2575</v>
      </c>
      <c r="E8" s="90">
        <f>IF(DigitaREVENTADO!D17&lt;&gt;"",DigitaREVENTADO!D17,"")</f>
        <v>1550</v>
      </c>
      <c r="F8" s="42">
        <f>IF(E8="",0,E8*PREMIOS!F8)</f>
        <v>310000</v>
      </c>
      <c r="G8" s="91">
        <f t="shared" si="1"/>
        <v>-286825</v>
      </c>
      <c r="I8" s="219" t="s">
        <v>104</v>
      </c>
      <c r="J8" s="225">
        <f>SUM(IF(C21="",0,C21),IF(C22="",0,C22),IF(C23="",0,C23))</f>
        <v>95700</v>
      </c>
      <c r="K8" s="228">
        <f t="shared" ref="K8" si="4">D21+D22+D23</f>
        <v>11484</v>
      </c>
      <c r="L8" s="229">
        <f>F21+F22+F23</f>
        <v>110500</v>
      </c>
    </row>
    <row r="9" spans="1:12" x14ac:dyDescent="0.35">
      <c r="A9" s="28" t="s">
        <v>48</v>
      </c>
      <c r="B9" s="133">
        <f>IF(DigitaNICA!E2&lt;&gt;"",DigitaNICA!E2,"")</f>
        <v>42</v>
      </c>
      <c r="C9" s="90">
        <f>IF(DigitaNICA!E17&lt;&gt;"",DigitaNICA!E17,"")</f>
        <v>113900</v>
      </c>
      <c r="D9" s="42">
        <f>IF(C9="",0,C9*J$16)</f>
        <v>13668</v>
      </c>
      <c r="E9" s="90">
        <f>IF(DigitaNICA!F17&lt;&gt;"",DigitaNICA!F17,"")</f>
        <v>1350</v>
      </c>
      <c r="F9" s="42">
        <f>IF(E9="",0,E9*PREMIOS!F9)</f>
        <v>114750</v>
      </c>
      <c r="G9" s="91">
        <f t="shared" si="1"/>
        <v>-14518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99</v>
      </c>
      <c r="C11" s="90">
        <f>IF(DigitaTICA!E17&lt;&gt;"",DigitaTICA!E17,"")</f>
        <v>155200</v>
      </c>
      <c r="D11" s="42">
        <f>IF(C11="",0,C11*J$15)</f>
        <v>18624</v>
      </c>
      <c r="E11" s="90">
        <f>IF(DigitaTICA!F17&lt;&gt;"",DigitaTICA!F17,"")</f>
        <v>2450</v>
      </c>
      <c r="F11" s="42">
        <f>IF(E11="",0,E11*PREMIOS!F11)</f>
        <v>208250</v>
      </c>
      <c r="G11" s="91">
        <f t="shared" si="1"/>
        <v>-71674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18400</v>
      </c>
      <c r="D12" s="42">
        <f>IF(C12="",0,C12*J$17)</f>
        <v>1840</v>
      </c>
      <c r="E12" s="90">
        <f>IF(DigitaREVENTADO!F17&lt;&gt;"",DigitaREVENTADO!F17,"")</f>
        <v>1000</v>
      </c>
      <c r="F12" s="42">
        <f>IF(E12="",0,E12*PREMIOS!F12)</f>
        <v>0</v>
      </c>
      <c r="G12" s="91">
        <f t="shared" si="1"/>
        <v>16560</v>
      </c>
    </row>
    <row r="13" spans="1:12" ht="15" thickBot="1" x14ac:dyDescent="0.4">
      <c r="A13" s="28" t="s">
        <v>50</v>
      </c>
      <c r="B13" s="133" t="str">
        <f>IF(DigitaNICA!G2&lt;&gt;"",DigitaNICA!G2,"")</f>
        <v>01</v>
      </c>
      <c r="C13" s="90">
        <f>IF(DigitaNICA!G17&lt;&gt;"",DigitaNICA!G17,"")</f>
        <v>77100</v>
      </c>
      <c r="D13" s="42">
        <f>IF(C13="",0,C13*J$16)</f>
        <v>9252</v>
      </c>
      <c r="E13" s="90">
        <f>IF(DigitaNICA!H17&lt;&gt;"",DigitaNICA!H17,"")</f>
        <v>850</v>
      </c>
      <c r="F13" s="42">
        <f>IF(E13="",0,E13*PREMIOS!F13)</f>
        <v>72250</v>
      </c>
      <c r="G13" s="91">
        <f>IF(OR(C13="",E13=""),0,C13-D13-F13)</f>
        <v>-4402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72</v>
      </c>
      <c r="C15" s="90">
        <f>IF(DigitaTICA!G17&lt;&gt;"",DigitaTICA!G17,"")</f>
        <v>240400</v>
      </c>
      <c r="D15" s="42">
        <f>IF(C15="",0,C15*J$15)</f>
        <v>28848</v>
      </c>
      <c r="E15" s="90">
        <f>IF(DigitaTICA!H17&lt;&gt;"",DigitaTICA!H17,"")</f>
        <v>4700</v>
      </c>
      <c r="F15" s="42">
        <f>IF(E15="",0,E15*PREMIOS!F15)</f>
        <v>399500</v>
      </c>
      <c r="G15" s="91">
        <f t="shared" si="6"/>
        <v>-187948</v>
      </c>
      <c r="I15" s="77" t="s">
        <v>36</v>
      </c>
      <c r="J15" s="78">
        <v>0.12</v>
      </c>
      <c r="K15" s="79">
        <f>MROUND(D7+D11+D15,50)</f>
        <v>66550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49900</v>
      </c>
      <c r="D16" s="42">
        <f>IF(C16="",0,C16*J$17)</f>
        <v>4990</v>
      </c>
      <c r="E16" s="90">
        <f>IF(DigitaREVENTADO!H17&lt;&gt;"",DigitaREVENTADO!H17,"")</f>
        <v>1100</v>
      </c>
      <c r="F16" s="42">
        <f>IF(E16="",0,E16*PREMIOS!F16)</f>
        <v>0</v>
      </c>
      <c r="G16" s="91">
        <f t="shared" si="6"/>
        <v>44910</v>
      </c>
      <c r="I16" s="63" t="s">
        <v>37</v>
      </c>
      <c r="J16" s="64">
        <v>0.12</v>
      </c>
      <c r="K16" s="30">
        <f>MROUND(D5+D9+D13+D17,50)</f>
        <v>57150</v>
      </c>
    </row>
    <row r="17" spans="1:11" x14ac:dyDescent="0.35">
      <c r="A17" s="28" t="s">
        <v>52</v>
      </c>
      <c r="B17" s="133">
        <f>IF(DigitaNICA!I2&lt;&gt;"",DigitaNICA!I2,"")</f>
        <v>65</v>
      </c>
      <c r="C17" s="90">
        <f>IF(DigitaNICA!I17&lt;&gt;"",DigitaNICA!I17,"")</f>
        <v>150200</v>
      </c>
      <c r="D17" s="42">
        <f>IF(C17="",0,C17*J$16)</f>
        <v>18024</v>
      </c>
      <c r="E17" s="90">
        <f>IF(DigitaNICA!J17&lt;&gt;"",DigitaNICA!J17,"")</f>
        <v>1600</v>
      </c>
      <c r="F17" s="42">
        <f>IF(E17="",0,E17*PREMIOS!F17)</f>
        <v>136000</v>
      </c>
      <c r="G17" s="91">
        <f t="shared" si="6"/>
        <v>-3824</v>
      </c>
      <c r="I17" s="63" t="s">
        <v>38</v>
      </c>
      <c r="J17" s="64">
        <v>0.1</v>
      </c>
      <c r="K17" s="30">
        <f>MROUND(D6+D8+D10+D12+D14+D16+D18,50)</f>
        <v>9400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19600</v>
      </c>
    </row>
    <row r="19" spans="1:11" x14ac:dyDescent="0.35">
      <c r="A19" s="28" t="s">
        <v>97</v>
      </c>
      <c r="B19" s="133">
        <f>IF(DigitaPRIMERA!C2&lt;&gt;"",DigitaPRIMERA!C2,"")</f>
        <v>23</v>
      </c>
      <c r="C19" s="29">
        <f>IF(DigitaPRIMERA!$C$17&lt;&gt;"",DigitaPRIMERA!$C$17,"")</f>
        <v>106850</v>
      </c>
      <c r="D19" s="42">
        <f>IF(C19="",0,C19*J$18)</f>
        <v>12822</v>
      </c>
      <c r="E19" s="29">
        <f>IF(DigitaPRIMERA!$D$17&lt;&gt;"",DigitaPRIMERA!$D$17,"")</f>
        <v>0</v>
      </c>
      <c r="F19" s="42">
        <f>IF(E19="",0,E19*PREMIOS!F19)</f>
        <v>0</v>
      </c>
      <c r="G19" s="30">
        <f t="shared" si="6"/>
        <v>94028</v>
      </c>
      <c r="I19" s="63" t="s">
        <v>104</v>
      </c>
      <c r="J19" s="64">
        <v>0.12</v>
      </c>
      <c r="K19" s="30">
        <f>MROUND(D21+D22+D23,50)</f>
        <v>11500</v>
      </c>
    </row>
    <row r="20" spans="1:11" x14ac:dyDescent="0.35">
      <c r="A20" s="28" t="s">
        <v>98</v>
      </c>
      <c r="B20" s="133">
        <f>IF(DigitaPRIMERA!E2&lt;&gt;"",DigitaPRIMERA!E2,"")</f>
        <v>64</v>
      </c>
      <c r="C20" s="29">
        <f>IF(DigitaPRIMERA!$E$17&lt;&gt;"",DigitaPRIMERA!$E$17,"")</f>
        <v>56550</v>
      </c>
      <c r="D20" s="42">
        <f>IF(C20="",0,C20*J$18)</f>
        <v>6786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49764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24</v>
      </c>
      <c r="C21" s="29">
        <f>IF(DigitaHONDURAS!$C$17&lt;&gt;"",DigitaHONDURAS!$C$17,"")</f>
        <v>60700</v>
      </c>
      <c r="D21" s="42">
        <f>IF(C21="",0,C21*J$19)</f>
        <v>7284</v>
      </c>
      <c r="E21" s="29">
        <f>IF(DigitaHONDURAS!$D$17&lt;&gt;"",DigitaHONDURAS!$D$17,"")</f>
        <v>1200</v>
      </c>
      <c r="F21" s="42">
        <f>IF(E21="",0,E21*PREMIOS!F20)</f>
        <v>102000</v>
      </c>
      <c r="G21" s="30">
        <f t="shared" si="6"/>
        <v>-48584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 t="str">
        <f>IF(DigitaHONDURAS!E2&lt;&gt;"",DigitaHONDURAS!E2,"")</f>
        <v>09</v>
      </c>
      <c r="C22" s="29">
        <f>IF(DigitaHONDURAS!$E$17&lt;&gt;"",DigitaHONDURAS!$E$17,"")</f>
        <v>11100</v>
      </c>
      <c r="D22" s="42">
        <f>IF(C22="",0,C22*J$19)</f>
        <v>1332</v>
      </c>
      <c r="E22" s="29">
        <f>IF(DigitaHONDURAS!$F$17&lt;&gt;"",DigitaHONDURAS!$F$17,"")</f>
        <v>100</v>
      </c>
      <c r="F22" s="42">
        <f>IF(E22="",0,E22*PREMIOS!F20)</f>
        <v>8500</v>
      </c>
      <c r="G22" s="30">
        <f t="shared" si="6"/>
        <v>1268</v>
      </c>
    </row>
    <row r="23" spans="1:11" x14ac:dyDescent="0.35">
      <c r="A23" s="28" t="s">
        <v>101</v>
      </c>
      <c r="B23" s="133">
        <f>IF(DigitaHONDURAS!G2&lt;&gt;"",DigitaHONDURAS!G2,"")</f>
        <v>49</v>
      </c>
      <c r="C23" s="29">
        <f>IF(DigitaHONDURAS!$G$17&lt;&gt;"",DigitaHONDURAS!$G$17,"")</f>
        <v>23900</v>
      </c>
      <c r="D23" s="42">
        <f>IF(C23="",0,C23*J$19)</f>
        <v>2868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21032</v>
      </c>
    </row>
    <row r="24" spans="1:11" x14ac:dyDescent="0.35">
      <c r="A24" s="28" t="s">
        <v>102</v>
      </c>
      <c r="B24" s="133">
        <f>IF(DigitaDOMINICANA!C2&lt;&gt;"",DigitaDOMINICANA!C2,"")</f>
        <v>68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15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76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1383900</v>
      </c>
      <c r="D27" s="68">
        <f t="shared" ref="D27:G27" si="7">SUM(D5:D26)</f>
        <v>164187</v>
      </c>
      <c r="E27" s="68">
        <f t="shared" si="7"/>
        <v>18800</v>
      </c>
      <c r="F27" s="68">
        <f t="shared" si="7"/>
        <v>1597750</v>
      </c>
      <c r="G27" s="89">
        <f t="shared" si="7"/>
        <v>-378037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184050</v>
      </c>
      <c r="K4" s="233">
        <f t="shared" ref="K4" si="0">D7+D11+D15</f>
        <v>22086</v>
      </c>
      <c r="L4" s="222">
        <f>F7+F11+F15</f>
        <v>225250</v>
      </c>
    </row>
    <row r="5" spans="1:12" x14ac:dyDescent="0.35">
      <c r="A5" s="28" t="str">
        <f>+Vendedor1!A5</f>
        <v>Nica 11am</v>
      </c>
      <c r="B5" s="133">
        <f>IF(DigitaNICA!C2&lt;&gt;"",DigitaNICA!C2,"")</f>
        <v>48</v>
      </c>
      <c r="C5" s="29">
        <f>IF(DigitaNICA!C18&lt;&gt;"",DigitaNICA!C18,"")</f>
        <v>67800</v>
      </c>
      <c r="D5" s="42">
        <f>IF(C5="",0,C5*J$16)</f>
        <v>8136</v>
      </c>
      <c r="E5" s="29">
        <f>IF(DigitaNICA!D18&lt;&gt;"",DigitaNICA!D18,"")</f>
        <v>200</v>
      </c>
      <c r="F5" s="42">
        <f>IF(E5="",0,E5*PREMIOS!F5)</f>
        <v>17000</v>
      </c>
      <c r="G5" s="30">
        <f t="shared" ref="G5:G12" si="1">IF(OR(C5="",E5=""),0,C5-D5-F5)</f>
        <v>42664</v>
      </c>
      <c r="I5" s="219" t="s">
        <v>37</v>
      </c>
      <c r="J5" s="223">
        <f>SUM(IF(C5="",0,C5),IF(C9="",0,C9),IF(C13="",0,C13),IF(C17="",0,C17))</f>
        <v>139100</v>
      </c>
      <c r="K5" s="227">
        <f t="shared" ref="K5" si="2">D5+D9+D13+D17</f>
        <v>16692</v>
      </c>
      <c r="L5" s="224">
        <f>F5+F9+F13+F17</f>
        <v>110500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66000</v>
      </c>
      <c r="K6" s="228">
        <f t="shared" ref="K6" si="3">+D8+D12+D16</f>
        <v>6600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69</v>
      </c>
      <c r="C7" s="29">
        <f>IF(DigitaTICA!C18&lt;&gt;"",DigitaTICA!C18,"")</f>
        <v>60900</v>
      </c>
      <c r="D7" s="42">
        <f>IF(C7="",0,C7*J$15)</f>
        <v>7308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53592</v>
      </c>
      <c r="I7" s="219" t="s">
        <v>96</v>
      </c>
      <c r="J7" s="225">
        <f>SUM(IF(C19="",0,C19),IF(C20="",0,C20))</f>
        <v>80150</v>
      </c>
      <c r="K7" s="228">
        <f>+D19+D20</f>
        <v>9618</v>
      </c>
      <c r="L7" s="229">
        <f>+F19+F20</f>
        <v>97750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28800</v>
      </c>
      <c r="D8" s="42">
        <f>IF(C8="",0,C8*J$17)</f>
        <v>2880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25920</v>
      </c>
      <c r="I8" s="219" t="s">
        <v>104</v>
      </c>
      <c r="J8" s="225">
        <f>SUM(IF(C21="",0,C21),IF(C22="",0,C22),IF(C23="",0,C23))</f>
        <v>14000</v>
      </c>
      <c r="K8" s="228">
        <f t="shared" ref="K8" si="4">D21+D22+D23</f>
        <v>1680</v>
      </c>
      <c r="L8" s="229">
        <f>F21+F22+F23</f>
        <v>25500</v>
      </c>
    </row>
    <row r="9" spans="1:12" x14ac:dyDescent="0.35">
      <c r="A9" s="28" t="str">
        <f>+Vendedor1!A9</f>
        <v>Nica 3pm</v>
      </c>
      <c r="B9" s="133">
        <f>IF(DigitaNICA!E2&lt;&gt;"",DigitaNICA!E2,"")</f>
        <v>42</v>
      </c>
      <c r="C9" s="29">
        <f>IF(DigitaNICA!E18&lt;&gt;"",DigitaNICA!E18,"")</f>
        <v>44300</v>
      </c>
      <c r="D9" s="42">
        <f>IF(C9="",0,C9*J$16)</f>
        <v>5316</v>
      </c>
      <c r="E9" s="29">
        <f>IF(DigitaNICA!F18&lt;&gt;"",DigitaNICA!F18,"")</f>
        <v>350</v>
      </c>
      <c r="F9" s="42">
        <f>IF(E9="",0,E9*PREMIOS!F9)</f>
        <v>29750</v>
      </c>
      <c r="G9" s="30">
        <f t="shared" si="1"/>
        <v>9234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IF(DigitaTICA!E18&lt;&gt;"",DigitaTICA!E18,"")</f>
        <v>39100</v>
      </c>
      <c r="D11" s="42">
        <f>IF(C11="",0,C11*J$15)</f>
        <v>4692</v>
      </c>
      <c r="E11" s="29">
        <f>IF(DigitaTICA!F18&lt;&gt;"",DigitaTICA!F18,"")</f>
        <v>200</v>
      </c>
      <c r="F11" s="42">
        <f>IF(E11="",0,E11*PREMIOS!F11)</f>
        <v>17000</v>
      </c>
      <c r="G11" s="30">
        <f t="shared" si="1"/>
        <v>17408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10900</v>
      </c>
      <c r="D12" s="42">
        <f>IF(C12="",0,C12*J$17)</f>
        <v>1090</v>
      </c>
      <c r="E12" s="29">
        <f>IF(DigitaREVENTADO!F18&lt;&gt;"",DigitaREVENTADO!F18,"")</f>
        <v>100</v>
      </c>
      <c r="F12" s="42">
        <f>IF(E12="",0,E12*PREMIOS!F12)</f>
        <v>0</v>
      </c>
      <c r="G12" s="30">
        <f t="shared" si="1"/>
        <v>9810</v>
      </c>
    </row>
    <row r="13" spans="1:12" ht="15" thickBot="1" x14ac:dyDescent="0.4">
      <c r="A13" s="28" t="str">
        <f>+Vendedor1!A13</f>
        <v>Nica 6pm</v>
      </c>
      <c r="B13" s="133" t="str">
        <f>IF(DigitaNICA!G2&lt;&gt;"",DigitaNICA!G2,"")</f>
        <v>01</v>
      </c>
      <c r="C13" s="29">
        <f>IF(DigitaNICA!G18&lt;&gt;"",DigitaNICA!G18,"")</f>
        <v>19300</v>
      </c>
      <c r="D13" s="42">
        <f>IF(C13="",0,C13*J$16)</f>
        <v>2316</v>
      </c>
      <c r="E13" s="29">
        <f>IF(DigitaNICA!H18&lt;&gt;"",DigitaNICA!H18,"")</f>
        <v>650</v>
      </c>
      <c r="F13" s="42">
        <f>IF(E13="",0,E13*PREMIOS!F13)</f>
        <v>55250</v>
      </c>
      <c r="G13" s="30">
        <f>IF(OR(C13="",E13=""),0,C13-D13-F13)</f>
        <v>-38266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72</v>
      </c>
      <c r="C15" s="29">
        <f>IF(DigitaTICA!G18&lt;&gt;"",DigitaTICA!G18,"")</f>
        <v>84050</v>
      </c>
      <c r="D15" s="42">
        <f>IF(C15="",0,C15*J$15)</f>
        <v>10086</v>
      </c>
      <c r="E15" s="29">
        <f>IF(DigitaTICA!H18&lt;&gt;"",DigitaTICA!H18,"")</f>
        <v>2450</v>
      </c>
      <c r="F15" s="42">
        <f>IF(E15="",0,E15*PREMIOS!F15)</f>
        <v>208250</v>
      </c>
      <c r="G15" s="30">
        <f t="shared" si="6"/>
        <v>-134286</v>
      </c>
      <c r="I15" s="77" t="s">
        <v>36</v>
      </c>
      <c r="J15" s="78">
        <v>0.12</v>
      </c>
      <c r="K15" s="79">
        <f>MROUND(D7+D11+D15,50)</f>
        <v>22100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26300</v>
      </c>
      <c r="D16" s="42">
        <f>IF(C16="",0,C16*J$17)</f>
        <v>2630</v>
      </c>
      <c r="E16" s="29">
        <f>IF(DigitaREVENTADO!H18&lt;&gt;"",DigitaREVENTADO!H18,"")</f>
        <v>2000</v>
      </c>
      <c r="F16" s="42">
        <f>IF(E16="",0,E16*PREMIOS!F16)</f>
        <v>0</v>
      </c>
      <c r="G16" s="30">
        <f t="shared" si="6"/>
        <v>23670</v>
      </c>
      <c r="I16" s="63" t="s">
        <v>37</v>
      </c>
      <c r="J16" s="64">
        <v>0.12</v>
      </c>
      <c r="K16" s="30">
        <f>MROUND(D5+D9+D13+D17,50)</f>
        <v>16700</v>
      </c>
    </row>
    <row r="17" spans="1:11" x14ac:dyDescent="0.35">
      <c r="A17" s="28" t="str">
        <f>+Vendedor1!A17</f>
        <v>Nica 9pm</v>
      </c>
      <c r="B17" s="133">
        <f>IF(DigitaNICA!I2&lt;&gt;"",DigitaNICA!I2,"")</f>
        <v>65</v>
      </c>
      <c r="C17" s="29">
        <f>IF(DigitaNICA!I18&lt;&gt;"",DigitaNICA!I18,"")</f>
        <v>7700</v>
      </c>
      <c r="D17" s="42">
        <f>IF(C17="",0,C17*J$16)</f>
        <v>924</v>
      </c>
      <c r="E17" s="29">
        <f>IF(DigitaNICA!J18&lt;&gt;"",DigitaNICA!J18,"")</f>
        <v>100</v>
      </c>
      <c r="F17" s="42">
        <f>IF(E17="",0,E17*PREMIOS!F17)</f>
        <v>8500</v>
      </c>
      <c r="G17" s="30">
        <f t="shared" si="6"/>
        <v>-1724</v>
      </c>
      <c r="I17" s="63" t="s">
        <v>38</v>
      </c>
      <c r="J17" s="64">
        <v>0.1</v>
      </c>
      <c r="K17" s="30">
        <f>MROUND(D6+D8+D10+D12+D14+D16+D18,50)</f>
        <v>6600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9600</v>
      </c>
    </row>
    <row r="19" spans="1:11" x14ac:dyDescent="0.35">
      <c r="A19" s="28" t="s">
        <v>97</v>
      </c>
      <c r="B19" s="133">
        <f>IF(DigitaPRIMERA!C2&lt;&gt;"",DigitaPRIMERA!C2,"")</f>
        <v>23</v>
      </c>
      <c r="C19" s="29">
        <f>IF(DigitaPRIMERA!$C$18&lt;&gt;"",DigitaPRIMERA!$C$18,"")</f>
        <v>58050</v>
      </c>
      <c r="D19" s="42">
        <f>IF(C19="",0,C19*J$18)</f>
        <v>6966</v>
      </c>
      <c r="E19" s="29">
        <f>IF(DigitaPRIMERA!$D$18&lt;&gt;"",DigitaPRIMERA!$D$18,"")</f>
        <v>800</v>
      </c>
      <c r="F19" s="42">
        <f>IF(E19="",0,E19*PREMIOS!F19)</f>
        <v>68000</v>
      </c>
      <c r="G19" s="30">
        <f t="shared" si="6"/>
        <v>-16916</v>
      </c>
      <c r="I19" s="63" t="s">
        <v>104</v>
      </c>
      <c r="J19" s="64">
        <v>0.12</v>
      </c>
      <c r="K19" s="30">
        <f>MROUND(D21+D22+D23,50)</f>
        <v>1700</v>
      </c>
    </row>
    <row r="20" spans="1:11" x14ac:dyDescent="0.35">
      <c r="A20" s="28" t="s">
        <v>98</v>
      </c>
      <c r="B20" s="133">
        <f>IF(DigitaPRIMERA!E2&lt;&gt;"",DigitaPRIMERA!E2,"")</f>
        <v>64</v>
      </c>
      <c r="C20" s="29">
        <f>IF(DigitaPRIMERA!$E$18&lt;&gt;"",DigitaPRIMERA!$E$18,"")</f>
        <v>22100</v>
      </c>
      <c r="D20" s="42">
        <f>IF(C20="",0,C20*J$18)</f>
        <v>2652</v>
      </c>
      <c r="E20" s="29">
        <f>IF(DigitaPRIMERA!$F$18&lt;&gt;"",DigitaPRIMERA!$F$18,"")</f>
        <v>350</v>
      </c>
      <c r="F20" s="42">
        <f>IF(E20="",0,E20*PREMIOS!F19)</f>
        <v>29750</v>
      </c>
      <c r="G20" s="30">
        <f t="shared" si="6"/>
        <v>-10302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24</v>
      </c>
      <c r="C21" s="29">
        <f>IF(DigitaHONDURAS!$C$18&lt;&gt;"",DigitaHONDURAS!$C$18,"")</f>
        <v>9800</v>
      </c>
      <c r="D21" s="42">
        <f>IF(C21="",0,C21*J$19)</f>
        <v>1176</v>
      </c>
      <c r="E21" s="29">
        <f>IF(DigitaHONDURAS!$D$18&lt;&gt;"",DigitaHONDURAS!$D$18,"")</f>
        <v>300</v>
      </c>
      <c r="F21" s="42">
        <f>IF(E21="",0,E21*PREMIOS!F20)</f>
        <v>25500</v>
      </c>
      <c r="G21" s="30">
        <f t="shared" si="6"/>
        <v>-16876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 t="str">
        <f>IF(DigitaHONDURAS!E2&lt;&gt;"",DigitaHONDURAS!E2,"")</f>
        <v>09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3">
        <f>IF(DigitaHONDURAS!G2&lt;&gt;"",DigitaHONDURAS!G2,"")</f>
        <v>49</v>
      </c>
      <c r="C23" s="29">
        <f>IF(DigitaHONDURAS!$G$18&lt;&gt;"",DigitaHONDURAS!$G$18,"")</f>
        <v>4200</v>
      </c>
      <c r="D23" s="42">
        <f>IF(C23="",0,C23*J$19)</f>
        <v>504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3696</v>
      </c>
    </row>
    <row r="24" spans="1:11" x14ac:dyDescent="0.35">
      <c r="A24" s="28" t="s">
        <v>102</v>
      </c>
      <c r="B24" s="133">
        <f>IF(DigitaDOMINICANA!C2&lt;&gt;"",DigitaDOMINICANA!C2,"")</f>
        <v>68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15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76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483300</v>
      </c>
      <c r="D27" s="68">
        <f t="shared" ref="D27:G27" si="7">SUM(D5:D26)</f>
        <v>56676</v>
      </c>
      <c r="E27" s="68">
        <f t="shared" si="7"/>
        <v>7500</v>
      </c>
      <c r="F27" s="68">
        <f t="shared" si="7"/>
        <v>459000</v>
      </c>
      <c r="G27" s="89">
        <f t="shared" si="7"/>
        <v>-32376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48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69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42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99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 t="str">
        <f>IF(DigitaNICA!G2&lt;&gt;"",DigitaNICA!G2,"")</f>
        <v>01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72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65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48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69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42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 t="str">
        <f>IF(DigitaNICA!G2&lt;&gt;"",DigitaNICA!G2,"")</f>
        <v>01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72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69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69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69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 t="e">
        <f>MROUND(D19+D20,50)</f>
        <v>#NUM!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>
        <f>IF(DigitaPRIMERA!$E$27&lt;&gt;"",DigitaPRIMERA!$E$27,"")</f>
        <v>-160300</v>
      </c>
      <c r="D20" s="42">
        <f>IF(C20="",0,C20*J$12)</f>
        <v>-19236</v>
      </c>
      <c r="E20" s="29">
        <f>IF(DigitaPRIMERA!$F$27&lt;&gt;"",DigitaPRIMERA!$F$27,"")</f>
        <v>-350</v>
      </c>
      <c r="F20" s="42">
        <f>IF(E20="",0,E20*PREMIOS!F19)</f>
        <v>-29750</v>
      </c>
      <c r="G20" s="30">
        <f t="shared" si="1"/>
        <v>-111314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-160300</v>
      </c>
      <c r="D27" s="68">
        <f t="shared" ref="D27:G27" si="2">SUM(D5:D26)</f>
        <v>-19236</v>
      </c>
      <c r="E27" s="68">
        <f t="shared" si="2"/>
        <v>-350</v>
      </c>
      <c r="F27" s="68">
        <f t="shared" si="2"/>
        <v>-29750</v>
      </c>
      <c r="G27" s="89">
        <f t="shared" si="2"/>
        <v>-111314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69</v>
      </c>
      <c r="D2" s="269"/>
      <c r="E2" s="268">
        <f>IF(PREMIOS!$B11="","",PREMIOS!$B11)</f>
        <v>99</v>
      </c>
      <c r="F2" s="269"/>
      <c r="G2" s="268">
        <f>IF(PREMIOS!$B15="","",PREMIOS!$B15)</f>
        <v>72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65150</v>
      </c>
      <c r="D4" s="79">
        <v>4850</v>
      </c>
      <c r="E4" s="190">
        <v>56350</v>
      </c>
      <c r="F4" s="79">
        <f t="shared" ref="D4:H27" si="0">IF(E4="","",0)</f>
        <v>0</v>
      </c>
      <c r="G4" s="190">
        <v>154550</v>
      </c>
      <c r="H4" s="79">
        <v>1000</v>
      </c>
      <c r="J4" s="42">
        <f t="shared" ref="J4:J8" si="1">+C4+E4+G4</f>
        <v>276050</v>
      </c>
      <c r="K4" s="42">
        <f>IF(D4="",0,IF(F4="",D4,IF(H4="",D4+F4,D4+F4+H4)))</f>
        <v>5850</v>
      </c>
    </row>
    <row r="5" spans="1:11" x14ac:dyDescent="0.35">
      <c r="A5" s="47">
        <v>2</v>
      </c>
      <c r="B5" s="179" t="str">
        <f>Vendedor2!$B$2</f>
        <v>PUESTO 2</v>
      </c>
      <c r="C5" s="181">
        <v>53700</v>
      </c>
      <c r="D5" s="30">
        <v>450</v>
      </c>
      <c r="E5" s="181">
        <v>27300</v>
      </c>
      <c r="F5" s="30">
        <f t="shared" si="0"/>
        <v>0</v>
      </c>
      <c r="G5" s="181">
        <v>79250</v>
      </c>
      <c r="H5" s="30">
        <f t="shared" si="0"/>
        <v>0</v>
      </c>
      <c r="J5" s="42">
        <f t="shared" si="1"/>
        <v>160250</v>
      </c>
      <c r="K5" s="42">
        <f t="shared" ref="K5:K27" si="2">IF(D5="",0,IF(F5="",D5,IF(H5="",D5+F5,D5+F5+H5)))</f>
        <v>450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>
        <v>8750</v>
      </c>
      <c r="H7" s="30">
        <f t="shared" si="0"/>
        <v>0</v>
      </c>
      <c r="J7" s="42">
        <f t="shared" si="1"/>
        <v>8750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76450</v>
      </c>
      <c r="D8" s="30">
        <v>300</v>
      </c>
      <c r="E8" s="181">
        <v>38950</v>
      </c>
      <c r="F8" s="30">
        <f t="shared" si="0"/>
        <v>0</v>
      </c>
      <c r="G8" s="181">
        <v>34600</v>
      </c>
      <c r="H8" s="30">
        <v>750</v>
      </c>
      <c r="J8" s="42">
        <f t="shared" si="1"/>
        <v>150000</v>
      </c>
      <c r="K8" s="42">
        <f t="shared" si="2"/>
        <v>1050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45000+129350</f>
        <v>174350</v>
      </c>
      <c r="D10" s="30">
        <v>700</v>
      </c>
      <c r="E10" s="181">
        <f>25000+134250</f>
        <v>159250</v>
      </c>
      <c r="F10" s="30">
        <v>3550</v>
      </c>
      <c r="G10" s="181">
        <v>227800</v>
      </c>
      <c r="H10" s="30">
        <v>1100</v>
      </c>
      <c r="J10" s="42">
        <f t="shared" si="3"/>
        <v>561400</v>
      </c>
      <c r="K10" s="42">
        <f t="shared" si="2"/>
        <v>5350</v>
      </c>
    </row>
    <row r="11" spans="1:11" x14ac:dyDescent="0.35">
      <c r="A11" s="47">
        <v>8</v>
      </c>
      <c r="B11" s="179" t="str">
        <f>Vendedor8!$B$2</f>
        <v>ISA</v>
      </c>
      <c r="C11" s="181">
        <v>11500</v>
      </c>
      <c r="D11" s="30">
        <v>1000</v>
      </c>
      <c r="E11" s="181"/>
      <c r="F11" s="30" t="str">
        <f t="shared" si="0"/>
        <v/>
      </c>
      <c r="G11" s="181">
        <v>28200</v>
      </c>
      <c r="H11" s="30">
        <f t="shared" si="0"/>
        <v>0</v>
      </c>
      <c r="J11" s="42">
        <f t="shared" si="3"/>
        <v>39700</v>
      </c>
      <c r="K11" s="42">
        <f t="shared" si="2"/>
        <v>1000</v>
      </c>
    </row>
    <row r="12" spans="1:11" x14ac:dyDescent="0.35">
      <c r="A12" s="47">
        <v>9</v>
      </c>
      <c r="B12" s="179" t="str">
        <f>Vendedor9!$B$2</f>
        <v>JUAN FELIX</v>
      </c>
      <c r="C12" s="181">
        <v>16400</v>
      </c>
      <c r="D12" s="30">
        <f t="shared" si="0"/>
        <v>0</v>
      </c>
      <c r="E12" s="181">
        <v>8100</v>
      </c>
      <c r="F12" s="30">
        <v>200</v>
      </c>
      <c r="G12" s="181">
        <v>29700</v>
      </c>
      <c r="H12" s="30">
        <f t="shared" si="0"/>
        <v>0</v>
      </c>
      <c r="J12" s="42">
        <f t="shared" si="3"/>
        <v>54200</v>
      </c>
      <c r="K12" s="42">
        <f t="shared" si="2"/>
        <v>200</v>
      </c>
    </row>
    <row r="13" spans="1:11" x14ac:dyDescent="0.35">
      <c r="A13" s="47">
        <v>10</v>
      </c>
      <c r="B13" s="179" t="str">
        <f>Vendedor10!$B$2</f>
        <v>MARIALIZ</v>
      </c>
      <c r="C13" s="181">
        <v>30300</v>
      </c>
      <c r="D13" s="30">
        <f t="shared" si="0"/>
        <v>0</v>
      </c>
      <c r="E13" s="181">
        <v>32200</v>
      </c>
      <c r="F13" s="30">
        <v>150</v>
      </c>
      <c r="G13" s="181">
        <v>74550</v>
      </c>
      <c r="H13" s="30">
        <v>300</v>
      </c>
      <c r="J13" s="42">
        <f t="shared" si="3"/>
        <v>137050</v>
      </c>
      <c r="K13" s="42">
        <f t="shared" si="2"/>
        <v>450</v>
      </c>
    </row>
    <row r="14" spans="1:11" x14ac:dyDescent="0.35">
      <c r="A14" s="47">
        <v>11</v>
      </c>
      <c r="B14" s="179" t="str">
        <f>Vendedor11!$B$2</f>
        <v>CHARLY</v>
      </c>
      <c r="C14" s="181">
        <v>35750</v>
      </c>
      <c r="D14" s="30">
        <v>500</v>
      </c>
      <c r="E14" s="181">
        <v>9150</v>
      </c>
      <c r="F14" s="30">
        <f t="shared" si="0"/>
        <v>0</v>
      </c>
      <c r="G14" s="181">
        <v>41650</v>
      </c>
      <c r="H14" s="30">
        <f t="shared" si="0"/>
        <v>0</v>
      </c>
      <c r="J14" s="42">
        <f t="shared" si="3"/>
        <v>86550</v>
      </c>
      <c r="K14" s="42">
        <f t="shared" si="2"/>
        <v>500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29850</v>
      </c>
      <c r="D16" s="30">
        <f t="shared" si="0"/>
        <v>0</v>
      </c>
      <c r="E16" s="181">
        <v>17450</v>
      </c>
      <c r="F16" s="30">
        <f t="shared" si="0"/>
        <v>0</v>
      </c>
      <c r="G16" s="181">
        <v>49250</v>
      </c>
      <c r="H16" s="30">
        <v>1000</v>
      </c>
      <c r="J16" s="42">
        <f t="shared" si="3"/>
        <v>96550</v>
      </c>
      <c r="K16" s="42">
        <f t="shared" si="2"/>
        <v>1000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128700+30150</f>
        <v>158850</v>
      </c>
      <c r="D17" s="30">
        <f>500+1600</f>
        <v>2100</v>
      </c>
      <c r="E17" s="181">
        <f>129100+26100</f>
        <v>155200</v>
      </c>
      <c r="F17" s="30">
        <f>650+1800</f>
        <v>2450</v>
      </c>
      <c r="G17" s="181">
        <f>183050+57350</f>
        <v>240400</v>
      </c>
      <c r="H17" s="30">
        <f>2600+2100</f>
        <v>4700</v>
      </c>
      <c r="J17" s="42">
        <f t="shared" si="3"/>
        <v>554450</v>
      </c>
      <c r="K17" s="42">
        <f t="shared" si="2"/>
        <v>9250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30800+30100</f>
        <v>60900</v>
      </c>
      <c r="D18" s="30">
        <f t="shared" si="0"/>
        <v>0</v>
      </c>
      <c r="E18" s="181">
        <f>27500+11600</f>
        <v>39100</v>
      </c>
      <c r="F18" s="30">
        <f>100+100</f>
        <v>200</v>
      </c>
      <c r="G18" s="181">
        <f>52650+31400</f>
        <v>84050</v>
      </c>
      <c r="H18" s="30">
        <f>450+2000</f>
        <v>2450</v>
      </c>
      <c r="J18" s="42">
        <f t="shared" si="3"/>
        <v>184050</v>
      </c>
      <c r="K18" s="42">
        <f t="shared" si="2"/>
        <v>2650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713200</v>
      </c>
      <c r="D32" s="44">
        <f t="shared" si="6"/>
        <v>9900</v>
      </c>
      <c r="E32" s="43">
        <f t="shared" si="6"/>
        <v>543050</v>
      </c>
      <c r="F32" s="44">
        <f t="shared" si="6"/>
        <v>6550</v>
      </c>
      <c r="G32" s="43">
        <f t="shared" si="6"/>
        <v>1052750</v>
      </c>
      <c r="H32" s="44">
        <f t="shared" si="6"/>
        <v>11300</v>
      </c>
      <c r="J32" s="96">
        <f>SUM(J4:J31)</f>
        <v>2309000</v>
      </c>
      <c r="K32" s="96"/>
    </row>
    <row r="33" spans="2:8" x14ac:dyDescent="0.35">
      <c r="D33" s="100">
        <f>+D32*85</f>
        <v>841500</v>
      </c>
      <c r="F33" s="100">
        <f>+F32*85</f>
        <v>556750</v>
      </c>
      <c r="H33" s="100">
        <f>+H32*85</f>
        <v>960500</v>
      </c>
    </row>
    <row r="34" spans="2:8" x14ac:dyDescent="0.35">
      <c r="B34" s="249" t="s">
        <v>149</v>
      </c>
      <c r="C34" s="43">
        <f t="shared" ref="C34:H34" si="7">+C4+C5+C6+C8+C13</f>
        <v>225600</v>
      </c>
      <c r="D34" s="43" t="e">
        <f t="shared" si="7"/>
        <v>#VALUE!</v>
      </c>
      <c r="E34" s="43">
        <f t="shared" si="7"/>
        <v>154800</v>
      </c>
      <c r="F34" s="43" t="e">
        <f t="shared" si="7"/>
        <v>#VALUE!</v>
      </c>
      <c r="G34" s="43">
        <f t="shared" si="7"/>
        <v>342950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267000</v>
      </c>
      <c r="D35" s="43" t="e">
        <f t="shared" ref="D35:H35" si="8">+D11+D14+D15+D17+D18</f>
        <v>#VALUE!</v>
      </c>
      <c r="E35" s="43">
        <f t="shared" si="8"/>
        <v>203450</v>
      </c>
      <c r="F35" s="43" t="e">
        <f t="shared" si="8"/>
        <v>#VALUE!</v>
      </c>
      <c r="G35" s="43">
        <f t="shared" si="8"/>
        <v>394300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190750</v>
      </c>
      <c r="D36" s="43" t="e">
        <f t="shared" ref="D36:H36" si="9">+D10+D12+D27</f>
        <v>#VALUE!</v>
      </c>
      <c r="E36" s="43">
        <f t="shared" si="9"/>
        <v>167350</v>
      </c>
      <c r="F36" s="43" t="e">
        <f t="shared" si="9"/>
        <v>#VALUE!</v>
      </c>
      <c r="G36" s="43">
        <f t="shared" si="9"/>
        <v>257500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48</v>
      </c>
      <c r="D2" s="269"/>
      <c r="E2" s="268">
        <f>IF(PREMIOS!$B9="","",PREMIOS!$B9)</f>
        <v>42</v>
      </c>
      <c r="F2" s="269"/>
      <c r="G2" s="268" t="str">
        <f>IF(PREMIOS!$B13="","",PREMIOS!$B13)</f>
        <v>01</v>
      </c>
      <c r="H2" s="269"/>
      <c r="I2" s="268">
        <f>IF(PREMIOS!$B17="","",PREMIOS!$B17)</f>
        <v>65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24600</v>
      </c>
      <c r="D4" s="79">
        <f t="shared" ref="D4:J27" si="0">IF(C4="","",0)</f>
        <v>0</v>
      </c>
      <c r="E4" s="207">
        <v>24550</v>
      </c>
      <c r="F4" s="79">
        <f t="shared" si="0"/>
        <v>0</v>
      </c>
      <c r="G4" s="190">
        <v>2000</v>
      </c>
      <c r="H4" s="79">
        <f t="shared" ref="H4:H27" si="1">IF(G4="","",0)</f>
        <v>0</v>
      </c>
      <c r="I4" s="190">
        <v>5500</v>
      </c>
      <c r="J4" s="79">
        <f t="shared" si="0"/>
        <v>0</v>
      </c>
      <c r="L4" s="42">
        <f t="shared" ref="L4:L8" si="2">+C4+E4+G4+I4</f>
        <v>56650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12600</v>
      </c>
      <c r="D5" s="30">
        <f t="shared" si="0"/>
        <v>0</v>
      </c>
      <c r="E5" s="208">
        <v>3000</v>
      </c>
      <c r="F5" s="30">
        <f t="shared" si="0"/>
        <v>0</v>
      </c>
      <c r="G5" s="181">
        <v>5750</v>
      </c>
      <c r="H5" s="30">
        <f t="shared" si="1"/>
        <v>0</v>
      </c>
      <c r="I5" s="181"/>
      <c r="J5" s="30" t="str">
        <f t="shared" ref="J5:J27" si="3">IF(I5="","",0)</f>
        <v/>
      </c>
      <c r="L5" s="42">
        <f t="shared" si="2"/>
        <v>21350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74900</v>
      </c>
      <c r="D8" s="30">
        <v>500</v>
      </c>
      <c r="E8" s="208">
        <v>50950</v>
      </c>
      <c r="F8" s="30">
        <v>600</v>
      </c>
      <c r="G8" s="181">
        <v>8000</v>
      </c>
      <c r="H8" s="30">
        <f t="shared" si="1"/>
        <v>0</v>
      </c>
      <c r="I8" s="181">
        <v>18750</v>
      </c>
      <c r="J8" s="30">
        <f t="shared" si="0"/>
        <v>0</v>
      </c>
      <c r="L8" s="42">
        <f t="shared" si="2"/>
        <v>152600</v>
      </c>
      <c r="M8" s="42">
        <f t="shared" si="4"/>
        <v>1100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54700+120000</f>
        <v>174700</v>
      </c>
      <c r="D10" s="30">
        <v>1000</v>
      </c>
      <c r="E10" s="208">
        <f>22300+86250</f>
        <v>108550</v>
      </c>
      <c r="F10" s="30">
        <v>3400</v>
      </c>
      <c r="G10" s="181">
        <f>26500+54400</f>
        <v>80900</v>
      </c>
      <c r="H10" s="30">
        <f t="shared" si="0"/>
        <v>0</v>
      </c>
      <c r="I10" s="181">
        <v>179500</v>
      </c>
      <c r="J10" s="30">
        <v>450</v>
      </c>
      <c r="L10" s="42">
        <f t="shared" si="5"/>
        <v>543650</v>
      </c>
      <c r="M10" s="42">
        <f t="shared" si="4"/>
        <v>4850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40400</v>
      </c>
      <c r="D12" s="30">
        <f t="shared" si="0"/>
        <v>0</v>
      </c>
      <c r="E12" s="208">
        <v>10250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50650</v>
      </c>
      <c r="M12" s="42">
        <f t="shared" si="4"/>
        <v>0</v>
      </c>
    </row>
    <row r="13" spans="1:13" x14ac:dyDescent="0.35">
      <c r="A13" s="47">
        <v>10</v>
      </c>
      <c r="B13" s="179" t="str">
        <f>Vendedor10!$B$2</f>
        <v>MARIALIZ</v>
      </c>
      <c r="C13" s="181">
        <v>29150</v>
      </c>
      <c r="D13" s="30">
        <f t="shared" si="0"/>
        <v>0</v>
      </c>
      <c r="E13" s="208">
        <v>19950</v>
      </c>
      <c r="F13" s="30">
        <f t="shared" si="0"/>
        <v>0</v>
      </c>
      <c r="G13" s="181">
        <v>16850</v>
      </c>
      <c r="H13" s="30">
        <v>250</v>
      </c>
      <c r="I13" s="181">
        <v>6050</v>
      </c>
      <c r="J13" s="30">
        <f t="shared" si="0"/>
        <v>0</v>
      </c>
      <c r="L13" s="42">
        <f t="shared" si="5"/>
        <v>72000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4250</v>
      </c>
      <c r="D16" s="30">
        <f t="shared" si="0"/>
        <v>0</v>
      </c>
      <c r="E16" s="208">
        <v>2350</v>
      </c>
      <c r="F16" s="30">
        <f t="shared" si="0"/>
        <v>0</v>
      </c>
      <c r="G16" s="181"/>
      <c r="H16" s="30" t="str">
        <f t="shared" si="0"/>
        <v/>
      </c>
      <c r="I16" s="181">
        <v>4500</v>
      </c>
      <c r="J16" s="30">
        <f t="shared" si="0"/>
        <v>0</v>
      </c>
      <c r="L16" s="42">
        <f t="shared" si="5"/>
        <v>11100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135100</v>
      </c>
      <c r="D17" s="30">
        <v>800</v>
      </c>
      <c r="E17" s="208">
        <v>113900</v>
      </c>
      <c r="F17" s="30">
        <v>1350</v>
      </c>
      <c r="G17" s="181">
        <v>77100</v>
      </c>
      <c r="H17" s="30">
        <v>850</v>
      </c>
      <c r="I17" s="181">
        <v>150200</v>
      </c>
      <c r="J17" s="30">
        <v>1600</v>
      </c>
      <c r="L17" s="42">
        <f t="shared" si="5"/>
        <v>476300</v>
      </c>
      <c r="M17" s="42">
        <f t="shared" si="4"/>
        <v>4600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67800</v>
      </c>
      <c r="D18" s="30">
        <v>200</v>
      </c>
      <c r="E18" s="208">
        <v>44300</v>
      </c>
      <c r="F18" s="30">
        <v>350</v>
      </c>
      <c r="G18" s="181">
        <v>19300</v>
      </c>
      <c r="H18" s="30">
        <v>650</v>
      </c>
      <c r="I18" s="181">
        <v>7700</v>
      </c>
      <c r="J18" s="30">
        <v>100</v>
      </c>
      <c r="L18" s="42">
        <f t="shared" si="5"/>
        <v>139100</v>
      </c>
      <c r="M18" s="42">
        <f t="shared" si="4"/>
        <v>1300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563500</v>
      </c>
      <c r="D32" s="44">
        <f t="shared" si="7"/>
        <v>2500</v>
      </c>
      <c r="E32" s="43">
        <f t="shared" si="7"/>
        <v>377800</v>
      </c>
      <c r="F32" s="44">
        <f t="shared" si="7"/>
        <v>5700</v>
      </c>
      <c r="G32" s="43">
        <f t="shared" si="7"/>
        <v>209900</v>
      </c>
      <c r="H32" s="44">
        <f t="shared" si="7"/>
        <v>1750</v>
      </c>
      <c r="I32" s="43">
        <f t="shared" si="7"/>
        <v>372200</v>
      </c>
      <c r="J32" s="44">
        <f t="shared" si="7"/>
        <v>2150</v>
      </c>
      <c r="L32" s="96">
        <f>SUM(L9:L31)</f>
        <v>1292800</v>
      </c>
      <c r="M32" s="96">
        <f>SUM(M9:M31)</f>
        <v>10750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69 Roja</v>
      </c>
      <c r="D2" s="269"/>
      <c r="E2" s="268" t="str">
        <f>IF(E33=0,"",CONCATENATE(PREMIOS!$B11," ",PREMIOS!$B12))</f>
        <v>99 Blanca</v>
      </c>
      <c r="F2" s="269"/>
      <c r="G2" s="268" t="str">
        <f>IF(G33=0,"",CONCATENATE(PREMIOS!$B15," ",PREMIOS!$B16))</f>
        <v>72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13900+6050</f>
        <v>19950</v>
      </c>
      <c r="D10" s="30">
        <v>350</v>
      </c>
      <c r="E10" s="181">
        <f>10250+8000</f>
        <v>18250</v>
      </c>
      <c r="F10" s="30">
        <f t="shared" si="0"/>
        <v>0</v>
      </c>
      <c r="G10" s="181">
        <v>25450</v>
      </c>
      <c r="H10" s="30">
        <f t="shared" si="0"/>
        <v>0</v>
      </c>
      <c r="J10" s="42">
        <f t="shared" si="3"/>
        <v>63650</v>
      </c>
      <c r="K10" s="42">
        <f t="shared" si="4"/>
        <v>350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1600</v>
      </c>
      <c r="D12" s="30">
        <f t="shared" si="0"/>
        <v>0</v>
      </c>
      <c r="E12" s="181"/>
      <c r="F12" s="30" t="str">
        <f t="shared" si="1"/>
        <v/>
      </c>
      <c r="G12" s="181"/>
      <c r="H12" s="30" t="str">
        <f t="shared" si="0"/>
        <v/>
      </c>
      <c r="J12" s="42">
        <f t="shared" si="3"/>
        <v>1600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1000</v>
      </c>
      <c r="D16" s="196">
        <f t="shared" si="0"/>
        <v>0</v>
      </c>
      <c r="E16" s="195">
        <v>4000</v>
      </c>
      <c r="F16" s="196">
        <f t="shared" si="1"/>
        <v>0</v>
      </c>
      <c r="G16" s="195">
        <v>4000</v>
      </c>
      <c r="H16" s="196">
        <f t="shared" si="0"/>
        <v>0</v>
      </c>
      <c r="J16" s="42">
        <f t="shared" si="3"/>
        <v>9000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25750</v>
      </c>
      <c r="D17" s="30">
        <v>1550</v>
      </c>
      <c r="E17" s="181">
        <v>18400</v>
      </c>
      <c r="F17" s="30">
        <v>1000</v>
      </c>
      <c r="G17" s="181">
        <v>49900</v>
      </c>
      <c r="H17" s="30">
        <v>1100</v>
      </c>
      <c r="J17" s="42">
        <f t="shared" si="3"/>
        <v>94050</v>
      </c>
      <c r="K17" s="42">
        <f t="shared" si="4"/>
        <v>3650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28800</v>
      </c>
      <c r="D18" s="30">
        <f t="shared" si="0"/>
        <v>0</v>
      </c>
      <c r="E18" s="181">
        <v>10900</v>
      </c>
      <c r="F18" s="30">
        <v>100</v>
      </c>
      <c r="G18" s="181">
        <v>26300</v>
      </c>
      <c r="H18" s="30">
        <v>2000</v>
      </c>
      <c r="J18" s="42">
        <f t="shared" si="3"/>
        <v>66000</v>
      </c>
      <c r="K18" s="42">
        <f t="shared" si="4"/>
        <v>2100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77100</v>
      </c>
      <c r="D33" s="44">
        <f t="shared" si="7"/>
        <v>1900</v>
      </c>
      <c r="E33" s="43">
        <f t="shared" si="7"/>
        <v>51550</v>
      </c>
      <c r="F33" s="44">
        <f t="shared" si="7"/>
        <v>1100</v>
      </c>
      <c r="G33" s="43">
        <f t="shared" si="7"/>
        <v>105650</v>
      </c>
      <c r="H33" s="44">
        <f t="shared" si="7"/>
        <v>3100</v>
      </c>
      <c r="J33" s="45">
        <f>SUM(J4:J32)</f>
        <v>234300</v>
      </c>
      <c r="K33" s="96">
        <f>SUM(K4:K32)</f>
        <v>6100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F33" sqref="F3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23</v>
      </c>
      <c r="D2" s="269"/>
      <c r="E2" s="268">
        <f>IF(PREMIOS!$C19="","",PREMIOS!$C19)</f>
        <v>64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11100</v>
      </c>
      <c r="D4" s="79">
        <f t="shared" ref="D4:F27" si="0">IF(C4="","",0)</f>
        <v>0</v>
      </c>
      <c r="E4" s="190">
        <v>400</v>
      </c>
      <c r="F4" s="79">
        <f t="shared" si="0"/>
        <v>0</v>
      </c>
      <c r="H4" s="42">
        <f>+C4+E4</f>
        <v>11500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6000</v>
      </c>
      <c r="D5" s="30">
        <v>200</v>
      </c>
      <c r="E5" s="181"/>
      <c r="F5" s="30" t="str">
        <f t="shared" ref="F5:F26" si="1">IF(E5="","",0)</f>
        <v/>
      </c>
      <c r="H5" s="42">
        <f t="shared" ref="H5:H32" si="2">+C5+E5</f>
        <v>6000</v>
      </c>
      <c r="I5" s="42">
        <f t="shared" ref="I5:I27" si="3">IF(D5="",0,IF(F5="",D5,D5+F5))</f>
        <v>200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19150</v>
      </c>
      <c r="D8" s="30">
        <f t="shared" si="0"/>
        <v>0</v>
      </c>
      <c r="E8" s="195">
        <v>15050</v>
      </c>
      <c r="F8" s="196">
        <f t="shared" si="1"/>
        <v>0</v>
      </c>
      <c r="H8" s="42">
        <f t="shared" si="2"/>
        <v>34200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60950</v>
      </c>
      <c r="D10" s="30">
        <v>1000</v>
      </c>
      <c r="E10" s="181">
        <v>66200</v>
      </c>
      <c r="F10" s="196">
        <f t="shared" si="1"/>
        <v>0</v>
      </c>
      <c r="H10" s="42">
        <f t="shared" si="2"/>
        <v>127150</v>
      </c>
      <c r="I10" s="42">
        <f t="shared" si="3"/>
        <v>1000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33600</v>
      </c>
      <c r="D12" s="30">
        <v>500</v>
      </c>
      <c r="E12" s="195"/>
      <c r="F12" s="30" t="str">
        <f t="shared" si="0"/>
        <v/>
      </c>
      <c r="H12" s="42">
        <f t="shared" si="2"/>
        <v>33600</v>
      </c>
      <c r="I12" s="42">
        <f t="shared" si="3"/>
        <v>500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5000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5000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106850</v>
      </c>
      <c r="D17" s="196">
        <f t="shared" si="0"/>
        <v>0</v>
      </c>
      <c r="E17" s="181">
        <v>56550</v>
      </c>
      <c r="F17" s="30">
        <f t="shared" si="0"/>
        <v>0</v>
      </c>
      <c r="H17" s="42">
        <f t="shared" si="2"/>
        <v>163400</v>
      </c>
      <c r="I17" s="42">
        <f t="shared" si="3"/>
        <v>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58050</v>
      </c>
      <c r="D18" s="196">
        <v>800</v>
      </c>
      <c r="E18" s="181">
        <v>22100</v>
      </c>
      <c r="F18" s="30">
        <v>350</v>
      </c>
      <c r="H18" s="42">
        <f t="shared" si="2"/>
        <v>80150</v>
      </c>
      <c r="I18" s="42">
        <f t="shared" si="3"/>
        <v>1150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>
        <v>-160300</v>
      </c>
      <c r="F27" s="50">
        <v>-350</v>
      </c>
      <c r="H27" s="42">
        <f t="shared" si="2"/>
        <v>-160300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300700</v>
      </c>
      <c r="D33" s="44">
        <f>SUM(D4:D32)</f>
        <v>2500</v>
      </c>
      <c r="E33" s="43">
        <f>SUM(E4:E32)</f>
        <v>0</v>
      </c>
      <c r="F33" s="44">
        <f>SUM(F4:F32)</f>
        <v>0</v>
      </c>
      <c r="H33" s="96">
        <f>SUM(H4:H32)</f>
        <v>300700</v>
      </c>
      <c r="I33" s="96">
        <f>SUM(I4:I32)</f>
        <v>2850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E10" sqref="E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24</v>
      </c>
      <c r="D2" s="269"/>
      <c r="E2" s="268" t="str">
        <f>IF(PREMIOS!$C20="","",PREMIOS!$C20)</f>
        <v>09</v>
      </c>
      <c r="F2" s="269"/>
      <c r="G2" s="268">
        <f>IF(PREMIOS!$D20="","",PREMIOS!$D20)</f>
        <v>49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6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77500</v>
      </c>
      <c r="D10" s="196">
        <v>1500</v>
      </c>
      <c r="E10" s="181">
        <f>2000+45000</f>
        <v>47000</v>
      </c>
      <c r="F10" s="30">
        <f t="shared" si="0"/>
        <v>0</v>
      </c>
      <c r="G10" s="181">
        <v>45800</v>
      </c>
      <c r="H10" s="196">
        <v>2200</v>
      </c>
      <c r="J10" s="42">
        <f t="shared" si="3"/>
        <v>170300</v>
      </c>
      <c r="K10" s="42">
        <f t="shared" si="4"/>
        <v>3700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60700</v>
      </c>
      <c r="D17" s="196">
        <v>1200</v>
      </c>
      <c r="E17" s="195">
        <v>11100</v>
      </c>
      <c r="F17" s="196">
        <v>100</v>
      </c>
      <c r="G17" s="195">
        <v>23900</v>
      </c>
      <c r="H17" s="196">
        <f t="shared" si="2"/>
        <v>0</v>
      </c>
      <c r="J17" s="42">
        <f t="shared" si="3"/>
        <v>95700</v>
      </c>
      <c r="K17" s="42">
        <f t="shared" si="4"/>
        <v>1300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9800</v>
      </c>
      <c r="D18" s="196">
        <v>300</v>
      </c>
      <c r="E18" s="181"/>
      <c r="F18" s="30" t="str">
        <f t="shared" si="1"/>
        <v/>
      </c>
      <c r="G18" s="181">
        <v>4200</v>
      </c>
      <c r="H18" s="30">
        <f t="shared" si="2"/>
        <v>0</v>
      </c>
      <c r="J18" s="42">
        <f t="shared" si="3"/>
        <v>14000</v>
      </c>
      <c r="K18" s="42">
        <f t="shared" si="4"/>
        <v>300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/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148000</v>
      </c>
      <c r="D33" s="44">
        <f t="shared" si="6"/>
        <v>3000</v>
      </c>
      <c r="E33" s="43">
        <f t="shared" si="6"/>
        <v>58100</v>
      </c>
      <c r="F33" s="44">
        <f t="shared" si="6"/>
        <v>100</v>
      </c>
      <c r="G33" s="43">
        <f t="shared" si="6"/>
        <v>73900</v>
      </c>
      <c r="H33" s="44">
        <f t="shared" si="6"/>
        <v>2200</v>
      </c>
      <c r="J33" s="45">
        <f>SUM(J4:J32)</f>
        <v>280000</v>
      </c>
      <c r="K33" s="96">
        <f>SUM(K4:K32)</f>
        <v>5300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68</v>
      </c>
      <c r="D2" s="269"/>
      <c r="E2" s="268">
        <f>IF(PREMIOS!$C21="","",PREMIOS!$C21)</f>
        <v>15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66200</v>
      </c>
      <c r="D10" s="30">
        <f t="shared" si="0"/>
        <v>0</v>
      </c>
      <c r="E10" s="181">
        <v>48500</v>
      </c>
      <c r="F10" s="30">
        <v>2000</v>
      </c>
      <c r="H10" s="42">
        <f t="shared" si="2"/>
        <v>114700</v>
      </c>
      <c r="I10" s="42">
        <f t="shared" si="3"/>
        <v>2000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66200</v>
      </c>
      <c r="D33" s="44">
        <f>SUM(D4:D32)</f>
        <v>0</v>
      </c>
      <c r="E33" s="43">
        <f>SUM(E4:E32)</f>
        <v>48500</v>
      </c>
      <c r="F33" s="44">
        <f>SUM(F4:F32)</f>
        <v>2000</v>
      </c>
      <c r="H33" s="45">
        <f>SUM(H4:H32)</f>
        <v>114700</v>
      </c>
      <c r="I33" s="96">
        <f>SUM(I4:I32)</f>
        <v>2000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D17" sqref="D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>
        <f>IF(PREMIOS!$B22="","",PREMIOS!$B22)</f>
        <v>76</v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>
        <v>2200</v>
      </c>
      <c r="D10" s="30">
        <f t="shared" si="0"/>
        <v>0</v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2200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2026-03-27T15:58:48Z</dcterms:modified>
  <dc:language>es-CR</dc:language>
</cp:coreProperties>
</file>
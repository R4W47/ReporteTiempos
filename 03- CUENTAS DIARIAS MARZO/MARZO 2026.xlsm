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pivotTables/pivotTable1.xml" ContentType="application/vnd.openxmlformats-officedocument.spreadsheetml.pivotTable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3- CUENTAS DIARIAS MARZO\"/>
    </mc:Choice>
  </mc:AlternateContent>
  <bookViews>
    <workbookView xWindow="-105" yWindow="-105" windowWidth="19425" windowHeight="10305" tabRatio="581"/>
  </bookViews>
  <sheets>
    <sheet name="Resumen" sheetId="2" r:id="rId1"/>
    <sheet name="PuestosALI" sheetId="45" r:id="rId2"/>
    <sheet name="Gráfico Ventas" sheetId="49" r:id="rId3"/>
    <sheet name="Vendedor1" sheetId="5" r:id="rId4"/>
    <sheet name="Vendedor2" sheetId="6" r:id="rId5"/>
    <sheet name="Vendedor3" sheetId="7" r:id="rId6"/>
    <sheet name="Vendedor4" sheetId="8" r:id="rId7"/>
    <sheet name="Vendedor5" sheetId="9" r:id="rId8"/>
    <sheet name="Vendedor6" sheetId="10" r:id="rId9"/>
    <sheet name="Vendedor7" sheetId="11" r:id="rId10"/>
    <sheet name="Vendedor8" sheetId="12" r:id="rId11"/>
    <sheet name="Vendedor9" sheetId="13" r:id="rId12"/>
    <sheet name="Vendedor10" sheetId="14" r:id="rId13"/>
    <sheet name="Vendedor11" sheetId="15" r:id="rId14"/>
    <sheet name="Vendedor12" sheetId="16" r:id="rId15"/>
    <sheet name="Vendedor13" sheetId="51" r:id="rId16"/>
    <sheet name="Vendedor14" sheetId="18" r:id="rId17"/>
    <sheet name="Vendedor15" sheetId="19" r:id="rId18"/>
    <sheet name="Vendedor16" sheetId="20" r:id="rId19"/>
    <sheet name="Vendedor17" sheetId="21" r:id="rId20"/>
    <sheet name="Vendedor18" sheetId="22" r:id="rId21"/>
    <sheet name="Vendedor19" sheetId="23" r:id="rId22"/>
    <sheet name="Vendedor20" sheetId="24" r:id="rId23"/>
    <sheet name="Vendedor21" sheetId="25" r:id="rId24"/>
    <sheet name="Vendedor22" sheetId="26" r:id="rId25"/>
    <sheet name="Vendedor23" sheetId="27" r:id="rId26"/>
    <sheet name="Vendedor24" sheetId="28" r:id="rId27"/>
    <sheet name="Vendedor25" sheetId="29" r:id="rId28"/>
    <sheet name="Vendedor26" sheetId="30" r:id="rId29"/>
    <sheet name="Vendedor27" sheetId="31" r:id="rId30"/>
    <sheet name="Vendedor28" sheetId="32" r:id="rId31"/>
    <sheet name="Vendedor29" sheetId="33" r:id="rId32"/>
    <sheet name="Vendedor30" sheetId="34" r:id="rId33"/>
    <sheet name="Vendedor31" sheetId="35" r:id="rId34"/>
    <sheet name="Vendedor32" sheetId="36" r:id="rId35"/>
    <sheet name="Vendedor33" sheetId="37" r:id="rId36"/>
    <sheet name="Vendedor34" sheetId="38" r:id="rId37"/>
    <sheet name="Vendedor35" sheetId="39" r:id="rId38"/>
    <sheet name="Vendedor36" sheetId="40" r:id="rId39"/>
    <sheet name="Vendedor37" sheetId="41" r:id="rId40"/>
    <sheet name="Vendedor38" sheetId="42" r:id="rId41"/>
    <sheet name="Vendedor39" sheetId="43" r:id="rId42"/>
    <sheet name="Vendedor40" sheetId="44" r:id="rId43"/>
    <sheet name="Grafico Dinámico" sheetId="55" r:id="rId44"/>
    <sheet name="PuestosALI RESUMEN" sheetId="48" r:id="rId45"/>
  </sheets>
  <externalReferences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</externalReferences>
  <calcPr calcId="162913"/>
  <pivotCaches>
    <pivotCache cacheId="0" r:id="rId7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36" i="51" l="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P37" i="51" l="1"/>
  <c r="O37" i="51"/>
  <c r="N37" i="51"/>
  <c r="G8" i="48" l="1"/>
  <c r="G7" i="48"/>
  <c r="D5" i="48"/>
  <c r="F9" i="48" l="1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7" i="51" l="1"/>
  <c r="R8" i="51"/>
  <c r="Q9" i="51"/>
  <c r="S15" i="51"/>
  <c r="R16" i="51"/>
  <c r="Q17" i="51"/>
  <c r="S23" i="51"/>
  <c r="R24" i="51"/>
  <c r="Q25" i="51"/>
  <c r="S31" i="51"/>
  <c r="R32" i="51"/>
  <c r="Q33" i="51"/>
  <c r="S8" i="51"/>
  <c r="S16" i="51"/>
  <c r="R17" i="51"/>
  <c r="Q18" i="51"/>
  <c r="S24" i="51"/>
  <c r="R25" i="51"/>
  <c r="Q26" i="51"/>
  <c r="S32" i="51"/>
  <c r="R33" i="51"/>
  <c r="Q34" i="51"/>
  <c r="S10" i="51"/>
  <c r="R11" i="51"/>
  <c r="S11" i="51"/>
  <c r="R12" i="51"/>
  <c r="S19" i="51"/>
  <c r="R20" i="51"/>
  <c r="S27" i="51"/>
  <c r="S6" i="51"/>
  <c r="R7" i="51"/>
  <c r="S14" i="51"/>
  <c r="R15" i="51"/>
  <c r="Q16" i="51"/>
  <c r="S22" i="51"/>
  <c r="R23" i="51"/>
  <c r="Q24" i="51"/>
  <c r="R9" i="51"/>
  <c r="S18" i="51"/>
  <c r="Q13" i="51"/>
  <c r="Q21" i="51"/>
  <c r="S13" i="51"/>
  <c r="R14" i="51"/>
  <c r="Q15" i="51"/>
  <c r="Q10" i="51"/>
  <c r="S9" i="51"/>
  <c r="R10" i="51"/>
  <c r="Q11" i="51"/>
  <c r="S17" i="51"/>
  <c r="R18" i="51"/>
  <c r="Q12" i="51"/>
  <c r="Q6" i="51"/>
  <c r="S12" i="51"/>
  <c r="R13" i="51"/>
  <c r="Q14" i="51"/>
  <c r="Q19" i="51"/>
  <c r="S25" i="51"/>
  <c r="R26" i="51"/>
  <c r="Q27" i="51"/>
  <c r="S33" i="51"/>
  <c r="R34" i="51"/>
  <c r="Q35" i="51"/>
  <c r="R19" i="51"/>
  <c r="Q20" i="51"/>
  <c r="S26" i="51"/>
  <c r="R27" i="51"/>
  <c r="Q28" i="51"/>
  <c r="S34" i="51"/>
  <c r="R35" i="51"/>
  <c r="Q36" i="51"/>
  <c r="R28" i="51"/>
  <c r="Q29" i="51"/>
  <c r="S35" i="51"/>
  <c r="R36" i="51"/>
  <c r="S20" i="51"/>
  <c r="R21" i="51"/>
  <c r="Q22" i="51"/>
  <c r="S28" i="51"/>
  <c r="R29" i="51"/>
  <c r="Q30" i="51"/>
  <c r="S36" i="51"/>
  <c r="R6" i="51"/>
  <c r="Q7" i="51"/>
  <c r="S21" i="51"/>
  <c r="R22" i="51"/>
  <c r="Q23" i="51"/>
  <c r="S29" i="51"/>
  <c r="R30" i="51"/>
  <c r="Q31" i="51"/>
  <c r="Q8" i="51"/>
  <c r="S30" i="51"/>
  <c r="R31" i="51"/>
  <c r="Q32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J5" i="28"/>
  <c r="I5" i="28"/>
  <c r="H5" i="28"/>
  <c r="G5" i="28"/>
  <c r="F5" i="28"/>
  <c r="E5" i="28"/>
  <c r="D5" i="28"/>
  <c r="C5" i="28"/>
  <c r="B5" i="28"/>
  <c r="L17" i="28" l="1"/>
  <c r="L9" i="28"/>
  <c r="L11" i="28"/>
  <c r="L19" i="28"/>
  <c r="L27" i="28"/>
  <c r="L35" i="28"/>
  <c r="L12" i="28"/>
  <c r="L28" i="28"/>
  <c r="L5" i="28"/>
  <c r="L13" i="28"/>
  <c r="L21" i="28"/>
  <c r="L29" i="28"/>
  <c r="L6" i="28"/>
  <c r="L14" i="28"/>
  <c r="L8" i="28"/>
  <c r="L20" i="28"/>
  <c r="L22" i="28"/>
  <c r="L30" i="28"/>
  <c r="L7" i="28"/>
  <c r="L15" i="28"/>
  <c r="L23" i="28"/>
  <c r="L31" i="28"/>
  <c r="L16" i="28"/>
  <c r="L24" i="28"/>
  <c r="L32" i="28"/>
  <c r="L25" i="28"/>
  <c r="L33" i="28"/>
  <c r="L10" i="28"/>
  <c r="L18" i="28"/>
  <c r="L26" i="28"/>
  <c r="L34" i="28"/>
  <c r="K35" i="45"/>
  <c r="K36" i="45"/>
  <c r="M35" i="45"/>
  <c r="L36" i="45"/>
  <c r="M36" i="45"/>
  <c r="L35" i="45"/>
  <c r="M27" i="28"/>
  <c r="K22" i="28"/>
  <c r="K14" i="28"/>
  <c r="K30" i="28"/>
  <c r="M5" i="28"/>
  <c r="K7" i="28"/>
  <c r="M8" i="28"/>
  <c r="K10" i="28"/>
  <c r="K5" i="28"/>
  <c r="M6" i="28"/>
  <c r="K8" i="28"/>
  <c r="M9" i="28"/>
  <c r="K11" i="28"/>
  <c r="M11" i="28"/>
  <c r="K13" i="28"/>
  <c r="M14" i="28"/>
  <c r="K16" i="28"/>
  <c r="M17" i="28"/>
  <c r="K19" i="28"/>
  <c r="M19" i="28"/>
  <c r="K21" i="28"/>
  <c r="M22" i="28"/>
  <c r="K24" i="28"/>
  <c r="M25" i="28"/>
  <c r="K27" i="28"/>
  <c r="K29" i="28"/>
  <c r="M30" i="28"/>
  <c r="K32" i="28"/>
  <c r="M33" i="28"/>
  <c r="M35" i="28"/>
  <c r="K35" i="28"/>
  <c r="M12" i="28"/>
  <c r="M13" i="28"/>
  <c r="K15" i="28"/>
  <c r="M16" i="28"/>
  <c r="K18" i="28"/>
  <c r="M21" i="28"/>
  <c r="K23" i="28"/>
  <c r="M24" i="28"/>
  <c r="K26" i="28"/>
  <c r="M29" i="28"/>
  <c r="K31" i="28"/>
  <c r="M32" i="28"/>
  <c r="K34" i="28"/>
  <c r="M23" i="28"/>
  <c r="K6" i="28"/>
  <c r="M7" i="28"/>
  <c r="K9" i="28"/>
  <c r="M10" i="28"/>
  <c r="K12" i="28"/>
  <c r="M18" i="28"/>
  <c r="K20" i="28"/>
  <c r="M26" i="28"/>
  <c r="K28" i="28"/>
  <c r="M34" i="28"/>
  <c r="M15" i="28"/>
  <c r="K17" i="28"/>
  <c r="M20" i="28"/>
  <c r="K25" i="28"/>
  <c r="M28" i="28"/>
  <c r="M31" i="28"/>
  <c r="K33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5" i="25"/>
  <c r="I5" i="25"/>
  <c r="H5" i="25"/>
  <c r="G5" i="25"/>
  <c r="F5" i="25"/>
  <c r="E5" i="25"/>
  <c r="D5" i="25"/>
  <c r="C5" i="25"/>
  <c r="B5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5" i="28"/>
  <c r="O35" i="45"/>
  <c r="O36" i="45"/>
  <c r="O6" i="28"/>
  <c r="O29" i="28"/>
  <c r="L31" i="30"/>
  <c r="O21" i="28"/>
  <c r="O30" i="28"/>
  <c r="L12" i="25"/>
  <c r="O8" i="28"/>
  <c r="O7" i="28"/>
  <c r="M14" i="6"/>
  <c r="M53" i="6" s="1"/>
  <c r="O14" i="28"/>
  <c r="L9" i="30"/>
  <c r="L14" i="30"/>
  <c r="M16" i="30"/>
  <c r="L17" i="30"/>
  <c r="K18" i="30"/>
  <c r="K26" i="30"/>
  <c r="M22" i="30"/>
  <c r="K5" i="25"/>
  <c r="L18" i="6"/>
  <c r="L57" i="6" s="1"/>
  <c r="K19" i="6"/>
  <c r="K58" i="6" s="1"/>
  <c r="M17" i="6"/>
  <c r="M56" i="6" s="1"/>
  <c r="O12" i="28"/>
  <c r="M27" i="25"/>
  <c r="L28" i="25"/>
  <c r="K29" i="25"/>
  <c r="M35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3" i="25"/>
  <c r="M11" i="30"/>
  <c r="L20" i="30"/>
  <c r="O19" i="28"/>
  <c r="O25" i="28"/>
  <c r="M11" i="6"/>
  <c r="M50" i="6" s="1"/>
  <c r="M16" i="25"/>
  <c r="O27" i="28"/>
  <c r="O32" i="28"/>
  <c r="O22" i="28"/>
  <c r="L28" i="30"/>
  <c r="M30" i="30"/>
  <c r="O18" i="28"/>
  <c r="O35" i="28"/>
  <c r="O10" i="28"/>
  <c r="L11" i="6"/>
  <c r="L50" i="6" s="1"/>
  <c r="L19" i="6"/>
  <c r="L58" i="6" s="1"/>
  <c r="K20" i="6"/>
  <c r="K59" i="6" s="1"/>
  <c r="L35" i="30"/>
  <c r="K33" i="25"/>
  <c r="O11" i="28"/>
  <c r="O31" i="28"/>
  <c r="O13" i="28"/>
  <c r="O16" i="28"/>
  <c r="K16" i="30"/>
  <c r="K24" i="30"/>
  <c r="K32" i="30"/>
  <c r="O26" i="28"/>
  <c r="M11" i="25"/>
  <c r="M19" i="25"/>
  <c r="L20" i="25"/>
  <c r="M5" i="30"/>
  <c r="L6" i="30"/>
  <c r="M13" i="30"/>
  <c r="M21" i="30"/>
  <c r="L22" i="30"/>
  <c r="O15" i="28"/>
  <c r="K25" i="25"/>
  <c r="O9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8" i="25"/>
  <c r="L9" i="25"/>
  <c r="K10" i="25"/>
  <c r="K15" i="25"/>
  <c r="L17" i="25"/>
  <c r="K18" i="25"/>
  <c r="M21" i="25"/>
  <c r="M24" i="25"/>
  <c r="L25" i="25"/>
  <c r="K26" i="25"/>
  <c r="M29" i="25"/>
  <c r="L30" i="25"/>
  <c r="K31" i="25"/>
  <c r="M32" i="25"/>
  <c r="K34" i="25"/>
  <c r="M10" i="30"/>
  <c r="L11" i="30"/>
  <c r="K12" i="30"/>
  <c r="M18" i="30"/>
  <c r="L19" i="30"/>
  <c r="K20" i="30"/>
  <c r="M26" i="30"/>
  <c r="K10" i="6"/>
  <c r="K49" i="6" s="1"/>
  <c r="K13" i="25"/>
  <c r="K21" i="25"/>
  <c r="M7" i="6"/>
  <c r="M46" i="6" s="1"/>
  <c r="M15" i="6"/>
  <c r="M54" i="6" s="1"/>
  <c r="K17" i="6"/>
  <c r="L27" i="30"/>
  <c r="K28" i="30"/>
  <c r="O24" i="28"/>
  <c r="O34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5" i="25"/>
  <c r="L6" i="25"/>
  <c r="K7" i="25"/>
  <c r="M13" i="25"/>
  <c r="L14" i="25"/>
  <c r="K17" i="25"/>
  <c r="L22" i="25"/>
  <c r="K23" i="25"/>
  <c r="M6" i="30"/>
  <c r="L7" i="30"/>
  <c r="O33" i="28"/>
  <c r="O17" i="28"/>
  <c r="O23" i="28"/>
  <c r="M8" i="6"/>
  <c r="M47" i="6" s="1"/>
  <c r="L17" i="6"/>
  <c r="L56" i="6" s="1"/>
  <c r="M7" i="25"/>
  <c r="L8" i="25"/>
  <c r="M10" i="25"/>
  <c r="L11" i="25"/>
  <c r="K12" i="25"/>
  <c r="M15" i="25"/>
  <c r="L16" i="25"/>
  <c r="M18" i="25"/>
  <c r="L19" i="25"/>
  <c r="K20" i="25"/>
  <c r="M23" i="25"/>
  <c r="L24" i="25"/>
  <c r="M26" i="25"/>
  <c r="L27" i="25"/>
  <c r="K28" i="25"/>
  <c r="M31" i="25"/>
  <c r="L32" i="25"/>
  <c r="M34" i="25"/>
  <c r="L35" i="25"/>
  <c r="L7" i="6"/>
  <c r="L46" i="6" s="1"/>
  <c r="K8" i="6"/>
  <c r="L15" i="6"/>
  <c r="L54" i="6" s="1"/>
  <c r="M6" i="25"/>
  <c r="L7" i="25"/>
  <c r="K8" i="25"/>
  <c r="M9" i="25"/>
  <c r="L10" i="25"/>
  <c r="K11" i="25"/>
  <c r="M14" i="25"/>
  <c r="L15" i="25"/>
  <c r="K16" i="25"/>
  <c r="M17" i="25"/>
  <c r="L18" i="25"/>
  <c r="K19" i="25"/>
  <c r="M22" i="25"/>
  <c r="L23" i="25"/>
  <c r="K24" i="25"/>
  <c r="M25" i="25"/>
  <c r="L26" i="25"/>
  <c r="K27" i="25"/>
  <c r="M30" i="25"/>
  <c r="L31" i="25"/>
  <c r="K32" i="25"/>
  <c r="M33" i="25"/>
  <c r="L34" i="25"/>
  <c r="K35" i="25"/>
  <c r="L12" i="6"/>
  <c r="L51" i="6" s="1"/>
  <c r="K15" i="6"/>
  <c r="K54" i="6" s="1"/>
  <c r="M8" i="30"/>
  <c r="K10" i="30"/>
  <c r="O28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9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0" i="28"/>
  <c r="M6" i="6"/>
  <c r="M45" i="6" s="1"/>
  <c r="M12" i="6"/>
  <c r="M51" i="6" s="1"/>
  <c r="K14" i="6"/>
  <c r="K16" i="6"/>
  <c r="K55" i="6" s="1"/>
  <c r="M20" i="6"/>
  <c r="M59" i="6" s="1"/>
  <c r="K9" i="30"/>
  <c r="K12" i="6"/>
  <c r="L5" i="25"/>
  <c r="K6" i="25"/>
  <c r="M12" i="25"/>
  <c r="L13" i="25"/>
  <c r="K14" i="25"/>
  <c r="M20" i="25"/>
  <c r="L21" i="25"/>
  <c r="K22" i="25"/>
  <c r="M28" i="25"/>
  <c r="L29" i="25"/>
  <c r="K30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5" i="25"/>
  <c r="O18" i="30"/>
  <c r="O15" i="30"/>
  <c r="O31" i="30"/>
  <c r="O31" i="25"/>
  <c r="O7" i="25"/>
  <c r="O27" i="30"/>
  <c r="O9" i="6"/>
  <c r="O17" i="30"/>
  <c r="O11" i="6"/>
  <c r="O32" i="30"/>
  <c r="O21" i="30"/>
  <c r="O18" i="6"/>
  <c r="O10" i="30"/>
  <c r="O16" i="30"/>
  <c r="O19" i="6"/>
  <c r="O33" i="25"/>
  <c r="O28" i="30"/>
  <c r="O21" i="25"/>
  <c r="O24" i="30"/>
  <c r="O33" i="30"/>
  <c r="O11" i="30"/>
  <c r="O35" i="30"/>
  <c r="O10" i="6"/>
  <c r="O25" i="25"/>
  <c r="O29" i="25"/>
  <c r="O6" i="6"/>
  <c r="O24" i="25"/>
  <c r="O19" i="25"/>
  <c r="O25" i="30"/>
  <c r="O19" i="30"/>
  <c r="O6" i="25"/>
  <c r="O30" i="30"/>
  <c r="O23" i="25"/>
  <c r="O5" i="30"/>
  <c r="O17" i="6"/>
  <c r="O26" i="30"/>
  <c r="O17" i="25"/>
  <c r="O12" i="30"/>
  <c r="O11" i="25"/>
  <c r="O20" i="6"/>
  <c r="O60" i="6" s="1"/>
  <c r="O6" i="30"/>
  <c r="O34" i="30"/>
  <c r="O23" i="30"/>
  <c r="O18" i="25"/>
  <c r="O14" i="25"/>
  <c r="O15" i="25"/>
  <c r="O9" i="25"/>
  <c r="O8" i="30"/>
  <c r="O12" i="25"/>
  <c r="O13" i="6"/>
  <c r="O13" i="25"/>
  <c r="O30" i="25"/>
  <c r="O26" i="25"/>
  <c r="O29" i="30"/>
  <c r="O34" i="25"/>
  <c r="O20" i="25"/>
  <c r="O8" i="25"/>
  <c r="O7" i="6"/>
  <c r="O32" i="25"/>
  <c r="O10" i="25"/>
  <c r="O8" i="6"/>
  <c r="O22" i="25"/>
  <c r="O28" i="25"/>
  <c r="O13" i="30"/>
  <c r="O15" i="6"/>
  <c r="O27" i="25"/>
  <c r="O16" i="6"/>
  <c r="O7" i="30"/>
  <c r="O12" i="6"/>
  <c r="O16" i="25"/>
  <c r="O35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5" i="29"/>
  <c r="I5" i="29"/>
  <c r="H5" i="29"/>
  <c r="G5" i="29"/>
  <c r="F5" i="29"/>
  <c r="E5" i="29"/>
  <c r="D5" i="29"/>
  <c r="C5" i="29"/>
  <c r="B5" i="29"/>
  <c r="J5" i="27"/>
  <c r="I5" i="27"/>
  <c r="H5" i="27"/>
  <c r="G5" i="27"/>
  <c r="F5" i="27"/>
  <c r="E5" i="27"/>
  <c r="D5" i="27"/>
  <c r="C5" i="27"/>
  <c r="B5" i="27"/>
  <c r="J5" i="26"/>
  <c r="I5" i="26"/>
  <c r="H5" i="26"/>
  <c r="G5" i="26"/>
  <c r="F5" i="26"/>
  <c r="E5" i="26"/>
  <c r="D5" i="26"/>
  <c r="C5" i="26"/>
  <c r="B5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6" i="29"/>
  <c r="N36" i="28"/>
  <c r="N36" i="27"/>
  <c r="E25" i="2" s="1"/>
  <c r="N36" i="26"/>
  <c r="E24" i="2" s="1"/>
  <c r="N36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1" i="29"/>
  <c r="L25" i="29"/>
  <c r="L31" i="29"/>
  <c r="L34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5" i="29"/>
  <c r="M33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7" i="29"/>
  <c r="K24" i="40"/>
  <c r="K8" i="16"/>
  <c r="K7" i="33"/>
  <c r="L9" i="35"/>
  <c r="M9" i="44"/>
  <c r="K10" i="34"/>
  <c r="K11" i="32"/>
  <c r="M11" i="27"/>
  <c r="L11" i="39"/>
  <c r="L11" i="41"/>
  <c r="L12" i="37"/>
  <c r="K13" i="37"/>
  <c r="K14" i="41"/>
  <c r="K6" i="23"/>
  <c r="K27" i="23"/>
  <c r="K30" i="23"/>
  <c r="K9" i="33"/>
  <c r="L27" i="41"/>
  <c r="L34" i="44"/>
  <c r="M9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8" i="26"/>
  <c r="M24" i="26"/>
  <c r="K26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4" i="29"/>
  <c r="K15" i="29"/>
  <c r="L22" i="29"/>
  <c r="K23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0" i="29"/>
  <c r="K28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1" i="29"/>
  <c r="M10" i="35"/>
  <c r="M10" i="36"/>
  <c r="K20" i="36"/>
  <c r="K11" i="39"/>
  <c r="L19" i="41"/>
  <c r="M29" i="44"/>
  <c r="K31" i="44"/>
  <c r="M34" i="44"/>
  <c r="L33" i="22"/>
  <c r="M30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7" i="27"/>
  <c r="K21" i="6"/>
  <c r="K60" i="6" s="1"/>
  <c r="M35" i="6"/>
  <c r="M74" i="6" s="1"/>
  <c r="M25" i="31"/>
  <c r="K22" i="34"/>
  <c r="M9" i="41"/>
  <c r="K13" i="42"/>
  <c r="M27" i="42"/>
  <c r="K29" i="42"/>
  <c r="K27" i="21"/>
  <c r="K25" i="27"/>
  <c r="M22" i="6"/>
  <c r="M61" i="6" s="1"/>
  <c r="M25" i="26"/>
  <c r="L26" i="26"/>
  <c r="K27" i="26"/>
  <c r="M24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2" i="26"/>
  <c r="L24" i="27"/>
  <c r="M28" i="20"/>
  <c r="L13" i="21"/>
  <c r="M10" i="26"/>
  <c r="L11" i="26"/>
  <c r="K12" i="26"/>
  <c r="M26" i="26"/>
  <c r="K17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9" i="27"/>
  <c r="K33" i="27"/>
  <c r="K9" i="35"/>
  <c r="K16" i="35"/>
  <c r="K15" i="37"/>
  <c r="M21" i="37"/>
  <c r="M25" i="22"/>
  <c r="L32" i="27"/>
  <c r="M6" i="20"/>
  <c r="L7" i="20"/>
  <c r="K8" i="20"/>
  <c r="K21" i="20"/>
  <c r="M22" i="20"/>
  <c r="M14" i="21"/>
  <c r="K36" i="23"/>
  <c r="L6" i="24"/>
  <c r="L5" i="26"/>
  <c r="K6" i="26"/>
  <c r="K14" i="26"/>
  <c r="M20" i="26"/>
  <c r="L21" i="26"/>
  <c r="M19" i="29"/>
  <c r="L20" i="29"/>
  <c r="K21" i="29"/>
  <c r="M27" i="29"/>
  <c r="M35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2" i="27"/>
  <c r="K23" i="27"/>
  <c r="L30" i="27"/>
  <c r="K31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6" i="26"/>
  <c r="M16" i="27"/>
  <c r="L17" i="27"/>
  <c r="M24" i="27"/>
  <c r="L25" i="27"/>
  <c r="M12" i="29"/>
  <c r="M28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0" i="29"/>
  <c r="K31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8" i="29"/>
  <c r="L9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6" i="26"/>
  <c r="K22" i="26"/>
  <c r="K30" i="26"/>
  <c r="L5" i="27"/>
  <c r="K6" i="27"/>
  <c r="M9" i="27"/>
  <c r="M18" i="27"/>
  <c r="L19" i="27"/>
  <c r="L27" i="27"/>
  <c r="I36" i="28"/>
  <c r="M13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5" i="26"/>
  <c r="M21" i="26"/>
  <c r="L22" i="26"/>
  <c r="L6" i="27"/>
  <c r="K7" i="27"/>
  <c r="K14" i="27"/>
  <c r="K29" i="27"/>
  <c r="M16" i="29"/>
  <c r="L17" i="29"/>
  <c r="I36" i="34"/>
  <c r="L16" i="26"/>
  <c r="K18" i="26"/>
  <c r="L31" i="26"/>
  <c r="K32" i="26"/>
  <c r="K34" i="26"/>
  <c r="K5" i="27"/>
  <c r="M13" i="27"/>
  <c r="M15" i="27"/>
  <c r="K22" i="27"/>
  <c r="K30" i="27"/>
  <c r="K12" i="29"/>
  <c r="K26" i="29"/>
  <c r="M29" i="29"/>
  <c r="L33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1" i="27"/>
  <c r="M11" i="29"/>
  <c r="M17" i="31"/>
  <c r="M26" i="35"/>
  <c r="K19" i="41"/>
  <c r="M9" i="26"/>
  <c r="L10" i="26"/>
  <c r="K11" i="26"/>
  <c r="M32" i="26"/>
  <c r="L16" i="27"/>
  <c r="M19" i="27"/>
  <c r="L6" i="29"/>
  <c r="K7" i="29"/>
  <c r="K10" i="26"/>
  <c r="K28" i="26"/>
  <c r="L11" i="27"/>
  <c r="F36" i="29"/>
  <c r="M14" i="29"/>
  <c r="L15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2" i="26"/>
  <c r="L27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6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6" i="25"/>
  <c r="M28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6" i="25"/>
  <c r="M27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7" i="26"/>
  <c r="M7" i="26"/>
  <c r="M11" i="26"/>
  <c r="L12" i="26"/>
  <c r="L17" i="26"/>
  <c r="K21" i="26"/>
  <c r="M22" i="26"/>
  <c r="K23" i="26"/>
  <c r="M23" i="26"/>
  <c r="M27" i="26"/>
  <c r="L28" i="26"/>
  <c r="L33" i="26"/>
  <c r="M6" i="27"/>
  <c r="L7" i="27"/>
  <c r="K11" i="27"/>
  <c r="L12" i="27"/>
  <c r="K13" i="27"/>
  <c r="D36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6" i="25"/>
  <c r="L7" i="26"/>
  <c r="K9" i="26"/>
  <c r="K13" i="26"/>
  <c r="M17" i="26"/>
  <c r="L18" i="26"/>
  <c r="L23" i="26"/>
  <c r="K25" i="26"/>
  <c r="K29" i="26"/>
  <c r="M33" i="26"/>
  <c r="L34" i="26"/>
  <c r="K8" i="27"/>
  <c r="I36" i="29"/>
  <c r="K11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6" i="26"/>
  <c r="L8" i="26"/>
  <c r="L13" i="26"/>
  <c r="M18" i="26"/>
  <c r="K19" i="26"/>
  <c r="L24" i="26"/>
  <c r="L29" i="26"/>
  <c r="M34" i="26"/>
  <c r="K35" i="26"/>
  <c r="H36" i="27"/>
  <c r="L8" i="27"/>
  <c r="L14" i="27"/>
  <c r="K15" i="27"/>
  <c r="M17" i="27"/>
  <c r="K20" i="27"/>
  <c r="M23" i="27"/>
  <c r="M32" i="27"/>
  <c r="L33" i="27"/>
  <c r="B36" i="29"/>
  <c r="J36" i="29"/>
  <c r="M5" i="29"/>
  <c r="K19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6" i="25"/>
  <c r="M13" i="26"/>
  <c r="L14" i="26"/>
  <c r="L19" i="26"/>
  <c r="K20" i="26"/>
  <c r="M29" i="26"/>
  <c r="L30" i="26"/>
  <c r="L35" i="26"/>
  <c r="M8" i="27"/>
  <c r="L9" i="27"/>
  <c r="M14" i="27"/>
  <c r="L15" i="27"/>
  <c r="K19" i="27"/>
  <c r="L20" i="27"/>
  <c r="K21" i="27"/>
  <c r="K27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5" i="26"/>
  <c r="J36" i="26"/>
  <c r="L9" i="26"/>
  <c r="M14" i="26"/>
  <c r="K15" i="26"/>
  <c r="M15" i="26"/>
  <c r="M19" i="26"/>
  <c r="L20" i="26"/>
  <c r="L25" i="26"/>
  <c r="M30" i="26"/>
  <c r="K31" i="26"/>
  <c r="M31" i="26"/>
  <c r="M35" i="26"/>
  <c r="K10" i="27"/>
  <c r="M10" i="27"/>
  <c r="K35" i="29"/>
  <c r="C37" i="18"/>
  <c r="D37" i="21"/>
  <c r="M7" i="21"/>
  <c r="D37" i="22"/>
  <c r="D37" i="23"/>
  <c r="J37" i="24"/>
  <c r="K17" i="26"/>
  <c r="K33" i="26"/>
  <c r="M12" i="27"/>
  <c r="L13" i="27"/>
  <c r="L18" i="27"/>
  <c r="M28" i="27"/>
  <c r="L29" i="27"/>
  <c r="L34" i="27"/>
  <c r="L8" i="29"/>
  <c r="K9" i="29"/>
  <c r="M18" i="29"/>
  <c r="L19" i="29"/>
  <c r="L24" i="29"/>
  <c r="M34" i="29"/>
  <c r="L35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6" i="27"/>
  <c r="L31" i="27"/>
  <c r="K35" i="27"/>
  <c r="J36" i="28"/>
  <c r="L5" i="29"/>
  <c r="L10" i="29"/>
  <c r="K14" i="29"/>
  <c r="K16" i="29"/>
  <c r="L21" i="29"/>
  <c r="L26" i="29"/>
  <c r="K30" i="29"/>
  <c r="M31" i="29"/>
  <c r="K32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0" i="27"/>
  <c r="K12" i="27"/>
  <c r="K16" i="27"/>
  <c r="M20" i="27"/>
  <c r="L21" i="27"/>
  <c r="L26" i="27"/>
  <c r="K27" i="27"/>
  <c r="G36" i="28"/>
  <c r="M10" i="29"/>
  <c r="L16" i="29"/>
  <c r="M26" i="29"/>
  <c r="L27" i="29"/>
  <c r="L32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6" i="28"/>
  <c r="M6" i="29"/>
  <c r="L7" i="29"/>
  <c r="L12" i="29"/>
  <c r="K13" i="29"/>
  <c r="K18" i="29"/>
  <c r="M20" i="29"/>
  <c r="M22" i="29"/>
  <c r="L23" i="29"/>
  <c r="L28" i="29"/>
  <c r="K29" i="29"/>
  <c r="K34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8" i="27"/>
  <c r="L23" i="27"/>
  <c r="L28" i="27"/>
  <c r="K34" i="27"/>
  <c r="K6" i="29"/>
  <c r="M7" i="29"/>
  <c r="K8" i="29"/>
  <c r="L13" i="29"/>
  <c r="L18" i="29"/>
  <c r="K22" i="29"/>
  <c r="K24" i="29"/>
  <c r="L29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6" i="26"/>
  <c r="C37" i="21"/>
  <c r="M6" i="22"/>
  <c r="B37" i="22"/>
  <c r="B37" i="24"/>
  <c r="K6" i="24"/>
  <c r="D36" i="26"/>
  <c r="M5" i="26"/>
  <c r="I36" i="26"/>
  <c r="E37" i="23"/>
  <c r="M6" i="23"/>
  <c r="K24" i="26"/>
  <c r="C36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6" i="25"/>
  <c r="F36" i="26"/>
  <c r="M6" i="26"/>
  <c r="K16" i="26"/>
  <c r="G37" i="23"/>
  <c r="E37" i="24"/>
  <c r="E36" i="25"/>
  <c r="B36" i="25"/>
  <c r="G36" i="26"/>
  <c r="K8" i="26"/>
  <c r="K33" i="23"/>
  <c r="K8" i="24"/>
  <c r="K12" i="24"/>
  <c r="K16" i="24"/>
  <c r="K20" i="24"/>
  <c r="K24" i="24"/>
  <c r="K28" i="24"/>
  <c r="I37" i="23"/>
  <c r="B37" i="23"/>
  <c r="J37" i="23"/>
  <c r="H36" i="25"/>
  <c r="D37" i="24"/>
  <c r="C36" i="25"/>
  <c r="B36" i="26"/>
  <c r="M21" i="27"/>
  <c r="M25" i="27"/>
  <c r="M29" i="27"/>
  <c r="M33" i="27"/>
  <c r="B36" i="28"/>
  <c r="E36" i="27"/>
  <c r="M5" i="27"/>
  <c r="C36" i="29"/>
  <c r="K10" i="29"/>
  <c r="G36" i="30"/>
  <c r="M22" i="27"/>
  <c r="M26" i="27"/>
  <c r="M30" i="27"/>
  <c r="M34" i="27"/>
  <c r="D36" i="29"/>
  <c r="E36" i="29"/>
  <c r="K24" i="27"/>
  <c r="K28" i="27"/>
  <c r="K32" i="27"/>
  <c r="F36" i="28"/>
  <c r="M23" i="29"/>
  <c r="K33" i="29"/>
  <c r="G36" i="29"/>
  <c r="M15" i="29"/>
  <c r="K25" i="29"/>
  <c r="M32" i="29"/>
  <c r="B36" i="31"/>
  <c r="K5" i="31"/>
  <c r="J36" i="31"/>
  <c r="B36" i="27"/>
  <c r="H36" i="28"/>
  <c r="H36" i="29"/>
  <c r="K17" i="29"/>
  <c r="I36" i="30"/>
  <c r="H36" i="32"/>
  <c r="M11" i="32"/>
  <c r="K21" i="32"/>
  <c r="K5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5" i="29"/>
  <c r="AA33" i="11"/>
  <c r="O29" i="31"/>
  <c r="X18" i="18"/>
  <c r="O22" i="20"/>
  <c r="O18" i="36"/>
  <c r="O35" i="33"/>
  <c r="O31" i="38"/>
  <c r="O20" i="29"/>
  <c r="O28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1" i="26"/>
  <c r="O13" i="14"/>
  <c r="O8" i="40"/>
  <c r="AA32" i="11"/>
  <c r="O27" i="22"/>
  <c r="O34" i="27"/>
  <c r="O15" i="15"/>
  <c r="O18" i="21"/>
  <c r="O21" i="34"/>
  <c r="O32" i="27"/>
  <c r="O9" i="42"/>
  <c r="O24" i="36"/>
  <c r="O25" i="31"/>
  <c r="O14" i="44"/>
  <c r="O24" i="38"/>
  <c r="X20" i="19"/>
  <c r="O26" i="15"/>
  <c r="O21" i="39"/>
  <c r="O27" i="29"/>
  <c r="O28" i="32"/>
  <c r="O32" i="15"/>
  <c r="O27" i="5"/>
  <c r="O67" i="5" s="1"/>
  <c r="O10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0" i="29"/>
  <c r="O24" i="12"/>
  <c r="O6" i="41"/>
  <c r="O11" i="36"/>
  <c r="O11" i="27"/>
  <c r="O20" i="43"/>
  <c r="O25" i="40"/>
  <c r="O16" i="29"/>
  <c r="O32" i="20"/>
  <c r="O18" i="16"/>
  <c r="O23" i="6"/>
  <c r="O63" i="6" s="1"/>
  <c r="O8" i="15"/>
  <c r="O13" i="12"/>
  <c r="O21" i="21"/>
  <c r="O32" i="35"/>
  <c r="O30" i="35"/>
  <c r="O17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8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5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6" i="27"/>
  <c r="O24" i="6"/>
  <c r="O64" i="6" s="1"/>
  <c r="O27" i="39"/>
  <c r="O34" i="44"/>
  <c r="O15" i="42"/>
  <c r="O22" i="41"/>
  <c r="O17" i="29"/>
  <c r="O23" i="29"/>
  <c r="U25" i="13"/>
  <c r="O10" i="36"/>
  <c r="X19" i="18"/>
  <c r="O16" i="32"/>
  <c r="O8" i="33"/>
  <c r="O10" i="39"/>
  <c r="X11" i="18"/>
  <c r="O10" i="14"/>
  <c r="O9" i="29"/>
  <c r="O9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5" i="27"/>
  <c r="O20" i="24"/>
  <c r="X12" i="18"/>
  <c r="O12" i="37"/>
  <c r="O21" i="24"/>
  <c r="O9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2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1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6" i="26"/>
  <c r="O21" i="6"/>
  <c r="O61" i="6" s="1"/>
  <c r="O20" i="44"/>
  <c r="O29" i="42"/>
  <c r="O22" i="31"/>
  <c r="O36" i="24"/>
  <c r="O29" i="34"/>
  <c r="O24" i="37"/>
  <c r="O21" i="32"/>
  <c r="O30" i="43"/>
  <c r="O17" i="44"/>
  <c r="O8" i="29"/>
  <c r="O8" i="31"/>
  <c r="O9" i="16"/>
  <c r="O19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3" i="26"/>
  <c r="O28" i="20"/>
  <c r="X30" i="18"/>
  <c r="O29" i="14"/>
  <c r="O12" i="29"/>
  <c r="O12" i="32"/>
  <c r="O31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8" i="29"/>
  <c r="O14" i="35"/>
  <c r="O23" i="35"/>
  <c r="O19" i="22"/>
  <c r="O23" i="27"/>
  <c r="O35" i="26"/>
  <c r="O36" i="20"/>
  <c r="O16" i="23"/>
  <c r="O35" i="21"/>
  <c r="U10" i="13"/>
  <c r="O16" i="39"/>
  <c r="O16" i="35"/>
  <c r="O15" i="26"/>
  <c r="O22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1" i="27"/>
  <c r="O21" i="20"/>
  <c r="O20" i="37"/>
  <c r="O16" i="31"/>
  <c r="O7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6" i="27"/>
  <c r="O14" i="15"/>
  <c r="O20" i="41"/>
  <c r="O14" i="36"/>
  <c r="O25" i="38"/>
  <c r="O7" i="35"/>
  <c r="O18" i="31"/>
  <c r="O21" i="29"/>
  <c r="O11" i="35"/>
  <c r="O25" i="26"/>
  <c r="O19" i="23"/>
  <c r="O14" i="16"/>
  <c r="O11" i="21"/>
  <c r="O26" i="5"/>
  <c r="O66" i="5" s="1"/>
  <c r="O20" i="5"/>
  <c r="O60" i="5" s="1"/>
  <c r="O12" i="14"/>
  <c r="O32" i="12"/>
  <c r="R32" i="10"/>
  <c r="U11" i="13"/>
  <c r="O6" i="29"/>
  <c r="O15" i="5"/>
  <c r="O22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4" i="27"/>
  <c r="O29" i="27"/>
  <c r="X30" i="19"/>
  <c r="O15" i="43"/>
  <c r="O19" i="32"/>
  <c r="O28" i="37"/>
  <c r="O15" i="29"/>
  <c r="X15" i="18"/>
  <c r="O19" i="16"/>
  <c r="X23" i="19"/>
  <c r="O8" i="16"/>
  <c r="O21" i="43"/>
  <c r="O22" i="36"/>
  <c r="O24" i="27"/>
  <c r="O13" i="29"/>
  <c r="O24" i="21"/>
  <c r="X22" i="18"/>
  <c r="O10" i="21"/>
  <c r="O29" i="26"/>
  <c r="O17" i="21"/>
  <c r="O18" i="26"/>
  <c r="O35" i="24"/>
  <c r="O12" i="21"/>
  <c r="O28" i="15"/>
  <c r="O19" i="5"/>
  <c r="O12" i="26"/>
  <c r="O11" i="14"/>
  <c r="AA20" i="11"/>
  <c r="O13" i="5"/>
  <c r="O11" i="26"/>
  <c r="O26" i="29"/>
  <c r="O27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8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6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6" i="29"/>
  <c r="L36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3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4" i="29"/>
  <c r="O18" i="27"/>
  <c r="O30" i="22"/>
  <c r="O19" i="29"/>
  <c r="O34" i="26"/>
  <c r="O18" i="22"/>
  <c r="O30" i="20"/>
  <c r="O29" i="22"/>
  <c r="O23" i="21"/>
  <c r="O7" i="26"/>
  <c r="O23" i="22"/>
  <c r="O34" i="21"/>
  <c r="O13" i="20"/>
  <c r="O12" i="16"/>
  <c r="O6" i="26"/>
  <c r="X17" i="19"/>
  <c r="O24" i="15"/>
  <c r="O12" i="43"/>
  <c r="O6" i="44"/>
  <c r="O15" i="41"/>
  <c r="O9" i="36"/>
  <c r="O23" i="43"/>
  <c r="O29" i="39"/>
  <c r="O28" i="35"/>
  <c r="O27" i="33"/>
  <c r="O8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0" i="27"/>
  <c r="O10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5" i="26"/>
  <c r="O31" i="24"/>
  <c r="O29" i="20"/>
  <c r="X23" i="18"/>
  <c r="O7" i="29"/>
  <c r="O16" i="27"/>
  <c r="O32" i="37"/>
  <c r="O9" i="32"/>
  <c r="O21" i="26"/>
  <c r="O30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2" i="27"/>
  <c r="O34" i="36"/>
  <c r="O11" i="31"/>
  <c r="O14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29" i="29"/>
  <c r="O34" i="29"/>
  <c r="M37" i="21"/>
  <c r="D19" i="2" s="1"/>
  <c r="X10" i="18"/>
  <c r="O10" i="27"/>
  <c r="K37" i="22"/>
  <c r="B20" i="2" s="1"/>
  <c r="O20" i="26"/>
  <c r="O30" i="23"/>
  <c r="O24" i="22"/>
  <c r="O31" i="20"/>
  <c r="O15" i="27"/>
  <c r="O36" i="21"/>
  <c r="O30" i="24"/>
  <c r="O26" i="22"/>
  <c r="O23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3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19" i="26"/>
  <c r="O30" i="12"/>
  <c r="O15" i="12"/>
  <c r="O27" i="26"/>
  <c r="B17" i="2"/>
  <c r="M36" i="41"/>
  <c r="O21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4" i="26"/>
  <c r="O25" i="23"/>
  <c r="O23" i="23"/>
  <c r="O13" i="26"/>
  <c r="O18" i="23"/>
  <c r="L36" i="26"/>
  <c r="C24" i="2" s="1"/>
  <c r="L37" i="21"/>
  <c r="C19" i="2" s="1"/>
  <c r="L37" i="20"/>
  <c r="C18" i="2" s="1"/>
  <c r="O17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2" i="27"/>
  <c r="M36" i="38"/>
  <c r="O17" i="20"/>
  <c r="X28" i="19"/>
  <c r="X31" i="18"/>
  <c r="O20" i="27"/>
  <c r="L36" i="37"/>
  <c r="O21" i="33"/>
  <c r="O35" i="31"/>
  <c r="O33" i="36"/>
  <c r="L36" i="35"/>
  <c r="O31" i="32"/>
  <c r="O21" i="31"/>
  <c r="L36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2" i="29"/>
  <c r="O9" i="24"/>
  <c r="O15" i="21"/>
  <c r="O18" i="20"/>
  <c r="X18" i="19"/>
  <c r="L36" i="32"/>
  <c r="O18" i="44"/>
  <c r="L36" i="39"/>
  <c r="K36" i="26"/>
  <c r="B24" i="2" s="1"/>
  <c r="O24" i="26"/>
  <c r="O7" i="22"/>
  <c r="X33" i="19"/>
  <c r="O11" i="42"/>
  <c r="K36" i="39"/>
  <c r="O34" i="37"/>
  <c r="O30" i="36"/>
  <c r="O28" i="27"/>
  <c r="O33" i="27"/>
  <c r="O7" i="21"/>
  <c r="O7" i="14"/>
  <c r="L37" i="14"/>
  <c r="C12" i="2" s="1"/>
  <c r="O35" i="12"/>
  <c r="O22" i="39"/>
  <c r="M36" i="42"/>
  <c r="M36" i="44"/>
  <c r="M36" i="37"/>
  <c r="L36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5" i="27"/>
  <c r="O11" i="24"/>
  <c r="O6" i="23"/>
  <c r="X6" i="19"/>
  <c r="M36" i="43"/>
  <c r="O15" i="37"/>
  <c r="M36" i="36"/>
  <c r="O27" i="32"/>
  <c r="K36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6" i="28"/>
  <c r="K36" i="33"/>
  <c r="K36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6" i="28"/>
  <c r="M37" i="24"/>
  <c r="D22" i="2" s="1"/>
  <c r="M36" i="26"/>
  <c r="D24" i="2" s="1"/>
  <c r="K37" i="20"/>
  <c r="B18" i="2" s="1"/>
  <c r="O6" i="20"/>
  <c r="B7" i="2"/>
  <c r="B5" i="2"/>
  <c r="K36" i="43"/>
  <c r="L36" i="44"/>
  <c r="O5" i="44"/>
  <c r="K36" i="29"/>
  <c r="O5" i="29"/>
  <c r="O19" i="24"/>
  <c r="O6" i="22"/>
  <c r="O6" i="12"/>
  <c r="M36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6" i="28"/>
  <c r="O36" i="31"/>
  <c r="O36" i="26"/>
  <c r="F24" i="2" s="1"/>
  <c r="O36" i="25"/>
  <c r="F23" i="2" s="1"/>
  <c r="O36" i="29"/>
  <c r="O36" i="32"/>
  <c r="O36" i="36"/>
  <c r="O36" i="34"/>
  <c r="O36" i="40"/>
  <c r="F14" i="2" l="1"/>
  <c r="F26" i="2"/>
  <c r="F5" i="2"/>
  <c r="G36" i="27" l="1"/>
  <c r="F36" i="27"/>
  <c r="I36" i="27"/>
  <c r="D36" i="27" l="1"/>
  <c r="F37" i="6"/>
  <c r="I37" i="6"/>
  <c r="L36" i="6" l="1"/>
  <c r="L75" i="6" s="1"/>
  <c r="L76" i="6" s="1"/>
  <c r="C37" i="6"/>
  <c r="C36" i="27" l="1"/>
  <c r="L35" i="27"/>
  <c r="L36" i="27" s="1"/>
  <c r="C25" i="2" s="1"/>
  <c r="O36" i="6"/>
  <c r="L37" i="6"/>
  <c r="C4" i="2" s="1"/>
  <c r="O37" i="6" l="1"/>
  <c r="F4" i="2" s="1"/>
  <c r="J36" i="27"/>
  <c r="M35" i="27"/>
  <c r="O35" i="27" l="1"/>
  <c r="O36" i="27" s="1"/>
  <c r="F25" i="2" s="1"/>
  <c r="M36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<sst xmlns="http://schemas.openxmlformats.org/spreadsheetml/2006/main" count="2501" uniqueCount="140">
  <si>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</si>
  <si>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</si>
  <si>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</si>
  <si>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</si>
  <si>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</si>
  <si>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</si>
  <si>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</si>
  <si>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</si>
  <si>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</si>
  <si>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</si>
  <si>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</si>
  <si>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</si>
  <si>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</si>
  <si>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</si>
  <si>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</si>
  <si>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</si>
  <si>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</si>
  <si>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</si>
  <si>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</si>
  <si>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</si>
  <si>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</si>
  <si>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</si>
  <si>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</si>
  <si>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</si>
  <si>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</si>
  <si>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</si>
  <si>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</si>
  <si>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</si>
  <si>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</si>
  <si>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</si>
  <si>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</si>
  <si>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</si>
  <si>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</si>
  <si>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</si>
  <si>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</si>
  <si>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</si>
  <si>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</si>
  <si>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</si>
  <si>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</si>
  <si>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</si>
  <si>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</si>
  <si>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</si>
  <si>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</si>
  <si>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</si>
  <si>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</si>
  <si>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</si>
  <si>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</si>
  <si>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</si>
  <si>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</si>
  <si>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</si>
  <si>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</si>
  <si>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</si>
  <si>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</si>
  <si>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</si>
  <si>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</si>
  <si>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</si>
  <si>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</si>
  <si>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</si>
  <si>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</si>
  <si>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</si>
  <si>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</si>
  <si>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</si>
  <si>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</si>
  <si>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</si>
  <si>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</si>
  <si>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</si>
  <si>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</si>
  <si>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</si>
  <si>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</si>
  <si>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</si>
  <si>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</si>
  <si>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</si>
  <si>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</si>
  <si>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</si>
  <si>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</si>
  <si>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</si>
  <si>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</si>
  <si>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</si>
  <si>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</si>
  <si>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</si>
  <si>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</si>
  <si>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</si>
  <si>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</si>
  <si>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</si>
  <si>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</si>
  <si>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</si>
  <si>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</si>
  <si>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PIKIS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</si>
  <si>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</si>
  <si>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</si>
  <si>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</si>
  <si>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</si>
  <si>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</si>
  <si>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</si>
  <si>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</si>
  <si>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</si>
  <si>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</si>
  <si>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</si>
  <si>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</si>
  <si>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</si>
  <si>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</si>
  <si>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</si>
  <si>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</si>
  <si>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</si>
  <si>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</si>
  <si>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</si>
  <si>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</si>
  <si>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</si>
  <si>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</si>
  <si>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</si>
  <si>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</si>
  <si>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</si>
  <si>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</si>
  <si>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</si>
  <si>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</si>
  <si>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ISA MAYO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</si>
  <si>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</si>
  <si>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</si>
  <si>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</si>
  <si>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</si>
  <si>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</si>
  <si>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</si>
  <si>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</si>
  <si>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</si>
  <si>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</si>
  <si>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</si>
  <si>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</si>
  <si>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</si>
  <si>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</si>
  <si>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</si>
  <si>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</si>
  <si>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</si>
  <si>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</si>
  <si>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</si>
  <si>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</si>
  <si>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</si>
  <si>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</si>
  <si>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Premios Total</t>
  </si>
  <si>
    <t>MINERO MARZO</t>
  </si>
  <si>
    <t>CHARLY MARZO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</si>
</sst>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45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2.xml"/><Relationship Id="rId63" Type="http://schemas.openxmlformats.org/officeDocument/2006/relationships/externalLink" Target="externalLinks/externalLink18.xml"/><Relationship Id="rId68" Type="http://schemas.openxmlformats.org/officeDocument/2006/relationships/externalLink" Target="externalLinks/externalLink23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8.xml"/><Relationship Id="rId58" Type="http://schemas.openxmlformats.org/officeDocument/2006/relationships/externalLink" Target="externalLinks/externalLink13.xml"/><Relationship Id="rId74" Type="http://schemas.openxmlformats.org/officeDocument/2006/relationships/externalLink" Target="externalLinks/externalLink29.xml"/><Relationship Id="rId79" Type="http://schemas.openxmlformats.org/officeDocument/2006/relationships/styles" Target="styles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6.xml"/><Relationship Id="rId82" Type="http://schemas.microsoft.com/office/2006/relationships/vbaProject" Target="vbaProject.bin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3.xml"/><Relationship Id="rId56" Type="http://schemas.openxmlformats.org/officeDocument/2006/relationships/externalLink" Target="externalLinks/externalLink11.xml"/><Relationship Id="rId64" Type="http://schemas.openxmlformats.org/officeDocument/2006/relationships/externalLink" Target="externalLinks/externalLink19.xml"/><Relationship Id="rId69" Type="http://schemas.openxmlformats.org/officeDocument/2006/relationships/externalLink" Target="externalLinks/externalLink24.xml"/><Relationship Id="rId77" Type="http://schemas.openxmlformats.org/officeDocument/2006/relationships/pivotCacheDefinition" Target="pivotCache/pivotCacheDefinition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6.xml"/><Relationship Id="rId72" Type="http://schemas.openxmlformats.org/officeDocument/2006/relationships/externalLink" Target="externalLinks/externalLink27.xml"/><Relationship Id="rId80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externalLink" Target="externalLinks/externalLink1.xml"/><Relationship Id="rId59" Type="http://schemas.openxmlformats.org/officeDocument/2006/relationships/externalLink" Target="externalLinks/externalLink14.xml"/><Relationship Id="rId67" Type="http://schemas.openxmlformats.org/officeDocument/2006/relationships/externalLink" Target="externalLinks/externalLink22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9.xml"/><Relationship Id="rId62" Type="http://schemas.openxmlformats.org/officeDocument/2006/relationships/externalLink" Target="externalLinks/externalLink17.xml"/><Relationship Id="rId70" Type="http://schemas.openxmlformats.org/officeDocument/2006/relationships/externalLink" Target="externalLinks/externalLink25.xml"/><Relationship Id="rId75" Type="http://schemas.openxmlformats.org/officeDocument/2006/relationships/externalLink" Target="externalLinks/externalLink3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4.xml"/><Relationship Id="rId57" Type="http://schemas.openxmlformats.org/officeDocument/2006/relationships/externalLink" Target="externalLinks/externalLink12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7.xml"/><Relationship Id="rId60" Type="http://schemas.openxmlformats.org/officeDocument/2006/relationships/externalLink" Target="externalLinks/externalLink15.xml"/><Relationship Id="rId65" Type="http://schemas.openxmlformats.org/officeDocument/2006/relationships/externalLink" Target="externalLinks/externalLink20.xml"/><Relationship Id="rId73" Type="http://schemas.openxmlformats.org/officeDocument/2006/relationships/externalLink" Target="externalLinks/externalLink28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5.xml"/><Relationship Id="rId55" Type="http://schemas.openxmlformats.org/officeDocument/2006/relationships/externalLink" Target="externalLinks/externalLink10.xml"/><Relationship Id="rId76" Type="http://schemas.openxmlformats.org/officeDocument/2006/relationships/externalLink" Target="externalLinks/externalLink31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6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302050</c:v>
                </c:pt>
                <c:pt idx="1">
                  <c:v>232300</c:v>
                </c:pt>
                <c:pt idx="2">
                  <c:v>332100</c:v>
                </c:pt>
                <c:pt idx="3">
                  <c:v>259000</c:v>
                </c:pt>
                <c:pt idx="4">
                  <c:v>230300</c:v>
                </c:pt>
                <c:pt idx="5">
                  <c:v>304600</c:v>
                </c:pt>
                <c:pt idx="6">
                  <c:v>225950</c:v>
                </c:pt>
                <c:pt idx="7">
                  <c:v>360150</c:v>
                </c:pt>
                <c:pt idx="8">
                  <c:v>228900</c:v>
                </c:pt>
                <c:pt idx="9">
                  <c:v>326600</c:v>
                </c:pt>
                <c:pt idx="10">
                  <c:v>333100</c:v>
                </c:pt>
                <c:pt idx="11">
                  <c:v>249050</c:v>
                </c:pt>
                <c:pt idx="12">
                  <c:v>242450</c:v>
                </c:pt>
                <c:pt idx="13">
                  <c:v>321100</c:v>
                </c:pt>
                <c:pt idx="14">
                  <c:v>344200</c:v>
                </c:pt>
                <c:pt idx="15">
                  <c:v>218450</c:v>
                </c:pt>
                <c:pt idx="16">
                  <c:v>253250</c:v>
                </c:pt>
                <c:pt idx="17">
                  <c:v>239950</c:v>
                </c:pt>
                <c:pt idx="18">
                  <c:v>216700</c:v>
                </c:pt>
                <c:pt idx="19">
                  <c:v>254800</c:v>
                </c:pt>
                <c:pt idx="20">
                  <c:v>201600</c:v>
                </c:pt>
                <c:pt idx="21">
                  <c:v>225950</c:v>
                </c:pt>
                <c:pt idx="22">
                  <c:v>249500</c:v>
                </c:pt>
                <c:pt idx="23">
                  <c:v>234550</c:v>
                </c:pt>
                <c:pt idx="24">
                  <c:v>283250</c:v>
                </c:pt>
                <c:pt idx="25">
                  <c:v>177950</c:v>
                </c:pt>
                <c:pt idx="26">
                  <c:v>205700</c:v>
                </c:pt>
                <c:pt idx="27">
                  <c:v>170450</c:v>
                </c:pt>
                <c:pt idx="28">
                  <c:v>210100</c:v>
                </c:pt>
                <c:pt idx="29">
                  <c:v>216850</c:v>
                </c:pt>
                <c:pt idx="30">
                  <c:v>330400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270900</c:v>
                </c:pt>
                <c:pt idx="1">
                  <c:v>181050</c:v>
                </c:pt>
                <c:pt idx="2">
                  <c:v>271100</c:v>
                </c:pt>
                <c:pt idx="3">
                  <c:v>191550</c:v>
                </c:pt>
                <c:pt idx="4">
                  <c:v>224800</c:v>
                </c:pt>
                <c:pt idx="5">
                  <c:v>175450</c:v>
                </c:pt>
                <c:pt idx="6">
                  <c:v>150950</c:v>
                </c:pt>
                <c:pt idx="7">
                  <c:v>178250</c:v>
                </c:pt>
                <c:pt idx="8">
                  <c:v>153250</c:v>
                </c:pt>
                <c:pt idx="9">
                  <c:v>169250</c:v>
                </c:pt>
                <c:pt idx="10">
                  <c:v>194150</c:v>
                </c:pt>
                <c:pt idx="11">
                  <c:v>182800</c:v>
                </c:pt>
                <c:pt idx="12">
                  <c:v>165350</c:v>
                </c:pt>
                <c:pt idx="13">
                  <c:v>186500</c:v>
                </c:pt>
                <c:pt idx="14">
                  <c:v>187600</c:v>
                </c:pt>
                <c:pt idx="15">
                  <c:v>177100</c:v>
                </c:pt>
                <c:pt idx="16">
                  <c:v>187750</c:v>
                </c:pt>
                <c:pt idx="17">
                  <c:v>194250</c:v>
                </c:pt>
                <c:pt idx="18">
                  <c:v>197950</c:v>
                </c:pt>
                <c:pt idx="19">
                  <c:v>181800</c:v>
                </c:pt>
                <c:pt idx="20">
                  <c:v>263650</c:v>
                </c:pt>
                <c:pt idx="21">
                  <c:v>192350</c:v>
                </c:pt>
                <c:pt idx="22">
                  <c:v>211600</c:v>
                </c:pt>
                <c:pt idx="23">
                  <c:v>175450</c:v>
                </c:pt>
                <c:pt idx="24">
                  <c:v>242400</c:v>
                </c:pt>
                <c:pt idx="25">
                  <c:v>193050</c:v>
                </c:pt>
                <c:pt idx="26">
                  <c:v>251700</c:v>
                </c:pt>
                <c:pt idx="27">
                  <c:v>197800</c:v>
                </c:pt>
                <c:pt idx="28">
                  <c:v>183950</c:v>
                </c:pt>
                <c:pt idx="29">
                  <c:v>187800</c:v>
                </c:pt>
                <c:pt idx="30">
                  <c:v>275850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[MARZO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37325.5</v>
          </cell>
        </row>
        <row r="12">
          <cell r="G12">
            <v>35000</v>
          </cell>
        </row>
        <row r="19">
          <cell r="D19">
            <v>404650</v>
          </cell>
          <cell r="E19">
            <v>52604.5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152300</v>
          </cell>
          <cell r="K4">
            <v>19799</v>
          </cell>
          <cell r="L4">
            <v>165750</v>
          </cell>
        </row>
        <row r="5">
          <cell r="J5">
            <v>57450</v>
          </cell>
          <cell r="K5">
            <v>7468.5</v>
          </cell>
          <cell r="L5">
            <v>16000</v>
          </cell>
        </row>
        <row r="6">
          <cell r="J6">
            <v>7100</v>
          </cell>
          <cell r="K6">
            <v>923</v>
          </cell>
          <cell r="L6">
            <v>0</v>
          </cell>
        </row>
      </sheetData>
      <sheetData sheetId="12">
        <row r="4">
          <cell r="J4">
            <v>155700</v>
          </cell>
          <cell r="K4">
            <v>20241</v>
          </cell>
          <cell r="L4">
            <v>106250</v>
          </cell>
        </row>
        <row r="5">
          <cell r="J5">
            <v>29100</v>
          </cell>
          <cell r="K5">
            <v>3783</v>
          </cell>
          <cell r="L5">
            <v>20000</v>
          </cell>
        </row>
        <row r="6">
          <cell r="J6">
            <v>3000</v>
          </cell>
          <cell r="K6">
            <v>390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130100</v>
          </cell>
          <cell r="K4">
            <v>15612</v>
          </cell>
          <cell r="L4">
            <v>106250</v>
          </cell>
        </row>
        <row r="5">
          <cell r="J5">
            <v>103900</v>
          </cell>
          <cell r="K5">
            <v>12468</v>
          </cell>
          <cell r="L5">
            <v>8000</v>
          </cell>
        </row>
        <row r="7">
          <cell r="J7">
            <v>39200</v>
          </cell>
          <cell r="K7">
            <v>4704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406300</v>
          </cell>
          <cell r="K4">
            <v>48756</v>
          </cell>
          <cell r="L4">
            <v>556750</v>
          </cell>
        </row>
        <row r="5">
          <cell r="J5">
            <v>300050</v>
          </cell>
          <cell r="K5">
            <v>36006</v>
          </cell>
          <cell r="L5">
            <v>89250</v>
          </cell>
        </row>
        <row r="6">
          <cell r="J6">
            <v>91750</v>
          </cell>
          <cell r="K6">
            <v>9175</v>
          </cell>
          <cell r="L6">
            <v>0</v>
          </cell>
        </row>
        <row r="7">
          <cell r="J7">
            <v>43550</v>
          </cell>
          <cell r="K7">
            <v>5226</v>
          </cell>
          <cell r="L7">
            <v>63750</v>
          </cell>
        </row>
        <row r="8">
          <cell r="J8">
            <v>41700</v>
          </cell>
          <cell r="K8">
            <v>5004</v>
          </cell>
          <cell r="L8">
            <v>8500</v>
          </cell>
        </row>
        <row r="9">
          <cell r="J9">
            <v>42000</v>
          </cell>
          <cell r="K9">
            <v>5040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16900</v>
          </cell>
          <cell r="K4">
            <v>2028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57350</v>
          </cell>
          <cell r="K4">
            <v>6882</v>
          </cell>
          <cell r="L4">
            <v>42500</v>
          </cell>
        </row>
        <row r="5">
          <cell r="J5">
            <v>20050</v>
          </cell>
          <cell r="K5">
            <v>2406</v>
          </cell>
          <cell r="L5">
            <v>0</v>
          </cell>
        </row>
        <row r="6">
          <cell r="J6">
            <v>2250</v>
          </cell>
          <cell r="K6">
            <v>225</v>
          </cell>
          <cell r="L6">
            <v>0</v>
          </cell>
        </row>
        <row r="7">
          <cell r="J7">
            <v>14700</v>
          </cell>
          <cell r="K7">
            <v>1764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94650</v>
          </cell>
          <cell r="K4">
            <v>11358</v>
          </cell>
          <cell r="L4">
            <v>0</v>
          </cell>
        </row>
        <row r="5">
          <cell r="J5">
            <v>35100</v>
          </cell>
          <cell r="K5">
            <v>4212</v>
          </cell>
          <cell r="L5">
            <v>0</v>
          </cell>
        </row>
      </sheetData>
      <sheetData sheetId="21">
        <row r="4">
          <cell r="J4">
            <v>70800</v>
          </cell>
          <cell r="K4">
            <v>10620</v>
          </cell>
          <cell r="L4">
            <v>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53850</v>
          </cell>
          <cell r="K4">
            <v>6462</v>
          </cell>
          <cell r="L4">
            <v>21250</v>
          </cell>
        </row>
        <row r="5">
          <cell r="J5">
            <v>17550</v>
          </cell>
          <cell r="K5">
            <v>2106</v>
          </cell>
          <cell r="L5">
            <v>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300</v>
          </cell>
          <cell r="K7">
            <v>36</v>
          </cell>
          <cell r="L7">
            <v>0</v>
          </cell>
        </row>
        <row r="8">
          <cell r="J8">
            <v>3000</v>
          </cell>
          <cell r="K8">
            <v>360</v>
          </cell>
          <cell r="L8">
            <v>0</v>
          </cell>
        </row>
      </sheetData>
      <sheetData sheetId="24">
        <row r="4">
          <cell r="J4">
            <v>475750</v>
          </cell>
          <cell r="K4">
            <v>57090</v>
          </cell>
          <cell r="L4">
            <v>318750</v>
          </cell>
        </row>
        <row r="5">
          <cell r="J5">
            <v>459900</v>
          </cell>
          <cell r="K5">
            <v>55188</v>
          </cell>
          <cell r="L5">
            <v>344250</v>
          </cell>
        </row>
        <row r="6">
          <cell r="J6">
            <v>83500</v>
          </cell>
          <cell r="K6">
            <v>8350</v>
          </cell>
          <cell r="L6">
            <v>0</v>
          </cell>
        </row>
        <row r="7">
          <cell r="J7">
            <v>116400</v>
          </cell>
          <cell r="K7">
            <v>13968</v>
          </cell>
          <cell r="L7">
            <v>17000</v>
          </cell>
        </row>
        <row r="8">
          <cell r="J8">
            <v>74350</v>
          </cell>
          <cell r="K8">
            <v>8922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173750</v>
          </cell>
          <cell r="K4">
            <v>20850</v>
          </cell>
          <cell r="L4">
            <v>335750</v>
          </cell>
        </row>
        <row r="5">
          <cell r="J5">
            <v>195000</v>
          </cell>
          <cell r="K5">
            <v>23400</v>
          </cell>
          <cell r="L5">
            <v>233750</v>
          </cell>
        </row>
        <row r="6">
          <cell r="J6">
            <v>60500</v>
          </cell>
          <cell r="K6">
            <v>6050</v>
          </cell>
          <cell r="L6">
            <v>0</v>
          </cell>
        </row>
        <row r="7">
          <cell r="J7">
            <v>143500</v>
          </cell>
          <cell r="K7">
            <v>17220</v>
          </cell>
          <cell r="L7">
            <v>85000</v>
          </cell>
        </row>
        <row r="8">
          <cell r="J8">
            <v>32000</v>
          </cell>
          <cell r="K8">
            <v>3840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78559</v>
          </cell>
        </row>
        <row r="12">
          <cell r="G12">
            <v>35000</v>
          </cell>
        </row>
        <row r="19">
          <cell r="D19">
            <v>606250</v>
          </cell>
          <cell r="E19">
            <v>78812.5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224550</v>
          </cell>
          <cell r="K4">
            <v>29191.5</v>
          </cell>
          <cell r="L4">
            <v>102000</v>
          </cell>
        </row>
        <row r="5">
          <cell r="J5">
            <v>87500</v>
          </cell>
          <cell r="K5">
            <v>11375</v>
          </cell>
          <cell r="L5">
            <v>16000</v>
          </cell>
        </row>
        <row r="6">
          <cell r="J6">
            <v>18350</v>
          </cell>
          <cell r="K6">
            <v>2385.5</v>
          </cell>
          <cell r="L6">
            <v>12000</v>
          </cell>
        </row>
      </sheetData>
      <sheetData sheetId="12">
        <row r="4">
          <cell r="J4">
            <v>219900</v>
          </cell>
          <cell r="K4">
            <v>28587</v>
          </cell>
          <cell r="L4">
            <v>306000</v>
          </cell>
        </row>
        <row r="5">
          <cell r="J5">
            <v>47950</v>
          </cell>
          <cell r="K5">
            <v>6233.5</v>
          </cell>
          <cell r="L5">
            <v>0</v>
          </cell>
        </row>
        <row r="6">
          <cell r="J6">
            <v>8000</v>
          </cell>
          <cell r="K6">
            <v>1040</v>
          </cell>
          <cell r="L6">
            <v>92000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562300</v>
          </cell>
          <cell r="K4">
            <v>67476</v>
          </cell>
          <cell r="L4">
            <v>684250</v>
          </cell>
        </row>
        <row r="5">
          <cell r="J5">
            <v>370950</v>
          </cell>
          <cell r="K5">
            <v>44514</v>
          </cell>
          <cell r="L5">
            <v>131750</v>
          </cell>
        </row>
        <row r="6">
          <cell r="J6">
            <v>104700</v>
          </cell>
          <cell r="K6">
            <v>10470</v>
          </cell>
          <cell r="L6">
            <v>0</v>
          </cell>
        </row>
        <row r="7">
          <cell r="J7">
            <v>43850</v>
          </cell>
          <cell r="K7">
            <v>5262</v>
          </cell>
          <cell r="L7">
            <v>0</v>
          </cell>
        </row>
        <row r="8">
          <cell r="J8">
            <v>27000</v>
          </cell>
          <cell r="K8">
            <v>3240</v>
          </cell>
          <cell r="L8">
            <v>0</v>
          </cell>
        </row>
        <row r="9">
          <cell r="J9">
            <v>102250</v>
          </cell>
          <cell r="K9">
            <v>12270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32000</v>
          </cell>
          <cell r="K4">
            <v>3840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118800</v>
          </cell>
          <cell r="K4">
            <v>14256</v>
          </cell>
          <cell r="L4">
            <v>335750</v>
          </cell>
        </row>
        <row r="5">
          <cell r="J5">
            <v>74950</v>
          </cell>
          <cell r="K5">
            <v>8994</v>
          </cell>
          <cell r="L5">
            <v>46750</v>
          </cell>
        </row>
        <row r="6">
          <cell r="J6">
            <v>10600</v>
          </cell>
          <cell r="K6">
            <v>1060</v>
          </cell>
          <cell r="L6">
            <v>0</v>
          </cell>
        </row>
        <row r="7">
          <cell r="J7">
            <v>43550</v>
          </cell>
          <cell r="K7">
            <v>5226</v>
          </cell>
          <cell r="L7">
            <v>25500</v>
          </cell>
        </row>
        <row r="8">
          <cell r="J8">
            <v>7000</v>
          </cell>
          <cell r="K8">
            <v>840</v>
          </cell>
          <cell r="L8">
            <v>0</v>
          </cell>
        </row>
      </sheetData>
      <sheetData sheetId="20">
        <row r="4">
          <cell r="J4">
            <v>78000</v>
          </cell>
          <cell r="K4">
            <v>9360</v>
          </cell>
          <cell r="L4">
            <v>25500</v>
          </cell>
        </row>
        <row r="5">
          <cell r="J5">
            <v>47100</v>
          </cell>
          <cell r="K5">
            <v>5652</v>
          </cell>
          <cell r="L5">
            <v>0</v>
          </cell>
        </row>
      </sheetData>
      <sheetData sheetId="21">
        <row r="4">
          <cell r="J4">
            <v>117450</v>
          </cell>
          <cell r="K4">
            <v>17617.5</v>
          </cell>
          <cell r="L4">
            <v>200000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39100</v>
          </cell>
          <cell r="K4">
            <v>4692</v>
          </cell>
          <cell r="L4">
            <v>21250</v>
          </cell>
        </row>
        <row r="5">
          <cell r="J5">
            <v>15400</v>
          </cell>
          <cell r="K5">
            <v>1848</v>
          </cell>
          <cell r="L5">
            <v>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1800</v>
          </cell>
          <cell r="K7">
            <v>216</v>
          </cell>
          <cell r="L7">
            <v>0</v>
          </cell>
        </row>
        <row r="8">
          <cell r="J8">
            <v>900</v>
          </cell>
          <cell r="K8">
            <v>108</v>
          </cell>
          <cell r="L8">
            <v>24000</v>
          </cell>
        </row>
      </sheetData>
      <sheetData sheetId="24">
        <row r="4">
          <cell r="J4">
            <v>575350</v>
          </cell>
          <cell r="K4">
            <v>69042</v>
          </cell>
          <cell r="L4">
            <v>629000</v>
          </cell>
        </row>
        <row r="5">
          <cell r="J5">
            <v>586600</v>
          </cell>
          <cell r="K5">
            <v>70392</v>
          </cell>
          <cell r="L5">
            <v>446250</v>
          </cell>
        </row>
        <row r="6">
          <cell r="J6">
            <v>88550</v>
          </cell>
          <cell r="K6">
            <v>8855</v>
          </cell>
          <cell r="L6">
            <v>0</v>
          </cell>
        </row>
        <row r="7">
          <cell r="J7">
            <v>109100</v>
          </cell>
          <cell r="K7">
            <v>13092</v>
          </cell>
          <cell r="L7">
            <v>93500</v>
          </cell>
        </row>
        <row r="8">
          <cell r="J8">
            <v>74300</v>
          </cell>
          <cell r="K8">
            <v>8916</v>
          </cell>
          <cell r="L8">
            <v>89250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270650</v>
          </cell>
          <cell r="K4">
            <v>32478</v>
          </cell>
          <cell r="L4">
            <v>340000</v>
          </cell>
        </row>
        <row r="5">
          <cell r="J5">
            <v>210950</v>
          </cell>
          <cell r="K5">
            <v>25314</v>
          </cell>
          <cell r="L5">
            <v>93500</v>
          </cell>
        </row>
        <row r="6">
          <cell r="J6">
            <v>92600</v>
          </cell>
          <cell r="K6">
            <v>9260</v>
          </cell>
          <cell r="L6">
            <v>0</v>
          </cell>
        </row>
        <row r="7">
          <cell r="J7">
            <v>118000</v>
          </cell>
          <cell r="K7">
            <v>14160</v>
          </cell>
          <cell r="L7">
            <v>161500</v>
          </cell>
        </row>
        <row r="8">
          <cell r="J8">
            <v>35700</v>
          </cell>
          <cell r="K8">
            <v>4284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17000</v>
          </cell>
        </row>
        <row r="11">
          <cell r="G11">
            <v>76937.5</v>
          </cell>
        </row>
        <row r="12">
          <cell r="G12">
            <v>20000</v>
          </cell>
        </row>
        <row r="19">
          <cell r="D19">
            <v>572950</v>
          </cell>
          <cell r="E19">
            <v>74483.5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241250</v>
          </cell>
          <cell r="K4">
            <v>31362.5</v>
          </cell>
          <cell r="L4">
            <v>38250</v>
          </cell>
        </row>
        <row r="5">
          <cell r="J5">
            <v>52900</v>
          </cell>
          <cell r="K5">
            <v>6877</v>
          </cell>
          <cell r="L5">
            <v>0</v>
          </cell>
        </row>
        <row r="6">
          <cell r="J6">
            <v>7900</v>
          </cell>
          <cell r="K6">
            <v>1027</v>
          </cell>
          <cell r="L6">
            <v>0</v>
          </cell>
        </row>
      </sheetData>
      <sheetData sheetId="12">
        <row r="4">
          <cell r="J4">
            <v>229950</v>
          </cell>
          <cell r="K4">
            <v>29893.5</v>
          </cell>
          <cell r="L4">
            <v>59500</v>
          </cell>
        </row>
        <row r="5">
          <cell r="J5">
            <v>37850</v>
          </cell>
          <cell r="K5">
            <v>4920.5</v>
          </cell>
          <cell r="L5">
            <v>0</v>
          </cell>
        </row>
        <row r="6">
          <cell r="J6">
            <v>3100</v>
          </cell>
          <cell r="K6">
            <v>403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204850</v>
          </cell>
          <cell r="K4">
            <v>24582</v>
          </cell>
          <cell r="L4">
            <v>0</v>
          </cell>
        </row>
        <row r="5">
          <cell r="J5">
            <v>199800</v>
          </cell>
          <cell r="K5">
            <v>23976</v>
          </cell>
          <cell r="L5">
            <v>184000</v>
          </cell>
        </row>
        <row r="7">
          <cell r="J7">
            <v>22400</v>
          </cell>
          <cell r="K7">
            <v>2688</v>
          </cell>
          <cell r="L7">
            <v>48000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446400</v>
          </cell>
          <cell r="K4">
            <v>53568</v>
          </cell>
          <cell r="L4">
            <v>446250</v>
          </cell>
        </row>
        <row r="5">
          <cell r="J5">
            <v>421750</v>
          </cell>
          <cell r="K5">
            <v>50610</v>
          </cell>
          <cell r="L5">
            <v>794750</v>
          </cell>
        </row>
        <row r="6">
          <cell r="J6">
            <v>71700</v>
          </cell>
          <cell r="K6">
            <v>7170</v>
          </cell>
          <cell r="L6">
            <v>0</v>
          </cell>
        </row>
        <row r="7">
          <cell r="J7">
            <v>38050</v>
          </cell>
          <cell r="K7">
            <v>4566</v>
          </cell>
          <cell r="L7">
            <v>25500</v>
          </cell>
        </row>
        <row r="8">
          <cell r="J8">
            <v>57800</v>
          </cell>
          <cell r="K8">
            <v>6936</v>
          </cell>
          <cell r="L8">
            <v>8500</v>
          </cell>
        </row>
        <row r="9">
          <cell r="J9">
            <v>97600</v>
          </cell>
          <cell r="K9">
            <v>11712</v>
          </cell>
          <cell r="L9">
            <v>42500</v>
          </cell>
        </row>
        <row r="10">
          <cell r="J10">
            <v>2900</v>
          </cell>
          <cell r="K10">
            <v>348</v>
          </cell>
          <cell r="L10">
            <v>17000</v>
          </cell>
        </row>
      </sheetData>
      <sheetData sheetId="18">
        <row r="4">
          <cell r="J4">
            <v>26800</v>
          </cell>
          <cell r="K4">
            <v>3216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54400</v>
          </cell>
          <cell r="K4">
            <v>6528</v>
          </cell>
          <cell r="L4">
            <v>25500</v>
          </cell>
        </row>
        <row r="5">
          <cell r="J5">
            <v>47400</v>
          </cell>
          <cell r="K5">
            <v>5688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28750</v>
          </cell>
          <cell r="K7">
            <v>3450</v>
          </cell>
          <cell r="L7">
            <v>89250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131200</v>
          </cell>
          <cell r="K4">
            <v>15744</v>
          </cell>
          <cell r="L4">
            <v>25500</v>
          </cell>
        </row>
        <row r="5">
          <cell r="J5">
            <v>59300</v>
          </cell>
          <cell r="K5">
            <v>7116</v>
          </cell>
          <cell r="L5">
            <v>108000</v>
          </cell>
        </row>
      </sheetData>
      <sheetData sheetId="21">
        <row r="4">
          <cell r="J4">
            <v>82000</v>
          </cell>
          <cell r="K4">
            <v>12300</v>
          </cell>
          <cell r="L4">
            <v>72000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84450</v>
          </cell>
          <cell r="K4">
            <v>10134</v>
          </cell>
          <cell r="L4">
            <v>0</v>
          </cell>
        </row>
        <row r="5">
          <cell r="J5">
            <v>13250</v>
          </cell>
          <cell r="K5">
            <v>1590</v>
          </cell>
          <cell r="L5">
            <v>16000</v>
          </cell>
        </row>
        <row r="6">
          <cell r="J6">
            <v>7000</v>
          </cell>
          <cell r="K6">
            <v>700</v>
          </cell>
          <cell r="L6">
            <v>0</v>
          </cell>
        </row>
        <row r="7">
          <cell r="J7">
            <v>5700</v>
          </cell>
          <cell r="K7">
            <v>684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491100</v>
          </cell>
          <cell r="K4">
            <v>58932</v>
          </cell>
          <cell r="L4">
            <v>471750</v>
          </cell>
        </row>
        <row r="5">
          <cell r="J5">
            <v>469050</v>
          </cell>
          <cell r="K5">
            <v>56286</v>
          </cell>
          <cell r="L5">
            <v>233750</v>
          </cell>
        </row>
        <row r="6">
          <cell r="J6">
            <v>79950</v>
          </cell>
          <cell r="K6">
            <v>7995</v>
          </cell>
          <cell r="L6">
            <v>160000</v>
          </cell>
        </row>
        <row r="7">
          <cell r="J7">
            <v>138250</v>
          </cell>
          <cell r="K7">
            <v>16590</v>
          </cell>
          <cell r="L7">
            <v>178500</v>
          </cell>
        </row>
        <row r="8">
          <cell r="J8">
            <v>139550</v>
          </cell>
          <cell r="K8">
            <v>16746</v>
          </cell>
          <cell r="L8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141600</v>
          </cell>
          <cell r="K4">
            <v>16992</v>
          </cell>
          <cell r="L4">
            <v>12750</v>
          </cell>
        </row>
        <row r="5">
          <cell r="J5">
            <v>139650</v>
          </cell>
          <cell r="K5">
            <v>16758</v>
          </cell>
          <cell r="L5">
            <v>131750</v>
          </cell>
        </row>
        <row r="6">
          <cell r="J6">
            <v>54050</v>
          </cell>
          <cell r="K6">
            <v>5405</v>
          </cell>
          <cell r="L6">
            <v>0</v>
          </cell>
        </row>
        <row r="7">
          <cell r="J7">
            <v>90400</v>
          </cell>
          <cell r="K7">
            <v>10848</v>
          </cell>
          <cell r="L7">
            <v>106250</v>
          </cell>
        </row>
        <row r="8">
          <cell r="J8">
            <v>38100</v>
          </cell>
          <cell r="K8">
            <v>4572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92997.5</v>
          </cell>
        </row>
        <row r="12">
          <cell r="G12">
            <v>35000</v>
          </cell>
        </row>
        <row r="19">
          <cell r="D19">
            <v>413350</v>
          </cell>
          <cell r="E19">
            <v>53735.5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161750</v>
          </cell>
          <cell r="K4">
            <v>21027.5</v>
          </cell>
          <cell r="L4">
            <v>293250</v>
          </cell>
        </row>
        <row r="5">
          <cell r="J5">
            <v>56100</v>
          </cell>
          <cell r="K5">
            <v>7293</v>
          </cell>
          <cell r="L5">
            <v>0</v>
          </cell>
        </row>
        <row r="6">
          <cell r="J6">
            <v>14450</v>
          </cell>
          <cell r="K6">
            <v>1878.5</v>
          </cell>
          <cell r="L6">
            <v>0</v>
          </cell>
        </row>
      </sheetData>
      <sheetData sheetId="12">
        <row r="4">
          <cell r="J4">
            <v>158100</v>
          </cell>
          <cell r="K4">
            <v>20553</v>
          </cell>
          <cell r="L4">
            <v>131750</v>
          </cell>
        </row>
        <row r="5">
          <cell r="J5">
            <v>21450</v>
          </cell>
          <cell r="K5">
            <v>2788.5</v>
          </cell>
          <cell r="L5">
            <v>0</v>
          </cell>
        </row>
        <row r="6">
          <cell r="J6">
            <v>1500</v>
          </cell>
          <cell r="K6">
            <v>195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134550</v>
          </cell>
          <cell r="K4">
            <v>16146</v>
          </cell>
          <cell r="L4">
            <v>80750</v>
          </cell>
        </row>
        <row r="5">
          <cell r="J5">
            <v>147800</v>
          </cell>
          <cell r="K5">
            <v>17736</v>
          </cell>
          <cell r="L5">
            <v>84000</v>
          </cell>
        </row>
        <row r="7">
          <cell r="J7">
            <v>39900</v>
          </cell>
          <cell r="K7">
            <v>4788</v>
          </cell>
          <cell r="L7">
            <v>24000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397000</v>
          </cell>
          <cell r="K4">
            <v>47640</v>
          </cell>
          <cell r="L4">
            <v>369750</v>
          </cell>
        </row>
        <row r="5">
          <cell r="J5">
            <v>415350</v>
          </cell>
          <cell r="K5">
            <v>49842</v>
          </cell>
          <cell r="L5">
            <v>450500</v>
          </cell>
        </row>
        <row r="6">
          <cell r="J6">
            <v>73000</v>
          </cell>
          <cell r="K6">
            <v>7300</v>
          </cell>
          <cell r="L6">
            <v>450000</v>
          </cell>
        </row>
        <row r="7">
          <cell r="J7">
            <v>55600</v>
          </cell>
          <cell r="K7">
            <v>6672</v>
          </cell>
          <cell r="L7">
            <v>8500</v>
          </cell>
        </row>
        <row r="8">
          <cell r="J8">
            <v>59600</v>
          </cell>
          <cell r="K8">
            <v>7152</v>
          </cell>
          <cell r="L8">
            <v>42500</v>
          </cell>
        </row>
        <row r="9">
          <cell r="J9">
            <v>67700</v>
          </cell>
          <cell r="K9">
            <v>8124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8600</v>
          </cell>
          <cell r="K4">
            <v>1032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77550</v>
          </cell>
          <cell r="K4">
            <v>9306</v>
          </cell>
          <cell r="L4">
            <v>89250</v>
          </cell>
        </row>
        <row r="5">
          <cell r="J5">
            <v>64750</v>
          </cell>
          <cell r="K5">
            <v>7770</v>
          </cell>
          <cell r="L5">
            <v>17000</v>
          </cell>
        </row>
        <row r="6">
          <cell r="J6">
            <v>3750</v>
          </cell>
          <cell r="K6">
            <v>375</v>
          </cell>
          <cell r="L6">
            <v>0</v>
          </cell>
        </row>
        <row r="7">
          <cell r="J7">
            <v>38150</v>
          </cell>
          <cell r="K7">
            <v>4578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69350</v>
          </cell>
          <cell r="K4">
            <v>8322</v>
          </cell>
          <cell r="L4">
            <v>34000</v>
          </cell>
        </row>
        <row r="5">
          <cell r="J5">
            <v>40400</v>
          </cell>
          <cell r="K5">
            <v>4848</v>
          </cell>
          <cell r="L5">
            <v>0</v>
          </cell>
        </row>
      </sheetData>
      <sheetData sheetId="21">
        <row r="4">
          <cell r="J4">
            <v>68850</v>
          </cell>
          <cell r="K4">
            <v>10327.5</v>
          </cell>
          <cell r="L4">
            <v>12000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36600</v>
          </cell>
          <cell r="K4">
            <v>4392</v>
          </cell>
          <cell r="L4">
            <v>55250</v>
          </cell>
        </row>
        <row r="5">
          <cell r="J5">
            <v>21250</v>
          </cell>
          <cell r="K5">
            <v>2550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500</v>
          </cell>
          <cell r="K7">
            <v>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425350</v>
          </cell>
          <cell r="K4">
            <v>51042</v>
          </cell>
          <cell r="L4">
            <v>242250</v>
          </cell>
        </row>
        <row r="5">
          <cell r="J5">
            <v>372850</v>
          </cell>
          <cell r="K5">
            <v>44742</v>
          </cell>
          <cell r="L5">
            <v>590750</v>
          </cell>
        </row>
        <row r="6">
          <cell r="J6">
            <v>71350</v>
          </cell>
          <cell r="K6">
            <v>7135</v>
          </cell>
          <cell r="L6">
            <v>100000</v>
          </cell>
        </row>
        <row r="7">
          <cell r="J7">
            <v>106900</v>
          </cell>
          <cell r="K7">
            <v>12828</v>
          </cell>
          <cell r="L7">
            <v>191250</v>
          </cell>
        </row>
        <row r="8">
          <cell r="J8">
            <v>104150</v>
          </cell>
          <cell r="K8">
            <v>12498</v>
          </cell>
          <cell r="L8">
            <v>68000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110050</v>
          </cell>
          <cell r="K4">
            <v>13206</v>
          </cell>
          <cell r="L4">
            <v>29750</v>
          </cell>
        </row>
        <row r="5">
          <cell r="J5">
            <v>113400</v>
          </cell>
          <cell r="K5">
            <v>13608</v>
          </cell>
          <cell r="L5">
            <v>8500</v>
          </cell>
        </row>
        <row r="6">
          <cell r="J6">
            <v>36850</v>
          </cell>
          <cell r="K6">
            <v>3685</v>
          </cell>
          <cell r="L6">
            <v>20000</v>
          </cell>
        </row>
        <row r="7">
          <cell r="J7">
            <v>69650</v>
          </cell>
          <cell r="K7">
            <v>8358</v>
          </cell>
          <cell r="L7">
            <v>76500</v>
          </cell>
        </row>
        <row r="8">
          <cell r="J8">
            <v>21550</v>
          </cell>
          <cell r="K8">
            <v>2586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6000</v>
          </cell>
          <cell r="C6">
            <v>700</v>
          </cell>
          <cell r="D6">
            <v>0</v>
          </cell>
          <cell r="F6">
            <v>5300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96631.5</v>
          </cell>
        </row>
        <row r="12">
          <cell r="G12">
            <v>35000</v>
          </cell>
        </row>
        <row r="19">
          <cell r="D19">
            <v>603200</v>
          </cell>
          <cell r="E19">
            <v>78416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261800</v>
          </cell>
          <cell r="K4">
            <v>34034</v>
          </cell>
          <cell r="L4">
            <v>93500</v>
          </cell>
        </row>
        <row r="5">
          <cell r="J5">
            <v>61300</v>
          </cell>
          <cell r="K5">
            <v>7969</v>
          </cell>
          <cell r="L5">
            <v>0</v>
          </cell>
        </row>
        <row r="6">
          <cell r="J6">
            <v>9000</v>
          </cell>
          <cell r="K6">
            <v>1170</v>
          </cell>
          <cell r="L6">
            <v>0</v>
          </cell>
        </row>
      </sheetData>
      <sheetData sheetId="12">
        <row r="4">
          <cell r="J4">
            <v>200550</v>
          </cell>
          <cell r="K4">
            <v>26071.5</v>
          </cell>
          <cell r="L4">
            <v>297500</v>
          </cell>
        </row>
        <row r="5">
          <cell r="J5">
            <v>56000</v>
          </cell>
          <cell r="K5">
            <v>7280</v>
          </cell>
          <cell r="L5">
            <v>32000</v>
          </cell>
        </row>
        <row r="6">
          <cell r="J6">
            <v>14550</v>
          </cell>
          <cell r="K6">
            <v>1891.5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153150</v>
          </cell>
          <cell r="K4">
            <v>18378</v>
          </cell>
          <cell r="L4">
            <v>114750</v>
          </cell>
        </row>
        <row r="5">
          <cell r="J5">
            <v>121100</v>
          </cell>
          <cell r="K5">
            <v>14532</v>
          </cell>
          <cell r="L5">
            <v>272000</v>
          </cell>
        </row>
        <row r="7">
          <cell r="J7">
            <v>23250</v>
          </cell>
          <cell r="K7">
            <v>2790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592250</v>
          </cell>
          <cell r="K4">
            <v>71070</v>
          </cell>
          <cell r="L4">
            <v>357000</v>
          </cell>
        </row>
        <row r="5">
          <cell r="J5">
            <v>415950</v>
          </cell>
          <cell r="K5">
            <v>49914</v>
          </cell>
          <cell r="L5">
            <v>748000</v>
          </cell>
        </row>
        <row r="6">
          <cell r="J6">
            <v>89500</v>
          </cell>
          <cell r="K6">
            <v>8950</v>
          </cell>
          <cell r="L6">
            <v>180000</v>
          </cell>
        </row>
        <row r="7">
          <cell r="J7">
            <v>91500</v>
          </cell>
          <cell r="K7">
            <v>10980</v>
          </cell>
          <cell r="L7">
            <v>0</v>
          </cell>
        </row>
        <row r="8">
          <cell r="J8">
            <v>32700</v>
          </cell>
          <cell r="K8">
            <v>3924</v>
          </cell>
          <cell r="L8">
            <v>0</v>
          </cell>
        </row>
        <row r="9">
          <cell r="J9">
            <v>83600</v>
          </cell>
          <cell r="K9">
            <v>10032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14600</v>
          </cell>
          <cell r="K4">
            <v>1752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116200</v>
          </cell>
          <cell r="K4">
            <v>13944</v>
          </cell>
          <cell r="L4">
            <v>153000</v>
          </cell>
        </row>
        <row r="5">
          <cell r="J5">
            <v>79800</v>
          </cell>
          <cell r="K5">
            <v>9576</v>
          </cell>
          <cell r="L5">
            <v>114750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44050</v>
          </cell>
          <cell r="K7">
            <v>5286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96850</v>
          </cell>
          <cell r="K4">
            <v>11622</v>
          </cell>
          <cell r="L4">
            <v>42500</v>
          </cell>
        </row>
        <row r="5">
          <cell r="J5">
            <v>26950</v>
          </cell>
          <cell r="K5">
            <v>3234</v>
          </cell>
          <cell r="L5">
            <v>120000</v>
          </cell>
        </row>
      </sheetData>
      <sheetData sheetId="21">
        <row r="4">
          <cell r="J4">
            <v>81700</v>
          </cell>
          <cell r="K4">
            <v>12255</v>
          </cell>
          <cell r="L4">
            <v>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45100</v>
          </cell>
          <cell r="K4">
            <v>5412</v>
          </cell>
          <cell r="L4">
            <v>238000</v>
          </cell>
        </row>
        <row r="5">
          <cell r="J5">
            <v>24150</v>
          </cell>
          <cell r="K5">
            <v>2898</v>
          </cell>
          <cell r="L5">
            <v>56000</v>
          </cell>
        </row>
        <row r="6">
          <cell r="J6">
            <v>1300</v>
          </cell>
          <cell r="K6">
            <v>130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501050</v>
          </cell>
          <cell r="K4">
            <v>60126</v>
          </cell>
          <cell r="L4">
            <v>408000</v>
          </cell>
        </row>
        <row r="5">
          <cell r="J5">
            <v>544000</v>
          </cell>
          <cell r="K5">
            <v>65280</v>
          </cell>
          <cell r="L5">
            <v>765000</v>
          </cell>
        </row>
        <row r="6">
          <cell r="J6">
            <v>82550</v>
          </cell>
          <cell r="K6">
            <v>8255</v>
          </cell>
          <cell r="L6">
            <v>60000</v>
          </cell>
        </row>
        <row r="7">
          <cell r="J7">
            <v>117500</v>
          </cell>
          <cell r="K7">
            <v>14100</v>
          </cell>
          <cell r="L7">
            <v>106250</v>
          </cell>
        </row>
        <row r="8">
          <cell r="J8">
            <v>134950</v>
          </cell>
          <cell r="K8">
            <v>16194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157400</v>
          </cell>
          <cell r="K4">
            <v>18888</v>
          </cell>
          <cell r="L4">
            <v>106250</v>
          </cell>
        </row>
        <row r="5">
          <cell r="J5">
            <v>121350</v>
          </cell>
          <cell r="K5">
            <v>14562</v>
          </cell>
          <cell r="L5">
            <v>161500</v>
          </cell>
        </row>
        <row r="6">
          <cell r="J6">
            <v>37200</v>
          </cell>
          <cell r="K6">
            <v>3720</v>
          </cell>
          <cell r="L6">
            <v>40000</v>
          </cell>
        </row>
        <row r="7">
          <cell r="J7">
            <v>69400</v>
          </cell>
          <cell r="K7">
            <v>8328</v>
          </cell>
          <cell r="L7">
            <v>12750</v>
          </cell>
        </row>
        <row r="8">
          <cell r="J8">
            <v>23300</v>
          </cell>
          <cell r="K8">
            <v>2796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51867</v>
          </cell>
        </row>
        <row r="12">
          <cell r="G12">
            <v>35000</v>
          </cell>
        </row>
        <row r="19">
          <cell r="D19">
            <v>450550</v>
          </cell>
          <cell r="E19">
            <v>58571.5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200850</v>
          </cell>
          <cell r="K4">
            <v>26110.5</v>
          </cell>
          <cell r="L4">
            <v>289000</v>
          </cell>
        </row>
        <row r="5">
          <cell r="J5">
            <v>52650</v>
          </cell>
          <cell r="K5">
            <v>6844.5</v>
          </cell>
          <cell r="L5">
            <v>8000</v>
          </cell>
        </row>
        <row r="6">
          <cell r="J6">
            <v>5500</v>
          </cell>
          <cell r="K6">
            <v>715</v>
          </cell>
          <cell r="L6">
            <v>0</v>
          </cell>
        </row>
      </sheetData>
      <sheetData sheetId="12">
        <row r="4">
          <cell r="J4">
            <v>126600</v>
          </cell>
          <cell r="K4">
            <v>16458</v>
          </cell>
          <cell r="L4">
            <v>80750</v>
          </cell>
        </row>
        <row r="5">
          <cell r="J5">
            <v>57050</v>
          </cell>
          <cell r="K5">
            <v>7416.5</v>
          </cell>
          <cell r="L5">
            <v>40000</v>
          </cell>
        </row>
        <row r="6">
          <cell r="J6">
            <v>7900</v>
          </cell>
          <cell r="K6">
            <v>1027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518200</v>
          </cell>
          <cell r="K4">
            <v>62184</v>
          </cell>
          <cell r="L4">
            <v>743750</v>
          </cell>
        </row>
        <row r="5">
          <cell r="J5">
            <v>462050</v>
          </cell>
          <cell r="K5">
            <v>55446</v>
          </cell>
          <cell r="L5">
            <v>140250</v>
          </cell>
        </row>
        <row r="6">
          <cell r="J6">
            <v>67550</v>
          </cell>
          <cell r="K6">
            <v>6755</v>
          </cell>
          <cell r="L6">
            <v>0</v>
          </cell>
        </row>
        <row r="7">
          <cell r="J7">
            <v>66900</v>
          </cell>
          <cell r="K7">
            <v>8028</v>
          </cell>
          <cell r="L7">
            <v>25500</v>
          </cell>
        </row>
        <row r="8">
          <cell r="J8">
            <v>14300</v>
          </cell>
          <cell r="K8">
            <v>1716</v>
          </cell>
          <cell r="L8">
            <v>0</v>
          </cell>
        </row>
        <row r="9">
          <cell r="J9">
            <v>112000</v>
          </cell>
          <cell r="K9">
            <v>13440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24500</v>
          </cell>
          <cell r="K4">
            <v>2940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127550</v>
          </cell>
          <cell r="K4">
            <v>15306</v>
          </cell>
          <cell r="L4">
            <v>182750</v>
          </cell>
        </row>
        <row r="5">
          <cell r="J5">
            <v>118500</v>
          </cell>
          <cell r="K5">
            <v>14220</v>
          </cell>
          <cell r="L5">
            <v>63750</v>
          </cell>
        </row>
        <row r="6">
          <cell r="J6">
            <v>12050</v>
          </cell>
          <cell r="K6">
            <v>1205</v>
          </cell>
          <cell r="L6">
            <v>0</v>
          </cell>
        </row>
        <row r="7">
          <cell r="J7">
            <v>49900</v>
          </cell>
          <cell r="K7">
            <v>5988</v>
          </cell>
          <cell r="L7">
            <v>68000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105650</v>
          </cell>
          <cell r="K4">
            <v>12678</v>
          </cell>
          <cell r="L4">
            <v>161500</v>
          </cell>
        </row>
        <row r="5">
          <cell r="J5">
            <v>69350</v>
          </cell>
          <cell r="K5">
            <v>8322</v>
          </cell>
          <cell r="L5">
            <v>80000</v>
          </cell>
        </row>
      </sheetData>
      <sheetData sheetId="21">
        <row r="4">
          <cell r="J4">
            <v>94050</v>
          </cell>
          <cell r="K4">
            <v>14107.5</v>
          </cell>
          <cell r="L4">
            <v>224000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63150</v>
          </cell>
          <cell r="K4">
            <v>7578</v>
          </cell>
          <cell r="L4">
            <v>42500</v>
          </cell>
        </row>
        <row r="5">
          <cell r="J5">
            <v>30250</v>
          </cell>
          <cell r="K5">
            <v>3630</v>
          </cell>
          <cell r="L5">
            <v>8000</v>
          </cell>
        </row>
        <row r="6">
          <cell r="J6">
            <v>7300</v>
          </cell>
          <cell r="K6">
            <v>730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410850</v>
          </cell>
          <cell r="K4">
            <v>49302</v>
          </cell>
          <cell r="L4">
            <v>896750</v>
          </cell>
        </row>
        <row r="5">
          <cell r="J5">
            <v>429000</v>
          </cell>
          <cell r="K5">
            <v>51480</v>
          </cell>
          <cell r="L5">
            <v>195500</v>
          </cell>
        </row>
        <row r="6">
          <cell r="J6">
            <v>58300</v>
          </cell>
          <cell r="K6">
            <v>5830</v>
          </cell>
          <cell r="L6">
            <v>0</v>
          </cell>
        </row>
        <row r="7">
          <cell r="J7">
            <v>121500</v>
          </cell>
          <cell r="K7">
            <v>14580</v>
          </cell>
          <cell r="L7">
            <v>102000</v>
          </cell>
        </row>
        <row r="8">
          <cell r="J8">
            <v>79550</v>
          </cell>
          <cell r="K8">
            <v>9546</v>
          </cell>
          <cell r="L8">
            <v>17000</v>
          </cell>
        </row>
        <row r="10">
          <cell r="J10">
            <v>5100</v>
          </cell>
          <cell r="K10">
            <v>612</v>
          </cell>
          <cell r="L10">
            <v>0</v>
          </cell>
        </row>
      </sheetData>
      <sheetData sheetId="25">
        <row r="4">
          <cell r="J4">
            <v>153200</v>
          </cell>
          <cell r="K4">
            <v>18384</v>
          </cell>
          <cell r="L4">
            <v>38250</v>
          </cell>
        </row>
        <row r="5">
          <cell r="J5">
            <v>99300</v>
          </cell>
          <cell r="K5">
            <v>11916</v>
          </cell>
          <cell r="L5">
            <v>80750</v>
          </cell>
        </row>
        <row r="6">
          <cell r="J6">
            <v>42900</v>
          </cell>
          <cell r="K6">
            <v>4290</v>
          </cell>
          <cell r="L6">
            <v>0</v>
          </cell>
        </row>
        <row r="7">
          <cell r="J7">
            <v>59050</v>
          </cell>
          <cell r="K7">
            <v>7086</v>
          </cell>
          <cell r="L7">
            <v>17000</v>
          </cell>
        </row>
        <row r="8">
          <cell r="J8">
            <v>7750</v>
          </cell>
          <cell r="K8">
            <v>930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45107.5</v>
          </cell>
        </row>
        <row r="12">
          <cell r="G12">
            <v>35000</v>
          </cell>
        </row>
        <row r="19">
          <cell r="D19">
            <v>455100</v>
          </cell>
          <cell r="E19">
            <v>59163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179100</v>
          </cell>
          <cell r="K4">
            <v>23283</v>
          </cell>
          <cell r="L4">
            <v>72250</v>
          </cell>
        </row>
        <row r="5">
          <cell r="J5">
            <v>49100</v>
          </cell>
          <cell r="K5">
            <v>6383</v>
          </cell>
          <cell r="L5">
            <v>8000</v>
          </cell>
        </row>
        <row r="6">
          <cell r="J6">
            <v>2100</v>
          </cell>
          <cell r="K6">
            <v>273</v>
          </cell>
          <cell r="L6">
            <v>0</v>
          </cell>
        </row>
      </sheetData>
      <sheetData sheetId="12">
        <row r="4">
          <cell r="J4">
            <v>200300</v>
          </cell>
          <cell r="K4">
            <v>26039</v>
          </cell>
          <cell r="L4">
            <v>25500</v>
          </cell>
        </row>
        <row r="5">
          <cell r="J5">
            <v>18600</v>
          </cell>
          <cell r="K5">
            <v>2418</v>
          </cell>
          <cell r="L5">
            <v>0</v>
          </cell>
        </row>
        <row r="6">
          <cell r="J6">
            <v>5900</v>
          </cell>
          <cell r="K6">
            <v>767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130200</v>
          </cell>
          <cell r="K4">
            <v>15624</v>
          </cell>
          <cell r="L4">
            <v>0</v>
          </cell>
        </row>
        <row r="5">
          <cell r="J5">
            <v>149650</v>
          </cell>
          <cell r="K5">
            <v>17958</v>
          </cell>
          <cell r="L5">
            <v>116000</v>
          </cell>
        </row>
        <row r="7">
          <cell r="J7">
            <v>26000</v>
          </cell>
          <cell r="K7">
            <v>3120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500050</v>
          </cell>
          <cell r="K4">
            <v>60006</v>
          </cell>
          <cell r="L4">
            <v>323000</v>
          </cell>
        </row>
        <row r="5">
          <cell r="J5">
            <v>324350</v>
          </cell>
          <cell r="K5">
            <v>38922</v>
          </cell>
          <cell r="L5">
            <v>191250</v>
          </cell>
        </row>
        <row r="6">
          <cell r="J6">
            <v>70300</v>
          </cell>
          <cell r="K6">
            <v>7030</v>
          </cell>
          <cell r="L6">
            <v>60000</v>
          </cell>
        </row>
        <row r="7">
          <cell r="J7">
            <v>51500</v>
          </cell>
          <cell r="K7">
            <v>6180</v>
          </cell>
          <cell r="L7">
            <v>0</v>
          </cell>
        </row>
        <row r="8">
          <cell r="J8">
            <v>24000</v>
          </cell>
          <cell r="K8">
            <v>2880</v>
          </cell>
          <cell r="L8">
            <v>0</v>
          </cell>
        </row>
        <row r="9">
          <cell r="J9">
            <v>71000</v>
          </cell>
          <cell r="K9">
            <v>8520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16000</v>
          </cell>
          <cell r="K4">
            <v>1920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71300</v>
          </cell>
          <cell r="K4">
            <v>8556</v>
          </cell>
          <cell r="L4">
            <v>187000</v>
          </cell>
        </row>
        <row r="5">
          <cell r="J5">
            <v>70300</v>
          </cell>
          <cell r="K5">
            <v>8436</v>
          </cell>
          <cell r="L5">
            <v>17000</v>
          </cell>
        </row>
        <row r="6">
          <cell r="J6">
            <v>7100</v>
          </cell>
          <cell r="K6">
            <v>710</v>
          </cell>
          <cell r="L6">
            <v>0</v>
          </cell>
        </row>
        <row r="7">
          <cell r="J7">
            <v>49100</v>
          </cell>
          <cell r="K7">
            <v>5892</v>
          </cell>
          <cell r="L7">
            <v>51000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87050</v>
          </cell>
          <cell r="K4">
            <v>10446</v>
          </cell>
          <cell r="L4">
            <v>110500</v>
          </cell>
        </row>
        <row r="5">
          <cell r="J5">
            <v>40650</v>
          </cell>
          <cell r="K5">
            <v>4878</v>
          </cell>
          <cell r="L5">
            <v>0</v>
          </cell>
        </row>
      </sheetData>
      <sheetData sheetId="21">
        <row r="4">
          <cell r="J4">
            <v>85900</v>
          </cell>
          <cell r="K4">
            <v>12885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65650</v>
          </cell>
          <cell r="K4">
            <v>7878</v>
          </cell>
          <cell r="L4">
            <v>0</v>
          </cell>
        </row>
        <row r="5">
          <cell r="J5">
            <v>18900</v>
          </cell>
          <cell r="K5">
            <v>2268</v>
          </cell>
          <cell r="L5">
            <v>0</v>
          </cell>
        </row>
        <row r="6">
          <cell r="J6">
            <v>2700</v>
          </cell>
          <cell r="K6">
            <v>270</v>
          </cell>
          <cell r="L6">
            <v>0</v>
          </cell>
        </row>
        <row r="7">
          <cell r="J7">
            <v>2750</v>
          </cell>
          <cell r="K7">
            <v>330</v>
          </cell>
          <cell r="L7">
            <v>16000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397900</v>
          </cell>
          <cell r="K4">
            <v>47748</v>
          </cell>
          <cell r="L4">
            <v>68000</v>
          </cell>
        </row>
        <row r="5">
          <cell r="J5">
            <v>401350</v>
          </cell>
          <cell r="K5">
            <v>48162</v>
          </cell>
          <cell r="L5">
            <v>263500</v>
          </cell>
        </row>
        <row r="6">
          <cell r="J6">
            <v>55850</v>
          </cell>
          <cell r="K6">
            <v>5585</v>
          </cell>
          <cell r="L6">
            <v>0</v>
          </cell>
        </row>
        <row r="7">
          <cell r="J7">
            <v>116300</v>
          </cell>
          <cell r="K7">
            <v>13956</v>
          </cell>
          <cell r="L7">
            <v>12750</v>
          </cell>
        </row>
        <row r="8">
          <cell r="J8">
            <v>69800</v>
          </cell>
          <cell r="K8">
            <v>8376</v>
          </cell>
          <cell r="L8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127600</v>
          </cell>
          <cell r="K4">
            <v>15312</v>
          </cell>
          <cell r="L4">
            <v>63750</v>
          </cell>
        </row>
        <row r="5">
          <cell r="J5">
            <v>84100</v>
          </cell>
          <cell r="K5">
            <v>10092</v>
          </cell>
          <cell r="L5">
            <v>42500</v>
          </cell>
        </row>
        <row r="6">
          <cell r="J6">
            <v>29300</v>
          </cell>
          <cell r="K6">
            <v>2930</v>
          </cell>
          <cell r="L6">
            <v>0</v>
          </cell>
        </row>
        <row r="7">
          <cell r="J7">
            <v>48900</v>
          </cell>
          <cell r="K7">
            <v>5868</v>
          </cell>
          <cell r="L7">
            <v>0</v>
          </cell>
        </row>
        <row r="8">
          <cell r="J8">
            <v>12350</v>
          </cell>
          <cell r="K8">
            <v>1482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5000</v>
          </cell>
          <cell r="C6">
            <v>600</v>
          </cell>
          <cell r="D6">
            <v>0</v>
          </cell>
          <cell r="F6">
            <v>4400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38714</v>
          </cell>
        </row>
        <row r="12">
          <cell r="G12">
            <v>20000</v>
          </cell>
        </row>
        <row r="19">
          <cell r="D19">
            <v>480050</v>
          </cell>
          <cell r="E19">
            <v>62406.5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237600</v>
          </cell>
          <cell r="K4">
            <v>30888</v>
          </cell>
          <cell r="L4">
            <v>140250</v>
          </cell>
        </row>
        <row r="5">
          <cell r="J5">
            <v>62400</v>
          </cell>
          <cell r="K5">
            <v>8112</v>
          </cell>
          <cell r="L5">
            <v>8000</v>
          </cell>
        </row>
        <row r="6">
          <cell r="J6">
            <v>4600</v>
          </cell>
          <cell r="K6">
            <v>598</v>
          </cell>
          <cell r="L6">
            <v>0</v>
          </cell>
        </row>
      </sheetData>
      <sheetData sheetId="12">
        <row r="4">
          <cell r="J4">
            <v>163250</v>
          </cell>
          <cell r="K4">
            <v>21222.5</v>
          </cell>
          <cell r="L4">
            <v>63750</v>
          </cell>
        </row>
        <row r="5">
          <cell r="J5">
            <v>11200</v>
          </cell>
          <cell r="K5">
            <v>1456</v>
          </cell>
          <cell r="L5">
            <v>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181850</v>
          </cell>
          <cell r="K4">
            <v>21822</v>
          </cell>
          <cell r="L4">
            <v>365500</v>
          </cell>
        </row>
        <row r="5">
          <cell r="J5">
            <v>183500</v>
          </cell>
          <cell r="K5">
            <v>22020</v>
          </cell>
          <cell r="L5">
            <v>36000</v>
          </cell>
        </row>
        <row r="7">
          <cell r="J7">
            <v>58850</v>
          </cell>
          <cell r="K7">
            <v>7062</v>
          </cell>
          <cell r="L7">
            <v>24000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472850</v>
          </cell>
          <cell r="K4">
            <v>56742</v>
          </cell>
          <cell r="L4">
            <v>391000</v>
          </cell>
        </row>
        <row r="5">
          <cell r="J5">
            <v>400650</v>
          </cell>
          <cell r="K5">
            <v>48078</v>
          </cell>
          <cell r="L5">
            <v>335750</v>
          </cell>
        </row>
        <row r="6">
          <cell r="J6">
            <v>74300</v>
          </cell>
          <cell r="K6">
            <v>7430</v>
          </cell>
          <cell r="L6">
            <v>0</v>
          </cell>
        </row>
        <row r="7">
          <cell r="J7">
            <v>28150</v>
          </cell>
          <cell r="K7">
            <v>3378</v>
          </cell>
          <cell r="L7">
            <v>17000</v>
          </cell>
        </row>
        <row r="8">
          <cell r="J8">
            <v>25950</v>
          </cell>
          <cell r="K8">
            <v>3114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85800</v>
          </cell>
          <cell r="K4">
            <v>10296</v>
          </cell>
          <cell r="L4">
            <v>425000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119050</v>
          </cell>
          <cell r="K4">
            <v>14286</v>
          </cell>
          <cell r="L4">
            <v>51000</v>
          </cell>
        </row>
        <row r="5">
          <cell r="J5">
            <v>83750</v>
          </cell>
          <cell r="K5">
            <v>10050</v>
          </cell>
          <cell r="L5">
            <v>55250</v>
          </cell>
        </row>
        <row r="6">
          <cell r="J6">
            <v>6900</v>
          </cell>
          <cell r="K6">
            <v>690</v>
          </cell>
          <cell r="L6">
            <v>0</v>
          </cell>
        </row>
        <row r="7">
          <cell r="J7">
            <v>43850</v>
          </cell>
          <cell r="K7">
            <v>5262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128500</v>
          </cell>
          <cell r="K4">
            <v>15420</v>
          </cell>
          <cell r="L4">
            <v>131750</v>
          </cell>
        </row>
        <row r="5">
          <cell r="J5">
            <v>50150</v>
          </cell>
          <cell r="K5">
            <v>6018</v>
          </cell>
          <cell r="L5">
            <v>0</v>
          </cell>
        </row>
      </sheetData>
      <sheetData sheetId="21">
        <row r="4">
          <cell r="J4">
            <v>115600</v>
          </cell>
          <cell r="K4">
            <v>17340</v>
          </cell>
          <cell r="L4">
            <v>44000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46650</v>
          </cell>
          <cell r="K4">
            <v>5598</v>
          </cell>
          <cell r="L4">
            <v>21250</v>
          </cell>
        </row>
        <row r="5">
          <cell r="J5">
            <v>18700</v>
          </cell>
          <cell r="K5">
            <v>2244</v>
          </cell>
          <cell r="L5">
            <v>0</v>
          </cell>
        </row>
        <row r="6">
          <cell r="J6">
            <v>3500</v>
          </cell>
          <cell r="K6">
            <v>350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492000</v>
          </cell>
          <cell r="K4">
            <v>59040</v>
          </cell>
          <cell r="L4">
            <v>705500</v>
          </cell>
        </row>
        <row r="5">
          <cell r="J5">
            <v>436400</v>
          </cell>
          <cell r="K5">
            <v>52368</v>
          </cell>
          <cell r="L5">
            <v>361250</v>
          </cell>
        </row>
        <row r="6">
          <cell r="J6">
            <v>56650</v>
          </cell>
          <cell r="K6">
            <v>5665</v>
          </cell>
          <cell r="L6">
            <v>0</v>
          </cell>
        </row>
        <row r="7">
          <cell r="J7">
            <v>93050</v>
          </cell>
          <cell r="K7">
            <v>11166</v>
          </cell>
          <cell r="L7">
            <v>76500</v>
          </cell>
        </row>
        <row r="8">
          <cell r="J8">
            <v>98700</v>
          </cell>
          <cell r="K8">
            <v>11844</v>
          </cell>
          <cell r="L8">
            <v>38250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165500</v>
          </cell>
          <cell r="K4">
            <v>19860</v>
          </cell>
          <cell r="L4">
            <v>276250</v>
          </cell>
        </row>
        <row r="5">
          <cell r="J5">
            <v>114650</v>
          </cell>
          <cell r="K5">
            <v>13758</v>
          </cell>
          <cell r="L5">
            <v>187000</v>
          </cell>
        </row>
        <row r="6">
          <cell r="J6">
            <v>57700</v>
          </cell>
          <cell r="K6">
            <v>5770</v>
          </cell>
          <cell r="L6">
            <v>0</v>
          </cell>
        </row>
        <row r="7">
          <cell r="J7">
            <v>50600</v>
          </cell>
          <cell r="K7">
            <v>6072</v>
          </cell>
          <cell r="L7">
            <v>8500</v>
          </cell>
        </row>
        <row r="8">
          <cell r="J8">
            <v>11500</v>
          </cell>
          <cell r="K8">
            <v>1380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77592</v>
          </cell>
        </row>
        <row r="12">
          <cell r="G12">
            <v>15000</v>
          </cell>
        </row>
        <row r="19">
          <cell r="D19">
            <v>376900</v>
          </cell>
          <cell r="E19">
            <v>48997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176850</v>
          </cell>
          <cell r="K4">
            <v>22990.5</v>
          </cell>
          <cell r="L4">
            <v>106250</v>
          </cell>
        </row>
        <row r="5">
          <cell r="J5">
            <v>39300</v>
          </cell>
          <cell r="K5">
            <v>5109</v>
          </cell>
          <cell r="L5">
            <v>72000</v>
          </cell>
        </row>
        <row r="6">
          <cell r="J6">
            <v>9800</v>
          </cell>
          <cell r="K6">
            <v>1274</v>
          </cell>
          <cell r="L6">
            <v>0</v>
          </cell>
        </row>
      </sheetData>
      <sheetData sheetId="12">
        <row r="4">
          <cell r="J4">
            <v>126650</v>
          </cell>
          <cell r="K4">
            <v>16464.5</v>
          </cell>
          <cell r="L4">
            <v>21250</v>
          </cell>
        </row>
        <row r="5">
          <cell r="J5">
            <v>21300</v>
          </cell>
          <cell r="K5">
            <v>2769</v>
          </cell>
          <cell r="L5">
            <v>0</v>
          </cell>
        </row>
        <row r="6">
          <cell r="J6">
            <v>3000</v>
          </cell>
          <cell r="K6">
            <v>390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200000</v>
          </cell>
          <cell r="K4">
            <v>24000</v>
          </cell>
          <cell r="L4">
            <v>250750</v>
          </cell>
        </row>
        <row r="5">
          <cell r="J5">
            <v>158200</v>
          </cell>
          <cell r="K5">
            <v>18984</v>
          </cell>
          <cell r="L5">
            <v>212000</v>
          </cell>
        </row>
        <row r="7">
          <cell r="J7">
            <v>56900</v>
          </cell>
          <cell r="K7">
            <v>6828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487650</v>
          </cell>
          <cell r="K4">
            <v>58518</v>
          </cell>
          <cell r="L4">
            <v>301750</v>
          </cell>
        </row>
        <row r="5">
          <cell r="J5">
            <v>289350</v>
          </cell>
          <cell r="K5">
            <v>34722</v>
          </cell>
          <cell r="L5">
            <v>136000</v>
          </cell>
        </row>
        <row r="6">
          <cell r="J6">
            <v>71350</v>
          </cell>
          <cell r="K6">
            <v>7135</v>
          </cell>
          <cell r="L6">
            <v>0</v>
          </cell>
        </row>
        <row r="7">
          <cell r="J7">
            <v>60250</v>
          </cell>
          <cell r="K7">
            <v>7230</v>
          </cell>
          <cell r="L7">
            <v>17000</v>
          </cell>
        </row>
        <row r="8">
          <cell r="J8">
            <v>42700</v>
          </cell>
          <cell r="K8">
            <v>5124</v>
          </cell>
          <cell r="L8">
            <v>187000</v>
          </cell>
        </row>
        <row r="9">
          <cell r="J9">
            <v>95950</v>
          </cell>
          <cell r="K9">
            <v>11514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59900</v>
          </cell>
          <cell r="K4">
            <v>7188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92700</v>
          </cell>
          <cell r="K4">
            <v>11124</v>
          </cell>
          <cell r="L4">
            <v>59500</v>
          </cell>
        </row>
        <row r="5">
          <cell r="J5">
            <v>76300</v>
          </cell>
          <cell r="K5">
            <v>9156</v>
          </cell>
          <cell r="L5">
            <v>46750</v>
          </cell>
        </row>
        <row r="6">
          <cell r="J6">
            <v>10900</v>
          </cell>
          <cell r="K6">
            <v>1090</v>
          </cell>
          <cell r="L6">
            <v>60000</v>
          </cell>
        </row>
        <row r="7">
          <cell r="J7">
            <v>34550</v>
          </cell>
          <cell r="K7">
            <v>4146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115600</v>
          </cell>
          <cell r="K4">
            <v>13872</v>
          </cell>
          <cell r="L4">
            <v>42500</v>
          </cell>
        </row>
        <row r="5">
          <cell r="J5">
            <v>78700</v>
          </cell>
          <cell r="K5">
            <v>9444</v>
          </cell>
          <cell r="L5">
            <v>40000</v>
          </cell>
        </row>
      </sheetData>
      <sheetData sheetId="21">
        <row r="4">
          <cell r="J4">
            <v>134150</v>
          </cell>
          <cell r="K4">
            <v>20122.5</v>
          </cell>
          <cell r="L4">
            <v>240000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56050</v>
          </cell>
          <cell r="K4">
            <v>6726</v>
          </cell>
          <cell r="L4">
            <v>42500</v>
          </cell>
        </row>
        <row r="5">
          <cell r="J5">
            <v>20600</v>
          </cell>
          <cell r="K5">
            <v>2472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3000</v>
          </cell>
          <cell r="K7">
            <v>360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463900</v>
          </cell>
          <cell r="K4">
            <v>55668</v>
          </cell>
          <cell r="L4">
            <v>552500</v>
          </cell>
        </row>
        <row r="5">
          <cell r="J5">
            <v>514550</v>
          </cell>
          <cell r="K5">
            <v>61746</v>
          </cell>
          <cell r="L5">
            <v>488750</v>
          </cell>
        </row>
        <row r="6">
          <cell r="J6">
            <v>55200</v>
          </cell>
          <cell r="K6">
            <v>5520</v>
          </cell>
          <cell r="L6">
            <v>0</v>
          </cell>
        </row>
        <row r="7">
          <cell r="J7">
            <v>124350</v>
          </cell>
          <cell r="K7">
            <v>14922</v>
          </cell>
          <cell r="L7">
            <v>8500</v>
          </cell>
        </row>
        <row r="8">
          <cell r="J8">
            <v>115200</v>
          </cell>
          <cell r="K8">
            <v>13824</v>
          </cell>
          <cell r="L8">
            <v>212500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160300</v>
          </cell>
          <cell r="K4">
            <v>19236</v>
          </cell>
          <cell r="L4">
            <v>544000</v>
          </cell>
        </row>
        <row r="5">
          <cell r="J5">
            <v>115800</v>
          </cell>
          <cell r="K5">
            <v>13896</v>
          </cell>
          <cell r="L5">
            <v>110500</v>
          </cell>
        </row>
        <row r="6">
          <cell r="J6">
            <v>42300</v>
          </cell>
          <cell r="K6">
            <v>4230</v>
          </cell>
          <cell r="L6">
            <v>40000</v>
          </cell>
        </row>
        <row r="7">
          <cell r="J7">
            <v>56750</v>
          </cell>
          <cell r="K7">
            <v>6810</v>
          </cell>
          <cell r="L7">
            <v>8500</v>
          </cell>
        </row>
        <row r="8">
          <cell r="J8">
            <v>3100</v>
          </cell>
          <cell r="K8">
            <v>372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40885</v>
          </cell>
        </row>
        <row r="12">
          <cell r="G12">
            <v>15000</v>
          </cell>
        </row>
        <row r="19">
          <cell r="D19">
            <v>538400</v>
          </cell>
          <cell r="E19">
            <v>69992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269800</v>
          </cell>
          <cell r="K4">
            <v>35074</v>
          </cell>
          <cell r="L4">
            <v>110500</v>
          </cell>
        </row>
        <row r="5">
          <cell r="J5">
            <v>77050</v>
          </cell>
          <cell r="K5">
            <v>10016.5</v>
          </cell>
          <cell r="L5">
            <v>16000</v>
          </cell>
        </row>
        <row r="6">
          <cell r="J6">
            <v>13300</v>
          </cell>
          <cell r="K6">
            <v>1729</v>
          </cell>
          <cell r="L6">
            <v>0</v>
          </cell>
        </row>
      </sheetData>
      <sheetData sheetId="12">
        <row r="4">
          <cell r="J4">
            <v>136350</v>
          </cell>
          <cell r="K4">
            <v>17725.5</v>
          </cell>
          <cell r="L4">
            <v>170000</v>
          </cell>
        </row>
        <row r="5">
          <cell r="J5">
            <v>34400</v>
          </cell>
          <cell r="K5">
            <v>4472</v>
          </cell>
          <cell r="L5">
            <v>80000</v>
          </cell>
        </row>
        <row r="6">
          <cell r="J6">
            <v>7500</v>
          </cell>
          <cell r="K6">
            <v>975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353200</v>
          </cell>
          <cell r="K4">
            <v>42384</v>
          </cell>
          <cell r="L4">
            <v>195500</v>
          </cell>
        </row>
        <row r="5">
          <cell r="J5">
            <v>309850</v>
          </cell>
          <cell r="K5">
            <v>37182</v>
          </cell>
          <cell r="L5">
            <v>199750</v>
          </cell>
        </row>
        <row r="6">
          <cell r="J6">
            <v>52650</v>
          </cell>
          <cell r="K6">
            <v>5265</v>
          </cell>
          <cell r="L6">
            <v>0</v>
          </cell>
        </row>
        <row r="7">
          <cell r="J7">
            <v>49950</v>
          </cell>
          <cell r="K7">
            <v>5994</v>
          </cell>
          <cell r="L7">
            <v>42500</v>
          </cell>
        </row>
        <row r="8">
          <cell r="J8">
            <v>52950</v>
          </cell>
          <cell r="K8">
            <v>6354</v>
          </cell>
          <cell r="L8">
            <v>12750</v>
          </cell>
        </row>
        <row r="9">
          <cell r="J9">
            <v>77500</v>
          </cell>
          <cell r="K9">
            <v>9300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55200</v>
          </cell>
          <cell r="K4">
            <v>6624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80500</v>
          </cell>
          <cell r="K4">
            <v>9660</v>
          </cell>
          <cell r="L4">
            <v>72250</v>
          </cell>
        </row>
        <row r="5">
          <cell r="J5">
            <v>68100</v>
          </cell>
          <cell r="K5">
            <v>8172</v>
          </cell>
          <cell r="L5">
            <v>51000</v>
          </cell>
        </row>
        <row r="6">
          <cell r="J6">
            <v>7400</v>
          </cell>
          <cell r="K6">
            <v>740</v>
          </cell>
          <cell r="L6">
            <v>0</v>
          </cell>
        </row>
        <row r="7">
          <cell r="J7">
            <v>31700</v>
          </cell>
          <cell r="K7">
            <v>3804</v>
          </cell>
          <cell r="L7">
            <v>51000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148050</v>
          </cell>
          <cell r="K4">
            <v>17766</v>
          </cell>
          <cell r="L4">
            <v>212500</v>
          </cell>
        </row>
        <row r="5">
          <cell r="J5">
            <v>87950</v>
          </cell>
          <cell r="K5">
            <v>10554</v>
          </cell>
          <cell r="L5">
            <v>32000</v>
          </cell>
        </row>
      </sheetData>
      <sheetData sheetId="21">
        <row r="4">
          <cell r="J4">
            <v>153400</v>
          </cell>
          <cell r="K4">
            <v>23010</v>
          </cell>
          <cell r="L4">
            <v>88000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78100</v>
          </cell>
          <cell r="K4">
            <v>9372</v>
          </cell>
          <cell r="L4">
            <v>42500</v>
          </cell>
        </row>
        <row r="5">
          <cell r="J5">
            <v>19100</v>
          </cell>
          <cell r="K5">
            <v>2292</v>
          </cell>
          <cell r="L5">
            <v>0</v>
          </cell>
        </row>
        <row r="6">
          <cell r="J6">
            <v>8000</v>
          </cell>
          <cell r="K6">
            <v>800</v>
          </cell>
          <cell r="L6">
            <v>0</v>
          </cell>
        </row>
        <row r="7">
          <cell r="J7">
            <v>6200</v>
          </cell>
          <cell r="K7">
            <v>744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456400</v>
          </cell>
          <cell r="K4">
            <v>54768</v>
          </cell>
          <cell r="L4">
            <v>637500</v>
          </cell>
        </row>
        <row r="5">
          <cell r="J5">
            <v>546100</v>
          </cell>
          <cell r="K5">
            <v>65532</v>
          </cell>
          <cell r="L5">
            <v>505750</v>
          </cell>
        </row>
        <row r="6">
          <cell r="J6">
            <v>41300</v>
          </cell>
          <cell r="K6">
            <v>4130</v>
          </cell>
          <cell r="L6">
            <v>0</v>
          </cell>
        </row>
        <row r="7">
          <cell r="J7">
            <v>110350</v>
          </cell>
          <cell r="K7">
            <v>13242</v>
          </cell>
          <cell r="L7">
            <v>131750</v>
          </cell>
        </row>
        <row r="8">
          <cell r="J8">
            <v>101850</v>
          </cell>
          <cell r="K8">
            <v>12222</v>
          </cell>
          <cell r="L8">
            <v>80750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181350</v>
          </cell>
          <cell r="K4">
            <v>21762</v>
          </cell>
          <cell r="L4">
            <v>89250</v>
          </cell>
        </row>
        <row r="5">
          <cell r="J5">
            <v>122100</v>
          </cell>
          <cell r="K5">
            <v>14652</v>
          </cell>
          <cell r="L5">
            <v>38250</v>
          </cell>
        </row>
        <row r="6">
          <cell r="J6">
            <v>58800</v>
          </cell>
          <cell r="K6">
            <v>5880</v>
          </cell>
          <cell r="L6">
            <v>0</v>
          </cell>
        </row>
        <row r="7">
          <cell r="J7">
            <v>69850</v>
          </cell>
          <cell r="K7">
            <v>8382</v>
          </cell>
          <cell r="L7">
            <v>178500</v>
          </cell>
        </row>
        <row r="8">
          <cell r="J8">
            <v>28350</v>
          </cell>
          <cell r="K8">
            <v>3402</v>
          </cell>
          <cell r="L8">
            <v>0</v>
          </cell>
        </row>
        <row r="10">
          <cell r="J10">
            <v>1000</v>
          </cell>
          <cell r="K10">
            <v>120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55904</v>
          </cell>
        </row>
        <row r="12">
          <cell r="G12">
            <v>35000</v>
          </cell>
        </row>
        <row r="19">
          <cell r="D19">
            <v>382150</v>
          </cell>
          <cell r="E19">
            <v>49679.5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161000</v>
          </cell>
          <cell r="K4">
            <v>20930</v>
          </cell>
          <cell r="L4">
            <v>136000</v>
          </cell>
        </row>
        <row r="5">
          <cell r="J5">
            <v>58600</v>
          </cell>
          <cell r="K5">
            <v>7618</v>
          </cell>
          <cell r="L5">
            <v>16000</v>
          </cell>
        </row>
        <row r="6">
          <cell r="J6">
            <v>9300</v>
          </cell>
          <cell r="K6">
            <v>1209</v>
          </cell>
          <cell r="L6">
            <v>0</v>
          </cell>
        </row>
      </sheetData>
      <sheetData sheetId="12">
        <row r="4">
          <cell r="J4">
            <v>143300</v>
          </cell>
          <cell r="K4">
            <v>18629</v>
          </cell>
          <cell r="L4">
            <v>93500</v>
          </cell>
        </row>
        <row r="5">
          <cell r="J5">
            <v>8050</v>
          </cell>
          <cell r="K5">
            <v>1046.5</v>
          </cell>
          <cell r="L5">
            <v>0</v>
          </cell>
        </row>
        <row r="6">
          <cell r="J6">
            <v>1900</v>
          </cell>
          <cell r="K6">
            <v>247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195650</v>
          </cell>
          <cell r="K4">
            <v>23478</v>
          </cell>
          <cell r="L4">
            <v>187000</v>
          </cell>
        </row>
        <row r="5">
          <cell r="J5">
            <v>147050</v>
          </cell>
          <cell r="K5">
            <v>17646</v>
          </cell>
          <cell r="L5">
            <v>200000</v>
          </cell>
        </row>
        <row r="7">
          <cell r="J7">
            <v>32750</v>
          </cell>
          <cell r="K7">
            <v>3930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399150</v>
          </cell>
          <cell r="K4">
            <v>47898</v>
          </cell>
          <cell r="L4">
            <v>38250</v>
          </cell>
        </row>
        <row r="5">
          <cell r="J5">
            <v>256550</v>
          </cell>
          <cell r="K5">
            <v>30786</v>
          </cell>
          <cell r="L5">
            <v>165750</v>
          </cell>
        </row>
        <row r="6">
          <cell r="J6">
            <v>51150</v>
          </cell>
          <cell r="K6">
            <v>5115</v>
          </cell>
          <cell r="L6">
            <v>0</v>
          </cell>
        </row>
        <row r="7">
          <cell r="J7">
            <v>38100</v>
          </cell>
          <cell r="K7">
            <v>4572</v>
          </cell>
          <cell r="L7">
            <v>0</v>
          </cell>
        </row>
        <row r="8">
          <cell r="J8">
            <v>42250</v>
          </cell>
          <cell r="K8">
            <v>5070</v>
          </cell>
          <cell r="L8">
            <v>0</v>
          </cell>
        </row>
        <row r="9">
          <cell r="J9">
            <v>41500</v>
          </cell>
          <cell r="K9">
            <v>4980</v>
          </cell>
          <cell r="L9">
            <v>127500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25600</v>
          </cell>
          <cell r="K4">
            <v>3072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123550</v>
          </cell>
          <cell r="K4">
            <v>14826</v>
          </cell>
          <cell r="L4">
            <v>106250</v>
          </cell>
        </row>
        <row r="5">
          <cell r="J5">
            <v>120550</v>
          </cell>
          <cell r="K5">
            <v>14466</v>
          </cell>
          <cell r="L5">
            <v>59500</v>
          </cell>
        </row>
        <row r="6">
          <cell r="J6">
            <v>8650</v>
          </cell>
          <cell r="K6">
            <v>865</v>
          </cell>
          <cell r="L6">
            <v>0</v>
          </cell>
        </row>
        <row r="7">
          <cell r="J7">
            <v>48500</v>
          </cell>
          <cell r="K7">
            <v>5820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121500</v>
          </cell>
          <cell r="K4">
            <v>14580</v>
          </cell>
          <cell r="L4">
            <v>51000</v>
          </cell>
        </row>
        <row r="5">
          <cell r="J5">
            <v>87650</v>
          </cell>
          <cell r="K5">
            <v>10518</v>
          </cell>
          <cell r="L5">
            <v>120000</v>
          </cell>
        </row>
      </sheetData>
      <sheetData sheetId="21">
        <row r="4">
          <cell r="J4">
            <v>89150</v>
          </cell>
          <cell r="K4">
            <v>13372.5</v>
          </cell>
          <cell r="L4">
            <v>56000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49350</v>
          </cell>
          <cell r="K4">
            <v>5922</v>
          </cell>
          <cell r="L4">
            <v>42500</v>
          </cell>
        </row>
        <row r="5">
          <cell r="J5">
            <v>13300</v>
          </cell>
          <cell r="K5">
            <v>1596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600</v>
          </cell>
          <cell r="K7">
            <v>72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483650</v>
          </cell>
          <cell r="K4">
            <v>58038</v>
          </cell>
          <cell r="L4">
            <v>250750</v>
          </cell>
        </row>
        <row r="5">
          <cell r="J5">
            <v>507800</v>
          </cell>
          <cell r="K5">
            <v>60936</v>
          </cell>
          <cell r="L5">
            <v>480250</v>
          </cell>
        </row>
        <row r="6">
          <cell r="J6">
            <v>61400</v>
          </cell>
          <cell r="K6">
            <v>6140</v>
          </cell>
          <cell r="L6">
            <v>0</v>
          </cell>
        </row>
        <row r="7">
          <cell r="J7">
            <v>128150</v>
          </cell>
          <cell r="K7">
            <v>15378</v>
          </cell>
          <cell r="L7">
            <v>8500</v>
          </cell>
        </row>
        <row r="8">
          <cell r="J8">
            <v>96050</v>
          </cell>
          <cell r="K8">
            <v>11526</v>
          </cell>
          <cell r="L8">
            <v>110500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137850</v>
          </cell>
          <cell r="K4">
            <v>16542</v>
          </cell>
          <cell r="L4">
            <v>114750</v>
          </cell>
        </row>
        <row r="5">
          <cell r="J5">
            <v>121900</v>
          </cell>
          <cell r="K5">
            <v>14628</v>
          </cell>
          <cell r="L5">
            <v>170000</v>
          </cell>
        </row>
        <row r="6">
          <cell r="J6">
            <v>41100</v>
          </cell>
          <cell r="K6">
            <v>4110</v>
          </cell>
          <cell r="L6">
            <v>0</v>
          </cell>
        </row>
        <row r="7">
          <cell r="J7">
            <v>83500</v>
          </cell>
          <cell r="K7">
            <v>10020</v>
          </cell>
          <cell r="L7">
            <v>21250</v>
          </cell>
        </row>
        <row r="8">
          <cell r="J8">
            <v>22000</v>
          </cell>
          <cell r="K8">
            <v>2640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71253</v>
          </cell>
        </row>
        <row r="12">
          <cell r="G12">
            <v>35000</v>
          </cell>
        </row>
        <row r="19">
          <cell r="D19">
            <v>495850</v>
          </cell>
          <cell r="E19">
            <v>64460.5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239150</v>
          </cell>
          <cell r="K4">
            <v>31089.5</v>
          </cell>
          <cell r="L4">
            <v>59500</v>
          </cell>
        </row>
        <row r="5">
          <cell r="J5">
            <v>80500</v>
          </cell>
          <cell r="K5">
            <v>10465</v>
          </cell>
          <cell r="L5">
            <v>100000</v>
          </cell>
        </row>
        <row r="6">
          <cell r="J6">
            <v>6950</v>
          </cell>
          <cell r="K6">
            <v>903.5</v>
          </cell>
          <cell r="L6">
            <v>0</v>
          </cell>
        </row>
      </sheetData>
      <sheetData sheetId="12">
        <row r="4">
          <cell r="J4">
            <v>130450</v>
          </cell>
          <cell r="K4">
            <v>16958.5</v>
          </cell>
          <cell r="L4">
            <v>21250</v>
          </cell>
        </row>
        <row r="5">
          <cell r="J5">
            <v>38800</v>
          </cell>
          <cell r="K5">
            <v>5044</v>
          </cell>
          <cell r="L5">
            <v>120000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210000</v>
          </cell>
          <cell r="K4">
            <v>25200</v>
          </cell>
          <cell r="L4">
            <v>72250</v>
          </cell>
        </row>
        <row r="5">
          <cell r="J5">
            <v>155350</v>
          </cell>
          <cell r="K5">
            <v>18642</v>
          </cell>
          <cell r="L5">
            <v>124000</v>
          </cell>
        </row>
        <row r="7">
          <cell r="J7">
            <v>46600</v>
          </cell>
          <cell r="K7">
            <v>5592</v>
          </cell>
          <cell r="L7">
            <v>24000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294700</v>
          </cell>
          <cell r="K4">
            <v>35364</v>
          </cell>
          <cell r="L4">
            <v>259250</v>
          </cell>
        </row>
        <row r="5">
          <cell r="J5">
            <v>210800</v>
          </cell>
          <cell r="K5">
            <v>25296</v>
          </cell>
          <cell r="L5">
            <v>229500</v>
          </cell>
        </row>
        <row r="6">
          <cell r="J6">
            <v>47850</v>
          </cell>
          <cell r="K6">
            <v>4785</v>
          </cell>
          <cell r="L6">
            <v>0</v>
          </cell>
        </row>
        <row r="7">
          <cell r="J7">
            <v>29400</v>
          </cell>
          <cell r="K7">
            <v>3528</v>
          </cell>
          <cell r="L7">
            <v>42500</v>
          </cell>
        </row>
        <row r="8">
          <cell r="J8">
            <v>12100</v>
          </cell>
          <cell r="K8">
            <v>1452</v>
          </cell>
          <cell r="L8">
            <v>8500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19900</v>
          </cell>
          <cell r="K4">
            <v>2388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58350</v>
          </cell>
          <cell r="K4">
            <v>7002</v>
          </cell>
          <cell r="L4">
            <v>17000</v>
          </cell>
        </row>
        <row r="5">
          <cell r="J5">
            <v>77850</v>
          </cell>
          <cell r="K5">
            <v>9342</v>
          </cell>
          <cell r="L5">
            <v>148750</v>
          </cell>
        </row>
        <row r="6">
          <cell r="J6">
            <v>7300</v>
          </cell>
          <cell r="K6">
            <v>730</v>
          </cell>
          <cell r="L6">
            <v>0</v>
          </cell>
        </row>
        <row r="7">
          <cell r="J7">
            <v>49250</v>
          </cell>
          <cell r="K7">
            <v>5910</v>
          </cell>
          <cell r="L7">
            <v>102000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116900</v>
          </cell>
          <cell r="K4">
            <v>14028</v>
          </cell>
          <cell r="L4">
            <v>51000</v>
          </cell>
        </row>
        <row r="5">
          <cell r="J5">
            <v>81050</v>
          </cell>
          <cell r="K5">
            <v>9726</v>
          </cell>
          <cell r="L5">
            <v>132000</v>
          </cell>
        </row>
      </sheetData>
      <sheetData sheetId="21">
        <row r="4">
          <cell r="J4">
            <v>97400</v>
          </cell>
          <cell r="K4">
            <v>14610</v>
          </cell>
          <cell r="L4">
            <v>184000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48550</v>
          </cell>
          <cell r="K4">
            <v>5826</v>
          </cell>
          <cell r="L4">
            <v>21250</v>
          </cell>
        </row>
        <row r="5">
          <cell r="J5">
            <v>10900</v>
          </cell>
          <cell r="K5">
            <v>1308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2800</v>
          </cell>
          <cell r="K7">
            <v>336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461800</v>
          </cell>
          <cell r="K4">
            <v>55416</v>
          </cell>
          <cell r="L4">
            <v>255000</v>
          </cell>
        </row>
        <row r="5">
          <cell r="J5">
            <v>400800</v>
          </cell>
          <cell r="K5">
            <v>48096</v>
          </cell>
          <cell r="L5">
            <v>556750</v>
          </cell>
        </row>
        <row r="6">
          <cell r="J6">
            <v>87500</v>
          </cell>
          <cell r="K6">
            <v>8750</v>
          </cell>
          <cell r="L6">
            <v>30000</v>
          </cell>
        </row>
        <row r="7">
          <cell r="J7">
            <v>88850</v>
          </cell>
          <cell r="K7">
            <v>10662</v>
          </cell>
          <cell r="L7">
            <v>246500</v>
          </cell>
        </row>
        <row r="8">
          <cell r="J8">
            <v>85300</v>
          </cell>
          <cell r="K8">
            <v>10236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142750</v>
          </cell>
          <cell r="K4">
            <v>17130</v>
          </cell>
          <cell r="L4">
            <v>72250</v>
          </cell>
        </row>
        <row r="5">
          <cell r="J5">
            <v>91250</v>
          </cell>
          <cell r="K5">
            <v>10950</v>
          </cell>
          <cell r="L5">
            <v>89250</v>
          </cell>
        </row>
        <row r="6">
          <cell r="J6">
            <v>47000</v>
          </cell>
          <cell r="K6">
            <v>4700</v>
          </cell>
          <cell r="L6">
            <v>0</v>
          </cell>
        </row>
        <row r="7">
          <cell r="J7">
            <v>47050</v>
          </cell>
          <cell r="K7">
            <v>5646</v>
          </cell>
          <cell r="L7">
            <v>8500</v>
          </cell>
        </row>
        <row r="8">
          <cell r="J8">
            <v>12550</v>
          </cell>
          <cell r="K8">
            <v>1506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42828.5</v>
          </cell>
        </row>
        <row r="12">
          <cell r="G12">
            <v>35000</v>
          </cell>
        </row>
        <row r="19">
          <cell r="D19">
            <v>527250</v>
          </cell>
          <cell r="E19">
            <v>68542.5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251450</v>
          </cell>
          <cell r="K4">
            <v>32688.5</v>
          </cell>
          <cell r="L4">
            <v>110500</v>
          </cell>
        </row>
        <row r="5">
          <cell r="J5">
            <v>68650</v>
          </cell>
          <cell r="K5">
            <v>8924.5</v>
          </cell>
          <cell r="L5">
            <v>56000</v>
          </cell>
        </row>
        <row r="6">
          <cell r="J6">
            <v>13000</v>
          </cell>
          <cell r="K6">
            <v>1690</v>
          </cell>
          <cell r="L6">
            <v>20000</v>
          </cell>
        </row>
      </sheetData>
      <sheetData sheetId="12">
        <row r="4">
          <cell r="J4">
            <v>163700</v>
          </cell>
          <cell r="K4">
            <v>21281</v>
          </cell>
          <cell r="L4">
            <v>72250</v>
          </cell>
        </row>
        <row r="5">
          <cell r="J5">
            <v>28450</v>
          </cell>
          <cell r="K5">
            <v>3698.5</v>
          </cell>
          <cell r="L5">
            <v>0</v>
          </cell>
        </row>
        <row r="6">
          <cell r="J6">
            <v>2000</v>
          </cell>
          <cell r="K6">
            <v>260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11800</v>
          </cell>
          <cell r="K4">
            <v>1416</v>
          </cell>
          <cell r="L4">
            <v>0</v>
          </cell>
        </row>
        <row r="5">
          <cell r="J5">
            <v>14200</v>
          </cell>
          <cell r="K5">
            <v>1704</v>
          </cell>
          <cell r="L5">
            <v>0</v>
          </cell>
        </row>
        <row r="7">
          <cell r="J7">
            <v>5950</v>
          </cell>
          <cell r="K7">
            <v>714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442750</v>
          </cell>
          <cell r="K4">
            <v>53130</v>
          </cell>
          <cell r="L4">
            <v>310250</v>
          </cell>
        </row>
        <row r="5">
          <cell r="J5">
            <v>366350</v>
          </cell>
          <cell r="K5">
            <v>43962</v>
          </cell>
          <cell r="L5">
            <v>191250</v>
          </cell>
        </row>
        <row r="6">
          <cell r="J6">
            <v>66100</v>
          </cell>
          <cell r="K6">
            <v>6610</v>
          </cell>
          <cell r="L6">
            <v>0</v>
          </cell>
        </row>
        <row r="7">
          <cell r="J7">
            <v>52350</v>
          </cell>
          <cell r="K7">
            <v>6282</v>
          </cell>
          <cell r="L7">
            <v>93500</v>
          </cell>
        </row>
        <row r="8">
          <cell r="J8">
            <v>13700</v>
          </cell>
          <cell r="K8">
            <v>1644</v>
          </cell>
          <cell r="L8">
            <v>72250</v>
          </cell>
        </row>
        <row r="9">
          <cell r="J9">
            <v>16000</v>
          </cell>
          <cell r="K9">
            <v>1920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28600</v>
          </cell>
          <cell r="K4">
            <v>3432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128900</v>
          </cell>
          <cell r="K4">
            <v>15468</v>
          </cell>
          <cell r="L4">
            <v>93500</v>
          </cell>
        </row>
        <row r="5">
          <cell r="J5">
            <v>106350</v>
          </cell>
          <cell r="K5">
            <v>12762</v>
          </cell>
          <cell r="L5">
            <v>63750</v>
          </cell>
        </row>
        <row r="6">
          <cell r="J6">
            <v>14900</v>
          </cell>
          <cell r="K6">
            <v>1490</v>
          </cell>
          <cell r="L6">
            <v>0</v>
          </cell>
        </row>
        <row r="7">
          <cell r="J7">
            <v>55850</v>
          </cell>
          <cell r="K7">
            <v>6702</v>
          </cell>
          <cell r="L7">
            <v>153000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136350</v>
          </cell>
          <cell r="K4">
            <v>16362</v>
          </cell>
          <cell r="L4">
            <v>161500</v>
          </cell>
        </row>
        <row r="5">
          <cell r="J5">
            <v>98150</v>
          </cell>
          <cell r="K5">
            <v>11778</v>
          </cell>
          <cell r="L5">
            <v>32000</v>
          </cell>
        </row>
      </sheetData>
      <sheetData sheetId="21">
        <row r="4">
          <cell r="J4">
            <v>105750</v>
          </cell>
          <cell r="K4">
            <v>15862.5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65800</v>
          </cell>
          <cell r="K4">
            <v>7896</v>
          </cell>
          <cell r="L4">
            <v>42500</v>
          </cell>
        </row>
        <row r="5">
          <cell r="J5">
            <v>38350</v>
          </cell>
          <cell r="K5">
            <v>4602</v>
          </cell>
          <cell r="L5">
            <v>56000</v>
          </cell>
        </row>
        <row r="6">
          <cell r="J6">
            <v>3600</v>
          </cell>
          <cell r="K6">
            <v>360</v>
          </cell>
          <cell r="L6">
            <v>0</v>
          </cell>
        </row>
        <row r="7">
          <cell r="J7">
            <v>5000</v>
          </cell>
          <cell r="K7">
            <v>600</v>
          </cell>
          <cell r="L7">
            <v>0</v>
          </cell>
        </row>
        <row r="8">
          <cell r="J8">
            <v>250</v>
          </cell>
          <cell r="K8">
            <v>30</v>
          </cell>
          <cell r="L8">
            <v>0</v>
          </cell>
        </row>
      </sheetData>
      <sheetData sheetId="24">
        <row r="4">
          <cell r="J4">
            <v>420000</v>
          </cell>
          <cell r="K4">
            <v>50400</v>
          </cell>
          <cell r="L4">
            <v>208250</v>
          </cell>
        </row>
        <row r="5">
          <cell r="J5">
            <v>486400</v>
          </cell>
          <cell r="K5">
            <v>58368</v>
          </cell>
          <cell r="L5">
            <v>586500</v>
          </cell>
        </row>
        <row r="6">
          <cell r="J6">
            <v>68850</v>
          </cell>
          <cell r="K6">
            <v>6885</v>
          </cell>
          <cell r="L6">
            <v>0</v>
          </cell>
        </row>
        <row r="7">
          <cell r="J7">
            <v>158250</v>
          </cell>
          <cell r="K7">
            <v>18990</v>
          </cell>
          <cell r="L7">
            <v>301750</v>
          </cell>
        </row>
        <row r="8">
          <cell r="J8">
            <v>97450</v>
          </cell>
          <cell r="K8">
            <v>11694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131350</v>
          </cell>
          <cell r="K4">
            <v>15762</v>
          </cell>
          <cell r="L4">
            <v>110500</v>
          </cell>
        </row>
        <row r="5">
          <cell r="J5">
            <v>125900</v>
          </cell>
          <cell r="K5">
            <v>15108</v>
          </cell>
          <cell r="L5">
            <v>51000</v>
          </cell>
        </row>
        <row r="6">
          <cell r="J6">
            <v>48300</v>
          </cell>
          <cell r="K6">
            <v>4830</v>
          </cell>
          <cell r="L6">
            <v>0</v>
          </cell>
        </row>
        <row r="7">
          <cell r="J7">
            <v>85100</v>
          </cell>
          <cell r="K7">
            <v>10212</v>
          </cell>
          <cell r="L7">
            <v>85000</v>
          </cell>
        </row>
        <row r="8">
          <cell r="J8">
            <v>20800</v>
          </cell>
          <cell r="K8">
            <v>2496</v>
          </cell>
          <cell r="L8">
            <v>8500</v>
          </cell>
        </row>
        <row r="10">
          <cell r="J10">
            <v>2750</v>
          </cell>
          <cell r="K10">
            <v>330</v>
          </cell>
          <cell r="L10">
            <v>21250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131480</v>
          </cell>
        </row>
        <row r="12">
          <cell r="G12">
            <v>35000</v>
          </cell>
        </row>
        <row r="19">
          <cell r="D19">
            <v>431850</v>
          </cell>
          <cell r="E19">
            <v>56140.5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182050</v>
          </cell>
          <cell r="K4">
            <v>23666.5</v>
          </cell>
          <cell r="L4">
            <v>80750</v>
          </cell>
        </row>
        <row r="5">
          <cell r="J5">
            <v>54550</v>
          </cell>
          <cell r="K5">
            <v>7091.5</v>
          </cell>
          <cell r="L5">
            <v>0</v>
          </cell>
        </row>
        <row r="6">
          <cell r="J6">
            <v>12450</v>
          </cell>
          <cell r="K6">
            <v>1618.5</v>
          </cell>
          <cell r="L6">
            <v>0</v>
          </cell>
        </row>
      </sheetData>
      <sheetData sheetId="12">
        <row r="4">
          <cell r="J4">
            <v>156600</v>
          </cell>
          <cell r="K4">
            <v>20358</v>
          </cell>
          <cell r="L4">
            <v>114750</v>
          </cell>
        </row>
        <row r="5">
          <cell r="J5">
            <v>26200</v>
          </cell>
          <cell r="K5">
            <v>3406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185650</v>
          </cell>
          <cell r="K4">
            <v>22278</v>
          </cell>
          <cell r="L4">
            <v>46750</v>
          </cell>
        </row>
        <row r="5">
          <cell r="J5">
            <v>160750</v>
          </cell>
          <cell r="K5">
            <v>19290</v>
          </cell>
          <cell r="L5">
            <v>212000</v>
          </cell>
        </row>
        <row r="7">
          <cell r="J7">
            <v>46050</v>
          </cell>
          <cell r="K7">
            <v>5526</v>
          </cell>
          <cell r="L7">
            <v>80000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427550</v>
          </cell>
          <cell r="K4">
            <v>51306</v>
          </cell>
          <cell r="L4">
            <v>280500</v>
          </cell>
        </row>
        <row r="5">
          <cell r="J5">
            <v>265450</v>
          </cell>
          <cell r="K5">
            <v>31854</v>
          </cell>
          <cell r="L5">
            <v>46750</v>
          </cell>
        </row>
        <row r="6">
          <cell r="J6">
            <v>69650</v>
          </cell>
          <cell r="K6">
            <v>6965</v>
          </cell>
          <cell r="L6">
            <v>400000</v>
          </cell>
        </row>
        <row r="7">
          <cell r="J7">
            <v>58700</v>
          </cell>
          <cell r="K7">
            <v>7044</v>
          </cell>
          <cell r="L7">
            <v>42500</v>
          </cell>
        </row>
        <row r="8">
          <cell r="J8">
            <v>20950</v>
          </cell>
          <cell r="K8">
            <v>2514</v>
          </cell>
          <cell r="L8">
            <v>42500</v>
          </cell>
        </row>
        <row r="9">
          <cell r="J9">
            <v>130500</v>
          </cell>
          <cell r="K9">
            <v>15660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10750</v>
          </cell>
          <cell r="K4">
            <v>1290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112400</v>
          </cell>
          <cell r="K4">
            <v>13488</v>
          </cell>
          <cell r="L4">
            <v>182750</v>
          </cell>
        </row>
        <row r="5">
          <cell r="J5">
            <v>67300</v>
          </cell>
          <cell r="K5">
            <v>8076</v>
          </cell>
          <cell r="L5">
            <v>85000</v>
          </cell>
        </row>
        <row r="6">
          <cell r="J6">
            <v>3800</v>
          </cell>
          <cell r="K6">
            <v>380</v>
          </cell>
          <cell r="L6">
            <v>0</v>
          </cell>
        </row>
        <row r="7">
          <cell r="J7">
            <v>60600</v>
          </cell>
          <cell r="K7">
            <v>7272</v>
          </cell>
          <cell r="L7">
            <v>123250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106550</v>
          </cell>
          <cell r="K4">
            <v>12786</v>
          </cell>
          <cell r="L4">
            <v>0</v>
          </cell>
        </row>
        <row r="5">
          <cell r="J5">
            <v>91300</v>
          </cell>
          <cell r="K5">
            <v>10956</v>
          </cell>
          <cell r="L5">
            <v>60000</v>
          </cell>
        </row>
      </sheetData>
      <sheetData sheetId="21">
        <row r="4">
          <cell r="J4">
            <v>118200</v>
          </cell>
          <cell r="K4">
            <v>17730</v>
          </cell>
          <cell r="L4">
            <v>456000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55450</v>
          </cell>
          <cell r="K4">
            <v>6654</v>
          </cell>
          <cell r="L4">
            <v>59500</v>
          </cell>
        </row>
        <row r="5">
          <cell r="J5">
            <v>18750</v>
          </cell>
          <cell r="K5">
            <v>2250</v>
          </cell>
          <cell r="L5">
            <v>40000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456600</v>
          </cell>
          <cell r="K4">
            <v>54792</v>
          </cell>
          <cell r="L4">
            <v>739500</v>
          </cell>
        </row>
        <row r="5">
          <cell r="J5">
            <v>491050</v>
          </cell>
          <cell r="K5">
            <v>58926</v>
          </cell>
          <cell r="L5">
            <v>195500</v>
          </cell>
        </row>
        <row r="6">
          <cell r="J6">
            <v>66400</v>
          </cell>
          <cell r="K6">
            <v>6640</v>
          </cell>
          <cell r="L6">
            <v>70000</v>
          </cell>
        </row>
        <row r="7">
          <cell r="J7">
            <v>112350</v>
          </cell>
          <cell r="K7">
            <v>13482</v>
          </cell>
          <cell r="L7">
            <v>153000</v>
          </cell>
        </row>
        <row r="8">
          <cell r="J8">
            <v>93500</v>
          </cell>
          <cell r="K8">
            <v>11220</v>
          </cell>
          <cell r="L8">
            <v>153000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165950</v>
          </cell>
          <cell r="K4">
            <v>19914</v>
          </cell>
          <cell r="L4">
            <v>259250</v>
          </cell>
        </row>
        <row r="5">
          <cell r="J5">
            <v>123200</v>
          </cell>
          <cell r="K5">
            <v>14784</v>
          </cell>
          <cell r="L5">
            <v>136000</v>
          </cell>
        </row>
        <row r="6">
          <cell r="J6">
            <v>53650</v>
          </cell>
          <cell r="K6">
            <v>5365</v>
          </cell>
          <cell r="L6">
            <v>0</v>
          </cell>
        </row>
        <row r="7">
          <cell r="J7">
            <v>105500</v>
          </cell>
          <cell r="K7">
            <v>12660</v>
          </cell>
          <cell r="L7">
            <v>97750</v>
          </cell>
        </row>
        <row r="8">
          <cell r="J8">
            <v>18100</v>
          </cell>
          <cell r="K8">
            <v>2172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3000</v>
          </cell>
          <cell r="C6">
            <v>350</v>
          </cell>
          <cell r="D6">
            <v>0</v>
          </cell>
          <cell r="F6">
            <v>2650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83690.5</v>
          </cell>
        </row>
        <row r="12">
          <cell r="G12">
            <v>35000</v>
          </cell>
        </row>
        <row r="19">
          <cell r="D19">
            <v>407800</v>
          </cell>
          <cell r="E19">
            <v>53014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170050</v>
          </cell>
          <cell r="K4">
            <v>22106.5</v>
          </cell>
          <cell r="L4">
            <v>153000</v>
          </cell>
        </row>
        <row r="5">
          <cell r="J5">
            <v>61850</v>
          </cell>
          <cell r="K5">
            <v>8040.5</v>
          </cell>
          <cell r="L5">
            <v>16000</v>
          </cell>
        </row>
        <row r="6">
          <cell r="J6">
            <v>10550</v>
          </cell>
          <cell r="K6">
            <v>1371.5</v>
          </cell>
          <cell r="L6">
            <v>0</v>
          </cell>
        </row>
      </sheetData>
      <sheetData sheetId="12">
        <row r="4">
          <cell r="J4">
            <v>148400</v>
          </cell>
          <cell r="K4">
            <v>19292</v>
          </cell>
          <cell r="L4">
            <v>59500</v>
          </cell>
        </row>
        <row r="5">
          <cell r="J5">
            <v>15450</v>
          </cell>
          <cell r="K5">
            <v>2008.5</v>
          </cell>
          <cell r="L5">
            <v>0</v>
          </cell>
        </row>
        <row r="6">
          <cell r="J6">
            <v>1500</v>
          </cell>
          <cell r="K6">
            <v>195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203300</v>
          </cell>
          <cell r="K4">
            <v>24396</v>
          </cell>
          <cell r="L4">
            <v>187000</v>
          </cell>
        </row>
        <row r="5">
          <cell r="J5">
            <v>158850</v>
          </cell>
          <cell r="K5">
            <v>19062</v>
          </cell>
          <cell r="L5">
            <v>8000</v>
          </cell>
        </row>
        <row r="7">
          <cell r="J7">
            <v>50050</v>
          </cell>
          <cell r="K7">
            <v>6006</v>
          </cell>
          <cell r="L7">
            <v>32000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537650</v>
          </cell>
          <cell r="K4">
            <v>64518</v>
          </cell>
          <cell r="L4">
            <v>446250</v>
          </cell>
        </row>
        <row r="5">
          <cell r="J5">
            <v>318350</v>
          </cell>
          <cell r="K5">
            <v>38202</v>
          </cell>
          <cell r="L5">
            <v>263500</v>
          </cell>
        </row>
        <row r="6">
          <cell r="J6">
            <v>58800</v>
          </cell>
          <cell r="K6">
            <v>5880</v>
          </cell>
          <cell r="L6">
            <v>200000</v>
          </cell>
        </row>
        <row r="7">
          <cell r="J7">
            <v>30550</v>
          </cell>
          <cell r="K7">
            <v>3666</v>
          </cell>
          <cell r="L7">
            <v>17000</v>
          </cell>
        </row>
        <row r="8">
          <cell r="J8">
            <v>48400</v>
          </cell>
          <cell r="K8">
            <v>5808</v>
          </cell>
          <cell r="L8">
            <v>12750</v>
          </cell>
        </row>
        <row r="9">
          <cell r="J9">
            <v>107000</v>
          </cell>
          <cell r="K9">
            <v>12840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21500</v>
          </cell>
          <cell r="K4">
            <v>2580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153050</v>
          </cell>
          <cell r="K4">
            <v>18366</v>
          </cell>
          <cell r="L4">
            <v>89250</v>
          </cell>
        </row>
        <row r="5">
          <cell r="J5">
            <v>103700</v>
          </cell>
          <cell r="K5">
            <v>12444</v>
          </cell>
          <cell r="L5">
            <v>76500</v>
          </cell>
        </row>
        <row r="6">
          <cell r="J6">
            <v>3050</v>
          </cell>
          <cell r="K6">
            <v>305</v>
          </cell>
          <cell r="L6">
            <v>0</v>
          </cell>
        </row>
        <row r="7">
          <cell r="J7">
            <v>52700</v>
          </cell>
          <cell r="K7">
            <v>6324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122400</v>
          </cell>
          <cell r="K4">
            <v>14688</v>
          </cell>
          <cell r="L4">
            <v>0</v>
          </cell>
        </row>
        <row r="5">
          <cell r="J5">
            <v>43850</v>
          </cell>
          <cell r="K5">
            <v>5262</v>
          </cell>
          <cell r="L5">
            <v>0</v>
          </cell>
        </row>
      </sheetData>
      <sheetData sheetId="21">
        <row r="4">
          <cell r="J4">
            <v>140750</v>
          </cell>
          <cell r="K4">
            <v>21112.5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54550</v>
          </cell>
          <cell r="K4">
            <v>6546</v>
          </cell>
          <cell r="L4">
            <v>276250</v>
          </cell>
        </row>
        <row r="5">
          <cell r="J5">
            <v>36000</v>
          </cell>
          <cell r="K5">
            <v>4320</v>
          </cell>
          <cell r="L5">
            <v>0</v>
          </cell>
        </row>
        <row r="6">
          <cell r="J6">
            <v>1100</v>
          </cell>
          <cell r="K6">
            <v>110</v>
          </cell>
          <cell r="L6">
            <v>0</v>
          </cell>
        </row>
        <row r="7">
          <cell r="J7">
            <v>1600</v>
          </cell>
          <cell r="K7">
            <v>192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447450</v>
          </cell>
          <cell r="K4">
            <v>53694</v>
          </cell>
          <cell r="L4">
            <v>327250</v>
          </cell>
        </row>
        <row r="5">
          <cell r="J5">
            <v>475250</v>
          </cell>
          <cell r="K5">
            <v>57030</v>
          </cell>
          <cell r="L5">
            <v>399500</v>
          </cell>
        </row>
        <row r="6">
          <cell r="J6">
            <v>86400</v>
          </cell>
          <cell r="K6">
            <v>8640</v>
          </cell>
          <cell r="L6">
            <v>200000</v>
          </cell>
        </row>
        <row r="7">
          <cell r="J7">
            <v>123550</v>
          </cell>
          <cell r="K7">
            <v>14826</v>
          </cell>
          <cell r="L7">
            <v>51000</v>
          </cell>
        </row>
        <row r="8">
          <cell r="J8">
            <v>68650</v>
          </cell>
          <cell r="K8">
            <v>8238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210500</v>
          </cell>
          <cell r="K4">
            <v>25260</v>
          </cell>
          <cell r="L4">
            <v>544000</v>
          </cell>
        </row>
        <row r="5">
          <cell r="J5">
            <v>122750</v>
          </cell>
          <cell r="K5">
            <v>14730</v>
          </cell>
          <cell r="L5">
            <v>110500</v>
          </cell>
        </row>
        <row r="6">
          <cell r="J6">
            <v>68800</v>
          </cell>
          <cell r="K6">
            <v>6880</v>
          </cell>
          <cell r="L6">
            <v>20000</v>
          </cell>
        </row>
        <row r="7">
          <cell r="J7">
            <v>88650</v>
          </cell>
          <cell r="K7">
            <v>10638</v>
          </cell>
          <cell r="L7">
            <v>76500</v>
          </cell>
        </row>
        <row r="8">
          <cell r="J8">
            <v>15000</v>
          </cell>
          <cell r="K8">
            <v>1800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110536</v>
          </cell>
        </row>
        <row r="12">
          <cell r="G12">
            <v>20000</v>
          </cell>
        </row>
        <row r="19">
          <cell r="D19">
            <v>507600</v>
          </cell>
          <cell r="E19">
            <v>65988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215550</v>
          </cell>
          <cell r="K4">
            <v>28021.5</v>
          </cell>
          <cell r="L4">
            <v>267750</v>
          </cell>
        </row>
        <row r="5">
          <cell r="J5">
            <v>92050</v>
          </cell>
          <cell r="K5">
            <v>11966.5</v>
          </cell>
          <cell r="L5">
            <v>16000</v>
          </cell>
        </row>
        <row r="6">
          <cell r="J6">
            <v>13500</v>
          </cell>
          <cell r="K6">
            <v>1755</v>
          </cell>
          <cell r="L6">
            <v>48000</v>
          </cell>
        </row>
      </sheetData>
      <sheetData sheetId="12">
        <row r="4">
          <cell r="J4">
            <v>147100</v>
          </cell>
          <cell r="K4">
            <v>19123</v>
          </cell>
          <cell r="L4">
            <v>170000</v>
          </cell>
        </row>
        <row r="5">
          <cell r="J5">
            <v>33850</v>
          </cell>
          <cell r="K5">
            <v>4400.5</v>
          </cell>
          <cell r="L5">
            <v>0</v>
          </cell>
        </row>
        <row r="6">
          <cell r="J6">
            <v>5550</v>
          </cell>
          <cell r="K6">
            <v>721.5</v>
          </cell>
          <cell r="L6">
            <v>8000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207400</v>
          </cell>
          <cell r="K4">
            <v>24888</v>
          </cell>
          <cell r="L4">
            <v>85000</v>
          </cell>
        </row>
        <row r="5">
          <cell r="J5">
            <v>201650</v>
          </cell>
          <cell r="K5">
            <v>24198</v>
          </cell>
          <cell r="L5">
            <v>368000</v>
          </cell>
        </row>
        <row r="7">
          <cell r="J7">
            <v>36150</v>
          </cell>
          <cell r="K7">
            <v>4338</v>
          </cell>
          <cell r="L7">
            <v>104000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490000</v>
          </cell>
          <cell r="K4">
            <v>58800</v>
          </cell>
          <cell r="L4">
            <v>208250</v>
          </cell>
        </row>
        <row r="5">
          <cell r="J5">
            <v>526950</v>
          </cell>
          <cell r="K5">
            <v>63234</v>
          </cell>
          <cell r="L5">
            <v>284750</v>
          </cell>
        </row>
        <row r="6">
          <cell r="J6">
            <v>71050</v>
          </cell>
          <cell r="K6">
            <v>7105</v>
          </cell>
          <cell r="L6">
            <v>0</v>
          </cell>
        </row>
        <row r="7">
          <cell r="J7">
            <v>62150</v>
          </cell>
          <cell r="K7">
            <v>7458</v>
          </cell>
          <cell r="L7">
            <v>106250</v>
          </cell>
        </row>
        <row r="8">
          <cell r="J8">
            <v>54600</v>
          </cell>
          <cell r="K8">
            <v>6552</v>
          </cell>
          <cell r="L8">
            <v>0</v>
          </cell>
        </row>
        <row r="9">
          <cell r="J9">
            <v>56000</v>
          </cell>
          <cell r="K9">
            <v>6720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11000</v>
          </cell>
          <cell r="K4">
            <v>1320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89850</v>
          </cell>
          <cell r="K4">
            <v>10782</v>
          </cell>
          <cell r="L4">
            <v>25500</v>
          </cell>
        </row>
        <row r="5">
          <cell r="J5">
            <v>89700</v>
          </cell>
          <cell r="K5">
            <v>10764</v>
          </cell>
          <cell r="L5">
            <v>136000</v>
          </cell>
        </row>
        <row r="6">
          <cell r="J6">
            <v>13100</v>
          </cell>
          <cell r="K6">
            <v>1310</v>
          </cell>
          <cell r="L6">
            <v>0</v>
          </cell>
        </row>
        <row r="7">
          <cell r="J7">
            <v>59850</v>
          </cell>
          <cell r="K7">
            <v>7182</v>
          </cell>
          <cell r="L7">
            <v>29750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102700</v>
          </cell>
          <cell r="K4">
            <v>12324</v>
          </cell>
          <cell r="L4">
            <v>34000</v>
          </cell>
        </row>
        <row r="5">
          <cell r="J5">
            <v>47250</v>
          </cell>
          <cell r="K5">
            <v>5670</v>
          </cell>
          <cell r="L5">
            <v>36000</v>
          </cell>
        </row>
      </sheetData>
      <sheetData sheetId="21">
        <row r="4">
          <cell r="J4">
            <v>96300</v>
          </cell>
          <cell r="K4">
            <v>14445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60600</v>
          </cell>
          <cell r="K4">
            <v>7272</v>
          </cell>
          <cell r="L4">
            <v>233750</v>
          </cell>
        </row>
        <row r="5">
          <cell r="J5">
            <v>22200</v>
          </cell>
          <cell r="K5">
            <v>2664</v>
          </cell>
          <cell r="L5">
            <v>0</v>
          </cell>
        </row>
        <row r="6">
          <cell r="J6">
            <v>700</v>
          </cell>
          <cell r="K6">
            <v>70</v>
          </cell>
          <cell r="L6">
            <v>0</v>
          </cell>
        </row>
        <row r="7">
          <cell r="J7">
            <v>2500</v>
          </cell>
          <cell r="K7">
            <v>300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448950</v>
          </cell>
          <cell r="K4">
            <v>53874</v>
          </cell>
          <cell r="L4">
            <v>535500</v>
          </cell>
        </row>
        <row r="5">
          <cell r="J5">
            <v>512100</v>
          </cell>
          <cell r="K5">
            <v>61452</v>
          </cell>
          <cell r="L5">
            <v>310250</v>
          </cell>
        </row>
        <row r="6">
          <cell r="J6">
            <v>79950</v>
          </cell>
          <cell r="K6">
            <v>7995</v>
          </cell>
          <cell r="L6">
            <v>240000</v>
          </cell>
        </row>
        <row r="7">
          <cell r="J7">
            <v>166100</v>
          </cell>
          <cell r="K7">
            <v>19932</v>
          </cell>
          <cell r="L7">
            <v>255000</v>
          </cell>
        </row>
        <row r="8">
          <cell r="J8">
            <v>95050</v>
          </cell>
          <cell r="K8">
            <v>11406</v>
          </cell>
          <cell r="L8">
            <v>127500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171950</v>
          </cell>
          <cell r="K4">
            <v>20634</v>
          </cell>
          <cell r="L4">
            <v>131750</v>
          </cell>
        </row>
        <row r="5">
          <cell r="J5">
            <v>200000</v>
          </cell>
          <cell r="K5">
            <v>24000</v>
          </cell>
          <cell r="L5">
            <v>85000</v>
          </cell>
        </row>
        <row r="6">
          <cell r="J6">
            <v>54800</v>
          </cell>
          <cell r="K6">
            <v>5480</v>
          </cell>
          <cell r="L6">
            <v>140000</v>
          </cell>
        </row>
        <row r="7">
          <cell r="J7">
            <v>76900</v>
          </cell>
          <cell r="K7">
            <v>9228</v>
          </cell>
          <cell r="L7">
            <v>123250</v>
          </cell>
        </row>
        <row r="8">
          <cell r="J8">
            <v>16700</v>
          </cell>
          <cell r="K8">
            <v>2004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8750</v>
          </cell>
          <cell r="C6">
            <v>1050</v>
          </cell>
          <cell r="D6">
            <v>0</v>
          </cell>
          <cell r="F6">
            <v>7700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85522</v>
          </cell>
        </row>
        <row r="12">
          <cell r="G12">
            <v>0</v>
          </cell>
        </row>
        <row r="19">
          <cell r="D19">
            <v>531800</v>
          </cell>
          <cell r="E19">
            <v>69134</v>
          </cell>
          <cell r="F19">
            <v>30000</v>
          </cell>
        </row>
        <row r="22">
          <cell r="G22">
            <v>111314</v>
          </cell>
        </row>
      </sheetData>
      <sheetData sheetId="10"/>
      <sheetData sheetId="11">
        <row r="4">
          <cell r="J4">
            <v>276050</v>
          </cell>
          <cell r="K4">
            <v>35886.5</v>
          </cell>
          <cell r="L4">
            <v>497250</v>
          </cell>
        </row>
        <row r="5">
          <cell r="J5">
            <v>56650</v>
          </cell>
          <cell r="K5">
            <v>7364.5</v>
          </cell>
          <cell r="L5">
            <v>0</v>
          </cell>
        </row>
        <row r="6">
          <cell r="J6">
            <v>11500</v>
          </cell>
          <cell r="K6">
            <v>1495</v>
          </cell>
          <cell r="L6">
            <v>0</v>
          </cell>
        </row>
      </sheetData>
      <sheetData sheetId="12">
        <row r="4">
          <cell r="J4">
            <v>160250</v>
          </cell>
          <cell r="K4">
            <v>20832.5</v>
          </cell>
          <cell r="L4">
            <v>38250</v>
          </cell>
        </row>
        <row r="5">
          <cell r="J5">
            <v>21350</v>
          </cell>
          <cell r="K5">
            <v>2775.5</v>
          </cell>
          <cell r="L5">
            <v>0</v>
          </cell>
        </row>
        <row r="6">
          <cell r="J6">
            <v>6000</v>
          </cell>
          <cell r="K6">
            <v>780</v>
          </cell>
          <cell r="L6">
            <v>16000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150000</v>
          </cell>
          <cell r="K4">
            <v>18000</v>
          </cell>
          <cell r="L4">
            <v>89250</v>
          </cell>
        </row>
        <row r="5">
          <cell r="J5">
            <v>152600</v>
          </cell>
          <cell r="K5">
            <v>18312</v>
          </cell>
          <cell r="L5">
            <v>88000</v>
          </cell>
        </row>
        <row r="7">
          <cell r="J7">
            <v>34200</v>
          </cell>
          <cell r="K7">
            <v>4104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561400</v>
          </cell>
          <cell r="K4">
            <v>67368</v>
          </cell>
          <cell r="L4">
            <v>454750</v>
          </cell>
        </row>
        <row r="5">
          <cell r="J5">
            <v>543650</v>
          </cell>
          <cell r="K5">
            <v>65238</v>
          </cell>
          <cell r="L5">
            <v>412250</v>
          </cell>
        </row>
        <row r="6">
          <cell r="J6">
            <v>63650</v>
          </cell>
          <cell r="K6">
            <v>6365</v>
          </cell>
          <cell r="L6">
            <v>70000</v>
          </cell>
        </row>
        <row r="7">
          <cell r="J7">
            <v>127150</v>
          </cell>
          <cell r="K7">
            <v>15258</v>
          </cell>
          <cell r="L7">
            <v>85000</v>
          </cell>
        </row>
        <row r="8">
          <cell r="J8">
            <v>170300</v>
          </cell>
          <cell r="K8">
            <v>20436</v>
          </cell>
          <cell r="L8">
            <v>314500</v>
          </cell>
        </row>
        <row r="9">
          <cell r="J9">
            <v>114700</v>
          </cell>
          <cell r="K9">
            <v>13764</v>
          </cell>
          <cell r="L9">
            <v>170000</v>
          </cell>
        </row>
        <row r="10">
          <cell r="J10">
            <v>2200</v>
          </cell>
          <cell r="K10">
            <v>264</v>
          </cell>
          <cell r="L10">
            <v>0</v>
          </cell>
        </row>
      </sheetData>
      <sheetData sheetId="18">
        <row r="4">
          <cell r="J4">
            <v>39700</v>
          </cell>
          <cell r="K4">
            <v>4764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54200</v>
          </cell>
          <cell r="K4">
            <v>6504</v>
          </cell>
          <cell r="L4">
            <v>17000</v>
          </cell>
        </row>
        <row r="5">
          <cell r="J5">
            <v>50650</v>
          </cell>
          <cell r="K5">
            <v>6078</v>
          </cell>
          <cell r="L5">
            <v>0</v>
          </cell>
        </row>
        <row r="6">
          <cell r="J6">
            <v>1600</v>
          </cell>
          <cell r="K6">
            <v>160</v>
          </cell>
          <cell r="L6">
            <v>0</v>
          </cell>
        </row>
        <row r="7">
          <cell r="J7">
            <v>33600</v>
          </cell>
          <cell r="K7">
            <v>4032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137050</v>
          </cell>
          <cell r="K4">
            <v>16446</v>
          </cell>
          <cell r="L4">
            <v>38250</v>
          </cell>
        </row>
        <row r="5">
          <cell r="J5">
            <v>72000</v>
          </cell>
          <cell r="K5">
            <v>8640</v>
          </cell>
          <cell r="L5">
            <v>20000</v>
          </cell>
        </row>
      </sheetData>
      <sheetData sheetId="21">
        <row r="4">
          <cell r="J4">
            <v>86550</v>
          </cell>
          <cell r="K4">
            <v>12982.5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96550</v>
          </cell>
          <cell r="K4">
            <v>11586</v>
          </cell>
          <cell r="L4">
            <v>85000</v>
          </cell>
        </row>
        <row r="5">
          <cell r="J5">
            <v>11100</v>
          </cell>
          <cell r="K5">
            <v>1332</v>
          </cell>
          <cell r="L5">
            <v>0</v>
          </cell>
        </row>
        <row r="6">
          <cell r="J6">
            <v>9000</v>
          </cell>
          <cell r="K6">
            <v>900</v>
          </cell>
          <cell r="L6">
            <v>0</v>
          </cell>
        </row>
        <row r="7">
          <cell r="J7">
            <v>5000</v>
          </cell>
          <cell r="K7">
            <v>600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554450</v>
          </cell>
          <cell r="K4">
            <v>66534</v>
          </cell>
          <cell r="L4">
            <v>786250</v>
          </cell>
        </row>
        <row r="5">
          <cell r="J5">
            <v>476300</v>
          </cell>
          <cell r="K5">
            <v>57156</v>
          </cell>
          <cell r="L5">
            <v>391000</v>
          </cell>
        </row>
        <row r="6">
          <cell r="J6">
            <v>94050</v>
          </cell>
          <cell r="K6">
            <v>9405</v>
          </cell>
          <cell r="L6">
            <v>310000</v>
          </cell>
        </row>
        <row r="7">
          <cell r="J7">
            <v>163400</v>
          </cell>
          <cell r="K7">
            <v>19608</v>
          </cell>
          <cell r="L7">
            <v>0</v>
          </cell>
        </row>
        <row r="8">
          <cell r="J8">
            <v>95700</v>
          </cell>
          <cell r="K8">
            <v>11484</v>
          </cell>
          <cell r="L8">
            <v>110500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184050</v>
          </cell>
          <cell r="K4">
            <v>22086</v>
          </cell>
          <cell r="L4">
            <v>225250</v>
          </cell>
        </row>
        <row r="5">
          <cell r="J5">
            <v>139100</v>
          </cell>
          <cell r="K5">
            <v>16692</v>
          </cell>
          <cell r="L5">
            <v>110500</v>
          </cell>
        </row>
        <row r="6">
          <cell r="J6">
            <v>66000</v>
          </cell>
          <cell r="K6">
            <v>6600</v>
          </cell>
          <cell r="L6">
            <v>0</v>
          </cell>
        </row>
        <row r="7">
          <cell r="J7">
            <v>80150</v>
          </cell>
          <cell r="K7">
            <v>9618</v>
          </cell>
          <cell r="L7">
            <v>97750</v>
          </cell>
        </row>
        <row r="8">
          <cell r="J8">
            <v>14000</v>
          </cell>
          <cell r="K8">
            <v>1680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108544</v>
          </cell>
        </row>
        <row r="12">
          <cell r="G12">
            <v>35000</v>
          </cell>
        </row>
        <row r="19">
          <cell r="D19">
            <v>395550</v>
          </cell>
          <cell r="E19">
            <v>51421.5</v>
          </cell>
          <cell r="F19">
            <v>30000</v>
          </cell>
        </row>
        <row r="22">
          <cell r="G22">
            <v>-17600</v>
          </cell>
        </row>
      </sheetData>
      <sheetData sheetId="10"/>
      <sheetData sheetId="11">
        <row r="4">
          <cell r="J4">
            <v>153650</v>
          </cell>
          <cell r="K4">
            <v>19974.5</v>
          </cell>
          <cell r="L4">
            <v>612000</v>
          </cell>
        </row>
        <row r="5">
          <cell r="J5">
            <v>59550</v>
          </cell>
          <cell r="K5">
            <v>7741.5</v>
          </cell>
          <cell r="L5">
            <v>0</v>
          </cell>
        </row>
        <row r="6">
          <cell r="J6">
            <v>5250</v>
          </cell>
          <cell r="K6">
            <v>682.5</v>
          </cell>
          <cell r="L6">
            <v>8000</v>
          </cell>
        </row>
      </sheetData>
      <sheetData sheetId="12">
        <row r="4">
          <cell r="J4">
            <v>162800</v>
          </cell>
          <cell r="K4">
            <v>21164</v>
          </cell>
          <cell r="L4">
            <v>229500</v>
          </cell>
        </row>
        <row r="5">
          <cell r="J5">
            <v>14300</v>
          </cell>
          <cell r="K5">
            <v>1859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140650</v>
          </cell>
          <cell r="K4">
            <v>16878</v>
          </cell>
          <cell r="L4">
            <v>250750</v>
          </cell>
        </row>
        <row r="5">
          <cell r="J5">
            <v>113950</v>
          </cell>
          <cell r="K5">
            <v>13674</v>
          </cell>
          <cell r="L5">
            <v>0</v>
          </cell>
        </row>
        <row r="7">
          <cell r="J7">
            <v>22150</v>
          </cell>
          <cell r="K7">
            <v>2658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576850</v>
          </cell>
          <cell r="K4">
            <v>69222</v>
          </cell>
          <cell r="L4">
            <v>658750</v>
          </cell>
        </row>
        <row r="5">
          <cell r="J5">
            <v>317250</v>
          </cell>
          <cell r="K5">
            <v>38070</v>
          </cell>
          <cell r="L5">
            <v>357000</v>
          </cell>
        </row>
        <row r="6">
          <cell r="J6">
            <v>60800</v>
          </cell>
          <cell r="K6">
            <v>6080</v>
          </cell>
          <cell r="L6">
            <v>20000</v>
          </cell>
        </row>
        <row r="7">
          <cell r="J7">
            <v>92450</v>
          </cell>
          <cell r="K7">
            <v>11094</v>
          </cell>
          <cell r="L7">
            <v>0</v>
          </cell>
        </row>
        <row r="8">
          <cell r="J8">
            <v>107850</v>
          </cell>
          <cell r="K8">
            <v>12942</v>
          </cell>
          <cell r="L8">
            <v>0</v>
          </cell>
        </row>
        <row r="9">
          <cell r="J9">
            <v>102250</v>
          </cell>
          <cell r="K9">
            <v>12270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17000</v>
          </cell>
          <cell r="K4">
            <v>2040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54250</v>
          </cell>
          <cell r="K4">
            <v>6510</v>
          </cell>
          <cell r="L4">
            <v>25500</v>
          </cell>
        </row>
        <row r="5">
          <cell r="J5">
            <v>68850</v>
          </cell>
          <cell r="K5">
            <v>8262</v>
          </cell>
          <cell r="L5">
            <v>17000</v>
          </cell>
        </row>
        <row r="6">
          <cell r="J6">
            <v>400</v>
          </cell>
          <cell r="K6">
            <v>40</v>
          </cell>
          <cell r="L6">
            <v>0</v>
          </cell>
        </row>
        <row r="7">
          <cell r="J7">
            <v>61500</v>
          </cell>
          <cell r="K7">
            <v>7380</v>
          </cell>
          <cell r="L7">
            <v>51000</v>
          </cell>
        </row>
        <row r="8">
          <cell r="J8">
            <v>2850</v>
          </cell>
          <cell r="K8">
            <v>342</v>
          </cell>
          <cell r="L8">
            <v>0</v>
          </cell>
        </row>
      </sheetData>
      <sheetData sheetId="20">
        <row r="4">
          <cell r="J4">
            <v>64600</v>
          </cell>
          <cell r="K4">
            <v>7752</v>
          </cell>
          <cell r="L4">
            <v>106250</v>
          </cell>
        </row>
        <row r="5">
          <cell r="J5">
            <v>48700</v>
          </cell>
          <cell r="K5">
            <v>5844</v>
          </cell>
          <cell r="L5">
            <v>0</v>
          </cell>
        </row>
      </sheetData>
      <sheetData sheetId="21">
        <row r="4">
          <cell r="J4">
            <v>96100</v>
          </cell>
          <cell r="K4">
            <v>14415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36550</v>
          </cell>
          <cell r="K4">
            <v>4386</v>
          </cell>
          <cell r="L4">
            <v>42500</v>
          </cell>
        </row>
        <row r="5">
          <cell r="J5">
            <v>22150</v>
          </cell>
          <cell r="K5">
            <v>2658</v>
          </cell>
          <cell r="L5">
            <v>8000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2400</v>
          </cell>
          <cell r="K7">
            <v>288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411100</v>
          </cell>
          <cell r="K4">
            <v>49332</v>
          </cell>
          <cell r="L4">
            <v>709750</v>
          </cell>
        </row>
        <row r="5">
          <cell r="J5">
            <v>431650</v>
          </cell>
          <cell r="K5">
            <v>51798</v>
          </cell>
          <cell r="L5">
            <v>233750</v>
          </cell>
        </row>
        <row r="6">
          <cell r="J6">
            <v>68300</v>
          </cell>
          <cell r="K6">
            <v>6830</v>
          </cell>
          <cell r="L6">
            <v>630000</v>
          </cell>
        </row>
        <row r="7">
          <cell r="J7">
            <v>131600</v>
          </cell>
          <cell r="K7">
            <v>15792</v>
          </cell>
          <cell r="L7">
            <v>59500</v>
          </cell>
        </row>
        <row r="8">
          <cell r="J8">
            <v>66400</v>
          </cell>
          <cell r="K8">
            <v>7968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135700</v>
          </cell>
          <cell r="K4">
            <v>16284</v>
          </cell>
          <cell r="L4">
            <v>144500</v>
          </cell>
        </row>
        <row r="5">
          <cell r="J5">
            <v>94750</v>
          </cell>
          <cell r="K5">
            <v>11370</v>
          </cell>
          <cell r="L5">
            <v>51000</v>
          </cell>
        </row>
        <row r="6">
          <cell r="J6">
            <v>41300</v>
          </cell>
          <cell r="K6">
            <v>4130</v>
          </cell>
          <cell r="L6">
            <v>70000</v>
          </cell>
        </row>
        <row r="7">
          <cell r="J7">
            <v>74800</v>
          </cell>
          <cell r="K7">
            <v>8976</v>
          </cell>
          <cell r="L7">
            <v>46750</v>
          </cell>
        </row>
        <row r="8">
          <cell r="J8">
            <v>23900</v>
          </cell>
          <cell r="K8">
            <v>2868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  <sheetName val="DIA 17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136937</v>
          </cell>
        </row>
        <row r="12">
          <cell r="G12">
            <v>35000</v>
          </cell>
        </row>
        <row r="19">
          <cell r="D19">
            <v>441000</v>
          </cell>
          <cell r="E19">
            <v>57330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191950</v>
          </cell>
          <cell r="K4">
            <v>24953.5</v>
          </cell>
          <cell r="L4">
            <v>170000</v>
          </cell>
        </row>
        <row r="5">
          <cell r="J5">
            <v>49800</v>
          </cell>
          <cell r="K5">
            <v>6474</v>
          </cell>
          <cell r="L5">
            <v>8000</v>
          </cell>
        </row>
        <row r="6">
          <cell r="J6">
            <v>11500</v>
          </cell>
          <cell r="K6">
            <v>1495</v>
          </cell>
          <cell r="L6">
            <v>0</v>
          </cell>
        </row>
      </sheetData>
      <sheetData sheetId="12">
        <row r="4">
          <cell r="J4">
            <v>155400</v>
          </cell>
          <cell r="K4">
            <v>20202</v>
          </cell>
          <cell r="L4">
            <v>21250</v>
          </cell>
        </row>
        <row r="5">
          <cell r="J5">
            <v>30650</v>
          </cell>
          <cell r="K5">
            <v>3984.5</v>
          </cell>
          <cell r="L5">
            <v>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148500</v>
          </cell>
          <cell r="K4">
            <v>17820</v>
          </cell>
          <cell r="L4">
            <v>161500</v>
          </cell>
        </row>
        <row r="5">
          <cell r="J5">
            <v>143200</v>
          </cell>
          <cell r="K5">
            <v>17184</v>
          </cell>
          <cell r="L5">
            <v>44000</v>
          </cell>
        </row>
        <row r="7">
          <cell r="J7">
            <v>47700</v>
          </cell>
          <cell r="K7">
            <v>5724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526100</v>
          </cell>
          <cell r="K4">
            <v>63132</v>
          </cell>
          <cell r="L4">
            <v>612000</v>
          </cell>
        </row>
        <row r="5">
          <cell r="J5">
            <v>409000</v>
          </cell>
          <cell r="K5">
            <v>49080</v>
          </cell>
          <cell r="L5">
            <v>85000</v>
          </cell>
        </row>
        <row r="6">
          <cell r="J6">
            <v>73900</v>
          </cell>
          <cell r="K6">
            <v>7390</v>
          </cell>
          <cell r="L6">
            <v>350000</v>
          </cell>
        </row>
        <row r="7">
          <cell r="J7">
            <v>139100</v>
          </cell>
          <cell r="K7">
            <v>16692</v>
          </cell>
          <cell r="L7">
            <v>38250</v>
          </cell>
        </row>
        <row r="8">
          <cell r="J8">
            <v>86200</v>
          </cell>
          <cell r="K8">
            <v>10344</v>
          </cell>
          <cell r="L8">
            <v>17000</v>
          </cell>
        </row>
        <row r="9">
          <cell r="J9">
            <v>114250</v>
          </cell>
          <cell r="K9">
            <v>13710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79500</v>
          </cell>
          <cell r="K4">
            <v>9540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128100</v>
          </cell>
          <cell r="K4">
            <v>15372</v>
          </cell>
          <cell r="L4">
            <v>97750</v>
          </cell>
        </row>
        <row r="5">
          <cell r="J5">
            <v>57600</v>
          </cell>
          <cell r="K5">
            <v>6912</v>
          </cell>
          <cell r="L5">
            <v>34000</v>
          </cell>
        </row>
        <row r="6">
          <cell r="J6">
            <v>5600</v>
          </cell>
          <cell r="K6">
            <v>560</v>
          </cell>
          <cell r="L6">
            <v>0</v>
          </cell>
        </row>
        <row r="7">
          <cell r="J7">
            <v>44700</v>
          </cell>
          <cell r="K7">
            <v>5364</v>
          </cell>
          <cell r="L7">
            <v>68000</v>
          </cell>
        </row>
        <row r="8">
          <cell r="J8">
            <v>6500</v>
          </cell>
          <cell r="K8">
            <v>780</v>
          </cell>
          <cell r="L8">
            <v>0</v>
          </cell>
        </row>
      </sheetData>
      <sheetData sheetId="20">
        <row r="4">
          <cell r="J4">
            <v>91000</v>
          </cell>
          <cell r="K4">
            <v>10920</v>
          </cell>
          <cell r="L4">
            <v>25500</v>
          </cell>
        </row>
        <row r="5">
          <cell r="J5">
            <v>59850</v>
          </cell>
          <cell r="K5">
            <v>7182</v>
          </cell>
          <cell r="L5">
            <v>0</v>
          </cell>
        </row>
      </sheetData>
      <sheetData sheetId="21">
        <row r="4">
          <cell r="J4">
            <v>79600</v>
          </cell>
          <cell r="K4">
            <v>11940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25300</v>
          </cell>
          <cell r="K4">
            <v>3036</v>
          </cell>
          <cell r="L4">
            <v>0</v>
          </cell>
        </row>
        <row r="5">
          <cell r="J5">
            <v>10650</v>
          </cell>
          <cell r="K5">
            <v>1278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467200</v>
          </cell>
          <cell r="K4">
            <v>56064</v>
          </cell>
          <cell r="L4">
            <v>1007250</v>
          </cell>
        </row>
        <row r="5">
          <cell r="J5">
            <v>450100</v>
          </cell>
          <cell r="K5">
            <v>54012</v>
          </cell>
          <cell r="L5">
            <v>199750</v>
          </cell>
        </row>
        <row r="6">
          <cell r="J6">
            <v>93550</v>
          </cell>
          <cell r="K6">
            <v>9355</v>
          </cell>
          <cell r="L6">
            <v>440000</v>
          </cell>
        </row>
        <row r="7">
          <cell r="J7">
            <v>114050</v>
          </cell>
          <cell r="K7">
            <v>13686</v>
          </cell>
          <cell r="L7">
            <v>106250</v>
          </cell>
        </row>
        <row r="8">
          <cell r="J8">
            <v>91050</v>
          </cell>
          <cell r="K8">
            <v>10926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160300</v>
          </cell>
          <cell r="K4">
            <v>19236</v>
          </cell>
          <cell r="L4">
            <v>127500</v>
          </cell>
        </row>
        <row r="5">
          <cell r="J5">
            <v>140800</v>
          </cell>
          <cell r="K5">
            <v>16896</v>
          </cell>
          <cell r="L5">
            <v>51000</v>
          </cell>
        </row>
        <row r="6">
          <cell r="J6">
            <v>70700</v>
          </cell>
          <cell r="K6">
            <v>7070</v>
          </cell>
          <cell r="L6">
            <v>200000</v>
          </cell>
        </row>
        <row r="7">
          <cell r="J7">
            <v>64300</v>
          </cell>
          <cell r="K7">
            <v>7716</v>
          </cell>
          <cell r="L7">
            <v>0</v>
          </cell>
        </row>
        <row r="8">
          <cell r="J8">
            <v>24250</v>
          </cell>
          <cell r="K8">
            <v>2910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79133</v>
          </cell>
        </row>
        <row r="12">
          <cell r="G12">
            <v>35000</v>
          </cell>
        </row>
        <row r="19">
          <cell r="D19">
            <v>434200</v>
          </cell>
          <cell r="E19">
            <v>56446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159650</v>
          </cell>
          <cell r="K4">
            <v>20754.5</v>
          </cell>
          <cell r="L4">
            <v>76500</v>
          </cell>
        </row>
        <row r="5">
          <cell r="J5">
            <v>53700</v>
          </cell>
          <cell r="K5">
            <v>6981</v>
          </cell>
          <cell r="L5">
            <v>0</v>
          </cell>
        </row>
        <row r="6">
          <cell r="J6">
            <v>26600</v>
          </cell>
          <cell r="K6">
            <v>3458</v>
          </cell>
          <cell r="L6">
            <v>0</v>
          </cell>
        </row>
      </sheetData>
      <sheetData sheetId="12">
        <row r="4">
          <cell r="J4">
            <v>145700</v>
          </cell>
          <cell r="K4">
            <v>18941</v>
          </cell>
          <cell r="L4">
            <v>212500</v>
          </cell>
        </row>
        <row r="5">
          <cell r="J5">
            <v>42450</v>
          </cell>
          <cell r="K5">
            <v>5518.5</v>
          </cell>
          <cell r="L5">
            <v>0</v>
          </cell>
        </row>
        <row r="6">
          <cell r="J6">
            <v>6100</v>
          </cell>
          <cell r="K6">
            <v>793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503100</v>
          </cell>
          <cell r="K4">
            <v>60372</v>
          </cell>
          <cell r="L4">
            <v>735250</v>
          </cell>
        </row>
        <row r="5">
          <cell r="J5">
            <v>484650</v>
          </cell>
          <cell r="K5">
            <v>58158</v>
          </cell>
          <cell r="L5">
            <v>131750</v>
          </cell>
        </row>
        <row r="6">
          <cell r="J6">
            <v>63250</v>
          </cell>
          <cell r="K6">
            <v>6325</v>
          </cell>
          <cell r="L6">
            <v>250000</v>
          </cell>
        </row>
        <row r="7">
          <cell r="J7">
            <v>71050</v>
          </cell>
          <cell r="K7">
            <v>8526</v>
          </cell>
          <cell r="L7">
            <v>46750</v>
          </cell>
        </row>
        <row r="8">
          <cell r="J8">
            <v>69800</v>
          </cell>
          <cell r="K8">
            <v>8376</v>
          </cell>
          <cell r="L8">
            <v>42500</v>
          </cell>
        </row>
        <row r="9">
          <cell r="J9">
            <v>120500</v>
          </cell>
          <cell r="K9">
            <v>14460</v>
          </cell>
          <cell r="L9">
            <v>63750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21100</v>
          </cell>
          <cell r="K4">
            <v>2532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114100</v>
          </cell>
          <cell r="K4">
            <v>13692</v>
          </cell>
          <cell r="L4">
            <v>25500</v>
          </cell>
        </row>
        <row r="5">
          <cell r="J5">
            <v>110850</v>
          </cell>
          <cell r="K5">
            <v>13302</v>
          </cell>
          <cell r="L5">
            <v>46750</v>
          </cell>
        </row>
        <row r="6">
          <cell r="J6">
            <v>1200</v>
          </cell>
          <cell r="K6">
            <v>120</v>
          </cell>
          <cell r="L6">
            <v>0</v>
          </cell>
        </row>
        <row r="7">
          <cell r="J7">
            <v>47350</v>
          </cell>
          <cell r="K7">
            <v>5682</v>
          </cell>
          <cell r="L7">
            <v>85000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117100</v>
          </cell>
          <cell r="K4">
            <v>14052</v>
          </cell>
          <cell r="L4">
            <v>59500</v>
          </cell>
        </row>
        <row r="5">
          <cell r="J5">
            <v>78350</v>
          </cell>
          <cell r="K5">
            <v>9402</v>
          </cell>
          <cell r="L5">
            <v>0</v>
          </cell>
        </row>
      </sheetData>
      <sheetData sheetId="21">
        <row r="4">
          <cell r="J4">
            <v>104800</v>
          </cell>
          <cell r="K4">
            <v>15720</v>
          </cell>
          <cell r="L4">
            <v>100000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70550</v>
          </cell>
          <cell r="K4">
            <v>8466</v>
          </cell>
          <cell r="L4">
            <v>0</v>
          </cell>
        </row>
        <row r="5">
          <cell r="J5">
            <v>31150</v>
          </cell>
          <cell r="K5">
            <v>3738</v>
          </cell>
          <cell r="L5">
            <v>0</v>
          </cell>
        </row>
        <row r="6">
          <cell r="J6">
            <v>4000</v>
          </cell>
          <cell r="K6">
            <v>400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481700</v>
          </cell>
          <cell r="K4">
            <v>57804</v>
          </cell>
          <cell r="L4">
            <v>242250</v>
          </cell>
        </row>
        <row r="5">
          <cell r="J5">
            <v>466800</v>
          </cell>
          <cell r="K5">
            <v>56016</v>
          </cell>
          <cell r="L5">
            <v>110500</v>
          </cell>
        </row>
        <row r="6">
          <cell r="J6">
            <v>127150</v>
          </cell>
          <cell r="K6">
            <v>12715</v>
          </cell>
          <cell r="L6">
            <v>80000</v>
          </cell>
        </row>
        <row r="7">
          <cell r="J7">
            <v>124700</v>
          </cell>
          <cell r="K7">
            <v>14964</v>
          </cell>
          <cell r="L7">
            <v>114750</v>
          </cell>
        </row>
        <row r="8">
          <cell r="J8">
            <v>84150</v>
          </cell>
          <cell r="K8">
            <v>10098</v>
          </cell>
          <cell r="L8">
            <v>110500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139800</v>
          </cell>
          <cell r="K4">
            <v>16776</v>
          </cell>
          <cell r="L4">
            <v>97750</v>
          </cell>
        </row>
        <row r="5">
          <cell r="J5">
            <v>135650</v>
          </cell>
          <cell r="K5">
            <v>16278</v>
          </cell>
          <cell r="L5">
            <v>25500</v>
          </cell>
        </row>
        <row r="6">
          <cell r="J6">
            <v>59100</v>
          </cell>
          <cell r="K6">
            <v>5910</v>
          </cell>
          <cell r="L6">
            <v>80000</v>
          </cell>
        </row>
        <row r="7">
          <cell r="J7">
            <v>103950</v>
          </cell>
          <cell r="K7">
            <v>12474</v>
          </cell>
          <cell r="L7">
            <v>89250</v>
          </cell>
        </row>
        <row r="8">
          <cell r="J8">
            <v>23700</v>
          </cell>
          <cell r="K8">
            <v>2844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83713.5</v>
          </cell>
        </row>
        <row r="12">
          <cell r="G12">
            <v>35000</v>
          </cell>
        </row>
        <row r="19">
          <cell r="D19">
            <v>414650</v>
          </cell>
          <cell r="E19">
            <v>53904.5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145500</v>
          </cell>
          <cell r="K4">
            <v>18915</v>
          </cell>
          <cell r="L4">
            <v>110500</v>
          </cell>
        </row>
        <row r="5">
          <cell r="J5">
            <v>67300</v>
          </cell>
          <cell r="K5">
            <v>8749</v>
          </cell>
          <cell r="L5">
            <v>40000</v>
          </cell>
        </row>
        <row r="6">
          <cell r="J6">
            <v>3900</v>
          </cell>
          <cell r="K6">
            <v>507</v>
          </cell>
          <cell r="L6">
            <v>0</v>
          </cell>
        </row>
      </sheetData>
      <sheetData sheetId="12">
        <row r="4">
          <cell r="J4">
            <v>155050</v>
          </cell>
          <cell r="K4">
            <v>20156.5</v>
          </cell>
          <cell r="L4">
            <v>42500</v>
          </cell>
        </row>
        <row r="5">
          <cell r="J5">
            <v>41900</v>
          </cell>
          <cell r="K5">
            <v>5447</v>
          </cell>
          <cell r="L5">
            <v>40000</v>
          </cell>
        </row>
        <row r="6">
          <cell r="J6">
            <v>1000</v>
          </cell>
          <cell r="K6">
            <v>130</v>
          </cell>
          <cell r="L6">
            <v>40000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124200</v>
          </cell>
          <cell r="K4">
            <v>14904</v>
          </cell>
          <cell r="L4">
            <v>221000</v>
          </cell>
        </row>
        <row r="5">
          <cell r="J5">
            <v>106450</v>
          </cell>
          <cell r="K5">
            <v>12774</v>
          </cell>
          <cell r="L5">
            <v>8000</v>
          </cell>
        </row>
        <row r="7">
          <cell r="J7">
            <v>17250</v>
          </cell>
          <cell r="K7">
            <v>2070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386900</v>
          </cell>
          <cell r="K4">
            <v>46428</v>
          </cell>
          <cell r="L4">
            <v>352750</v>
          </cell>
        </row>
        <row r="5">
          <cell r="J5">
            <v>311250</v>
          </cell>
          <cell r="K5">
            <v>37350</v>
          </cell>
          <cell r="L5">
            <v>399500</v>
          </cell>
        </row>
        <row r="6">
          <cell r="J6">
            <v>53250</v>
          </cell>
          <cell r="K6">
            <v>5325</v>
          </cell>
          <cell r="L6">
            <v>220000</v>
          </cell>
        </row>
        <row r="7">
          <cell r="J7">
            <v>38800</v>
          </cell>
          <cell r="K7">
            <v>4656</v>
          </cell>
          <cell r="L7">
            <v>29750</v>
          </cell>
        </row>
        <row r="8">
          <cell r="J8">
            <v>27250</v>
          </cell>
          <cell r="K8">
            <v>3270</v>
          </cell>
          <cell r="L8">
            <v>0</v>
          </cell>
        </row>
        <row r="9">
          <cell r="J9">
            <v>113900</v>
          </cell>
          <cell r="K9">
            <v>13668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17800</v>
          </cell>
          <cell r="K4">
            <v>2136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70150</v>
          </cell>
          <cell r="K4">
            <v>8418</v>
          </cell>
          <cell r="L4">
            <v>187000</v>
          </cell>
        </row>
        <row r="5">
          <cell r="J5">
            <v>63450</v>
          </cell>
          <cell r="K5">
            <v>7614</v>
          </cell>
          <cell r="L5">
            <v>8500</v>
          </cell>
        </row>
        <row r="6">
          <cell r="J6">
            <v>1500</v>
          </cell>
          <cell r="K6">
            <v>150</v>
          </cell>
          <cell r="L6">
            <v>0</v>
          </cell>
        </row>
        <row r="7">
          <cell r="J7">
            <v>53000</v>
          </cell>
          <cell r="K7">
            <v>6360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95200</v>
          </cell>
          <cell r="K4">
            <v>11424</v>
          </cell>
          <cell r="L4">
            <v>25500</v>
          </cell>
        </row>
        <row r="5">
          <cell r="J5">
            <v>34800</v>
          </cell>
          <cell r="K5">
            <v>4176</v>
          </cell>
          <cell r="L5">
            <v>0</v>
          </cell>
        </row>
      </sheetData>
      <sheetData sheetId="21">
        <row r="4">
          <cell r="J4">
            <v>122900</v>
          </cell>
          <cell r="K4">
            <v>18435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47150</v>
          </cell>
          <cell r="K4">
            <v>5658</v>
          </cell>
          <cell r="L4">
            <v>42500</v>
          </cell>
        </row>
        <row r="5">
          <cell r="J5">
            <v>19800</v>
          </cell>
          <cell r="K5">
            <v>2376</v>
          </cell>
          <cell r="L5">
            <v>20000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413100</v>
          </cell>
          <cell r="K4">
            <v>49572</v>
          </cell>
          <cell r="L4">
            <v>297500</v>
          </cell>
        </row>
        <row r="5">
          <cell r="J5">
            <v>393400</v>
          </cell>
          <cell r="K5">
            <v>47208</v>
          </cell>
          <cell r="L5">
            <v>314500</v>
          </cell>
        </row>
        <row r="6">
          <cell r="J6">
            <v>56400</v>
          </cell>
          <cell r="K6">
            <v>5640</v>
          </cell>
          <cell r="L6">
            <v>0</v>
          </cell>
        </row>
        <row r="7">
          <cell r="J7">
            <v>85300</v>
          </cell>
          <cell r="K7">
            <v>10236</v>
          </cell>
          <cell r="L7">
            <v>110500</v>
          </cell>
        </row>
        <row r="8">
          <cell r="J8">
            <v>53800</v>
          </cell>
          <cell r="K8">
            <v>6456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137650</v>
          </cell>
          <cell r="K4">
            <v>16518</v>
          </cell>
          <cell r="L4">
            <v>119000</v>
          </cell>
        </row>
        <row r="5">
          <cell r="J5">
            <v>139250</v>
          </cell>
          <cell r="K5">
            <v>16710</v>
          </cell>
          <cell r="L5">
            <v>42500</v>
          </cell>
        </row>
        <row r="6">
          <cell r="J6">
            <v>64250</v>
          </cell>
          <cell r="K6">
            <v>6425</v>
          </cell>
          <cell r="L6">
            <v>240000</v>
          </cell>
        </row>
        <row r="7">
          <cell r="J7">
            <v>92650</v>
          </cell>
          <cell r="K7">
            <v>11118</v>
          </cell>
          <cell r="L7">
            <v>68000</v>
          </cell>
        </row>
        <row r="8">
          <cell r="J8">
            <v>21100</v>
          </cell>
          <cell r="K8">
            <v>2532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-600</v>
          </cell>
          <cell r="K4">
            <v>-51000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47314</v>
          </cell>
        </row>
        <row r="12">
          <cell r="G12">
            <v>35000</v>
          </cell>
        </row>
        <row r="19">
          <cell r="D19">
            <v>436600</v>
          </cell>
          <cell r="E19">
            <v>56758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204850</v>
          </cell>
          <cell r="K4">
            <v>26630.5</v>
          </cell>
          <cell r="L4">
            <v>561000</v>
          </cell>
        </row>
        <row r="5">
          <cell r="J5">
            <v>43000</v>
          </cell>
          <cell r="K5">
            <v>5590</v>
          </cell>
          <cell r="L5">
            <v>0</v>
          </cell>
        </row>
        <row r="6">
          <cell r="J6">
            <v>6950</v>
          </cell>
          <cell r="K6">
            <v>903.5</v>
          </cell>
          <cell r="L6">
            <v>0</v>
          </cell>
        </row>
      </sheetData>
      <sheetData sheetId="12">
        <row r="4">
          <cell r="J4">
            <v>140900</v>
          </cell>
          <cell r="K4">
            <v>18317</v>
          </cell>
          <cell r="L4">
            <v>114750</v>
          </cell>
        </row>
        <row r="5">
          <cell r="J5">
            <v>40900</v>
          </cell>
          <cell r="K5">
            <v>5317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121000</v>
          </cell>
          <cell r="K4">
            <v>14520</v>
          </cell>
          <cell r="L4">
            <v>297500</v>
          </cell>
        </row>
        <row r="5">
          <cell r="J5">
            <v>138750</v>
          </cell>
          <cell r="K5">
            <v>16650</v>
          </cell>
          <cell r="L5">
            <v>84000</v>
          </cell>
        </row>
        <row r="7">
          <cell r="J7">
            <v>23350</v>
          </cell>
          <cell r="K7">
            <v>2802</v>
          </cell>
          <cell r="L7">
            <v>88000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475750</v>
          </cell>
          <cell r="K4">
            <v>57090</v>
          </cell>
          <cell r="L4">
            <v>926500</v>
          </cell>
        </row>
        <row r="5">
          <cell r="J5">
            <v>357350</v>
          </cell>
          <cell r="K5">
            <v>42882</v>
          </cell>
          <cell r="L5">
            <v>344250</v>
          </cell>
        </row>
        <row r="6">
          <cell r="J6">
            <v>85750</v>
          </cell>
          <cell r="K6">
            <v>8575</v>
          </cell>
          <cell r="L6">
            <v>0</v>
          </cell>
        </row>
        <row r="7">
          <cell r="J7">
            <v>66150</v>
          </cell>
          <cell r="K7">
            <v>7938</v>
          </cell>
          <cell r="L7">
            <v>106250</v>
          </cell>
        </row>
        <row r="8">
          <cell r="J8">
            <v>45350</v>
          </cell>
          <cell r="K8">
            <v>5442</v>
          </cell>
          <cell r="L8">
            <v>42500</v>
          </cell>
        </row>
        <row r="9">
          <cell r="J9">
            <v>74750</v>
          </cell>
          <cell r="K9">
            <v>8970</v>
          </cell>
          <cell r="L9">
            <v>170000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36800</v>
          </cell>
          <cell r="K4">
            <v>4416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96650</v>
          </cell>
          <cell r="K4">
            <v>11598</v>
          </cell>
          <cell r="L4">
            <v>51000</v>
          </cell>
        </row>
        <row r="5">
          <cell r="J5">
            <v>93150</v>
          </cell>
          <cell r="K5">
            <v>11178</v>
          </cell>
          <cell r="L5">
            <v>68000</v>
          </cell>
        </row>
        <row r="6">
          <cell r="J6">
            <v>10300</v>
          </cell>
          <cell r="K6">
            <v>1030</v>
          </cell>
          <cell r="L6">
            <v>0</v>
          </cell>
        </row>
        <row r="7">
          <cell r="J7">
            <v>51600</v>
          </cell>
          <cell r="K7">
            <v>6192</v>
          </cell>
          <cell r="L7">
            <v>174250</v>
          </cell>
        </row>
        <row r="8">
          <cell r="J8">
            <v>7150</v>
          </cell>
          <cell r="K8">
            <v>858</v>
          </cell>
          <cell r="L8">
            <v>0</v>
          </cell>
        </row>
      </sheetData>
      <sheetData sheetId="20">
        <row r="4">
          <cell r="J4">
            <v>158000</v>
          </cell>
          <cell r="K4">
            <v>18960</v>
          </cell>
          <cell r="L4">
            <v>246500</v>
          </cell>
        </row>
        <row r="5">
          <cell r="J5">
            <v>73250</v>
          </cell>
          <cell r="K5">
            <v>8790</v>
          </cell>
          <cell r="L5">
            <v>0</v>
          </cell>
        </row>
      </sheetData>
      <sheetData sheetId="21">
        <row r="4">
          <cell r="J4">
            <v>123750</v>
          </cell>
          <cell r="K4">
            <v>18562.5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52300</v>
          </cell>
          <cell r="K4">
            <v>6276</v>
          </cell>
          <cell r="L4">
            <v>42500</v>
          </cell>
        </row>
        <row r="5">
          <cell r="J5">
            <v>28700</v>
          </cell>
          <cell r="K5">
            <v>3444</v>
          </cell>
          <cell r="L5">
            <v>24000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1500</v>
          </cell>
          <cell r="K7">
            <v>180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485850</v>
          </cell>
          <cell r="K4">
            <v>58302</v>
          </cell>
          <cell r="L4">
            <v>1194250</v>
          </cell>
        </row>
        <row r="5">
          <cell r="J5">
            <v>446250</v>
          </cell>
          <cell r="K5">
            <v>53550</v>
          </cell>
          <cell r="L5">
            <v>140250</v>
          </cell>
        </row>
        <row r="6">
          <cell r="J6">
            <v>87000</v>
          </cell>
          <cell r="K6">
            <v>8700</v>
          </cell>
          <cell r="L6">
            <v>0</v>
          </cell>
        </row>
        <row r="7">
          <cell r="J7">
            <v>110250</v>
          </cell>
          <cell r="K7">
            <v>13230</v>
          </cell>
          <cell r="L7">
            <v>42500</v>
          </cell>
        </row>
        <row r="8">
          <cell r="J8">
            <v>73700</v>
          </cell>
          <cell r="K8">
            <v>8844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204750</v>
          </cell>
          <cell r="K4">
            <v>24570</v>
          </cell>
          <cell r="L4">
            <v>629000</v>
          </cell>
        </row>
        <row r="5">
          <cell r="J5">
            <v>175850</v>
          </cell>
          <cell r="K5">
            <v>21102</v>
          </cell>
          <cell r="L5">
            <v>110500</v>
          </cell>
        </row>
        <row r="6">
          <cell r="J6">
            <v>72050</v>
          </cell>
          <cell r="K6">
            <v>7205</v>
          </cell>
          <cell r="L6">
            <v>0</v>
          </cell>
        </row>
        <row r="7">
          <cell r="J7">
            <v>92250</v>
          </cell>
          <cell r="K7">
            <v>11070</v>
          </cell>
          <cell r="L7">
            <v>102000</v>
          </cell>
        </row>
        <row r="8">
          <cell r="J8">
            <v>17000</v>
          </cell>
          <cell r="K8">
            <v>2040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72857</v>
          </cell>
        </row>
        <row r="12">
          <cell r="G12">
            <v>20000</v>
          </cell>
        </row>
        <row r="19">
          <cell r="D19">
            <v>465250</v>
          </cell>
          <cell r="E19">
            <v>60482.5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152850</v>
          </cell>
          <cell r="K4">
            <v>19870.5</v>
          </cell>
          <cell r="L4">
            <v>0</v>
          </cell>
        </row>
        <row r="5">
          <cell r="J5">
            <v>35400</v>
          </cell>
          <cell r="K5">
            <v>4602</v>
          </cell>
          <cell r="L5">
            <v>16000</v>
          </cell>
        </row>
        <row r="6">
          <cell r="J6">
            <v>13350</v>
          </cell>
          <cell r="K6">
            <v>1735.5</v>
          </cell>
          <cell r="L6">
            <v>16000</v>
          </cell>
        </row>
      </sheetData>
      <sheetData sheetId="12">
        <row r="4">
          <cell r="J4">
            <v>205000</v>
          </cell>
          <cell r="K4">
            <v>26650</v>
          </cell>
          <cell r="L4">
            <v>229500</v>
          </cell>
        </row>
        <row r="5">
          <cell r="J5">
            <v>55250</v>
          </cell>
          <cell r="K5">
            <v>7182.5</v>
          </cell>
          <cell r="L5">
            <v>52000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169350</v>
          </cell>
          <cell r="K4">
            <v>20322</v>
          </cell>
          <cell r="L4">
            <v>59500</v>
          </cell>
        </row>
        <row r="5">
          <cell r="J5">
            <v>154800</v>
          </cell>
          <cell r="K5">
            <v>18576</v>
          </cell>
          <cell r="L5">
            <v>24000</v>
          </cell>
        </row>
        <row r="7">
          <cell r="J7">
            <v>37650</v>
          </cell>
          <cell r="K7">
            <v>4518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322900</v>
          </cell>
          <cell r="K4">
            <v>38748</v>
          </cell>
          <cell r="L4">
            <v>442000</v>
          </cell>
        </row>
        <row r="5">
          <cell r="J5">
            <v>336800</v>
          </cell>
          <cell r="K5">
            <v>40416</v>
          </cell>
          <cell r="L5">
            <v>110500</v>
          </cell>
        </row>
        <row r="6">
          <cell r="J6">
            <v>67650</v>
          </cell>
          <cell r="K6">
            <v>6765</v>
          </cell>
          <cell r="L6">
            <v>100000</v>
          </cell>
        </row>
        <row r="7">
          <cell r="J7">
            <v>75500</v>
          </cell>
          <cell r="K7">
            <v>9060</v>
          </cell>
          <cell r="L7">
            <v>42500</v>
          </cell>
        </row>
        <row r="8">
          <cell r="J8">
            <v>28700</v>
          </cell>
          <cell r="K8">
            <v>3444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13600</v>
          </cell>
          <cell r="K4">
            <v>1632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34400</v>
          </cell>
          <cell r="K4">
            <v>4128</v>
          </cell>
          <cell r="L4">
            <v>12750</v>
          </cell>
        </row>
        <row r="5">
          <cell r="J5">
            <v>39500</v>
          </cell>
          <cell r="K5">
            <v>4740</v>
          </cell>
          <cell r="L5">
            <v>0</v>
          </cell>
        </row>
        <row r="6">
          <cell r="J6">
            <v>7250</v>
          </cell>
          <cell r="K6">
            <v>725</v>
          </cell>
          <cell r="L6">
            <v>0</v>
          </cell>
        </row>
        <row r="7">
          <cell r="J7">
            <v>31100</v>
          </cell>
          <cell r="K7">
            <v>3732</v>
          </cell>
          <cell r="L7">
            <v>0</v>
          </cell>
        </row>
        <row r="8">
          <cell r="J8">
            <v>1600</v>
          </cell>
          <cell r="K8">
            <v>192</v>
          </cell>
          <cell r="L8">
            <v>0</v>
          </cell>
        </row>
      </sheetData>
      <sheetData sheetId="20">
        <row r="4">
          <cell r="J4">
            <v>110700</v>
          </cell>
          <cell r="K4">
            <v>13284</v>
          </cell>
          <cell r="L4">
            <v>148750</v>
          </cell>
        </row>
        <row r="5">
          <cell r="J5">
            <v>39950</v>
          </cell>
          <cell r="K5">
            <v>4794</v>
          </cell>
          <cell r="L5">
            <v>0</v>
          </cell>
        </row>
      </sheetData>
      <sheetData sheetId="21">
        <row r="4">
          <cell r="J4">
            <v>80400</v>
          </cell>
          <cell r="K4">
            <v>12060</v>
          </cell>
          <cell r="L4">
            <v>36000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83450</v>
          </cell>
          <cell r="K4">
            <v>10014</v>
          </cell>
          <cell r="L4">
            <v>8500</v>
          </cell>
        </row>
        <row r="5">
          <cell r="J5">
            <v>21000</v>
          </cell>
          <cell r="K5">
            <v>2520</v>
          </cell>
          <cell r="L5">
            <v>8000</v>
          </cell>
        </row>
        <row r="6">
          <cell r="J6">
            <v>1800</v>
          </cell>
          <cell r="K6">
            <v>180</v>
          </cell>
          <cell r="L6">
            <v>0</v>
          </cell>
        </row>
        <row r="7">
          <cell r="J7">
            <v>2800</v>
          </cell>
          <cell r="K7">
            <v>336</v>
          </cell>
          <cell r="L7">
            <v>0</v>
          </cell>
        </row>
        <row r="8">
          <cell r="J8">
            <v>1700</v>
          </cell>
          <cell r="K8">
            <v>204</v>
          </cell>
          <cell r="L8">
            <v>0</v>
          </cell>
        </row>
      </sheetData>
      <sheetData sheetId="24">
        <row r="4">
          <cell r="J4">
            <v>493400</v>
          </cell>
          <cell r="K4">
            <v>59208</v>
          </cell>
          <cell r="L4">
            <v>144500</v>
          </cell>
        </row>
        <row r="5">
          <cell r="J5">
            <v>470200</v>
          </cell>
          <cell r="K5">
            <v>56424</v>
          </cell>
          <cell r="L5">
            <v>174250</v>
          </cell>
        </row>
        <row r="6">
          <cell r="J6">
            <v>78800</v>
          </cell>
          <cell r="K6">
            <v>7880</v>
          </cell>
          <cell r="L6">
            <v>100000</v>
          </cell>
        </row>
        <row r="7">
          <cell r="J7">
            <v>83500</v>
          </cell>
          <cell r="K7">
            <v>10020</v>
          </cell>
          <cell r="L7">
            <v>55250</v>
          </cell>
        </row>
        <row r="8">
          <cell r="J8">
            <v>81100</v>
          </cell>
          <cell r="K8">
            <v>9732</v>
          </cell>
          <cell r="L8">
            <v>46750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196200</v>
          </cell>
          <cell r="K4">
            <v>23544</v>
          </cell>
          <cell r="L4">
            <v>76500</v>
          </cell>
        </row>
        <row r="5">
          <cell r="J5">
            <v>223200</v>
          </cell>
          <cell r="K5">
            <v>26784</v>
          </cell>
          <cell r="L5">
            <v>187000</v>
          </cell>
        </row>
        <row r="6">
          <cell r="J6">
            <v>84250</v>
          </cell>
          <cell r="K6">
            <v>8425</v>
          </cell>
          <cell r="L6">
            <v>120000</v>
          </cell>
        </row>
        <row r="7">
          <cell r="J7">
            <v>127900</v>
          </cell>
          <cell r="K7">
            <v>15348</v>
          </cell>
          <cell r="L7">
            <v>148750</v>
          </cell>
        </row>
        <row r="8">
          <cell r="J8">
            <v>17650</v>
          </cell>
          <cell r="K8">
            <v>2118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106555.5</v>
          </cell>
        </row>
        <row r="12">
          <cell r="G12">
            <v>15000</v>
          </cell>
        </row>
        <row r="19">
          <cell r="D19">
            <v>418300</v>
          </cell>
          <cell r="E19">
            <v>54379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191950</v>
          </cell>
          <cell r="K4">
            <v>24953.5</v>
          </cell>
          <cell r="L4">
            <v>97750</v>
          </cell>
        </row>
        <row r="5">
          <cell r="J5">
            <v>29300</v>
          </cell>
          <cell r="K5">
            <v>3809</v>
          </cell>
          <cell r="L5">
            <v>16000</v>
          </cell>
        </row>
        <row r="6">
          <cell r="J6">
            <v>4700</v>
          </cell>
          <cell r="K6">
            <v>611</v>
          </cell>
          <cell r="L6">
            <v>0</v>
          </cell>
        </row>
      </sheetData>
      <sheetData sheetId="12">
        <row r="4">
          <cell r="J4">
            <v>159250</v>
          </cell>
          <cell r="K4">
            <v>20702.5</v>
          </cell>
          <cell r="L4">
            <v>259250</v>
          </cell>
        </row>
        <row r="5">
          <cell r="J5">
            <v>32900</v>
          </cell>
          <cell r="K5">
            <v>4277</v>
          </cell>
          <cell r="L5">
            <v>0</v>
          </cell>
        </row>
        <row r="6">
          <cell r="J6">
            <v>200</v>
          </cell>
          <cell r="K6">
            <v>26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1000</v>
          </cell>
          <cell r="K4">
            <v>120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169250</v>
          </cell>
          <cell r="K4">
            <v>20310</v>
          </cell>
          <cell r="L4">
            <v>233750</v>
          </cell>
        </row>
        <row r="5">
          <cell r="J5">
            <v>154650</v>
          </cell>
          <cell r="K5">
            <v>18558</v>
          </cell>
          <cell r="L5">
            <v>80000</v>
          </cell>
        </row>
        <row r="7">
          <cell r="J7">
            <v>48250</v>
          </cell>
          <cell r="K7">
            <v>5790</v>
          </cell>
          <cell r="L7">
            <v>52000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484050</v>
          </cell>
          <cell r="K4">
            <v>58086</v>
          </cell>
          <cell r="L4">
            <v>603500</v>
          </cell>
        </row>
        <row r="5">
          <cell r="J5">
            <v>408500</v>
          </cell>
          <cell r="K5">
            <v>49020</v>
          </cell>
          <cell r="L5">
            <v>267750</v>
          </cell>
        </row>
        <row r="6">
          <cell r="J6">
            <v>82400</v>
          </cell>
          <cell r="K6">
            <v>8240</v>
          </cell>
          <cell r="L6">
            <v>240000</v>
          </cell>
        </row>
        <row r="7">
          <cell r="J7">
            <v>81050</v>
          </cell>
          <cell r="K7">
            <v>9726</v>
          </cell>
          <cell r="L7">
            <v>34000</v>
          </cell>
        </row>
        <row r="8">
          <cell r="J8">
            <v>33250</v>
          </cell>
          <cell r="K8">
            <v>3990</v>
          </cell>
          <cell r="L8">
            <v>0</v>
          </cell>
        </row>
        <row r="9">
          <cell r="J9">
            <v>17000</v>
          </cell>
          <cell r="K9">
            <v>2040</v>
          </cell>
          <cell r="L9">
            <v>0</v>
          </cell>
        </row>
        <row r="10">
          <cell r="J10">
            <v>4800</v>
          </cell>
          <cell r="K10">
            <v>576</v>
          </cell>
          <cell r="L10">
            <v>8500</v>
          </cell>
        </row>
      </sheetData>
      <sheetData sheetId="18">
        <row r="4">
          <cell r="J4">
            <v>46200</v>
          </cell>
          <cell r="K4">
            <v>5544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32400</v>
          </cell>
          <cell r="K4">
            <v>3888</v>
          </cell>
          <cell r="L4">
            <v>42500</v>
          </cell>
        </row>
        <row r="5">
          <cell r="J5">
            <v>29200</v>
          </cell>
          <cell r="K5">
            <v>3504</v>
          </cell>
          <cell r="L5">
            <v>97750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16550</v>
          </cell>
          <cell r="K7">
            <v>1986</v>
          </cell>
          <cell r="L7">
            <v>12750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128050</v>
          </cell>
          <cell r="K4">
            <v>15366</v>
          </cell>
          <cell r="L4">
            <v>110500</v>
          </cell>
        </row>
        <row r="5">
          <cell r="J5">
            <v>54100</v>
          </cell>
          <cell r="K5">
            <v>6492</v>
          </cell>
          <cell r="L5">
            <v>20000</v>
          </cell>
        </row>
      </sheetData>
      <sheetData sheetId="21">
        <row r="4">
          <cell r="J4">
            <v>91000</v>
          </cell>
          <cell r="K4">
            <v>13650</v>
          </cell>
          <cell r="L4">
            <v>88000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91450</v>
          </cell>
          <cell r="K4">
            <v>10974</v>
          </cell>
          <cell r="L4">
            <v>148750</v>
          </cell>
        </row>
        <row r="5">
          <cell r="J5">
            <v>41050</v>
          </cell>
          <cell r="K5">
            <v>4926</v>
          </cell>
          <cell r="L5">
            <v>52000</v>
          </cell>
        </row>
        <row r="6">
          <cell r="J6">
            <v>7500</v>
          </cell>
          <cell r="K6">
            <v>750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4900</v>
          </cell>
          <cell r="K8">
            <v>588</v>
          </cell>
          <cell r="L8">
            <v>16000</v>
          </cell>
        </row>
      </sheetData>
      <sheetData sheetId="24">
        <row r="4">
          <cell r="J4">
            <v>376400</v>
          </cell>
          <cell r="K4">
            <v>45168</v>
          </cell>
          <cell r="L4">
            <v>493000</v>
          </cell>
        </row>
        <row r="5">
          <cell r="J5">
            <v>358650</v>
          </cell>
          <cell r="K5">
            <v>43038</v>
          </cell>
          <cell r="L5">
            <v>123250</v>
          </cell>
        </row>
        <row r="6">
          <cell r="J6">
            <v>65850</v>
          </cell>
          <cell r="K6">
            <v>6585</v>
          </cell>
          <cell r="L6">
            <v>20000</v>
          </cell>
        </row>
        <row r="7">
          <cell r="J7">
            <v>100950</v>
          </cell>
          <cell r="K7">
            <v>12114</v>
          </cell>
          <cell r="L7">
            <v>89250</v>
          </cell>
        </row>
        <row r="8">
          <cell r="J8">
            <v>57100</v>
          </cell>
          <cell r="K8">
            <v>6852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154500</v>
          </cell>
          <cell r="K4">
            <v>18540</v>
          </cell>
          <cell r="L4">
            <v>267750</v>
          </cell>
        </row>
        <row r="5">
          <cell r="J5">
            <v>172800</v>
          </cell>
          <cell r="K5">
            <v>20736</v>
          </cell>
          <cell r="L5">
            <v>157250</v>
          </cell>
        </row>
        <row r="6">
          <cell r="J6">
            <v>86150</v>
          </cell>
          <cell r="K6">
            <v>8615</v>
          </cell>
          <cell r="L6">
            <v>140000</v>
          </cell>
        </row>
        <row r="7">
          <cell r="J7">
            <v>126600</v>
          </cell>
          <cell r="K7">
            <v>15192</v>
          </cell>
          <cell r="L7">
            <v>68000</v>
          </cell>
        </row>
        <row r="8">
          <cell r="J8">
            <v>29450</v>
          </cell>
          <cell r="K8">
            <v>3534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112231.5</v>
          </cell>
        </row>
        <row r="12">
          <cell r="G12">
            <v>35000</v>
          </cell>
        </row>
        <row r="19">
          <cell r="D19">
            <v>461100</v>
          </cell>
          <cell r="E19">
            <v>59943</v>
          </cell>
          <cell r="F19">
            <v>30000</v>
          </cell>
        </row>
        <row r="22">
          <cell r="G22">
            <v>-180858</v>
          </cell>
        </row>
      </sheetData>
      <sheetData sheetId="10"/>
      <sheetData sheetId="11">
        <row r="4">
          <cell r="J4">
            <v>168400</v>
          </cell>
          <cell r="K4">
            <v>21892</v>
          </cell>
          <cell r="L4">
            <v>8500</v>
          </cell>
        </row>
        <row r="5">
          <cell r="J5">
            <v>63700</v>
          </cell>
          <cell r="K5">
            <v>8281</v>
          </cell>
          <cell r="L5">
            <v>60000</v>
          </cell>
        </row>
        <row r="6">
          <cell r="J6">
            <v>17400</v>
          </cell>
          <cell r="K6">
            <v>2262</v>
          </cell>
          <cell r="L6">
            <v>76000</v>
          </cell>
        </row>
      </sheetData>
      <sheetData sheetId="12">
        <row r="4">
          <cell r="J4">
            <v>183550</v>
          </cell>
          <cell r="K4">
            <v>23861.5</v>
          </cell>
          <cell r="L4">
            <v>127500</v>
          </cell>
        </row>
        <row r="5">
          <cell r="J5">
            <v>28050</v>
          </cell>
          <cell r="K5">
            <v>3646.5</v>
          </cell>
          <cell r="L5">
            <v>64000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215350</v>
          </cell>
          <cell r="K4">
            <v>25842</v>
          </cell>
          <cell r="L4">
            <v>335750</v>
          </cell>
        </row>
        <row r="5">
          <cell r="J5">
            <v>178250</v>
          </cell>
          <cell r="K5">
            <v>21390</v>
          </cell>
          <cell r="L5">
            <v>104000</v>
          </cell>
        </row>
        <row r="7">
          <cell r="J7">
            <v>66250</v>
          </cell>
          <cell r="K7">
            <v>7950</v>
          </cell>
          <cell r="L7">
            <v>120000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395300</v>
          </cell>
          <cell r="K4">
            <v>47436</v>
          </cell>
          <cell r="L4">
            <v>607750</v>
          </cell>
        </row>
        <row r="5">
          <cell r="J5">
            <v>391200</v>
          </cell>
          <cell r="K5">
            <v>46944</v>
          </cell>
          <cell r="L5">
            <v>280500</v>
          </cell>
        </row>
        <row r="6">
          <cell r="J6">
            <v>77550</v>
          </cell>
          <cell r="K6">
            <v>7755</v>
          </cell>
          <cell r="L6">
            <v>200000</v>
          </cell>
        </row>
        <row r="7">
          <cell r="J7">
            <v>67100</v>
          </cell>
          <cell r="K7">
            <v>8052</v>
          </cell>
          <cell r="L7">
            <v>208250</v>
          </cell>
        </row>
        <row r="8">
          <cell r="J8">
            <v>14300</v>
          </cell>
          <cell r="K8">
            <v>1716</v>
          </cell>
          <cell r="L8">
            <v>42500</v>
          </cell>
        </row>
        <row r="9">
          <cell r="J9">
            <v>63750</v>
          </cell>
          <cell r="K9">
            <v>7650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6900</v>
          </cell>
          <cell r="K4">
            <v>828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42100</v>
          </cell>
          <cell r="K4">
            <v>5052</v>
          </cell>
          <cell r="L4">
            <v>29750</v>
          </cell>
        </row>
        <row r="5">
          <cell r="J5">
            <v>48000</v>
          </cell>
          <cell r="K5">
            <v>5760</v>
          </cell>
          <cell r="L5">
            <v>0</v>
          </cell>
        </row>
        <row r="6">
          <cell r="J6">
            <v>4800</v>
          </cell>
          <cell r="K6">
            <v>480</v>
          </cell>
          <cell r="L6">
            <v>0</v>
          </cell>
        </row>
        <row r="7">
          <cell r="J7">
            <v>36750</v>
          </cell>
          <cell r="K7">
            <v>4410</v>
          </cell>
          <cell r="L7">
            <v>106250</v>
          </cell>
        </row>
        <row r="8">
          <cell r="J8">
            <v>2400</v>
          </cell>
          <cell r="K8">
            <v>288</v>
          </cell>
          <cell r="L8">
            <v>0</v>
          </cell>
        </row>
      </sheetData>
      <sheetData sheetId="20">
        <row r="4">
          <cell r="J4">
            <v>96500</v>
          </cell>
          <cell r="K4">
            <v>11580</v>
          </cell>
          <cell r="L4">
            <v>208250</v>
          </cell>
        </row>
        <row r="5">
          <cell r="J5">
            <v>67400</v>
          </cell>
          <cell r="K5">
            <v>8088</v>
          </cell>
          <cell r="L5">
            <v>160000</v>
          </cell>
        </row>
      </sheetData>
      <sheetData sheetId="21">
        <row r="4">
          <cell r="J4">
            <v>70250</v>
          </cell>
          <cell r="K4">
            <v>10537.5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52900</v>
          </cell>
          <cell r="K4">
            <v>6348</v>
          </cell>
          <cell r="L4">
            <v>42500</v>
          </cell>
        </row>
        <row r="5">
          <cell r="J5">
            <v>26350</v>
          </cell>
          <cell r="K5">
            <v>3162</v>
          </cell>
          <cell r="L5">
            <v>20000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495300</v>
          </cell>
          <cell r="K4">
            <v>59436</v>
          </cell>
          <cell r="L4">
            <v>459000</v>
          </cell>
        </row>
        <row r="5">
          <cell r="J5">
            <v>488650</v>
          </cell>
          <cell r="K5">
            <v>58638</v>
          </cell>
          <cell r="L5">
            <v>225250</v>
          </cell>
        </row>
        <row r="6">
          <cell r="J6">
            <v>122300</v>
          </cell>
          <cell r="K6">
            <v>12230</v>
          </cell>
          <cell r="L6">
            <v>130000</v>
          </cell>
        </row>
        <row r="7">
          <cell r="J7">
            <v>112750</v>
          </cell>
          <cell r="K7">
            <v>13530</v>
          </cell>
          <cell r="L7">
            <v>365500</v>
          </cell>
        </row>
        <row r="8">
          <cell r="J8">
            <v>106700</v>
          </cell>
          <cell r="K8">
            <v>12804</v>
          </cell>
          <cell r="L8">
            <v>46750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209100</v>
          </cell>
          <cell r="K4">
            <v>25092</v>
          </cell>
          <cell r="L4">
            <v>170000</v>
          </cell>
        </row>
        <row r="5">
          <cell r="J5">
            <v>270700</v>
          </cell>
          <cell r="K5">
            <v>32484</v>
          </cell>
          <cell r="L5">
            <v>255000</v>
          </cell>
        </row>
        <row r="6">
          <cell r="J6">
            <v>85500</v>
          </cell>
          <cell r="K6">
            <v>8550</v>
          </cell>
          <cell r="L6">
            <v>70000</v>
          </cell>
        </row>
        <row r="7">
          <cell r="J7">
            <v>120850</v>
          </cell>
          <cell r="K7">
            <v>14502</v>
          </cell>
          <cell r="L7">
            <v>344250</v>
          </cell>
        </row>
        <row r="8">
          <cell r="J8">
            <v>28500</v>
          </cell>
          <cell r="K8">
            <v>3420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52216</v>
          </cell>
        </row>
        <row r="12">
          <cell r="G12">
            <v>35000</v>
          </cell>
        </row>
        <row r="19">
          <cell r="D19">
            <v>410000</v>
          </cell>
          <cell r="E19">
            <v>53300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195100</v>
          </cell>
          <cell r="K4">
            <v>25363</v>
          </cell>
          <cell r="L4">
            <v>46750</v>
          </cell>
        </row>
        <row r="5">
          <cell r="J5">
            <v>32350</v>
          </cell>
          <cell r="K5">
            <v>4205.5</v>
          </cell>
          <cell r="L5">
            <v>32000</v>
          </cell>
        </row>
        <row r="6">
          <cell r="J6">
            <v>7100</v>
          </cell>
          <cell r="K6">
            <v>923</v>
          </cell>
          <cell r="L6">
            <v>0</v>
          </cell>
        </row>
      </sheetData>
      <sheetData sheetId="12">
        <row r="4">
          <cell r="J4">
            <v>142850</v>
          </cell>
          <cell r="K4">
            <v>18570.5</v>
          </cell>
          <cell r="L4">
            <v>42500</v>
          </cell>
        </row>
        <row r="5">
          <cell r="J5">
            <v>32400</v>
          </cell>
          <cell r="K5">
            <v>4212</v>
          </cell>
          <cell r="L5">
            <v>40000</v>
          </cell>
        </row>
        <row r="6">
          <cell r="J6">
            <v>200</v>
          </cell>
          <cell r="K6">
            <v>26</v>
          </cell>
          <cell r="L6">
            <v>16000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169350</v>
          </cell>
          <cell r="K4">
            <v>20322</v>
          </cell>
          <cell r="L4">
            <v>42500</v>
          </cell>
        </row>
        <row r="5">
          <cell r="J5">
            <v>139900</v>
          </cell>
          <cell r="K5">
            <v>16788</v>
          </cell>
          <cell r="L5">
            <v>112000</v>
          </cell>
        </row>
        <row r="7">
          <cell r="J7">
            <v>40400</v>
          </cell>
          <cell r="K7">
            <v>4848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511000</v>
          </cell>
          <cell r="K4">
            <v>61320</v>
          </cell>
          <cell r="L4">
            <v>68000</v>
          </cell>
        </row>
        <row r="5">
          <cell r="J5">
            <v>345650</v>
          </cell>
          <cell r="K5">
            <v>41478</v>
          </cell>
          <cell r="L5">
            <v>267750</v>
          </cell>
        </row>
        <row r="6">
          <cell r="J6">
            <v>101700</v>
          </cell>
          <cell r="K6">
            <v>10170</v>
          </cell>
          <cell r="L6">
            <v>0</v>
          </cell>
        </row>
        <row r="7">
          <cell r="J7">
            <v>56250</v>
          </cell>
          <cell r="K7">
            <v>6750</v>
          </cell>
          <cell r="L7">
            <v>46750</v>
          </cell>
        </row>
        <row r="8">
          <cell r="J8">
            <v>11000</v>
          </cell>
          <cell r="K8">
            <v>1320</v>
          </cell>
          <cell r="L8">
            <v>12750</v>
          </cell>
        </row>
        <row r="9">
          <cell r="J9">
            <v>78500</v>
          </cell>
          <cell r="K9">
            <v>9420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26000</v>
          </cell>
          <cell r="K4">
            <v>3120</v>
          </cell>
          <cell r="L4">
            <v>85000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74850</v>
          </cell>
          <cell r="K4">
            <v>8982</v>
          </cell>
          <cell r="L4">
            <v>42500</v>
          </cell>
        </row>
        <row r="5">
          <cell r="J5">
            <v>41400</v>
          </cell>
          <cell r="K5">
            <v>4968</v>
          </cell>
          <cell r="L5">
            <v>63750</v>
          </cell>
        </row>
        <row r="6">
          <cell r="J6">
            <v>5300</v>
          </cell>
          <cell r="K6">
            <v>530</v>
          </cell>
          <cell r="L6">
            <v>0</v>
          </cell>
        </row>
        <row r="7">
          <cell r="J7">
            <v>43400</v>
          </cell>
          <cell r="K7">
            <v>5208</v>
          </cell>
          <cell r="L7">
            <v>12750</v>
          </cell>
        </row>
        <row r="8">
          <cell r="J8">
            <v>7400</v>
          </cell>
          <cell r="K8">
            <v>888</v>
          </cell>
          <cell r="L8">
            <v>0</v>
          </cell>
        </row>
      </sheetData>
      <sheetData sheetId="20">
        <row r="4">
          <cell r="J4">
            <v>142000</v>
          </cell>
          <cell r="K4">
            <v>17040</v>
          </cell>
          <cell r="L4">
            <v>25500</v>
          </cell>
        </row>
        <row r="5">
          <cell r="J5">
            <v>86650</v>
          </cell>
          <cell r="K5">
            <v>10398</v>
          </cell>
          <cell r="L5">
            <v>76000</v>
          </cell>
        </row>
      </sheetData>
      <sheetData sheetId="21">
        <row r="4">
          <cell r="J4">
            <v>88550</v>
          </cell>
          <cell r="K4">
            <v>13282.5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41850</v>
          </cell>
          <cell r="K4">
            <v>5022</v>
          </cell>
          <cell r="L4">
            <v>0</v>
          </cell>
        </row>
        <row r="5">
          <cell r="J5">
            <v>11900</v>
          </cell>
          <cell r="K5">
            <v>1428</v>
          </cell>
          <cell r="L5">
            <v>20000</v>
          </cell>
        </row>
        <row r="6">
          <cell r="J6">
            <v>200</v>
          </cell>
          <cell r="K6">
            <v>20</v>
          </cell>
          <cell r="L6">
            <v>0</v>
          </cell>
        </row>
        <row r="7">
          <cell r="J7">
            <v>4000</v>
          </cell>
          <cell r="K7">
            <v>480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490100</v>
          </cell>
          <cell r="K4">
            <v>58812</v>
          </cell>
          <cell r="L4">
            <v>446250</v>
          </cell>
        </row>
        <row r="5">
          <cell r="J5">
            <v>442750</v>
          </cell>
          <cell r="K5">
            <v>53130</v>
          </cell>
          <cell r="L5">
            <v>365500</v>
          </cell>
        </row>
        <row r="6">
          <cell r="J6">
            <v>101750</v>
          </cell>
          <cell r="K6">
            <v>10175</v>
          </cell>
          <cell r="L6">
            <v>0</v>
          </cell>
        </row>
        <row r="7">
          <cell r="J7">
            <v>91950</v>
          </cell>
          <cell r="K7">
            <v>11034</v>
          </cell>
          <cell r="L7">
            <v>153000</v>
          </cell>
        </row>
        <row r="8">
          <cell r="J8">
            <v>74500</v>
          </cell>
          <cell r="K8">
            <v>8940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223650</v>
          </cell>
          <cell r="K4">
            <v>26838</v>
          </cell>
          <cell r="L4">
            <v>221000</v>
          </cell>
        </row>
        <row r="5">
          <cell r="J5">
            <v>222450</v>
          </cell>
          <cell r="K5">
            <v>26694</v>
          </cell>
          <cell r="L5">
            <v>352750</v>
          </cell>
        </row>
        <row r="6">
          <cell r="J6">
            <v>84100</v>
          </cell>
          <cell r="K6">
            <v>8410</v>
          </cell>
          <cell r="L6">
            <v>0</v>
          </cell>
        </row>
        <row r="7">
          <cell r="J7">
            <v>139250</v>
          </cell>
          <cell r="K7">
            <v>16710</v>
          </cell>
          <cell r="L7">
            <v>51000</v>
          </cell>
        </row>
        <row r="8">
          <cell r="J8">
            <v>28500</v>
          </cell>
          <cell r="K8">
            <v>3420</v>
          </cell>
          <cell r="L8">
            <v>46750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gitaTICA (2)"/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/>
      <sheetData sheetId="1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1">
          <cell r="G11">
            <v>63620.680000000168</v>
          </cell>
        </row>
        <row r="12">
          <cell r="G12">
            <v>35000</v>
          </cell>
        </row>
        <row r="19">
          <cell r="D19">
            <v>525650</v>
          </cell>
          <cell r="E19">
            <v>68334.5</v>
          </cell>
          <cell r="F19">
            <v>30000</v>
          </cell>
        </row>
        <row r="22">
          <cell r="G22">
            <v>-1040059.68</v>
          </cell>
        </row>
      </sheetData>
      <sheetData sheetId="11"/>
      <sheetData sheetId="12">
        <row r="4">
          <cell r="J4">
            <v>184000</v>
          </cell>
          <cell r="K4">
            <v>23920</v>
          </cell>
          <cell r="L4">
            <v>314500</v>
          </cell>
        </row>
        <row r="5">
          <cell r="J5">
            <v>90950</v>
          </cell>
          <cell r="K5">
            <v>11823.5</v>
          </cell>
          <cell r="L5">
            <v>72000</v>
          </cell>
        </row>
        <row r="6">
          <cell r="J6">
            <v>8300</v>
          </cell>
          <cell r="K6">
            <v>1079</v>
          </cell>
          <cell r="L6">
            <v>32000</v>
          </cell>
        </row>
      </sheetData>
      <sheetData sheetId="13">
        <row r="4">
          <cell r="J4">
            <v>159600</v>
          </cell>
          <cell r="K4">
            <v>20748</v>
          </cell>
          <cell r="L4">
            <v>352750</v>
          </cell>
        </row>
        <row r="5">
          <cell r="J5">
            <v>63200</v>
          </cell>
          <cell r="K5">
            <v>8216</v>
          </cell>
          <cell r="L5">
            <v>0</v>
          </cell>
        </row>
        <row r="6">
          <cell r="J6">
            <v>19600</v>
          </cell>
          <cell r="K6">
            <v>2548</v>
          </cell>
          <cell r="L6">
            <v>168000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8">
        <row r="4">
          <cell r="J4">
            <v>557000</v>
          </cell>
          <cell r="K4">
            <v>66840</v>
          </cell>
          <cell r="L4">
            <v>539750</v>
          </cell>
        </row>
        <row r="5">
          <cell r="J5">
            <v>431950</v>
          </cell>
          <cell r="K5">
            <v>51834</v>
          </cell>
          <cell r="L5">
            <v>497250</v>
          </cell>
        </row>
        <row r="6">
          <cell r="J6">
            <v>110950</v>
          </cell>
          <cell r="K6">
            <v>11095</v>
          </cell>
          <cell r="L6">
            <v>0</v>
          </cell>
        </row>
        <row r="7">
          <cell r="J7">
            <v>82050</v>
          </cell>
          <cell r="K7">
            <v>9846</v>
          </cell>
          <cell r="L7">
            <v>8500</v>
          </cell>
        </row>
        <row r="8">
          <cell r="J8">
            <v>62500</v>
          </cell>
          <cell r="K8">
            <v>7500</v>
          </cell>
          <cell r="L8">
            <v>0</v>
          </cell>
        </row>
        <row r="9">
          <cell r="J9">
            <v>70300</v>
          </cell>
          <cell r="K9">
            <v>8436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9">
        <row r="4">
          <cell r="J4">
            <v>7500</v>
          </cell>
          <cell r="K4">
            <v>900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0">
        <row r="4">
          <cell r="J4">
            <v>61450</v>
          </cell>
          <cell r="K4">
            <v>7374</v>
          </cell>
          <cell r="L4">
            <v>76500</v>
          </cell>
        </row>
        <row r="5">
          <cell r="J5">
            <v>77250</v>
          </cell>
          <cell r="K5">
            <v>9270</v>
          </cell>
          <cell r="L5">
            <v>140250</v>
          </cell>
        </row>
        <row r="6">
          <cell r="J6">
            <v>5750</v>
          </cell>
          <cell r="K6">
            <v>575</v>
          </cell>
          <cell r="L6">
            <v>0</v>
          </cell>
        </row>
        <row r="7">
          <cell r="J7">
            <v>45050</v>
          </cell>
          <cell r="K7">
            <v>5406</v>
          </cell>
          <cell r="L7">
            <v>80750</v>
          </cell>
        </row>
        <row r="8">
          <cell r="J8">
            <v>5100</v>
          </cell>
          <cell r="K8">
            <v>612</v>
          </cell>
          <cell r="L8">
            <v>17000</v>
          </cell>
        </row>
      </sheetData>
      <sheetData sheetId="21">
        <row r="4">
          <cell r="J4">
            <v>114800</v>
          </cell>
          <cell r="K4">
            <v>13776</v>
          </cell>
          <cell r="L4">
            <v>318750</v>
          </cell>
        </row>
        <row r="5">
          <cell r="J5">
            <v>77050</v>
          </cell>
          <cell r="K5">
            <v>9246</v>
          </cell>
          <cell r="L5">
            <v>52000</v>
          </cell>
        </row>
      </sheetData>
      <sheetData sheetId="22">
        <row r="4">
          <cell r="J4">
            <v>79450</v>
          </cell>
          <cell r="K4">
            <v>11917.5</v>
          </cell>
          <cell r="L4">
            <v>184000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4">
        <row r="4">
          <cell r="J4">
            <v>61350</v>
          </cell>
          <cell r="K4">
            <v>7362</v>
          </cell>
          <cell r="L4">
            <v>191250</v>
          </cell>
        </row>
        <row r="5">
          <cell r="J5">
            <v>20150</v>
          </cell>
          <cell r="K5">
            <v>2418</v>
          </cell>
          <cell r="L5">
            <v>0</v>
          </cell>
        </row>
        <row r="6">
          <cell r="J6">
            <v>200</v>
          </cell>
          <cell r="K6">
            <v>20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2700</v>
          </cell>
          <cell r="K8">
            <v>324</v>
          </cell>
          <cell r="L8">
            <v>0</v>
          </cell>
        </row>
      </sheetData>
      <sheetData sheetId="25">
        <row r="4">
          <cell r="J4">
            <v>513050</v>
          </cell>
          <cell r="K4">
            <v>61566</v>
          </cell>
          <cell r="L4">
            <v>1007250</v>
          </cell>
        </row>
        <row r="5">
          <cell r="J5">
            <v>444450</v>
          </cell>
          <cell r="K5">
            <v>53334</v>
          </cell>
          <cell r="L5">
            <v>403750</v>
          </cell>
        </row>
        <row r="6">
          <cell r="J6">
            <v>109000</v>
          </cell>
          <cell r="K6">
            <v>10900</v>
          </cell>
          <cell r="L6">
            <v>0</v>
          </cell>
        </row>
        <row r="7">
          <cell r="J7">
            <v>110700</v>
          </cell>
          <cell r="K7">
            <v>13284</v>
          </cell>
          <cell r="L7">
            <v>80750</v>
          </cell>
        </row>
        <row r="8">
          <cell r="J8">
            <v>73800</v>
          </cell>
          <cell r="K8">
            <v>8856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>
        <row r="4">
          <cell r="J4">
            <v>177850</v>
          </cell>
          <cell r="K4">
            <v>21342</v>
          </cell>
          <cell r="L4">
            <v>191250</v>
          </cell>
        </row>
        <row r="5">
          <cell r="J5">
            <v>196800</v>
          </cell>
          <cell r="K5">
            <v>23616</v>
          </cell>
          <cell r="L5">
            <v>191250</v>
          </cell>
        </row>
        <row r="6">
          <cell r="J6">
            <v>83300</v>
          </cell>
          <cell r="K6">
            <v>8330</v>
          </cell>
          <cell r="L6">
            <v>0</v>
          </cell>
        </row>
        <row r="7">
          <cell r="J7">
            <v>128450</v>
          </cell>
          <cell r="K7">
            <v>15414</v>
          </cell>
          <cell r="L7">
            <v>114750</v>
          </cell>
        </row>
        <row r="8">
          <cell r="J8">
            <v>24200</v>
          </cell>
          <cell r="K8">
            <v>2904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7"/>
      <sheetData sheetId="28"/>
      <sheetData sheetId="29"/>
      <sheetData sheetId="30"/>
      <sheetData sheetId="31"/>
      <sheetData sheetId="32">
        <row r="4">
          <cell r="J4">
            <v>0</v>
          </cell>
        </row>
        <row r="5">
          <cell r="J5">
            <v>0</v>
          </cell>
        </row>
      </sheetData>
      <sheetData sheetId="33"/>
      <sheetData sheetId="34"/>
      <sheetData sheetId="35">
        <row r="4">
          <cell r="J4">
            <v>-12364</v>
          </cell>
          <cell r="K4">
            <v>-1050940</v>
          </cell>
        </row>
        <row r="5">
          <cell r="J5">
            <v>0</v>
          </cell>
          <cell r="K5">
            <v>0</v>
          </cell>
        </row>
      </sheetData>
      <sheetData sheetId="36"/>
      <sheetData sheetId="37">
        <row r="4">
          <cell r="J4">
            <v>0</v>
          </cell>
        </row>
        <row r="5">
          <cell r="J5">
            <v>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223559.5</v>
          </cell>
        </row>
        <row r="12">
          <cell r="G12">
            <v>35000</v>
          </cell>
        </row>
        <row r="19">
          <cell r="D19">
            <v>371000</v>
          </cell>
          <cell r="E19">
            <v>48230</v>
          </cell>
          <cell r="F19">
            <v>30000</v>
          </cell>
        </row>
        <row r="22">
          <cell r="G22">
            <v>11835</v>
          </cell>
        </row>
      </sheetData>
      <sheetData sheetId="10"/>
      <sheetData sheetId="11">
        <row r="4">
          <cell r="J4">
            <v>130050</v>
          </cell>
          <cell r="K4">
            <v>16906.5</v>
          </cell>
          <cell r="L4">
            <v>42500</v>
          </cell>
        </row>
        <row r="5">
          <cell r="J5">
            <v>44400</v>
          </cell>
          <cell r="K5">
            <v>5772</v>
          </cell>
          <cell r="L5">
            <v>52000</v>
          </cell>
        </row>
        <row r="6">
          <cell r="J6">
            <v>3500</v>
          </cell>
          <cell r="K6">
            <v>455</v>
          </cell>
          <cell r="L6">
            <v>0</v>
          </cell>
        </row>
      </sheetData>
      <sheetData sheetId="12">
        <row r="4">
          <cell r="J4">
            <v>147750</v>
          </cell>
          <cell r="K4">
            <v>19207.5</v>
          </cell>
          <cell r="L4">
            <v>89250</v>
          </cell>
        </row>
        <row r="5">
          <cell r="J5">
            <v>40500</v>
          </cell>
          <cell r="K5">
            <v>5265</v>
          </cell>
          <cell r="L5">
            <v>0</v>
          </cell>
        </row>
        <row r="6">
          <cell r="J6">
            <v>4800</v>
          </cell>
          <cell r="K6">
            <v>624</v>
          </cell>
          <cell r="L6">
            <v>16000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8000</v>
          </cell>
          <cell r="K4">
            <v>960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210550</v>
          </cell>
          <cell r="K4">
            <v>25266</v>
          </cell>
          <cell r="L4">
            <v>102000</v>
          </cell>
        </row>
        <row r="5">
          <cell r="J5">
            <v>151600</v>
          </cell>
          <cell r="K5">
            <v>18192</v>
          </cell>
          <cell r="L5">
            <v>208000</v>
          </cell>
        </row>
        <row r="7">
          <cell r="J7">
            <v>50000</v>
          </cell>
          <cell r="K7">
            <v>6000</v>
          </cell>
          <cell r="L7">
            <v>84000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504300</v>
          </cell>
          <cell r="K4">
            <v>60516</v>
          </cell>
          <cell r="L4">
            <v>603500</v>
          </cell>
        </row>
        <row r="5">
          <cell r="J5">
            <v>403900</v>
          </cell>
          <cell r="K5">
            <v>48468</v>
          </cell>
          <cell r="L5">
            <v>17000</v>
          </cell>
        </row>
        <row r="6">
          <cell r="J6">
            <v>80800</v>
          </cell>
          <cell r="K6">
            <v>8080</v>
          </cell>
          <cell r="L6">
            <v>650000</v>
          </cell>
        </row>
        <row r="7">
          <cell r="J7">
            <v>82450</v>
          </cell>
          <cell r="K7">
            <v>9894</v>
          </cell>
          <cell r="L7">
            <v>42500</v>
          </cell>
        </row>
        <row r="8">
          <cell r="J8">
            <v>124750</v>
          </cell>
          <cell r="K8">
            <v>14970</v>
          </cell>
          <cell r="L8">
            <v>17000</v>
          </cell>
        </row>
        <row r="9">
          <cell r="J9">
            <v>85500</v>
          </cell>
          <cell r="K9">
            <v>10260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27100</v>
          </cell>
          <cell r="K4">
            <v>3252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85550</v>
          </cell>
          <cell r="K4">
            <v>10266</v>
          </cell>
          <cell r="L4">
            <v>68000</v>
          </cell>
        </row>
        <row r="5">
          <cell r="J5">
            <v>99100</v>
          </cell>
          <cell r="K5">
            <v>11892</v>
          </cell>
          <cell r="L5">
            <v>110500</v>
          </cell>
        </row>
        <row r="6">
          <cell r="J6">
            <v>11200</v>
          </cell>
          <cell r="K6">
            <v>1120</v>
          </cell>
          <cell r="L6">
            <v>100000</v>
          </cell>
        </row>
        <row r="7">
          <cell r="J7">
            <v>38500</v>
          </cell>
          <cell r="K7">
            <v>4620</v>
          </cell>
          <cell r="L7">
            <v>0</v>
          </cell>
        </row>
        <row r="8">
          <cell r="J8">
            <v>7100</v>
          </cell>
          <cell r="K8">
            <v>852</v>
          </cell>
          <cell r="L8">
            <v>0</v>
          </cell>
        </row>
      </sheetData>
      <sheetData sheetId="20">
        <row r="4">
          <cell r="J4">
            <v>103650</v>
          </cell>
          <cell r="K4">
            <v>12438</v>
          </cell>
          <cell r="L4">
            <v>114750</v>
          </cell>
        </row>
        <row r="5">
          <cell r="J5">
            <v>38200</v>
          </cell>
          <cell r="K5">
            <v>4584</v>
          </cell>
          <cell r="L5">
            <v>0</v>
          </cell>
        </row>
      </sheetData>
      <sheetData sheetId="21">
        <row r="4">
          <cell r="J4">
            <v>104250</v>
          </cell>
          <cell r="K4">
            <v>15637.5</v>
          </cell>
          <cell r="L4">
            <v>112000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37050</v>
          </cell>
          <cell r="K4">
            <v>4446</v>
          </cell>
          <cell r="L4">
            <v>42500</v>
          </cell>
        </row>
        <row r="5">
          <cell r="J5">
            <v>9850</v>
          </cell>
          <cell r="K5">
            <v>1182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1200</v>
          </cell>
          <cell r="K7">
            <v>144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584250</v>
          </cell>
          <cell r="K4">
            <v>70110</v>
          </cell>
          <cell r="L4">
            <v>637500</v>
          </cell>
        </row>
        <row r="5">
          <cell r="J5">
            <v>507000</v>
          </cell>
          <cell r="K5">
            <v>60840</v>
          </cell>
          <cell r="L5">
            <v>340000</v>
          </cell>
        </row>
        <row r="6">
          <cell r="J6">
            <v>158850</v>
          </cell>
          <cell r="K6">
            <v>15885</v>
          </cell>
          <cell r="L6">
            <v>610000</v>
          </cell>
        </row>
        <row r="7">
          <cell r="J7">
            <v>81250</v>
          </cell>
          <cell r="K7">
            <v>9750</v>
          </cell>
          <cell r="L7">
            <v>51000</v>
          </cell>
        </row>
        <row r="8">
          <cell r="J8">
            <v>120600</v>
          </cell>
          <cell r="K8">
            <v>14472</v>
          </cell>
          <cell r="L8">
            <v>119000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173400</v>
          </cell>
          <cell r="K4">
            <v>20808</v>
          </cell>
          <cell r="L4">
            <v>242250</v>
          </cell>
        </row>
        <row r="5">
          <cell r="J5">
            <v>175500</v>
          </cell>
          <cell r="K5">
            <v>21060</v>
          </cell>
          <cell r="L5">
            <v>255000</v>
          </cell>
        </row>
        <row r="6">
          <cell r="J6">
            <v>81500</v>
          </cell>
          <cell r="K6">
            <v>8150</v>
          </cell>
          <cell r="L6">
            <v>220000</v>
          </cell>
        </row>
        <row r="7">
          <cell r="J7">
            <v>74400</v>
          </cell>
          <cell r="K7">
            <v>8928</v>
          </cell>
          <cell r="L7">
            <v>106250</v>
          </cell>
        </row>
        <row r="8">
          <cell r="J8">
            <v>18150</v>
          </cell>
          <cell r="K8">
            <v>2178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111541.5</v>
          </cell>
        </row>
        <row r="12">
          <cell r="G12">
            <v>35000</v>
          </cell>
        </row>
        <row r="19">
          <cell r="D19">
            <v>457400</v>
          </cell>
          <cell r="E19">
            <v>59462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144050</v>
          </cell>
          <cell r="K4">
            <v>18726.5</v>
          </cell>
          <cell r="L4">
            <v>484500</v>
          </cell>
        </row>
        <row r="5">
          <cell r="J5">
            <v>48250</v>
          </cell>
          <cell r="K5">
            <v>6272.5</v>
          </cell>
          <cell r="L5">
            <v>0</v>
          </cell>
        </row>
        <row r="6">
          <cell r="J6">
            <v>13400</v>
          </cell>
          <cell r="K6">
            <v>1742</v>
          </cell>
          <cell r="L6">
            <v>0</v>
          </cell>
        </row>
      </sheetData>
      <sheetData sheetId="12">
        <row r="4">
          <cell r="J4">
            <v>194700</v>
          </cell>
          <cell r="K4">
            <v>25311</v>
          </cell>
          <cell r="L4">
            <v>89250</v>
          </cell>
        </row>
        <row r="5">
          <cell r="J5">
            <v>47800</v>
          </cell>
          <cell r="K5">
            <v>6214</v>
          </cell>
          <cell r="L5">
            <v>116000</v>
          </cell>
        </row>
        <row r="6">
          <cell r="J6">
            <v>9200</v>
          </cell>
          <cell r="K6">
            <v>1196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195550</v>
          </cell>
          <cell r="K4">
            <v>23466</v>
          </cell>
          <cell r="L4">
            <v>119000</v>
          </cell>
        </row>
        <row r="5">
          <cell r="J5">
            <v>165150</v>
          </cell>
          <cell r="K5">
            <v>19818</v>
          </cell>
          <cell r="L5">
            <v>0</v>
          </cell>
        </row>
        <row r="7">
          <cell r="J7">
            <v>61300</v>
          </cell>
          <cell r="K7">
            <v>7356</v>
          </cell>
          <cell r="L7">
            <v>120000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547450</v>
          </cell>
          <cell r="K4">
            <v>65694</v>
          </cell>
          <cell r="L4">
            <v>1024250</v>
          </cell>
        </row>
        <row r="5">
          <cell r="J5">
            <v>420700</v>
          </cell>
          <cell r="K5">
            <v>50484</v>
          </cell>
          <cell r="L5">
            <v>255000</v>
          </cell>
        </row>
        <row r="6">
          <cell r="J6">
            <v>73450</v>
          </cell>
          <cell r="K6">
            <v>7345</v>
          </cell>
          <cell r="L6">
            <v>400000</v>
          </cell>
        </row>
        <row r="7">
          <cell r="J7">
            <v>24500</v>
          </cell>
          <cell r="K7">
            <v>2940</v>
          </cell>
          <cell r="L7">
            <v>17000</v>
          </cell>
        </row>
        <row r="8">
          <cell r="J8">
            <v>47000</v>
          </cell>
          <cell r="K8">
            <v>5640</v>
          </cell>
          <cell r="L8">
            <v>127500</v>
          </cell>
        </row>
        <row r="9">
          <cell r="J9">
            <v>75100</v>
          </cell>
          <cell r="K9">
            <v>9012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25600</v>
          </cell>
          <cell r="K4">
            <v>3072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127950</v>
          </cell>
          <cell r="K4">
            <v>15354</v>
          </cell>
          <cell r="L4">
            <v>174250</v>
          </cell>
        </row>
        <row r="5">
          <cell r="J5">
            <v>79100</v>
          </cell>
          <cell r="K5">
            <v>9492</v>
          </cell>
          <cell r="L5">
            <v>25500</v>
          </cell>
        </row>
        <row r="6">
          <cell r="J6">
            <v>9400</v>
          </cell>
          <cell r="K6">
            <v>940</v>
          </cell>
          <cell r="L6">
            <v>0</v>
          </cell>
        </row>
        <row r="7">
          <cell r="J7">
            <v>69000</v>
          </cell>
          <cell r="K7">
            <v>8280</v>
          </cell>
          <cell r="L7">
            <v>29750</v>
          </cell>
        </row>
        <row r="8">
          <cell r="J8">
            <v>5650</v>
          </cell>
          <cell r="K8">
            <v>678</v>
          </cell>
          <cell r="L8">
            <v>0</v>
          </cell>
        </row>
      </sheetData>
      <sheetData sheetId="20">
        <row r="4">
          <cell r="J4">
            <v>103050</v>
          </cell>
          <cell r="K4">
            <v>12366</v>
          </cell>
          <cell r="L4">
            <v>127500</v>
          </cell>
        </row>
        <row r="5">
          <cell r="J5">
            <v>38750</v>
          </cell>
          <cell r="K5">
            <v>4650</v>
          </cell>
          <cell r="L5">
            <v>0</v>
          </cell>
        </row>
      </sheetData>
      <sheetData sheetId="21">
        <row r="4">
          <cell r="J4">
            <v>110050</v>
          </cell>
          <cell r="K4">
            <v>16507.5</v>
          </cell>
          <cell r="L4">
            <v>272000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43750</v>
          </cell>
          <cell r="K4">
            <v>5250</v>
          </cell>
          <cell r="L4">
            <v>42500</v>
          </cell>
        </row>
        <row r="5">
          <cell r="J5">
            <v>22700</v>
          </cell>
          <cell r="K5">
            <v>2724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12800</v>
          </cell>
          <cell r="K7">
            <v>1536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544550</v>
          </cell>
          <cell r="K4">
            <v>65346</v>
          </cell>
          <cell r="L4">
            <v>624750</v>
          </cell>
        </row>
        <row r="5">
          <cell r="J5">
            <v>479450</v>
          </cell>
          <cell r="K5">
            <v>57534</v>
          </cell>
          <cell r="L5">
            <v>446250</v>
          </cell>
        </row>
        <row r="6">
          <cell r="J6">
            <v>113500</v>
          </cell>
          <cell r="K6">
            <v>11350</v>
          </cell>
          <cell r="L6">
            <v>10000</v>
          </cell>
        </row>
        <row r="7">
          <cell r="J7">
            <v>148650</v>
          </cell>
          <cell r="K7">
            <v>17838</v>
          </cell>
          <cell r="L7">
            <v>102000</v>
          </cell>
        </row>
        <row r="8">
          <cell r="J8">
            <v>104300</v>
          </cell>
          <cell r="K8">
            <v>12516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213650</v>
          </cell>
          <cell r="K4">
            <v>25638</v>
          </cell>
          <cell r="L4">
            <v>344250</v>
          </cell>
        </row>
        <row r="5">
          <cell r="J5">
            <v>204100</v>
          </cell>
          <cell r="K5">
            <v>24492</v>
          </cell>
          <cell r="L5">
            <v>284750</v>
          </cell>
        </row>
        <row r="6">
          <cell r="J6">
            <v>82350</v>
          </cell>
          <cell r="K6">
            <v>8235</v>
          </cell>
          <cell r="L6">
            <v>20000</v>
          </cell>
        </row>
        <row r="7">
          <cell r="J7">
            <v>118300</v>
          </cell>
          <cell r="K7">
            <v>14196</v>
          </cell>
          <cell r="L7">
            <v>59500</v>
          </cell>
        </row>
        <row r="8">
          <cell r="J8">
            <v>24000</v>
          </cell>
          <cell r="K8">
            <v>2880</v>
          </cell>
          <cell r="L8">
            <v>55250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50908</v>
          </cell>
        </row>
        <row r="12">
          <cell r="G12">
            <v>20000</v>
          </cell>
        </row>
        <row r="19">
          <cell r="D19">
            <v>368250</v>
          </cell>
          <cell r="E19">
            <v>47872.5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120200</v>
          </cell>
          <cell r="K4">
            <v>15626</v>
          </cell>
          <cell r="L4">
            <v>29750</v>
          </cell>
        </row>
        <row r="5">
          <cell r="J5">
            <v>45950</v>
          </cell>
          <cell r="K5">
            <v>5973.5</v>
          </cell>
          <cell r="L5">
            <v>8000</v>
          </cell>
        </row>
        <row r="6">
          <cell r="J6">
            <v>4300</v>
          </cell>
          <cell r="K6">
            <v>559</v>
          </cell>
          <cell r="L6">
            <v>0</v>
          </cell>
        </row>
      </sheetData>
      <sheetData sheetId="12">
        <row r="4">
          <cell r="J4">
            <v>165300</v>
          </cell>
          <cell r="K4">
            <v>21489</v>
          </cell>
          <cell r="L4">
            <v>42500</v>
          </cell>
        </row>
        <row r="5">
          <cell r="J5">
            <v>28100</v>
          </cell>
          <cell r="K5">
            <v>3653</v>
          </cell>
          <cell r="L5">
            <v>0</v>
          </cell>
        </row>
        <row r="6">
          <cell r="J6">
            <v>4400</v>
          </cell>
          <cell r="K6">
            <v>572</v>
          </cell>
          <cell r="L6">
            <v>36000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147900</v>
          </cell>
          <cell r="K4">
            <v>17748</v>
          </cell>
          <cell r="L4">
            <v>102000</v>
          </cell>
        </row>
        <row r="5">
          <cell r="J5">
            <v>145650</v>
          </cell>
          <cell r="K5">
            <v>17478</v>
          </cell>
          <cell r="L5">
            <v>160000</v>
          </cell>
        </row>
        <row r="7">
          <cell r="J7">
            <v>20350</v>
          </cell>
          <cell r="K7">
            <v>2442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420600</v>
          </cell>
          <cell r="K4">
            <v>50472</v>
          </cell>
          <cell r="L4">
            <v>63750</v>
          </cell>
        </row>
        <row r="5">
          <cell r="J5">
            <v>354900</v>
          </cell>
          <cell r="K5">
            <v>42588</v>
          </cell>
          <cell r="L5">
            <v>675750</v>
          </cell>
        </row>
        <row r="6">
          <cell r="J6">
            <v>71600</v>
          </cell>
          <cell r="K6">
            <v>7160</v>
          </cell>
          <cell r="L6">
            <v>0</v>
          </cell>
        </row>
        <row r="7">
          <cell r="J7">
            <v>35100</v>
          </cell>
          <cell r="K7">
            <v>4212</v>
          </cell>
          <cell r="L7">
            <v>25500</v>
          </cell>
        </row>
        <row r="8">
          <cell r="J8">
            <v>15750</v>
          </cell>
          <cell r="K8">
            <v>1890</v>
          </cell>
          <cell r="L8">
            <v>8500</v>
          </cell>
        </row>
        <row r="9">
          <cell r="J9">
            <v>74850</v>
          </cell>
          <cell r="K9">
            <v>8982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7900</v>
          </cell>
          <cell r="K4">
            <v>948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51700</v>
          </cell>
          <cell r="K4">
            <v>6204</v>
          </cell>
          <cell r="L4">
            <v>0</v>
          </cell>
        </row>
        <row r="5">
          <cell r="J5">
            <v>55400</v>
          </cell>
          <cell r="K5">
            <v>6648</v>
          </cell>
          <cell r="L5">
            <v>110500</v>
          </cell>
        </row>
        <row r="6">
          <cell r="J6">
            <v>3800</v>
          </cell>
          <cell r="K6">
            <v>380</v>
          </cell>
          <cell r="L6">
            <v>0</v>
          </cell>
        </row>
        <row r="7">
          <cell r="J7">
            <v>47600</v>
          </cell>
          <cell r="K7">
            <v>5712</v>
          </cell>
          <cell r="L7">
            <v>21250</v>
          </cell>
        </row>
        <row r="8">
          <cell r="J8">
            <v>4700</v>
          </cell>
          <cell r="K8">
            <v>564</v>
          </cell>
          <cell r="L8">
            <v>17000</v>
          </cell>
        </row>
      </sheetData>
      <sheetData sheetId="20">
        <row r="4">
          <cell r="J4">
            <v>118000</v>
          </cell>
          <cell r="K4">
            <v>14160</v>
          </cell>
          <cell r="L4">
            <v>34000</v>
          </cell>
        </row>
        <row r="5">
          <cell r="J5">
            <v>71700</v>
          </cell>
          <cell r="K5">
            <v>8604</v>
          </cell>
          <cell r="L5">
            <v>40000</v>
          </cell>
        </row>
      </sheetData>
      <sheetData sheetId="21">
        <row r="4">
          <cell r="J4">
            <v>90250</v>
          </cell>
          <cell r="K4">
            <v>13537.5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61900</v>
          </cell>
          <cell r="K4">
            <v>7428</v>
          </cell>
          <cell r="L4">
            <v>21250</v>
          </cell>
        </row>
        <row r="5">
          <cell r="J5">
            <v>17850</v>
          </cell>
          <cell r="K5">
            <v>2142</v>
          </cell>
          <cell r="L5">
            <v>80000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7500</v>
          </cell>
          <cell r="K7">
            <v>900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482700</v>
          </cell>
          <cell r="K4">
            <v>57924</v>
          </cell>
          <cell r="L4">
            <v>221000</v>
          </cell>
        </row>
        <row r="5">
          <cell r="J5">
            <v>406600</v>
          </cell>
          <cell r="K5">
            <v>48792</v>
          </cell>
          <cell r="L5">
            <v>756500</v>
          </cell>
        </row>
        <row r="6">
          <cell r="J6">
            <v>67250</v>
          </cell>
          <cell r="K6">
            <v>6725</v>
          </cell>
          <cell r="L6">
            <v>0</v>
          </cell>
        </row>
        <row r="7">
          <cell r="J7">
            <v>93350</v>
          </cell>
          <cell r="K7">
            <v>11202</v>
          </cell>
          <cell r="L7">
            <v>119000</v>
          </cell>
        </row>
        <row r="8">
          <cell r="J8">
            <v>82150</v>
          </cell>
          <cell r="K8">
            <v>9858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212350</v>
          </cell>
          <cell r="K4">
            <v>25482</v>
          </cell>
          <cell r="L4">
            <v>259250</v>
          </cell>
        </row>
        <row r="5">
          <cell r="J5">
            <v>194800</v>
          </cell>
          <cell r="K5">
            <v>23376</v>
          </cell>
          <cell r="L5">
            <v>174250</v>
          </cell>
        </row>
        <row r="6">
          <cell r="J6">
            <v>81600</v>
          </cell>
          <cell r="K6">
            <v>8160</v>
          </cell>
          <cell r="L6">
            <v>0</v>
          </cell>
        </row>
        <row r="7">
          <cell r="J7">
            <v>106500</v>
          </cell>
          <cell r="K7">
            <v>12780</v>
          </cell>
          <cell r="L7">
            <v>12750</v>
          </cell>
        </row>
        <row r="8">
          <cell r="J8">
            <v>15300</v>
          </cell>
          <cell r="K8">
            <v>1836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gitaPRIMERA (2)"/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/>
      <sheetData sheetId="1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1">
          <cell r="G11">
            <v>71217.300000000047</v>
          </cell>
        </row>
        <row r="12">
          <cell r="G12">
            <v>15000</v>
          </cell>
        </row>
        <row r="19">
          <cell r="D19">
            <v>394050</v>
          </cell>
          <cell r="E19">
            <v>51226.5</v>
          </cell>
          <cell r="F19">
            <v>30000</v>
          </cell>
        </row>
        <row r="22">
          <cell r="G22">
            <v>-253229.8</v>
          </cell>
        </row>
      </sheetData>
      <sheetData sheetId="11"/>
      <sheetData sheetId="12">
        <row r="4">
          <cell r="J4">
            <v>165900</v>
          </cell>
          <cell r="K4">
            <v>21567</v>
          </cell>
          <cell r="L4">
            <v>238000</v>
          </cell>
        </row>
        <row r="5">
          <cell r="J5">
            <v>41000</v>
          </cell>
          <cell r="K5">
            <v>5330</v>
          </cell>
          <cell r="L5">
            <v>0</v>
          </cell>
        </row>
        <row r="6">
          <cell r="J6">
            <v>3200</v>
          </cell>
          <cell r="K6">
            <v>416</v>
          </cell>
          <cell r="L6">
            <v>32000</v>
          </cell>
        </row>
      </sheetData>
      <sheetData sheetId="13">
        <row r="4">
          <cell r="J4">
            <v>161600</v>
          </cell>
          <cell r="K4">
            <v>21008</v>
          </cell>
          <cell r="L4">
            <v>80750</v>
          </cell>
        </row>
        <row r="5">
          <cell r="J5">
            <v>19050</v>
          </cell>
          <cell r="K5">
            <v>2476.5</v>
          </cell>
          <cell r="L5">
            <v>0</v>
          </cell>
        </row>
        <row r="6">
          <cell r="J6">
            <v>3300</v>
          </cell>
          <cell r="K6">
            <v>429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6">
        <row r="4">
          <cell r="J4">
            <v>165300</v>
          </cell>
          <cell r="K4">
            <v>19836</v>
          </cell>
          <cell r="L4">
            <v>161500</v>
          </cell>
        </row>
        <row r="5">
          <cell r="J5">
            <v>200800</v>
          </cell>
          <cell r="K5">
            <v>24096</v>
          </cell>
          <cell r="L5">
            <v>24000</v>
          </cell>
        </row>
        <row r="7">
          <cell r="J7">
            <v>33350</v>
          </cell>
          <cell r="K7">
            <v>4002</v>
          </cell>
          <cell r="L7">
            <v>136000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8">
        <row r="4">
          <cell r="J4">
            <v>327000</v>
          </cell>
          <cell r="K4">
            <v>39240</v>
          </cell>
          <cell r="L4">
            <v>174250</v>
          </cell>
        </row>
        <row r="5">
          <cell r="J5">
            <v>344650</v>
          </cell>
          <cell r="K5">
            <v>41358</v>
          </cell>
          <cell r="L5">
            <v>246500</v>
          </cell>
        </row>
        <row r="6">
          <cell r="J6">
            <v>85050</v>
          </cell>
          <cell r="K6">
            <v>8505</v>
          </cell>
          <cell r="L6">
            <v>0</v>
          </cell>
        </row>
        <row r="7">
          <cell r="J7">
            <v>68850</v>
          </cell>
          <cell r="K7">
            <v>8262</v>
          </cell>
          <cell r="L7">
            <v>148750</v>
          </cell>
        </row>
        <row r="8">
          <cell r="J8">
            <v>90450</v>
          </cell>
          <cell r="K8">
            <v>10854</v>
          </cell>
          <cell r="L8">
            <v>85000</v>
          </cell>
        </row>
        <row r="9">
          <cell r="J9">
            <v>55000</v>
          </cell>
          <cell r="K9">
            <v>6600</v>
          </cell>
          <cell r="L9">
            <v>0</v>
          </cell>
        </row>
        <row r="10">
          <cell r="J10">
            <v>13350</v>
          </cell>
          <cell r="K10">
            <v>1602</v>
          </cell>
          <cell r="L10">
            <v>0</v>
          </cell>
        </row>
      </sheetData>
      <sheetData sheetId="19">
        <row r="4">
          <cell r="J4">
            <v>27600</v>
          </cell>
          <cell r="K4">
            <v>3312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20">
        <row r="4">
          <cell r="J4">
            <v>37900</v>
          </cell>
          <cell r="K4">
            <v>4548</v>
          </cell>
          <cell r="L4">
            <v>21250</v>
          </cell>
        </row>
        <row r="5">
          <cell r="J5">
            <v>49750</v>
          </cell>
          <cell r="K5">
            <v>5970</v>
          </cell>
          <cell r="L5">
            <v>0</v>
          </cell>
        </row>
        <row r="6">
          <cell r="J6">
            <v>2100</v>
          </cell>
          <cell r="K6">
            <v>210</v>
          </cell>
          <cell r="L6">
            <v>0</v>
          </cell>
        </row>
        <row r="7">
          <cell r="J7">
            <v>25450</v>
          </cell>
          <cell r="K7">
            <v>3054</v>
          </cell>
          <cell r="L7">
            <v>42500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1">
        <row r="4">
          <cell r="J4">
            <v>111550</v>
          </cell>
          <cell r="K4">
            <v>13386</v>
          </cell>
          <cell r="L4">
            <v>8500</v>
          </cell>
        </row>
        <row r="5">
          <cell r="J5">
            <v>52600</v>
          </cell>
          <cell r="K5">
            <v>6312</v>
          </cell>
          <cell r="L5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4">
        <row r="4">
          <cell r="J4">
            <v>75450</v>
          </cell>
          <cell r="K4">
            <v>9054</v>
          </cell>
          <cell r="L4">
            <v>85000</v>
          </cell>
        </row>
        <row r="5">
          <cell r="J5">
            <v>12450</v>
          </cell>
          <cell r="K5">
            <v>1494</v>
          </cell>
          <cell r="L5">
            <v>0</v>
          </cell>
        </row>
        <row r="6">
          <cell r="J6">
            <v>6500</v>
          </cell>
          <cell r="K6">
            <v>650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5">
        <row r="4">
          <cell r="J4">
            <v>541350</v>
          </cell>
          <cell r="K4">
            <v>64962</v>
          </cell>
          <cell r="L4">
            <v>301750</v>
          </cell>
        </row>
        <row r="5">
          <cell r="J5">
            <v>486100</v>
          </cell>
          <cell r="K5">
            <v>58332</v>
          </cell>
          <cell r="L5">
            <v>136000</v>
          </cell>
        </row>
        <row r="6">
          <cell r="J6">
            <v>80650</v>
          </cell>
          <cell r="K6">
            <v>8065</v>
          </cell>
          <cell r="L6">
            <v>120000</v>
          </cell>
        </row>
        <row r="7">
          <cell r="J7">
            <v>119450</v>
          </cell>
          <cell r="K7">
            <v>14334</v>
          </cell>
          <cell r="L7">
            <v>293250</v>
          </cell>
        </row>
        <row r="8">
          <cell r="J8">
            <v>69000</v>
          </cell>
          <cell r="K8">
            <v>8280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>
        <row r="4">
          <cell r="J4">
            <v>220050</v>
          </cell>
          <cell r="K4">
            <v>26406</v>
          </cell>
          <cell r="L4">
            <v>119000</v>
          </cell>
        </row>
        <row r="5">
          <cell r="J5">
            <v>228800</v>
          </cell>
          <cell r="K5">
            <v>27456</v>
          </cell>
          <cell r="L5">
            <v>76500</v>
          </cell>
        </row>
        <row r="6">
          <cell r="J6">
            <v>86200</v>
          </cell>
          <cell r="K6">
            <v>8620</v>
          </cell>
          <cell r="L6">
            <v>120000</v>
          </cell>
        </row>
        <row r="7">
          <cell r="J7">
            <v>123250</v>
          </cell>
          <cell r="K7">
            <v>14790</v>
          </cell>
          <cell r="L7">
            <v>340000</v>
          </cell>
        </row>
        <row r="8">
          <cell r="J8">
            <v>35750</v>
          </cell>
          <cell r="K8">
            <v>4290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7"/>
      <sheetData sheetId="28"/>
      <sheetData sheetId="29"/>
      <sheetData sheetId="30"/>
      <sheetData sheetId="31"/>
      <sheetData sheetId="32">
        <row r="4">
          <cell r="J4">
            <v>0</v>
          </cell>
        </row>
        <row r="5">
          <cell r="J5">
            <v>0</v>
          </cell>
        </row>
      </sheetData>
      <sheetData sheetId="33"/>
      <sheetData sheetId="34"/>
      <sheetData sheetId="35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6"/>
      <sheetData sheetId="37">
        <row r="4">
          <cell r="J4">
            <v>0</v>
          </cell>
        </row>
        <row r="5">
          <cell r="J5">
            <v>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ul Watson" refreshedDate="45933.789616898146" createdVersion="7" refreshedVersion="6" minRefreshableVersion="3" recordCount="32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ivotTable" Target="../pivotTables/pivotTable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5" zeroHeight="1"/>
  <cols>
    <col min="1" max="1" width="27.5703125" style="34" customWidth="1"/>
    <col min="2" max="2" width="16.5703125" style="34" bestFit="1" customWidth="1"/>
    <col min="3" max="3" width="15" style="34" bestFit="1" customWidth="1"/>
    <col min="4" max="4" width="16.5703125" style="34" bestFit="1" customWidth="1"/>
    <col min="5" max="5" width="13.42578125" style="34" bestFit="1" customWidth="1"/>
    <col min="6" max="6" width="15.140625" style="34" bestFit="1" customWidth="1"/>
    <col min="7" max="7" width="9.140625" style="34" customWidth="1"/>
    <col min="8" max="8" width="13.85546875" style="34" customWidth="1"/>
    <col min="9" max="11" width="9.140625" style="34" customWidth="1"/>
    <col min="12" max="14" width="11.5703125" style="34" hidden="1" customWidth="1"/>
    <col min="15" max="1015" width="9.140625" style="34" hidden="1" customWidth="1"/>
    <col min="1016" max="16384" width="9.140625" hidden="1"/>
  </cols>
  <sheetData>
    <row r="1" spans="1:6" ht="15.75" thickBot="1"/>
    <row r="2" spans="1:6" s="40" customFormat="1" ht="32.25" thickBot="1">
      <c r="A2" s="35" t="s">
        <v>47</v>
      </c>
      <c r="B2" s="36" t="s">
        <v>15</v>
      </c>
      <c r="C2" s="37" t="s">
        <v>16</v>
      </c>
      <c r="D2" s="37" t="s">
        <v>137</v>
      </c>
      <c r="E2" s="38" t="s">
        <v>18</v>
      </c>
      <c r="F2" s="39" t="s">
        <v>19</v>
      </c>
    </row>
    <row r="3" spans="1:6" ht="15.75">
      <c r="A3" s="41" t="str">
        <f>Vendedor1!B2</f>
        <v>PANAS</v>
      </c>
      <c r="B3" s="44">
        <f>Vendedor1!K$37</f>
        <v>7981300</v>
      </c>
      <c r="C3" s="42">
        <f>Vendedor1!L$37</f>
        <v>1037400</v>
      </c>
      <c r="D3" s="42">
        <f>Vendedor1!M$37</f>
        <v>6404000</v>
      </c>
      <c r="E3" s="43">
        <f>Vendedor1!N$37</f>
        <v>0</v>
      </c>
      <c r="F3" s="45">
        <f>Vendedor1!O$37</f>
        <v>539900</v>
      </c>
    </row>
    <row r="4" spans="1:6" ht="15.75">
      <c r="A4" s="46" t="str">
        <f>+Vendedor2!B$2</f>
        <v>PANAS #2</v>
      </c>
      <c r="B4" s="44">
        <f>+Vendedor2!K$37</f>
        <v>6197400</v>
      </c>
      <c r="C4" s="42">
        <f>+Vendedor2!L$37</f>
        <v>805450</v>
      </c>
      <c r="D4" s="42">
        <f>+Vendedor2!M$37</f>
        <v>4761500</v>
      </c>
      <c r="E4" s="43">
        <f>Vendedor2!N$37</f>
        <v>0</v>
      </c>
      <c r="F4" s="45">
        <f>+Vendedor2!O$37</f>
        <v>630450</v>
      </c>
    </row>
    <row r="5" spans="1:6" ht="15.7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75">
      <c r="A6" s="46" t="str">
        <f>+Vendedor4!B$2</f>
        <v>VENDEDOR 4</v>
      </c>
      <c r="B6" s="44">
        <f>+Vendedor4!K$37</f>
        <v>36750</v>
      </c>
      <c r="C6" s="42">
        <f>+Vendedor4!L$37</f>
        <v>24430</v>
      </c>
      <c r="D6" s="42">
        <f>+Vendedor4!M$37</f>
        <v>0</v>
      </c>
      <c r="E6" s="43">
        <f>Vendedor4!N$37</f>
        <v>0</v>
      </c>
      <c r="F6" s="45">
        <f>+Vendedor4!O$37</f>
        <v>12320</v>
      </c>
    </row>
    <row r="7" spans="1:6" ht="15.75">
      <c r="A7" s="46" t="str">
        <f>+Vendedor5!B$2</f>
        <v>YOYO</v>
      </c>
      <c r="B7" s="44">
        <f>+Vendedor5!K$37</f>
        <v>9109250</v>
      </c>
      <c r="C7" s="42">
        <f>+Vendedor5!L$37</f>
        <v>1093050</v>
      </c>
      <c r="D7" s="42">
        <f>+Vendedor5!M$37</f>
        <v>7432000</v>
      </c>
      <c r="E7" s="43">
        <f>Vendedor5!N$37</f>
        <v>0</v>
      </c>
      <c r="F7" s="45">
        <f>+Vendedor5!O$37</f>
        <v>584200</v>
      </c>
    </row>
    <row r="8" spans="1:6" ht="15.7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75">
      <c r="A9" s="46" t="str">
        <f>+Vendedor7!B$2</f>
        <v>PIKIS</v>
      </c>
      <c r="B9" s="44">
        <f>+Vendedor7!W$37</f>
        <v>33924450</v>
      </c>
      <c r="C9" s="42">
        <f>+Vendedor7!X$37</f>
        <v>4025271</v>
      </c>
      <c r="D9" s="42">
        <f>+Vendedor7!Y$37</f>
        <v>29995500</v>
      </c>
      <c r="E9" s="43">
        <f>Vendedor7!Z$37</f>
        <v>0</v>
      </c>
      <c r="F9" s="45">
        <f>+Vendedor7!AA$37</f>
        <v>-96321</v>
      </c>
    </row>
    <row r="10" spans="1:6" ht="15.75">
      <c r="A10" s="46" t="str">
        <f>+Vendedor8!B$2</f>
        <v>ISA MAYO</v>
      </c>
      <c r="B10" s="44">
        <f>+Vendedor8!K$37</f>
        <v>857950</v>
      </c>
      <c r="C10" s="42">
        <f>+Vendedor8!L$37</f>
        <v>103000</v>
      </c>
      <c r="D10" s="42">
        <f>+Vendedor8!M$37</f>
        <v>705500</v>
      </c>
      <c r="E10" s="43">
        <f>Vendedor8!N$37</f>
        <v>0</v>
      </c>
      <c r="F10" s="45">
        <f>+Vendedor8!O$37</f>
        <v>49450</v>
      </c>
    </row>
    <row r="11" spans="1:6" ht="15.75">
      <c r="A11" s="46" t="str">
        <f>+Vendedor9!B$2</f>
        <v>JUAN FELIX</v>
      </c>
      <c r="B11" s="44">
        <f>+Vendedor9!Q$37</f>
        <v>6413000</v>
      </c>
      <c r="C11" s="42">
        <f>+Vendedor9!R$37</f>
        <v>765901</v>
      </c>
      <c r="D11" s="42">
        <f>+Vendedor9!S$37</f>
        <v>6076000</v>
      </c>
      <c r="E11" s="43">
        <f>Vendedor9!T$37</f>
        <v>0</v>
      </c>
      <c r="F11" s="45">
        <f>+Vendedor9!U$37</f>
        <v>-428901</v>
      </c>
    </row>
    <row r="12" spans="1:6" ht="15.75">
      <c r="A12" s="46" t="str">
        <f>+Vendedor10!B$2</f>
        <v>MARIALIZ</v>
      </c>
      <c r="B12" s="44">
        <f>+Vendedor10!K$37</f>
        <v>5330800</v>
      </c>
      <c r="C12" s="42">
        <f>+Vendedor10!L$37</f>
        <v>639550</v>
      </c>
      <c r="D12" s="42">
        <f>+Vendedor10!M$37</f>
        <v>3809750</v>
      </c>
      <c r="E12" s="43">
        <f>Vendedor10!N$37</f>
        <v>0</v>
      </c>
      <c r="F12" s="45">
        <f>+Vendedor10!O$37</f>
        <v>881500</v>
      </c>
    </row>
    <row r="13" spans="1:6" ht="15.75">
      <c r="A13" s="46" t="str">
        <f>Vendedor11!B$2</f>
        <v>CHARLY MARZO</v>
      </c>
      <c r="B13" s="44">
        <f>+Vendedor11!K$37</f>
        <v>2979350</v>
      </c>
      <c r="C13" s="42">
        <f>+Vendedor11!L$37</f>
        <v>446850</v>
      </c>
      <c r="D13" s="42">
        <f>+Vendedor11!M$37</f>
        <v>2856000</v>
      </c>
      <c r="E13" s="43">
        <f>Vendedor11!N$37</f>
        <v>0</v>
      </c>
      <c r="F13" s="45">
        <f>+Vendedor11!O$37</f>
        <v>-323500</v>
      </c>
    </row>
    <row r="14" spans="1:6" ht="15.7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75">
      <c r="A15" s="46" t="str">
        <f>Vendedor13!B$2</f>
        <v>MINERO MARZO</v>
      </c>
      <c r="B15" s="44">
        <f>+Vendedor13!$Q$37</f>
        <v>2588350</v>
      </c>
      <c r="C15" s="42">
        <f>+Vendedor13!R$37</f>
        <v>309144</v>
      </c>
      <c r="D15" s="42">
        <f>+Vendedor13!S$37</f>
        <v>2419000</v>
      </c>
      <c r="E15" s="43">
        <f>Vendedor13!T$37</f>
        <v>0</v>
      </c>
      <c r="F15" s="45">
        <f>+Vendedor13!U$37</f>
        <v>-139794</v>
      </c>
    </row>
    <row r="16" spans="1:6" ht="15.75">
      <c r="A16" s="46" t="str">
        <f>Vendedor14!B$2</f>
        <v>EDUARDO LICORERA</v>
      </c>
      <c r="B16" s="44">
        <f>+Vendedor14!T$37</f>
        <v>38042600</v>
      </c>
      <c r="C16" s="42">
        <f>+Vendedor14!U$37</f>
        <v>4514150</v>
      </c>
      <c r="D16" s="42">
        <f>+Vendedor14!V$37</f>
        <v>35873500</v>
      </c>
      <c r="E16" s="43">
        <f>Vendedor14!W$37</f>
        <v>0</v>
      </c>
      <c r="F16" s="45">
        <f>+Vendedor14!X$37</f>
        <v>-2345050</v>
      </c>
    </row>
    <row r="17" spans="1:8" ht="15.75">
      <c r="A17" s="46" t="str">
        <f>Vendedor15!B$2</f>
        <v>EDUARDO CENTRO</v>
      </c>
      <c r="B17" s="44">
        <f>+Vendedor15!T$37</f>
        <v>15619250</v>
      </c>
      <c r="C17" s="42">
        <f>+Vendedor15!U$37</f>
        <v>1835226</v>
      </c>
      <c r="D17" s="42">
        <f>+Vendedor15!V$37</f>
        <v>15046500</v>
      </c>
      <c r="E17" s="43">
        <f>Vendedor15!W$37</f>
        <v>0</v>
      </c>
      <c r="F17" s="45">
        <f>+Vendedor15!X$37</f>
        <v>-1262476</v>
      </c>
      <c r="H17" s="47"/>
    </row>
    <row r="18" spans="1:8" ht="15.75" hidden="1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75" hidden="1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75" hidden="1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75" hidden="1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75" hidden="1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75" hidden="1">
      <c r="A23" s="46" t="str">
        <f>Vendedor21!B$2</f>
        <v>Vendedor 21</v>
      </c>
      <c r="B23" s="44">
        <f>+Vendedor21!K$36</f>
        <v>0</v>
      </c>
      <c r="C23" s="42">
        <f>+Vendedor21!L$36</f>
        <v>0</v>
      </c>
      <c r="D23" s="42">
        <f>+Vendedor21!M$36</f>
        <v>0</v>
      </c>
      <c r="E23" s="43">
        <f>Vendedor21!N$36</f>
        <v>0</v>
      </c>
      <c r="F23" s="45">
        <f>+Vendedor21!O$36</f>
        <v>0</v>
      </c>
    </row>
    <row r="24" spans="1:8" ht="15.75" hidden="1">
      <c r="A24" s="46" t="str">
        <f>Vendedor22!B$2</f>
        <v>Vendedor 22</v>
      </c>
      <c r="B24" s="44">
        <f>+Vendedor22!K$36</f>
        <v>0</v>
      </c>
      <c r="C24" s="42">
        <f>+Vendedor22!L$36</f>
        <v>0</v>
      </c>
      <c r="D24" s="42">
        <f>+Vendedor22!M$36</f>
        <v>0</v>
      </c>
      <c r="E24" s="43">
        <f>Vendedor22!N$36</f>
        <v>0</v>
      </c>
      <c r="F24" s="45">
        <f>+Vendedor22!O$36</f>
        <v>0</v>
      </c>
    </row>
    <row r="25" spans="1:8" ht="15.75" hidden="1">
      <c r="A25" s="46" t="str">
        <f>Vendedor23!B$2</f>
        <v>Vendedor 23</v>
      </c>
      <c r="B25" s="44">
        <f>+Vendedor23!K$36</f>
        <v>0</v>
      </c>
      <c r="C25" s="42">
        <f>+Vendedor23!L$36</f>
        <v>0</v>
      </c>
      <c r="D25" s="42">
        <f>+Vendedor23!M$36</f>
        <v>0</v>
      </c>
      <c r="E25" s="43">
        <f>Vendedor23!N$36</f>
        <v>0</v>
      </c>
      <c r="F25" s="45">
        <f>+Vendedor23!O$36</f>
        <v>0</v>
      </c>
    </row>
    <row r="26" spans="1:8" ht="15.75">
      <c r="A26" s="46" t="str">
        <f>Vendedor24!B$2</f>
        <v>Reposición</v>
      </c>
      <c r="B26" s="44">
        <f>+Vendedor24!K$36</f>
        <v>-12964</v>
      </c>
      <c r="C26" s="42">
        <f>+Vendedor24!L$36</f>
        <v>-1101940</v>
      </c>
      <c r="D26" s="42">
        <f>+Vendedor24!M$36</f>
        <v>0</v>
      </c>
      <c r="E26" s="43">
        <f>Vendedor24!N$36</f>
        <v>0</v>
      </c>
      <c r="F26" s="45">
        <f>+Vendedor24!O$36</f>
        <v>1088976</v>
      </c>
    </row>
    <row r="27" spans="1:8" ht="16.5" thickBot="1">
      <c r="A27" s="48" t="s">
        <v>48</v>
      </c>
      <c r="B27" s="49">
        <f>SUM(B3:B26)</f>
        <v>129067486</v>
      </c>
      <c r="C27" s="50">
        <f>SUM(C3:C26)</f>
        <v>14497482</v>
      </c>
      <c r="D27" s="50">
        <f>SUM(D3:D26)</f>
        <v>115379250</v>
      </c>
      <c r="E27" s="51">
        <f>SUM(E3:E26)</f>
        <v>0</v>
      </c>
      <c r="F27" s="52">
        <f>SUM(F3:F26)</f>
        <v>-809246</v>
      </c>
    </row>
    <row r="28" spans="1:8"/>
    <row r="29" spans="1:8"/>
    <row r="30" spans="1:8"/>
    <row r="31" spans="1:8"/>
    <row r="32" spans="1:8"/>
    <row r="33" spans="1:1"/>
    <row r="34" spans="1:1"/>
    <row r="35" spans="1:1"/>
    <row r="36" spans="1:1"/>
    <row r="37" spans="1:1">
      <c r="A37" s="34" t="s">
        <v>113</v>
      </c>
    </row>
    <row r="38" spans="1:1">
      <c r="A38" s="34" t="s">
        <v>131</v>
      </c>
    </row>
    <row r="39" spans="1:1"/>
    <row r="40" spans="1:1"/>
    <row r="41" spans="1:1"/>
    <row r="42" spans="1:1"/>
    <row r="43" spans="1:1"/>
    <row r="44" spans="1:1"/>
    <row r="45" spans="1:1"/>
    <row r="46" spans="1:1"/>
    <row r="47" spans="1:1"/>
    <row r="48" spans="1:1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/>
    <hyperlink ref="A4" location="Vendedor2!B5" display="#Vendedor2.B5"/>
    <hyperlink ref="A5" location="Vendedor3!B5" display="#Vendedor3.B5"/>
    <hyperlink ref="A6" location="Vendedor4!B5" display="#Vendedor4.B5"/>
    <hyperlink ref="A7" location="Vendedor5!B5" display="#Vendedor5.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#Vendedor9.B5"/>
    <hyperlink ref="A12" location="Vendedor10!B5" display="#Vendedor10.B5"/>
    <hyperlink ref="A13" location="Vendedor11!B5" display="#Vendedor11.B5"/>
    <hyperlink ref="A14" location="Vendedor12!B5" display="#Vendedor12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37" location="'PuestosALI RESUMEN'!A1" display="Ir a resumen"/>
    <hyperlink ref="A15" location="Vendedor13!B5" display="Vendedor13!B5"/>
    <hyperlink ref="A38" location="'Grafico Dinámico'!A1" display="Grafico Dinamico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K6" sqref="K6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I1" s="134" t="s">
        <v>0</v>
      </c>
      <c r="J1" s="134"/>
      <c r="K1" s="134"/>
      <c r="L1" s="134"/>
      <c r="M1" s="134"/>
      <c r="N1" s="134"/>
    </row>
    <row r="2" spans="1:15" ht="19.5" thickBot="1">
      <c r="A2" s="2" t="s">
        <v>1</v>
      </c>
      <c r="B2" s="135" t="s">
        <v>114</v>
      </c>
      <c r="C2" s="135"/>
      <c r="D2" s="135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+Vendedor1!B6+Vendedor2!B6+Vendedor3!B6</f>
        <v>471200</v>
      </c>
      <c r="C6" s="58">
        <f>+Vendedor1!C6+Vendedor2!C6+Vendedor3!C6</f>
        <v>61256</v>
      </c>
      <c r="D6" s="54">
        <f>+Vendedor1!D6+Vendedor2!D6+Vendedor3!D6</f>
        <v>97750</v>
      </c>
      <c r="E6" s="53">
        <f>+Vendedor1!E6+Vendedor2!E6+Vendedor3!E6</f>
        <v>90750</v>
      </c>
      <c r="F6" s="58">
        <f>+Vendedor1!F6+Vendedor2!F6+Vendedor3!F6</f>
        <v>11797.5</v>
      </c>
      <c r="G6" s="55">
        <f>+Vendedor1!G6+Vendedor2!G6+Vendedor3!G6</f>
        <v>0</v>
      </c>
      <c r="H6" s="61">
        <f>+Vendedor1!H6+Vendedor2!H6+Vendedor3!H6</f>
        <v>11000</v>
      </c>
      <c r="I6" s="58">
        <f>+Vendedor1!I6+Vendedor2!I6+Vendedor3!I6</f>
        <v>1430</v>
      </c>
      <c r="J6" s="54">
        <f>+Vendedor1!J6+Vendedor2!J6+Vendedor3!J6</f>
        <v>0</v>
      </c>
      <c r="K6" s="59">
        <f>+B6+E6+H6</f>
        <v>572950</v>
      </c>
      <c r="L6" s="58">
        <f>MROUND(C6+F6+I6,50)</f>
        <v>74500</v>
      </c>
      <c r="M6" s="58">
        <f t="shared" ref="M6:M36" si="1">+D6+G6+J6</f>
        <v>97750</v>
      </c>
      <c r="N6" s="58">
        <v>0</v>
      </c>
      <c r="O6" s="55">
        <f t="shared" si="0"/>
        <v>400700</v>
      </c>
    </row>
    <row r="7" spans="1:15">
      <c r="A7" s="13" t="s">
        <v>50</v>
      </c>
      <c r="B7" s="14">
        <f>+Vendedor1!B7+Vendedor2!B7+Vendedor3!B7</f>
        <v>319850</v>
      </c>
      <c r="C7" s="15">
        <f>+Vendedor1!C7+Vendedor2!C7+Vendedor3!C7</f>
        <v>41580.5</v>
      </c>
      <c r="D7" s="16">
        <f>+Vendedor1!D7+Vendedor2!D7+Vendedor3!D7</f>
        <v>425000</v>
      </c>
      <c r="E7" s="14">
        <f>+Vendedor1!E7+Vendedor2!E7+Vendedor3!E7</f>
        <v>77550</v>
      </c>
      <c r="F7" s="15">
        <f>+Vendedor1!F7+Vendedor2!F7+Vendedor3!F7</f>
        <v>10081.5</v>
      </c>
      <c r="G7" s="17">
        <f>+Vendedor1!G7+Vendedor2!G7+Vendedor3!G7</f>
        <v>0</v>
      </c>
      <c r="H7" s="18">
        <f>+Vendedor1!H7+Vendedor2!H7+Vendedor3!H7</f>
        <v>15950</v>
      </c>
      <c r="I7" s="15">
        <f>+Vendedor1!I7+Vendedor2!I7+Vendedor3!I7</f>
        <v>2073.5</v>
      </c>
      <c r="J7" s="16">
        <f>+Vendedor1!J7+Vendedor2!J7+Vendedor3!J7</f>
        <v>0</v>
      </c>
      <c r="K7" s="19">
        <f>+B7+E7+H7</f>
        <v>413350</v>
      </c>
      <c r="L7" s="15">
        <f>MROUND(C7+F7+I7,50)</f>
        <v>53750</v>
      </c>
      <c r="M7" s="15">
        <f t="shared" si="1"/>
        <v>425000</v>
      </c>
      <c r="N7" s="15">
        <v>0</v>
      </c>
      <c r="O7" s="17">
        <f t="shared" si="0"/>
        <v>-65400</v>
      </c>
    </row>
    <row r="8" spans="1:15">
      <c r="A8" s="20" t="s">
        <v>51</v>
      </c>
      <c r="B8" s="14">
        <f>+Vendedor1!B8+Vendedor2!B8+Vendedor3!B8</f>
        <v>462350</v>
      </c>
      <c r="C8" s="15">
        <f>+Vendedor1!C8+Vendedor2!C8+Vendedor3!C8</f>
        <v>60105.5</v>
      </c>
      <c r="D8" s="16">
        <f>+Vendedor1!D8+Vendedor2!D8+Vendedor3!D8</f>
        <v>391000</v>
      </c>
      <c r="E8" s="14">
        <f>+Vendedor1!E8+Vendedor2!E8+Vendedor3!E8</f>
        <v>117300</v>
      </c>
      <c r="F8" s="15">
        <f>+Vendedor1!F8+Vendedor2!F8+Vendedor3!F8</f>
        <v>15249</v>
      </c>
      <c r="G8" s="17">
        <f>+Vendedor1!G8+Vendedor2!G8+Vendedor3!G8</f>
        <v>32000</v>
      </c>
      <c r="H8" s="18">
        <f>+Vendedor1!H8+Vendedor2!H8+Vendedor3!H8</f>
        <v>23550</v>
      </c>
      <c r="I8" s="15">
        <f>+Vendedor1!I8+Vendedor2!I8+Vendedor3!I8</f>
        <v>3061.5</v>
      </c>
      <c r="J8" s="16">
        <f>+Vendedor1!J8+Vendedor2!J8+Vendedor3!J8</f>
        <v>0</v>
      </c>
      <c r="K8" s="19">
        <f>+B8+E8+H8</f>
        <v>603200</v>
      </c>
      <c r="L8" s="15">
        <f t="shared" ref="L8:L36" si="2">MROUND(C8+F8+I8,50)</f>
        <v>78400</v>
      </c>
      <c r="M8" s="15">
        <f t="shared" si="1"/>
        <v>423000</v>
      </c>
      <c r="N8" s="15">
        <v>0</v>
      </c>
      <c r="O8" s="17">
        <f t="shared" si="0"/>
        <v>101800</v>
      </c>
    </row>
    <row r="9" spans="1:15">
      <c r="A9" s="13" t="s">
        <v>52</v>
      </c>
      <c r="B9" s="14">
        <f>+Vendedor1!B9+Vendedor2!B9+Vendedor3!B9</f>
        <v>327450</v>
      </c>
      <c r="C9" s="15">
        <f>+Vendedor1!C9+Vendedor2!C9+Vendedor3!C9</f>
        <v>42568.5</v>
      </c>
      <c r="D9" s="16">
        <f>+Vendedor1!D9+Vendedor2!D9+Vendedor3!D9</f>
        <v>369750</v>
      </c>
      <c r="E9" s="14">
        <f>+Vendedor1!E9+Vendedor2!E9+Vendedor3!E9</f>
        <v>109700</v>
      </c>
      <c r="F9" s="15">
        <f>+Vendedor1!F9+Vendedor2!F9+Vendedor3!F9</f>
        <v>14261</v>
      </c>
      <c r="G9" s="17">
        <f>+Vendedor1!G9+Vendedor2!G9+Vendedor3!G9</f>
        <v>48000</v>
      </c>
      <c r="H9" s="18">
        <f>+Vendedor1!H9+Vendedor2!H9+Vendedor3!H9</f>
        <v>13400</v>
      </c>
      <c r="I9" s="15">
        <f>+Vendedor1!I9+Vendedor2!I9+Vendedor3!I9</f>
        <v>1742</v>
      </c>
      <c r="J9" s="16">
        <f>+Vendedor1!J9+Vendedor2!J9+Vendedor3!J9</f>
        <v>0</v>
      </c>
      <c r="K9" s="19">
        <f>+B9+E9+H9</f>
        <v>450550</v>
      </c>
      <c r="L9" s="15">
        <f t="shared" si="2"/>
        <v>58550</v>
      </c>
      <c r="M9" s="15">
        <f t="shared" si="1"/>
        <v>417750</v>
      </c>
      <c r="N9" s="15">
        <v>0</v>
      </c>
      <c r="O9" s="17">
        <f t="shared" si="0"/>
        <v>-25750</v>
      </c>
    </row>
    <row r="10" spans="1:15">
      <c r="A10" s="20" t="s">
        <v>53</v>
      </c>
      <c r="B10" s="14">
        <f>+Vendedor1!B10+Vendedor2!B10+Vendedor3!B10</f>
        <v>379400</v>
      </c>
      <c r="C10" s="15">
        <f>+Vendedor1!C10+Vendedor2!C10+Vendedor3!C10</f>
        <v>49322</v>
      </c>
      <c r="D10" s="16">
        <f>+Vendedor1!D10+Vendedor2!D10+Vendedor3!D10</f>
        <v>97750</v>
      </c>
      <c r="E10" s="14">
        <f>+Vendedor1!E10+Vendedor2!E10+Vendedor3!E10</f>
        <v>67700</v>
      </c>
      <c r="F10" s="15">
        <f>+Vendedor1!F10+Vendedor2!F10+Vendedor3!F10</f>
        <v>8801</v>
      </c>
      <c r="G10" s="17">
        <f>+Vendedor1!G10+Vendedor2!G10+Vendedor3!G10</f>
        <v>8000</v>
      </c>
      <c r="H10" s="18">
        <f>+Vendedor1!H10+Vendedor2!H10+Vendedor3!H10</f>
        <v>8000</v>
      </c>
      <c r="I10" s="15">
        <f>+Vendedor1!I10+Vendedor2!I10+Vendedor3!I10</f>
        <v>1040</v>
      </c>
      <c r="J10" s="16">
        <f>+Vendedor1!J10+Vendedor2!J10+Vendedor3!J10</f>
        <v>0</v>
      </c>
      <c r="K10" s="19">
        <f t="shared" ref="K10:K36" si="3">+B10+E10+H10</f>
        <v>455100</v>
      </c>
      <c r="L10" s="15">
        <f t="shared" si="2"/>
        <v>59150</v>
      </c>
      <c r="M10" s="15">
        <f t="shared" si="1"/>
        <v>105750</v>
      </c>
      <c r="N10" s="15">
        <v>0</v>
      </c>
      <c r="O10" s="17">
        <f t="shared" si="0"/>
        <v>290200</v>
      </c>
    </row>
    <row r="11" spans="1:15">
      <c r="A11" s="13" t="s">
        <v>20</v>
      </c>
      <c r="B11" s="14">
        <f>+Vendedor1!B11+Vendedor2!B11+Vendedor3!B11</f>
        <v>400850</v>
      </c>
      <c r="C11" s="15">
        <f>+Vendedor1!C11+Vendedor2!C11+Vendedor3!C11</f>
        <v>52110.5</v>
      </c>
      <c r="D11" s="16">
        <f>+Vendedor1!D11+Vendedor2!D11+Vendedor3!D11</f>
        <v>204000</v>
      </c>
      <c r="E11" s="14">
        <f>+Vendedor1!E11+Vendedor2!E11+Vendedor3!E11</f>
        <v>73600</v>
      </c>
      <c r="F11" s="15">
        <f>+Vendedor1!F11+Vendedor2!F11+Vendedor3!F11</f>
        <v>9568</v>
      </c>
      <c r="G11" s="17">
        <f>+Vendedor1!G11+Vendedor2!G11+Vendedor3!G11</f>
        <v>8000</v>
      </c>
      <c r="H11" s="18">
        <f>+Vendedor1!H11+Vendedor2!H11+Vendedor3!H11</f>
        <v>5600</v>
      </c>
      <c r="I11" s="15">
        <f>+Vendedor1!I11+Vendedor2!I11+Vendedor3!I11</f>
        <v>728</v>
      </c>
      <c r="J11" s="16">
        <f>+Vendedor1!J11+Vendedor2!J11+Vendedor3!J11</f>
        <v>0</v>
      </c>
      <c r="K11" s="19">
        <f t="shared" si="3"/>
        <v>480050</v>
      </c>
      <c r="L11" s="15">
        <f t="shared" si="2"/>
        <v>62400</v>
      </c>
      <c r="M11" s="15">
        <f t="shared" si="1"/>
        <v>212000</v>
      </c>
      <c r="N11" s="15">
        <v>0</v>
      </c>
      <c r="O11" s="17">
        <f t="shared" si="0"/>
        <v>205650</v>
      </c>
    </row>
    <row r="12" spans="1:15">
      <c r="A12" s="20" t="s">
        <v>21</v>
      </c>
      <c r="B12" s="14">
        <f>+Vendedor1!B12+Vendedor2!B12+Vendedor3!B12</f>
        <v>303500</v>
      </c>
      <c r="C12" s="15">
        <f>+Vendedor1!C12+Vendedor2!C12+Vendedor3!C12</f>
        <v>39455</v>
      </c>
      <c r="D12" s="16">
        <f>+Vendedor1!D12+Vendedor2!D12+Vendedor3!D12</f>
        <v>127500</v>
      </c>
      <c r="E12" s="14">
        <f>+Vendedor1!E12+Vendedor2!E12+Vendedor3!E12</f>
        <v>60600</v>
      </c>
      <c r="F12" s="15">
        <f>+Vendedor1!F12+Vendedor2!F12+Vendedor3!F12</f>
        <v>7878</v>
      </c>
      <c r="G12" s="17">
        <f>+Vendedor1!G12+Vendedor2!G12+Vendedor3!G12</f>
        <v>72000</v>
      </c>
      <c r="H12" s="18">
        <f>+Vendedor1!H12+Vendedor2!H12+Vendedor3!H12</f>
        <v>12800</v>
      </c>
      <c r="I12" s="15">
        <f>+Vendedor1!I12+Vendedor2!I12+Vendedor3!I12</f>
        <v>1664</v>
      </c>
      <c r="J12" s="16">
        <f>+Vendedor1!J12+Vendedor2!J12+Vendedor3!J12</f>
        <v>0</v>
      </c>
      <c r="K12" s="19">
        <f t="shared" si="3"/>
        <v>376900</v>
      </c>
      <c r="L12" s="15">
        <f t="shared" si="2"/>
        <v>49000</v>
      </c>
      <c r="M12" s="15">
        <f t="shared" si="1"/>
        <v>199500</v>
      </c>
      <c r="N12" s="15">
        <v>0</v>
      </c>
      <c r="O12" s="17">
        <f t="shared" si="0"/>
        <v>128400</v>
      </c>
    </row>
    <row r="13" spans="1:15">
      <c r="A13" s="13" t="s">
        <v>22</v>
      </c>
      <c r="B13" s="14">
        <f>+Vendedor1!B13+Vendedor2!B13+Vendedor3!B13</f>
        <v>406150</v>
      </c>
      <c r="C13" s="15">
        <f>+Vendedor1!C13+Vendedor2!C13+Vendedor3!C13</f>
        <v>52799.5</v>
      </c>
      <c r="D13" s="16">
        <f>+Vendedor1!D13+Vendedor2!D13+Vendedor3!D13</f>
        <v>280500</v>
      </c>
      <c r="E13" s="14">
        <f>+Vendedor1!E13+Vendedor2!E13+Vendedor3!E13</f>
        <v>111450</v>
      </c>
      <c r="F13" s="15">
        <f>+Vendedor1!F13+Vendedor2!F13+Vendedor3!F13</f>
        <v>14488.5</v>
      </c>
      <c r="G13" s="17">
        <f>+Vendedor1!G13+Vendedor2!G13+Vendedor3!G13</f>
        <v>96000</v>
      </c>
      <c r="H13" s="18">
        <f>+Vendedor1!H13+Vendedor2!H13+Vendedor3!H13</f>
        <v>20800</v>
      </c>
      <c r="I13" s="15">
        <f>+Vendedor1!I13+Vendedor2!I13+Vendedor3!I13</f>
        <v>2704</v>
      </c>
      <c r="J13" s="16">
        <f>+Vendedor1!J13+Vendedor2!J13+Vendedor3!J13</f>
        <v>0</v>
      </c>
      <c r="K13" s="19">
        <f t="shared" si="3"/>
        <v>538400</v>
      </c>
      <c r="L13" s="15">
        <f t="shared" si="2"/>
        <v>70000</v>
      </c>
      <c r="M13" s="15">
        <f t="shared" si="1"/>
        <v>376500</v>
      </c>
      <c r="N13" s="15">
        <v>0</v>
      </c>
      <c r="O13" s="17">
        <f t="shared" si="0"/>
        <v>91900</v>
      </c>
    </row>
    <row r="14" spans="1:15">
      <c r="A14" s="20" t="s">
        <v>23</v>
      </c>
      <c r="B14" s="14">
        <f>+Vendedor1!B14+Vendedor2!B14+Vendedor3!B14</f>
        <v>304300</v>
      </c>
      <c r="C14" s="15">
        <f>+Vendedor1!C14+Vendedor2!C14+Vendedor3!C14</f>
        <v>39559</v>
      </c>
      <c r="D14" s="16">
        <f>+Vendedor1!D14+Vendedor2!D14+Vendedor3!D14</f>
        <v>229500</v>
      </c>
      <c r="E14" s="14">
        <f>+Vendedor1!E14+Vendedor2!E14+Vendedor3!E14</f>
        <v>66650</v>
      </c>
      <c r="F14" s="15">
        <f>+Vendedor1!F14+Vendedor2!F14+Vendedor3!F14</f>
        <v>8664.5</v>
      </c>
      <c r="G14" s="17">
        <f>+Vendedor1!G14+Vendedor2!G14+Vendedor3!G14</f>
        <v>16000</v>
      </c>
      <c r="H14" s="18">
        <f>+Vendedor1!H14+Vendedor2!H14+Vendedor3!H14</f>
        <v>11200</v>
      </c>
      <c r="I14" s="15">
        <f>+Vendedor1!I14+Vendedor2!I14+Vendedor3!I14</f>
        <v>1456</v>
      </c>
      <c r="J14" s="16">
        <f>+Vendedor1!J14+Vendedor2!J14+Vendedor3!J14</f>
        <v>0</v>
      </c>
      <c r="K14" s="19">
        <f t="shared" si="3"/>
        <v>382150</v>
      </c>
      <c r="L14" s="15">
        <f t="shared" si="2"/>
        <v>49700</v>
      </c>
      <c r="M14" s="15">
        <f t="shared" si="1"/>
        <v>245500</v>
      </c>
      <c r="N14" s="15">
        <v>0</v>
      </c>
      <c r="O14" s="17">
        <f t="shared" si="0"/>
        <v>86950</v>
      </c>
    </row>
    <row r="15" spans="1:15">
      <c r="A15" s="13" t="s">
        <v>24</v>
      </c>
      <c r="B15" s="14">
        <f>+Vendedor1!B15+Vendedor2!B15+Vendedor3!B15</f>
        <v>369600</v>
      </c>
      <c r="C15" s="15">
        <f>+Vendedor1!C15+Vendedor2!C15+Vendedor3!C15</f>
        <v>48048</v>
      </c>
      <c r="D15" s="16">
        <f>+Vendedor1!D15+Vendedor2!D15+Vendedor3!D15</f>
        <v>80750</v>
      </c>
      <c r="E15" s="14">
        <f>+Vendedor1!E15+Vendedor2!E15+Vendedor3!E15</f>
        <v>119300</v>
      </c>
      <c r="F15" s="15">
        <f>+Vendedor1!F15+Vendedor2!F15+Vendedor3!F15</f>
        <v>15509</v>
      </c>
      <c r="G15" s="17">
        <f>+Vendedor1!G15+Vendedor2!G15+Vendedor3!G15</f>
        <v>220000</v>
      </c>
      <c r="H15" s="18">
        <f>+Vendedor1!H15+Vendedor2!H15+Vendedor3!H15</f>
        <v>6950</v>
      </c>
      <c r="I15" s="15">
        <f>+Vendedor1!I15+Vendedor2!I15+Vendedor3!I15</f>
        <v>903.5</v>
      </c>
      <c r="J15" s="16">
        <f>+Vendedor1!J15+Vendedor2!J15+Vendedor3!J15</f>
        <v>0</v>
      </c>
      <c r="K15" s="19">
        <f t="shared" si="3"/>
        <v>495850</v>
      </c>
      <c r="L15" s="15">
        <f t="shared" si="2"/>
        <v>64450</v>
      </c>
      <c r="M15" s="15">
        <f t="shared" si="1"/>
        <v>300750</v>
      </c>
      <c r="N15" s="15">
        <v>0</v>
      </c>
      <c r="O15" s="17">
        <f t="shared" si="0"/>
        <v>130650</v>
      </c>
    </row>
    <row r="16" spans="1:15">
      <c r="A16" s="20" t="s">
        <v>25</v>
      </c>
      <c r="B16" s="14">
        <f>+Vendedor1!B16+Vendedor2!B16+Vendedor3!B16</f>
        <v>415150</v>
      </c>
      <c r="C16" s="15">
        <f>+Vendedor1!C16+Vendedor2!C16+Vendedor3!C16</f>
        <v>53969.5</v>
      </c>
      <c r="D16" s="16">
        <f>+Vendedor1!D16+Vendedor2!D16+Vendedor3!D16</f>
        <v>182750</v>
      </c>
      <c r="E16" s="14">
        <f>+Vendedor1!E16+Vendedor2!E16+Vendedor3!E16</f>
        <v>97100</v>
      </c>
      <c r="F16" s="15">
        <f>+Vendedor1!F16+Vendedor2!F16+Vendedor3!F16</f>
        <v>12623</v>
      </c>
      <c r="G16" s="17">
        <f>+Vendedor1!G16+Vendedor2!G16+Vendedor3!G16</f>
        <v>56000</v>
      </c>
      <c r="H16" s="18">
        <f>+Vendedor1!H16+Vendedor2!H16+Vendedor3!H16</f>
        <v>15000</v>
      </c>
      <c r="I16" s="15">
        <f>+Vendedor1!I16+Vendedor2!I16+Vendedor3!I16</f>
        <v>1950</v>
      </c>
      <c r="J16" s="16">
        <f>+Vendedor1!J16+Vendedor2!J16+Vendedor3!J16</f>
        <v>20000</v>
      </c>
      <c r="K16" s="19">
        <f t="shared" si="3"/>
        <v>527250</v>
      </c>
      <c r="L16" s="15">
        <f t="shared" si="2"/>
        <v>68550</v>
      </c>
      <c r="M16" s="15">
        <f t="shared" si="1"/>
        <v>258750</v>
      </c>
      <c r="N16" s="15">
        <v>0</v>
      </c>
      <c r="O16" s="17">
        <f t="shared" si="0"/>
        <v>199950</v>
      </c>
    </row>
    <row r="17" spans="1:15">
      <c r="A17" s="13" t="s">
        <v>26</v>
      </c>
      <c r="B17" s="14">
        <f>+Vendedor1!B17+Vendedor2!B17+Vendedor3!B17</f>
        <v>338650</v>
      </c>
      <c r="C17" s="15">
        <f>+Vendedor1!C17+Vendedor2!C17+Vendedor3!C17</f>
        <v>44024.5</v>
      </c>
      <c r="D17" s="16">
        <f>+Vendedor1!D17+Vendedor2!D17+Vendedor3!D17</f>
        <v>195500</v>
      </c>
      <c r="E17" s="14">
        <f>+Vendedor1!E17+Vendedor2!E17+Vendedor3!E17</f>
        <v>80750</v>
      </c>
      <c r="F17" s="15">
        <f>+Vendedor1!F17+Vendedor2!F17+Vendedor3!F17</f>
        <v>10497.5</v>
      </c>
      <c r="G17" s="17">
        <f>+Vendedor1!G17+Vendedor2!G17+Vendedor3!G17</f>
        <v>0</v>
      </c>
      <c r="H17" s="18">
        <f>+Vendedor1!H17+Vendedor2!H17+Vendedor3!H17</f>
        <v>12450</v>
      </c>
      <c r="I17" s="15">
        <f>+Vendedor1!I17+Vendedor2!I17+Vendedor3!I17</f>
        <v>1618.5</v>
      </c>
      <c r="J17" s="16">
        <f>+Vendedor1!J17+Vendedor2!J17+Vendedor3!J17</f>
        <v>0</v>
      </c>
      <c r="K17" s="19">
        <f t="shared" si="3"/>
        <v>431850</v>
      </c>
      <c r="L17" s="15">
        <f t="shared" si="2"/>
        <v>56150</v>
      </c>
      <c r="M17" s="15">
        <f t="shared" si="1"/>
        <v>195500</v>
      </c>
      <c r="N17" s="15">
        <v>0</v>
      </c>
      <c r="O17" s="17">
        <f t="shared" si="0"/>
        <v>180200</v>
      </c>
    </row>
    <row r="18" spans="1:15">
      <c r="A18" s="20" t="s">
        <v>27</v>
      </c>
      <c r="B18" s="14">
        <f>+Vendedor1!B18+Vendedor2!B18+Vendedor3!B18</f>
        <v>318450</v>
      </c>
      <c r="C18" s="15">
        <f>+Vendedor1!C18+Vendedor2!C18+Vendedor3!C18</f>
        <v>41398.5</v>
      </c>
      <c r="D18" s="16">
        <f>+Vendedor1!D18+Vendedor2!D18+Vendedor3!D18</f>
        <v>212500</v>
      </c>
      <c r="E18" s="14">
        <f>+Vendedor1!E18+Vendedor2!E18+Vendedor3!E18</f>
        <v>77300</v>
      </c>
      <c r="F18" s="15">
        <f>+Vendedor1!F18+Vendedor2!F18+Vendedor3!F18</f>
        <v>10049</v>
      </c>
      <c r="G18" s="17">
        <f>+Vendedor1!G18+Vendedor2!G18+Vendedor3!G18</f>
        <v>16000</v>
      </c>
      <c r="H18" s="18">
        <f>+Vendedor1!H18+Vendedor2!H18+Vendedor3!H18</f>
        <v>12050</v>
      </c>
      <c r="I18" s="15">
        <f>+Vendedor1!I18+Vendedor2!I18+Vendedor3!I18</f>
        <v>1566.5</v>
      </c>
      <c r="J18" s="16">
        <f>+Vendedor1!J18+Vendedor2!J18+Vendedor3!J18</f>
        <v>0</v>
      </c>
      <c r="K18" s="19">
        <f t="shared" si="3"/>
        <v>407800</v>
      </c>
      <c r="L18" s="15">
        <f t="shared" si="2"/>
        <v>53000</v>
      </c>
      <c r="M18" s="15">
        <f t="shared" si="1"/>
        <v>228500</v>
      </c>
      <c r="N18" s="15">
        <v>0</v>
      </c>
      <c r="O18" s="17">
        <f t="shared" si="0"/>
        <v>126300</v>
      </c>
    </row>
    <row r="19" spans="1:15">
      <c r="A19" s="20" t="s">
        <v>28</v>
      </c>
      <c r="B19" s="14">
        <f>+Vendedor1!B19+Vendedor2!B19+Vendedor3!B19</f>
        <v>362650</v>
      </c>
      <c r="C19" s="15">
        <f>+Vendedor1!C19+Vendedor2!C19+Vendedor3!C19</f>
        <v>47144.5</v>
      </c>
      <c r="D19" s="16">
        <f>+Vendedor1!D19+Vendedor2!D19+Vendedor3!D19</f>
        <v>437750</v>
      </c>
      <c r="E19" s="14">
        <f>+Vendedor1!E19+Vendedor2!E19+Vendedor3!E19</f>
        <v>125900</v>
      </c>
      <c r="F19" s="15">
        <f>+Vendedor1!F19+Vendedor2!F19+Vendedor3!F19</f>
        <v>16367</v>
      </c>
      <c r="G19" s="17">
        <f>+Vendedor1!G19+Vendedor2!G19+Vendedor3!G19</f>
        <v>16000</v>
      </c>
      <c r="H19" s="18">
        <f>+Vendedor1!H19+Vendedor2!H19+Vendedor3!H19</f>
        <v>19050</v>
      </c>
      <c r="I19" s="15">
        <f>+Vendedor1!I19+Vendedor2!I19+Vendedor3!I19</f>
        <v>2476.5</v>
      </c>
      <c r="J19" s="16">
        <f>+Vendedor1!J19+Vendedor2!J19+Vendedor3!J19</f>
        <v>56000</v>
      </c>
      <c r="K19" s="19">
        <f t="shared" si="3"/>
        <v>507600</v>
      </c>
      <c r="L19" s="15">
        <f t="shared" si="2"/>
        <v>66000</v>
      </c>
      <c r="M19" s="15">
        <f t="shared" si="1"/>
        <v>509750</v>
      </c>
      <c r="N19" s="15">
        <v>0</v>
      </c>
      <c r="O19" s="17">
        <f t="shared" si="0"/>
        <v>-68150</v>
      </c>
    </row>
    <row r="20" spans="1:15">
      <c r="A20" s="13" t="s">
        <v>29</v>
      </c>
      <c r="B20" s="14">
        <f>+Vendedor1!B20+Vendedor2!B20+Vendedor3!B20</f>
        <v>436300</v>
      </c>
      <c r="C20" s="15">
        <f>+Vendedor1!C20+Vendedor2!C20+Vendedor3!C20</f>
        <v>56719</v>
      </c>
      <c r="D20" s="16">
        <f>+Vendedor1!D20+Vendedor2!D20+Vendedor3!D20</f>
        <v>535500</v>
      </c>
      <c r="E20" s="14">
        <f>+Vendedor1!E20+Vendedor2!E20+Vendedor3!E20</f>
        <v>78000</v>
      </c>
      <c r="F20" s="15">
        <f>+Vendedor1!F20+Vendedor2!F20+Vendedor3!F20</f>
        <v>10140</v>
      </c>
      <c r="G20" s="17">
        <f>+Vendedor1!G20+Vendedor2!G20+Vendedor3!G20</f>
        <v>0</v>
      </c>
      <c r="H20" s="18">
        <f>+Vendedor1!H20+Vendedor2!H20+Vendedor3!H20</f>
        <v>17500</v>
      </c>
      <c r="I20" s="15">
        <f>+Vendedor1!I20+Vendedor2!I20+Vendedor3!I20</f>
        <v>2275</v>
      </c>
      <c r="J20" s="16">
        <f>+Vendedor1!J20+Vendedor2!J20+Vendedor3!J20</f>
        <v>16000</v>
      </c>
      <c r="K20" s="19">
        <f t="shared" si="3"/>
        <v>531800</v>
      </c>
      <c r="L20" s="15">
        <f t="shared" si="2"/>
        <v>69150</v>
      </c>
      <c r="M20" s="15">
        <f t="shared" si="1"/>
        <v>551500</v>
      </c>
      <c r="N20" s="15">
        <v>0</v>
      </c>
      <c r="O20" s="17">
        <f t="shared" si="0"/>
        <v>-88850</v>
      </c>
    </row>
    <row r="21" spans="1:15">
      <c r="A21" s="20" t="s">
        <v>30</v>
      </c>
      <c r="B21" s="14">
        <f>+Vendedor1!B21+Vendedor2!B21+Vendedor3!B21</f>
        <v>316450</v>
      </c>
      <c r="C21" s="81">
        <f>+Vendedor1!C21+Vendedor2!C21+Vendedor3!C21</f>
        <v>41138.5</v>
      </c>
      <c r="D21" s="82">
        <f>+Vendedor1!D21+Vendedor2!D21+Vendedor3!D21</f>
        <v>841500</v>
      </c>
      <c r="E21" s="14">
        <f>+Vendedor1!E21+Vendedor2!E21+Vendedor3!E21</f>
        <v>73850</v>
      </c>
      <c r="F21" s="81">
        <f>+Vendedor1!F21+Vendedor2!F21+Vendedor3!F21</f>
        <v>9600.5</v>
      </c>
      <c r="G21" s="85">
        <f>+Vendedor1!G21+Vendedor2!G21+Vendedor3!G21</f>
        <v>0</v>
      </c>
      <c r="H21" s="19">
        <f>+Vendedor1!H21+Vendedor2!H21+Vendedor3!H21</f>
        <v>5250</v>
      </c>
      <c r="I21" s="15">
        <f>+Vendedor1!I21+Vendedor2!I21+Vendedor3!I21</f>
        <v>682.5</v>
      </c>
      <c r="J21" s="17">
        <f>+Vendedor1!J21+Vendedor2!J21+Vendedor3!J21</f>
        <v>8000</v>
      </c>
      <c r="K21" s="19">
        <f t="shared" si="3"/>
        <v>395550</v>
      </c>
      <c r="L21" s="15">
        <f t="shared" si="2"/>
        <v>51400</v>
      </c>
      <c r="M21" s="15">
        <f t="shared" si="1"/>
        <v>849500</v>
      </c>
      <c r="N21" s="15">
        <v>0</v>
      </c>
      <c r="O21" s="17">
        <f t="shared" si="0"/>
        <v>-505350</v>
      </c>
    </row>
    <row r="22" spans="1:15">
      <c r="A22" s="13" t="s">
        <v>31</v>
      </c>
      <c r="B22" s="14">
        <f>+Vendedor1!B22+Vendedor2!B22+Vendedor3!B22</f>
        <v>347350</v>
      </c>
      <c r="C22" s="81">
        <f>+Vendedor1!C22+Vendedor2!C22+Vendedor3!C22</f>
        <v>45155.5</v>
      </c>
      <c r="D22" s="82">
        <f>+Vendedor1!D22+Vendedor2!D22+Vendedor3!D22</f>
        <v>191250</v>
      </c>
      <c r="E22" s="14">
        <f>+Vendedor1!E22+Vendedor2!E22+Vendedor3!E22</f>
        <v>80450</v>
      </c>
      <c r="F22" s="81">
        <f>+Vendedor1!F22+Vendedor2!F22+Vendedor3!F22</f>
        <v>10458.5</v>
      </c>
      <c r="G22" s="85">
        <f>+Vendedor1!G22+Vendedor2!G22+Vendedor3!G22</f>
        <v>8000</v>
      </c>
      <c r="H22" s="19">
        <f>+Vendedor1!H22+Vendedor2!H22+Vendedor3!H22</f>
        <v>13200</v>
      </c>
      <c r="I22" s="15">
        <f>+Vendedor1!I22+Vendedor2!I22+Vendedor3!I22</f>
        <v>1716</v>
      </c>
      <c r="J22" s="17">
        <f>+Vendedor1!J22+Vendedor2!J22+Vendedor3!J22</f>
        <v>0</v>
      </c>
      <c r="K22" s="19">
        <f t="shared" si="3"/>
        <v>441000</v>
      </c>
      <c r="L22" s="15">
        <f t="shared" si="2"/>
        <v>57350</v>
      </c>
      <c r="M22" s="15">
        <f t="shared" si="1"/>
        <v>199250</v>
      </c>
      <c r="N22" s="15">
        <v>0</v>
      </c>
      <c r="O22" s="17">
        <f t="shared" si="0"/>
        <v>184400</v>
      </c>
    </row>
    <row r="23" spans="1:15">
      <c r="A23" s="20" t="s">
        <v>32</v>
      </c>
      <c r="B23" s="14">
        <f>+Vendedor1!B23+Vendedor2!B23+Vendedor3!B23</f>
        <v>305350</v>
      </c>
      <c r="C23" s="81">
        <f>+Vendedor1!C23+Vendedor2!C23+Vendedor3!C23</f>
        <v>39695.5</v>
      </c>
      <c r="D23" s="82">
        <f>+Vendedor1!D23+Vendedor2!D23+Vendedor3!D23</f>
        <v>289000</v>
      </c>
      <c r="E23" s="14">
        <f>+Vendedor1!E23+Vendedor2!E23+Vendedor3!E23</f>
        <v>96150</v>
      </c>
      <c r="F23" s="81">
        <f>+Vendedor1!F23+Vendedor2!F23+Vendedor3!F23</f>
        <v>12499.5</v>
      </c>
      <c r="G23" s="85">
        <f>+Vendedor1!G23+Vendedor2!G23+Vendedor3!G23</f>
        <v>0</v>
      </c>
      <c r="H23" s="19">
        <f>+Vendedor1!H23+Vendedor2!H23+Vendedor3!H23</f>
        <v>32700</v>
      </c>
      <c r="I23" s="15">
        <f>+Vendedor1!I23+Vendedor2!I23+Vendedor3!I23</f>
        <v>4251</v>
      </c>
      <c r="J23" s="17">
        <f>+Vendedor1!J23+Vendedor2!J23+Vendedor3!J23</f>
        <v>0</v>
      </c>
      <c r="K23" s="19">
        <f t="shared" si="3"/>
        <v>434200</v>
      </c>
      <c r="L23" s="15">
        <f t="shared" si="2"/>
        <v>56450</v>
      </c>
      <c r="M23" s="15">
        <f t="shared" si="1"/>
        <v>289000</v>
      </c>
      <c r="N23" s="15">
        <v>0</v>
      </c>
      <c r="O23" s="17">
        <f t="shared" si="0"/>
        <v>88750</v>
      </c>
    </row>
    <row r="24" spans="1:15">
      <c r="A24" s="13" t="s">
        <v>33</v>
      </c>
      <c r="B24" s="14">
        <f>+Vendedor1!B24+Vendedor2!B24+Vendedor3!B24</f>
        <v>300550</v>
      </c>
      <c r="C24" s="81">
        <f>+Vendedor1!C24+Vendedor2!C24+Vendedor3!C24</f>
        <v>39071.5</v>
      </c>
      <c r="D24" s="82">
        <f>+Vendedor1!D24+Vendedor2!D24+Vendedor3!D24</f>
        <v>153000</v>
      </c>
      <c r="E24" s="14">
        <f>+Vendedor1!E24+Vendedor2!E24+Vendedor3!E24</f>
        <v>109200</v>
      </c>
      <c r="F24" s="81">
        <f>+Vendedor1!F24+Vendedor2!F24+Vendedor3!F24</f>
        <v>14196</v>
      </c>
      <c r="G24" s="85">
        <f>+Vendedor1!G24+Vendedor2!G24+Vendedor3!G24</f>
        <v>80000</v>
      </c>
      <c r="H24" s="19">
        <f>+Vendedor1!H24+Vendedor2!H24+Vendedor3!H24</f>
        <v>4900</v>
      </c>
      <c r="I24" s="15">
        <f>+Vendedor1!I24+Vendedor2!I24+Vendedor3!I24</f>
        <v>637</v>
      </c>
      <c r="J24" s="17">
        <f>+Vendedor1!J24+Vendedor2!J24+Vendedor3!J24</f>
        <v>40000</v>
      </c>
      <c r="K24" s="19">
        <f t="shared" si="3"/>
        <v>414650</v>
      </c>
      <c r="L24" s="15">
        <f t="shared" si="2"/>
        <v>53900</v>
      </c>
      <c r="M24" s="15">
        <f t="shared" si="1"/>
        <v>273000</v>
      </c>
      <c r="N24" s="15">
        <v>0</v>
      </c>
      <c r="O24" s="17">
        <f t="shared" si="0"/>
        <v>87750</v>
      </c>
    </row>
    <row r="25" spans="1:15">
      <c r="A25" s="20" t="s">
        <v>34</v>
      </c>
      <c r="B25" s="14">
        <f>+Vendedor1!B25+Vendedor2!B25+Vendedor3!B25</f>
        <v>345750</v>
      </c>
      <c r="C25" s="81">
        <f>+Vendedor1!C25+Vendedor2!C25+Vendedor3!C25</f>
        <v>44947.5</v>
      </c>
      <c r="D25" s="82">
        <f>+Vendedor1!D25+Vendedor2!D25+Vendedor3!D25</f>
        <v>675750</v>
      </c>
      <c r="E25" s="14">
        <f>+Vendedor1!E25+Vendedor2!E25+Vendedor3!E25</f>
        <v>83900</v>
      </c>
      <c r="F25" s="81">
        <f>+Vendedor1!F25+Vendedor2!F25+Vendedor3!F25</f>
        <v>10907</v>
      </c>
      <c r="G25" s="85">
        <f>+Vendedor1!G25+Vendedor2!G25+Vendedor3!G25</f>
        <v>0</v>
      </c>
      <c r="H25" s="19">
        <f>+Vendedor1!H25+Vendedor2!H25+Vendedor3!H25</f>
        <v>6950</v>
      </c>
      <c r="I25" s="15">
        <f>+Vendedor1!I25+Vendedor2!I25+Vendedor3!I25</f>
        <v>903.5</v>
      </c>
      <c r="J25" s="17">
        <f>+Vendedor1!J25+Vendedor2!J25+Vendedor3!J25</f>
        <v>0</v>
      </c>
      <c r="K25" s="19">
        <f t="shared" si="3"/>
        <v>436600</v>
      </c>
      <c r="L25" s="15">
        <f t="shared" si="2"/>
        <v>56750</v>
      </c>
      <c r="M25" s="15">
        <f t="shared" si="1"/>
        <v>675750</v>
      </c>
      <c r="N25" s="15">
        <v>0</v>
      </c>
      <c r="O25" s="17">
        <f t="shared" si="0"/>
        <v>-295900</v>
      </c>
    </row>
    <row r="26" spans="1:15">
      <c r="A26" s="13" t="s">
        <v>35</v>
      </c>
      <c r="B26" s="14">
        <f>+Vendedor1!B26+Vendedor2!B26+Vendedor3!B26</f>
        <v>357850</v>
      </c>
      <c r="C26" s="81">
        <f>+Vendedor1!C26+Vendedor2!C26+Vendedor3!C26</f>
        <v>46520.5</v>
      </c>
      <c r="D26" s="82">
        <f>+Vendedor1!D26+Vendedor2!D26+Vendedor3!D26</f>
        <v>229500</v>
      </c>
      <c r="E26" s="14">
        <f>+Vendedor1!E26+Vendedor2!E26+Vendedor3!E26</f>
        <v>90650</v>
      </c>
      <c r="F26" s="81">
        <f>+Vendedor1!F26+Vendedor2!F26+Vendedor3!F26</f>
        <v>11784.5</v>
      </c>
      <c r="G26" s="85">
        <f>+Vendedor1!G26+Vendedor2!G26+Vendedor3!G26</f>
        <v>68000</v>
      </c>
      <c r="H26" s="19">
        <f>+Vendedor1!H26+Vendedor2!H26+Vendedor3!H26</f>
        <v>16750</v>
      </c>
      <c r="I26" s="15">
        <f>+Vendedor1!I26+Vendedor2!I26+Vendedor3!I26</f>
        <v>2177.5</v>
      </c>
      <c r="J26" s="17">
        <f>+Vendedor1!J26+Vendedor2!J26+Vendedor3!J26</f>
        <v>16000</v>
      </c>
      <c r="K26" s="19">
        <f t="shared" si="3"/>
        <v>465250</v>
      </c>
      <c r="L26" s="15">
        <f t="shared" si="2"/>
        <v>60500</v>
      </c>
      <c r="M26" s="15">
        <f t="shared" si="1"/>
        <v>313500</v>
      </c>
      <c r="N26" s="15">
        <v>0</v>
      </c>
      <c r="O26" s="17">
        <f t="shared" si="0"/>
        <v>91250</v>
      </c>
    </row>
    <row r="27" spans="1:15">
      <c r="A27" s="20" t="s">
        <v>36</v>
      </c>
      <c r="B27" s="14">
        <f>+Vendedor1!B27+Vendedor2!B27+Vendedor3!B27</f>
        <v>351200</v>
      </c>
      <c r="C27" s="81">
        <f>+Vendedor1!C27+Vendedor2!C27+Vendedor3!C27</f>
        <v>45656</v>
      </c>
      <c r="D27" s="82">
        <f>+Vendedor1!D27+Vendedor2!D27+Vendedor3!D27</f>
        <v>357000</v>
      </c>
      <c r="E27" s="14">
        <f>+Vendedor1!E27+Vendedor2!E27+Vendedor3!E27</f>
        <v>62200</v>
      </c>
      <c r="F27" s="81">
        <f>+Vendedor1!F27+Vendedor2!F27+Vendedor3!F27</f>
        <v>8086</v>
      </c>
      <c r="G27" s="85">
        <f>+Vendedor1!G27+Vendedor2!G27+Vendedor3!G27</f>
        <v>16000</v>
      </c>
      <c r="H27" s="19">
        <f>+Vendedor1!H27+Vendedor2!H27+Vendedor3!H27</f>
        <v>4900</v>
      </c>
      <c r="I27" s="15">
        <f>+Vendedor1!I27+Vendedor2!I27+Vendedor3!I27</f>
        <v>637</v>
      </c>
      <c r="J27" s="17">
        <f>+Vendedor1!J27+Vendedor2!J27+Vendedor3!J27</f>
        <v>0</v>
      </c>
      <c r="K27" s="19">
        <f t="shared" si="3"/>
        <v>418300</v>
      </c>
      <c r="L27" s="15">
        <f t="shared" si="2"/>
        <v>54400</v>
      </c>
      <c r="M27" s="15">
        <f t="shared" si="1"/>
        <v>373000</v>
      </c>
      <c r="N27" s="15">
        <v>0</v>
      </c>
      <c r="O27" s="17">
        <f t="shared" si="0"/>
        <v>-9100</v>
      </c>
    </row>
    <row r="28" spans="1:15">
      <c r="A28" s="13" t="s">
        <v>37</v>
      </c>
      <c r="B28" s="14">
        <f>+Vendedor1!B28+Vendedor2!B28+Vendedor3!B28</f>
        <v>351950</v>
      </c>
      <c r="C28" s="81">
        <f>+Vendedor1!C28+Vendedor2!C28+Vendedor3!C28</f>
        <v>45753.5</v>
      </c>
      <c r="D28" s="82">
        <f>+Vendedor1!D28+Vendedor2!D28+Vendedor3!D28</f>
        <v>136000</v>
      </c>
      <c r="E28" s="14">
        <f>+Vendedor1!E28+Vendedor2!E28+Vendedor3!E28</f>
        <v>91750</v>
      </c>
      <c r="F28" s="81">
        <f>+Vendedor1!F28+Vendedor2!F28+Vendedor3!F28</f>
        <v>11927.5</v>
      </c>
      <c r="G28" s="85">
        <f>+Vendedor1!G28+Vendedor2!G28+Vendedor3!G28</f>
        <v>124000</v>
      </c>
      <c r="H28" s="19">
        <f>+Vendedor1!H28+Vendedor2!H28+Vendedor3!H28</f>
        <v>17400</v>
      </c>
      <c r="I28" s="15">
        <f>+Vendedor1!I28+Vendedor2!I28+Vendedor3!I28</f>
        <v>2262</v>
      </c>
      <c r="J28" s="17">
        <f>+Vendedor1!J28+Vendedor2!J28+Vendedor3!J28</f>
        <v>76000</v>
      </c>
      <c r="K28" s="19">
        <f t="shared" si="3"/>
        <v>461100</v>
      </c>
      <c r="L28" s="15">
        <f t="shared" si="2"/>
        <v>59950</v>
      </c>
      <c r="M28" s="15">
        <f t="shared" si="1"/>
        <v>336000</v>
      </c>
      <c r="N28" s="15">
        <v>0</v>
      </c>
      <c r="O28" s="17">
        <f t="shared" si="0"/>
        <v>65150</v>
      </c>
    </row>
    <row r="29" spans="1:15">
      <c r="A29" s="20" t="s">
        <v>38</v>
      </c>
      <c r="B29" s="14">
        <f>+Vendedor1!B29+Vendedor2!B29+Vendedor3!B29</f>
        <v>337950</v>
      </c>
      <c r="C29" s="81">
        <f>+Vendedor1!C29+Vendedor2!C29+Vendedor3!C29</f>
        <v>43933.5</v>
      </c>
      <c r="D29" s="82">
        <f>+Vendedor1!D29+Vendedor2!D29+Vendedor3!D29</f>
        <v>89250</v>
      </c>
      <c r="E29" s="14">
        <f>+Vendedor1!E29+Vendedor2!E29+Vendedor3!E29</f>
        <v>64750</v>
      </c>
      <c r="F29" s="81">
        <f>+Vendedor1!F29+Vendedor2!F29+Vendedor3!F29</f>
        <v>8417.5</v>
      </c>
      <c r="G29" s="85">
        <f>+Vendedor1!G29+Vendedor2!G29+Vendedor3!G29</f>
        <v>72000</v>
      </c>
      <c r="H29" s="19">
        <f>+Vendedor1!H29+Vendedor2!H29+Vendedor3!H29</f>
        <v>7300</v>
      </c>
      <c r="I29" s="15">
        <f>+Vendedor1!I29+Vendedor2!I29+Vendedor3!I29</f>
        <v>949</v>
      </c>
      <c r="J29" s="17">
        <f>+Vendedor1!J29+Vendedor2!J29+Vendedor3!J29</f>
        <v>16000</v>
      </c>
      <c r="K29" s="19">
        <f t="shared" si="3"/>
        <v>410000</v>
      </c>
      <c r="L29" s="15">
        <f t="shared" si="2"/>
        <v>53300</v>
      </c>
      <c r="M29" s="15">
        <f t="shared" si="1"/>
        <v>177250</v>
      </c>
      <c r="N29" s="15">
        <v>0</v>
      </c>
      <c r="O29" s="17">
        <f t="shared" si="0"/>
        <v>179450</v>
      </c>
    </row>
    <row r="30" spans="1:15">
      <c r="A30" s="13" t="s">
        <v>39</v>
      </c>
      <c r="B30" s="14">
        <f>+Vendedor1!B30+Vendedor2!B30+Vendedor3!B30</f>
        <v>343600</v>
      </c>
      <c r="C30" s="81">
        <f>+Vendedor1!C30+Vendedor2!C30+Vendedor3!C30</f>
        <v>44668</v>
      </c>
      <c r="D30" s="82">
        <f>+Vendedor1!D30+Vendedor2!D30+Vendedor3!D30</f>
        <v>667250</v>
      </c>
      <c r="E30" s="14">
        <f>+Vendedor1!E30+Vendedor2!E30+Vendedor3!E30</f>
        <v>154150</v>
      </c>
      <c r="F30" s="81">
        <f>+Vendedor1!F30+Vendedor2!F30+Vendedor3!F30</f>
        <v>20039.5</v>
      </c>
      <c r="G30" s="85">
        <f>+Vendedor1!G30+Vendedor2!G30+Vendedor3!G30</f>
        <v>72000</v>
      </c>
      <c r="H30" s="19">
        <f>+Vendedor1!H30+Vendedor2!H30+Vendedor3!H30</f>
        <v>27900</v>
      </c>
      <c r="I30" s="15">
        <f>+Vendedor1!I30+Vendedor2!I30+Vendedor3!I30</f>
        <v>3627</v>
      </c>
      <c r="J30" s="17">
        <f>+Vendedor1!J30+Vendedor2!J30+Vendedor3!J30</f>
        <v>200000</v>
      </c>
      <c r="K30" s="19">
        <f t="shared" si="3"/>
        <v>525650</v>
      </c>
      <c r="L30" s="15">
        <f t="shared" si="2"/>
        <v>68350</v>
      </c>
      <c r="M30" s="15">
        <f t="shared" si="1"/>
        <v>939250</v>
      </c>
      <c r="N30" s="15">
        <v>0</v>
      </c>
      <c r="O30" s="17">
        <f t="shared" si="0"/>
        <v>-481950</v>
      </c>
    </row>
    <row r="31" spans="1:15">
      <c r="A31" s="20" t="s">
        <v>40</v>
      </c>
      <c r="B31" s="14">
        <f>+Vendedor1!B31+Vendedor2!B31+Vendedor3!B31</f>
        <v>277800</v>
      </c>
      <c r="C31" s="81">
        <f>+Vendedor1!C31+Vendedor2!C31+Vendedor3!C31</f>
        <v>36114</v>
      </c>
      <c r="D31" s="82">
        <f>+Vendedor1!D31+Vendedor2!D31+Vendedor3!D31</f>
        <v>131750</v>
      </c>
      <c r="E31" s="14">
        <f>+Vendedor1!E31+Vendedor2!E31+Vendedor3!E31</f>
        <v>84900</v>
      </c>
      <c r="F31" s="81">
        <f>+Vendedor1!F31+Vendedor2!F31+Vendedor3!F31</f>
        <v>11037</v>
      </c>
      <c r="G31" s="85">
        <f>+Vendedor1!G31+Vendedor2!G31+Vendedor3!G31</f>
        <v>52000</v>
      </c>
      <c r="H31" s="19">
        <f>+Vendedor1!H31+Vendedor2!H31+Vendedor3!H31</f>
        <v>8300</v>
      </c>
      <c r="I31" s="15">
        <f>+Vendedor1!I31+Vendedor2!I31+Vendedor3!I31</f>
        <v>1079</v>
      </c>
      <c r="J31" s="17">
        <f>+Vendedor1!J31+Vendedor2!J31+Vendedor3!J31</f>
        <v>16000</v>
      </c>
      <c r="K31" s="19">
        <f t="shared" si="3"/>
        <v>371000</v>
      </c>
      <c r="L31" s="15">
        <f t="shared" si="2"/>
        <v>48250</v>
      </c>
      <c r="M31" s="15">
        <f t="shared" si="1"/>
        <v>199750</v>
      </c>
      <c r="N31" s="15">
        <v>0</v>
      </c>
      <c r="O31" s="17">
        <f t="shared" si="0"/>
        <v>123000</v>
      </c>
    </row>
    <row r="32" spans="1:15">
      <c r="A32" s="20" t="s">
        <v>41</v>
      </c>
      <c r="B32" s="14">
        <f>+Vendedor1!B32+Vendedor2!B32+Vendedor3!B32</f>
        <v>338750</v>
      </c>
      <c r="C32" s="81">
        <f>+Vendedor1!C32+Vendedor2!C32+Vendedor3!C32</f>
        <v>44037.5</v>
      </c>
      <c r="D32" s="82">
        <f>+Vendedor1!D32+Vendedor2!D32+Vendedor3!D32</f>
        <v>573750</v>
      </c>
      <c r="E32" s="14">
        <f>+Vendedor1!E32+Vendedor2!E32+Vendedor3!E32</f>
        <v>96050</v>
      </c>
      <c r="F32" s="81">
        <f>+Vendedor1!F32+Vendedor2!F32+Vendedor3!F32</f>
        <v>12486.5</v>
      </c>
      <c r="G32" s="85">
        <f>+Vendedor1!G32+Vendedor2!G32+Vendedor3!G32</f>
        <v>116000</v>
      </c>
      <c r="H32" s="19">
        <f>+Vendedor1!H32+Vendedor2!H32+Vendedor3!H32</f>
        <v>22600</v>
      </c>
      <c r="I32" s="15">
        <f>+Vendedor1!I32+Vendedor2!I32+Vendedor3!I32</f>
        <v>2938</v>
      </c>
      <c r="J32" s="17">
        <f>+Vendedor1!J32+Vendedor2!J32+Vendedor3!J32</f>
        <v>0</v>
      </c>
      <c r="K32" s="19">
        <f t="shared" si="3"/>
        <v>457400</v>
      </c>
      <c r="L32" s="15">
        <f t="shared" si="2"/>
        <v>59450</v>
      </c>
      <c r="M32" s="15">
        <f t="shared" si="1"/>
        <v>689750</v>
      </c>
      <c r="N32" s="15">
        <v>0</v>
      </c>
      <c r="O32" s="17">
        <f t="shared" si="0"/>
        <v>-291800</v>
      </c>
    </row>
    <row r="33" spans="1:15">
      <c r="A33" s="13" t="s">
        <v>42</v>
      </c>
      <c r="B33" s="14">
        <f>+Vendedor1!B33+Vendedor2!B33+Vendedor3!B33</f>
        <v>285500</v>
      </c>
      <c r="C33" s="81">
        <f>+Vendedor1!C33+Vendedor2!C33+Vendedor3!C33</f>
        <v>37115</v>
      </c>
      <c r="D33" s="82">
        <f>+Vendedor1!D33+Vendedor2!D33+Vendedor3!D33</f>
        <v>72250</v>
      </c>
      <c r="E33" s="14">
        <f>+Vendedor1!E33+Vendedor2!E33+Vendedor3!E33</f>
        <v>74050</v>
      </c>
      <c r="F33" s="81">
        <f>+Vendedor1!F33+Vendedor2!F33+Vendedor3!F33</f>
        <v>9626.5</v>
      </c>
      <c r="G33" s="85">
        <f>+Vendedor1!G33+Vendedor2!G33+Vendedor3!G33</f>
        <v>8000</v>
      </c>
      <c r="H33" s="19">
        <f>+Vendedor1!H33+Vendedor2!H33+Vendedor3!H33</f>
        <v>8700</v>
      </c>
      <c r="I33" s="15">
        <f>+Vendedor1!I33+Vendedor2!I33+Vendedor3!I33</f>
        <v>1131</v>
      </c>
      <c r="J33" s="17">
        <f>+Vendedor1!J33+Vendedor2!J33+Vendedor3!J33</f>
        <v>36000</v>
      </c>
      <c r="K33" s="19">
        <f t="shared" si="3"/>
        <v>368250</v>
      </c>
      <c r="L33" s="15">
        <f t="shared" si="2"/>
        <v>47850</v>
      </c>
      <c r="M33" s="15">
        <f t="shared" si="1"/>
        <v>116250</v>
      </c>
      <c r="N33" s="15">
        <v>0</v>
      </c>
      <c r="O33" s="17">
        <f t="shared" si="0"/>
        <v>204150</v>
      </c>
    </row>
    <row r="34" spans="1:15" ht="15.75" thickBot="1">
      <c r="A34" s="20" t="s">
        <v>43</v>
      </c>
      <c r="B34" s="14">
        <f>+Vendedor1!B34+Vendedor2!B34+Vendedor3!B34</f>
        <v>327500</v>
      </c>
      <c r="C34" s="81">
        <f>+Vendedor1!C34+Vendedor2!C34+Vendedor3!C34</f>
        <v>42575</v>
      </c>
      <c r="D34" s="82">
        <f>+Vendedor1!D34+Vendedor2!D34+Vendedor3!D34</f>
        <v>318750</v>
      </c>
      <c r="E34" s="14">
        <f>+Vendedor1!E34+Vendedor2!E34+Vendedor3!E34</f>
        <v>60050</v>
      </c>
      <c r="F34" s="81">
        <f>+Vendedor1!F34+Vendedor2!F34+Vendedor3!F34</f>
        <v>7806.5</v>
      </c>
      <c r="G34" s="85">
        <f>+Vendedor1!G34+Vendedor2!G34+Vendedor3!G34</f>
        <v>0</v>
      </c>
      <c r="H34" s="19">
        <f>+Vendedor1!H34+Vendedor2!H34+Vendedor3!H34</f>
        <v>6500</v>
      </c>
      <c r="I34" s="15">
        <f>+Vendedor1!I34+Vendedor2!I34+Vendedor3!I34</f>
        <v>845</v>
      </c>
      <c r="J34" s="17">
        <f>+Vendedor1!J34+Vendedor2!J34+Vendedor3!J34</f>
        <v>32000</v>
      </c>
      <c r="K34" s="19">
        <f t="shared" si="3"/>
        <v>394050</v>
      </c>
      <c r="L34" s="15">
        <f t="shared" si="2"/>
        <v>51250</v>
      </c>
      <c r="M34" s="15">
        <f t="shared" si="1"/>
        <v>350750</v>
      </c>
      <c r="N34" s="15">
        <v>0</v>
      </c>
      <c r="O34" s="17">
        <f t="shared" si="0"/>
        <v>-7950</v>
      </c>
    </row>
    <row r="35" spans="1:15" ht="15.75" hidden="1" thickBot="1">
      <c r="A35" s="13" t="s">
        <v>44</v>
      </c>
      <c r="B35" s="14">
        <f>[1]Vendedor1!$J$4</f>
        <v>152300</v>
      </c>
      <c r="C35" s="81">
        <f>[1]Vendedor1!$K$4</f>
        <v>19799</v>
      </c>
      <c r="D35" s="82">
        <f>[1]Vendedor1!$L$4</f>
        <v>165750</v>
      </c>
      <c r="E35" s="14">
        <f>[1]Vendedor1!$J$5</f>
        <v>57450</v>
      </c>
      <c r="F35" s="81">
        <f>[1]Vendedor1!$K$5</f>
        <v>7468.5</v>
      </c>
      <c r="G35" s="85">
        <f>[1]Vendedor1!$L$5</f>
        <v>16000</v>
      </c>
      <c r="H35" s="19">
        <f>[1]Vendedor1!$J$6</f>
        <v>7100</v>
      </c>
      <c r="I35" s="15">
        <f>[1]Vendedor1!$K$6</f>
        <v>923</v>
      </c>
      <c r="J35" s="17">
        <f>[1]Vendedor1!$L$6</f>
        <v>0</v>
      </c>
      <c r="K35" s="19">
        <f t="shared" si="3"/>
        <v>216850</v>
      </c>
      <c r="L35" s="15">
        <f t="shared" si="2"/>
        <v>28200</v>
      </c>
      <c r="M35" s="15">
        <f t="shared" si="1"/>
        <v>181750</v>
      </c>
      <c r="N35" s="15">
        <v>0</v>
      </c>
      <c r="O35" s="17">
        <f t="shared" si="0"/>
        <v>6900</v>
      </c>
    </row>
    <row r="36" spans="1:15" ht="15.75" hidden="1" thickBot="1">
      <c r="A36" s="20" t="s">
        <v>45</v>
      </c>
      <c r="B36" s="21">
        <f>[2]Vendedor1!$J$4</f>
        <v>224550</v>
      </c>
      <c r="C36" s="83">
        <f>[2]Vendedor1!$K$4</f>
        <v>29191.5</v>
      </c>
      <c r="D36" s="84">
        <f>[2]Vendedor1!$L$4</f>
        <v>102000</v>
      </c>
      <c r="E36" s="21">
        <f>[2]Vendedor1!$J$5</f>
        <v>87500</v>
      </c>
      <c r="F36" s="83">
        <f>[2]Vendedor1!$K$5</f>
        <v>11375</v>
      </c>
      <c r="G36" s="86">
        <f>[2]Vendedor1!$L$5</f>
        <v>16000</v>
      </c>
      <c r="H36" s="26">
        <f>[2]Vendedor1!$J$6</f>
        <v>18350</v>
      </c>
      <c r="I36" s="22">
        <f>[2]Vendedor1!$K$6</f>
        <v>2385.5</v>
      </c>
      <c r="J36" s="24">
        <f>[2]Vendedor1!$L$6</f>
        <v>12000</v>
      </c>
      <c r="K36" s="26">
        <f t="shared" si="3"/>
        <v>330400</v>
      </c>
      <c r="L36" s="22">
        <f t="shared" si="2"/>
        <v>42950</v>
      </c>
      <c r="M36" s="22">
        <f t="shared" si="1"/>
        <v>130000</v>
      </c>
      <c r="N36" s="22">
        <v>0</v>
      </c>
      <c r="O36" s="24">
        <f t="shared" si="0"/>
        <v>157450</v>
      </c>
    </row>
    <row r="37" spans="1:15" ht="16.5" thickBot="1">
      <c r="A37" s="5" t="s">
        <v>46</v>
      </c>
      <c r="B37" s="27">
        <f t="shared" ref="B37:M37" si="4">SUM(B6:B36)</f>
        <v>10580250</v>
      </c>
      <c r="C37" s="28">
        <f t="shared" si="4"/>
        <v>1375432.5</v>
      </c>
      <c r="D37" s="29">
        <f t="shared" si="4"/>
        <v>8861250</v>
      </c>
      <c r="E37" s="30">
        <f t="shared" si="4"/>
        <v>2720700</v>
      </c>
      <c r="F37" s="28">
        <f t="shared" si="4"/>
        <v>353691</v>
      </c>
      <c r="G37" s="31">
        <f t="shared" si="4"/>
        <v>1236000</v>
      </c>
      <c r="H37" s="27">
        <f t="shared" si="4"/>
        <v>414100</v>
      </c>
      <c r="I37" s="28">
        <f t="shared" si="4"/>
        <v>53833</v>
      </c>
      <c r="J37" s="29">
        <f t="shared" si="4"/>
        <v>544000</v>
      </c>
      <c r="K37" s="60">
        <f t="shared" si="4"/>
        <v>13715050</v>
      </c>
      <c r="L37" s="32">
        <f t="shared" si="4"/>
        <v>1783050</v>
      </c>
      <c r="M37" s="32">
        <f t="shared" si="4"/>
        <v>10641250</v>
      </c>
      <c r="N37" s="32">
        <f>SUM(N5:N36)</f>
        <v>0</v>
      </c>
      <c r="O37" s="33">
        <f>SUM(O5:O36)</f>
        <v>1290750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8" width="11.42578125" style="1" customWidth="1"/>
    <col min="19" max="1024" width="11.42578125" style="1"/>
  </cols>
  <sheetData>
    <row r="1" spans="1:15" ht="15.75" thickBot="1">
      <c r="H1" s="136" t="s">
        <v>0</v>
      </c>
      <c r="I1" s="137"/>
      <c r="J1" s="137"/>
      <c r="K1" s="137"/>
      <c r="L1" s="137"/>
      <c r="M1" s="137"/>
      <c r="N1" s="137"/>
      <c r="O1" s="138"/>
    </row>
    <row r="2" spans="1:15" ht="19.5" thickBot="1">
      <c r="A2" s="2" t="s">
        <v>1</v>
      </c>
      <c r="B2" s="135" t="s">
        <v>56</v>
      </c>
      <c r="C2" s="135"/>
      <c r="D2" s="135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[3]Vendedor1!$J$4</f>
        <v>241250</v>
      </c>
      <c r="C6" s="58">
        <f>[3]Vendedor1!$K$4</f>
        <v>31362.5</v>
      </c>
      <c r="D6" s="54">
        <f>[3]Vendedor1!$L$4</f>
        <v>38250</v>
      </c>
      <c r="E6" s="53">
        <f>[3]Vendedor1!$J$5</f>
        <v>52900</v>
      </c>
      <c r="F6" s="58">
        <f>[3]Vendedor1!$K$5</f>
        <v>6877</v>
      </c>
      <c r="G6" s="55">
        <f>[3]Vendedor1!$L$5</f>
        <v>0</v>
      </c>
      <c r="H6" s="61">
        <f>[3]Vendedor1!$J$6</f>
        <v>7900</v>
      </c>
      <c r="I6" s="58">
        <f>[3]Vendedor1!$K$6</f>
        <v>1027</v>
      </c>
      <c r="J6" s="54">
        <f>[3]Vendedor1!$L$6</f>
        <v>0</v>
      </c>
      <c r="K6" s="59">
        <f>+B6+E6+H6</f>
        <v>302050</v>
      </c>
      <c r="L6" s="58">
        <f>MROUND(C6+F6+I6,50)</f>
        <v>39250</v>
      </c>
      <c r="M6" s="58">
        <f t="shared" ref="M6:M36" si="1">+D6+G6+J6</f>
        <v>38250</v>
      </c>
      <c r="N6" s="58">
        <v>0</v>
      </c>
      <c r="O6" s="55">
        <f t="shared" ref="O6:O36" si="2">+K6-L6-M6+N6</f>
        <v>224550</v>
      </c>
    </row>
    <row r="7" spans="1:15">
      <c r="A7" s="13" t="s">
        <v>50</v>
      </c>
      <c r="B7" s="14">
        <f>[4]Vendedor1!$J$4</f>
        <v>161750</v>
      </c>
      <c r="C7" s="15">
        <f>[4]Vendedor1!$K$4</f>
        <v>21027.5</v>
      </c>
      <c r="D7" s="16">
        <f>[4]Vendedor1!$L$4</f>
        <v>293250</v>
      </c>
      <c r="E7" s="14">
        <f>[4]Vendedor1!$J$5</f>
        <v>56100</v>
      </c>
      <c r="F7" s="15">
        <f>[4]Vendedor1!$K$5</f>
        <v>7293</v>
      </c>
      <c r="G7" s="17">
        <f>[4]Vendedor1!$L$5</f>
        <v>0</v>
      </c>
      <c r="H7" s="18">
        <f>[4]Vendedor1!$J$6</f>
        <v>14450</v>
      </c>
      <c r="I7" s="15">
        <f>[4]Vendedor1!$K$6</f>
        <v>1878.5</v>
      </c>
      <c r="J7" s="16">
        <f>[4]Vendedor1!$L$6</f>
        <v>0</v>
      </c>
      <c r="K7" s="19">
        <f>+B7+E7+H7</f>
        <v>232300</v>
      </c>
      <c r="L7" s="15">
        <f>MROUND(C7+F7+I7,50)</f>
        <v>30200</v>
      </c>
      <c r="M7" s="15">
        <f t="shared" si="1"/>
        <v>293250</v>
      </c>
      <c r="N7" s="15">
        <v>0</v>
      </c>
      <c r="O7" s="17">
        <f t="shared" si="2"/>
        <v>-91150</v>
      </c>
    </row>
    <row r="8" spans="1:15">
      <c r="A8" s="20" t="s">
        <v>51</v>
      </c>
      <c r="B8" s="14">
        <f>[5]Vendedor1!$J$4</f>
        <v>261800</v>
      </c>
      <c r="C8" s="15">
        <f>[5]Vendedor1!$K$4</f>
        <v>34034</v>
      </c>
      <c r="D8" s="16">
        <f>[5]Vendedor1!$L$4</f>
        <v>93500</v>
      </c>
      <c r="E8" s="14">
        <f>[5]Vendedor1!$J$5</f>
        <v>61300</v>
      </c>
      <c r="F8" s="15">
        <f>[5]Vendedor1!$K$5</f>
        <v>7969</v>
      </c>
      <c r="G8" s="17">
        <f>[5]Vendedor1!$L$5</f>
        <v>0</v>
      </c>
      <c r="H8" s="18">
        <f>[5]Vendedor1!$J$6</f>
        <v>9000</v>
      </c>
      <c r="I8" s="15">
        <f>[5]Vendedor1!$K$6</f>
        <v>1170</v>
      </c>
      <c r="J8" s="16">
        <f>[5]Vendedor1!$L$6</f>
        <v>0</v>
      </c>
      <c r="K8" s="19">
        <f>+B8+E8+H8</f>
        <v>332100</v>
      </c>
      <c r="L8" s="15">
        <f t="shared" ref="L8:L36" si="3">MROUND(C8+F8+I8,50)</f>
        <v>43150</v>
      </c>
      <c r="M8" s="15">
        <f t="shared" si="1"/>
        <v>93500</v>
      </c>
      <c r="N8" s="15">
        <v>0</v>
      </c>
      <c r="O8" s="17">
        <f t="shared" si="2"/>
        <v>195450</v>
      </c>
    </row>
    <row r="9" spans="1:15">
      <c r="A9" s="13" t="s">
        <v>52</v>
      </c>
      <c r="B9" s="14">
        <f>[6]Vendedor1!$J$4</f>
        <v>200850</v>
      </c>
      <c r="C9" s="15">
        <f>[6]Vendedor1!$K$4</f>
        <v>26110.5</v>
      </c>
      <c r="D9" s="16">
        <f>[6]Vendedor1!$L$4</f>
        <v>289000</v>
      </c>
      <c r="E9" s="14">
        <f>[6]Vendedor1!$J$5</f>
        <v>52650</v>
      </c>
      <c r="F9" s="15">
        <f>[6]Vendedor1!$K$5</f>
        <v>6844.5</v>
      </c>
      <c r="G9" s="17">
        <f>[6]Vendedor1!$L$5</f>
        <v>8000</v>
      </c>
      <c r="H9" s="18">
        <f>[6]Vendedor1!$J$6</f>
        <v>5500</v>
      </c>
      <c r="I9" s="15">
        <f>[6]Vendedor1!$K$6</f>
        <v>715</v>
      </c>
      <c r="J9" s="16">
        <f>[6]Vendedor1!$L$6</f>
        <v>0</v>
      </c>
      <c r="K9" s="19">
        <f>+B9+E9+H9</f>
        <v>259000</v>
      </c>
      <c r="L9" s="15">
        <f t="shared" si="3"/>
        <v>33650</v>
      </c>
      <c r="M9" s="15">
        <f t="shared" si="1"/>
        <v>297000</v>
      </c>
      <c r="N9" s="15">
        <v>0</v>
      </c>
      <c r="O9" s="17">
        <f t="shared" si="2"/>
        <v>-71650</v>
      </c>
    </row>
    <row r="10" spans="1:15">
      <c r="A10" s="20" t="s">
        <v>53</v>
      </c>
      <c r="B10" s="14">
        <f>[7]Vendedor1!$J$4</f>
        <v>179100</v>
      </c>
      <c r="C10" s="15">
        <f>[7]Vendedor1!$K$4</f>
        <v>23283</v>
      </c>
      <c r="D10" s="16">
        <f>[7]Vendedor1!$L$4</f>
        <v>72250</v>
      </c>
      <c r="E10" s="14">
        <f>[7]Vendedor1!$J$5</f>
        <v>49100</v>
      </c>
      <c r="F10" s="15">
        <f>[7]Vendedor1!$K$5</f>
        <v>6383</v>
      </c>
      <c r="G10" s="17">
        <f>[7]Vendedor1!$L$5</f>
        <v>8000</v>
      </c>
      <c r="H10" s="18">
        <f>[7]Vendedor1!$J$6</f>
        <v>2100</v>
      </c>
      <c r="I10" s="15">
        <f>[7]Vendedor1!$K$6</f>
        <v>273</v>
      </c>
      <c r="J10" s="16">
        <f>[7]Vendedor1!$L$6</f>
        <v>0</v>
      </c>
      <c r="K10" s="19">
        <f t="shared" ref="K10:K36" si="4">+B10+E10+H10</f>
        <v>230300</v>
      </c>
      <c r="L10" s="15">
        <f t="shared" si="3"/>
        <v>29950</v>
      </c>
      <c r="M10" s="15">
        <f t="shared" si="1"/>
        <v>80250</v>
      </c>
      <c r="N10" s="15">
        <v>0</v>
      </c>
      <c r="O10" s="17">
        <f t="shared" si="2"/>
        <v>120100</v>
      </c>
    </row>
    <row r="11" spans="1:15">
      <c r="A11" s="13" t="s">
        <v>20</v>
      </c>
      <c r="B11" s="14">
        <f>[8]Vendedor1!$J$4</f>
        <v>237600</v>
      </c>
      <c r="C11" s="15">
        <f>[8]Vendedor1!$K$4</f>
        <v>30888</v>
      </c>
      <c r="D11" s="16">
        <f>[8]Vendedor1!$L$4</f>
        <v>140250</v>
      </c>
      <c r="E11" s="14">
        <f>[8]Vendedor1!$J$5</f>
        <v>62400</v>
      </c>
      <c r="F11" s="15">
        <f>[8]Vendedor1!$K$5</f>
        <v>8112</v>
      </c>
      <c r="G11" s="17">
        <f>[8]Vendedor1!$L$5</f>
        <v>8000</v>
      </c>
      <c r="H11" s="18">
        <f>[8]Vendedor1!$J$6</f>
        <v>4600</v>
      </c>
      <c r="I11" s="15">
        <f>[8]Vendedor1!$K$6</f>
        <v>598</v>
      </c>
      <c r="J11" s="16">
        <f>[8]Vendedor1!$L$6</f>
        <v>0</v>
      </c>
      <c r="K11" s="19">
        <f t="shared" si="4"/>
        <v>304600</v>
      </c>
      <c r="L11" s="15">
        <f t="shared" si="3"/>
        <v>39600</v>
      </c>
      <c r="M11" s="15">
        <f t="shared" si="1"/>
        <v>148250</v>
      </c>
      <c r="N11" s="15">
        <v>0</v>
      </c>
      <c r="O11" s="17">
        <f t="shared" si="2"/>
        <v>116750</v>
      </c>
    </row>
    <row r="12" spans="1:15">
      <c r="A12" s="20" t="s">
        <v>21</v>
      </c>
      <c r="B12" s="14">
        <f>[9]Vendedor1!$J$4</f>
        <v>176850</v>
      </c>
      <c r="C12" s="15">
        <f>[9]Vendedor1!$K$4</f>
        <v>22990.5</v>
      </c>
      <c r="D12" s="16">
        <f>[9]Vendedor1!$L$4</f>
        <v>106250</v>
      </c>
      <c r="E12" s="14">
        <f>[9]Vendedor1!$J$5</f>
        <v>39300</v>
      </c>
      <c r="F12" s="15">
        <f>[9]Vendedor1!$K$5</f>
        <v>5109</v>
      </c>
      <c r="G12" s="17">
        <f>[9]Vendedor1!$L$5</f>
        <v>72000</v>
      </c>
      <c r="H12" s="18">
        <f>[9]Vendedor1!$J$6</f>
        <v>9800</v>
      </c>
      <c r="I12" s="15">
        <f>[9]Vendedor1!$K$6</f>
        <v>1274</v>
      </c>
      <c r="J12" s="16">
        <f>[9]Vendedor1!$L$6</f>
        <v>0</v>
      </c>
      <c r="K12" s="19">
        <f t="shared" si="4"/>
        <v>225950</v>
      </c>
      <c r="L12" s="15">
        <f t="shared" si="3"/>
        <v>29350</v>
      </c>
      <c r="M12" s="15">
        <f t="shared" si="1"/>
        <v>178250</v>
      </c>
      <c r="N12" s="15">
        <v>0</v>
      </c>
      <c r="O12" s="17">
        <f t="shared" si="2"/>
        <v>18350</v>
      </c>
    </row>
    <row r="13" spans="1:15">
      <c r="A13" s="13" t="s">
        <v>22</v>
      </c>
      <c r="B13" s="14">
        <f>[10]Vendedor1!$J$4</f>
        <v>269800</v>
      </c>
      <c r="C13" s="15">
        <f>[10]Vendedor1!$K$4</f>
        <v>35074</v>
      </c>
      <c r="D13" s="16">
        <f>[10]Vendedor1!$L$4</f>
        <v>110500</v>
      </c>
      <c r="E13" s="14">
        <f>[10]Vendedor1!$J$5</f>
        <v>77050</v>
      </c>
      <c r="F13" s="15">
        <f>[10]Vendedor1!$K$5</f>
        <v>10016.5</v>
      </c>
      <c r="G13" s="17">
        <f>[10]Vendedor1!$L$5</f>
        <v>16000</v>
      </c>
      <c r="H13" s="18">
        <f>[10]Vendedor1!$J$6</f>
        <v>13300</v>
      </c>
      <c r="I13" s="15">
        <f>[10]Vendedor1!$K$6</f>
        <v>1729</v>
      </c>
      <c r="J13" s="16">
        <f>[10]Vendedor1!$L$6</f>
        <v>0</v>
      </c>
      <c r="K13" s="19">
        <f t="shared" si="4"/>
        <v>360150</v>
      </c>
      <c r="L13" s="15">
        <f t="shared" si="3"/>
        <v>46800</v>
      </c>
      <c r="M13" s="15">
        <f t="shared" si="1"/>
        <v>126500</v>
      </c>
      <c r="N13" s="15">
        <v>0</v>
      </c>
      <c r="O13" s="17">
        <f t="shared" si="2"/>
        <v>186850</v>
      </c>
    </row>
    <row r="14" spans="1:15">
      <c r="A14" s="20" t="s">
        <v>23</v>
      </c>
      <c r="B14" s="14">
        <f>[11]Vendedor1!$J$4</f>
        <v>161000</v>
      </c>
      <c r="C14" s="15">
        <f>[11]Vendedor1!$K$4</f>
        <v>20930</v>
      </c>
      <c r="D14" s="16">
        <f>[11]Vendedor1!$L$4</f>
        <v>136000</v>
      </c>
      <c r="E14" s="14">
        <f>[11]Vendedor1!$J$5</f>
        <v>58600</v>
      </c>
      <c r="F14" s="15">
        <f>[11]Vendedor1!$K$5</f>
        <v>7618</v>
      </c>
      <c r="G14" s="17">
        <f>[11]Vendedor1!$L$5</f>
        <v>16000</v>
      </c>
      <c r="H14" s="18">
        <f>[11]Vendedor1!$J$6</f>
        <v>9300</v>
      </c>
      <c r="I14" s="15">
        <f>[11]Vendedor1!$K$6</f>
        <v>1209</v>
      </c>
      <c r="J14" s="16">
        <f>[11]Vendedor1!$L$6</f>
        <v>0</v>
      </c>
      <c r="K14" s="19">
        <f t="shared" si="4"/>
        <v>228900</v>
      </c>
      <c r="L14" s="15">
        <f t="shared" si="3"/>
        <v>29750</v>
      </c>
      <c r="M14" s="15">
        <f t="shared" si="1"/>
        <v>152000</v>
      </c>
      <c r="N14" s="15">
        <v>0</v>
      </c>
      <c r="O14" s="17">
        <f t="shared" si="2"/>
        <v>47150</v>
      </c>
    </row>
    <row r="15" spans="1:15">
      <c r="A15" s="13" t="s">
        <v>24</v>
      </c>
      <c r="B15" s="14">
        <f>[12]Vendedor1!$J$4</f>
        <v>239150</v>
      </c>
      <c r="C15" s="15">
        <f>[12]Vendedor1!$K$4</f>
        <v>31089.5</v>
      </c>
      <c r="D15" s="16">
        <f>[12]Vendedor1!$L$4</f>
        <v>59500</v>
      </c>
      <c r="E15" s="14">
        <f>[12]Vendedor1!$J$5</f>
        <v>80500</v>
      </c>
      <c r="F15" s="15">
        <f>[12]Vendedor1!$K$5</f>
        <v>10465</v>
      </c>
      <c r="G15" s="17">
        <f>[12]Vendedor1!$L$5</f>
        <v>100000</v>
      </c>
      <c r="H15" s="18">
        <f>[12]Vendedor1!$J$6</f>
        <v>6950</v>
      </c>
      <c r="I15" s="15">
        <f>[12]Vendedor1!$K$6</f>
        <v>903.5</v>
      </c>
      <c r="J15" s="16">
        <f>[12]Vendedor1!$L$6</f>
        <v>0</v>
      </c>
      <c r="K15" s="19">
        <f t="shared" si="4"/>
        <v>326600</v>
      </c>
      <c r="L15" s="15">
        <f t="shared" si="3"/>
        <v>42450</v>
      </c>
      <c r="M15" s="15">
        <f t="shared" si="1"/>
        <v>159500</v>
      </c>
      <c r="N15" s="15">
        <v>0</v>
      </c>
      <c r="O15" s="17">
        <f t="shared" si="2"/>
        <v>124650</v>
      </c>
    </row>
    <row r="16" spans="1:15">
      <c r="A16" s="20" t="s">
        <v>25</v>
      </c>
      <c r="B16" s="14">
        <f>[13]Vendedor1!$J$4</f>
        <v>251450</v>
      </c>
      <c r="C16" s="15">
        <f>[13]Vendedor1!$K$4</f>
        <v>32688.5</v>
      </c>
      <c r="D16" s="16">
        <f>[13]Vendedor1!$L$4</f>
        <v>110500</v>
      </c>
      <c r="E16" s="14">
        <f>[13]Vendedor1!$J$5</f>
        <v>68650</v>
      </c>
      <c r="F16" s="15">
        <f>[13]Vendedor1!$K$5</f>
        <v>8924.5</v>
      </c>
      <c r="G16" s="17">
        <f>[13]Vendedor1!$L$5</f>
        <v>56000</v>
      </c>
      <c r="H16" s="18">
        <f>[13]Vendedor1!$J$6</f>
        <v>13000</v>
      </c>
      <c r="I16" s="15">
        <f>[13]Vendedor1!$K$6</f>
        <v>1690</v>
      </c>
      <c r="J16" s="16">
        <f>[13]Vendedor1!$L$6</f>
        <v>20000</v>
      </c>
      <c r="K16" s="19">
        <f t="shared" si="4"/>
        <v>333100</v>
      </c>
      <c r="L16" s="15">
        <f t="shared" si="3"/>
        <v>43300</v>
      </c>
      <c r="M16" s="15">
        <f t="shared" si="1"/>
        <v>186500</v>
      </c>
      <c r="N16" s="15">
        <v>0</v>
      </c>
      <c r="O16" s="17">
        <f t="shared" si="2"/>
        <v>103300</v>
      </c>
    </row>
    <row r="17" spans="1:15">
      <c r="A17" s="13" t="s">
        <v>26</v>
      </c>
      <c r="B17" s="14">
        <f>[14]Vendedor1!$J$4</f>
        <v>182050</v>
      </c>
      <c r="C17" s="15">
        <f>[14]Vendedor1!$K$4</f>
        <v>23666.5</v>
      </c>
      <c r="D17" s="16">
        <f>[14]Vendedor1!$L$4</f>
        <v>80750</v>
      </c>
      <c r="E17" s="14">
        <f>[14]Vendedor1!$J$5</f>
        <v>54550</v>
      </c>
      <c r="F17" s="15">
        <f>[14]Vendedor1!$K$5</f>
        <v>7091.5</v>
      </c>
      <c r="G17" s="17">
        <f>[14]Vendedor1!$L$5</f>
        <v>0</v>
      </c>
      <c r="H17" s="18">
        <f>[14]Vendedor1!$J$6</f>
        <v>12450</v>
      </c>
      <c r="I17" s="15">
        <f>[14]Vendedor1!$K$6</f>
        <v>1618.5</v>
      </c>
      <c r="J17" s="16">
        <f>[14]Vendedor1!$L$6</f>
        <v>0</v>
      </c>
      <c r="K17" s="19">
        <f t="shared" si="4"/>
        <v>249050</v>
      </c>
      <c r="L17" s="15">
        <f t="shared" si="3"/>
        <v>32400</v>
      </c>
      <c r="M17" s="15">
        <f t="shared" si="1"/>
        <v>80750</v>
      </c>
      <c r="N17" s="15">
        <v>0</v>
      </c>
      <c r="O17" s="17">
        <f t="shared" si="2"/>
        <v>135900</v>
      </c>
    </row>
    <row r="18" spans="1:15">
      <c r="A18" s="20" t="s">
        <v>27</v>
      </c>
      <c r="B18" s="14">
        <f>[15]Vendedor1!$J$4</f>
        <v>170050</v>
      </c>
      <c r="C18" s="15">
        <f>[15]Vendedor1!$K$4</f>
        <v>22106.5</v>
      </c>
      <c r="D18" s="16">
        <f>[15]Vendedor1!$L$4</f>
        <v>153000</v>
      </c>
      <c r="E18" s="14">
        <f>[15]Vendedor1!$J$5</f>
        <v>61850</v>
      </c>
      <c r="F18" s="15">
        <f>[15]Vendedor1!$K$5</f>
        <v>8040.5</v>
      </c>
      <c r="G18" s="17">
        <f>[15]Vendedor1!$L$5</f>
        <v>16000</v>
      </c>
      <c r="H18" s="18">
        <f>[15]Vendedor1!$J$6</f>
        <v>10550</v>
      </c>
      <c r="I18" s="15">
        <f>[15]Vendedor1!$K$6</f>
        <v>1371.5</v>
      </c>
      <c r="J18" s="16">
        <f>[15]Vendedor1!$L$6</f>
        <v>0</v>
      </c>
      <c r="K18" s="19">
        <f t="shared" si="4"/>
        <v>242450</v>
      </c>
      <c r="L18" s="15">
        <f t="shared" si="3"/>
        <v>31500</v>
      </c>
      <c r="M18" s="15">
        <f t="shared" si="1"/>
        <v>169000</v>
      </c>
      <c r="N18" s="15">
        <v>0</v>
      </c>
      <c r="O18" s="17">
        <f t="shared" si="2"/>
        <v>41950</v>
      </c>
    </row>
    <row r="19" spans="1:15">
      <c r="A19" s="20" t="s">
        <v>28</v>
      </c>
      <c r="B19" s="14">
        <f>[16]Vendedor1!$J$4</f>
        <v>215550</v>
      </c>
      <c r="C19" s="15">
        <f>[16]Vendedor1!$K$4</f>
        <v>28021.5</v>
      </c>
      <c r="D19" s="16">
        <f>[16]Vendedor1!$L$4</f>
        <v>267750</v>
      </c>
      <c r="E19" s="14">
        <f>[16]Vendedor1!$J$5</f>
        <v>92050</v>
      </c>
      <c r="F19" s="15">
        <f>[16]Vendedor1!$K$5</f>
        <v>11966.5</v>
      </c>
      <c r="G19" s="17">
        <f>[16]Vendedor1!$L$5</f>
        <v>16000</v>
      </c>
      <c r="H19" s="18">
        <f>[16]Vendedor1!$J$6</f>
        <v>13500</v>
      </c>
      <c r="I19" s="15">
        <f>[16]Vendedor1!$K$6</f>
        <v>1755</v>
      </c>
      <c r="J19" s="16">
        <f>[16]Vendedor1!$L$6</f>
        <v>48000</v>
      </c>
      <c r="K19" s="19">
        <f t="shared" si="4"/>
        <v>321100</v>
      </c>
      <c r="L19" s="15">
        <f t="shared" si="3"/>
        <v>41750</v>
      </c>
      <c r="M19" s="15">
        <f t="shared" si="1"/>
        <v>331750</v>
      </c>
      <c r="N19" s="15">
        <v>0</v>
      </c>
      <c r="O19" s="17">
        <f t="shared" si="2"/>
        <v>-52400</v>
      </c>
    </row>
    <row r="20" spans="1:15">
      <c r="A20" s="13" t="s">
        <v>29</v>
      </c>
      <c r="B20" s="14">
        <f>[17]Vendedor1!$J$4</f>
        <v>276050</v>
      </c>
      <c r="C20" s="15">
        <f>[17]Vendedor1!$K$4</f>
        <v>35886.5</v>
      </c>
      <c r="D20" s="16">
        <f>[17]Vendedor1!$L$4</f>
        <v>497250</v>
      </c>
      <c r="E20" s="14">
        <f>[17]Vendedor1!$J$5</f>
        <v>56650</v>
      </c>
      <c r="F20" s="15">
        <f>[17]Vendedor1!$K$5</f>
        <v>7364.5</v>
      </c>
      <c r="G20" s="17">
        <f>[17]Vendedor1!$L$5</f>
        <v>0</v>
      </c>
      <c r="H20" s="18">
        <f>[17]Vendedor1!$J$6</f>
        <v>11500</v>
      </c>
      <c r="I20" s="15">
        <f>[17]Vendedor1!$K$6</f>
        <v>1495</v>
      </c>
      <c r="J20" s="16">
        <f>[17]Vendedor1!$L$6</f>
        <v>0</v>
      </c>
      <c r="K20" s="19">
        <f t="shared" si="4"/>
        <v>344200</v>
      </c>
      <c r="L20" s="15">
        <f t="shared" si="3"/>
        <v>44750</v>
      </c>
      <c r="M20" s="15">
        <f t="shared" si="1"/>
        <v>497250</v>
      </c>
      <c r="N20" s="15">
        <v>0</v>
      </c>
      <c r="O20" s="17">
        <f t="shared" si="2"/>
        <v>-197800</v>
      </c>
    </row>
    <row r="21" spans="1:15">
      <c r="A21" s="20" t="s">
        <v>30</v>
      </c>
      <c r="B21" s="14">
        <f>[18]Vendedor1!$J$4</f>
        <v>153650</v>
      </c>
      <c r="C21" s="81">
        <f>[18]Vendedor1!$K$4</f>
        <v>19974.5</v>
      </c>
      <c r="D21" s="82">
        <f>[18]Vendedor1!$L$4</f>
        <v>612000</v>
      </c>
      <c r="E21" s="14">
        <f>[18]Vendedor1!$J$5</f>
        <v>59550</v>
      </c>
      <c r="F21" s="81">
        <f>[18]Vendedor1!$K$5</f>
        <v>7741.5</v>
      </c>
      <c r="G21" s="85">
        <f>[18]Vendedor1!$L$5</f>
        <v>0</v>
      </c>
      <c r="H21" s="19">
        <f>[18]Vendedor1!$J$6</f>
        <v>5250</v>
      </c>
      <c r="I21" s="15">
        <f>[18]Vendedor1!$K$6</f>
        <v>682.5</v>
      </c>
      <c r="J21" s="17">
        <f>[18]Vendedor1!$L$6</f>
        <v>8000</v>
      </c>
      <c r="K21" s="19">
        <f t="shared" si="4"/>
        <v>218450</v>
      </c>
      <c r="L21" s="15">
        <f t="shared" si="3"/>
        <v>28400</v>
      </c>
      <c r="M21" s="15">
        <f t="shared" si="1"/>
        <v>620000</v>
      </c>
      <c r="N21" s="15">
        <v>0</v>
      </c>
      <c r="O21" s="17">
        <f t="shared" si="2"/>
        <v>-429950</v>
      </c>
    </row>
    <row r="22" spans="1:15">
      <c r="A22" s="13" t="s">
        <v>31</v>
      </c>
      <c r="B22" s="14">
        <f>[19]Vendedor1!$J$4</f>
        <v>191950</v>
      </c>
      <c r="C22" s="81">
        <f>[19]Vendedor1!$K$4</f>
        <v>24953.5</v>
      </c>
      <c r="D22" s="82">
        <f>[19]Vendedor1!$L$4</f>
        <v>170000</v>
      </c>
      <c r="E22" s="14">
        <f>[19]Vendedor1!$J$5</f>
        <v>49800</v>
      </c>
      <c r="F22" s="81">
        <f>[19]Vendedor1!$K$5</f>
        <v>6474</v>
      </c>
      <c r="G22" s="85">
        <f>[19]Vendedor1!$L$5</f>
        <v>8000</v>
      </c>
      <c r="H22" s="19">
        <f>[19]Vendedor1!$J$6</f>
        <v>11500</v>
      </c>
      <c r="I22" s="15">
        <f>[19]Vendedor1!$K$6</f>
        <v>1495</v>
      </c>
      <c r="J22" s="17">
        <f>[19]Vendedor1!$L$6</f>
        <v>0</v>
      </c>
      <c r="K22" s="19">
        <f t="shared" si="4"/>
        <v>253250</v>
      </c>
      <c r="L22" s="15">
        <f t="shared" si="3"/>
        <v>32900</v>
      </c>
      <c r="M22" s="15">
        <f t="shared" si="1"/>
        <v>178000</v>
      </c>
      <c r="N22" s="15">
        <v>0</v>
      </c>
      <c r="O22" s="17">
        <f t="shared" si="2"/>
        <v>42350</v>
      </c>
    </row>
    <row r="23" spans="1:15">
      <c r="A23" s="20" t="s">
        <v>32</v>
      </c>
      <c r="B23" s="14">
        <f>[20]Vendedor1!$J$4</f>
        <v>159650</v>
      </c>
      <c r="C23" s="81">
        <f>[20]Vendedor1!$K$4</f>
        <v>20754.5</v>
      </c>
      <c r="D23" s="82">
        <f>[20]Vendedor1!$L$4</f>
        <v>76500</v>
      </c>
      <c r="E23" s="14">
        <f>[20]Vendedor1!$J$5</f>
        <v>53700</v>
      </c>
      <c r="F23" s="81">
        <f>[20]Vendedor1!$K$5</f>
        <v>6981</v>
      </c>
      <c r="G23" s="85">
        <f>[20]Vendedor1!$L$5</f>
        <v>0</v>
      </c>
      <c r="H23" s="19">
        <f>[20]Vendedor1!$J$6</f>
        <v>26600</v>
      </c>
      <c r="I23" s="15">
        <f>[20]Vendedor1!$K$6</f>
        <v>3458</v>
      </c>
      <c r="J23" s="17">
        <f>[20]Vendedor1!$L$6</f>
        <v>0</v>
      </c>
      <c r="K23" s="19">
        <f t="shared" si="4"/>
        <v>239950</v>
      </c>
      <c r="L23" s="15">
        <f t="shared" si="3"/>
        <v>31200</v>
      </c>
      <c r="M23" s="15">
        <f t="shared" si="1"/>
        <v>76500</v>
      </c>
      <c r="N23" s="15">
        <v>0</v>
      </c>
      <c r="O23" s="17">
        <f t="shared" si="2"/>
        <v>132250</v>
      </c>
    </row>
    <row r="24" spans="1:15">
      <c r="A24" s="13" t="s">
        <v>33</v>
      </c>
      <c r="B24" s="14">
        <f>[21]Vendedor1!$J$4</f>
        <v>145500</v>
      </c>
      <c r="C24" s="81">
        <f>[21]Vendedor1!$K$4</f>
        <v>18915</v>
      </c>
      <c r="D24" s="82">
        <f>[21]Vendedor1!$L$4</f>
        <v>110500</v>
      </c>
      <c r="E24" s="14">
        <f>[21]Vendedor1!$J$5</f>
        <v>67300</v>
      </c>
      <c r="F24" s="81">
        <f>[21]Vendedor1!$K$5</f>
        <v>8749</v>
      </c>
      <c r="G24" s="85">
        <f>[21]Vendedor1!$L$5</f>
        <v>40000</v>
      </c>
      <c r="H24" s="19">
        <f>[21]Vendedor1!$J$6</f>
        <v>3900</v>
      </c>
      <c r="I24" s="15">
        <f>[21]Vendedor1!$K$6</f>
        <v>507</v>
      </c>
      <c r="J24" s="17">
        <f>[21]Vendedor1!$L$6</f>
        <v>0</v>
      </c>
      <c r="K24" s="19">
        <f t="shared" si="4"/>
        <v>216700</v>
      </c>
      <c r="L24" s="15">
        <f t="shared" si="3"/>
        <v>28150</v>
      </c>
      <c r="M24" s="15">
        <f t="shared" si="1"/>
        <v>150500</v>
      </c>
      <c r="N24" s="15">
        <v>0</v>
      </c>
      <c r="O24" s="17">
        <f t="shared" si="2"/>
        <v>38050</v>
      </c>
    </row>
    <row r="25" spans="1:15">
      <c r="A25" s="20" t="s">
        <v>34</v>
      </c>
      <c r="B25" s="14">
        <f>[22]Vendedor1!$J$4</f>
        <v>204850</v>
      </c>
      <c r="C25" s="81">
        <f>[22]Vendedor1!$K$4</f>
        <v>26630.5</v>
      </c>
      <c r="D25" s="82">
        <f>[22]Vendedor1!$L$4</f>
        <v>561000</v>
      </c>
      <c r="E25" s="14">
        <f>[22]Vendedor1!$J$5</f>
        <v>43000</v>
      </c>
      <c r="F25" s="81">
        <f>[22]Vendedor1!$K$5</f>
        <v>5590</v>
      </c>
      <c r="G25" s="85">
        <f>[22]Vendedor1!$L$5</f>
        <v>0</v>
      </c>
      <c r="H25" s="19">
        <f>[22]Vendedor1!$J$6</f>
        <v>6950</v>
      </c>
      <c r="I25" s="15">
        <f>[22]Vendedor1!$K$6</f>
        <v>903.5</v>
      </c>
      <c r="J25" s="17">
        <f>[22]Vendedor1!$L$6</f>
        <v>0</v>
      </c>
      <c r="K25" s="19">
        <f t="shared" si="4"/>
        <v>254800</v>
      </c>
      <c r="L25" s="15">
        <f t="shared" si="3"/>
        <v>33100</v>
      </c>
      <c r="M25" s="15">
        <f t="shared" si="1"/>
        <v>561000</v>
      </c>
      <c r="N25" s="15">
        <v>0</v>
      </c>
      <c r="O25" s="17">
        <f t="shared" si="2"/>
        <v>-339300</v>
      </c>
    </row>
    <row r="26" spans="1:15">
      <c r="A26" s="13" t="s">
        <v>35</v>
      </c>
      <c r="B26" s="14">
        <f>[23]Vendedor1!$J$4</f>
        <v>152850</v>
      </c>
      <c r="C26" s="81">
        <f>[23]Vendedor1!$K$4</f>
        <v>19870.5</v>
      </c>
      <c r="D26" s="82">
        <f>[23]Vendedor1!$L$4</f>
        <v>0</v>
      </c>
      <c r="E26" s="14">
        <f>[23]Vendedor1!$J$5</f>
        <v>35400</v>
      </c>
      <c r="F26" s="81">
        <f>[23]Vendedor1!$K$5</f>
        <v>4602</v>
      </c>
      <c r="G26" s="85">
        <f>[23]Vendedor1!$L$5</f>
        <v>16000</v>
      </c>
      <c r="H26" s="19">
        <f>[23]Vendedor1!$J$6</f>
        <v>13350</v>
      </c>
      <c r="I26" s="15">
        <f>[23]Vendedor1!$K$6</f>
        <v>1735.5</v>
      </c>
      <c r="J26" s="17">
        <f>[23]Vendedor1!$L$6</f>
        <v>16000</v>
      </c>
      <c r="K26" s="19">
        <f t="shared" si="4"/>
        <v>201600</v>
      </c>
      <c r="L26" s="15">
        <f t="shared" si="3"/>
        <v>26200</v>
      </c>
      <c r="M26" s="15">
        <f t="shared" si="1"/>
        <v>32000</v>
      </c>
      <c r="N26" s="15">
        <v>0</v>
      </c>
      <c r="O26" s="17">
        <f t="shared" si="2"/>
        <v>143400</v>
      </c>
    </row>
    <row r="27" spans="1:15">
      <c r="A27" s="20" t="s">
        <v>36</v>
      </c>
      <c r="B27" s="14">
        <f>[24]Vendedor1!$J$4</f>
        <v>191950</v>
      </c>
      <c r="C27" s="81">
        <f>[24]Vendedor1!$K$4</f>
        <v>24953.5</v>
      </c>
      <c r="D27" s="82">
        <f>[24]Vendedor1!$L$4</f>
        <v>97750</v>
      </c>
      <c r="E27" s="14">
        <f>[24]Vendedor1!$J$5</f>
        <v>29300</v>
      </c>
      <c r="F27" s="81">
        <f>[24]Vendedor1!$K$5</f>
        <v>3809</v>
      </c>
      <c r="G27" s="85">
        <f>[24]Vendedor1!$L$5</f>
        <v>16000</v>
      </c>
      <c r="H27" s="19">
        <f>[24]Vendedor1!$J$6</f>
        <v>4700</v>
      </c>
      <c r="I27" s="15">
        <f>[24]Vendedor1!$K$6</f>
        <v>611</v>
      </c>
      <c r="J27" s="17">
        <f>[24]Vendedor1!$L$6</f>
        <v>0</v>
      </c>
      <c r="K27" s="19">
        <f t="shared" si="4"/>
        <v>225950</v>
      </c>
      <c r="L27" s="15">
        <f t="shared" si="3"/>
        <v>29350</v>
      </c>
      <c r="M27" s="15">
        <f t="shared" si="1"/>
        <v>113750</v>
      </c>
      <c r="N27" s="15">
        <v>0</v>
      </c>
      <c r="O27" s="17">
        <f t="shared" si="2"/>
        <v>82850</v>
      </c>
    </row>
    <row r="28" spans="1:15">
      <c r="A28" s="13" t="s">
        <v>37</v>
      </c>
      <c r="B28" s="14">
        <f>[25]Vendedor1!$J$4</f>
        <v>168400</v>
      </c>
      <c r="C28" s="81">
        <f>[25]Vendedor1!$K$4</f>
        <v>21892</v>
      </c>
      <c r="D28" s="82">
        <f>[25]Vendedor1!$L$4</f>
        <v>8500</v>
      </c>
      <c r="E28" s="14">
        <f>[25]Vendedor1!$J$5</f>
        <v>63700</v>
      </c>
      <c r="F28" s="81">
        <f>[25]Vendedor1!$K$5</f>
        <v>8281</v>
      </c>
      <c r="G28" s="85">
        <f>[25]Vendedor1!$L$5</f>
        <v>60000</v>
      </c>
      <c r="H28" s="19">
        <f>[25]Vendedor1!$J$6</f>
        <v>17400</v>
      </c>
      <c r="I28" s="15">
        <f>[25]Vendedor1!$K$6</f>
        <v>2262</v>
      </c>
      <c r="J28" s="17">
        <f>[25]Vendedor1!$L$6</f>
        <v>76000</v>
      </c>
      <c r="K28" s="19">
        <f t="shared" si="4"/>
        <v>249500</v>
      </c>
      <c r="L28" s="15">
        <f t="shared" si="3"/>
        <v>32450</v>
      </c>
      <c r="M28" s="15">
        <f t="shared" si="1"/>
        <v>144500</v>
      </c>
      <c r="N28" s="15">
        <v>0</v>
      </c>
      <c r="O28" s="17">
        <f t="shared" si="2"/>
        <v>72550</v>
      </c>
    </row>
    <row r="29" spans="1:15">
      <c r="A29" s="20" t="s">
        <v>38</v>
      </c>
      <c r="B29" s="14">
        <f>[26]Vendedor1!$J$4</f>
        <v>195100</v>
      </c>
      <c r="C29" s="81">
        <f>[26]Vendedor1!$K$4</f>
        <v>25363</v>
      </c>
      <c r="D29" s="82">
        <f>[26]Vendedor1!$L$4</f>
        <v>46750</v>
      </c>
      <c r="E29" s="14">
        <f>[26]Vendedor1!$J$5</f>
        <v>32350</v>
      </c>
      <c r="F29" s="81">
        <f>[26]Vendedor1!$K$5</f>
        <v>4205.5</v>
      </c>
      <c r="G29" s="85">
        <f>[26]Vendedor1!$L$5</f>
        <v>32000</v>
      </c>
      <c r="H29" s="19">
        <f>[26]Vendedor1!$J$6</f>
        <v>7100</v>
      </c>
      <c r="I29" s="15">
        <f>[26]Vendedor1!$K$6</f>
        <v>923</v>
      </c>
      <c r="J29" s="17">
        <f>[26]Vendedor1!$L$6</f>
        <v>0</v>
      </c>
      <c r="K29" s="19">
        <f t="shared" si="4"/>
        <v>234550</v>
      </c>
      <c r="L29" s="15">
        <f t="shared" si="3"/>
        <v>30500</v>
      </c>
      <c r="M29" s="15">
        <f t="shared" si="1"/>
        <v>78750</v>
      </c>
      <c r="N29" s="15">
        <v>0</v>
      </c>
      <c r="O29" s="17">
        <f t="shared" si="2"/>
        <v>125300</v>
      </c>
    </row>
    <row r="30" spans="1:15">
      <c r="A30" s="13" t="s">
        <v>39</v>
      </c>
      <c r="B30" s="14">
        <f>[27]Vendedor1!$J$4</f>
        <v>184000</v>
      </c>
      <c r="C30" s="81">
        <f>[27]Vendedor1!$K$4</f>
        <v>23920</v>
      </c>
      <c r="D30" s="82">
        <f>[27]Vendedor1!$L$4</f>
        <v>314500</v>
      </c>
      <c r="E30" s="14">
        <f>[27]Vendedor1!$J$5</f>
        <v>90950</v>
      </c>
      <c r="F30" s="81">
        <f>[27]Vendedor1!$K$5</f>
        <v>11823.5</v>
      </c>
      <c r="G30" s="85">
        <f>[27]Vendedor1!$L$5</f>
        <v>72000</v>
      </c>
      <c r="H30" s="19">
        <f>[27]Vendedor1!$J$6</f>
        <v>8300</v>
      </c>
      <c r="I30" s="15">
        <f>[27]Vendedor1!$K$6</f>
        <v>1079</v>
      </c>
      <c r="J30" s="17">
        <f>[27]Vendedor1!$L$6</f>
        <v>32000</v>
      </c>
      <c r="K30" s="19">
        <f t="shared" si="4"/>
        <v>283250</v>
      </c>
      <c r="L30" s="15">
        <f t="shared" si="3"/>
        <v>36800</v>
      </c>
      <c r="M30" s="15">
        <f t="shared" si="1"/>
        <v>418500</v>
      </c>
      <c r="N30" s="15">
        <v>0</v>
      </c>
      <c r="O30" s="17">
        <f t="shared" si="2"/>
        <v>-172050</v>
      </c>
    </row>
    <row r="31" spans="1:15">
      <c r="A31" s="20" t="s">
        <v>40</v>
      </c>
      <c r="B31" s="14">
        <f>[28]Vendedor1!$J$4</f>
        <v>130050</v>
      </c>
      <c r="C31" s="81">
        <f>[28]Vendedor1!$K$4</f>
        <v>16906.5</v>
      </c>
      <c r="D31" s="82">
        <f>[28]Vendedor1!$L$4</f>
        <v>42500</v>
      </c>
      <c r="E31" s="14">
        <f>[28]Vendedor1!$J$5</f>
        <v>44400</v>
      </c>
      <c r="F31" s="81">
        <f>[28]Vendedor1!$K$5</f>
        <v>5772</v>
      </c>
      <c r="G31" s="85">
        <f>[28]Vendedor1!$L$5</f>
        <v>52000</v>
      </c>
      <c r="H31" s="19">
        <f>[28]Vendedor1!$J$6</f>
        <v>3500</v>
      </c>
      <c r="I31" s="15">
        <f>[28]Vendedor1!$K$6</f>
        <v>455</v>
      </c>
      <c r="J31" s="17">
        <f>[28]Vendedor1!$L$6</f>
        <v>0</v>
      </c>
      <c r="K31" s="19">
        <f t="shared" si="4"/>
        <v>177950</v>
      </c>
      <c r="L31" s="15">
        <f t="shared" si="3"/>
        <v>23150</v>
      </c>
      <c r="M31" s="15">
        <f t="shared" si="1"/>
        <v>94500</v>
      </c>
      <c r="N31" s="15">
        <v>0</v>
      </c>
      <c r="O31" s="17">
        <f t="shared" si="2"/>
        <v>60300</v>
      </c>
    </row>
    <row r="32" spans="1:15">
      <c r="A32" s="20" t="s">
        <v>41</v>
      </c>
      <c r="B32" s="14">
        <f>[29]Vendedor1!$J$4</f>
        <v>144050</v>
      </c>
      <c r="C32" s="81">
        <f>[29]Vendedor1!$K$4</f>
        <v>18726.5</v>
      </c>
      <c r="D32" s="82">
        <f>[29]Vendedor1!$L$4</f>
        <v>484500</v>
      </c>
      <c r="E32" s="14">
        <f>[29]Vendedor1!$J$5</f>
        <v>48250</v>
      </c>
      <c r="F32" s="81">
        <f>[29]Vendedor1!$K$5</f>
        <v>6272.5</v>
      </c>
      <c r="G32" s="85">
        <f>[29]Vendedor1!$L$5</f>
        <v>0</v>
      </c>
      <c r="H32" s="19">
        <f>[29]Vendedor1!$J$6</f>
        <v>13400</v>
      </c>
      <c r="I32" s="15">
        <f>[29]Vendedor1!$K$6</f>
        <v>1742</v>
      </c>
      <c r="J32" s="17">
        <f>[29]Vendedor1!$L$6</f>
        <v>0</v>
      </c>
      <c r="K32" s="19">
        <f t="shared" si="4"/>
        <v>205700</v>
      </c>
      <c r="L32" s="15">
        <f t="shared" si="3"/>
        <v>26750</v>
      </c>
      <c r="M32" s="15">
        <f t="shared" si="1"/>
        <v>484500</v>
      </c>
      <c r="N32" s="15">
        <v>0</v>
      </c>
      <c r="O32" s="17">
        <f t="shared" si="2"/>
        <v>-305550</v>
      </c>
    </row>
    <row r="33" spans="1:15">
      <c r="A33" s="13" t="s">
        <v>42</v>
      </c>
      <c r="B33" s="14">
        <f>[30]Vendedor1!$J$4</f>
        <v>120200</v>
      </c>
      <c r="C33" s="81">
        <f>[30]Vendedor1!$K$4</f>
        <v>15626</v>
      </c>
      <c r="D33" s="82">
        <f>[30]Vendedor1!$L$4</f>
        <v>29750</v>
      </c>
      <c r="E33" s="14">
        <f>[30]Vendedor1!$J$5</f>
        <v>45950</v>
      </c>
      <c r="F33" s="81">
        <f>[30]Vendedor1!$K$5</f>
        <v>5973.5</v>
      </c>
      <c r="G33" s="85">
        <f>[30]Vendedor1!$L$5</f>
        <v>8000</v>
      </c>
      <c r="H33" s="19">
        <f>[30]Vendedor1!$J$6</f>
        <v>4300</v>
      </c>
      <c r="I33" s="15">
        <f>[30]Vendedor1!$K$6</f>
        <v>559</v>
      </c>
      <c r="J33" s="17">
        <f>[30]Vendedor1!$L$6</f>
        <v>0</v>
      </c>
      <c r="K33" s="19">
        <f t="shared" si="4"/>
        <v>170450</v>
      </c>
      <c r="L33" s="15">
        <f t="shared" si="3"/>
        <v>22150</v>
      </c>
      <c r="M33" s="15">
        <f t="shared" si="1"/>
        <v>37750</v>
      </c>
      <c r="N33" s="15">
        <v>0</v>
      </c>
      <c r="O33" s="17">
        <f t="shared" si="2"/>
        <v>110550</v>
      </c>
    </row>
    <row r="34" spans="1:15">
      <c r="A34" s="20" t="s">
        <v>43</v>
      </c>
      <c r="B34" s="14">
        <f>[31]Vendedor1!$J$4</f>
        <v>165900</v>
      </c>
      <c r="C34" s="81">
        <f>[31]Vendedor1!$K$4</f>
        <v>21567</v>
      </c>
      <c r="D34" s="82">
        <f>[31]Vendedor1!$L$4</f>
        <v>238000</v>
      </c>
      <c r="E34" s="14">
        <f>[31]Vendedor1!$J$5</f>
        <v>41000</v>
      </c>
      <c r="F34" s="81">
        <f>[31]Vendedor1!$K$5</f>
        <v>5330</v>
      </c>
      <c r="G34" s="85">
        <f>[31]Vendedor1!$L$5</f>
        <v>0</v>
      </c>
      <c r="H34" s="19">
        <f>[31]Vendedor1!$J$6</f>
        <v>3200</v>
      </c>
      <c r="I34" s="15">
        <f>[31]Vendedor1!$K$6</f>
        <v>416</v>
      </c>
      <c r="J34" s="17">
        <f>[31]Vendedor1!$L$6</f>
        <v>32000</v>
      </c>
      <c r="K34" s="19">
        <f t="shared" si="4"/>
        <v>210100</v>
      </c>
      <c r="L34" s="15">
        <f t="shared" si="3"/>
        <v>27300</v>
      </c>
      <c r="M34" s="15">
        <f t="shared" si="1"/>
        <v>270000</v>
      </c>
      <c r="N34" s="15">
        <v>0</v>
      </c>
      <c r="O34" s="17">
        <f t="shared" si="2"/>
        <v>-87200</v>
      </c>
    </row>
    <row r="35" spans="1:15">
      <c r="A35" s="13" t="s">
        <v>44</v>
      </c>
      <c r="B35" s="14">
        <f>[1]Vendedor1!$J$4</f>
        <v>152300</v>
      </c>
      <c r="C35" s="81">
        <f>[1]Vendedor1!$K$4</f>
        <v>19799</v>
      </c>
      <c r="D35" s="82">
        <f>[1]Vendedor1!$L$4</f>
        <v>165750</v>
      </c>
      <c r="E35" s="14">
        <f>[1]Vendedor1!$J$5</f>
        <v>57450</v>
      </c>
      <c r="F35" s="81">
        <f>[1]Vendedor1!$K$5</f>
        <v>7468.5</v>
      </c>
      <c r="G35" s="85">
        <f>[1]Vendedor1!$L$5</f>
        <v>16000</v>
      </c>
      <c r="H35" s="19">
        <f>[1]Vendedor1!$J$6</f>
        <v>7100</v>
      </c>
      <c r="I35" s="15">
        <f>[1]Vendedor1!$K$6</f>
        <v>923</v>
      </c>
      <c r="J35" s="17">
        <f>[1]Vendedor1!$L$6</f>
        <v>0</v>
      </c>
      <c r="K35" s="19">
        <f t="shared" si="4"/>
        <v>216850</v>
      </c>
      <c r="L35" s="15">
        <f t="shared" si="3"/>
        <v>28200</v>
      </c>
      <c r="M35" s="15">
        <f t="shared" si="1"/>
        <v>181750</v>
      </c>
      <c r="N35" s="15">
        <v>0</v>
      </c>
      <c r="O35" s="17">
        <f t="shared" si="2"/>
        <v>6900</v>
      </c>
    </row>
    <row r="36" spans="1:15" ht="15.75" thickBot="1">
      <c r="A36" s="20" t="s">
        <v>45</v>
      </c>
      <c r="B36" s="21">
        <f>[2]Vendedor1!$J$4</f>
        <v>224550</v>
      </c>
      <c r="C36" s="83">
        <f>[2]Vendedor1!$K$4</f>
        <v>29191.5</v>
      </c>
      <c r="D36" s="84">
        <f>[2]Vendedor1!$L$4</f>
        <v>102000</v>
      </c>
      <c r="E36" s="21">
        <f>[2]Vendedor1!$J$5</f>
        <v>87500</v>
      </c>
      <c r="F36" s="83">
        <f>[2]Vendedor1!$K$5</f>
        <v>11375</v>
      </c>
      <c r="G36" s="86">
        <f>[2]Vendedor1!$L$5</f>
        <v>16000</v>
      </c>
      <c r="H36" s="26">
        <f>[2]Vendedor1!$J$6</f>
        <v>18350</v>
      </c>
      <c r="I36" s="22">
        <f>[2]Vendedor1!$K$6</f>
        <v>2385.5</v>
      </c>
      <c r="J36" s="24">
        <f>[2]Vendedor1!$L$6</f>
        <v>12000</v>
      </c>
      <c r="K36" s="26">
        <f t="shared" si="4"/>
        <v>330400</v>
      </c>
      <c r="L36" s="22">
        <f t="shared" si="3"/>
        <v>42950</v>
      </c>
      <c r="M36" s="22">
        <f t="shared" si="1"/>
        <v>130000</v>
      </c>
      <c r="N36" s="22">
        <v>0</v>
      </c>
      <c r="O36" s="24">
        <f t="shared" si="2"/>
        <v>157450</v>
      </c>
    </row>
    <row r="37" spans="1:15" ht="16.5" thickBot="1">
      <c r="A37" s="5" t="s">
        <v>46</v>
      </c>
      <c r="B37" s="27">
        <f t="shared" ref="B37:M37" si="5">SUM(B6:B36)</f>
        <v>5909250</v>
      </c>
      <c r="C37" s="28">
        <f t="shared" si="5"/>
        <v>768202.5</v>
      </c>
      <c r="D37" s="29">
        <f t="shared" si="5"/>
        <v>5508000</v>
      </c>
      <c r="E37" s="30">
        <f t="shared" si="5"/>
        <v>1773250</v>
      </c>
      <c r="F37" s="28">
        <f t="shared" si="5"/>
        <v>230522.5</v>
      </c>
      <c r="G37" s="31">
        <f t="shared" si="5"/>
        <v>652000</v>
      </c>
      <c r="H37" s="27">
        <f t="shared" si="5"/>
        <v>298800</v>
      </c>
      <c r="I37" s="28">
        <f t="shared" si="5"/>
        <v>38844</v>
      </c>
      <c r="J37" s="29">
        <f t="shared" si="5"/>
        <v>244000</v>
      </c>
      <c r="K37" s="60">
        <f t="shared" si="5"/>
        <v>7981300</v>
      </c>
      <c r="L37" s="32">
        <f t="shared" si="5"/>
        <v>1037400</v>
      </c>
      <c r="M37" s="32">
        <f t="shared" si="5"/>
        <v>6404000</v>
      </c>
      <c r="N37" s="32">
        <f>SUM(N5:N36)</f>
        <v>0</v>
      </c>
      <c r="O37" s="33">
        <f>SUM(O5:O36)</f>
        <v>539900</v>
      </c>
    </row>
    <row r="40" spans="1:15" ht="15.75" thickBot="1"/>
    <row r="41" spans="1:15" ht="19.5" thickBot="1">
      <c r="A41" s="2" t="s">
        <v>1</v>
      </c>
      <c r="B41" s="135" t="s">
        <v>132</v>
      </c>
      <c r="C41" s="135"/>
      <c r="D41" s="135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>
      <c r="A45" s="20" t="s">
        <v>49</v>
      </c>
      <c r="B45" s="53">
        <f t="shared" ref="B45:N45" si="8">B6</f>
        <v>241250</v>
      </c>
      <c r="C45" s="58">
        <f t="shared" si="8"/>
        <v>31362.5</v>
      </c>
      <c r="D45" s="54">
        <f t="shared" si="8"/>
        <v>38250</v>
      </c>
      <c r="E45" s="53">
        <f t="shared" si="8"/>
        <v>52900</v>
      </c>
      <c r="F45" s="58">
        <f t="shared" si="8"/>
        <v>6877</v>
      </c>
      <c r="G45" s="55">
        <f t="shared" si="8"/>
        <v>0</v>
      </c>
      <c r="H45" s="61">
        <f t="shared" si="8"/>
        <v>7900</v>
      </c>
      <c r="I45" s="58">
        <f t="shared" si="8"/>
        <v>1027</v>
      </c>
      <c r="J45" s="54">
        <f t="shared" si="8"/>
        <v>0</v>
      </c>
      <c r="K45" s="59">
        <f t="shared" si="8"/>
        <v>302050</v>
      </c>
      <c r="L45" s="58">
        <f>IF(K45&gt;0,15000,0)</f>
        <v>15000</v>
      </c>
      <c r="M45" s="58">
        <f t="shared" si="8"/>
        <v>38250</v>
      </c>
      <c r="N45" s="58">
        <f t="shared" si="8"/>
        <v>0</v>
      </c>
      <c r="O45" s="55">
        <f>+K45-L45-M45+N45</f>
        <v>248800</v>
      </c>
    </row>
    <row r="46" spans="1:15">
      <c r="A46" s="13" t="s">
        <v>50</v>
      </c>
      <c r="B46" s="14">
        <f t="shared" ref="B46:N46" si="9">B7</f>
        <v>161750</v>
      </c>
      <c r="C46" s="15">
        <f t="shared" si="9"/>
        <v>21027.5</v>
      </c>
      <c r="D46" s="16">
        <f t="shared" si="9"/>
        <v>293250</v>
      </c>
      <c r="E46" s="14">
        <f t="shared" si="9"/>
        <v>56100</v>
      </c>
      <c r="F46" s="15">
        <f t="shared" si="9"/>
        <v>7293</v>
      </c>
      <c r="G46" s="17">
        <f t="shared" si="9"/>
        <v>0</v>
      </c>
      <c r="H46" s="18">
        <f t="shared" si="9"/>
        <v>14450</v>
      </c>
      <c r="I46" s="15">
        <f t="shared" si="9"/>
        <v>1878.5</v>
      </c>
      <c r="J46" s="16">
        <f t="shared" si="9"/>
        <v>0</v>
      </c>
      <c r="K46" s="19">
        <f t="shared" si="9"/>
        <v>232300</v>
      </c>
      <c r="L46" s="15">
        <f t="shared" ref="L46:L75" si="10">IF(K46&gt;0,15000,0)</f>
        <v>15000</v>
      </c>
      <c r="M46" s="15">
        <f t="shared" si="9"/>
        <v>293250</v>
      </c>
      <c r="N46" s="15">
        <f t="shared" si="9"/>
        <v>0</v>
      </c>
      <c r="O46" s="17">
        <f t="shared" ref="O46:O59" si="11">+K46-L46-M46+N46</f>
        <v>-75950</v>
      </c>
    </row>
    <row r="47" spans="1:15">
      <c r="A47" s="20" t="s">
        <v>51</v>
      </c>
      <c r="B47" s="14">
        <f t="shared" ref="B47:N47" si="12">B8</f>
        <v>261800</v>
      </c>
      <c r="C47" s="15">
        <f t="shared" si="12"/>
        <v>34034</v>
      </c>
      <c r="D47" s="16">
        <f t="shared" si="12"/>
        <v>93500</v>
      </c>
      <c r="E47" s="14">
        <f t="shared" si="12"/>
        <v>61300</v>
      </c>
      <c r="F47" s="15">
        <f t="shared" si="12"/>
        <v>7969</v>
      </c>
      <c r="G47" s="17">
        <f t="shared" si="12"/>
        <v>0</v>
      </c>
      <c r="H47" s="18">
        <f t="shared" si="12"/>
        <v>9000</v>
      </c>
      <c r="I47" s="15">
        <f t="shared" si="12"/>
        <v>1170</v>
      </c>
      <c r="J47" s="16">
        <f t="shared" si="12"/>
        <v>0</v>
      </c>
      <c r="K47" s="19">
        <f t="shared" si="12"/>
        <v>332100</v>
      </c>
      <c r="L47" s="15">
        <f t="shared" si="10"/>
        <v>15000</v>
      </c>
      <c r="M47" s="15">
        <f t="shared" si="12"/>
        <v>93500</v>
      </c>
      <c r="N47" s="15">
        <f t="shared" si="12"/>
        <v>0</v>
      </c>
      <c r="O47" s="17">
        <f t="shared" si="11"/>
        <v>223600</v>
      </c>
    </row>
    <row r="48" spans="1:15">
      <c r="A48" s="13" t="s">
        <v>52</v>
      </c>
      <c r="B48" s="14">
        <f t="shared" ref="B48:N48" si="13">B9</f>
        <v>200850</v>
      </c>
      <c r="C48" s="15">
        <f t="shared" si="13"/>
        <v>26110.5</v>
      </c>
      <c r="D48" s="16">
        <f t="shared" si="13"/>
        <v>289000</v>
      </c>
      <c r="E48" s="14">
        <f t="shared" si="13"/>
        <v>52650</v>
      </c>
      <c r="F48" s="15">
        <f t="shared" si="13"/>
        <v>6844.5</v>
      </c>
      <c r="G48" s="17">
        <f t="shared" si="13"/>
        <v>8000</v>
      </c>
      <c r="H48" s="18">
        <f t="shared" si="13"/>
        <v>5500</v>
      </c>
      <c r="I48" s="15">
        <f t="shared" si="13"/>
        <v>715</v>
      </c>
      <c r="J48" s="16">
        <f t="shared" si="13"/>
        <v>0</v>
      </c>
      <c r="K48" s="19">
        <f t="shared" si="13"/>
        <v>259000</v>
      </c>
      <c r="L48" s="15">
        <f t="shared" si="10"/>
        <v>15000</v>
      </c>
      <c r="M48" s="15">
        <f t="shared" si="13"/>
        <v>297000</v>
      </c>
      <c r="N48" s="15">
        <f t="shared" si="13"/>
        <v>0</v>
      </c>
      <c r="O48" s="17">
        <f t="shared" si="11"/>
        <v>-53000</v>
      </c>
    </row>
    <row r="49" spans="1:15">
      <c r="A49" s="20" t="s">
        <v>53</v>
      </c>
      <c r="B49" s="14">
        <f t="shared" ref="B49:N49" si="14">B10</f>
        <v>179100</v>
      </c>
      <c r="C49" s="15">
        <f t="shared" si="14"/>
        <v>23283</v>
      </c>
      <c r="D49" s="16">
        <f t="shared" si="14"/>
        <v>72250</v>
      </c>
      <c r="E49" s="14">
        <f t="shared" si="14"/>
        <v>49100</v>
      </c>
      <c r="F49" s="15">
        <f t="shared" si="14"/>
        <v>6383</v>
      </c>
      <c r="G49" s="17">
        <f t="shared" si="14"/>
        <v>8000</v>
      </c>
      <c r="H49" s="18">
        <f t="shared" si="14"/>
        <v>2100</v>
      </c>
      <c r="I49" s="15">
        <f t="shared" si="14"/>
        <v>273</v>
      </c>
      <c r="J49" s="16">
        <f t="shared" si="14"/>
        <v>0</v>
      </c>
      <c r="K49" s="19">
        <f t="shared" si="14"/>
        <v>230300</v>
      </c>
      <c r="L49" s="15">
        <f t="shared" si="10"/>
        <v>15000</v>
      </c>
      <c r="M49" s="15">
        <f t="shared" si="14"/>
        <v>80250</v>
      </c>
      <c r="N49" s="15">
        <f t="shared" si="14"/>
        <v>0</v>
      </c>
      <c r="O49" s="17">
        <f t="shared" si="11"/>
        <v>135050</v>
      </c>
    </row>
    <row r="50" spans="1:15">
      <c r="A50" s="13" t="s">
        <v>20</v>
      </c>
      <c r="B50" s="14">
        <f t="shared" ref="B50:N50" si="15">B11</f>
        <v>237600</v>
      </c>
      <c r="C50" s="15">
        <f t="shared" si="15"/>
        <v>30888</v>
      </c>
      <c r="D50" s="16">
        <f t="shared" si="15"/>
        <v>140250</v>
      </c>
      <c r="E50" s="14">
        <f t="shared" si="15"/>
        <v>62400</v>
      </c>
      <c r="F50" s="15">
        <f t="shared" si="15"/>
        <v>8112</v>
      </c>
      <c r="G50" s="17">
        <f t="shared" si="15"/>
        <v>8000</v>
      </c>
      <c r="H50" s="18">
        <f t="shared" si="15"/>
        <v>4600</v>
      </c>
      <c r="I50" s="15">
        <f t="shared" si="15"/>
        <v>598</v>
      </c>
      <c r="J50" s="16">
        <f t="shared" si="15"/>
        <v>0</v>
      </c>
      <c r="K50" s="19">
        <f t="shared" si="15"/>
        <v>304600</v>
      </c>
      <c r="L50" s="15">
        <f t="shared" si="10"/>
        <v>15000</v>
      </c>
      <c r="M50" s="15">
        <f t="shared" si="15"/>
        <v>148250</v>
      </c>
      <c r="N50" s="15">
        <f t="shared" si="15"/>
        <v>0</v>
      </c>
      <c r="O50" s="17">
        <f t="shared" si="11"/>
        <v>141350</v>
      </c>
    </row>
    <row r="51" spans="1:15">
      <c r="A51" s="20" t="s">
        <v>21</v>
      </c>
      <c r="B51" s="14">
        <f t="shared" ref="B51:N51" si="16">B12</f>
        <v>176850</v>
      </c>
      <c r="C51" s="15">
        <f t="shared" si="16"/>
        <v>22990.5</v>
      </c>
      <c r="D51" s="16">
        <f t="shared" si="16"/>
        <v>106250</v>
      </c>
      <c r="E51" s="14">
        <f t="shared" si="16"/>
        <v>39300</v>
      </c>
      <c r="F51" s="15">
        <f t="shared" si="16"/>
        <v>5109</v>
      </c>
      <c r="G51" s="17">
        <f t="shared" si="16"/>
        <v>72000</v>
      </c>
      <c r="H51" s="18">
        <f t="shared" si="16"/>
        <v>9800</v>
      </c>
      <c r="I51" s="15">
        <f t="shared" si="16"/>
        <v>1274</v>
      </c>
      <c r="J51" s="16">
        <f t="shared" si="16"/>
        <v>0</v>
      </c>
      <c r="K51" s="19">
        <f t="shared" si="16"/>
        <v>225950</v>
      </c>
      <c r="L51" s="15">
        <f t="shared" si="10"/>
        <v>15000</v>
      </c>
      <c r="M51" s="15">
        <f t="shared" si="16"/>
        <v>178250</v>
      </c>
      <c r="N51" s="15">
        <f t="shared" si="16"/>
        <v>0</v>
      </c>
      <c r="O51" s="17">
        <f t="shared" si="11"/>
        <v>32700</v>
      </c>
    </row>
    <row r="52" spans="1:15">
      <c r="A52" s="13" t="s">
        <v>22</v>
      </c>
      <c r="B52" s="14">
        <f t="shared" ref="B52:N52" si="17">B13</f>
        <v>269800</v>
      </c>
      <c r="C52" s="15">
        <f t="shared" si="17"/>
        <v>35074</v>
      </c>
      <c r="D52" s="16">
        <f t="shared" si="17"/>
        <v>110500</v>
      </c>
      <c r="E52" s="14">
        <f t="shared" si="17"/>
        <v>77050</v>
      </c>
      <c r="F52" s="15">
        <f t="shared" si="17"/>
        <v>10016.5</v>
      </c>
      <c r="G52" s="17">
        <f t="shared" si="17"/>
        <v>16000</v>
      </c>
      <c r="H52" s="18">
        <f t="shared" si="17"/>
        <v>13300</v>
      </c>
      <c r="I52" s="15">
        <f t="shared" si="17"/>
        <v>1729</v>
      </c>
      <c r="J52" s="16">
        <f t="shared" si="17"/>
        <v>0</v>
      </c>
      <c r="K52" s="19">
        <f t="shared" si="17"/>
        <v>360150</v>
      </c>
      <c r="L52" s="15">
        <f t="shared" si="10"/>
        <v>15000</v>
      </c>
      <c r="M52" s="15">
        <f t="shared" si="17"/>
        <v>126500</v>
      </c>
      <c r="N52" s="15">
        <f t="shared" si="17"/>
        <v>0</v>
      </c>
      <c r="O52" s="17">
        <f t="shared" si="11"/>
        <v>218650</v>
      </c>
    </row>
    <row r="53" spans="1:15">
      <c r="A53" s="20" t="s">
        <v>23</v>
      </c>
      <c r="B53" s="14">
        <f t="shared" ref="B53:N53" si="18">B14</f>
        <v>161000</v>
      </c>
      <c r="C53" s="15">
        <f t="shared" si="18"/>
        <v>20930</v>
      </c>
      <c r="D53" s="16">
        <f t="shared" si="18"/>
        <v>136000</v>
      </c>
      <c r="E53" s="14">
        <f t="shared" si="18"/>
        <v>58600</v>
      </c>
      <c r="F53" s="15">
        <f t="shared" si="18"/>
        <v>7618</v>
      </c>
      <c r="G53" s="17">
        <f t="shared" si="18"/>
        <v>16000</v>
      </c>
      <c r="H53" s="18">
        <f t="shared" si="18"/>
        <v>9300</v>
      </c>
      <c r="I53" s="15">
        <f t="shared" si="18"/>
        <v>1209</v>
      </c>
      <c r="J53" s="16">
        <f t="shared" si="18"/>
        <v>0</v>
      </c>
      <c r="K53" s="19">
        <f t="shared" si="18"/>
        <v>228900</v>
      </c>
      <c r="L53" s="15">
        <f t="shared" si="10"/>
        <v>15000</v>
      </c>
      <c r="M53" s="15">
        <f t="shared" si="18"/>
        <v>152000</v>
      </c>
      <c r="N53" s="15">
        <f t="shared" si="18"/>
        <v>0</v>
      </c>
      <c r="O53" s="17">
        <f t="shared" si="11"/>
        <v>61900</v>
      </c>
    </row>
    <row r="54" spans="1:15">
      <c r="A54" s="13" t="s">
        <v>24</v>
      </c>
      <c r="B54" s="14">
        <f t="shared" ref="B54:N54" si="19">B15</f>
        <v>239150</v>
      </c>
      <c r="C54" s="15">
        <f t="shared" si="19"/>
        <v>31089.5</v>
      </c>
      <c r="D54" s="16">
        <f t="shared" si="19"/>
        <v>59500</v>
      </c>
      <c r="E54" s="14">
        <f t="shared" si="19"/>
        <v>80500</v>
      </c>
      <c r="F54" s="15">
        <f t="shared" si="19"/>
        <v>10465</v>
      </c>
      <c r="G54" s="17">
        <f t="shared" si="19"/>
        <v>100000</v>
      </c>
      <c r="H54" s="18">
        <f t="shared" si="19"/>
        <v>6950</v>
      </c>
      <c r="I54" s="15">
        <f t="shared" si="19"/>
        <v>903.5</v>
      </c>
      <c r="J54" s="16">
        <f t="shared" si="19"/>
        <v>0</v>
      </c>
      <c r="K54" s="19">
        <f t="shared" si="19"/>
        <v>326600</v>
      </c>
      <c r="L54" s="15">
        <f t="shared" si="10"/>
        <v>15000</v>
      </c>
      <c r="M54" s="15">
        <f t="shared" si="19"/>
        <v>159500</v>
      </c>
      <c r="N54" s="15">
        <f t="shared" si="19"/>
        <v>0</v>
      </c>
      <c r="O54" s="17">
        <f t="shared" si="11"/>
        <v>152100</v>
      </c>
    </row>
    <row r="55" spans="1:15">
      <c r="A55" s="20" t="s">
        <v>25</v>
      </c>
      <c r="B55" s="14">
        <f t="shared" ref="B55:N55" si="20">B16</f>
        <v>251450</v>
      </c>
      <c r="C55" s="15">
        <f t="shared" si="20"/>
        <v>32688.5</v>
      </c>
      <c r="D55" s="16">
        <f t="shared" si="20"/>
        <v>110500</v>
      </c>
      <c r="E55" s="14">
        <f t="shared" si="20"/>
        <v>68650</v>
      </c>
      <c r="F55" s="15">
        <f t="shared" si="20"/>
        <v>8924.5</v>
      </c>
      <c r="G55" s="17">
        <f t="shared" si="20"/>
        <v>56000</v>
      </c>
      <c r="H55" s="18">
        <f t="shared" si="20"/>
        <v>13000</v>
      </c>
      <c r="I55" s="15">
        <f t="shared" si="20"/>
        <v>1690</v>
      </c>
      <c r="J55" s="16">
        <f t="shared" si="20"/>
        <v>20000</v>
      </c>
      <c r="K55" s="19">
        <f t="shared" si="20"/>
        <v>333100</v>
      </c>
      <c r="L55" s="15">
        <f t="shared" si="10"/>
        <v>15000</v>
      </c>
      <c r="M55" s="15">
        <f t="shared" si="20"/>
        <v>186500</v>
      </c>
      <c r="N55" s="15">
        <f t="shared" si="20"/>
        <v>0</v>
      </c>
      <c r="O55" s="17">
        <f t="shared" si="11"/>
        <v>131600</v>
      </c>
    </row>
    <row r="56" spans="1:15">
      <c r="A56" s="13" t="s">
        <v>26</v>
      </c>
      <c r="B56" s="14">
        <f t="shared" ref="B56:N56" si="21">B17</f>
        <v>182050</v>
      </c>
      <c r="C56" s="15">
        <f t="shared" si="21"/>
        <v>23666.5</v>
      </c>
      <c r="D56" s="16">
        <f t="shared" si="21"/>
        <v>80750</v>
      </c>
      <c r="E56" s="14">
        <f t="shared" si="21"/>
        <v>54550</v>
      </c>
      <c r="F56" s="15">
        <f t="shared" si="21"/>
        <v>7091.5</v>
      </c>
      <c r="G56" s="17">
        <f t="shared" si="21"/>
        <v>0</v>
      </c>
      <c r="H56" s="18">
        <f t="shared" si="21"/>
        <v>12450</v>
      </c>
      <c r="I56" s="15">
        <f t="shared" si="21"/>
        <v>1618.5</v>
      </c>
      <c r="J56" s="16">
        <f t="shared" si="21"/>
        <v>0</v>
      </c>
      <c r="K56" s="19">
        <f t="shared" si="21"/>
        <v>249050</v>
      </c>
      <c r="L56" s="15">
        <f t="shared" si="10"/>
        <v>15000</v>
      </c>
      <c r="M56" s="15">
        <f t="shared" si="21"/>
        <v>80750</v>
      </c>
      <c r="N56" s="15">
        <f t="shared" si="21"/>
        <v>0</v>
      </c>
      <c r="O56" s="17">
        <f t="shared" si="11"/>
        <v>153300</v>
      </c>
    </row>
    <row r="57" spans="1:15">
      <c r="A57" s="20" t="s">
        <v>27</v>
      </c>
      <c r="B57" s="14">
        <f t="shared" ref="B57:N57" si="22">B18</f>
        <v>170050</v>
      </c>
      <c r="C57" s="15">
        <f t="shared" si="22"/>
        <v>22106.5</v>
      </c>
      <c r="D57" s="16">
        <f t="shared" si="22"/>
        <v>153000</v>
      </c>
      <c r="E57" s="14">
        <f t="shared" si="22"/>
        <v>61850</v>
      </c>
      <c r="F57" s="15">
        <f t="shared" si="22"/>
        <v>8040.5</v>
      </c>
      <c r="G57" s="17">
        <f t="shared" si="22"/>
        <v>16000</v>
      </c>
      <c r="H57" s="18">
        <f t="shared" si="22"/>
        <v>10550</v>
      </c>
      <c r="I57" s="15">
        <f t="shared" si="22"/>
        <v>1371.5</v>
      </c>
      <c r="J57" s="16">
        <f t="shared" si="22"/>
        <v>0</v>
      </c>
      <c r="K57" s="19">
        <f t="shared" si="22"/>
        <v>242450</v>
      </c>
      <c r="L57" s="15">
        <f t="shared" si="10"/>
        <v>15000</v>
      </c>
      <c r="M57" s="15">
        <f t="shared" si="22"/>
        <v>169000</v>
      </c>
      <c r="N57" s="15">
        <f t="shared" si="22"/>
        <v>0</v>
      </c>
      <c r="O57" s="17">
        <f t="shared" si="11"/>
        <v>58450</v>
      </c>
    </row>
    <row r="58" spans="1:15">
      <c r="A58" s="20" t="s">
        <v>28</v>
      </c>
      <c r="B58" s="14">
        <f t="shared" ref="B58:N58" si="23">B19</f>
        <v>215550</v>
      </c>
      <c r="C58" s="15">
        <f t="shared" si="23"/>
        <v>28021.5</v>
      </c>
      <c r="D58" s="16">
        <f t="shared" si="23"/>
        <v>267750</v>
      </c>
      <c r="E58" s="14">
        <f t="shared" si="23"/>
        <v>92050</v>
      </c>
      <c r="F58" s="15">
        <f t="shared" si="23"/>
        <v>11966.5</v>
      </c>
      <c r="G58" s="17">
        <f t="shared" si="23"/>
        <v>16000</v>
      </c>
      <c r="H58" s="18">
        <f t="shared" si="23"/>
        <v>13500</v>
      </c>
      <c r="I58" s="15">
        <f t="shared" si="23"/>
        <v>1755</v>
      </c>
      <c r="J58" s="16">
        <f t="shared" si="23"/>
        <v>48000</v>
      </c>
      <c r="K58" s="19">
        <f t="shared" si="23"/>
        <v>321100</v>
      </c>
      <c r="L58" s="15">
        <f t="shared" si="10"/>
        <v>15000</v>
      </c>
      <c r="M58" s="15">
        <f t="shared" si="23"/>
        <v>331750</v>
      </c>
      <c r="N58" s="15">
        <f t="shared" si="23"/>
        <v>0</v>
      </c>
      <c r="O58" s="17">
        <f t="shared" si="11"/>
        <v>-25650</v>
      </c>
    </row>
    <row r="59" spans="1:15">
      <c r="A59" s="13" t="s">
        <v>29</v>
      </c>
      <c r="B59" s="14">
        <f t="shared" ref="B59:N59" si="24">B20</f>
        <v>276050</v>
      </c>
      <c r="C59" s="15">
        <f t="shared" si="24"/>
        <v>35886.5</v>
      </c>
      <c r="D59" s="16">
        <f t="shared" si="24"/>
        <v>497250</v>
      </c>
      <c r="E59" s="14">
        <f t="shared" si="24"/>
        <v>56650</v>
      </c>
      <c r="F59" s="15">
        <f t="shared" si="24"/>
        <v>7364.5</v>
      </c>
      <c r="G59" s="17">
        <f t="shared" si="24"/>
        <v>0</v>
      </c>
      <c r="H59" s="18">
        <f t="shared" si="24"/>
        <v>11500</v>
      </c>
      <c r="I59" s="15">
        <f t="shared" si="24"/>
        <v>1495</v>
      </c>
      <c r="J59" s="16">
        <f t="shared" si="24"/>
        <v>0</v>
      </c>
      <c r="K59" s="19">
        <f t="shared" si="24"/>
        <v>344200</v>
      </c>
      <c r="L59" s="15">
        <f t="shared" si="10"/>
        <v>15000</v>
      </c>
      <c r="M59" s="15">
        <f t="shared" si="24"/>
        <v>497250</v>
      </c>
      <c r="N59" s="15">
        <f t="shared" si="24"/>
        <v>0</v>
      </c>
      <c r="O59" s="17">
        <f t="shared" si="11"/>
        <v>-168050</v>
      </c>
    </row>
    <row r="60" spans="1:15">
      <c r="A60" s="20" t="s">
        <v>30</v>
      </c>
      <c r="B60" s="14">
        <f t="shared" ref="B60:N60" si="25">B21</f>
        <v>153650</v>
      </c>
      <c r="C60" s="81">
        <f t="shared" si="25"/>
        <v>19974.5</v>
      </c>
      <c r="D60" s="82">
        <f t="shared" si="25"/>
        <v>612000</v>
      </c>
      <c r="E60" s="14">
        <f t="shared" si="25"/>
        <v>59550</v>
      </c>
      <c r="F60" s="81">
        <f t="shared" si="25"/>
        <v>7741.5</v>
      </c>
      <c r="G60" s="85">
        <f t="shared" si="25"/>
        <v>0</v>
      </c>
      <c r="H60" s="19">
        <f t="shared" si="25"/>
        <v>5250</v>
      </c>
      <c r="I60" s="15">
        <f t="shared" si="25"/>
        <v>682.5</v>
      </c>
      <c r="J60" s="17">
        <f t="shared" si="25"/>
        <v>8000</v>
      </c>
      <c r="K60" s="19">
        <f t="shared" si="25"/>
        <v>218450</v>
      </c>
      <c r="L60" s="15">
        <f t="shared" si="10"/>
        <v>15000</v>
      </c>
      <c r="M60" s="15">
        <f t="shared" si="25"/>
        <v>620000</v>
      </c>
      <c r="N60" s="15">
        <f t="shared" si="25"/>
        <v>0</v>
      </c>
      <c r="O60" s="17">
        <f t="shared" ref="O60:O61" si="26">+O20</f>
        <v>-197800</v>
      </c>
    </row>
    <row r="61" spans="1:15">
      <c r="A61" s="13" t="s">
        <v>31</v>
      </c>
      <c r="B61" s="14">
        <f t="shared" ref="B61:N61" si="27">B22</f>
        <v>191950</v>
      </c>
      <c r="C61" s="81">
        <f t="shared" si="27"/>
        <v>24953.5</v>
      </c>
      <c r="D61" s="82">
        <f t="shared" si="27"/>
        <v>170000</v>
      </c>
      <c r="E61" s="14">
        <f t="shared" si="27"/>
        <v>49800</v>
      </c>
      <c r="F61" s="81">
        <f t="shared" si="27"/>
        <v>6474</v>
      </c>
      <c r="G61" s="85">
        <f t="shared" si="27"/>
        <v>8000</v>
      </c>
      <c r="H61" s="19">
        <f t="shared" si="27"/>
        <v>11500</v>
      </c>
      <c r="I61" s="15">
        <f t="shared" si="27"/>
        <v>1495</v>
      </c>
      <c r="J61" s="17">
        <f t="shared" si="27"/>
        <v>0</v>
      </c>
      <c r="K61" s="19">
        <f t="shared" si="27"/>
        <v>253250</v>
      </c>
      <c r="L61" s="15">
        <f t="shared" si="10"/>
        <v>15000</v>
      </c>
      <c r="M61" s="15">
        <f t="shared" si="27"/>
        <v>178000</v>
      </c>
      <c r="N61" s="15">
        <f t="shared" si="27"/>
        <v>0</v>
      </c>
      <c r="O61" s="17">
        <f t="shared" si="26"/>
        <v>-429950</v>
      </c>
    </row>
    <row r="62" spans="1:15">
      <c r="A62" s="20" t="s">
        <v>32</v>
      </c>
      <c r="B62" s="14">
        <f t="shared" ref="B62:N62" si="28">B23</f>
        <v>159650</v>
      </c>
      <c r="C62" s="81">
        <f t="shared" si="28"/>
        <v>20754.5</v>
      </c>
      <c r="D62" s="82">
        <f t="shared" si="28"/>
        <v>76500</v>
      </c>
      <c r="E62" s="14">
        <f t="shared" si="28"/>
        <v>53700</v>
      </c>
      <c r="F62" s="81">
        <f t="shared" si="28"/>
        <v>6981</v>
      </c>
      <c r="G62" s="85">
        <f t="shared" si="28"/>
        <v>0</v>
      </c>
      <c r="H62" s="19">
        <f t="shared" si="28"/>
        <v>26600</v>
      </c>
      <c r="I62" s="15">
        <f t="shared" si="28"/>
        <v>3458</v>
      </c>
      <c r="J62" s="17">
        <f t="shared" si="28"/>
        <v>0</v>
      </c>
      <c r="K62" s="19">
        <f t="shared" si="28"/>
        <v>239950</v>
      </c>
      <c r="L62" s="15">
        <f t="shared" si="10"/>
        <v>15000</v>
      </c>
      <c r="M62" s="15">
        <f t="shared" si="28"/>
        <v>76500</v>
      </c>
      <c r="N62" s="15">
        <f t="shared" si="28"/>
        <v>0</v>
      </c>
      <c r="O62" s="17">
        <f t="shared" ref="O62:O75" si="29">+O22</f>
        <v>42350</v>
      </c>
    </row>
    <row r="63" spans="1:15">
      <c r="A63" s="13" t="s">
        <v>33</v>
      </c>
      <c r="B63" s="14">
        <f t="shared" ref="B63:N63" si="30">B24</f>
        <v>145500</v>
      </c>
      <c r="C63" s="81">
        <f t="shared" si="30"/>
        <v>18915</v>
      </c>
      <c r="D63" s="82">
        <f t="shared" si="30"/>
        <v>110500</v>
      </c>
      <c r="E63" s="14">
        <f t="shared" si="30"/>
        <v>67300</v>
      </c>
      <c r="F63" s="81">
        <f t="shared" si="30"/>
        <v>8749</v>
      </c>
      <c r="G63" s="85">
        <f t="shared" si="30"/>
        <v>40000</v>
      </c>
      <c r="H63" s="19">
        <f t="shared" si="30"/>
        <v>3900</v>
      </c>
      <c r="I63" s="15">
        <f t="shared" si="30"/>
        <v>507</v>
      </c>
      <c r="J63" s="17">
        <f t="shared" si="30"/>
        <v>0</v>
      </c>
      <c r="K63" s="19">
        <f t="shared" si="30"/>
        <v>216700</v>
      </c>
      <c r="L63" s="15">
        <f t="shared" si="10"/>
        <v>15000</v>
      </c>
      <c r="M63" s="15">
        <f t="shared" si="30"/>
        <v>150500</v>
      </c>
      <c r="N63" s="15">
        <f t="shared" si="30"/>
        <v>0</v>
      </c>
      <c r="O63" s="17">
        <f t="shared" si="29"/>
        <v>132250</v>
      </c>
    </row>
    <row r="64" spans="1:15">
      <c r="A64" s="20" t="s">
        <v>34</v>
      </c>
      <c r="B64" s="14">
        <f t="shared" ref="B64:N64" si="31">B25</f>
        <v>204850</v>
      </c>
      <c r="C64" s="81">
        <f t="shared" si="31"/>
        <v>26630.5</v>
      </c>
      <c r="D64" s="82">
        <f t="shared" si="31"/>
        <v>561000</v>
      </c>
      <c r="E64" s="14">
        <f t="shared" si="31"/>
        <v>43000</v>
      </c>
      <c r="F64" s="81">
        <f t="shared" si="31"/>
        <v>5590</v>
      </c>
      <c r="G64" s="85">
        <f t="shared" si="31"/>
        <v>0</v>
      </c>
      <c r="H64" s="19">
        <f t="shared" si="31"/>
        <v>6950</v>
      </c>
      <c r="I64" s="15">
        <f t="shared" si="31"/>
        <v>903.5</v>
      </c>
      <c r="J64" s="17">
        <f t="shared" si="31"/>
        <v>0</v>
      </c>
      <c r="K64" s="19">
        <f t="shared" si="31"/>
        <v>254800</v>
      </c>
      <c r="L64" s="15">
        <f t="shared" si="10"/>
        <v>15000</v>
      </c>
      <c r="M64" s="15">
        <f t="shared" si="31"/>
        <v>561000</v>
      </c>
      <c r="N64" s="15">
        <f t="shared" si="31"/>
        <v>0</v>
      </c>
      <c r="O64" s="17">
        <f t="shared" si="29"/>
        <v>38050</v>
      </c>
    </row>
    <row r="65" spans="1:15">
      <c r="A65" s="13" t="s">
        <v>35</v>
      </c>
      <c r="B65" s="14">
        <f t="shared" ref="B65:N65" si="32">B26</f>
        <v>152850</v>
      </c>
      <c r="C65" s="81">
        <f t="shared" si="32"/>
        <v>19870.5</v>
      </c>
      <c r="D65" s="82">
        <f t="shared" si="32"/>
        <v>0</v>
      </c>
      <c r="E65" s="14">
        <f t="shared" si="32"/>
        <v>35400</v>
      </c>
      <c r="F65" s="81">
        <f t="shared" si="32"/>
        <v>4602</v>
      </c>
      <c r="G65" s="85">
        <f t="shared" si="32"/>
        <v>16000</v>
      </c>
      <c r="H65" s="19">
        <f t="shared" si="32"/>
        <v>13350</v>
      </c>
      <c r="I65" s="15">
        <f t="shared" si="32"/>
        <v>1735.5</v>
      </c>
      <c r="J65" s="17">
        <f t="shared" si="32"/>
        <v>16000</v>
      </c>
      <c r="K65" s="19">
        <f t="shared" si="32"/>
        <v>201600</v>
      </c>
      <c r="L65" s="15">
        <f t="shared" si="10"/>
        <v>15000</v>
      </c>
      <c r="M65" s="15">
        <f t="shared" si="32"/>
        <v>32000</v>
      </c>
      <c r="N65" s="15">
        <f t="shared" si="32"/>
        <v>0</v>
      </c>
      <c r="O65" s="17">
        <f t="shared" si="29"/>
        <v>-339300</v>
      </c>
    </row>
    <row r="66" spans="1:15">
      <c r="A66" s="20" t="s">
        <v>36</v>
      </c>
      <c r="B66" s="14">
        <f t="shared" ref="B66:N66" si="33">B27</f>
        <v>191950</v>
      </c>
      <c r="C66" s="81">
        <f t="shared" si="33"/>
        <v>24953.5</v>
      </c>
      <c r="D66" s="82">
        <f t="shared" si="33"/>
        <v>97750</v>
      </c>
      <c r="E66" s="14">
        <f t="shared" si="33"/>
        <v>29300</v>
      </c>
      <c r="F66" s="81">
        <f t="shared" si="33"/>
        <v>3809</v>
      </c>
      <c r="G66" s="85">
        <f t="shared" si="33"/>
        <v>16000</v>
      </c>
      <c r="H66" s="19">
        <f t="shared" si="33"/>
        <v>4700</v>
      </c>
      <c r="I66" s="15">
        <f t="shared" si="33"/>
        <v>611</v>
      </c>
      <c r="J66" s="17">
        <f t="shared" si="33"/>
        <v>0</v>
      </c>
      <c r="K66" s="19">
        <f t="shared" si="33"/>
        <v>225950</v>
      </c>
      <c r="L66" s="15">
        <f t="shared" si="10"/>
        <v>15000</v>
      </c>
      <c r="M66" s="15">
        <f t="shared" si="33"/>
        <v>113750</v>
      </c>
      <c r="N66" s="15">
        <f t="shared" si="33"/>
        <v>0</v>
      </c>
      <c r="O66" s="17">
        <f t="shared" si="29"/>
        <v>143400</v>
      </c>
    </row>
    <row r="67" spans="1:15">
      <c r="A67" s="13" t="s">
        <v>37</v>
      </c>
      <c r="B67" s="14">
        <f t="shared" ref="B67:N67" si="34">B28</f>
        <v>168400</v>
      </c>
      <c r="C67" s="81">
        <f t="shared" si="34"/>
        <v>21892</v>
      </c>
      <c r="D67" s="82">
        <f t="shared" si="34"/>
        <v>8500</v>
      </c>
      <c r="E67" s="14">
        <f t="shared" si="34"/>
        <v>63700</v>
      </c>
      <c r="F67" s="81">
        <f t="shared" si="34"/>
        <v>8281</v>
      </c>
      <c r="G67" s="85">
        <f t="shared" si="34"/>
        <v>60000</v>
      </c>
      <c r="H67" s="19">
        <f t="shared" si="34"/>
        <v>17400</v>
      </c>
      <c r="I67" s="15">
        <f t="shared" si="34"/>
        <v>2262</v>
      </c>
      <c r="J67" s="17">
        <f t="shared" si="34"/>
        <v>76000</v>
      </c>
      <c r="K67" s="19">
        <f t="shared" si="34"/>
        <v>249500</v>
      </c>
      <c r="L67" s="15">
        <f t="shared" si="10"/>
        <v>15000</v>
      </c>
      <c r="M67" s="15">
        <f t="shared" si="34"/>
        <v>144500</v>
      </c>
      <c r="N67" s="15">
        <f t="shared" si="34"/>
        <v>0</v>
      </c>
      <c r="O67" s="17">
        <f t="shared" si="29"/>
        <v>82850</v>
      </c>
    </row>
    <row r="68" spans="1:15">
      <c r="A68" s="20" t="s">
        <v>38</v>
      </c>
      <c r="B68" s="14">
        <f t="shared" ref="B68:N68" si="35">B29</f>
        <v>195100</v>
      </c>
      <c r="C68" s="81">
        <f t="shared" si="35"/>
        <v>25363</v>
      </c>
      <c r="D68" s="82">
        <f t="shared" si="35"/>
        <v>46750</v>
      </c>
      <c r="E68" s="14">
        <f t="shared" si="35"/>
        <v>32350</v>
      </c>
      <c r="F68" s="81">
        <f t="shared" si="35"/>
        <v>4205.5</v>
      </c>
      <c r="G68" s="85">
        <f t="shared" si="35"/>
        <v>32000</v>
      </c>
      <c r="H68" s="19">
        <f t="shared" si="35"/>
        <v>7100</v>
      </c>
      <c r="I68" s="15">
        <f t="shared" si="35"/>
        <v>923</v>
      </c>
      <c r="J68" s="17">
        <f t="shared" si="35"/>
        <v>0</v>
      </c>
      <c r="K68" s="19">
        <f t="shared" si="35"/>
        <v>234550</v>
      </c>
      <c r="L68" s="15">
        <f t="shared" si="10"/>
        <v>15000</v>
      </c>
      <c r="M68" s="15">
        <f t="shared" si="35"/>
        <v>78750</v>
      </c>
      <c r="N68" s="15">
        <f t="shared" si="35"/>
        <v>0</v>
      </c>
      <c r="O68" s="17">
        <f t="shared" si="29"/>
        <v>72550</v>
      </c>
    </row>
    <row r="69" spans="1:15">
      <c r="A69" s="13" t="s">
        <v>39</v>
      </c>
      <c r="B69" s="14">
        <f t="shared" ref="B69:N69" si="36">B30</f>
        <v>184000</v>
      </c>
      <c r="C69" s="81">
        <f t="shared" si="36"/>
        <v>23920</v>
      </c>
      <c r="D69" s="82">
        <f t="shared" si="36"/>
        <v>314500</v>
      </c>
      <c r="E69" s="14">
        <f t="shared" si="36"/>
        <v>90950</v>
      </c>
      <c r="F69" s="81">
        <f t="shared" si="36"/>
        <v>11823.5</v>
      </c>
      <c r="G69" s="85">
        <f t="shared" si="36"/>
        <v>72000</v>
      </c>
      <c r="H69" s="19">
        <f t="shared" si="36"/>
        <v>8300</v>
      </c>
      <c r="I69" s="15">
        <f t="shared" si="36"/>
        <v>1079</v>
      </c>
      <c r="J69" s="17">
        <f t="shared" si="36"/>
        <v>32000</v>
      </c>
      <c r="K69" s="19">
        <f t="shared" si="36"/>
        <v>283250</v>
      </c>
      <c r="L69" s="15">
        <f t="shared" si="10"/>
        <v>15000</v>
      </c>
      <c r="M69" s="15">
        <f t="shared" si="36"/>
        <v>418500</v>
      </c>
      <c r="N69" s="15">
        <f t="shared" si="36"/>
        <v>0</v>
      </c>
      <c r="O69" s="17">
        <f t="shared" si="29"/>
        <v>125300</v>
      </c>
    </row>
    <row r="70" spans="1:15">
      <c r="A70" s="20" t="s">
        <v>40</v>
      </c>
      <c r="B70" s="14">
        <f t="shared" ref="B70:N70" si="37">B31</f>
        <v>130050</v>
      </c>
      <c r="C70" s="81">
        <f t="shared" si="37"/>
        <v>16906.5</v>
      </c>
      <c r="D70" s="82">
        <f t="shared" si="37"/>
        <v>42500</v>
      </c>
      <c r="E70" s="14">
        <f t="shared" si="37"/>
        <v>44400</v>
      </c>
      <c r="F70" s="81">
        <f t="shared" si="37"/>
        <v>5772</v>
      </c>
      <c r="G70" s="85">
        <f t="shared" si="37"/>
        <v>52000</v>
      </c>
      <c r="H70" s="19">
        <f t="shared" si="37"/>
        <v>3500</v>
      </c>
      <c r="I70" s="15">
        <f t="shared" si="37"/>
        <v>455</v>
      </c>
      <c r="J70" s="17">
        <f t="shared" si="37"/>
        <v>0</v>
      </c>
      <c r="K70" s="19">
        <f t="shared" si="37"/>
        <v>177950</v>
      </c>
      <c r="L70" s="15">
        <f t="shared" si="10"/>
        <v>15000</v>
      </c>
      <c r="M70" s="15">
        <f t="shared" si="37"/>
        <v>94500</v>
      </c>
      <c r="N70" s="15">
        <f t="shared" si="37"/>
        <v>0</v>
      </c>
      <c r="O70" s="17">
        <f t="shared" si="29"/>
        <v>-172050</v>
      </c>
    </row>
    <row r="71" spans="1:15">
      <c r="A71" s="20" t="s">
        <v>41</v>
      </c>
      <c r="B71" s="14">
        <f t="shared" ref="B71:N71" si="38">B32</f>
        <v>144050</v>
      </c>
      <c r="C71" s="81">
        <f t="shared" si="38"/>
        <v>18726.5</v>
      </c>
      <c r="D71" s="82">
        <f t="shared" si="38"/>
        <v>484500</v>
      </c>
      <c r="E71" s="14">
        <f t="shared" si="38"/>
        <v>48250</v>
      </c>
      <c r="F71" s="81">
        <f t="shared" si="38"/>
        <v>6272.5</v>
      </c>
      <c r="G71" s="85">
        <f t="shared" si="38"/>
        <v>0</v>
      </c>
      <c r="H71" s="19">
        <f t="shared" si="38"/>
        <v>13400</v>
      </c>
      <c r="I71" s="15">
        <f t="shared" si="38"/>
        <v>1742</v>
      </c>
      <c r="J71" s="17">
        <f t="shared" si="38"/>
        <v>0</v>
      </c>
      <c r="K71" s="19">
        <f t="shared" si="38"/>
        <v>205700</v>
      </c>
      <c r="L71" s="15">
        <f t="shared" si="10"/>
        <v>15000</v>
      </c>
      <c r="M71" s="15">
        <f t="shared" si="38"/>
        <v>484500</v>
      </c>
      <c r="N71" s="15">
        <f t="shared" si="38"/>
        <v>0</v>
      </c>
      <c r="O71" s="17">
        <f t="shared" si="29"/>
        <v>60300</v>
      </c>
    </row>
    <row r="72" spans="1:15">
      <c r="A72" s="13" t="s">
        <v>42</v>
      </c>
      <c r="B72" s="14">
        <f t="shared" ref="B72:N72" si="39">B33</f>
        <v>120200</v>
      </c>
      <c r="C72" s="81">
        <f t="shared" si="39"/>
        <v>15626</v>
      </c>
      <c r="D72" s="82">
        <f t="shared" si="39"/>
        <v>29750</v>
      </c>
      <c r="E72" s="14">
        <f t="shared" si="39"/>
        <v>45950</v>
      </c>
      <c r="F72" s="81">
        <f t="shared" si="39"/>
        <v>5973.5</v>
      </c>
      <c r="G72" s="85">
        <f t="shared" si="39"/>
        <v>8000</v>
      </c>
      <c r="H72" s="19">
        <f t="shared" si="39"/>
        <v>4300</v>
      </c>
      <c r="I72" s="15">
        <f t="shared" si="39"/>
        <v>559</v>
      </c>
      <c r="J72" s="17">
        <f t="shared" si="39"/>
        <v>0</v>
      </c>
      <c r="K72" s="19">
        <f t="shared" si="39"/>
        <v>170450</v>
      </c>
      <c r="L72" s="15">
        <f t="shared" si="10"/>
        <v>15000</v>
      </c>
      <c r="M72" s="15">
        <f t="shared" si="39"/>
        <v>37750</v>
      </c>
      <c r="N72" s="15">
        <f t="shared" si="39"/>
        <v>0</v>
      </c>
      <c r="O72" s="17">
        <f t="shared" si="29"/>
        <v>-305550</v>
      </c>
    </row>
    <row r="73" spans="1:15">
      <c r="A73" s="20" t="s">
        <v>43</v>
      </c>
      <c r="B73" s="14">
        <f t="shared" ref="B73:N73" si="40">B34</f>
        <v>165900</v>
      </c>
      <c r="C73" s="81">
        <f t="shared" si="40"/>
        <v>21567</v>
      </c>
      <c r="D73" s="82">
        <f t="shared" si="40"/>
        <v>238000</v>
      </c>
      <c r="E73" s="14">
        <f t="shared" si="40"/>
        <v>41000</v>
      </c>
      <c r="F73" s="81">
        <f t="shared" si="40"/>
        <v>5330</v>
      </c>
      <c r="G73" s="85">
        <f t="shared" si="40"/>
        <v>0</v>
      </c>
      <c r="H73" s="19">
        <f t="shared" si="40"/>
        <v>3200</v>
      </c>
      <c r="I73" s="15">
        <f t="shared" si="40"/>
        <v>416</v>
      </c>
      <c r="J73" s="17">
        <f t="shared" si="40"/>
        <v>32000</v>
      </c>
      <c r="K73" s="19">
        <f t="shared" si="40"/>
        <v>210100</v>
      </c>
      <c r="L73" s="15">
        <f t="shared" si="10"/>
        <v>15000</v>
      </c>
      <c r="M73" s="15">
        <f t="shared" si="40"/>
        <v>270000</v>
      </c>
      <c r="N73" s="15">
        <f t="shared" si="40"/>
        <v>0</v>
      </c>
      <c r="O73" s="17">
        <f t="shared" si="29"/>
        <v>110550</v>
      </c>
    </row>
    <row r="74" spans="1:15">
      <c r="A74" s="13" t="s">
        <v>44</v>
      </c>
      <c r="B74" s="14">
        <f t="shared" ref="B74:N74" si="41">B35</f>
        <v>152300</v>
      </c>
      <c r="C74" s="81">
        <f t="shared" si="41"/>
        <v>19799</v>
      </c>
      <c r="D74" s="82">
        <f t="shared" si="41"/>
        <v>165750</v>
      </c>
      <c r="E74" s="14">
        <f t="shared" si="41"/>
        <v>57450</v>
      </c>
      <c r="F74" s="81">
        <f t="shared" si="41"/>
        <v>7468.5</v>
      </c>
      <c r="G74" s="85">
        <f t="shared" si="41"/>
        <v>16000</v>
      </c>
      <c r="H74" s="19">
        <f t="shared" si="41"/>
        <v>7100</v>
      </c>
      <c r="I74" s="15">
        <f t="shared" si="41"/>
        <v>923</v>
      </c>
      <c r="J74" s="17">
        <f t="shared" si="41"/>
        <v>0</v>
      </c>
      <c r="K74" s="19">
        <f t="shared" si="41"/>
        <v>216850</v>
      </c>
      <c r="L74" s="15">
        <f t="shared" si="10"/>
        <v>15000</v>
      </c>
      <c r="M74" s="15">
        <f t="shared" si="41"/>
        <v>181750</v>
      </c>
      <c r="N74" s="15">
        <f t="shared" si="41"/>
        <v>0</v>
      </c>
      <c r="O74" s="17">
        <f t="shared" si="29"/>
        <v>-87200</v>
      </c>
    </row>
    <row r="75" spans="1:15" ht="15.75" thickBot="1">
      <c r="A75" s="20" t="s">
        <v>45</v>
      </c>
      <c r="B75" s="21">
        <f t="shared" ref="B75:N75" si="42">B36</f>
        <v>224550</v>
      </c>
      <c r="C75" s="83">
        <f t="shared" si="42"/>
        <v>29191.5</v>
      </c>
      <c r="D75" s="84">
        <f t="shared" si="42"/>
        <v>102000</v>
      </c>
      <c r="E75" s="21">
        <f t="shared" si="42"/>
        <v>87500</v>
      </c>
      <c r="F75" s="83">
        <f t="shared" si="42"/>
        <v>11375</v>
      </c>
      <c r="G75" s="86">
        <f t="shared" si="42"/>
        <v>16000</v>
      </c>
      <c r="H75" s="26">
        <f t="shared" si="42"/>
        <v>18350</v>
      </c>
      <c r="I75" s="22">
        <f t="shared" si="42"/>
        <v>2385.5</v>
      </c>
      <c r="J75" s="24">
        <f t="shared" si="42"/>
        <v>12000</v>
      </c>
      <c r="K75" s="26">
        <f t="shared" si="42"/>
        <v>330400</v>
      </c>
      <c r="L75" s="22">
        <f t="shared" si="10"/>
        <v>15000</v>
      </c>
      <c r="M75" s="22">
        <f t="shared" si="42"/>
        <v>130000</v>
      </c>
      <c r="N75" s="22">
        <f t="shared" si="42"/>
        <v>0</v>
      </c>
      <c r="O75" s="24">
        <f t="shared" si="29"/>
        <v>6900</v>
      </c>
    </row>
    <row r="76" spans="1:15" ht="16.5" thickBot="1">
      <c r="A76" s="5" t="s">
        <v>46</v>
      </c>
      <c r="B76" s="27">
        <f t="shared" ref="B76:N76" si="43">SUM(B44:B75)</f>
        <v>5909250</v>
      </c>
      <c r="C76" s="28">
        <f t="shared" si="43"/>
        <v>768202.5</v>
      </c>
      <c r="D76" s="29">
        <f t="shared" si="43"/>
        <v>5508000</v>
      </c>
      <c r="E76" s="30">
        <f t="shared" si="43"/>
        <v>1773250</v>
      </c>
      <c r="F76" s="28">
        <f t="shared" si="43"/>
        <v>230522.5</v>
      </c>
      <c r="G76" s="31">
        <f t="shared" si="43"/>
        <v>652000</v>
      </c>
      <c r="H76" s="27">
        <f t="shared" si="43"/>
        <v>298800</v>
      </c>
      <c r="I76" s="28">
        <f t="shared" si="43"/>
        <v>38844</v>
      </c>
      <c r="J76" s="29">
        <f t="shared" si="43"/>
        <v>244000</v>
      </c>
      <c r="K76" s="60">
        <f t="shared" si="43"/>
        <v>7981300</v>
      </c>
      <c r="L76" s="32">
        <f t="shared" si="43"/>
        <v>465000</v>
      </c>
      <c r="M76" s="32">
        <f t="shared" si="43"/>
        <v>6404000</v>
      </c>
      <c r="N76" s="32">
        <f t="shared" si="43"/>
        <v>0</v>
      </c>
      <c r="O76" s="33">
        <f>SUM(O44:O75)</f>
        <v>517500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bestFit="1" customWidth="1"/>
    <col min="5" max="5" width="10.5703125" style="1" bestFit="1" customWidth="1"/>
    <col min="6" max="6" width="11.140625" style="1" bestFit="1" customWidth="1"/>
    <col min="7" max="7" width="10.42578125" style="1" bestFit="1" customWidth="1"/>
    <col min="8" max="8" width="11.5703125" style="1" bestFit="1" customWidth="1"/>
    <col min="9" max="14" width="11.42578125" style="1"/>
    <col min="15" max="15" width="11.140625" style="1" bestFit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54</v>
      </c>
      <c r="C2" s="135"/>
      <c r="D2" s="135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>
      <c r="A6" s="20" t="s">
        <v>49</v>
      </c>
      <c r="B6" s="14">
        <f>[3]Vendedor2!$J$4</f>
        <v>229950</v>
      </c>
      <c r="C6" s="81">
        <f>[3]Vendedor2!$K$4</f>
        <v>29893.5</v>
      </c>
      <c r="D6" s="82">
        <f>[3]Vendedor2!$L$4</f>
        <v>59500</v>
      </c>
      <c r="E6" s="14">
        <f>[3]Vendedor2!$J$5</f>
        <v>37850</v>
      </c>
      <c r="F6" s="81">
        <f>[3]Vendedor2!$K$5</f>
        <v>4920.5</v>
      </c>
      <c r="G6" s="85">
        <f>[3]Vendedor2!$L$5</f>
        <v>0</v>
      </c>
      <c r="H6" s="19">
        <f>[3]Vendedor2!$J$6</f>
        <v>3100</v>
      </c>
      <c r="I6" s="15">
        <f>[3]Vendedor2!$K$6</f>
        <v>403</v>
      </c>
      <c r="J6" s="17">
        <f>[3]Vendedor2!$L$6</f>
        <v>0</v>
      </c>
      <c r="K6" s="19">
        <f t="shared" ref="K6:K20" si="1">+B6+E6+H6</f>
        <v>270900</v>
      </c>
      <c r="L6" s="15">
        <f t="shared" ref="L6:L20" si="2">MROUND(C6+F6+I6,50)</f>
        <v>35200</v>
      </c>
      <c r="M6" s="15">
        <f t="shared" ref="M6:M20" si="3">+D6+G6+J6</f>
        <v>59500</v>
      </c>
      <c r="N6" s="15">
        <v>0</v>
      </c>
      <c r="O6" s="17">
        <f t="shared" si="0"/>
        <v>176200</v>
      </c>
    </row>
    <row r="7" spans="1:15">
      <c r="A7" s="20" t="s">
        <v>50</v>
      </c>
      <c r="B7" s="14">
        <f>[4]Vendedor2!$J$4</f>
        <v>158100</v>
      </c>
      <c r="C7" s="81">
        <f>[4]Vendedor2!$K$4</f>
        <v>20553</v>
      </c>
      <c r="D7" s="82">
        <f>[4]Vendedor2!$L$4</f>
        <v>131750</v>
      </c>
      <c r="E7" s="14">
        <f>[4]Vendedor2!$J$5</f>
        <v>21450</v>
      </c>
      <c r="F7" s="81">
        <f>[4]Vendedor2!$K$5</f>
        <v>2788.5</v>
      </c>
      <c r="G7" s="85">
        <f>[4]Vendedor2!$L$5</f>
        <v>0</v>
      </c>
      <c r="H7" s="19">
        <f>[4]Vendedor2!$J$6</f>
        <v>1500</v>
      </c>
      <c r="I7" s="15">
        <f>[4]Vendedor2!$K$6</f>
        <v>195</v>
      </c>
      <c r="J7" s="17">
        <f>[4]Vendedor2!$L$6</f>
        <v>0</v>
      </c>
      <c r="K7" s="19">
        <f t="shared" si="1"/>
        <v>181050</v>
      </c>
      <c r="L7" s="15">
        <f t="shared" si="2"/>
        <v>23550</v>
      </c>
      <c r="M7" s="15">
        <f t="shared" si="3"/>
        <v>131750</v>
      </c>
      <c r="N7" s="15">
        <v>0</v>
      </c>
      <c r="O7" s="17">
        <f t="shared" si="0"/>
        <v>25750</v>
      </c>
    </row>
    <row r="8" spans="1:15">
      <c r="A8" s="20" t="s">
        <v>51</v>
      </c>
      <c r="B8" s="14">
        <f>[5]Vendedor2!$J$4</f>
        <v>200550</v>
      </c>
      <c r="C8" s="81">
        <f>[5]Vendedor2!$K$4</f>
        <v>26071.5</v>
      </c>
      <c r="D8" s="82">
        <f>[5]Vendedor2!$L$4</f>
        <v>297500</v>
      </c>
      <c r="E8" s="14">
        <f>[5]Vendedor2!$J$5</f>
        <v>56000</v>
      </c>
      <c r="F8" s="81">
        <f>[5]Vendedor2!$K$5</f>
        <v>7280</v>
      </c>
      <c r="G8" s="85">
        <f>[5]Vendedor2!$L$5</f>
        <v>32000</v>
      </c>
      <c r="H8" s="19">
        <f>[5]Vendedor2!$J$6</f>
        <v>14550</v>
      </c>
      <c r="I8" s="15">
        <f>[5]Vendedor2!$K$6</f>
        <v>1891.5</v>
      </c>
      <c r="J8" s="17">
        <f>[5]Vendedor2!$L$6</f>
        <v>0</v>
      </c>
      <c r="K8" s="19">
        <f t="shared" si="1"/>
        <v>271100</v>
      </c>
      <c r="L8" s="15">
        <f t="shared" si="2"/>
        <v>35250</v>
      </c>
      <c r="M8" s="15">
        <f t="shared" si="3"/>
        <v>329500</v>
      </c>
      <c r="N8" s="15">
        <v>0</v>
      </c>
      <c r="O8" s="17">
        <f t="shared" si="0"/>
        <v>-93650</v>
      </c>
    </row>
    <row r="9" spans="1:15">
      <c r="A9" s="20" t="s">
        <v>52</v>
      </c>
      <c r="B9" s="14">
        <f>[6]Vendedor2!$J$4</f>
        <v>126600</v>
      </c>
      <c r="C9" s="81">
        <f>[6]Vendedor2!$K$4</f>
        <v>16458</v>
      </c>
      <c r="D9" s="82">
        <f>[6]Vendedor2!$L$4</f>
        <v>80750</v>
      </c>
      <c r="E9" s="14">
        <f>[6]Vendedor2!$J$5</f>
        <v>57050</v>
      </c>
      <c r="F9" s="81">
        <f>[6]Vendedor2!$K$5</f>
        <v>7416.5</v>
      </c>
      <c r="G9" s="85">
        <f>[6]Vendedor2!$L$5</f>
        <v>40000</v>
      </c>
      <c r="H9" s="19">
        <f>[6]Vendedor2!$J$6</f>
        <v>7900</v>
      </c>
      <c r="I9" s="15">
        <f>[6]Vendedor2!$K$6</f>
        <v>1027</v>
      </c>
      <c r="J9" s="17">
        <f>[6]Vendedor2!$L$6</f>
        <v>0</v>
      </c>
      <c r="K9" s="19">
        <f t="shared" si="1"/>
        <v>191550</v>
      </c>
      <c r="L9" s="15">
        <f t="shared" si="2"/>
        <v>24900</v>
      </c>
      <c r="M9" s="15">
        <f t="shared" si="3"/>
        <v>120750</v>
      </c>
      <c r="N9" s="15">
        <v>0</v>
      </c>
      <c r="O9" s="17">
        <f t="shared" si="0"/>
        <v>45900</v>
      </c>
    </row>
    <row r="10" spans="1:15">
      <c r="A10" s="20" t="s">
        <v>53</v>
      </c>
      <c r="B10" s="14">
        <f>[7]Vendedor2!$J$4</f>
        <v>200300</v>
      </c>
      <c r="C10" s="81">
        <f>[7]Vendedor2!$K$4</f>
        <v>26039</v>
      </c>
      <c r="D10" s="82">
        <f>[7]Vendedor2!$L$4</f>
        <v>25500</v>
      </c>
      <c r="E10" s="14">
        <f>[7]Vendedor2!$J$5</f>
        <v>18600</v>
      </c>
      <c r="F10" s="81">
        <f>[7]Vendedor2!$K$5</f>
        <v>2418</v>
      </c>
      <c r="G10" s="85">
        <f>[7]Vendedor2!$L$5</f>
        <v>0</v>
      </c>
      <c r="H10" s="19">
        <f>[7]Vendedor2!$J$6</f>
        <v>5900</v>
      </c>
      <c r="I10" s="15">
        <f>[7]Vendedor2!$K$6</f>
        <v>767</v>
      </c>
      <c r="J10" s="17">
        <f>[7]Vendedor2!$L$6</f>
        <v>0</v>
      </c>
      <c r="K10" s="19">
        <f t="shared" si="1"/>
        <v>224800</v>
      </c>
      <c r="L10" s="15">
        <f t="shared" si="2"/>
        <v>29200</v>
      </c>
      <c r="M10" s="15">
        <f t="shared" si="3"/>
        <v>25500</v>
      </c>
      <c r="N10" s="15">
        <v>0</v>
      </c>
      <c r="O10" s="17">
        <f t="shared" si="0"/>
        <v>170100</v>
      </c>
    </row>
    <row r="11" spans="1:15">
      <c r="A11" s="20" t="s">
        <v>20</v>
      </c>
      <c r="B11" s="14">
        <f>[8]Vendedor2!$J$4</f>
        <v>163250</v>
      </c>
      <c r="C11" s="81">
        <f>[8]Vendedor2!$K$4</f>
        <v>21222.5</v>
      </c>
      <c r="D11" s="82">
        <f>[8]Vendedor2!$L$4</f>
        <v>63750</v>
      </c>
      <c r="E11" s="14">
        <f>[8]Vendedor2!$J$5</f>
        <v>11200</v>
      </c>
      <c r="F11" s="81">
        <f>[8]Vendedor2!$K$5</f>
        <v>1456</v>
      </c>
      <c r="G11" s="85">
        <f>[8]Vendedor2!$L$5</f>
        <v>0</v>
      </c>
      <c r="H11" s="19">
        <f>[8]Vendedor2!$J$6</f>
        <v>1000</v>
      </c>
      <c r="I11" s="15">
        <f>[8]Vendedor2!$K$6</f>
        <v>130</v>
      </c>
      <c r="J11" s="17">
        <f>[8]Vendedor2!$L$6</f>
        <v>0</v>
      </c>
      <c r="K11" s="19">
        <f t="shared" si="1"/>
        <v>175450</v>
      </c>
      <c r="L11" s="15">
        <f t="shared" si="2"/>
        <v>22800</v>
      </c>
      <c r="M11" s="15">
        <f t="shared" si="3"/>
        <v>63750</v>
      </c>
      <c r="N11" s="15">
        <v>0</v>
      </c>
      <c r="O11" s="17">
        <f t="shared" si="0"/>
        <v>88900</v>
      </c>
    </row>
    <row r="12" spans="1:15">
      <c r="A12" s="20" t="s">
        <v>21</v>
      </c>
      <c r="B12" s="14">
        <f>[9]Vendedor2!$J$4</f>
        <v>126650</v>
      </c>
      <c r="C12" s="81">
        <f>[9]Vendedor2!$K$4</f>
        <v>16464.5</v>
      </c>
      <c r="D12" s="82">
        <f>[9]Vendedor2!$L$4</f>
        <v>21250</v>
      </c>
      <c r="E12" s="14">
        <f>[9]Vendedor2!$J$5</f>
        <v>21300</v>
      </c>
      <c r="F12" s="81">
        <f>[9]Vendedor2!$K$5</f>
        <v>2769</v>
      </c>
      <c r="G12" s="85">
        <f>[9]Vendedor2!$L$5</f>
        <v>0</v>
      </c>
      <c r="H12" s="19">
        <f>[9]Vendedor2!$J$6</f>
        <v>3000</v>
      </c>
      <c r="I12" s="15">
        <f>[9]Vendedor2!$K$6</f>
        <v>390</v>
      </c>
      <c r="J12" s="17">
        <f>[9]Vendedor2!$L$6</f>
        <v>0</v>
      </c>
      <c r="K12" s="19">
        <f t="shared" si="1"/>
        <v>150950</v>
      </c>
      <c r="L12" s="15">
        <f t="shared" si="2"/>
        <v>19600</v>
      </c>
      <c r="M12" s="15">
        <f t="shared" si="3"/>
        <v>21250</v>
      </c>
      <c r="N12" s="15">
        <v>0</v>
      </c>
      <c r="O12" s="17">
        <f t="shared" si="0"/>
        <v>110100</v>
      </c>
    </row>
    <row r="13" spans="1:15">
      <c r="A13" s="20" t="s">
        <v>22</v>
      </c>
      <c r="B13" s="14">
        <f>[10]Vendedor2!$J$4</f>
        <v>136350</v>
      </c>
      <c r="C13" s="81">
        <f>[10]Vendedor2!$K$4</f>
        <v>17725.5</v>
      </c>
      <c r="D13" s="82">
        <f>[10]Vendedor2!$L$4</f>
        <v>170000</v>
      </c>
      <c r="E13" s="14">
        <f>[10]Vendedor2!$J$5</f>
        <v>34400</v>
      </c>
      <c r="F13" s="81">
        <f>[10]Vendedor2!$K$5</f>
        <v>4472</v>
      </c>
      <c r="G13" s="85">
        <f>[10]Vendedor2!$L$5</f>
        <v>80000</v>
      </c>
      <c r="H13" s="19">
        <f>[10]Vendedor2!$J$6</f>
        <v>7500</v>
      </c>
      <c r="I13" s="15">
        <f>[10]Vendedor2!$K$6</f>
        <v>975</v>
      </c>
      <c r="J13" s="17">
        <f>[10]Vendedor2!$L$6</f>
        <v>0</v>
      </c>
      <c r="K13" s="19">
        <f t="shared" si="1"/>
        <v>178250</v>
      </c>
      <c r="L13" s="15">
        <f t="shared" si="2"/>
        <v>23150</v>
      </c>
      <c r="M13" s="15">
        <f t="shared" si="3"/>
        <v>250000</v>
      </c>
      <c r="N13" s="15">
        <v>0</v>
      </c>
      <c r="O13" s="17">
        <f t="shared" si="0"/>
        <v>-94900</v>
      </c>
    </row>
    <row r="14" spans="1:15">
      <c r="A14" s="20" t="s">
        <v>23</v>
      </c>
      <c r="B14" s="14">
        <f>[11]Vendedor2!$J$4</f>
        <v>143300</v>
      </c>
      <c r="C14" s="81">
        <f>[11]Vendedor2!$K$4</f>
        <v>18629</v>
      </c>
      <c r="D14" s="82">
        <f>[11]Vendedor2!$L$4</f>
        <v>93500</v>
      </c>
      <c r="E14" s="14">
        <f>[11]Vendedor2!$J$5</f>
        <v>8050</v>
      </c>
      <c r="F14" s="81">
        <f>[11]Vendedor2!$K$5</f>
        <v>1046.5</v>
      </c>
      <c r="G14" s="85">
        <f>[11]Vendedor2!$L$5</f>
        <v>0</v>
      </c>
      <c r="H14" s="19">
        <f>[11]Vendedor2!$J$6</f>
        <v>1900</v>
      </c>
      <c r="I14" s="15">
        <f>[11]Vendedor2!$K$6</f>
        <v>247</v>
      </c>
      <c r="J14" s="17">
        <f>[11]Vendedor2!$L$6</f>
        <v>0</v>
      </c>
      <c r="K14" s="19">
        <f t="shared" si="1"/>
        <v>153250</v>
      </c>
      <c r="L14" s="15">
        <f t="shared" si="2"/>
        <v>19900</v>
      </c>
      <c r="M14" s="15">
        <f t="shared" si="3"/>
        <v>93500</v>
      </c>
      <c r="N14" s="15">
        <v>0</v>
      </c>
      <c r="O14" s="17">
        <f t="shared" si="0"/>
        <v>39850</v>
      </c>
    </row>
    <row r="15" spans="1:15">
      <c r="A15" s="20" t="s">
        <v>24</v>
      </c>
      <c r="B15" s="14">
        <f>[12]Vendedor2!$J$4</f>
        <v>130450</v>
      </c>
      <c r="C15" s="81">
        <f>[12]Vendedor2!$K$4</f>
        <v>16958.5</v>
      </c>
      <c r="D15" s="82">
        <f>[12]Vendedor2!$L$4</f>
        <v>21250</v>
      </c>
      <c r="E15" s="14">
        <f>[12]Vendedor2!$J$5</f>
        <v>38800</v>
      </c>
      <c r="F15" s="81">
        <f>[12]Vendedor2!$K$5</f>
        <v>5044</v>
      </c>
      <c r="G15" s="85">
        <f>[12]Vendedor2!$L$5</f>
        <v>120000</v>
      </c>
      <c r="H15" s="19">
        <f>[12]Vendedor2!$J$6</f>
        <v>0</v>
      </c>
      <c r="I15" s="15">
        <f>[12]Vendedor2!$K$6</f>
        <v>0</v>
      </c>
      <c r="J15" s="17">
        <f>[12]Vendedor2!$L$6</f>
        <v>0</v>
      </c>
      <c r="K15" s="19">
        <f t="shared" si="1"/>
        <v>169250</v>
      </c>
      <c r="L15" s="15">
        <f t="shared" si="2"/>
        <v>22000</v>
      </c>
      <c r="M15" s="15">
        <f t="shared" si="3"/>
        <v>141250</v>
      </c>
      <c r="N15" s="15">
        <v>0</v>
      </c>
      <c r="O15" s="17">
        <f t="shared" si="0"/>
        <v>6000</v>
      </c>
    </row>
    <row r="16" spans="1:15">
      <c r="A16" s="20" t="s">
        <v>25</v>
      </c>
      <c r="B16" s="14">
        <f>[13]Vendedor2!$J$4</f>
        <v>163700</v>
      </c>
      <c r="C16" s="81">
        <f>[13]Vendedor2!$K$4</f>
        <v>21281</v>
      </c>
      <c r="D16" s="82">
        <f>[13]Vendedor2!$L$4</f>
        <v>72250</v>
      </c>
      <c r="E16" s="14">
        <f>[13]Vendedor2!$J$5</f>
        <v>28450</v>
      </c>
      <c r="F16" s="81">
        <f>[13]Vendedor2!$K$5</f>
        <v>3698.5</v>
      </c>
      <c r="G16" s="85">
        <f>[13]Vendedor2!$L$5</f>
        <v>0</v>
      </c>
      <c r="H16" s="19">
        <f>[13]Vendedor2!$J$6</f>
        <v>2000</v>
      </c>
      <c r="I16" s="15">
        <f>[13]Vendedor2!$K$6</f>
        <v>260</v>
      </c>
      <c r="J16" s="17">
        <f>[13]Vendedor2!$L$6</f>
        <v>0</v>
      </c>
      <c r="K16" s="19">
        <f t="shared" si="1"/>
        <v>194150</v>
      </c>
      <c r="L16" s="15">
        <f t="shared" si="2"/>
        <v>25250</v>
      </c>
      <c r="M16" s="15">
        <f t="shared" si="3"/>
        <v>72250</v>
      </c>
      <c r="N16" s="15">
        <v>0</v>
      </c>
      <c r="O16" s="17">
        <f t="shared" si="0"/>
        <v>96650</v>
      </c>
    </row>
    <row r="17" spans="1:15">
      <c r="A17" s="20" t="s">
        <v>26</v>
      </c>
      <c r="B17" s="14">
        <f>[14]Vendedor2!$J$4</f>
        <v>156600</v>
      </c>
      <c r="C17" s="81">
        <f>[14]Vendedor2!$K$4</f>
        <v>20358</v>
      </c>
      <c r="D17" s="82">
        <f>[14]Vendedor2!$L$4</f>
        <v>114750</v>
      </c>
      <c r="E17" s="14">
        <f>[14]Vendedor2!$J$5</f>
        <v>26200</v>
      </c>
      <c r="F17" s="81">
        <f>[14]Vendedor2!$K$5</f>
        <v>3406</v>
      </c>
      <c r="G17" s="85">
        <f>[14]Vendedor2!$L$5</f>
        <v>0</v>
      </c>
      <c r="H17" s="19">
        <f>[14]Vendedor2!$J$6</f>
        <v>0</v>
      </c>
      <c r="I17" s="15">
        <f>[14]Vendedor2!$K$6</f>
        <v>0</v>
      </c>
      <c r="J17" s="17">
        <f>[14]Vendedor2!$L$6</f>
        <v>0</v>
      </c>
      <c r="K17" s="19">
        <f t="shared" si="1"/>
        <v>182800</v>
      </c>
      <c r="L17" s="15">
        <f t="shared" si="2"/>
        <v>23750</v>
      </c>
      <c r="M17" s="15">
        <f t="shared" si="3"/>
        <v>114750</v>
      </c>
      <c r="N17" s="15">
        <v>0</v>
      </c>
      <c r="O17" s="17">
        <f t="shared" si="0"/>
        <v>44300</v>
      </c>
    </row>
    <row r="18" spans="1:15">
      <c r="A18" s="20" t="s">
        <v>27</v>
      </c>
      <c r="B18" s="14">
        <f>[15]Vendedor2!$J$4</f>
        <v>148400</v>
      </c>
      <c r="C18" s="81">
        <f>[15]Vendedor2!$K$4</f>
        <v>19292</v>
      </c>
      <c r="D18" s="82">
        <f>[15]Vendedor2!$L$4</f>
        <v>59500</v>
      </c>
      <c r="E18" s="14">
        <f>[15]Vendedor2!$J$5</f>
        <v>15450</v>
      </c>
      <c r="F18" s="81">
        <f>[15]Vendedor2!$K$5</f>
        <v>2008.5</v>
      </c>
      <c r="G18" s="85">
        <f>[15]Vendedor2!$L$5</f>
        <v>0</v>
      </c>
      <c r="H18" s="19">
        <f>[15]Vendedor2!$J$6</f>
        <v>1500</v>
      </c>
      <c r="I18" s="15">
        <f>[15]Vendedor2!$K$6</f>
        <v>195</v>
      </c>
      <c r="J18" s="17">
        <f>[15]Vendedor2!$L$6</f>
        <v>0</v>
      </c>
      <c r="K18" s="19">
        <f t="shared" si="1"/>
        <v>165350</v>
      </c>
      <c r="L18" s="15">
        <f t="shared" si="2"/>
        <v>21500</v>
      </c>
      <c r="M18" s="15">
        <f t="shared" si="3"/>
        <v>59500</v>
      </c>
      <c r="N18" s="15">
        <v>0</v>
      </c>
      <c r="O18" s="17">
        <f t="shared" si="0"/>
        <v>84350</v>
      </c>
    </row>
    <row r="19" spans="1:15">
      <c r="A19" s="20" t="s">
        <v>28</v>
      </c>
      <c r="B19" s="14">
        <f>[16]Vendedor2!$J$4</f>
        <v>147100</v>
      </c>
      <c r="C19" s="81">
        <f>[16]Vendedor2!$K$4</f>
        <v>19123</v>
      </c>
      <c r="D19" s="82">
        <f>[16]Vendedor2!$L$4</f>
        <v>170000</v>
      </c>
      <c r="E19" s="14">
        <f>[16]Vendedor2!$J$5</f>
        <v>33850</v>
      </c>
      <c r="F19" s="81">
        <f>[16]Vendedor2!$K$5</f>
        <v>4400.5</v>
      </c>
      <c r="G19" s="85">
        <f>[16]Vendedor2!$L$5</f>
        <v>0</v>
      </c>
      <c r="H19" s="19">
        <f>[16]Vendedor2!$J$6</f>
        <v>5550</v>
      </c>
      <c r="I19" s="15">
        <f>[16]Vendedor2!$K$6</f>
        <v>721.5</v>
      </c>
      <c r="J19" s="17">
        <f>[16]Vendedor2!$L$6</f>
        <v>8000</v>
      </c>
      <c r="K19" s="19">
        <f t="shared" si="1"/>
        <v>186500</v>
      </c>
      <c r="L19" s="15">
        <f t="shared" si="2"/>
        <v>24250</v>
      </c>
      <c r="M19" s="15">
        <f t="shared" si="3"/>
        <v>178000</v>
      </c>
      <c r="N19" s="15">
        <v>0</v>
      </c>
      <c r="O19" s="17">
        <f t="shared" si="0"/>
        <v>-15750</v>
      </c>
    </row>
    <row r="20" spans="1:15">
      <c r="A20" s="20" t="s">
        <v>29</v>
      </c>
      <c r="B20" s="14">
        <f>[17]Vendedor2!$J$4</f>
        <v>160250</v>
      </c>
      <c r="C20" s="81">
        <f>[17]Vendedor2!$K$4</f>
        <v>20832.5</v>
      </c>
      <c r="D20" s="82">
        <f>[17]Vendedor2!$L$4</f>
        <v>38250</v>
      </c>
      <c r="E20" s="14">
        <f>[17]Vendedor2!$J$5</f>
        <v>21350</v>
      </c>
      <c r="F20" s="81">
        <f>[17]Vendedor2!$K$5</f>
        <v>2775.5</v>
      </c>
      <c r="G20" s="85">
        <f>[17]Vendedor2!$L$5</f>
        <v>0</v>
      </c>
      <c r="H20" s="19">
        <f>[17]Vendedor2!$J$6</f>
        <v>6000</v>
      </c>
      <c r="I20" s="15">
        <f>[17]Vendedor2!$K$6</f>
        <v>780</v>
      </c>
      <c r="J20" s="17">
        <f>[17]Vendedor2!$L$6</f>
        <v>16000</v>
      </c>
      <c r="K20" s="19">
        <f t="shared" si="1"/>
        <v>187600</v>
      </c>
      <c r="L20" s="15">
        <f t="shared" si="2"/>
        <v>24400</v>
      </c>
      <c r="M20" s="15">
        <f t="shared" si="3"/>
        <v>54250</v>
      </c>
      <c r="N20" s="15">
        <v>0</v>
      </c>
      <c r="O20" s="17">
        <f t="shared" si="0"/>
        <v>108950</v>
      </c>
    </row>
    <row r="21" spans="1:15">
      <c r="A21" s="20" t="s">
        <v>30</v>
      </c>
      <c r="B21" s="14">
        <f>[18]Vendedor2!$J$4</f>
        <v>162800</v>
      </c>
      <c r="C21" s="81">
        <f>[18]Vendedor2!$K$4</f>
        <v>21164</v>
      </c>
      <c r="D21" s="82">
        <f>[18]Vendedor2!$L$4</f>
        <v>229500</v>
      </c>
      <c r="E21" s="14">
        <f>[18]Vendedor2!$J$5</f>
        <v>14300</v>
      </c>
      <c r="F21" s="81">
        <f>[18]Vendedor2!$K$5</f>
        <v>1859</v>
      </c>
      <c r="G21" s="85">
        <f>[18]Vendedor2!$L$5</f>
        <v>0</v>
      </c>
      <c r="H21" s="19">
        <f>[18]Vendedor2!$J$6</f>
        <v>0</v>
      </c>
      <c r="I21" s="15">
        <f>[18]Vendedor2!$K$6</f>
        <v>0</v>
      </c>
      <c r="J21" s="17">
        <f>[18]Vendedor2!$L$6</f>
        <v>0</v>
      </c>
      <c r="K21" s="19">
        <f t="shared" ref="K21:K36" si="4">+B21+E21+H21</f>
        <v>177100</v>
      </c>
      <c r="L21" s="15">
        <f t="shared" ref="L21:L36" si="5">MROUND(C21+F21+I21,50)</f>
        <v>23000</v>
      </c>
      <c r="M21" s="15">
        <f t="shared" ref="M21:M36" si="6">+D21+G21+J21</f>
        <v>229500</v>
      </c>
      <c r="N21" s="15">
        <v>0</v>
      </c>
      <c r="O21" s="17">
        <f t="shared" ref="O21:O36" si="7">+K21-L21-M21+N21</f>
        <v>-75400</v>
      </c>
    </row>
    <row r="22" spans="1:15">
      <c r="A22" s="13" t="s">
        <v>31</v>
      </c>
      <c r="B22" s="14">
        <f>[19]Vendedor2!$J$4</f>
        <v>155400</v>
      </c>
      <c r="C22" s="81">
        <f>[19]Vendedor2!$K$4</f>
        <v>20202</v>
      </c>
      <c r="D22" s="82">
        <f>[19]Vendedor2!$L$4</f>
        <v>21250</v>
      </c>
      <c r="E22" s="14">
        <f>[19]Vendedor2!$J$5</f>
        <v>30650</v>
      </c>
      <c r="F22" s="81">
        <f>[19]Vendedor2!$K$5</f>
        <v>3984.5</v>
      </c>
      <c r="G22" s="85">
        <f>[19]Vendedor2!$L$5</f>
        <v>0</v>
      </c>
      <c r="H22" s="19">
        <f>[19]Vendedor2!$J$6</f>
        <v>1700</v>
      </c>
      <c r="I22" s="15">
        <f>[19]Vendedor2!$K$6</f>
        <v>221</v>
      </c>
      <c r="J22" s="17">
        <f>[19]Vendedor2!$L$6</f>
        <v>0</v>
      </c>
      <c r="K22" s="19">
        <f t="shared" si="4"/>
        <v>187750</v>
      </c>
      <c r="L22" s="15">
        <f t="shared" si="5"/>
        <v>24400</v>
      </c>
      <c r="M22" s="15">
        <f t="shared" si="6"/>
        <v>21250</v>
      </c>
      <c r="N22" s="15">
        <v>0</v>
      </c>
      <c r="O22" s="17">
        <f t="shared" si="7"/>
        <v>142100</v>
      </c>
    </row>
    <row r="23" spans="1:15">
      <c r="A23" s="20" t="s">
        <v>32</v>
      </c>
      <c r="B23" s="14">
        <f>[20]Vendedor2!$J$4</f>
        <v>145700</v>
      </c>
      <c r="C23" s="81">
        <f>[20]Vendedor2!$K$4</f>
        <v>18941</v>
      </c>
      <c r="D23" s="82">
        <f>[20]Vendedor2!$L$4</f>
        <v>212500</v>
      </c>
      <c r="E23" s="14">
        <f>[20]Vendedor2!$J$5</f>
        <v>42450</v>
      </c>
      <c r="F23" s="81">
        <f>[20]Vendedor2!$K$5</f>
        <v>5518.5</v>
      </c>
      <c r="G23" s="85">
        <f>[20]Vendedor2!$L$5</f>
        <v>0</v>
      </c>
      <c r="H23" s="19">
        <f>[20]Vendedor2!$J$6</f>
        <v>6100</v>
      </c>
      <c r="I23" s="15">
        <f>[20]Vendedor2!$K$6</f>
        <v>793</v>
      </c>
      <c r="J23" s="17">
        <f>[20]Vendedor2!$L$6</f>
        <v>0</v>
      </c>
      <c r="K23" s="19">
        <f t="shared" si="4"/>
        <v>194250</v>
      </c>
      <c r="L23" s="15">
        <f t="shared" si="5"/>
        <v>25250</v>
      </c>
      <c r="M23" s="15">
        <f t="shared" si="6"/>
        <v>212500</v>
      </c>
      <c r="N23" s="15">
        <v>0</v>
      </c>
      <c r="O23" s="17">
        <f t="shared" si="7"/>
        <v>-43500</v>
      </c>
    </row>
    <row r="24" spans="1:15">
      <c r="A24" s="13" t="s">
        <v>33</v>
      </c>
      <c r="B24" s="14">
        <f>[21]Vendedor2!$J$4</f>
        <v>155050</v>
      </c>
      <c r="C24" s="81">
        <f>[21]Vendedor2!$K$4</f>
        <v>20156.5</v>
      </c>
      <c r="D24" s="82">
        <f>[21]Vendedor2!$L$4</f>
        <v>42500</v>
      </c>
      <c r="E24" s="14">
        <f>[21]Vendedor2!$J$5</f>
        <v>41900</v>
      </c>
      <c r="F24" s="81">
        <f>[21]Vendedor2!$K$5</f>
        <v>5447</v>
      </c>
      <c r="G24" s="85">
        <f>[21]Vendedor2!$L$5</f>
        <v>40000</v>
      </c>
      <c r="H24" s="19">
        <f>[21]Vendedor2!$J$6</f>
        <v>1000</v>
      </c>
      <c r="I24" s="15">
        <f>[21]Vendedor2!$K$6</f>
        <v>130</v>
      </c>
      <c r="J24" s="17">
        <f>[21]Vendedor2!$L$6</f>
        <v>40000</v>
      </c>
      <c r="K24" s="19">
        <f t="shared" si="4"/>
        <v>197950</v>
      </c>
      <c r="L24" s="15">
        <f t="shared" si="5"/>
        <v>25750</v>
      </c>
      <c r="M24" s="15">
        <f t="shared" si="6"/>
        <v>122500</v>
      </c>
      <c r="N24" s="15">
        <v>0</v>
      </c>
      <c r="O24" s="17">
        <f t="shared" si="7"/>
        <v>49700</v>
      </c>
    </row>
    <row r="25" spans="1:15">
      <c r="A25" s="20" t="s">
        <v>34</v>
      </c>
      <c r="B25" s="14">
        <f>[22]Vendedor2!$J$4</f>
        <v>140900</v>
      </c>
      <c r="C25" s="81">
        <f>[22]Vendedor2!$K$4</f>
        <v>18317</v>
      </c>
      <c r="D25" s="82">
        <f>[22]Vendedor2!$L$4</f>
        <v>114750</v>
      </c>
      <c r="E25" s="14">
        <f>[22]Vendedor2!$J$5</f>
        <v>40900</v>
      </c>
      <c r="F25" s="81">
        <f>[22]Vendedor2!$K$5</f>
        <v>5317</v>
      </c>
      <c r="G25" s="85">
        <f>[22]Vendedor2!$L$5</f>
        <v>0</v>
      </c>
      <c r="H25" s="19">
        <f>[22]Vendedor2!$J$6</f>
        <v>0</v>
      </c>
      <c r="I25" s="15">
        <f>[22]Vendedor2!$K$6</f>
        <v>0</v>
      </c>
      <c r="J25" s="17">
        <f>[22]Vendedor2!$L$6</f>
        <v>0</v>
      </c>
      <c r="K25" s="19">
        <f t="shared" si="4"/>
        <v>181800</v>
      </c>
      <c r="L25" s="15">
        <f t="shared" si="5"/>
        <v>23650</v>
      </c>
      <c r="M25" s="15">
        <f t="shared" si="6"/>
        <v>114750</v>
      </c>
      <c r="N25" s="15">
        <v>0</v>
      </c>
      <c r="O25" s="17">
        <f t="shared" si="7"/>
        <v>43400</v>
      </c>
    </row>
    <row r="26" spans="1:15">
      <c r="A26" s="13" t="s">
        <v>35</v>
      </c>
      <c r="B26" s="14">
        <f>[23]Vendedor2!$J$4</f>
        <v>205000</v>
      </c>
      <c r="C26" s="81">
        <f>[23]Vendedor2!$K$4</f>
        <v>26650</v>
      </c>
      <c r="D26" s="82">
        <f>[23]Vendedor2!$L$4</f>
        <v>229500</v>
      </c>
      <c r="E26" s="14">
        <f>[23]Vendedor2!$J$5</f>
        <v>55250</v>
      </c>
      <c r="F26" s="81">
        <f>[23]Vendedor2!$K$5</f>
        <v>7182.5</v>
      </c>
      <c r="G26" s="85">
        <f>[23]Vendedor2!$L$5</f>
        <v>52000</v>
      </c>
      <c r="H26" s="19">
        <f>[23]Vendedor2!$J$6</f>
        <v>3400</v>
      </c>
      <c r="I26" s="15">
        <f>[23]Vendedor2!$K$6</f>
        <v>442</v>
      </c>
      <c r="J26" s="17">
        <f>[23]Vendedor2!$L$6</f>
        <v>0</v>
      </c>
      <c r="K26" s="19">
        <f t="shared" si="4"/>
        <v>263650</v>
      </c>
      <c r="L26" s="15">
        <f t="shared" si="5"/>
        <v>34250</v>
      </c>
      <c r="M26" s="15">
        <f t="shared" si="6"/>
        <v>281500</v>
      </c>
      <c r="N26" s="15">
        <v>0</v>
      </c>
      <c r="O26" s="17">
        <f t="shared" si="7"/>
        <v>-52100</v>
      </c>
    </row>
    <row r="27" spans="1:15">
      <c r="A27" s="20" t="s">
        <v>36</v>
      </c>
      <c r="B27" s="14">
        <f>[24]Vendedor2!$J$4</f>
        <v>159250</v>
      </c>
      <c r="C27" s="81">
        <f>[24]Vendedor2!$K$4</f>
        <v>20702.5</v>
      </c>
      <c r="D27" s="82">
        <f>[24]Vendedor2!$L$4</f>
        <v>259250</v>
      </c>
      <c r="E27" s="14">
        <f>[24]Vendedor2!$J$5</f>
        <v>32900</v>
      </c>
      <c r="F27" s="81">
        <f>[24]Vendedor2!$K$5</f>
        <v>4277</v>
      </c>
      <c r="G27" s="85">
        <f>[24]Vendedor2!$L$5</f>
        <v>0</v>
      </c>
      <c r="H27" s="19">
        <f>[24]Vendedor2!$J$6</f>
        <v>200</v>
      </c>
      <c r="I27" s="15">
        <f>[24]Vendedor2!$K$6</f>
        <v>26</v>
      </c>
      <c r="J27" s="17">
        <f>[24]Vendedor2!$L$6</f>
        <v>0</v>
      </c>
      <c r="K27" s="19">
        <f t="shared" si="4"/>
        <v>192350</v>
      </c>
      <c r="L27" s="15">
        <f t="shared" si="5"/>
        <v>25000</v>
      </c>
      <c r="M27" s="15">
        <f t="shared" si="6"/>
        <v>259250</v>
      </c>
      <c r="N27" s="15">
        <v>0</v>
      </c>
      <c r="O27" s="17">
        <f t="shared" si="7"/>
        <v>-91900</v>
      </c>
    </row>
    <row r="28" spans="1:15">
      <c r="A28" s="13" t="s">
        <v>37</v>
      </c>
      <c r="B28" s="14">
        <f>[25]Vendedor2!$J$4</f>
        <v>183550</v>
      </c>
      <c r="C28" s="81">
        <f>[25]Vendedor2!$K$4</f>
        <v>23861.5</v>
      </c>
      <c r="D28" s="82">
        <f>[25]Vendedor2!$L$4</f>
        <v>127500</v>
      </c>
      <c r="E28" s="14">
        <f>[25]Vendedor2!$J$5</f>
        <v>28050</v>
      </c>
      <c r="F28" s="81">
        <f>[25]Vendedor2!$K$5</f>
        <v>3646.5</v>
      </c>
      <c r="G28" s="85">
        <f>[25]Vendedor2!$L$5</f>
        <v>64000</v>
      </c>
      <c r="H28" s="19">
        <f>[25]Vendedor2!$J$6</f>
        <v>0</v>
      </c>
      <c r="I28" s="15">
        <f>[25]Vendedor2!$K$6</f>
        <v>0</v>
      </c>
      <c r="J28" s="17">
        <f>[25]Vendedor2!$L$6</f>
        <v>0</v>
      </c>
      <c r="K28" s="19">
        <f t="shared" si="4"/>
        <v>211600</v>
      </c>
      <c r="L28" s="15">
        <f t="shared" si="5"/>
        <v>27500</v>
      </c>
      <c r="M28" s="15">
        <f t="shared" si="6"/>
        <v>191500</v>
      </c>
      <c r="N28" s="15">
        <v>0</v>
      </c>
      <c r="O28" s="17">
        <f t="shared" si="7"/>
        <v>-7400</v>
      </c>
    </row>
    <row r="29" spans="1:15">
      <c r="A29" s="20" t="s">
        <v>38</v>
      </c>
      <c r="B29" s="14">
        <f>[26]Vendedor2!$J$4</f>
        <v>142850</v>
      </c>
      <c r="C29" s="81">
        <f>[26]Vendedor2!$K$4</f>
        <v>18570.5</v>
      </c>
      <c r="D29" s="82">
        <f>[26]Vendedor2!$L$4</f>
        <v>42500</v>
      </c>
      <c r="E29" s="14">
        <f>[26]Vendedor2!$J$5</f>
        <v>32400</v>
      </c>
      <c r="F29" s="81">
        <f>[26]Vendedor2!$K$5</f>
        <v>4212</v>
      </c>
      <c r="G29" s="85">
        <f>[26]Vendedor2!$L$5</f>
        <v>40000</v>
      </c>
      <c r="H29" s="19">
        <f>[26]Vendedor2!$J$6</f>
        <v>200</v>
      </c>
      <c r="I29" s="15">
        <f>[26]Vendedor2!$K$6</f>
        <v>26</v>
      </c>
      <c r="J29" s="17">
        <f>[26]Vendedor2!$L$6</f>
        <v>16000</v>
      </c>
      <c r="K29" s="19">
        <f t="shared" si="4"/>
        <v>175450</v>
      </c>
      <c r="L29" s="15">
        <f t="shared" si="5"/>
        <v>22800</v>
      </c>
      <c r="M29" s="15">
        <f t="shared" si="6"/>
        <v>98500</v>
      </c>
      <c r="N29" s="15">
        <v>0</v>
      </c>
      <c r="O29" s="17">
        <f t="shared" si="7"/>
        <v>54150</v>
      </c>
    </row>
    <row r="30" spans="1:15">
      <c r="A30" s="13" t="s">
        <v>39</v>
      </c>
      <c r="B30" s="14">
        <f>[27]Vendedor2!$J$4</f>
        <v>159600</v>
      </c>
      <c r="C30" s="81">
        <f>[27]Vendedor2!$K$4</f>
        <v>20748</v>
      </c>
      <c r="D30" s="82">
        <f>[27]Vendedor2!$L$4</f>
        <v>352750</v>
      </c>
      <c r="E30" s="14">
        <f>[27]Vendedor2!$J$5</f>
        <v>63200</v>
      </c>
      <c r="F30" s="81">
        <f>[27]Vendedor2!$K$5</f>
        <v>8216</v>
      </c>
      <c r="G30" s="85">
        <f>[27]Vendedor2!$L$5</f>
        <v>0</v>
      </c>
      <c r="H30" s="19">
        <f>[27]Vendedor2!$J$6</f>
        <v>19600</v>
      </c>
      <c r="I30" s="15">
        <f>[27]Vendedor2!$K$6</f>
        <v>2548</v>
      </c>
      <c r="J30" s="17">
        <f>[27]Vendedor2!$L$6</f>
        <v>168000</v>
      </c>
      <c r="K30" s="19">
        <f t="shared" si="4"/>
        <v>242400</v>
      </c>
      <c r="L30" s="15">
        <f t="shared" si="5"/>
        <v>31500</v>
      </c>
      <c r="M30" s="15">
        <f t="shared" si="6"/>
        <v>520750</v>
      </c>
      <c r="N30" s="15">
        <v>0</v>
      </c>
      <c r="O30" s="17">
        <f t="shared" si="7"/>
        <v>-309850</v>
      </c>
    </row>
    <row r="31" spans="1:15">
      <c r="A31" s="20" t="s">
        <v>40</v>
      </c>
      <c r="B31" s="14">
        <f>[28]Vendedor2!$J$4</f>
        <v>147750</v>
      </c>
      <c r="C31" s="81">
        <f>[28]Vendedor2!$K$4</f>
        <v>19207.5</v>
      </c>
      <c r="D31" s="82">
        <f>[28]Vendedor2!$L$4</f>
        <v>89250</v>
      </c>
      <c r="E31" s="14">
        <f>[28]Vendedor2!$J$5</f>
        <v>40500</v>
      </c>
      <c r="F31" s="81">
        <f>[28]Vendedor2!$K$5</f>
        <v>5265</v>
      </c>
      <c r="G31" s="85">
        <f>[28]Vendedor2!$L$5</f>
        <v>0</v>
      </c>
      <c r="H31" s="19">
        <f>[28]Vendedor2!$J$6</f>
        <v>4800</v>
      </c>
      <c r="I31" s="15">
        <f>[28]Vendedor2!$K$6</f>
        <v>624</v>
      </c>
      <c r="J31" s="17">
        <f>[28]Vendedor2!$L$6</f>
        <v>16000</v>
      </c>
      <c r="K31" s="19">
        <f t="shared" si="4"/>
        <v>193050</v>
      </c>
      <c r="L31" s="15">
        <f t="shared" si="5"/>
        <v>25100</v>
      </c>
      <c r="M31" s="15">
        <f t="shared" si="6"/>
        <v>105250</v>
      </c>
      <c r="N31" s="15">
        <v>0</v>
      </c>
      <c r="O31" s="17">
        <f t="shared" si="7"/>
        <v>62700</v>
      </c>
    </row>
    <row r="32" spans="1:15">
      <c r="A32" s="20" t="s">
        <v>41</v>
      </c>
      <c r="B32" s="14">
        <f>[29]Vendedor2!$J$4</f>
        <v>194700</v>
      </c>
      <c r="C32" s="81">
        <f>[29]Vendedor2!$K$4</f>
        <v>25311</v>
      </c>
      <c r="D32" s="82">
        <f>[29]Vendedor2!$L$4</f>
        <v>89250</v>
      </c>
      <c r="E32" s="14">
        <f>[29]Vendedor2!$J$5</f>
        <v>47800</v>
      </c>
      <c r="F32" s="81">
        <f>[29]Vendedor2!$K$5</f>
        <v>6214</v>
      </c>
      <c r="G32" s="85">
        <f>[29]Vendedor2!$L$5</f>
        <v>116000</v>
      </c>
      <c r="H32" s="19">
        <f>[29]Vendedor2!$J$6</f>
        <v>9200</v>
      </c>
      <c r="I32" s="15">
        <f>[29]Vendedor2!$K$6</f>
        <v>1196</v>
      </c>
      <c r="J32" s="17">
        <f>[29]Vendedor2!$L$6</f>
        <v>0</v>
      </c>
      <c r="K32" s="19">
        <f t="shared" si="4"/>
        <v>251700</v>
      </c>
      <c r="L32" s="15">
        <f t="shared" si="5"/>
        <v>32700</v>
      </c>
      <c r="M32" s="15">
        <f t="shared" si="6"/>
        <v>205250</v>
      </c>
      <c r="N32" s="15">
        <v>0</v>
      </c>
      <c r="O32" s="17">
        <f t="shared" si="7"/>
        <v>13750</v>
      </c>
    </row>
    <row r="33" spans="1:15">
      <c r="A33" s="13" t="s">
        <v>42</v>
      </c>
      <c r="B33" s="14">
        <f>[30]Vendedor2!$J$4</f>
        <v>165300</v>
      </c>
      <c r="C33" s="81">
        <f>[30]Vendedor2!$K$4</f>
        <v>21489</v>
      </c>
      <c r="D33" s="82">
        <f>[30]Vendedor2!$L$4</f>
        <v>42500</v>
      </c>
      <c r="E33" s="14">
        <f>[30]Vendedor2!$J$5</f>
        <v>28100</v>
      </c>
      <c r="F33" s="81">
        <f>[30]Vendedor2!$K$5</f>
        <v>3653</v>
      </c>
      <c r="G33" s="85">
        <f>[30]Vendedor2!$L$5</f>
        <v>0</v>
      </c>
      <c r="H33" s="19">
        <f>[30]Vendedor2!$J$6</f>
        <v>4400</v>
      </c>
      <c r="I33" s="15">
        <f>[30]Vendedor2!$K$6</f>
        <v>572</v>
      </c>
      <c r="J33" s="17">
        <f>[30]Vendedor2!$L$6</f>
        <v>36000</v>
      </c>
      <c r="K33" s="19">
        <f t="shared" si="4"/>
        <v>197800</v>
      </c>
      <c r="L33" s="15">
        <f t="shared" si="5"/>
        <v>25700</v>
      </c>
      <c r="M33" s="15">
        <f t="shared" si="6"/>
        <v>78500</v>
      </c>
      <c r="N33" s="15">
        <v>0</v>
      </c>
      <c r="O33" s="17">
        <f t="shared" si="7"/>
        <v>93600</v>
      </c>
    </row>
    <row r="34" spans="1:15">
      <c r="A34" s="20" t="s">
        <v>43</v>
      </c>
      <c r="B34" s="14">
        <f>[31]Vendedor2!$J$4</f>
        <v>161600</v>
      </c>
      <c r="C34" s="81">
        <f>[31]Vendedor2!$K$4</f>
        <v>21008</v>
      </c>
      <c r="D34" s="82">
        <f>[31]Vendedor2!$L$4</f>
        <v>80750</v>
      </c>
      <c r="E34" s="14">
        <f>[31]Vendedor2!$J$5</f>
        <v>19050</v>
      </c>
      <c r="F34" s="81">
        <f>[31]Vendedor2!$K$5</f>
        <v>2476.5</v>
      </c>
      <c r="G34" s="85">
        <f>[31]Vendedor2!$L$5</f>
        <v>0</v>
      </c>
      <c r="H34" s="19">
        <f>[31]Vendedor2!$J$6</f>
        <v>3300</v>
      </c>
      <c r="I34" s="15">
        <f>[31]Vendedor2!$K$6</f>
        <v>429</v>
      </c>
      <c r="J34" s="17">
        <f>[31]Vendedor2!$L$6</f>
        <v>0</v>
      </c>
      <c r="K34" s="19">
        <f t="shared" si="4"/>
        <v>183950</v>
      </c>
      <c r="L34" s="15">
        <f t="shared" si="5"/>
        <v>23900</v>
      </c>
      <c r="M34" s="15">
        <f t="shared" si="6"/>
        <v>80750</v>
      </c>
      <c r="N34" s="15">
        <v>0</v>
      </c>
      <c r="O34" s="17">
        <f t="shared" si="7"/>
        <v>79300</v>
      </c>
    </row>
    <row r="35" spans="1:15">
      <c r="A35" s="13" t="s">
        <v>44</v>
      </c>
      <c r="B35" s="14">
        <f>[1]Vendedor2!$J$4</f>
        <v>155700</v>
      </c>
      <c r="C35" s="81">
        <f>[1]Vendedor2!$K$4</f>
        <v>20241</v>
      </c>
      <c r="D35" s="82">
        <f>[1]Vendedor2!$L$4</f>
        <v>106250</v>
      </c>
      <c r="E35" s="14">
        <f>[1]Vendedor2!$J$5</f>
        <v>29100</v>
      </c>
      <c r="F35" s="81">
        <f>[1]Vendedor2!$K$5</f>
        <v>3783</v>
      </c>
      <c r="G35" s="85">
        <f>[1]Vendedor2!$L$5</f>
        <v>20000</v>
      </c>
      <c r="H35" s="19">
        <f>[1]Vendedor2!$J$6</f>
        <v>3000</v>
      </c>
      <c r="I35" s="15">
        <f>[1]Vendedor2!$K$6</f>
        <v>390</v>
      </c>
      <c r="J35" s="17">
        <f>[1]Vendedor2!$L$6</f>
        <v>0</v>
      </c>
      <c r="K35" s="19">
        <f t="shared" si="4"/>
        <v>187800</v>
      </c>
      <c r="L35" s="15">
        <f t="shared" si="5"/>
        <v>24400</v>
      </c>
      <c r="M35" s="15">
        <f t="shared" si="6"/>
        <v>126250</v>
      </c>
      <c r="N35" s="15">
        <v>0</v>
      </c>
      <c r="O35" s="17">
        <f t="shared" si="7"/>
        <v>37150</v>
      </c>
    </row>
    <row r="36" spans="1:15">
      <c r="A36" s="20" t="s">
        <v>45</v>
      </c>
      <c r="B36" s="21">
        <f>[2]Vendedor2!$J$4</f>
        <v>219900</v>
      </c>
      <c r="C36" s="83">
        <f>[2]Vendedor2!$K$4</f>
        <v>28587</v>
      </c>
      <c r="D36" s="84">
        <f>[2]Vendedor2!$L$4</f>
        <v>306000</v>
      </c>
      <c r="E36" s="21">
        <f>[2]Vendedor2!$J$5</f>
        <v>47950</v>
      </c>
      <c r="F36" s="83">
        <f>[2]Vendedor2!$K$5</f>
        <v>6233.5</v>
      </c>
      <c r="G36" s="86">
        <f>[2]Vendedor2!$L$5</f>
        <v>0</v>
      </c>
      <c r="H36" s="26">
        <f>[2]Vendedor2!$J$6</f>
        <v>8000</v>
      </c>
      <c r="I36" s="22">
        <f>[2]Vendedor2!$K$6</f>
        <v>1040</v>
      </c>
      <c r="J36" s="24">
        <f>[2]Vendedor2!$L$6</f>
        <v>92000</v>
      </c>
      <c r="K36" s="26">
        <f t="shared" si="4"/>
        <v>275850</v>
      </c>
      <c r="L36" s="22">
        <f t="shared" si="5"/>
        <v>35850</v>
      </c>
      <c r="M36" s="22">
        <f t="shared" si="6"/>
        <v>398000</v>
      </c>
      <c r="N36" s="22">
        <v>0</v>
      </c>
      <c r="O36" s="24">
        <f t="shared" si="7"/>
        <v>-158000</v>
      </c>
    </row>
    <row r="37" spans="1:15" ht="15.75">
      <c r="A37" s="5" t="s">
        <v>46</v>
      </c>
      <c r="B37" s="27">
        <f t="shared" ref="B37:M37" si="8">SUM(B6:B36)</f>
        <v>5046600</v>
      </c>
      <c r="C37" s="28">
        <f t="shared" si="8"/>
        <v>656058</v>
      </c>
      <c r="D37" s="29">
        <f t="shared" si="8"/>
        <v>3765500</v>
      </c>
      <c r="E37" s="30">
        <f t="shared" si="8"/>
        <v>1024500</v>
      </c>
      <c r="F37" s="28">
        <f t="shared" si="8"/>
        <v>133185</v>
      </c>
      <c r="G37" s="31">
        <f t="shared" si="8"/>
        <v>604000</v>
      </c>
      <c r="H37" s="30">
        <f t="shared" si="8"/>
        <v>126300</v>
      </c>
      <c r="I37" s="28">
        <f t="shared" si="8"/>
        <v>16419</v>
      </c>
      <c r="J37" s="31">
        <f t="shared" si="8"/>
        <v>392000</v>
      </c>
      <c r="K37" s="60">
        <f t="shared" si="8"/>
        <v>6197400</v>
      </c>
      <c r="L37" s="32">
        <f t="shared" si="8"/>
        <v>805450</v>
      </c>
      <c r="M37" s="32">
        <f t="shared" si="8"/>
        <v>4761500</v>
      </c>
      <c r="N37" s="32">
        <f>SUM(N5:N36)</f>
        <v>0</v>
      </c>
      <c r="O37" s="33">
        <f>SUM(O5:O36)</f>
        <v>630450</v>
      </c>
    </row>
    <row r="40" spans="1:15" ht="15.75" thickBot="1"/>
    <row r="41" spans="1:15" ht="19.5" thickBot="1">
      <c r="A41" s="2" t="s">
        <v>1</v>
      </c>
      <c r="B41" s="135" t="s">
        <v>133</v>
      </c>
      <c r="C41" s="135"/>
      <c r="D41" s="135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>
      <c r="A45" s="20" t="s">
        <v>49</v>
      </c>
      <c r="B45" s="53">
        <f t="shared" ref="B45:N45" si="11">B6</f>
        <v>229950</v>
      </c>
      <c r="C45" s="58">
        <f t="shared" si="11"/>
        <v>29893.5</v>
      </c>
      <c r="D45" s="54">
        <f t="shared" si="11"/>
        <v>59500</v>
      </c>
      <c r="E45" s="53">
        <f t="shared" si="11"/>
        <v>37850</v>
      </c>
      <c r="F45" s="58">
        <f t="shared" si="11"/>
        <v>4920.5</v>
      </c>
      <c r="G45" s="55">
        <f t="shared" si="11"/>
        <v>0</v>
      </c>
      <c r="H45" s="61">
        <f t="shared" si="11"/>
        <v>3100</v>
      </c>
      <c r="I45" s="58">
        <f t="shared" si="11"/>
        <v>403</v>
      </c>
      <c r="J45" s="54">
        <f t="shared" si="11"/>
        <v>0</v>
      </c>
      <c r="K45" s="59">
        <f t="shared" si="11"/>
        <v>270900</v>
      </c>
      <c r="L45" s="58">
        <f t="shared" si="11"/>
        <v>35200</v>
      </c>
      <c r="M45" s="58">
        <f t="shared" si="11"/>
        <v>59500</v>
      </c>
      <c r="N45" s="58">
        <f t="shared" si="11"/>
        <v>0</v>
      </c>
      <c r="O45" s="55">
        <f>+K45-L45-M45+N45</f>
        <v>176200</v>
      </c>
    </row>
    <row r="46" spans="1:15">
      <c r="A46" s="13" t="s">
        <v>50</v>
      </c>
      <c r="B46" s="14">
        <f t="shared" ref="B46:N46" si="12">B7</f>
        <v>158100</v>
      </c>
      <c r="C46" s="15">
        <f t="shared" si="12"/>
        <v>20553</v>
      </c>
      <c r="D46" s="16">
        <f t="shared" si="12"/>
        <v>131750</v>
      </c>
      <c r="E46" s="14">
        <f t="shared" si="12"/>
        <v>21450</v>
      </c>
      <c r="F46" s="15">
        <f t="shared" si="12"/>
        <v>2788.5</v>
      </c>
      <c r="G46" s="17">
        <f t="shared" si="12"/>
        <v>0</v>
      </c>
      <c r="H46" s="18">
        <f t="shared" si="12"/>
        <v>1500</v>
      </c>
      <c r="I46" s="15">
        <f t="shared" si="12"/>
        <v>195</v>
      </c>
      <c r="J46" s="16">
        <f t="shared" si="12"/>
        <v>0</v>
      </c>
      <c r="K46" s="19">
        <f t="shared" si="12"/>
        <v>181050</v>
      </c>
      <c r="L46" s="15">
        <f t="shared" si="12"/>
        <v>23550</v>
      </c>
      <c r="M46" s="15">
        <f t="shared" si="12"/>
        <v>131750</v>
      </c>
      <c r="N46" s="15">
        <f t="shared" si="12"/>
        <v>0</v>
      </c>
      <c r="O46" s="17">
        <f t="shared" ref="O46:O59" si="13">+K46-L46-M46+N46</f>
        <v>25750</v>
      </c>
    </row>
    <row r="47" spans="1:15">
      <c r="A47" s="20" t="s">
        <v>51</v>
      </c>
      <c r="B47" s="14">
        <f t="shared" ref="B47:N47" si="14">B8</f>
        <v>200550</v>
      </c>
      <c r="C47" s="15">
        <f t="shared" si="14"/>
        <v>26071.5</v>
      </c>
      <c r="D47" s="16">
        <f t="shared" si="14"/>
        <v>297500</v>
      </c>
      <c r="E47" s="14">
        <f t="shared" si="14"/>
        <v>56000</v>
      </c>
      <c r="F47" s="15">
        <f t="shared" si="14"/>
        <v>7280</v>
      </c>
      <c r="G47" s="17">
        <f t="shared" si="14"/>
        <v>32000</v>
      </c>
      <c r="H47" s="18">
        <f t="shared" si="14"/>
        <v>14550</v>
      </c>
      <c r="I47" s="15">
        <f t="shared" si="14"/>
        <v>1891.5</v>
      </c>
      <c r="J47" s="16">
        <f t="shared" si="14"/>
        <v>0</v>
      </c>
      <c r="K47" s="19">
        <f t="shared" si="14"/>
        <v>271100</v>
      </c>
      <c r="L47" s="15">
        <f t="shared" si="14"/>
        <v>35250</v>
      </c>
      <c r="M47" s="15">
        <f t="shared" si="14"/>
        <v>329500</v>
      </c>
      <c r="N47" s="15">
        <f t="shared" si="14"/>
        <v>0</v>
      </c>
      <c r="O47" s="17">
        <f t="shared" si="13"/>
        <v>-93650</v>
      </c>
    </row>
    <row r="48" spans="1:15">
      <c r="A48" s="13" t="s">
        <v>52</v>
      </c>
      <c r="B48" s="14">
        <f t="shared" ref="B48:N48" si="15">B9</f>
        <v>126600</v>
      </c>
      <c r="C48" s="15">
        <f t="shared" si="15"/>
        <v>16458</v>
      </c>
      <c r="D48" s="16">
        <f t="shared" si="15"/>
        <v>80750</v>
      </c>
      <c r="E48" s="14">
        <f t="shared" si="15"/>
        <v>57050</v>
      </c>
      <c r="F48" s="15">
        <f t="shared" si="15"/>
        <v>7416.5</v>
      </c>
      <c r="G48" s="17">
        <f t="shared" si="15"/>
        <v>40000</v>
      </c>
      <c r="H48" s="18">
        <f t="shared" si="15"/>
        <v>7900</v>
      </c>
      <c r="I48" s="15">
        <f t="shared" si="15"/>
        <v>1027</v>
      </c>
      <c r="J48" s="16">
        <f t="shared" si="15"/>
        <v>0</v>
      </c>
      <c r="K48" s="19">
        <f t="shared" si="15"/>
        <v>191550</v>
      </c>
      <c r="L48" s="15">
        <f t="shared" si="15"/>
        <v>24900</v>
      </c>
      <c r="M48" s="15">
        <f t="shared" si="15"/>
        <v>120750</v>
      </c>
      <c r="N48" s="15">
        <f t="shared" si="15"/>
        <v>0</v>
      </c>
      <c r="O48" s="17">
        <f t="shared" si="13"/>
        <v>45900</v>
      </c>
    </row>
    <row r="49" spans="1:15">
      <c r="A49" s="20" t="s">
        <v>53</v>
      </c>
      <c r="B49" s="14">
        <f t="shared" ref="B49:N49" si="16">B10</f>
        <v>200300</v>
      </c>
      <c r="C49" s="15">
        <f t="shared" si="16"/>
        <v>26039</v>
      </c>
      <c r="D49" s="16">
        <f t="shared" si="16"/>
        <v>25500</v>
      </c>
      <c r="E49" s="14">
        <f t="shared" si="16"/>
        <v>18600</v>
      </c>
      <c r="F49" s="15">
        <f t="shared" si="16"/>
        <v>2418</v>
      </c>
      <c r="G49" s="17">
        <f t="shared" si="16"/>
        <v>0</v>
      </c>
      <c r="H49" s="18">
        <f t="shared" si="16"/>
        <v>5900</v>
      </c>
      <c r="I49" s="15">
        <f t="shared" si="16"/>
        <v>767</v>
      </c>
      <c r="J49" s="16">
        <f t="shared" si="16"/>
        <v>0</v>
      </c>
      <c r="K49" s="19">
        <f t="shared" si="16"/>
        <v>224800</v>
      </c>
      <c r="L49" s="15">
        <f t="shared" si="16"/>
        <v>29200</v>
      </c>
      <c r="M49" s="15">
        <f t="shared" si="16"/>
        <v>25500</v>
      </c>
      <c r="N49" s="15">
        <f t="shared" si="16"/>
        <v>0</v>
      </c>
      <c r="O49" s="17">
        <f t="shared" si="13"/>
        <v>170100</v>
      </c>
    </row>
    <row r="50" spans="1:15">
      <c r="A50" s="13" t="s">
        <v>20</v>
      </c>
      <c r="B50" s="14">
        <f t="shared" ref="B50:N50" si="17">B11</f>
        <v>163250</v>
      </c>
      <c r="C50" s="15">
        <f t="shared" si="17"/>
        <v>21222.5</v>
      </c>
      <c r="D50" s="16">
        <f t="shared" si="17"/>
        <v>63750</v>
      </c>
      <c r="E50" s="14">
        <f t="shared" si="17"/>
        <v>11200</v>
      </c>
      <c r="F50" s="15">
        <f t="shared" si="17"/>
        <v>1456</v>
      </c>
      <c r="G50" s="17">
        <f t="shared" si="17"/>
        <v>0</v>
      </c>
      <c r="H50" s="18">
        <f t="shared" si="17"/>
        <v>1000</v>
      </c>
      <c r="I50" s="15">
        <f t="shared" si="17"/>
        <v>130</v>
      </c>
      <c r="J50" s="16">
        <f t="shared" si="17"/>
        <v>0</v>
      </c>
      <c r="K50" s="19">
        <f t="shared" si="17"/>
        <v>175450</v>
      </c>
      <c r="L50" s="15">
        <f t="shared" si="17"/>
        <v>22800</v>
      </c>
      <c r="M50" s="15">
        <f t="shared" si="17"/>
        <v>63750</v>
      </c>
      <c r="N50" s="15">
        <f t="shared" si="17"/>
        <v>0</v>
      </c>
      <c r="O50" s="17">
        <f t="shared" si="13"/>
        <v>88900</v>
      </c>
    </row>
    <row r="51" spans="1:15">
      <c r="A51" s="20" t="s">
        <v>21</v>
      </c>
      <c r="B51" s="14">
        <f t="shared" ref="B51:N51" si="18">B12</f>
        <v>126650</v>
      </c>
      <c r="C51" s="15">
        <f t="shared" si="18"/>
        <v>16464.5</v>
      </c>
      <c r="D51" s="16">
        <f t="shared" si="18"/>
        <v>21250</v>
      </c>
      <c r="E51" s="14">
        <f t="shared" si="18"/>
        <v>21300</v>
      </c>
      <c r="F51" s="15">
        <f t="shared" si="18"/>
        <v>2769</v>
      </c>
      <c r="G51" s="17">
        <f t="shared" si="18"/>
        <v>0</v>
      </c>
      <c r="H51" s="18">
        <f t="shared" si="18"/>
        <v>3000</v>
      </c>
      <c r="I51" s="15">
        <f t="shared" si="18"/>
        <v>390</v>
      </c>
      <c r="J51" s="16">
        <f t="shared" si="18"/>
        <v>0</v>
      </c>
      <c r="K51" s="19">
        <f t="shared" si="18"/>
        <v>150950</v>
      </c>
      <c r="L51" s="15">
        <f t="shared" si="18"/>
        <v>19600</v>
      </c>
      <c r="M51" s="15">
        <f t="shared" si="18"/>
        <v>21250</v>
      </c>
      <c r="N51" s="15">
        <f t="shared" si="18"/>
        <v>0</v>
      </c>
      <c r="O51" s="17">
        <f t="shared" si="13"/>
        <v>110100</v>
      </c>
    </row>
    <row r="52" spans="1:15">
      <c r="A52" s="13" t="s">
        <v>22</v>
      </c>
      <c r="B52" s="14">
        <f t="shared" ref="B52:N52" si="19">B13</f>
        <v>136350</v>
      </c>
      <c r="C52" s="15">
        <f t="shared" si="19"/>
        <v>17725.5</v>
      </c>
      <c r="D52" s="16">
        <f t="shared" si="19"/>
        <v>170000</v>
      </c>
      <c r="E52" s="14">
        <f t="shared" si="19"/>
        <v>34400</v>
      </c>
      <c r="F52" s="15">
        <f t="shared" si="19"/>
        <v>4472</v>
      </c>
      <c r="G52" s="17">
        <f t="shared" si="19"/>
        <v>80000</v>
      </c>
      <c r="H52" s="18">
        <f t="shared" si="19"/>
        <v>7500</v>
      </c>
      <c r="I52" s="15">
        <f t="shared" si="19"/>
        <v>975</v>
      </c>
      <c r="J52" s="16">
        <f t="shared" si="19"/>
        <v>0</v>
      </c>
      <c r="K52" s="19">
        <f t="shared" si="19"/>
        <v>178250</v>
      </c>
      <c r="L52" s="15">
        <f t="shared" si="19"/>
        <v>23150</v>
      </c>
      <c r="M52" s="15">
        <f t="shared" si="19"/>
        <v>250000</v>
      </c>
      <c r="N52" s="15">
        <f t="shared" si="19"/>
        <v>0</v>
      </c>
      <c r="O52" s="17">
        <f t="shared" si="13"/>
        <v>-94900</v>
      </c>
    </row>
    <row r="53" spans="1:15">
      <c r="A53" s="20" t="s">
        <v>23</v>
      </c>
      <c r="B53" s="14">
        <f t="shared" ref="B53:N53" si="20">B14</f>
        <v>143300</v>
      </c>
      <c r="C53" s="15">
        <f t="shared" si="20"/>
        <v>18629</v>
      </c>
      <c r="D53" s="16">
        <f t="shared" si="20"/>
        <v>93500</v>
      </c>
      <c r="E53" s="14">
        <f t="shared" si="20"/>
        <v>8050</v>
      </c>
      <c r="F53" s="15">
        <f t="shared" si="20"/>
        <v>1046.5</v>
      </c>
      <c r="G53" s="17">
        <f t="shared" si="20"/>
        <v>0</v>
      </c>
      <c r="H53" s="18">
        <f t="shared" si="20"/>
        <v>1900</v>
      </c>
      <c r="I53" s="15">
        <f t="shared" si="20"/>
        <v>247</v>
      </c>
      <c r="J53" s="16">
        <f t="shared" si="20"/>
        <v>0</v>
      </c>
      <c r="K53" s="19">
        <f t="shared" si="20"/>
        <v>153250</v>
      </c>
      <c r="L53" s="15">
        <f t="shared" si="20"/>
        <v>19900</v>
      </c>
      <c r="M53" s="15">
        <f t="shared" si="20"/>
        <v>93500</v>
      </c>
      <c r="N53" s="15">
        <f t="shared" si="20"/>
        <v>0</v>
      </c>
      <c r="O53" s="17">
        <f t="shared" si="13"/>
        <v>39850</v>
      </c>
    </row>
    <row r="54" spans="1:15">
      <c r="A54" s="13" t="s">
        <v>24</v>
      </c>
      <c r="B54" s="14">
        <f t="shared" ref="B54:N54" si="21">B15</f>
        <v>130450</v>
      </c>
      <c r="C54" s="15">
        <f t="shared" si="21"/>
        <v>16958.5</v>
      </c>
      <c r="D54" s="16">
        <f t="shared" si="21"/>
        <v>21250</v>
      </c>
      <c r="E54" s="14">
        <f t="shared" si="21"/>
        <v>38800</v>
      </c>
      <c r="F54" s="15">
        <f t="shared" si="21"/>
        <v>5044</v>
      </c>
      <c r="G54" s="17">
        <f t="shared" si="21"/>
        <v>120000</v>
      </c>
      <c r="H54" s="18">
        <f t="shared" si="21"/>
        <v>0</v>
      </c>
      <c r="I54" s="15">
        <f t="shared" si="21"/>
        <v>0</v>
      </c>
      <c r="J54" s="16">
        <f t="shared" si="21"/>
        <v>0</v>
      </c>
      <c r="K54" s="19">
        <f t="shared" si="21"/>
        <v>169250</v>
      </c>
      <c r="L54" s="15">
        <f t="shared" si="21"/>
        <v>22000</v>
      </c>
      <c r="M54" s="15">
        <f t="shared" si="21"/>
        <v>141250</v>
      </c>
      <c r="N54" s="15">
        <f t="shared" si="21"/>
        <v>0</v>
      </c>
      <c r="O54" s="17">
        <f t="shared" si="13"/>
        <v>6000</v>
      </c>
    </row>
    <row r="55" spans="1:15">
      <c r="A55" s="20" t="s">
        <v>25</v>
      </c>
      <c r="B55" s="14">
        <f t="shared" ref="B55:N55" si="22">B16</f>
        <v>163700</v>
      </c>
      <c r="C55" s="15">
        <f t="shared" si="22"/>
        <v>21281</v>
      </c>
      <c r="D55" s="16">
        <f t="shared" si="22"/>
        <v>72250</v>
      </c>
      <c r="E55" s="14">
        <f t="shared" si="22"/>
        <v>28450</v>
      </c>
      <c r="F55" s="15">
        <f t="shared" si="22"/>
        <v>3698.5</v>
      </c>
      <c r="G55" s="17">
        <f t="shared" si="22"/>
        <v>0</v>
      </c>
      <c r="H55" s="18">
        <f t="shared" si="22"/>
        <v>2000</v>
      </c>
      <c r="I55" s="15">
        <f t="shared" si="22"/>
        <v>260</v>
      </c>
      <c r="J55" s="16">
        <f t="shared" si="22"/>
        <v>0</v>
      </c>
      <c r="K55" s="19">
        <f t="shared" si="22"/>
        <v>194150</v>
      </c>
      <c r="L55" s="15">
        <f t="shared" si="22"/>
        <v>25250</v>
      </c>
      <c r="M55" s="15">
        <f t="shared" si="22"/>
        <v>72250</v>
      </c>
      <c r="N55" s="15">
        <f t="shared" si="22"/>
        <v>0</v>
      </c>
      <c r="O55" s="17">
        <f t="shared" si="13"/>
        <v>96650</v>
      </c>
    </row>
    <row r="56" spans="1:15">
      <c r="A56" s="13" t="s">
        <v>26</v>
      </c>
      <c r="B56" s="14">
        <f t="shared" ref="B56:N56" si="23">B17</f>
        <v>156600</v>
      </c>
      <c r="C56" s="15">
        <f t="shared" si="23"/>
        <v>20358</v>
      </c>
      <c r="D56" s="16">
        <f t="shared" si="23"/>
        <v>114750</v>
      </c>
      <c r="E56" s="14">
        <f t="shared" si="23"/>
        <v>26200</v>
      </c>
      <c r="F56" s="15">
        <f t="shared" si="23"/>
        <v>3406</v>
      </c>
      <c r="G56" s="17">
        <f t="shared" si="23"/>
        <v>0</v>
      </c>
      <c r="H56" s="18">
        <f t="shared" si="23"/>
        <v>0</v>
      </c>
      <c r="I56" s="15">
        <f t="shared" si="23"/>
        <v>0</v>
      </c>
      <c r="J56" s="16">
        <f t="shared" si="23"/>
        <v>0</v>
      </c>
      <c r="K56" s="19">
        <f t="shared" si="23"/>
        <v>182800</v>
      </c>
      <c r="L56" s="15">
        <f t="shared" si="23"/>
        <v>23750</v>
      </c>
      <c r="M56" s="15">
        <f t="shared" si="23"/>
        <v>114750</v>
      </c>
      <c r="N56" s="15">
        <f t="shared" si="23"/>
        <v>0</v>
      </c>
      <c r="O56" s="17">
        <f t="shared" si="13"/>
        <v>44300</v>
      </c>
    </row>
    <row r="57" spans="1:15">
      <c r="A57" s="20" t="s">
        <v>27</v>
      </c>
      <c r="B57" s="14">
        <f t="shared" ref="B57:N57" si="24">B18</f>
        <v>148400</v>
      </c>
      <c r="C57" s="15">
        <f t="shared" si="24"/>
        <v>19292</v>
      </c>
      <c r="D57" s="16">
        <f t="shared" si="24"/>
        <v>59500</v>
      </c>
      <c r="E57" s="14">
        <f t="shared" si="24"/>
        <v>15450</v>
      </c>
      <c r="F57" s="15">
        <f t="shared" si="24"/>
        <v>2008.5</v>
      </c>
      <c r="G57" s="17">
        <f t="shared" si="24"/>
        <v>0</v>
      </c>
      <c r="H57" s="18">
        <f t="shared" si="24"/>
        <v>1500</v>
      </c>
      <c r="I57" s="15">
        <f t="shared" si="24"/>
        <v>195</v>
      </c>
      <c r="J57" s="16">
        <f t="shared" si="24"/>
        <v>0</v>
      </c>
      <c r="K57" s="19">
        <f t="shared" si="24"/>
        <v>165350</v>
      </c>
      <c r="L57" s="15">
        <f t="shared" si="24"/>
        <v>21500</v>
      </c>
      <c r="M57" s="15">
        <f t="shared" si="24"/>
        <v>59500</v>
      </c>
      <c r="N57" s="15">
        <f t="shared" si="24"/>
        <v>0</v>
      </c>
      <c r="O57" s="17">
        <f t="shared" si="13"/>
        <v>84350</v>
      </c>
    </row>
    <row r="58" spans="1:15">
      <c r="A58" s="20" t="s">
        <v>28</v>
      </c>
      <c r="B58" s="14">
        <f t="shared" ref="B58:N58" si="25">B19</f>
        <v>147100</v>
      </c>
      <c r="C58" s="15">
        <f t="shared" si="25"/>
        <v>19123</v>
      </c>
      <c r="D58" s="16">
        <f t="shared" si="25"/>
        <v>170000</v>
      </c>
      <c r="E58" s="14">
        <f t="shared" si="25"/>
        <v>33850</v>
      </c>
      <c r="F58" s="15">
        <f t="shared" si="25"/>
        <v>4400.5</v>
      </c>
      <c r="G58" s="17">
        <f t="shared" si="25"/>
        <v>0</v>
      </c>
      <c r="H58" s="18">
        <f t="shared" si="25"/>
        <v>5550</v>
      </c>
      <c r="I58" s="15">
        <f t="shared" si="25"/>
        <v>721.5</v>
      </c>
      <c r="J58" s="16">
        <f t="shared" si="25"/>
        <v>8000</v>
      </c>
      <c r="K58" s="19">
        <f t="shared" si="25"/>
        <v>186500</v>
      </c>
      <c r="L58" s="15">
        <f t="shared" si="25"/>
        <v>24250</v>
      </c>
      <c r="M58" s="15">
        <f t="shared" si="25"/>
        <v>178000</v>
      </c>
      <c r="N58" s="15">
        <f t="shared" si="25"/>
        <v>0</v>
      </c>
      <c r="O58" s="17">
        <f t="shared" si="13"/>
        <v>-15750</v>
      </c>
    </row>
    <row r="59" spans="1:15">
      <c r="A59" s="13" t="s">
        <v>29</v>
      </c>
      <c r="B59" s="14">
        <f t="shared" ref="B59:N59" si="26">B20</f>
        <v>160250</v>
      </c>
      <c r="C59" s="15">
        <f t="shared" si="26"/>
        <v>20832.5</v>
      </c>
      <c r="D59" s="16">
        <f t="shared" si="26"/>
        <v>38250</v>
      </c>
      <c r="E59" s="14">
        <f t="shared" si="26"/>
        <v>21350</v>
      </c>
      <c r="F59" s="15">
        <f t="shared" si="26"/>
        <v>2775.5</v>
      </c>
      <c r="G59" s="17">
        <f t="shared" si="26"/>
        <v>0</v>
      </c>
      <c r="H59" s="18">
        <f t="shared" si="26"/>
        <v>6000</v>
      </c>
      <c r="I59" s="15">
        <f t="shared" si="26"/>
        <v>780</v>
      </c>
      <c r="J59" s="16">
        <f t="shared" si="26"/>
        <v>16000</v>
      </c>
      <c r="K59" s="19">
        <f t="shared" si="26"/>
        <v>187600</v>
      </c>
      <c r="L59" s="15">
        <f t="shared" si="26"/>
        <v>24400</v>
      </c>
      <c r="M59" s="15">
        <f t="shared" si="26"/>
        <v>54250</v>
      </c>
      <c r="N59" s="15">
        <f t="shared" si="26"/>
        <v>0</v>
      </c>
      <c r="O59" s="17">
        <f t="shared" si="13"/>
        <v>108950</v>
      </c>
    </row>
    <row r="60" spans="1:15">
      <c r="A60" s="20" t="s">
        <v>30</v>
      </c>
      <c r="B60" s="14">
        <f t="shared" ref="B60:N60" si="27">B21</f>
        <v>162800</v>
      </c>
      <c r="C60" s="81">
        <f t="shared" si="27"/>
        <v>21164</v>
      </c>
      <c r="D60" s="82">
        <f t="shared" si="27"/>
        <v>229500</v>
      </c>
      <c r="E60" s="14">
        <f t="shared" si="27"/>
        <v>14300</v>
      </c>
      <c r="F60" s="81">
        <f t="shared" si="27"/>
        <v>1859</v>
      </c>
      <c r="G60" s="85">
        <f t="shared" si="27"/>
        <v>0</v>
      </c>
      <c r="H60" s="19">
        <f t="shared" si="27"/>
        <v>0</v>
      </c>
      <c r="I60" s="15">
        <f t="shared" si="27"/>
        <v>0</v>
      </c>
      <c r="J60" s="17">
        <f t="shared" si="27"/>
        <v>0</v>
      </c>
      <c r="K60" s="19">
        <f t="shared" si="27"/>
        <v>177100</v>
      </c>
      <c r="L60" s="15">
        <f t="shared" si="27"/>
        <v>23000</v>
      </c>
      <c r="M60" s="15">
        <f t="shared" si="27"/>
        <v>229500</v>
      </c>
      <c r="N60" s="15">
        <f t="shared" si="27"/>
        <v>0</v>
      </c>
      <c r="O60" s="17">
        <f t="shared" ref="O60:O61" si="28">+O20</f>
        <v>108950</v>
      </c>
    </row>
    <row r="61" spans="1:15">
      <c r="A61" s="13" t="s">
        <v>31</v>
      </c>
      <c r="B61" s="14">
        <f t="shared" ref="B61:N61" si="29">B22</f>
        <v>155400</v>
      </c>
      <c r="C61" s="81">
        <f t="shared" si="29"/>
        <v>20202</v>
      </c>
      <c r="D61" s="82">
        <f t="shared" si="29"/>
        <v>21250</v>
      </c>
      <c r="E61" s="14">
        <f t="shared" si="29"/>
        <v>30650</v>
      </c>
      <c r="F61" s="81">
        <f t="shared" si="29"/>
        <v>3984.5</v>
      </c>
      <c r="G61" s="85">
        <f t="shared" si="29"/>
        <v>0</v>
      </c>
      <c r="H61" s="19">
        <f t="shared" si="29"/>
        <v>1700</v>
      </c>
      <c r="I61" s="15">
        <f t="shared" si="29"/>
        <v>221</v>
      </c>
      <c r="J61" s="17">
        <f t="shared" si="29"/>
        <v>0</v>
      </c>
      <c r="K61" s="19">
        <f t="shared" si="29"/>
        <v>187750</v>
      </c>
      <c r="L61" s="15">
        <f t="shared" si="29"/>
        <v>24400</v>
      </c>
      <c r="M61" s="15">
        <f t="shared" si="29"/>
        <v>21250</v>
      </c>
      <c r="N61" s="15">
        <f t="shared" si="29"/>
        <v>0</v>
      </c>
      <c r="O61" s="17">
        <f t="shared" si="28"/>
        <v>-75400</v>
      </c>
    </row>
    <row r="62" spans="1:15">
      <c r="A62" s="20" t="s">
        <v>32</v>
      </c>
      <c r="B62" s="14">
        <f t="shared" ref="B62:N62" si="30">B23</f>
        <v>145700</v>
      </c>
      <c r="C62" s="81">
        <f t="shared" si="30"/>
        <v>18941</v>
      </c>
      <c r="D62" s="82">
        <f t="shared" si="30"/>
        <v>212500</v>
      </c>
      <c r="E62" s="14">
        <f t="shared" si="30"/>
        <v>42450</v>
      </c>
      <c r="F62" s="81">
        <f t="shared" si="30"/>
        <v>5518.5</v>
      </c>
      <c r="G62" s="85">
        <f t="shared" si="30"/>
        <v>0</v>
      </c>
      <c r="H62" s="19">
        <f t="shared" si="30"/>
        <v>6100</v>
      </c>
      <c r="I62" s="15">
        <f t="shared" si="30"/>
        <v>793</v>
      </c>
      <c r="J62" s="17">
        <f t="shared" si="30"/>
        <v>0</v>
      </c>
      <c r="K62" s="19">
        <f t="shared" si="30"/>
        <v>194250</v>
      </c>
      <c r="L62" s="15">
        <f t="shared" si="30"/>
        <v>25250</v>
      </c>
      <c r="M62" s="15">
        <f t="shared" si="30"/>
        <v>212500</v>
      </c>
      <c r="N62" s="15">
        <f t="shared" si="30"/>
        <v>0</v>
      </c>
      <c r="O62" s="17">
        <f t="shared" ref="O62:O75" si="31">+O22</f>
        <v>142100</v>
      </c>
    </row>
    <row r="63" spans="1:15">
      <c r="A63" s="13" t="s">
        <v>33</v>
      </c>
      <c r="B63" s="14">
        <f t="shared" ref="B63:N63" si="32">B24</f>
        <v>155050</v>
      </c>
      <c r="C63" s="81">
        <f t="shared" si="32"/>
        <v>20156.5</v>
      </c>
      <c r="D63" s="82">
        <f t="shared" si="32"/>
        <v>42500</v>
      </c>
      <c r="E63" s="14">
        <f t="shared" si="32"/>
        <v>41900</v>
      </c>
      <c r="F63" s="81">
        <f t="shared" si="32"/>
        <v>5447</v>
      </c>
      <c r="G63" s="85">
        <f t="shared" si="32"/>
        <v>40000</v>
      </c>
      <c r="H63" s="19">
        <f t="shared" si="32"/>
        <v>1000</v>
      </c>
      <c r="I63" s="15">
        <f t="shared" si="32"/>
        <v>130</v>
      </c>
      <c r="J63" s="17">
        <f t="shared" si="32"/>
        <v>40000</v>
      </c>
      <c r="K63" s="19">
        <f t="shared" si="32"/>
        <v>197950</v>
      </c>
      <c r="L63" s="15">
        <f t="shared" si="32"/>
        <v>25750</v>
      </c>
      <c r="M63" s="15">
        <f t="shared" si="32"/>
        <v>122500</v>
      </c>
      <c r="N63" s="15">
        <f t="shared" si="32"/>
        <v>0</v>
      </c>
      <c r="O63" s="17">
        <f t="shared" si="31"/>
        <v>-43500</v>
      </c>
    </row>
    <row r="64" spans="1:15">
      <c r="A64" s="20" t="s">
        <v>34</v>
      </c>
      <c r="B64" s="14">
        <f t="shared" ref="B64:N64" si="33">B25</f>
        <v>140900</v>
      </c>
      <c r="C64" s="81">
        <f t="shared" si="33"/>
        <v>18317</v>
      </c>
      <c r="D64" s="82">
        <f t="shared" si="33"/>
        <v>114750</v>
      </c>
      <c r="E64" s="14">
        <f t="shared" si="33"/>
        <v>40900</v>
      </c>
      <c r="F64" s="81">
        <f t="shared" si="33"/>
        <v>5317</v>
      </c>
      <c r="G64" s="85">
        <f t="shared" si="33"/>
        <v>0</v>
      </c>
      <c r="H64" s="19">
        <f t="shared" si="33"/>
        <v>0</v>
      </c>
      <c r="I64" s="15">
        <f t="shared" si="33"/>
        <v>0</v>
      </c>
      <c r="J64" s="17">
        <f t="shared" si="33"/>
        <v>0</v>
      </c>
      <c r="K64" s="19">
        <f t="shared" si="33"/>
        <v>181800</v>
      </c>
      <c r="L64" s="15">
        <f t="shared" si="33"/>
        <v>23650</v>
      </c>
      <c r="M64" s="15">
        <f t="shared" si="33"/>
        <v>114750</v>
      </c>
      <c r="N64" s="15">
        <f t="shared" si="33"/>
        <v>0</v>
      </c>
      <c r="O64" s="17">
        <f t="shared" si="31"/>
        <v>49700</v>
      </c>
    </row>
    <row r="65" spans="1:15">
      <c r="A65" s="13" t="s">
        <v>35</v>
      </c>
      <c r="B65" s="14">
        <f t="shared" ref="B65:N65" si="34">B26</f>
        <v>205000</v>
      </c>
      <c r="C65" s="81">
        <f t="shared" si="34"/>
        <v>26650</v>
      </c>
      <c r="D65" s="82">
        <f t="shared" si="34"/>
        <v>229500</v>
      </c>
      <c r="E65" s="14">
        <f t="shared" si="34"/>
        <v>55250</v>
      </c>
      <c r="F65" s="81">
        <f t="shared" si="34"/>
        <v>7182.5</v>
      </c>
      <c r="G65" s="85">
        <f t="shared" si="34"/>
        <v>52000</v>
      </c>
      <c r="H65" s="19">
        <f t="shared" si="34"/>
        <v>3400</v>
      </c>
      <c r="I65" s="15">
        <f t="shared" si="34"/>
        <v>442</v>
      </c>
      <c r="J65" s="17">
        <f t="shared" si="34"/>
        <v>0</v>
      </c>
      <c r="K65" s="19">
        <f t="shared" si="34"/>
        <v>263650</v>
      </c>
      <c r="L65" s="15">
        <f t="shared" si="34"/>
        <v>34250</v>
      </c>
      <c r="M65" s="15">
        <f t="shared" si="34"/>
        <v>281500</v>
      </c>
      <c r="N65" s="15">
        <f t="shared" si="34"/>
        <v>0</v>
      </c>
      <c r="O65" s="17">
        <f t="shared" si="31"/>
        <v>43400</v>
      </c>
    </row>
    <row r="66" spans="1:15">
      <c r="A66" s="20" t="s">
        <v>36</v>
      </c>
      <c r="B66" s="14">
        <f t="shared" ref="B66:N66" si="35">B27</f>
        <v>159250</v>
      </c>
      <c r="C66" s="81">
        <f t="shared" si="35"/>
        <v>20702.5</v>
      </c>
      <c r="D66" s="82">
        <f t="shared" si="35"/>
        <v>259250</v>
      </c>
      <c r="E66" s="14">
        <f t="shared" si="35"/>
        <v>32900</v>
      </c>
      <c r="F66" s="81">
        <f t="shared" si="35"/>
        <v>4277</v>
      </c>
      <c r="G66" s="85">
        <f t="shared" si="35"/>
        <v>0</v>
      </c>
      <c r="H66" s="19">
        <f t="shared" si="35"/>
        <v>200</v>
      </c>
      <c r="I66" s="15">
        <f t="shared" si="35"/>
        <v>26</v>
      </c>
      <c r="J66" s="17">
        <f t="shared" si="35"/>
        <v>0</v>
      </c>
      <c r="K66" s="19">
        <f t="shared" si="35"/>
        <v>192350</v>
      </c>
      <c r="L66" s="15">
        <f t="shared" si="35"/>
        <v>25000</v>
      </c>
      <c r="M66" s="15">
        <f t="shared" si="35"/>
        <v>259250</v>
      </c>
      <c r="N66" s="15">
        <f t="shared" si="35"/>
        <v>0</v>
      </c>
      <c r="O66" s="17">
        <f t="shared" si="31"/>
        <v>-52100</v>
      </c>
    </row>
    <row r="67" spans="1:15">
      <c r="A67" s="13" t="s">
        <v>37</v>
      </c>
      <c r="B67" s="14">
        <f t="shared" ref="B67:N67" si="36">B28</f>
        <v>183550</v>
      </c>
      <c r="C67" s="81">
        <f t="shared" si="36"/>
        <v>23861.5</v>
      </c>
      <c r="D67" s="82">
        <f t="shared" si="36"/>
        <v>127500</v>
      </c>
      <c r="E67" s="14">
        <f t="shared" si="36"/>
        <v>28050</v>
      </c>
      <c r="F67" s="81">
        <f t="shared" si="36"/>
        <v>3646.5</v>
      </c>
      <c r="G67" s="85">
        <f t="shared" si="36"/>
        <v>64000</v>
      </c>
      <c r="H67" s="19">
        <f t="shared" si="36"/>
        <v>0</v>
      </c>
      <c r="I67" s="15">
        <f t="shared" si="36"/>
        <v>0</v>
      </c>
      <c r="J67" s="17">
        <f t="shared" si="36"/>
        <v>0</v>
      </c>
      <c r="K67" s="19">
        <f t="shared" si="36"/>
        <v>211600</v>
      </c>
      <c r="L67" s="15">
        <f t="shared" si="36"/>
        <v>27500</v>
      </c>
      <c r="M67" s="15">
        <f t="shared" si="36"/>
        <v>191500</v>
      </c>
      <c r="N67" s="15">
        <f t="shared" si="36"/>
        <v>0</v>
      </c>
      <c r="O67" s="17">
        <f t="shared" si="31"/>
        <v>-91900</v>
      </c>
    </row>
    <row r="68" spans="1:15">
      <c r="A68" s="20" t="s">
        <v>38</v>
      </c>
      <c r="B68" s="14">
        <f t="shared" ref="B68:N68" si="37">B29</f>
        <v>142850</v>
      </c>
      <c r="C68" s="81">
        <f t="shared" si="37"/>
        <v>18570.5</v>
      </c>
      <c r="D68" s="82">
        <f t="shared" si="37"/>
        <v>42500</v>
      </c>
      <c r="E68" s="14">
        <f t="shared" si="37"/>
        <v>32400</v>
      </c>
      <c r="F68" s="81">
        <f t="shared" si="37"/>
        <v>4212</v>
      </c>
      <c r="G68" s="85">
        <f t="shared" si="37"/>
        <v>40000</v>
      </c>
      <c r="H68" s="19">
        <f t="shared" si="37"/>
        <v>200</v>
      </c>
      <c r="I68" s="15">
        <f t="shared" si="37"/>
        <v>26</v>
      </c>
      <c r="J68" s="17">
        <f t="shared" si="37"/>
        <v>16000</v>
      </c>
      <c r="K68" s="19">
        <f t="shared" si="37"/>
        <v>175450</v>
      </c>
      <c r="L68" s="15">
        <f t="shared" si="37"/>
        <v>22800</v>
      </c>
      <c r="M68" s="15">
        <f t="shared" si="37"/>
        <v>98500</v>
      </c>
      <c r="N68" s="15">
        <f t="shared" si="37"/>
        <v>0</v>
      </c>
      <c r="O68" s="17">
        <f t="shared" si="31"/>
        <v>-7400</v>
      </c>
    </row>
    <row r="69" spans="1:15">
      <c r="A69" s="13" t="s">
        <v>39</v>
      </c>
      <c r="B69" s="14">
        <f t="shared" ref="B69:N69" si="38">B30</f>
        <v>159600</v>
      </c>
      <c r="C69" s="81">
        <f t="shared" si="38"/>
        <v>20748</v>
      </c>
      <c r="D69" s="82">
        <f t="shared" si="38"/>
        <v>352750</v>
      </c>
      <c r="E69" s="14">
        <f t="shared" si="38"/>
        <v>63200</v>
      </c>
      <c r="F69" s="81">
        <f t="shared" si="38"/>
        <v>8216</v>
      </c>
      <c r="G69" s="85">
        <f t="shared" si="38"/>
        <v>0</v>
      </c>
      <c r="H69" s="19">
        <f t="shared" si="38"/>
        <v>19600</v>
      </c>
      <c r="I69" s="15">
        <f t="shared" si="38"/>
        <v>2548</v>
      </c>
      <c r="J69" s="17">
        <f t="shared" si="38"/>
        <v>168000</v>
      </c>
      <c r="K69" s="19">
        <f t="shared" si="38"/>
        <v>242400</v>
      </c>
      <c r="L69" s="15">
        <f t="shared" si="38"/>
        <v>31500</v>
      </c>
      <c r="M69" s="15">
        <f t="shared" si="38"/>
        <v>520750</v>
      </c>
      <c r="N69" s="15">
        <f t="shared" si="38"/>
        <v>0</v>
      </c>
      <c r="O69" s="17">
        <f t="shared" si="31"/>
        <v>54150</v>
      </c>
    </row>
    <row r="70" spans="1:15">
      <c r="A70" s="20" t="s">
        <v>40</v>
      </c>
      <c r="B70" s="14">
        <f t="shared" ref="B70:N70" si="39">B31</f>
        <v>147750</v>
      </c>
      <c r="C70" s="81">
        <f t="shared" si="39"/>
        <v>19207.5</v>
      </c>
      <c r="D70" s="82">
        <f t="shared" si="39"/>
        <v>89250</v>
      </c>
      <c r="E70" s="14">
        <f t="shared" si="39"/>
        <v>40500</v>
      </c>
      <c r="F70" s="81">
        <f t="shared" si="39"/>
        <v>5265</v>
      </c>
      <c r="G70" s="85">
        <f t="shared" si="39"/>
        <v>0</v>
      </c>
      <c r="H70" s="19">
        <f t="shared" si="39"/>
        <v>4800</v>
      </c>
      <c r="I70" s="15">
        <f t="shared" si="39"/>
        <v>624</v>
      </c>
      <c r="J70" s="17">
        <f t="shared" si="39"/>
        <v>16000</v>
      </c>
      <c r="K70" s="19">
        <f t="shared" si="39"/>
        <v>193050</v>
      </c>
      <c r="L70" s="15">
        <f t="shared" si="39"/>
        <v>25100</v>
      </c>
      <c r="M70" s="15">
        <f t="shared" si="39"/>
        <v>105250</v>
      </c>
      <c r="N70" s="15">
        <f t="shared" si="39"/>
        <v>0</v>
      </c>
      <c r="O70" s="17">
        <f t="shared" si="31"/>
        <v>-309850</v>
      </c>
    </row>
    <row r="71" spans="1:15">
      <c r="A71" s="20" t="s">
        <v>41</v>
      </c>
      <c r="B71" s="14">
        <f t="shared" ref="B71:N71" si="40">B32</f>
        <v>194700</v>
      </c>
      <c r="C71" s="81">
        <f t="shared" si="40"/>
        <v>25311</v>
      </c>
      <c r="D71" s="82">
        <f t="shared" si="40"/>
        <v>89250</v>
      </c>
      <c r="E71" s="14">
        <f t="shared" si="40"/>
        <v>47800</v>
      </c>
      <c r="F71" s="81">
        <f t="shared" si="40"/>
        <v>6214</v>
      </c>
      <c r="G71" s="85">
        <f t="shared" si="40"/>
        <v>116000</v>
      </c>
      <c r="H71" s="19">
        <f t="shared" si="40"/>
        <v>9200</v>
      </c>
      <c r="I71" s="15">
        <f t="shared" si="40"/>
        <v>1196</v>
      </c>
      <c r="J71" s="17">
        <f t="shared" si="40"/>
        <v>0</v>
      </c>
      <c r="K71" s="19">
        <f t="shared" si="40"/>
        <v>251700</v>
      </c>
      <c r="L71" s="15">
        <f t="shared" si="40"/>
        <v>32700</v>
      </c>
      <c r="M71" s="15">
        <f t="shared" si="40"/>
        <v>205250</v>
      </c>
      <c r="N71" s="15">
        <f t="shared" si="40"/>
        <v>0</v>
      </c>
      <c r="O71" s="17">
        <f t="shared" si="31"/>
        <v>62700</v>
      </c>
    </row>
    <row r="72" spans="1:15">
      <c r="A72" s="13" t="s">
        <v>42</v>
      </c>
      <c r="B72" s="14">
        <f t="shared" ref="B72:N72" si="41">B33</f>
        <v>165300</v>
      </c>
      <c r="C72" s="81">
        <f t="shared" si="41"/>
        <v>21489</v>
      </c>
      <c r="D72" s="82">
        <f t="shared" si="41"/>
        <v>42500</v>
      </c>
      <c r="E72" s="14">
        <f t="shared" si="41"/>
        <v>28100</v>
      </c>
      <c r="F72" s="81">
        <f t="shared" si="41"/>
        <v>3653</v>
      </c>
      <c r="G72" s="85">
        <f t="shared" si="41"/>
        <v>0</v>
      </c>
      <c r="H72" s="19">
        <f t="shared" si="41"/>
        <v>4400</v>
      </c>
      <c r="I72" s="15">
        <f t="shared" si="41"/>
        <v>572</v>
      </c>
      <c r="J72" s="17">
        <f t="shared" si="41"/>
        <v>36000</v>
      </c>
      <c r="K72" s="19">
        <f t="shared" si="41"/>
        <v>197800</v>
      </c>
      <c r="L72" s="15">
        <f t="shared" si="41"/>
        <v>25700</v>
      </c>
      <c r="M72" s="15">
        <f t="shared" si="41"/>
        <v>78500</v>
      </c>
      <c r="N72" s="15">
        <f t="shared" si="41"/>
        <v>0</v>
      </c>
      <c r="O72" s="17">
        <f t="shared" si="31"/>
        <v>13750</v>
      </c>
    </row>
    <row r="73" spans="1:15">
      <c r="A73" s="20" t="s">
        <v>43</v>
      </c>
      <c r="B73" s="14">
        <f t="shared" ref="B73:N73" si="42">B34</f>
        <v>161600</v>
      </c>
      <c r="C73" s="81">
        <f t="shared" si="42"/>
        <v>21008</v>
      </c>
      <c r="D73" s="82">
        <f t="shared" si="42"/>
        <v>80750</v>
      </c>
      <c r="E73" s="14">
        <f t="shared" si="42"/>
        <v>19050</v>
      </c>
      <c r="F73" s="81">
        <f t="shared" si="42"/>
        <v>2476.5</v>
      </c>
      <c r="G73" s="85">
        <f t="shared" si="42"/>
        <v>0</v>
      </c>
      <c r="H73" s="19">
        <f t="shared" si="42"/>
        <v>3300</v>
      </c>
      <c r="I73" s="15">
        <f t="shared" si="42"/>
        <v>429</v>
      </c>
      <c r="J73" s="17">
        <f t="shared" si="42"/>
        <v>0</v>
      </c>
      <c r="K73" s="19">
        <f t="shared" si="42"/>
        <v>183950</v>
      </c>
      <c r="L73" s="15">
        <f t="shared" si="42"/>
        <v>23900</v>
      </c>
      <c r="M73" s="15">
        <f t="shared" si="42"/>
        <v>80750</v>
      </c>
      <c r="N73" s="15">
        <f t="shared" si="42"/>
        <v>0</v>
      </c>
      <c r="O73" s="17">
        <f t="shared" si="31"/>
        <v>93600</v>
      </c>
    </row>
    <row r="74" spans="1:15">
      <c r="A74" s="13" t="s">
        <v>44</v>
      </c>
      <c r="B74" s="14">
        <f t="shared" ref="B74:N74" si="43">B35</f>
        <v>155700</v>
      </c>
      <c r="C74" s="81">
        <f t="shared" si="43"/>
        <v>20241</v>
      </c>
      <c r="D74" s="82">
        <f t="shared" si="43"/>
        <v>106250</v>
      </c>
      <c r="E74" s="14">
        <f t="shared" si="43"/>
        <v>29100</v>
      </c>
      <c r="F74" s="81">
        <f t="shared" si="43"/>
        <v>3783</v>
      </c>
      <c r="G74" s="85">
        <f t="shared" si="43"/>
        <v>20000</v>
      </c>
      <c r="H74" s="19">
        <f t="shared" si="43"/>
        <v>3000</v>
      </c>
      <c r="I74" s="15">
        <f t="shared" si="43"/>
        <v>390</v>
      </c>
      <c r="J74" s="17">
        <f t="shared" si="43"/>
        <v>0</v>
      </c>
      <c r="K74" s="19">
        <f t="shared" si="43"/>
        <v>187800</v>
      </c>
      <c r="L74" s="15">
        <f t="shared" si="43"/>
        <v>24400</v>
      </c>
      <c r="M74" s="15">
        <f t="shared" si="43"/>
        <v>126250</v>
      </c>
      <c r="N74" s="15">
        <f t="shared" si="43"/>
        <v>0</v>
      </c>
      <c r="O74" s="17">
        <f t="shared" si="31"/>
        <v>79300</v>
      </c>
    </row>
    <row r="75" spans="1:15" ht="15.75" thickBot="1">
      <c r="A75" s="20" t="s">
        <v>45</v>
      </c>
      <c r="B75" s="21">
        <f t="shared" ref="B75:N75" si="44">B36</f>
        <v>219900</v>
      </c>
      <c r="C75" s="83">
        <f t="shared" si="44"/>
        <v>28587</v>
      </c>
      <c r="D75" s="84">
        <f t="shared" si="44"/>
        <v>306000</v>
      </c>
      <c r="E75" s="21">
        <f t="shared" si="44"/>
        <v>47950</v>
      </c>
      <c r="F75" s="83">
        <f t="shared" si="44"/>
        <v>6233.5</v>
      </c>
      <c r="G75" s="86">
        <f t="shared" si="44"/>
        <v>0</v>
      </c>
      <c r="H75" s="26">
        <f t="shared" si="44"/>
        <v>8000</v>
      </c>
      <c r="I75" s="22">
        <f t="shared" si="44"/>
        <v>1040</v>
      </c>
      <c r="J75" s="24">
        <f t="shared" si="44"/>
        <v>92000</v>
      </c>
      <c r="K75" s="26">
        <f t="shared" si="44"/>
        <v>275850</v>
      </c>
      <c r="L75" s="22">
        <f t="shared" si="44"/>
        <v>35850</v>
      </c>
      <c r="M75" s="22">
        <f t="shared" si="44"/>
        <v>398000</v>
      </c>
      <c r="N75" s="22">
        <f t="shared" si="44"/>
        <v>0</v>
      </c>
      <c r="O75" s="24">
        <f t="shared" si="31"/>
        <v>37150</v>
      </c>
    </row>
    <row r="76" spans="1:15" ht="16.5" thickBot="1">
      <c r="A76" s="5" t="s">
        <v>46</v>
      </c>
      <c r="B76" s="27">
        <f t="shared" ref="B76:N76" si="45">SUM(B44:B75)</f>
        <v>5046600</v>
      </c>
      <c r="C76" s="28">
        <f t="shared" si="45"/>
        <v>656058</v>
      </c>
      <c r="D76" s="29">
        <f t="shared" si="45"/>
        <v>3765500</v>
      </c>
      <c r="E76" s="30">
        <f t="shared" si="45"/>
        <v>1024500</v>
      </c>
      <c r="F76" s="28">
        <f t="shared" si="45"/>
        <v>133185</v>
      </c>
      <c r="G76" s="31">
        <f t="shared" si="45"/>
        <v>604000</v>
      </c>
      <c r="H76" s="27">
        <f t="shared" si="45"/>
        <v>126300</v>
      </c>
      <c r="I76" s="28">
        <f t="shared" si="45"/>
        <v>16419</v>
      </c>
      <c r="J76" s="29">
        <f t="shared" si="45"/>
        <v>392000</v>
      </c>
      <c r="K76" s="60">
        <f t="shared" si="45"/>
        <v>6197400</v>
      </c>
      <c r="L76" s="32">
        <f t="shared" si="45"/>
        <v>805450</v>
      </c>
      <c r="M76" s="32">
        <f t="shared" si="45"/>
        <v>4761500</v>
      </c>
      <c r="N76" s="32">
        <f t="shared" si="45"/>
        <v>0</v>
      </c>
      <c r="O76" s="33">
        <f>SUM(O44:O75)</f>
        <v>897400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76"/>
  <sheetViews>
    <sheetView showGridLines="0" zoomScale="80" zoomScaleNormal="80" workbookViewId="0"/>
  </sheetViews>
  <sheetFormatPr baseColWidth="10" defaultColWidth="11.42578125" defaultRowHeight="15"/>
  <cols>
    <col min="1" max="1" width="10.140625" style="1" customWidth="1"/>
    <col min="2" max="3" width="11.42578125" style="1"/>
    <col min="4" max="4" width="11.28515625" style="1" customWidth="1"/>
    <col min="5" max="5" width="10.5703125" style="1" customWidth="1"/>
    <col min="6" max="7" width="10.42578125" style="1" bestFit="1" customWidth="1"/>
    <col min="8" max="8" width="11.5703125" style="1" customWidth="1"/>
    <col min="9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H1" s="136" t="s">
        <v>0</v>
      </c>
      <c r="I1" s="137"/>
      <c r="J1" s="137"/>
      <c r="K1" s="137"/>
      <c r="L1" s="137"/>
      <c r="M1" s="137"/>
      <c r="N1" s="137"/>
      <c r="O1" s="138"/>
    </row>
    <row r="2" spans="1:15" ht="19.5" thickBot="1">
      <c r="A2" s="2" t="s">
        <v>1</v>
      </c>
      <c r="B2" s="135" t="s">
        <v>116</v>
      </c>
      <c r="C2" s="135"/>
      <c r="D2" s="135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88</v>
      </c>
      <c r="O2" s="4">
        <v>0.13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[3]Vendedor3!$J$4</f>
        <v>0</v>
      </c>
      <c r="C6" s="58">
        <f>[3]Vendedor3!$K$4</f>
        <v>0</v>
      </c>
      <c r="D6" s="54">
        <f>[3]Vendedor3!$L$4</f>
        <v>0</v>
      </c>
      <c r="E6" s="53">
        <f>[3]Vendedor3!$J$5</f>
        <v>0</v>
      </c>
      <c r="F6" s="58">
        <f>[3]Vendedor3!$K$5</f>
        <v>0</v>
      </c>
      <c r="G6" s="55">
        <f>[3]Vendedor3!$L$5</f>
        <v>0</v>
      </c>
      <c r="H6" s="61">
        <f>[3]Vendedor3!$J$6</f>
        <v>0</v>
      </c>
      <c r="I6" s="58">
        <f>[3]Vendedor3!$K$6</f>
        <v>0</v>
      </c>
      <c r="J6" s="54">
        <f>[3]Vendedor3!$L$6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>
      <c r="A7" s="13" t="s">
        <v>50</v>
      </c>
      <c r="B7" s="14">
        <f>[4]Vendedor3!$J$4</f>
        <v>0</v>
      </c>
      <c r="C7" s="15">
        <f>[4]Vendedor3!$K$4</f>
        <v>0</v>
      </c>
      <c r="D7" s="16">
        <f>[4]Vendedor3!$L$4</f>
        <v>0</v>
      </c>
      <c r="E7" s="14">
        <f>[4]Vendedor3!$J$5</f>
        <v>0</v>
      </c>
      <c r="F7" s="15">
        <f>[4]Vendedor3!$K$5</f>
        <v>0</v>
      </c>
      <c r="G7" s="17">
        <f>[4]Vendedor3!$L$5</f>
        <v>0</v>
      </c>
      <c r="H7" s="18">
        <f>[4]Vendedor3!$J$6</f>
        <v>0</v>
      </c>
      <c r="I7" s="15">
        <f>[4]Vendedor3!$K$6</f>
        <v>0</v>
      </c>
      <c r="J7" s="16">
        <f>[4]Vendedor3!$L$6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>
      <c r="A8" s="20" t="s">
        <v>51</v>
      </c>
      <c r="B8" s="14">
        <f>[5]Vendedor3!$J$4</f>
        <v>0</v>
      </c>
      <c r="C8" s="15">
        <f>[5]Vendedor3!$K$4</f>
        <v>0</v>
      </c>
      <c r="D8" s="16">
        <f>[5]Vendedor3!$L$4</f>
        <v>0</v>
      </c>
      <c r="E8" s="14">
        <f>[5]Vendedor3!$J$5</f>
        <v>0</v>
      </c>
      <c r="F8" s="15">
        <f>[5]Vendedor3!$K$5</f>
        <v>0</v>
      </c>
      <c r="G8" s="17">
        <f>[5]Vendedor3!$L$5</f>
        <v>0</v>
      </c>
      <c r="H8" s="18">
        <f>[5]Vendedor3!$J$6</f>
        <v>0</v>
      </c>
      <c r="I8" s="15">
        <f>[5]Vendedor3!$K$6</f>
        <v>0</v>
      </c>
      <c r="J8" s="16">
        <f>[5]Vendedor3!$L$6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>
      <c r="A9" s="13" t="s">
        <v>52</v>
      </c>
      <c r="B9" s="14">
        <f>[6]Vendedor3!$J$4</f>
        <v>0</v>
      </c>
      <c r="C9" s="15">
        <f>[6]Vendedor3!$K$4</f>
        <v>0</v>
      </c>
      <c r="D9" s="16">
        <f>[6]Vendedor3!$L$4</f>
        <v>0</v>
      </c>
      <c r="E9" s="14">
        <f>[6]Vendedor3!$J$5</f>
        <v>0</v>
      </c>
      <c r="F9" s="15">
        <f>[6]Vendedor3!$K$5</f>
        <v>0</v>
      </c>
      <c r="G9" s="17">
        <f>[6]Vendedor3!$L$5</f>
        <v>0</v>
      </c>
      <c r="H9" s="18">
        <f>[6]Vendedor3!$J$6</f>
        <v>0</v>
      </c>
      <c r="I9" s="15">
        <f>[6]Vendedor3!$K$6</f>
        <v>0</v>
      </c>
      <c r="J9" s="16">
        <f>[6]Vendedor3!$L$6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>
      <c r="A10" s="20" t="s">
        <v>53</v>
      </c>
      <c r="B10" s="14">
        <f>[7]Vendedor3!$J$4</f>
        <v>0</v>
      </c>
      <c r="C10" s="15">
        <f>[7]Vendedor3!$K$4</f>
        <v>0</v>
      </c>
      <c r="D10" s="16">
        <f>[7]Vendedor3!$L$4</f>
        <v>0</v>
      </c>
      <c r="E10" s="14">
        <f>[7]Vendedor3!$J$5</f>
        <v>0</v>
      </c>
      <c r="F10" s="15">
        <f>[7]Vendedor3!$K$5</f>
        <v>0</v>
      </c>
      <c r="G10" s="17">
        <f>[7]Vendedor3!$L$5</f>
        <v>0</v>
      </c>
      <c r="H10" s="18">
        <f>[7]Vendedor3!$J$6</f>
        <v>0</v>
      </c>
      <c r="I10" s="15">
        <f>[7]Vendedor3!$K$6</f>
        <v>0</v>
      </c>
      <c r="J10" s="16">
        <f>[7]Vendedor3!$L$6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>
      <c r="A11" s="13" t="s">
        <v>20</v>
      </c>
      <c r="B11" s="14">
        <f>[8]Vendedor3!$J$4</f>
        <v>0</v>
      </c>
      <c r="C11" s="15">
        <f>[8]Vendedor3!$K$4</f>
        <v>0</v>
      </c>
      <c r="D11" s="16">
        <f>[8]Vendedor3!$L$4</f>
        <v>0</v>
      </c>
      <c r="E11" s="14">
        <f>[8]Vendedor3!$J$5</f>
        <v>0</v>
      </c>
      <c r="F11" s="15">
        <f>[8]Vendedor3!$K$5</f>
        <v>0</v>
      </c>
      <c r="G11" s="17">
        <f>[8]Vendedor3!$L$5</f>
        <v>0</v>
      </c>
      <c r="H11" s="18">
        <f>[8]Vendedor3!$J$6</f>
        <v>0</v>
      </c>
      <c r="I11" s="15">
        <f>[8]Vendedor3!$K$6</f>
        <v>0</v>
      </c>
      <c r="J11" s="16">
        <f>[8]Vendedor3!$L$6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>
      <c r="A12" s="20" t="s">
        <v>21</v>
      </c>
      <c r="B12" s="14">
        <f>[9]Vendedor3!$J$4</f>
        <v>0</v>
      </c>
      <c r="C12" s="15">
        <f>[9]Vendedor3!$K$4</f>
        <v>0</v>
      </c>
      <c r="D12" s="16">
        <f>[9]Vendedor3!$L$4</f>
        <v>0</v>
      </c>
      <c r="E12" s="14">
        <f>[9]Vendedor3!$J$5</f>
        <v>0</v>
      </c>
      <c r="F12" s="15">
        <f>[9]Vendedor3!$K$5</f>
        <v>0</v>
      </c>
      <c r="G12" s="17">
        <f>[9]Vendedor3!$L$5</f>
        <v>0</v>
      </c>
      <c r="H12" s="18">
        <f>[9]Vendedor3!$J$6</f>
        <v>0</v>
      </c>
      <c r="I12" s="15">
        <f>[9]Vendedor3!$K$6</f>
        <v>0</v>
      </c>
      <c r="J12" s="16">
        <f>[9]Vendedor3!$L$6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>
      <c r="A13" s="13" t="s">
        <v>22</v>
      </c>
      <c r="B13" s="14">
        <f>[10]Vendedor3!$J$4</f>
        <v>0</v>
      </c>
      <c r="C13" s="15">
        <f>[10]Vendedor3!$K$4</f>
        <v>0</v>
      </c>
      <c r="D13" s="16">
        <f>[10]Vendedor3!$L$4</f>
        <v>0</v>
      </c>
      <c r="E13" s="14">
        <f>[10]Vendedor3!$J$5</f>
        <v>0</v>
      </c>
      <c r="F13" s="15">
        <f>[10]Vendedor3!$K$5</f>
        <v>0</v>
      </c>
      <c r="G13" s="17">
        <f>[10]Vendedor3!$L$5</f>
        <v>0</v>
      </c>
      <c r="H13" s="18">
        <f>[10]Vendedor3!$J$6</f>
        <v>0</v>
      </c>
      <c r="I13" s="15">
        <f>[10]Vendedor3!$K$6</f>
        <v>0</v>
      </c>
      <c r="J13" s="16">
        <f>[10]Vendedor3!$L$6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>
      <c r="A14" s="20" t="s">
        <v>23</v>
      </c>
      <c r="B14" s="14">
        <f>[11]Vendedor3!$J$4</f>
        <v>0</v>
      </c>
      <c r="C14" s="15">
        <f>[11]Vendedor3!$K$4</f>
        <v>0</v>
      </c>
      <c r="D14" s="16">
        <f>[11]Vendedor3!$L$4</f>
        <v>0</v>
      </c>
      <c r="E14" s="14">
        <f>[11]Vendedor3!$J$5</f>
        <v>0</v>
      </c>
      <c r="F14" s="15">
        <f>[11]Vendedor3!$K$5</f>
        <v>0</v>
      </c>
      <c r="G14" s="17">
        <f>[11]Vendedor3!$L$5</f>
        <v>0</v>
      </c>
      <c r="H14" s="18">
        <f>[11]Vendedor3!$J$6</f>
        <v>0</v>
      </c>
      <c r="I14" s="15">
        <f>[11]Vendedor3!$K$6</f>
        <v>0</v>
      </c>
      <c r="J14" s="16">
        <f>[11]Vendedor3!$L$6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>
      <c r="A15" s="13" t="s">
        <v>24</v>
      </c>
      <c r="B15" s="14">
        <f>[12]Vendedor3!$J$4</f>
        <v>0</v>
      </c>
      <c r="C15" s="15">
        <f>[12]Vendedor3!$K$4</f>
        <v>0</v>
      </c>
      <c r="D15" s="16">
        <f>[12]Vendedor3!$L$4</f>
        <v>0</v>
      </c>
      <c r="E15" s="14">
        <f>[12]Vendedor3!$J$5</f>
        <v>0</v>
      </c>
      <c r="F15" s="15">
        <f>[12]Vendedor3!$K$5</f>
        <v>0</v>
      </c>
      <c r="G15" s="17">
        <f>[12]Vendedor3!$L$5</f>
        <v>0</v>
      </c>
      <c r="H15" s="18">
        <f>[12]Vendedor3!$J$6</f>
        <v>0</v>
      </c>
      <c r="I15" s="15">
        <f>[12]Vendedor3!$K$6</f>
        <v>0</v>
      </c>
      <c r="J15" s="16">
        <f>[12]Vendedor3!$L$6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>
      <c r="A16" s="20" t="s">
        <v>25</v>
      </c>
      <c r="B16" s="14">
        <f>[13]Vendedor3!$J$4</f>
        <v>0</v>
      </c>
      <c r="C16" s="15">
        <f>[13]Vendedor3!$K$4</f>
        <v>0</v>
      </c>
      <c r="D16" s="16">
        <f>[13]Vendedor3!$L$4</f>
        <v>0</v>
      </c>
      <c r="E16" s="14">
        <f>[13]Vendedor3!$J$5</f>
        <v>0</v>
      </c>
      <c r="F16" s="15">
        <f>[13]Vendedor3!$K$5</f>
        <v>0</v>
      </c>
      <c r="G16" s="17">
        <f>[13]Vendedor3!$L$5</f>
        <v>0</v>
      </c>
      <c r="H16" s="18">
        <f>[13]Vendedor3!$J$6</f>
        <v>0</v>
      </c>
      <c r="I16" s="15">
        <f>[13]Vendedor3!$K$6</f>
        <v>0</v>
      </c>
      <c r="J16" s="16">
        <f>[13]Vendedor3!$L$6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>
      <c r="A17" s="13" t="s">
        <v>26</v>
      </c>
      <c r="B17" s="14">
        <f>[14]Vendedor3!$J$4</f>
        <v>0</v>
      </c>
      <c r="C17" s="15">
        <f>[14]Vendedor3!$K$4</f>
        <v>0</v>
      </c>
      <c r="D17" s="16">
        <f>[14]Vendedor3!$L$4</f>
        <v>0</v>
      </c>
      <c r="E17" s="14">
        <f>[14]Vendedor3!$J$5</f>
        <v>0</v>
      </c>
      <c r="F17" s="15">
        <f>[14]Vendedor3!$K$5</f>
        <v>0</v>
      </c>
      <c r="G17" s="17">
        <f>[14]Vendedor3!$L$5</f>
        <v>0</v>
      </c>
      <c r="H17" s="18">
        <f>[14]Vendedor3!$J$6</f>
        <v>0</v>
      </c>
      <c r="I17" s="15">
        <f>[14]Vendedor3!$K$6</f>
        <v>0</v>
      </c>
      <c r="J17" s="16">
        <f>[14]Vendedor3!$L$6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>
      <c r="A18" s="20" t="s">
        <v>27</v>
      </c>
      <c r="B18" s="14">
        <f>[15]Vendedor3!$J$4</f>
        <v>0</v>
      </c>
      <c r="C18" s="15">
        <f>[15]Vendedor3!$K$4</f>
        <v>0</v>
      </c>
      <c r="D18" s="16">
        <f>[15]Vendedor3!$L$4</f>
        <v>0</v>
      </c>
      <c r="E18" s="14">
        <f>[15]Vendedor3!$J$5</f>
        <v>0</v>
      </c>
      <c r="F18" s="15">
        <f>[15]Vendedor3!$K$5</f>
        <v>0</v>
      </c>
      <c r="G18" s="17">
        <f>[15]Vendedor3!$L$5</f>
        <v>0</v>
      </c>
      <c r="H18" s="18">
        <f>[15]Vendedor3!$J$6</f>
        <v>0</v>
      </c>
      <c r="I18" s="15">
        <f>[15]Vendedor3!$K$6</f>
        <v>0</v>
      </c>
      <c r="J18" s="16">
        <f>[15]Vendedor3!$L$6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>
      <c r="A19" s="20" t="s">
        <v>28</v>
      </c>
      <c r="B19" s="14">
        <f>[16]Vendedor3!$J$4</f>
        <v>0</v>
      </c>
      <c r="C19" s="15">
        <f>[16]Vendedor3!$K$4</f>
        <v>0</v>
      </c>
      <c r="D19" s="16">
        <f>[16]Vendedor3!$L$4</f>
        <v>0</v>
      </c>
      <c r="E19" s="14">
        <f>[16]Vendedor3!$J$5</f>
        <v>0</v>
      </c>
      <c r="F19" s="15">
        <f>[16]Vendedor3!$K$5</f>
        <v>0</v>
      </c>
      <c r="G19" s="17">
        <f>[16]Vendedor3!$L$5</f>
        <v>0</v>
      </c>
      <c r="H19" s="18">
        <f>[16]Vendedor3!$J$6</f>
        <v>0</v>
      </c>
      <c r="I19" s="15">
        <f>[16]Vendedor3!$K$6</f>
        <v>0</v>
      </c>
      <c r="J19" s="16">
        <f>[16]Vendedor3!$L$6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>
      <c r="A20" s="13" t="s">
        <v>29</v>
      </c>
      <c r="B20" s="14">
        <f>[17]Vendedor3!$J$4</f>
        <v>0</v>
      </c>
      <c r="C20" s="15">
        <f>[17]Vendedor3!$K$4</f>
        <v>0</v>
      </c>
      <c r="D20" s="16">
        <f>[17]Vendedor3!$L$4</f>
        <v>0</v>
      </c>
      <c r="E20" s="14">
        <f>[17]Vendedor3!$J$5</f>
        <v>0</v>
      </c>
      <c r="F20" s="15">
        <f>[17]Vendedor3!$K$5</f>
        <v>0</v>
      </c>
      <c r="G20" s="17">
        <f>[17]Vendedor3!$L$5</f>
        <v>0</v>
      </c>
      <c r="H20" s="18">
        <f>[17]Vendedor3!$J$6</f>
        <v>0</v>
      </c>
      <c r="I20" s="15">
        <f>[17]Vendedor3!$K$6</f>
        <v>0</v>
      </c>
      <c r="J20" s="16">
        <f>[17]Vendedor3!$L$6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>
      <c r="A21" s="20" t="s">
        <v>30</v>
      </c>
      <c r="B21" s="14">
        <f>[18]Vendedor3!$J$4</f>
        <v>0</v>
      </c>
      <c r="C21" s="81">
        <f>[18]Vendedor3!$K$4</f>
        <v>0</v>
      </c>
      <c r="D21" s="82">
        <f>[18]Vendedor3!$L$4</f>
        <v>0</v>
      </c>
      <c r="E21" s="14">
        <f>[18]Vendedor3!$J$5</f>
        <v>0</v>
      </c>
      <c r="F21" s="81">
        <f>[18]Vendedor3!$K$5</f>
        <v>0</v>
      </c>
      <c r="G21" s="85">
        <f>[18]Vendedor3!$L$5</f>
        <v>0</v>
      </c>
      <c r="H21" s="19">
        <f>[18]Vendedor3!$J$6</f>
        <v>0</v>
      </c>
      <c r="I21" s="15">
        <f>[18]Vendedor3!$K$6</f>
        <v>0</v>
      </c>
      <c r="J21" s="17">
        <f>[18]Vendedor3!$L$6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>
      <c r="A22" s="13" t="s">
        <v>31</v>
      </c>
      <c r="B22" s="14">
        <f>[19]Vendedor3!$J$4</f>
        <v>0</v>
      </c>
      <c r="C22" s="81">
        <f>[19]Vendedor3!$K$4</f>
        <v>0</v>
      </c>
      <c r="D22" s="82">
        <f>[19]Vendedor3!$L$4</f>
        <v>0</v>
      </c>
      <c r="E22" s="14">
        <f>[19]Vendedor3!$J$5</f>
        <v>0</v>
      </c>
      <c r="F22" s="81">
        <f>[19]Vendedor3!$K$5</f>
        <v>0</v>
      </c>
      <c r="G22" s="85">
        <f>[19]Vendedor3!$L$5</f>
        <v>0</v>
      </c>
      <c r="H22" s="19">
        <f>[19]Vendedor3!$J$6</f>
        <v>0</v>
      </c>
      <c r="I22" s="15">
        <f>[19]Vendedor3!$K$6</f>
        <v>0</v>
      </c>
      <c r="J22" s="17">
        <f>[19]Vendedor3!$L$6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>
      <c r="A23" s="20" t="s">
        <v>32</v>
      </c>
      <c r="B23" s="14">
        <f>[20]Vendedor3!$J$4</f>
        <v>0</v>
      </c>
      <c r="C23" s="81">
        <f>[20]Vendedor3!$K$4</f>
        <v>0</v>
      </c>
      <c r="D23" s="82">
        <f>[20]Vendedor3!$L$4</f>
        <v>0</v>
      </c>
      <c r="E23" s="14">
        <f>[20]Vendedor3!$J$5</f>
        <v>0</v>
      </c>
      <c r="F23" s="81">
        <f>[20]Vendedor3!$K$5</f>
        <v>0</v>
      </c>
      <c r="G23" s="85">
        <f>[20]Vendedor3!$L$5</f>
        <v>0</v>
      </c>
      <c r="H23" s="19">
        <f>[20]Vendedor3!$J$6</f>
        <v>0</v>
      </c>
      <c r="I23" s="15">
        <f>[20]Vendedor3!$K$6</f>
        <v>0</v>
      </c>
      <c r="J23" s="17">
        <f>[20]Vendedor3!$L$6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[21]Vendedor3!$J$4</f>
        <v>0</v>
      </c>
      <c r="C24" s="81">
        <f>[21]Vendedor3!$K$4</f>
        <v>0</v>
      </c>
      <c r="D24" s="82">
        <f>[21]Vendedor3!$L$4</f>
        <v>0</v>
      </c>
      <c r="E24" s="14">
        <f>[21]Vendedor3!$J$5</f>
        <v>0</v>
      </c>
      <c r="F24" s="81">
        <f>[21]Vendedor3!$K$5</f>
        <v>0</v>
      </c>
      <c r="G24" s="85">
        <f>[21]Vendedor3!$L$5</f>
        <v>0</v>
      </c>
      <c r="H24" s="19">
        <f>[21]Vendedor3!$J$6</f>
        <v>0</v>
      </c>
      <c r="I24" s="15">
        <f>[21]Vendedor3!$K$6</f>
        <v>0</v>
      </c>
      <c r="J24" s="17">
        <f>[21]Vendedor3!$L$6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>
      <c r="A25" s="20" t="s">
        <v>34</v>
      </c>
      <c r="B25" s="14">
        <f>[22]Vendedor3!$J$4</f>
        <v>0</v>
      </c>
      <c r="C25" s="81">
        <f>[22]Vendedor3!$K$4</f>
        <v>0</v>
      </c>
      <c r="D25" s="82">
        <f>[22]Vendedor3!$L$4</f>
        <v>0</v>
      </c>
      <c r="E25" s="14">
        <f>[22]Vendedor3!$J$5</f>
        <v>0</v>
      </c>
      <c r="F25" s="81">
        <f>[22]Vendedor3!$K$5</f>
        <v>0</v>
      </c>
      <c r="G25" s="85">
        <f>[22]Vendedor3!$L$5</f>
        <v>0</v>
      </c>
      <c r="H25" s="19">
        <f>[22]Vendedor3!$J$6</f>
        <v>0</v>
      </c>
      <c r="I25" s="15">
        <f>[22]Vendedor3!$K$6</f>
        <v>0</v>
      </c>
      <c r="J25" s="17">
        <f>[22]Vendedor3!$L$6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>
      <c r="A26" s="13" t="s">
        <v>35</v>
      </c>
      <c r="B26" s="14">
        <f>[23]Vendedor3!$J$4</f>
        <v>0</v>
      </c>
      <c r="C26" s="81">
        <f>[23]Vendedor3!$K$4</f>
        <v>0</v>
      </c>
      <c r="D26" s="82">
        <f>[23]Vendedor3!$L$4</f>
        <v>0</v>
      </c>
      <c r="E26" s="14">
        <f>[23]Vendedor3!$J$5</f>
        <v>0</v>
      </c>
      <c r="F26" s="81">
        <f>[23]Vendedor3!$K$5</f>
        <v>0</v>
      </c>
      <c r="G26" s="85">
        <f>[23]Vendedor3!$L$5</f>
        <v>0</v>
      </c>
      <c r="H26" s="19">
        <f>[23]Vendedor3!$J$6</f>
        <v>0</v>
      </c>
      <c r="I26" s="15">
        <f>[23]Vendedor3!$K$6</f>
        <v>0</v>
      </c>
      <c r="J26" s="17">
        <f>[23]Vendedor3!$L$6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>
      <c r="A27" s="20" t="s">
        <v>36</v>
      </c>
      <c r="B27" s="14">
        <f>[24]Vendedor3!$J$4</f>
        <v>0</v>
      </c>
      <c r="C27" s="81">
        <f>[24]Vendedor3!$K$4</f>
        <v>0</v>
      </c>
      <c r="D27" s="82">
        <f>[24]Vendedor3!$L$4</f>
        <v>0</v>
      </c>
      <c r="E27" s="14">
        <f>[24]Vendedor3!$J$5</f>
        <v>0</v>
      </c>
      <c r="F27" s="81">
        <f>[24]Vendedor3!$K$5</f>
        <v>0</v>
      </c>
      <c r="G27" s="85">
        <f>[24]Vendedor3!$L$5</f>
        <v>0</v>
      </c>
      <c r="H27" s="19">
        <f>[24]Vendedor3!$J$6</f>
        <v>0</v>
      </c>
      <c r="I27" s="15">
        <f>[24]Vendedor3!$K$6</f>
        <v>0</v>
      </c>
      <c r="J27" s="17">
        <f>[24]Vendedor3!$L$6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>
      <c r="A28" s="13" t="s">
        <v>37</v>
      </c>
      <c r="B28" s="14">
        <f>[25]Vendedor3!$J$4</f>
        <v>0</v>
      </c>
      <c r="C28" s="81">
        <f>[25]Vendedor3!$K$4</f>
        <v>0</v>
      </c>
      <c r="D28" s="82">
        <f>[25]Vendedor3!$L$4</f>
        <v>0</v>
      </c>
      <c r="E28" s="14">
        <f>[25]Vendedor3!$J$5</f>
        <v>0</v>
      </c>
      <c r="F28" s="81">
        <f>[25]Vendedor3!$K$5</f>
        <v>0</v>
      </c>
      <c r="G28" s="85">
        <f>[25]Vendedor3!$L$5</f>
        <v>0</v>
      </c>
      <c r="H28" s="19">
        <f>[25]Vendedor3!$J$6</f>
        <v>0</v>
      </c>
      <c r="I28" s="15">
        <f>[25]Vendedor3!$K$6</f>
        <v>0</v>
      </c>
      <c r="J28" s="17">
        <f>[25]Vendedor3!$L$6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>
      <c r="A29" s="20" t="s">
        <v>38</v>
      </c>
      <c r="B29" s="14">
        <f>[26]Vendedor3!$J$4</f>
        <v>0</v>
      </c>
      <c r="C29" s="81">
        <f>[26]Vendedor3!$K$4</f>
        <v>0</v>
      </c>
      <c r="D29" s="82">
        <f>[26]Vendedor3!$L$4</f>
        <v>0</v>
      </c>
      <c r="E29" s="14">
        <f>[26]Vendedor3!$J$5</f>
        <v>0</v>
      </c>
      <c r="F29" s="81">
        <f>[26]Vendedor3!$K$5</f>
        <v>0</v>
      </c>
      <c r="G29" s="85">
        <f>[26]Vendedor3!$L$5</f>
        <v>0</v>
      </c>
      <c r="H29" s="19">
        <f>[26]Vendedor3!$J$6</f>
        <v>0</v>
      </c>
      <c r="I29" s="15">
        <f>[26]Vendedor3!$K$6</f>
        <v>0</v>
      </c>
      <c r="J29" s="17">
        <f>[26]Vendedor3!$L$6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>
      <c r="A30" s="13" t="s">
        <v>39</v>
      </c>
      <c r="B30" s="14">
        <f>[27]Vendedor3!$J$4</f>
        <v>0</v>
      </c>
      <c r="C30" s="81">
        <f>[27]Vendedor3!$K$4</f>
        <v>0</v>
      </c>
      <c r="D30" s="82">
        <f>[27]Vendedor3!$L$4</f>
        <v>0</v>
      </c>
      <c r="E30" s="14">
        <f>[27]Vendedor3!$J$5</f>
        <v>0</v>
      </c>
      <c r="F30" s="81">
        <f>[27]Vendedor3!$K$5</f>
        <v>0</v>
      </c>
      <c r="G30" s="85">
        <f>[27]Vendedor3!$L$5</f>
        <v>0</v>
      </c>
      <c r="H30" s="19">
        <f>[27]Vendedor3!$J$6</f>
        <v>0</v>
      </c>
      <c r="I30" s="15">
        <f>[27]Vendedor3!$K$6</f>
        <v>0</v>
      </c>
      <c r="J30" s="17">
        <f>[27]Vendedor3!$L$6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[28]Vendedor3!$J$4</f>
        <v>0</v>
      </c>
      <c r="C31" s="81">
        <f>[28]Vendedor3!$K$4</f>
        <v>0</v>
      </c>
      <c r="D31" s="82">
        <f>[28]Vendedor3!$L$4</f>
        <v>0</v>
      </c>
      <c r="E31" s="14">
        <f>[28]Vendedor3!$J$5</f>
        <v>0</v>
      </c>
      <c r="F31" s="81">
        <f>[28]Vendedor3!$K$5</f>
        <v>0</v>
      </c>
      <c r="G31" s="85">
        <f>[28]Vendedor3!$L$5</f>
        <v>0</v>
      </c>
      <c r="H31" s="19">
        <f>[28]Vendedor3!$J$6</f>
        <v>0</v>
      </c>
      <c r="I31" s="15">
        <f>[28]Vendedor3!$K$6</f>
        <v>0</v>
      </c>
      <c r="J31" s="17">
        <f>[28]Vendedor3!$L$6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>
      <c r="A32" s="20" t="s">
        <v>41</v>
      </c>
      <c r="B32" s="14">
        <f>[29]Vendedor3!$J$4</f>
        <v>0</v>
      </c>
      <c r="C32" s="81">
        <f>[29]Vendedor3!$K$4</f>
        <v>0</v>
      </c>
      <c r="D32" s="82">
        <f>[29]Vendedor3!$L$4</f>
        <v>0</v>
      </c>
      <c r="E32" s="14">
        <f>[29]Vendedor3!$J$5</f>
        <v>0</v>
      </c>
      <c r="F32" s="81">
        <f>[29]Vendedor3!$K$5</f>
        <v>0</v>
      </c>
      <c r="G32" s="85">
        <f>[29]Vendedor3!$L$5</f>
        <v>0</v>
      </c>
      <c r="H32" s="19">
        <f>[29]Vendedor3!$J$6</f>
        <v>0</v>
      </c>
      <c r="I32" s="15">
        <f>[29]Vendedor3!$K$6</f>
        <v>0</v>
      </c>
      <c r="J32" s="17">
        <f>[29]Vendedor3!$L$6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>
      <c r="A33" s="13" t="s">
        <v>42</v>
      </c>
      <c r="B33" s="14">
        <f>[30]Vendedor3!$J$4</f>
        <v>0</v>
      </c>
      <c r="C33" s="81">
        <f>[30]Vendedor3!$K$4</f>
        <v>0</v>
      </c>
      <c r="D33" s="82">
        <f>[30]Vendedor3!$L$4</f>
        <v>0</v>
      </c>
      <c r="E33" s="14">
        <f>[30]Vendedor3!$J$5</f>
        <v>0</v>
      </c>
      <c r="F33" s="81">
        <f>[30]Vendedor3!$K$5</f>
        <v>0</v>
      </c>
      <c r="G33" s="85">
        <f>[30]Vendedor3!$L$5</f>
        <v>0</v>
      </c>
      <c r="H33" s="19">
        <f>[30]Vendedor3!$J$6</f>
        <v>0</v>
      </c>
      <c r="I33" s="15">
        <f>[30]Vendedor3!$K$6</f>
        <v>0</v>
      </c>
      <c r="J33" s="17">
        <f>[30]Vendedor3!$L$6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>
      <c r="A34" s="20" t="s">
        <v>43</v>
      </c>
      <c r="B34" s="14">
        <f>[31]Vendedor3!$J$4</f>
        <v>0</v>
      </c>
      <c r="C34" s="81">
        <f>[31]Vendedor3!$K$4</f>
        <v>0</v>
      </c>
      <c r="D34" s="82">
        <f>[31]Vendedor3!$L$4</f>
        <v>0</v>
      </c>
      <c r="E34" s="14">
        <f>[31]Vendedor3!$J$5</f>
        <v>0</v>
      </c>
      <c r="F34" s="81">
        <f>[31]Vendedor3!$K$5</f>
        <v>0</v>
      </c>
      <c r="G34" s="85">
        <f>[31]Vendedor3!$L$5</f>
        <v>0</v>
      </c>
      <c r="H34" s="19">
        <f>[31]Vendedor3!$J$6</f>
        <v>0</v>
      </c>
      <c r="I34" s="15">
        <f>[31]Vendedor3!$K$6</f>
        <v>0</v>
      </c>
      <c r="J34" s="17">
        <f>[31]Vendedor3!$L$6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>
      <c r="A35" s="13" t="s">
        <v>44</v>
      </c>
      <c r="B35" s="14">
        <f>[1]Vendedor3!$J$4</f>
        <v>0</v>
      </c>
      <c r="C35" s="81">
        <f>[1]Vendedor3!$K$4</f>
        <v>0</v>
      </c>
      <c r="D35" s="82">
        <f>[1]Vendedor3!$L$4</f>
        <v>0</v>
      </c>
      <c r="E35" s="14">
        <f>[1]Vendedor3!$J$5</f>
        <v>0</v>
      </c>
      <c r="F35" s="81">
        <f>[1]Vendedor3!$K$5</f>
        <v>0</v>
      </c>
      <c r="G35" s="85">
        <f>[1]Vendedor3!$L$5</f>
        <v>0</v>
      </c>
      <c r="H35" s="19">
        <f>[1]Vendedor3!$J$6</f>
        <v>0</v>
      </c>
      <c r="I35" s="15">
        <f>[1]Vendedor3!$K$6</f>
        <v>0</v>
      </c>
      <c r="J35" s="17">
        <f>[1]Vendedor3!$L$6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.75" thickBot="1">
      <c r="A36" s="20" t="s">
        <v>45</v>
      </c>
      <c r="B36" s="21">
        <f>[2]Vendedor3!$J$4</f>
        <v>0</v>
      </c>
      <c r="C36" s="83">
        <f>[2]Vendedor3!$K$4</f>
        <v>0</v>
      </c>
      <c r="D36" s="84">
        <f>[2]Vendedor3!$L$4</f>
        <v>0</v>
      </c>
      <c r="E36" s="21">
        <f>[2]Vendedor3!$J$5</f>
        <v>0</v>
      </c>
      <c r="F36" s="83">
        <f>[2]Vendedor3!$K$5</f>
        <v>0</v>
      </c>
      <c r="G36" s="86">
        <f>[2]Vendedor3!$L$5</f>
        <v>0</v>
      </c>
      <c r="H36" s="26">
        <f>[2]Vendedor3!$J$6</f>
        <v>0</v>
      </c>
      <c r="I36" s="22">
        <f>[2]Vendedor3!$K$6</f>
        <v>0</v>
      </c>
      <c r="J36" s="24">
        <f>[2]Vendedor3!$L$6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.75" thickBot="1"/>
    <row r="41" spans="1:15" ht="19.5" thickBot="1">
      <c r="A41" s="2" t="s">
        <v>1</v>
      </c>
      <c r="B41" s="135" t="s">
        <v>116</v>
      </c>
      <c r="C41" s="135"/>
      <c r="D41" s="135"/>
    </row>
    <row r="42" spans="1:15" ht="15.75" thickBot="1"/>
    <row r="43" spans="1:15" ht="30.75" thickBot="1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89</v>
      </c>
      <c r="I43" s="7" t="s">
        <v>90</v>
      </c>
      <c r="J43" s="8" t="s">
        <v>91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.75" thickBot="1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.75" thickBot="1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.5" thickBot="1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80" zoomScaleNormal="80" workbookViewId="0">
      <selection activeCell="L15" sqref="L15"/>
    </sheetView>
  </sheetViews>
  <sheetFormatPr baseColWidth="10" defaultColWidth="11.42578125" defaultRowHeight="15"/>
  <cols>
    <col min="1" max="1" width="10.140625" style="1" customWidth="1"/>
    <col min="2" max="2" width="12.140625" style="1" customWidth="1"/>
    <col min="3" max="3" width="11.42578125" style="1"/>
    <col min="4" max="4" width="11.85546875" style="1" customWidth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 ht="15.75" thickBot="1">
      <c r="I1" s="136" t="s">
        <v>0</v>
      </c>
      <c r="J1" s="137"/>
      <c r="K1" s="137"/>
      <c r="L1" s="137"/>
      <c r="M1" s="137"/>
      <c r="N1" s="138"/>
    </row>
    <row r="2" spans="1:15" ht="19.5" thickBot="1">
      <c r="A2" s="2" t="s">
        <v>1</v>
      </c>
      <c r="B2" s="139" t="s">
        <v>86</v>
      </c>
      <c r="C2" s="139"/>
      <c r="D2" s="135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[3]Resumen!$B$6</f>
        <v>0</v>
      </c>
      <c r="C6" s="58">
        <f>[3]Resumen!$C$6</f>
        <v>0</v>
      </c>
      <c r="D6" s="54">
        <f>[3]Resumen!$D$6</f>
        <v>0</v>
      </c>
      <c r="E6" s="53">
        <f>[3]Resumen!$E$6</f>
        <v>0</v>
      </c>
      <c r="F6" s="58">
        <f>[3]Resumen!$F$6</f>
        <v>0</v>
      </c>
      <c r="G6" s="55">
        <f>[3]Resumen!$G$6</f>
        <v>0</v>
      </c>
      <c r="H6" s="61">
        <f>[3]Resumen!$H$6</f>
        <v>0</v>
      </c>
      <c r="I6" s="58">
        <f>[3]Resumen!$I$6</f>
        <v>0</v>
      </c>
      <c r="J6" s="54">
        <f>[3]Resumen!$J$6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[4]Resumen!$B$6</f>
        <v>0</v>
      </c>
      <c r="C7" s="15">
        <f>[4]Resumen!$C$6</f>
        <v>0</v>
      </c>
      <c r="D7" s="16">
        <f>[4]Resumen!$D$6</f>
        <v>0</v>
      </c>
      <c r="E7" s="14">
        <f>[4]Resumen!$E$6</f>
        <v>0</v>
      </c>
      <c r="F7" s="15">
        <f>[4]Resumen!$F$6</f>
        <v>0</v>
      </c>
      <c r="G7" s="17">
        <f>[4]Resumen!$G$6</f>
        <v>0</v>
      </c>
      <c r="H7" s="18">
        <f>[4]Resumen!$H$6</f>
        <v>0</v>
      </c>
      <c r="I7" s="15">
        <f>[4]Resumen!$I$6</f>
        <v>0</v>
      </c>
      <c r="J7" s="16">
        <f>[4]Resumen!$J$6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[5]Resumen!$B$6</f>
        <v>6000</v>
      </c>
      <c r="C8" s="15">
        <f>[5]Resumen!$C$6</f>
        <v>700</v>
      </c>
      <c r="D8" s="16">
        <f>[5]Resumen!$D$6</f>
        <v>0</v>
      </c>
      <c r="E8" s="14">
        <f>[5]Resumen!$E$6</f>
        <v>0</v>
      </c>
      <c r="F8" s="15">
        <f>[5]Resumen!$F$6</f>
        <v>5300</v>
      </c>
      <c r="G8" s="17">
        <f>[5]Resumen!$G$6</f>
        <v>0</v>
      </c>
      <c r="H8" s="18">
        <f>[5]Resumen!$H$6</f>
        <v>0</v>
      </c>
      <c r="I8" s="15">
        <f>[5]Resumen!$I$6</f>
        <v>0</v>
      </c>
      <c r="J8" s="16">
        <f>[5]Resumen!$J$6</f>
        <v>0</v>
      </c>
      <c r="K8" s="19">
        <f t="shared" si="1"/>
        <v>6000</v>
      </c>
      <c r="L8" s="15">
        <f t="shared" si="4"/>
        <v>6000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[6]Resumen!$B$6</f>
        <v>0</v>
      </c>
      <c r="C9" s="15">
        <f>[6]Resumen!$C$6</f>
        <v>0</v>
      </c>
      <c r="D9" s="16">
        <f>[6]Resumen!$D$6</f>
        <v>0</v>
      </c>
      <c r="E9" s="14">
        <f>[6]Resumen!$E$6</f>
        <v>0</v>
      </c>
      <c r="F9" s="15">
        <f>[6]Resumen!$F$6</f>
        <v>0</v>
      </c>
      <c r="G9" s="17">
        <f>[6]Resumen!$G$6</f>
        <v>0</v>
      </c>
      <c r="H9" s="18">
        <f>[6]Resumen!$H$6</f>
        <v>0</v>
      </c>
      <c r="I9" s="15">
        <f>[6]Resumen!$I$6</f>
        <v>0</v>
      </c>
      <c r="J9" s="16">
        <f>[6]Resumen!$J$6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[7]Resumen!$B$6</f>
        <v>0</v>
      </c>
      <c r="C10" s="15">
        <f>[7]Resumen!$C$6</f>
        <v>0</v>
      </c>
      <c r="D10" s="16">
        <f>[7]Resumen!$D$6</f>
        <v>0</v>
      </c>
      <c r="E10" s="14">
        <f>[7]Resumen!$E$6</f>
        <v>0</v>
      </c>
      <c r="F10" s="15">
        <f>[7]Resumen!$F$6</f>
        <v>0</v>
      </c>
      <c r="G10" s="17">
        <f>[7]Resumen!$G$6</f>
        <v>0</v>
      </c>
      <c r="H10" s="18">
        <f>[7]Resumen!$H$6</f>
        <v>0</v>
      </c>
      <c r="I10" s="15">
        <f>[7]Resumen!$I$6</f>
        <v>0</v>
      </c>
      <c r="J10" s="16">
        <f>[7]Resumen!$J$6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[8]Resumen!$B$6</f>
        <v>5000</v>
      </c>
      <c r="C11" s="15">
        <f>[8]Resumen!$C$6</f>
        <v>600</v>
      </c>
      <c r="D11" s="16">
        <f>[8]Resumen!$D$6</f>
        <v>0</v>
      </c>
      <c r="E11" s="14">
        <f>[8]Resumen!$E$6</f>
        <v>0</v>
      </c>
      <c r="F11" s="15">
        <f>[8]Resumen!$F$6</f>
        <v>4400</v>
      </c>
      <c r="G11" s="17">
        <f>[8]Resumen!$G$6</f>
        <v>0</v>
      </c>
      <c r="H11" s="18">
        <f>[8]Resumen!$H$6</f>
        <v>0</v>
      </c>
      <c r="I11" s="15">
        <f>[8]Resumen!$I$6</f>
        <v>0</v>
      </c>
      <c r="J11" s="16">
        <f>[8]Resumen!$J$6</f>
        <v>0</v>
      </c>
      <c r="K11" s="19">
        <f t="shared" si="1"/>
        <v>5000</v>
      </c>
      <c r="L11" s="15">
        <f t="shared" si="4"/>
        <v>5000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[9]Resumen!$B$6</f>
        <v>0</v>
      </c>
      <c r="C12" s="15">
        <f>[9]Resumen!$C$6</f>
        <v>0</v>
      </c>
      <c r="D12" s="16">
        <f>[9]Resumen!$D$6</f>
        <v>0</v>
      </c>
      <c r="E12" s="14">
        <f>[9]Resumen!$E$6</f>
        <v>0</v>
      </c>
      <c r="F12" s="15">
        <f>[9]Resumen!$F$6</f>
        <v>0</v>
      </c>
      <c r="G12" s="17">
        <f>[9]Resumen!$G$6</f>
        <v>0</v>
      </c>
      <c r="H12" s="18">
        <f>[9]Resumen!$H$6</f>
        <v>0</v>
      </c>
      <c r="I12" s="15">
        <f>[9]Resumen!$I$6</f>
        <v>0</v>
      </c>
      <c r="J12" s="16">
        <f>[9]Resumen!$J$6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[10]Resumen!$B$6</f>
        <v>0</v>
      </c>
      <c r="C13" s="15">
        <f>[10]Resumen!$C$6</f>
        <v>0</v>
      </c>
      <c r="D13" s="16">
        <f>[10]Resumen!$D$6</f>
        <v>0</v>
      </c>
      <c r="E13" s="14">
        <f>[10]Resumen!$E$6</f>
        <v>0</v>
      </c>
      <c r="F13" s="15">
        <f>[10]Resumen!$F$6</f>
        <v>0</v>
      </c>
      <c r="G13" s="17">
        <f>[10]Resumen!$G$6</f>
        <v>0</v>
      </c>
      <c r="H13" s="18">
        <f>[10]Resumen!$H$6</f>
        <v>0</v>
      </c>
      <c r="I13" s="15">
        <f>[10]Resumen!$I$6</f>
        <v>0</v>
      </c>
      <c r="J13" s="16">
        <f>[10]Resumen!$J$6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[11]Resumen!$B$6</f>
        <v>0</v>
      </c>
      <c r="C14" s="15">
        <f>[11]Resumen!$C$6</f>
        <v>0</v>
      </c>
      <c r="D14" s="16">
        <f>[11]Resumen!$D$6</f>
        <v>0</v>
      </c>
      <c r="E14" s="14">
        <f>[11]Resumen!$E$6</f>
        <v>0</v>
      </c>
      <c r="F14" s="15">
        <f>[11]Resumen!$F$6</f>
        <v>0</v>
      </c>
      <c r="G14" s="17">
        <f>[11]Resumen!$G$6</f>
        <v>0</v>
      </c>
      <c r="H14" s="18">
        <f>[11]Resumen!$H$6</f>
        <v>0</v>
      </c>
      <c r="I14" s="15">
        <f>[11]Resumen!$I$6</f>
        <v>0</v>
      </c>
      <c r="J14" s="16">
        <f>[11]Resumen!$J$6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[12]Resumen!$B$6</f>
        <v>0</v>
      </c>
      <c r="C15" s="15">
        <f>[12]Resumen!$C$6</f>
        <v>0</v>
      </c>
      <c r="D15" s="16">
        <f>[12]Resumen!$D$6</f>
        <v>0</v>
      </c>
      <c r="E15" s="14">
        <f>[12]Resumen!$E$6</f>
        <v>0</v>
      </c>
      <c r="F15" s="15">
        <f>[12]Resumen!$F$6</f>
        <v>0</v>
      </c>
      <c r="G15" s="17">
        <f>[12]Resumen!$G$6</f>
        <v>0</v>
      </c>
      <c r="H15" s="18">
        <f>[12]Resumen!$H$6</f>
        <v>0</v>
      </c>
      <c r="I15" s="15">
        <f>[12]Resumen!$I$6</f>
        <v>0</v>
      </c>
      <c r="J15" s="16">
        <f>[12]Resumen!$J$6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[13]Resumen!$B$6</f>
        <v>0</v>
      </c>
      <c r="C16" s="15">
        <f>[13]Resumen!$C$6</f>
        <v>0</v>
      </c>
      <c r="D16" s="16">
        <f>[13]Resumen!$D$6</f>
        <v>0</v>
      </c>
      <c r="E16" s="14">
        <f>[13]Resumen!$E$6</f>
        <v>0</v>
      </c>
      <c r="F16" s="15">
        <f>[13]Resumen!$F$6</f>
        <v>0</v>
      </c>
      <c r="G16" s="17">
        <f>[13]Resumen!$G$6</f>
        <v>0</v>
      </c>
      <c r="H16" s="18">
        <f>[13]Resumen!$H$6</f>
        <v>0</v>
      </c>
      <c r="I16" s="15">
        <f>[13]Resumen!$I$6</f>
        <v>0</v>
      </c>
      <c r="J16" s="16">
        <f>[13]Resumen!$J$6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[14]Resumen!$B$6</f>
        <v>0</v>
      </c>
      <c r="C17" s="15">
        <f>[14]Resumen!$C$6</f>
        <v>0</v>
      </c>
      <c r="D17" s="16">
        <f>[14]Resumen!$D$6</f>
        <v>0</v>
      </c>
      <c r="E17" s="14">
        <f>[14]Resumen!$E$6</f>
        <v>0</v>
      </c>
      <c r="F17" s="15">
        <f>[14]Resumen!$F$6</f>
        <v>0</v>
      </c>
      <c r="G17" s="17">
        <f>[14]Resumen!$G$6</f>
        <v>0</v>
      </c>
      <c r="H17" s="18">
        <f>[14]Resumen!$H$6</f>
        <v>0</v>
      </c>
      <c r="I17" s="15">
        <f>[14]Resumen!$I$6</f>
        <v>0</v>
      </c>
      <c r="J17" s="16">
        <f>[14]Resumen!$J$6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[15]Resumen!$B$6</f>
        <v>3000</v>
      </c>
      <c r="C18" s="15">
        <f>[15]Resumen!$C$6</f>
        <v>350</v>
      </c>
      <c r="D18" s="16">
        <f>[15]Resumen!$D$6</f>
        <v>0</v>
      </c>
      <c r="E18" s="14">
        <f>[15]Resumen!$E$6</f>
        <v>0</v>
      </c>
      <c r="F18" s="15">
        <f>[15]Resumen!$F$6</f>
        <v>2650</v>
      </c>
      <c r="G18" s="17">
        <f>[15]Resumen!$G$6</f>
        <v>0</v>
      </c>
      <c r="H18" s="18">
        <f>[15]Resumen!$H$6</f>
        <v>0</v>
      </c>
      <c r="I18" s="15">
        <f>[15]Resumen!$I$6</f>
        <v>0</v>
      </c>
      <c r="J18" s="16">
        <f>[15]Resumen!$J$6</f>
        <v>0</v>
      </c>
      <c r="K18" s="19">
        <f t="shared" si="1"/>
        <v>3000</v>
      </c>
      <c r="L18" s="15">
        <f t="shared" si="4"/>
        <v>3000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[16]Resumen!$B$6</f>
        <v>0</v>
      </c>
      <c r="C19" s="15">
        <f>[16]Resumen!$C$6</f>
        <v>0</v>
      </c>
      <c r="D19" s="16">
        <f>[16]Resumen!$D$6</f>
        <v>0</v>
      </c>
      <c r="E19" s="14">
        <f>[16]Resumen!$E$6</f>
        <v>0</v>
      </c>
      <c r="F19" s="15">
        <f>[16]Resumen!$F$6</f>
        <v>0</v>
      </c>
      <c r="G19" s="17">
        <f>[16]Resumen!$G$6</f>
        <v>0</v>
      </c>
      <c r="H19" s="18">
        <f>[16]Resumen!$H$6</f>
        <v>0</v>
      </c>
      <c r="I19" s="15">
        <f>[16]Resumen!$I$6</f>
        <v>0</v>
      </c>
      <c r="J19" s="16">
        <f>[16]Resumen!$J$6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[17]Resumen!$B$6</f>
        <v>8750</v>
      </c>
      <c r="C20" s="15">
        <f>[17]Resumen!$C$6</f>
        <v>1050</v>
      </c>
      <c r="D20" s="16">
        <f>[17]Resumen!$D$6</f>
        <v>0</v>
      </c>
      <c r="E20" s="14">
        <f>[17]Resumen!$E$6</f>
        <v>0</v>
      </c>
      <c r="F20" s="15">
        <f>[17]Resumen!$F$6</f>
        <v>7700</v>
      </c>
      <c r="G20" s="17">
        <f>[17]Resumen!$G$6</f>
        <v>0</v>
      </c>
      <c r="H20" s="18">
        <f>[17]Resumen!$H$6</f>
        <v>0</v>
      </c>
      <c r="I20" s="15">
        <f>[17]Resumen!$I$6</f>
        <v>0</v>
      </c>
      <c r="J20" s="16">
        <f>[17]Resumen!$J$6</f>
        <v>0</v>
      </c>
      <c r="K20" s="19">
        <f t="shared" si="1"/>
        <v>8750</v>
      </c>
      <c r="L20" s="15">
        <f t="shared" si="4"/>
        <v>8750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[18]Vendedor4!$J$4</f>
        <v>0</v>
      </c>
      <c r="C21" s="81">
        <f>[18]Vendedor4!$K$4</f>
        <v>0</v>
      </c>
      <c r="D21" s="82">
        <f>[18]Vendedor4!$L$4</f>
        <v>0</v>
      </c>
      <c r="E21" s="14">
        <f>[18]Vendedor4!$J$5</f>
        <v>0</v>
      </c>
      <c r="F21" s="81">
        <f>[18]Vendedor4!$K$5</f>
        <v>0</v>
      </c>
      <c r="G21" s="85">
        <f>[18]Vendedor4!$L$5</f>
        <v>0</v>
      </c>
      <c r="H21" s="19">
        <f>[18]Vendedor4!$J$6</f>
        <v>0</v>
      </c>
      <c r="I21" s="15">
        <f>[18]Vendedor4!$K$6</f>
        <v>0</v>
      </c>
      <c r="J21" s="17">
        <f>[18]Vendedor4!$L$6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[19]Vendedor4!$J$4</f>
        <v>0</v>
      </c>
      <c r="C22" s="81">
        <f>[19]Vendedor4!$K$4</f>
        <v>0</v>
      </c>
      <c r="D22" s="82">
        <f>[19]Vendedor4!$L$4</f>
        <v>0</v>
      </c>
      <c r="E22" s="14">
        <f>[19]Vendedor4!$J$5</f>
        <v>0</v>
      </c>
      <c r="F22" s="81">
        <f>[19]Vendedor4!$K$5</f>
        <v>0</v>
      </c>
      <c r="G22" s="85">
        <f>[19]Vendedor4!$L$5</f>
        <v>0</v>
      </c>
      <c r="H22" s="19">
        <f>[19]Vendedor4!$J$6</f>
        <v>0</v>
      </c>
      <c r="I22" s="15">
        <f>[19]Vendedor4!$K$6</f>
        <v>0</v>
      </c>
      <c r="J22" s="17">
        <f>[19]Vendedor4!$L$6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[20]Vendedor4!$J$4</f>
        <v>0</v>
      </c>
      <c r="C23" s="81">
        <f>[20]Vendedor4!$K$4</f>
        <v>0</v>
      </c>
      <c r="D23" s="82">
        <f>[20]Vendedor4!$L$4</f>
        <v>0</v>
      </c>
      <c r="E23" s="14">
        <f>[20]Vendedor4!$J$5</f>
        <v>0</v>
      </c>
      <c r="F23" s="81">
        <f>[20]Vendedor4!$K$5</f>
        <v>0</v>
      </c>
      <c r="G23" s="85">
        <f>[20]Vendedor4!$L$5</f>
        <v>0</v>
      </c>
      <c r="H23" s="19">
        <f>[20]Vendedor4!$J$6</f>
        <v>0</v>
      </c>
      <c r="I23" s="15">
        <f>[20]Vendedor4!$K$6</f>
        <v>0</v>
      </c>
      <c r="J23" s="17">
        <f>[20]Vendedor4!$L$6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[21]Vendedor4!$J$4</f>
        <v>0</v>
      </c>
      <c r="C24" s="81">
        <f>[21]Vendedor4!$K$4</f>
        <v>0</v>
      </c>
      <c r="D24" s="82">
        <f>[21]Vendedor4!$L$4</f>
        <v>0</v>
      </c>
      <c r="E24" s="14">
        <f>[21]Vendedor4!$J$5</f>
        <v>0</v>
      </c>
      <c r="F24" s="81">
        <f>[21]Vendedor4!$K$5</f>
        <v>0</v>
      </c>
      <c r="G24" s="85">
        <f>[21]Vendedor4!$L$5</f>
        <v>0</v>
      </c>
      <c r="H24" s="19">
        <f>[21]Vendedor4!$J$6</f>
        <v>0</v>
      </c>
      <c r="I24" s="15">
        <f>[21]Vendedor4!$K$6</f>
        <v>0</v>
      </c>
      <c r="J24" s="17">
        <f>[21]Vendedor4!$L$6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[22]Vendedor4!$J$4</f>
        <v>0</v>
      </c>
      <c r="C25" s="81">
        <f>[22]Vendedor4!$K$4</f>
        <v>0</v>
      </c>
      <c r="D25" s="82">
        <f>[22]Vendedor4!$L$4</f>
        <v>0</v>
      </c>
      <c r="E25" s="14">
        <f>[22]Vendedor4!$J$5</f>
        <v>0</v>
      </c>
      <c r="F25" s="81">
        <f>[22]Vendedor4!$K$5</f>
        <v>0</v>
      </c>
      <c r="G25" s="85">
        <f>[22]Vendedor4!$L$5</f>
        <v>0</v>
      </c>
      <c r="H25" s="19">
        <f>[22]Vendedor4!$J$6</f>
        <v>0</v>
      </c>
      <c r="I25" s="15">
        <f>[22]Vendedor4!$K$6</f>
        <v>0</v>
      </c>
      <c r="J25" s="17">
        <f>[22]Vendedor4!$L$6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[23]Vendedor4!$J$4</f>
        <v>0</v>
      </c>
      <c r="C26" s="81">
        <f>[23]Vendedor4!$K$4</f>
        <v>0</v>
      </c>
      <c r="D26" s="82">
        <f>[23]Vendedor4!$L$4</f>
        <v>0</v>
      </c>
      <c r="E26" s="14">
        <f>[23]Vendedor4!$J$5</f>
        <v>0</v>
      </c>
      <c r="F26" s="81">
        <f>[23]Vendedor4!$K$5</f>
        <v>0</v>
      </c>
      <c r="G26" s="85">
        <f>[23]Vendedor4!$L$5</f>
        <v>0</v>
      </c>
      <c r="H26" s="19">
        <f>[23]Vendedor4!$J$6</f>
        <v>0</v>
      </c>
      <c r="I26" s="15">
        <f>[23]Vendedor4!$K$6</f>
        <v>0</v>
      </c>
      <c r="J26" s="17">
        <f>[23]Vendedor4!$L$6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[24]Vendedor4!$J$4</f>
        <v>1000</v>
      </c>
      <c r="C27" s="81">
        <f>[24]Vendedor4!$K$4</f>
        <v>120</v>
      </c>
      <c r="D27" s="82">
        <f>[24]Vendedor4!$L$4</f>
        <v>0</v>
      </c>
      <c r="E27" s="14">
        <f>[24]Vendedor4!$J$5</f>
        <v>0</v>
      </c>
      <c r="F27" s="81">
        <f>[24]Vendedor4!$K$5</f>
        <v>0</v>
      </c>
      <c r="G27" s="85">
        <f>[24]Vendedor4!$L$5</f>
        <v>0</v>
      </c>
      <c r="H27" s="19">
        <f>[24]Vendedor4!$J$6</f>
        <v>0</v>
      </c>
      <c r="I27" s="15">
        <f>[24]Vendedor4!$K$6</f>
        <v>0</v>
      </c>
      <c r="J27" s="17">
        <f>[24]Vendedor4!$L$6</f>
        <v>0</v>
      </c>
      <c r="K27" s="19">
        <f t="shared" si="1"/>
        <v>1000</v>
      </c>
      <c r="L27" s="15">
        <f t="shared" si="4"/>
        <v>120</v>
      </c>
      <c r="M27" s="15">
        <f t="shared" si="2"/>
        <v>0</v>
      </c>
      <c r="N27" s="15">
        <v>0</v>
      </c>
      <c r="O27" s="17">
        <f t="shared" si="3"/>
        <v>880</v>
      </c>
    </row>
    <row r="28" spans="1:15">
      <c r="A28" s="13" t="s">
        <v>37</v>
      </c>
      <c r="B28" s="14">
        <f>[25]Vendedor4!$J$4</f>
        <v>0</v>
      </c>
      <c r="C28" s="81">
        <f>[25]Vendedor4!$K$4</f>
        <v>0</v>
      </c>
      <c r="D28" s="82">
        <f>[25]Vendedor4!$L$4</f>
        <v>0</v>
      </c>
      <c r="E28" s="14">
        <f>[25]Vendedor4!$J$5</f>
        <v>0</v>
      </c>
      <c r="F28" s="81">
        <f>[25]Vendedor4!$K$5</f>
        <v>0</v>
      </c>
      <c r="G28" s="85">
        <f>[25]Vendedor4!$L$5</f>
        <v>0</v>
      </c>
      <c r="H28" s="19">
        <f>[25]Vendedor4!$J$6</f>
        <v>0</v>
      </c>
      <c r="I28" s="15">
        <f>[25]Vendedor4!$K$6</f>
        <v>0</v>
      </c>
      <c r="J28" s="17">
        <f>[25]Vendedor4!$L$6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[26]Vendedor4!$J$4</f>
        <v>0</v>
      </c>
      <c r="C29" s="81">
        <f>[26]Vendedor4!$K$4</f>
        <v>0</v>
      </c>
      <c r="D29" s="82">
        <f>[26]Vendedor4!$L$4</f>
        <v>0</v>
      </c>
      <c r="E29" s="14">
        <f>[26]Vendedor4!$J$5</f>
        <v>0</v>
      </c>
      <c r="F29" s="81">
        <f>[26]Vendedor4!$K$5</f>
        <v>0</v>
      </c>
      <c r="G29" s="85">
        <f>[26]Vendedor4!$L$5</f>
        <v>0</v>
      </c>
      <c r="H29" s="19">
        <f>[26]Vendedor4!$J$6</f>
        <v>0</v>
      </c>
      <c r="I29" s="15">
        <f>[26]Vendedor4!$K$6</f>
        <v>0</v>
      </c>
      <c r="J29" s="17">
        <f>[26]Vendedor4!$L$6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[27]Vendedor4!$J$4</f>
        <v>0</v>
      </c>
      <c r="C30" s="81">
        <f>[27]Vendedor4!$K$4</f>
        <v>0</v>
      </c>
      <c r="D30" s="82">
        <f>[27]Vendedor4!$L$4</f>
        <v>0</v>
      </c>
      <c r="E30" s="14">
        <f>[27]Vendedor4!$J$5</f>
        <v>0</v>
      </c>
      <c r="F30" s="81">
        <f>[27]Vendedor4!$K$5</f>
        <v>0</v>
      </c>
      <c r="G30" s="85">
        <f>[27]Vendedor4!$L$5</f>
        <v>0</v>
      </c>
      <c r="H30" s="19">
        <f>[27]Vendedor4!$J$6</f>
        <v>0</v>
      </c>
      <c r="I30" s="15">
        <f>[27]Vendedor4!$K$6</f>
        <v>0</v>
      </c>
      <c r="J30" s="17">
        <f>[27]Vendedor4!$L$6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[28]Vendedor4!$J$4</f>
        <v>8000</v>
      </c>
      <c r="C31" s="81">
        <f>[28]Vendedor4!$K$4</f>
        <v>960</v>
      </c>
      <c r="D31" s="82">
        <f>[28]Vendedor4!$L$4</f>
        <v>0</v>
      </c>
      <c r="E31" s="14">
        <f>[28]Vendedor4!$J$5</f>
        <v>0</v>
      </c>
      <c r="F31" s="81">
        <f>[28]Vendedor4!$K$5</f>
        <v>0</v>
      </c>
      <c r="G31" s="85">
        <f>[28]Vendedor4!$L$5</f>
        <v>0</v>
      </c>
      <c r="H31" s="19">
        <f>[28]Vendedor4!$J$6</f>
        <v>0</v>
      </c>
      <c r="I31" s="15">
        <f>[28]Vendedor4!$K$6</f>
        <v>0</v>
      </c>
      <c r="J31" s="17">
        <f>[28]Vendedor4!$L$6</f>
        <v>0</v>
      </c>
      <c r="K31" s="19">
        <f t="shared" si="1"/>
        <v>8000</v>
      </c>
      <c r="L31" s="15">
        <f t="shared" si="4"/>
        <v>960</v>
      </c>
      <c r="M31" s="15">
        <f t="shared" si="2"/>
        <v>0</v>
      </c>
      <c r="N31" s="15">
        <v>0</v>
      </c>
      <c r="O31" s="17">
        <f t="shared" si="3"/>
        <v>7040</v>
      </c>
    </row>
    <row r="32" spans="1:15">
      <c r="A32" s="20" t="s">
        <v>41</v>
      </c>
      <c r="B32" s="14">
        <f>[29]Vendedor4!$J$4</f>
        <v>0</v>
      </c>
      <c r="C32" s="81">
        <f>[29]Vendedor4!$K$4</f>
        <v>0</v>
      </c>
      <c r="D32" s="82">
        <f>[29]Vendedor4!$L$4</f>
        <v>0</v>
      </c>
      <c r="E32" s="14">
        <f>[29]Vendedor4!$J$5</f>
        <v>0</v>
      </c>
      <c r="F32" s="81">
        <f>[29]Vendedor4!$K$5</f>
        <v>0</v>
      </c>
      <c r="G32" s="85">
        <f>[29]Vendedor4!$L$5</f>
        <v>0</v>
      </c>
      <c r="H32" s="19">
        <f>[29]Vendedor4!$J$6</f>
        <v>0</v>
      </c>
      <c r="I32" s="15">
        <f>[29]Vendedor4!$K$6</f>
        <v>0</v>
      </c>
      <c r="J32" s="17">
        <f>[29]Vendedor4!$L$6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[30]Vendedor4!$J$4</f>
        <v>0</v>
      </c>
      <c r="C33" s="81">
        <f>[30]Vendedor4!$K$4</f>
        <v>0</v>
      </c>
      <c r="D33" s="82">
        <f>[30]Vendedor4!$L$4</f>
        <v>0</v>
      </c>
      <c r="E33" s="14">
        <f>[30]Vendedor4!$J$5</f>
        <v>0</v>
      </c>
      <c r="F33" s="81">
        <f>[30]Vendedor4!$K$5</f>
        <v>0</v>
      </c>
      <c r="G33" s="85">
        <f>[30]Vendedor4!$L$5</f>
        <v>0</v>
      </c>
      <c r="H33" s="19">
        <f>[30]Vendedor4!$J$6</f>
        <v>0</v>
      </c>
      <c r="I33" s="15">
        <f>[30]Vendedor4!$K$6</f>
        <v>0</v>
      </c>
      <c r="J33" s="17">
        <f>[30]Vendedor4!$L$6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[31]Vendedor4!$J$4</f>
        <v>0</v>
      </c>
      <c r="C34" s="81">
        <f>[31]Vendedor4!$K$4</f>
        <v>0</v>
      </c>
      <c r="D34" s="82">
        <f>[31]Vendedor4!$L$4</f>
        <v>0</v>
      </c>
      <c r="E34" s="14">
        <f>[31]Vendedor4!$J$5</f>
        <v>0</v>
      </c>
      <c r="F34" s="81">
        <f>[31]Vendedor4!$K$5</f>
        <v>0</v>
      </c>
      <c r="G34" s="85">
        <f>[31]Vendedor4!$L$5</f>
        <v>0</v>
      </c>
      <c r="H34" s="19">
        <f>[31]Vendedor4!$J$6</f>
        <v>0</v>
      </c>
      <c r="I34" s="15">
        <f>[31]Vendedor4!$K$6</f>
        <v>0</v>
      </c>
      <c r="J34" s="17">
        <f>[31]Vendedor4!$L$6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[1]Vendedor4!$J$4</f>
        <v>0</v>
      </c>
      <c r="C35" s="81">
        <f>[1]Vendedor4!$K$4</f>
        <v>0</v>
      </c>
      <c r="D35" s="82">
        <f>[1]Vendedor4!$L$4</f>
        <v>0</v>
      </c>
      <c r="E35" s="14">
        <f>[1]Vendedor4!$J$5</f>
        <v>0</v>
      </c>
      <c r="F35" s="81">
        <f>[1]Vendedor4!$K$5</f>
        <v>0</v>
      </c>
      <c r="G35" s="85">
        <f>[1]Vendedor4!$L$5</f>
        <v>0</v>
      </c>
      <c r="H35" s="19">
        <f>[1]Vendedor4!$J$6</f>
        <v>0</v>
      </c>
      <c r="I35" s="15">
        <f>[1]Vendedor4!$K$6</f>
        <v>0</v>
      </c>
      <c r="J35" s="17">
        <f>[1]Vendedor4!$L$6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[2]Vendedor4!$J$4</f>
        <v>5000</v>
      </c>
      <c r="C36" s="83">
        <f>[2]Vendedor4!$K$4</f>
        <v>600</v>
      </c>
      <c r="D36" s="84">
        <f>[2]Vendedor4!$L$4</f>
        <v>0</v>
      </c>
      <c r="E36" s="21">
        <f>[2]Vendedor4!$J$5</f>
        <v>0</v>
      </c>
      <c r="F36" s="83">
        <f>[2]Vendedor4!$K$5</f>
        <v>0</v>
      </c>
      <c r="G36" s="86">
        <f>[2]Vendedor4!$L$5</f>
        <v>0</v>
      </c>
      <c r="H36" s="26">
        <f>[2]Vendedor4!$J$6</f>
        <v>0</v>
      </c>
      <c r="I36" s="22">
        <f>[2]Vendedor4!$K$6</f>
        <v>0</v>
      </c>
      <c r="J36" s="24">
        <f>[2]Vendedor4!$L$6</f>
        <v>0</v>
      </c>
      <c r="K36" s="26">
        <f t="shared" si="1"/>
        <v>5000</v>
      </c>
      <c r="L36" s="22">
        <f t="shared" si="4"/>
        <v>600</v>
      </c>
      <c r="M36" s="22">
        <f t="shared" si="2"/>
        <v>0</v>
      </c>
      <c r="N36" s="22">
        <v>0</v>
      </c>
      <c r="O36" s="24">
        <f t="shared" si="3"/>
        <v>4400</v>
      </c>
    </row>
    <row r="37" spans="1:15" ht="15.75">
      <c r="A37" s="5" t="s">
        <v>46</v>
      </c>
      <c r="B37" s="27">
        <f t="shared" ref="B37:M37" si="5">SUM(B6:B36)</f>
        <v>36750</v>
      </c>
      <c r="C37" s="28">
        <f t="shared" si="5"/>
        <v>4380</v>
      </c>
      <c r="D37" s="29">
        <f t="shared" si="5"/>
        <v>0</v>
      </c>
      <c r="E37" s="30">
        <f t="shared" si="5"/>
        <v>0</v>
      </c>
      <c r="F37" s="28">
        <f t="shared" si="5"/>
        <v>20050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36750</v>
      </c>
      <c r="L37" s="28">
        <f t="shared" si="5"/>
        <v>24430</v>
      </c>
      <c r="M37" s="28">
        <f t="shared" si="5"/>
        <v>0</v>
      </c>
      <c r="N37" s="32">
        <f>SUM(N5:N36)</f>
        <v>0</v>
      </c>
      <c r="O37" s="33">
        <f>SUM(O5:O36)</f>
        <v>12320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7"/>
  <sheetViews>
    <sheetView showGridLines="0" zoomScale="90" zoomScaleNormal="90" workbookViewId="0">
      <selection activeCell="L37" sqref="L3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55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.75" thickBot="1"/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>
      <c r="A6" s="20" t="s">
        <v>49</v>
      </c>
      <c r="B6" s="53">
        <f>[3]Vendedor5!$J$4</f>
        <v>204850</v>
      </c>
      <c r="C6" s="58">
        <f>[3]Vendedor5!$K$4</f>
        <v>24582</v>
      </c>
      <c r="D6" s="54">
        <f>[3]Vendedor5!$L$4</f>
        <v>0</v>
      </c>
      <c r="E6" s="53">
        <f>[3]Vendedor5!$J$5</f>
        <v>199800</v>
      </c>
      <c r="F6" s="58">
        <f>[3]Vendedor5!$K$5</f>
        <v>23976</v>
      </c>
      <c r="G6" s="55">
        <f>[3]Vendedor5!$L$5</f>
        <v>184000</v>
      </c>
      <c r="H6" s="61">
        <f>[3]Vendedor5!$J$7</f>
        <v>22400</v>
      </c>
      <c r="I6" s="58">
        <f>[3]Vendedor5!$K$7</f>
        <v>2688</v>
      </c>
      <c r="J6" s="54">
        <f>[3]Vendedor5!$L$7</f>
        <v>48000</v>
      </c>
      <c r="K6" s="59">
        <f>+B6+E6+H6</f>
        <v>427050</v>
      </c>
      <c r="L6" s="58">
        <f>MROUND(C6+F6+I6,50)</f>
        <v>51250</v>
      </c>
      <c r="M6" s="58">
        <f t="shared" ref="M6:M36" si="1">+D6+G6+J6</f>
        <v>232000</v>
      </c>
      <c r="N6" s="58">
        <v>0</v>
      </c>
      <c r="O6" s="55">
        <f t="shared" si="0"/>
        <v>143800</v>
      </c>
    </row>
    <row r="7" spans="1:15">
      <c r="A7" s="13" t="s">
        <v>50</v>
      </c>
      <c r="B7" s="14">
        <f>[4]Vendedor5!$J$4</f>
        <v>134550</v>
      </c>
      <c r="C7" s="15">
        <f>[4]Vendedor5!$K$4</f>
        <v>16146</v>
      </c>
      <c r="D7" s="16">
        <f>[4]Vendedor5!$L$4</f>
        <v>80750</v>
      </c>
      <c r="E7" s="14">
        <f>[4]Vendedor5!$J$5</f>
        <v>147800</v>
      </c>
      <c r="F7" s="15">
        <f>[4]Vendedor5!$K$5</f>
        <v>17736</v>
      </c>
      <c r="G7" s="17">
        <f>[4]Vendedor5!$L$5</f>
        <v>84000</v>
      </c>
      <c r="H7" s="18">
        <f>[4]Vendedor5!$J$7</f>
        <v>39900</v>
      </c>
      <c r="I7" s="15">
        <f>[4]Vendedor5!$K$7</f>
        <v>4788</v>
      </c>
      <c r="J7" s="16">
        <f>[4]Vendedor5!$L$7</f>
        <v>24000</v>
      </c>
      <c r="K7" s="19">
        <f>+B7+E7+H7</f>
        <v>322250</v>
      </c>
      <c r="L7" s="15">
        <f>MROUND(C7+F7+I7,50)</f>
        <v>38650</v>
      </c>
      <c r="M7" s="15">
        <f t="shared" si="1"/>
        <v>188750</v>
      </c>
      <c r="N7" s="15">
        <v>0</v>
      </c>
      <c r="O7" s="17">
        <f t="shared" si="0"/>
        <v>94850</v>
      </c>
    </row>
    <row r="8" spans="1:15">
      <c r="A8" s="20" t="s">
        <v>51</v>
      </c>
      <c r="B8" s="14">
        <f>[5]Vendedor5!$J$4</f>
        <v>153150</v>
      </c>
      <c r="C8" s="15">
        <f>[5]Vendedor5!$K$4</f>
        <v>18378</v>
      </c>
      <c r="D8" s="16">
        <f>[5]Vendedor5!$L$4</f>
        <v>114750</v>
      </c>
      <c r="E8" s="14">
        <f>[5]Vendedor5!$J$5</f>
        <v>121100</v>
      </c>
      <c r="F8" s="15">
        <f>[5]Vendedor5!$K$5</f>
        <v>14532</v>
      </c>
      <c r="G8" s="17">
        <f>[5]Vendedor5!$L$5</f>
        <v>272000</v>
      </c>
      <c r="H8" s="18">
        <f>[5]Vendedor5!$J$7</f>
        <v>23250</v>
      </c>
      <c r="I8" s="15">
        <f>[5]Vendedor5!$K$7</f>
        <v>2790</v>
      </c>
      <c r="J8" s="16">
        <f>[5]Vendedor5!$L$7</f>
        <v>0</v>
      </c>
      <c r="K8" s="19">
        <f>+B8+E8+H8</f>
        <v>297500</v>
      </c>
      <c r="L8" s="15">
        <f t="shared" ref="L8:L36" si="2">MROUND(C8+F8+I8,50)</f>
        <v>35700</v>
      </c>
      <c r="M8" s="15">
        <f t="shared" si="1"/>
        <v>386750</v>
      </c>
      <c r="N8" s="15">
        <v>0</v>
      </c>
      <c r="O8" s="17">
        <f t="shared" si="0"/>
        <v>-124950</v>
      </c>
    </row>
    <row r="9" spans="1:15">
      <c r="A9" s="13" t="s">
        <v>52</v>
      </c>
      <c r="B9" s="14">
        <f>[6]Vendedor5!$J$4</f>
        <v>0</v>
      </c>
      <c r="C9" s="15">
        <f>[6]Vendedor5!$K$4</f>
        <v>0</v>
      </c>
      <c r="D9" s="16">
        <f>[6]Vendedor5!$L$4</f>
        <v>0</v>
      </c>
      <c r="E9" s="14">
        <f>[6]Vendedor5!$J$5</f>
        <v>0</v>
      </c>
      <c r="F9" s="15">
        <f>[6]Vendedor5!$K$5</f>
        <v>0</v>
      </c>
      <c r="G9" s="17">
        <f>[6]Vendedor5!$L$5</f>
        <v>0</v>
      </c>
      <c r="H9" s="18">
        <f>[6]Vendedor5!$J$7</f>
        <v>0</v>
      </c>
      <c r="I9" s="15">
        <f>[6]Vendedor5!$K$7</f>
        <v>0</v>
      </c>
      <c r="J9" s="16">
        <f>[6]Vendedor5!$L$7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>
      <c r="A10" s="20" t="s">
        <v>53</v>
      </c>
      <c r="B10" s="14">
        <f>[7]Vendedor5!$J$4</f>
        <v>130200</v>
      </c>
      <c r="C10" s="15">
        <f>[7]Vendedor5!$K$4</f>
        <v>15624</v>
      </c>
      <c r="D10" s="16">
        <f>[7]Vendedor5!$L$4</f>
        <v>0</v>
      </c>
      <c r="E10" s="14">
        <f>[7]Vendedor5!$J$5</f>
        <v>149650</v>
      </c>
      <c r="F10" s="15">
        <f>[7]Vendedor5!$K$5</f>
        <v>17958</v>
      </c>
      <c r="G10" s="17">
        <f>[7]Vendedor5!$L$5</f>
        <v>116000</v>
      </c>
      <c r="H10" s="18">
        <f>[7]Vendedor5!$J$7</f>
        <v>26000</v>
      </c>
      <c r="I10" s="15">
        <f>[7]Vendedor5!$K$7</f>
        <v>3120</v>
      </c>
      <c r="J10" s="16">
        <f>[7]Vendedor5!$L$7</f>
        <v>0</v>
      </c>
      <c r="K10" s="19">
        <f t="shared" ref="K10:K36" si="3">+B10+E10+H10</f>
        <v>305850</v>
      </c>
      <c r="L10" s="15">
        <f t="shared" si="2"/>
        <v>36700</v>
      </c>
      <c r="M10" s="15">
        <f t="shared" si="1"/>
        <v>116000</v>
      </c>
      <c r="N10" s="15">
        <v>0</v>
      </c>
      <c r="O10" s="17">
        <f t="shared" si="0"/>
        <v>153150</v>
      </c>
    </row>
    <row r="11" spans="1:15">
      <c r="A11" s="13" t="s">
        <v>20</v>
      </c>
      <c r="B11" s="14">
        <f>[8]Vendedor5!$J$4</f>
        <v>181850</v>
      </c>
      <c r="C11" s="15">
        <f>[8]Vendedor5!$K$4</f>
        <v>21822</v>
      </c>
      <c r="D11" s="16">
        <f>[8]Vendedor5!$L$4</f>
        <v>365500</v>
      </c>
      <c r="E11" s="14">
        <f>[8]Vendedor5!$J$5</f>
        <v>183500</v>
      </c>
      <c r="F11" s="15">
        <f>[8]Vendedor5!$K$5</f>
        <v>22020</v>
      </c>
      <c r="G11" s="17">
        <f>[8]Vendedor5!$L$5</f>
        <v>36000</v>
      </c>
      <c r="H11" s="18">
        <f>[8]Vendedor5!$J$7</f>
        <v>58850</v>
      </c>
      <c r="I11" s="15">
        <f>[8]Vendedor5!$K$7</f>
        <v>7062</v>
      </c>
      <c r="J11" s="16">
        <f>[8]Vendedor5!$L$7</f>
        <v>24000</v>
      </c>
      <c r="K11" s="19">
        <f t="shared" si="3"/>
        <v>424200</v>
      </c>
      <c r="L11" s="15">
        <f t="shared" si="2"/>
        <v>50900</v>
      </c>
      <c r="M11" s="15">
        <f t="shared" si="1"/>
        <v>425500</v>
      </c>
      <c r="N11" s="15">
        <v>0</v>
      </c>
      <c r="O11" s="17">
        <f t="shared" si="0"/>
        <v>-52200</v>
      </c>
    </row>
    <row r="12" spans="1:15">
      <c r="A12" s="20" t="s">
        <v>21</v>
      </c>
      <c r="B12" s="14">
        <f>[9]Vendedor5!$J$4</f>
        <v>200000</v>
      </c>
      <c r="C12" s="15">
        <f>[9]Vendedor5!$K$4</f>
        <v>24000</v>
      </c>
      <c r="D12" s="16">
        <f>[9]Vendedor5!$L$4</f>
        <v>250750</v>
      </c>
      <c r="E12" s="14">
        <f>[9]Vendedor5!$J$5</f>
        <v>158200</v>
      </c>
      <c r="F12" s="15">
        <f>[9]Vendedor5!$K$5</f>
        <v>18984</v>
      </c>
      <c r="G12" s="17">
        <f>[9]Vendedor5!$L$5</f>
        <v>212000</v>
      </c>
      <c r="H12" s="18">
        <f>[9]Vendedor5!$J$7</f>
        <v>56900</v>
      </c>
      <c r="I12" s="15">
        <f>[9]Vendedor5!$K$7</f>
        <v>6828</v>
      </c>
      <c r="J12" s="16">
        <f>[9]Vendedor5!$L$7</f>
        <v>0</v>
      </c>
      <c r="K12" s="19">
        <f t="shared" si="3"/>
        <v>415100</v>
      </c>
      <c r="L12" s="15">
        <f t="shared" si="2"/>
        <v>49800</v>
      </c>
      <c r="M12" s="15">
        <f t="shared" si="1"/>
        <v>462750</v>
      </c>
      <c r="N12" s="15">
        <v>0</v>
      </c>
      <c r="O12" s="17">
        <f t="shared" si="0"/>
        <v>-97450</v>
      </c>
    </row>
    <row r="13" spans="1:15">
      <c r="A13" s="13" t="s">
        <v>22</v>
      </c>
      <c r="B13" s="14">
        <f>[10]Vendedor5!$J$4</f>
        <v>0</v>
      </c>
      <c r="C13" s="15">
        <f>[10]Vendedor5!$K$4</f>
        <v>0</v>
      </c>
      <c r="D13" s="16">
        <f>[10]Vendedor5!$L$4</f>
        <v>0</v>
      </c>
      <c r="E13" s="14">
        <f>[10]Vendedor5!$J$5</f>
        <v>0</v>
      </c>
      <c r="F13" s="15">
        <f>[10]Vendedor5!$K$5</f>
        <v>0</v>
      </c>
      <c r="G13" s="17">
        <f>[10]Vendedor5!$L$5</f>
        <v>0</v>
      </c>
      <c r="H13" s="18">
        <f>[10]Vendedor5!$J$7</f>
        <v>0</v>
      </c>
      <c r="I13" s="15">
        <f>[10]Vendedor5!$K$7</f>
        <v>0</v>
      </c>
      <c r="J13" s="16">
        <f>[10]Vendedor5!$L$7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>
      <c r="A14" s="20" t="s">
        <v>23</v>
      </c>
      <c r="B14" s="14">
        <f>[11]Vendedor5!$J$4</f>
        <v>195650</v>
      </c>
      <c r="C14" s="15">
        <f>[11]Vendedor5!$K$4</f>
        <v>23478</v>
      </c>
      <c r="D14" s="16">
        <f>[11]Vendedor5!$L$4</f>
        <v>187000</v>
      </c>
      <c r="E14" s="14">
        <f>[11]Vendedor5!$J$5</f>
        <v>147050</v>
      </c>
      <c r="F14" s="15">
        <f>[11]Vendedor5!$K$5</f>
        <v>17646</v>
      </c>
      <c r="G14" s="17">
        <f>[11]Vendedor5!$L$5</f>
        <v>200000</v>
      </c>
      <c r="H14" s="18">
        <f>[11]Vendedor5!$J$7</f>
        <v>32750</v>
      </c>
      <c r="I14" s="15">
        <f>[11]Vendedor5!$K$7</f>
        <v>3930</v>
      </c>
      <c r="J14" s="16">
        <f>[11]Vendedor5!$L$7</f>
        <v>0</v>
      </c>
      <c r="K14" s="19">
        <f t="shared" si="3"/>
        <v>375450</v>
      </c>
      <c r="L14" s="15">
        <f t="shared" si="2"/>
        <v>45050</v>
      </c>
      <c r="M14" s="15">
        <f t="shared" si="1"/>
        <v>387000</v>
      </c>
      <c r="N14" s="15">
        <v>0</v>
      </c>
      <c r="O14" s="17">
        <f t="shared" si="0"/>
        <v>-56600</v>
      </c>
    </row>
    <row r="15" spans="1:15">
      <c r="A15" s="13" t="s">
        <v>24</v>
      </c>
      <c r="B15" s="14">
        <f>[12]Vendedor5!$J$4</f>
        <v>210000</v>
      </c>
      <c r="C15" s="15">
        <f>[12]Vendedor5!$K$4</f>
        <v>25200</v>
      </c>
      <c r="D15" s="16">
        <f>[12]Vendedor5!$L$4</f>
        <v>72250</v>
      </c>
      <c r="E15" s="14">
        <f>[12]Vendedor5!$J$5</f>
        <v>155350</v>
      </c>
      <c r="F15" s="15">
        <f>[12]Vendedor5!$K$5</f>
        <v>18642</v>
      </c>
      <c r="G15" s="17">
        <f>[12]Vendedor5!$L$5</f>
        <v>124000</v>
      </c>
      <c r="H15" s="18">
        <f>[12]Vendedor5!$J$7</f>
        <v>46600</v>
      </c>
      <c r="I15" s="15">
        <f>[12]Vendedor5!$K$7</f>
        <v>5592</v>
      </c>
      <c r="J15" s="16">
        <f>[12]Vendedor5!$L$7</f>
        <v>24000</v>
      </c>
      <c r="K15" s="19">
        <f t="shared" si="3"/>
        <v>411950</v>
      </c>
      <c r="L15" s="15">
        <f t="shared" si="2"/>
        <v>49450</v>
      </c>
      <c r="M15" s="15">
        <f t="shared" si="1"/>
        <v>220250</v>
      </c>
      <c r="N15" s="15">
        <v>0</v>
      </c>
      <c r="O15" s="17">
        <f t="shared" si="0"/>
        <v>142250</v>
      </c>
    </row>
    <row r="16" spans="1:15">
      <c r="A16" s="20" t="s">
        <v>25</v>
      </c>
      <c r="B16" s="14">
        <f>[13]Vendedor5!$J$4</f>
        <v>11800</v>
      </c>
      <c r="C16" s="15">
        <f>[13]Vendedor5!$K$4</f>
        <v>1416</v>
      </c>
      <c r="D16" s="16">
        <f>[13]Vendedor5!$L$4</f>
        <v>0</v>
      </c>
      <c r="E16" s="14">
        <f>[13]Vendedor5!$J$5</f>
        <v>14200</v>
      </c>
      <c r="F16" s="15">
        <f>[13]Vendedor5!$K$5</f>
        <v>1704</v>
      </c>
      <c r="G16" s="17">
        <f>[13]Vendedor5!$L$5</f>
        <v>0</v>
      </c>
      <c r="H16" s="18">
        <f>[13]Vendedor5!$J$7</f>
        <v>5950</v>
      </c>
      <c r="I16" s="15">
        <f>[13]Vendedor5!$K$7</f>
        <v>714</v>
      </c>
      <c r="J16" s="16">
        <f>[13]Vendedor5!$L$7</f>
        <v>16000</v>
      </c>
      <c r="K16" s="19">
        <f t="shared" si="3"/>
        <v>31950</v>
      </c>
      <c r="L16" s="15">
        <f t="shared" si="2"/>
        <v>3850</v>
      </c>
      <c r="M16" s="15">
        <f t="shared" si="1"/>
        <v>16000</v>
      </c>
      <c r="N16" s="15">
        <v>0</v>
      </c>
      <c r="O16" s="17">
        <f t="shared" si="0"/>
        <v>12100</v>
      </c>
    </row>
    <row r="17" spans="1:15">
      <c r="A17" s="13" t="s">
        <v>26</v>
      </c>
      <c r="B17" s="14">
        <f>[14]Vendedor5!$J$4</f>
        <v>185650</v>
      </c>
      <c r="C17" s="15">
        <f>[14]Vendedor5!$K$4</f>
        <v>22278</v>
      </c>
      <c r="D17" s="16">
        <f>[14]Vendedor5!$L$4</f>
        <v>46750</v>
      </c>
      <c r="E17" s="14">
        <f>[14]Vendedor5!$J$5</f>
        <v>160750</v>
      </c>
      <c r="F17" s="15">
        <f>[14]Vendedor5!$K$5</f>
        <v>19290</v>
      </c>
      <c r="G17" s="17">
        <f>[14]Vendedor5!$L$5</f>
        <v>212000</v>
      </c>
      <c r="H17" s="18">
        <f>[14]Vendedor5!$J$7</f>
        <v>46050</v>
      </c>
      <c r="I17" s="15">
        <f>[14]Vendedor5!$K$7</f>
        <v>5526</v>
      </c>
      <c r="J17" s="16">
        <f>[14]Vendedor5!$L$7</f>
        <v>80000</v>
      </c>
      <c r="K17" s="19">
        <f t="shared" si="3"/>
        <v>392450</v>
      </c>
      <c r="L17" s="15">
        <f t="shared" si="2"/>
        <v>47100</v>
      </c>
      <c r="M17" s="15">
        <f t="shared" si="1"/>
        <v>338750</v>
      </c>
      <c r="N17" s="15">
        <v>0</v>
      </c>
      <c r="O17" s="17">
        <f t="shared" si="0"/>
        <v>6600</v>
      </c>
    </row>
    <row r="18" spans="1:15">
      <c r="A18" s="20" t="s">
        <v>27</v>
      </c>
      <c r="B18" s="14">
        <f>[15]Vendedor5!$J$4</f>
        <v>203300</v>
      </c>
      <c r="C18" s="15">
        <f>[15]Vendedor5!$K$4</f>
        <v>24396</v>
      </c>
      <c r="D18" s="16">
        <f>[15]Vendedor5!$L$4</f>
        <v>187000</v>
      </c>
      <c r="E18" s="14">
        <f>[15]Vendedor5!$J$5</f>
        <v>158850</v>
      </c>
      <c r="F18" s="15">
        <f>[15]Vendedor5!$K$5</f>
        <v>19062</v>
      </c>
      <c r="G18" s="17">
        <f>[15]Vendedor5!$L$5</f>
        <v>8000</v>
      </c>
      <c r="H18" s="18">
        <f>[15]Vendedor5!$J$7</f>
        <v>50050</v>
      </c>
      <c r="I18" s="15">
        <f>[15]Vendedor5!$K$7</f>
        <v>6006</v>
      </c>
      <c r="J18" s="16">
        <f>[15]Vendedor5!$L$7</f>
        <v>32000</v>
      </c>
      <c r="K18" s="19">
        <f t="shared" si="3"/>
        <v>412200</v>
      </c>
      <c r="L18" s="15">
        <f t="shared" si="2"/>
        <v>49450</v>
      </c>
      <c r="M18" s="15">
        <f t="shared" si="1"/>
        <v>227000</v>
      </c>
      <c r="N18" s="15">
        <v>0</v>
      </c>
      <c r="O18" s="17">
        <f t="shared" si="0"/>
        <v>135750</v>
      </c>
    </row>
    <row r="19" spans="1:15">
      <c r="A19" s="20" t="s">
        <v>28</v>
      </c>
      <c r="B19" s="14">
        <f>[16]Vendedor5!$J$4</f>
        <v>207400</v>
      </c>
      <c r="C19" s="15">
        <f>[16]Vendedor5!$K$4</f>
        <v>24888</v>
      </c>
      <c r="D19" s="16">
        <f>[16]Vendedor5!$L$4</f>
        <v>85000</v>
      </c>
      <c r="E19" s="14">
        <f>[16]Vendedor5!$J$5</f>
        <v>201650</v>
      </c>
      <c r="F19" s="15">
        <f>[16]Vendedor5!$K$5</f>
        <v>24198</v>
      </c>
      <c r="G19" s="17">
        <f>[16]Vendedor5!$L$5</f>
        <v>368000</v>
      </c>
      <c r="H19" s="18">
        <f>[16]Vendedor5!$J$7</f>
        <v>36150</v>
      </c>
      <c r="I19" s="15">
        <f>[16]Vendedor5!$K$7</f>
        <v>4338</v>
      </c>
      <c r="J19" s="16">
        <f>[16]Vendedor5!$L$7</f>
        <v>104000</v>
      </c>
      <c r="K19" s="19">
        <f t="shared" si="3"/>
        <v>445200</v>
      </c>
      <c r="L19" s="15">
        <f t="shared" si="2"/>
        <v>53400</v>
      </c>
      <c r="M19" s="15">
        <f t="shared" si="1"/>
        <v>557000</v>
      </c>
      <c r="N19" s="15">
        <v>0</v>
      </c>
      <c r="O19" s="17">
        <f t="shared" si="0"/>
        <v>-165200</v>
      </c>
    </row>
    <row r="20" spans="1:15">
      <c r="A20" s="13" t="s">
        <v>29</v>
      </c>
      <c r="B20" s="14">
        <f>[17]Vendedor5!$J$4</f>
        <v>150000</v>
      </c>
      <c r="C20" s="15">
        <f>[17]Vendedor5!$K$4</f>
        <v>18000</v>
      </c>
      <c r="D20" s="16">
        <f>[17]Vendedor5!$L$4</f>
        <v>89250</v>
      </c>
      <c r="E20" s="14">
        <f>[17]Vendedor5!$J$5</f>
        <v>152600</v>
      </c>
      <c r="F20" s="15">
        <f>[17]Vendedor5!$K$5</f>
        <v>18312</v>
      </c>
      <c r="G20" s="17">
        <f>[17]Vendedor5!$L$5</f>
        <v>88000</v>
      </c>
      <c r="H20" s="18">
        <f>[17]Vendedor5!$J$7</f>
        <v>34200</v>
      </c>
      <c r="I20" s="15">
        <f>[17]Vendedor5!$K$7</f>
        <v>4104</v>
      </c>
      <c r="J20" s="16">
        <f>[17]Vendedor5!$L$7</f>
        <v>0</v>
      </c>
      <c r="K20" s="19">
        <f t="shared" si="3"/>
        <v>336800</v>
      </c>
      <c r="L20" s="15">
        <f t="shared" si="2"/>
        <v>40400</v>
      </c>
      <c r="M20" s="15">
        <f t="shared" si="1"/>
        <v>177250</v>
      </c>
      <c r="N20" s="15">
        <v>0</v>
      </c>
      <c r="O20" s="17">
        <f t="shared" si="0"/>
        <v>119150</v>
      </c>
    </row>
    <row r="21" spans="1:15">
      <c r="A21" s="20" t="s">
        <v>30</v>
      </c>
      <c r="B21" s="14">
        <f>[18]Vendedor5!$J$4</f>
        <v>140650</v>
      </c>
      <c r="C21" s="81">
        <f>[18]Vendedor5!$K$4</f>
        <v>16878</v>
      </c>
      <c r="D21" s="82">
        <f>[18]Vendedor5!$L$4</f>
        <v>250750</v>
      </c>
      <c r="E21" s="14">
        <f>[18]Vendedor5!$J$5</f>
        <v>113950</v>
      </c>
      <c r="F21" s="81">
        <f>[18]Vendedor5!$K$5</f>
        <v>13674</v>
      </c>
      <c r="G21" s="85">
        <f>[18]Vendedor5!$L$5</f>
        <v>0</v>
      </c>
      <c r="H21" s="19">
        <f>[18]Vendedor5!$J$7</f>
        <v>22150</v>
      </c>
      <c r="I21" s="15">
        <f>[18]Vendedor5!$K$7</f>
        <v>2658</v>
      </c>
      <c r="J21" s="17">
        <f>[18]Vendedor5!$L$7</f>
        <v>0</v>
      </c>
      <c r="K21" s="19">
        <f t="shared" si="3"/>
        <v>276750</v>
      </c>
      <c r="L21" s="15">
        <f t="shared" si="2"/>
        <v>33200</v>
      </c>
      <c r="M21" s="15">
        <f t="shared" si="1"/>
        <v>250750</v>
      </c>
      <c r="N21" s="15">
        <v>0</v>
      </c>
      <c r="O21" s="17">
        <f t="shared" si="0"/>
        <v>-7200</v>
      </c>
    </row>
    <row r="22" spans="1:15">
      <c r="A22" s="13" t="s">
        <v>31</v>
      </c>
      <c r="B22" s="14">
        <f>[19]Vendedor5!$J$4</f>
        <v>148500</v>
      </c>
      <c r="C22" s="81">
        <f>[19]Vendedor5!$K$4</f>
        <v>17820</v>
      </c>
      <c r="D22" s="82">
        <f>[19]Vendedor5!$L$4</f>
        <v>161500</v>
      </c>
      <c r="E22" s="14">
        <f>[19]Vendedor5!$J$5</f>
        <v>143200</v>
      </c>
      <c r="F22" s="81">
        <f>[19]Vendedor5!$K$5</f>
        <v>17184</v>
      </c>
      <c r="G22" s="85">
        <f>[19]Vendedor5!$L$5</f>
        <v>44000</v>
      </c>
      <c r="H22" s="19">
        <f>[19]Vendedor5!$J$7</f>
        <v>47700</v>
      </c>
      <c r="I22" s="15">
        <f>[19]Vendedor5!$K$7</f>
        <v>5724</v>
      </c>
      <c r="J22" s="17">
        <f>[19]Vendedor5!$L$7</f>
        <v>0</v>
      </c>
      <c r="K22" s="19">
        <f t="shared" si="3"/>
        <v>339400</v>
      </c>
      <c r="L22" s="15">
        <f t="shared" si="2"/>
        <v>40750</v>
      </c>
      <c r="M22" s="15">
        <f t="shared" si="1"/>
        <v>205500</v>
      </c>
      <c r="N22" s="15">
        <v>0</v>
      </c>
      <c r="O22" s="17">
        <f t="shared" si="0"/>
        <v>93150</v>
      </c>
    </row>
    <row r="23" spans="1:15">
      <c r="A23" s="20" t="s">
        <v>32</v>
      </c>
      <c r="B23" s="14">
        <f>[20]Vendedor5!$J$4</f>
        <v>0</v>
      </c>
      <c r="C23" s="81">
        <f>[20]Vendedor5!$K$4</f>
        <v>0</v>
      </c>
      <c r="D23" s="82">
        <f>[20]Vendedor5!$L$4</f>
        <v>0</v>
      </c>
      <c r="E23" s="14">
        <f>[20]Vendedor5!$J$5</f>
        <v>0</v>
      </c>
      <c r="F23" s="81">
        <f>[20]Vendedor5!$K$5</f>
        <v>0</v>
      </c>
      <c r="G23" s="85">
        <f>[20]Vendedor5!$L$5</f>
        <v>0</v>
      </c>
      <c r="H23" s="19">
        <f>[20]Vendedor5!$J$7</f>
        <v>0</v>
      </c>
      <c r="I23" s="15">
        <f>[20]Vendedor5!$K$7</f>
        <v>0</v>
      </c>
      <c r="J23" s="17">
        <f>[20]Vendedor5!$L$7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>
      <c r="A24" s="13" t="s">
        <v>33</v>
      </c>
      <c r="B24" s="14">
        <f>[21]Vendedor5!$J$4</f>
        <v>124200</v>
      </c>
      <c r="C24" s="81">
        <f>[21]Vendedor5!$K$4</f>
        <v>14904</v>
      </c>
      <c r="D24" s="82">
        <f>[21]Vendedor5!$L$4</f>
        <v>221000</v>
      </c>
      <c r="E24" s="14">
        <f>[21]Vendedor5!$J$5</f>
        <v>106450</v>
      </c>
      <c r="F24" s="81">
        <f>[21]Vendedor5!$K$5</f>
        <v>12774</v>
      </c>
      <c r="G24" s="85">
        <f>[21]Vendedor5!$L$5</f>
        <v>8000</v>
      </c>
      <c r="H24" s="19">
        <f>[21]Vendedor5!$J$7</f>
        <v>17250</v>
      </c>
      <c r="I24" s="15">
        <f>[21]Vendedor5!$K$7</f>
        <v>2070</v>
      </c>
      <c r="J24" s="17">
        <f>[21]Vendedor5!$L$7</f>
        <v>16000</v>
      </c>
      <c r="K24" s="19">
        <f t="shared" si="3"/>
        <v>247900</v>
      </c>
      <c r="L24" s="15">
        <f t="shared" si="2"/>
        <v>29750</v>
      </c>
      <c r="M24" s="15">
        <f t="shared" si="1"/>
        <v>245000</v>
      </c>
      <c r="N24" s="15">
        <v>0</v>
      </c>
      <c r="O24" s="17">
        <f t="shared" si="0"/>
        <v>-26850</v>
      </c>
    </row>
    <row r="25" spans="1:15">
      <c r="A25" s="20" t="s">
        <v>34</v>
      </c>
      <c r="B25" s="14">
        <f>[22]Vendedor5!$J$4</f>
        <v>121000</v>
      </c>
      <c r="C25" s="81">
        <f>[22]Vendedor5!$K$4</f>
        <v>14520</v>
      </c>
      <c r="D25" s="82">
        <f>[22]Vendedor5!$L$4</f>
        <v>297500</v>
      </c>
      <c r="E25" s="14">
        <f>[22]Vendedor5!$J$5</f>
        <v>138750</v>
      </c>
      <c r="F25" s="81">
        <f>[22]Vendedor5!$K$5</f>
        <v>16650</v>
      </c>
      <c r="G25" s="85">
        <f>[22]Vendedor5!$L$5</f>
        <v>84000</v>
      </c>
      <c r="H25" s="19">
        <f>[22]Vendedor5!$J$7</f>
        <v>23350</v>
      </c>
      <c r="I25" s="15">
        <f>[22]Vendedor5!$K$7</f>
        <v>2802</v>
      </c>
      <c r="J25" s="17">
        <f>[22]Vendedor5!$L$7</f>
        <v>88000</v>
      </c>
      <c r="K25" s="19">
        <f t="shared" si="3"/>
        <v>283100</v>
      </c>
      <c r="L25" s="15">
        <f t="shared" si="2"/>
        <v>33950</v>
      </c>
      <c r="M25" s="15">
        <f t="shared" si="1"/>
        <v>469500</v>
      </c>
      <c r="N25" s="15">
        <v>0</v>
      </c>
      <c r="O25" s="17">
        <f t="shared" si="0"/>
        <v>-220350</v>
      </c>
    </row>
    <row r="26" spans="1:15">
      <c r="A26" s="13" t="s">
        <v>35</v>
      </c>
      <c r="B26" s="14">
        <f>[23]Vendedor5!$J$4</f>
        <v>169350</v>
      </c>
      <c r="C26" s="81">
        <f>[23]Vendedor5!$K$4</f>
        <v>20322</v>
      </c>
      <c r="D26" s="82">
        <f>[23]Vendedor5!$L$4</f>
        <v>59500</v>
      </c>
      <c r="E26" s="14">
        <f>[23]Vendedor5!$J$5</f>
        <v>154800</v>
      </c>
      <c r="F26" s="81">
        <f>[23]Vendedor5!$K$5</f>
        <v>18576</v>
      </c>
      <c r="G26" s="85">
        <f>[23]Vendedor5!$L$5</f>
        <v>24000</v>
      </c>
      <c r="H26" s="19">
        <f>[23]Vendedor5!$J$7</f>
        <v>37650</v>
      </c>
      <c r="I26" s="15">
        <f>[23]Vendedor5!$K$7</f>
        <v>4518</v>
      </c>
      <c r="J26" s="17">
        <f>[23]Vendedor5!$L$7</f>
        <v>16000</v>
      </c>
      <c r="K26" s="19">
        <f t="shared" si="3"/>
        <v>361800</v>
      </c>
      <c r="L26" s="15">
        <f t="shared" si="2"/>
        <v>43400</v>
      </c>
      <c r="M26" s="15">
        <f t="shared" si="1"/>
        <v>99500</v>
      </c>
      <c r="N26" s="15">
        <v>0</v>
      </c>
      <c r="O26" s="17">
        <f t="shared" si="0"/>
        <v>218900</v>
      </c>
    </row>
    <row r="27" spans="1:15">
      <c r="A27" s="20" t="s">
        <v>36</v>
      </c>
      <c r="B27" s="14">
        <f>[24]Vendedor5!$J$4</f>
        <v>169250</v>
      </c>
      <c r="C27" s="81">
        <f>[24]Vendedor5!$K$4</f>
        <v>20310</v>
      </c>
      <c r="D27" s="82">
        <f>[24]Vendedor5!$L$4</f>
        <v>233750</v>
      </c>
      <c r="E27" s="14">
        <f>[24]Vendedor5!$J$5</f>
        <v>154650</v>
      </c>
      <c r="F27" s="81">
        <f>[24]Vendedor5!$K$5</f>
        <v>18558</v>
      </c>
      <c r="G27" s="85">
        <f>[24]Vendedor5!$L$5</f>
        <v>80000</v>
      </c>
      <c r="H27" s="19">
        <f>[24]Vendedor5!$J$7</f>
        <v>48250</v>
      </c>
      <c r="I27" s="15">
        <f>[24]Vendedor5!$K$7</f>
        <v>5790</v>
      </c>
      <c r="J27" s="17">
        <f>[24]Vendedor5!$L$7</f>
        <v>52000</v>
      </c>
      <c r="K27" s="19">
        <f t="shared" si="3"/>
        <v>372150</v>
      </c>
      <c r="L27" s="15">
        <f t="shared" si="2"/>
        <v>44650</v>
      </c>
      <c r="M27" s="15">
        <f t="shared" si="1"/>
        <v>365750</v>
      </c>
      <c r="N27" s="15">
        <v>0</v>
      </c>
      <c r="O27" s="17">
        <f t="shared" si="0"/>
        <v>-38250</v>
      </c>
    </row>
    <row r="28" spans="1:15">
      <c r="A28" s="13" t="s">
        <v>37</v>
      </c>
      <c r="B28" s="14">
        <f>[25]Vendedor5!$J$4</f>
        <v>215350</v>
      </c>
      <c r="C28" s="81">
        <f>[25]Vendedor5!$K$4</f>
        <v>25842</v>
      </c>
      <c r="D28" s="82">
        <f>[25]Vendedor5!$L$4</f>
        <v>335750</v>
      </c>
      <c r="E28" s="14">
        <f>[25]Vendedor5!$J$5</f>
        <v>178250</v>
      </c>
      <c r="F28" s="81">
        <f>[25]Vendedor5!$K$5</f>
        <v>21390</v>
      </c>
      <c r="G28" s="85">
        <f>[25]Vendedor5!$L$5</f>
        <v>104000</v>
      </c>
      <c r="H28" s="19">
        <f>[25]Vendedor5!$J$7</f>
        <v>66250</v>
      </c>
      <c r="I28" s="15">
        <f>[25]Vendedor5!$K$7</f>
        <v>7950</v>
      </c>
      <c r="J28" s="17">
        <f>[25]Vendedor5!$L$7</f>
        <v>120000</v>
      </c>
      <c r="K28" s="19">
        <f t="shared" si="3"/>
        <v>459850</v>
      </c>
      <c r="L28" s="15">
        <f t="shared" si="2"/>
        <v>55200</v>
      </c>
      <c r="M28" s="15">
        <f t="shared" si="1"/>
        <v>559750</v>
      </c>
      <c r="N28" s="15">
        <v>0</v>
      </c>
      <c r="O28" s="17">
        <f t="shared" si="0"/>
        <v>-155100</v>
      </c>
    </row>
    <row r="29" spans="1:15">
      <c r="A29" s="20" t="s">
        <v>38</v>
      </c>
      <c r="B29" s="14">
        <f>[26]Vendedor5!$J$4</f>
        <v>169350</v>
      </c>
      <c r="C29" s="81">
        <f>[26]Vendedor5!$K$4</f>
        <v>20322</v>
      </c>
      <c r="D29" s="82">
        <f>[26]Vendedor5!$L$4</f>
        <v>42500</v>
      </c>
      <c r="E29" s="14">
        <f>[26]Vendedor5!$J$5</f>
        <v>139900</v>
      </c>
      <c r="F29" s="81">
        <f>[26]Vendedor5!$K$5</f>
        <v>16788</v>
      </c>
      <c r="G29" s="85">
        <f>[26]Vendedor5!$L$5</f>
        <v>112000</v>
      </c>
      <c r="H29" s="19">
        <f>[26]Vendedor5!$J$7</f>
        <v>40400</v>
      </c>
      <c r="I29" s="15">
        <f>[26]Vendedor5!$K$7</f>
        <v>4848</v>
      </c>
      <c r="J29" s="17">
        <f>[26]Vendedor5!$L$7</f>
        <v>0</v>
      </c>
      <c r="K29" s="19">
        <f t="shared" si="3"/>
        <v>349650</v>
      </c>
      <c r="L29" s="15">
        <f t="shared" si="2"/>
        <v>41950</v>
      </c>
      <c r="M29" s="15">
        <f t="shared" si="1"/>
        <v>154500</v>
      </c>
      <c r="N29" s="15">
        <v>0</v>
      </c>
      <c r="O29" s="17">
        <f t="shared" si="0"/>
        <v>153200</v>
      </c>
    </row>
    <row r="30" spans="1:15">
      <c r="A30" s="13" t="s">
        <v>39</v>
      </c>
      <c r="B30" s="14">
        <f>[27]Vendedor5!$J$4</f>
        <v>0</v>
      </c>
      <c r="C30" s="81">
        <f>[27]Vendedor5!$K$4</f>
        <v>0</v>
      </c>
      <c r="D30" s="82">
        <f>[27]Vendedor5!$L$4</f>
        <v>0</v>
      </c>
      <c r="E30" s="14">
        <f>[27]Vendedor5!$J$5</f>
        <v>0</v>
      </c>
      <c r="F30" s="81">
        <f>[27]Vendedor5!$K$5</f>
        <v>0</v>
      </c>
      <c r="G30" s="85">
        <f>[27]Vendedor5!$L$5</f>
        <v>0</v>
      </c>
      <c r="H30" s="19">
        <f>[27]Vendedor5!$J$7</f>
        <v>0</v>
      </c>
      <c r="I30" s="15">
        <f>[27]Vendedor5!$K$7</f>
        <v>0</v>
      </c>
      <c r="J30" s="17">
        <f>[27]Vendedor5!$L$7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>
      <c r="A31" s="20" t="s">
        <v>40</v>
      </c>
      <c r="B31" s="14">
        <f>[28]Vendedor5!$J$4</f>
        <v>210550</v>
      </c>
      <c r="C31" s="81">
        <f>[28]Vendedor5!$K$4</f>
        <v>25266</v>
      </c>
      <c r="D31" s="82">
        <f>[28]Vendedor5!$L$4</f>
        <v>102000</v>
      </c>
      <c r="E31" s="14">
        <f>[28]Vendedor5!$J$5</f>
        <v>151600</v>
      </c>
      <c r="F31" s="81">
        <f>[28]Vendedor5!$K$5</f>
        <v>18192</v>
      </c>
      <c r="G31" s="85">
        <f>[28]Vendedor5!$L$5</f>
        <v>208000</v>
      </c>
      <c r="H31" s="19">
        <f>[28]Vendedor5!$J$7</f>
        <v>50000</v>
      </c>
      <c r="I31" s="15">
        <f>[28]Vendedor5!$K$7</f>
        <v>6000</v>
      </c>
      <c r="J31" s="17">
        <f>[28]Vendedor5!$L$7</f>
        <v>84000</v>
      </c>
      <c r="K31" s="19">
        <f t="shared" si="3"/>
        <v>412150</v>
      </c>
      <c r="L31" s="15">
        <f t="shared" si="2"/>
        <v>49450</v>
      </c>
      <c r="M31" s="15">
        <f t="shared" si="1"/>
        <v>394000</v>
      </c>
      <c r="N31" s="15">
        <v>0</v>
      </c>
      <c r="O31" s="17">
        <f t="shared" si="0"/>
        <v>-31300</v>
      </c>
    </row>
    <row r="32" spans="1:15">
      <c r="A32" s="20" t="s">
        <v>41</v>
      </c>
      <c r="B32" s="14">
        <f>[29]Vendedor5!$J$4</f>
        <v>195550</v>
      </c>
      <c r="C32" s="81">
        <f>[29]Vendedor5!$K$4</f>
        <v>23466</v>
      </c>
      <c r="D32" s="82">
        <f>[29]Vendedor5!$L$4</f>
        <v>119000</v>
      </c>
      <c r="E32" s="14">
        <f>[29]Vendedor5!$J$5</f>
        <v>165150</v>
      </c>
      <c r="F32" s="81">
        <f>[29]Vendedor5!$K$5</f>
        <v>19818</v>
      </c>
      <c r="G32" s="85">
        <f>[29]Vendedor5!$L$5</f>
        <v>0</v>
      </c>
      <c r="H32" s="19">
        <f>[29]Vendedor5!$J$7</f>
        <v>61300</v>
      </c>
      <c r="I32" s="15">
        <f>[29]Vendedor5!$K$7</f>
        <v>7356</v>
      </c>
      <c r="J32" s="17">
        <f>[29]Vendedor5!$L$7</f>
        <v>120000</v>
      </c>
      <c r="K32" s="19">
        <f t="shared" si="3"/>
        <v>422000</v>
      </c>
      <c r="L32" s="15">
        <f t="shared" si="2"/>
        <v>50650</v>
      </c>
      <c r="M32" s="15">
        <f t="shared" si="1"/>
        <v>239000</v>
      </c>
      <c r="N32" s="15">
        <v>0</v>
      </c>
      <c r="O32" s="17">
        <f t="shared" si="0"/>
        <v>132350</v>
      </c>
    </row>
    <row r="33" spans="1:15">
      <c r="A33" s="13" t="s">
        <v>42</v>
      </c>
      <c r="B33" s="14">
        <f>[30]Vendedor5!$J$4</f>
        <v>147900</v>
      </c>
      <c r="C33" s="81">
        <f>[30]Vendedor5!$K$4</f>
        <v>17748</v>
      </c>
      <c r="D33" s="82">
        <f>[30]Vendedor5!$L$4</f>
        <v>102000</v>
      </c>
      <c r="E33" s="14">
        <f>[30]Vendedor5!$J$5</f>
        <v>145650</v>
      </c>
      <c r="F33" s="81">
        <f>[30]Vendedor5!$K$5</f>
        <v>17478</v>
      </c>
      <c r="G33" s="85">
        <f>[30]Vendedor5!$L$5</f>
        <v>160000</v>
      </c>
      <c r="H33" s="19">
        <f>[30]Vendedor5!$J$7</f>
        <v>20350</v>
      </c>
      <c r="I33" s="15">
        <f>[30]Vendedor5!$K$7</f>
        <v>2442</v>
      </c>
      <c r="J33" s="17">
        <f>[30]Vendedor5!$L$7</f>
        <v>0</v>
      </c>
      <c r="K33" s="19">
        <f t="shared" si="3"/>
        <v>313900</v>
      </c>
      <c r="L33" s="15">
        <f t="shared" si="2"/>
        <v>37650</v>
      </c>
      <c r="M33" s="15">
        <f t="shared" si="1"/>
        <v>262000</v>
      </c>
      <c r="N33" s="15">
        <v>0</v>
      </c>
      <c r="O33" s="17">
        <f t="shared" si="0"/>
        <v>14250</v>
      </c>
    </row>
    <row r="34" spans="1:15">
      <c r="A34" s="20" t="s">
        <v>43</v>
      </c>
      <c r="B34" s="14">
        <f>[31]Vendedor5!$J$4</f>
        <v>165300</v>
      </c>
      <c r="C34" s="81">
        <f>[31]Vendedor5!$K$4</f>
        <v>19836</v>
      </c>
      <c r="D34" s="82">
        <f>[31]Vendedor5!$L$4</f>
        <v>161500</v>
      </c>
      <c r="E34" s="14">
        <f>[31]Vendedor5!$J$5</f>
        <v>200800</v>
      </c>
      <c r="F34" s="81">
        <f>[31]Vendedor5!$K$5</f>
        <v>24096</v>
      </c>
      <c r="G34" s="85">
        <f>[31]Vendedor5!$L$5</f>
        <v>24000</v>
      </c>
      <c r="H34" s="19">
        <f>[31]Vendedor5!$J$7</f>
        <v>33350</v>
      </c>
      <c r="I34" s="15">
        <f>[31]Vendedor5!$K$7</f>
        <v>4002</v>
      </c>
      <c r="J34" s="17">
        <f>[31]Vendedor5!$L$7</f>
        <v>136000</v>
      </c>
      <c r="K34" s="19">
        <f t="shared" si="3"/>
        <v>399450</v>
      </c>
      <c r="L34" s="15">
        <f t="shared" si="2"/>
        <v>47950</v>
      </c>
      <c r="M34" s="15">
        <f t="shared" si="1"/>
        <v>321500</v>
      </c>
      <c r="N34" s="15">
        <v>0</v>
      </c>
      <c r="O34" s="17">
        <f t="shared" si="0"/>
        <v>30000</v>
      </c>
    </row>
    <row r="35" spans="1:15">
      <c r="A35" s="13" t="s">
        <v>44</v>
      </c>
      <c r="B35" s="14">
        <f>[1]Vendedor5!$J$4</f>
        <v>130100</v>
      </c>
      <c r="C35" s="81">
        <f>[1]Vendedor5!$K$4</f>
        <v>15612</v>
      </c>
      <c r="D35" s="82">
        <f>[1]Vendedor5!$L$4</f>
        <v>106250</v>
      </c>
      <c r="E35" s="14">
        <f>[1]Vendedor5!$J$5</f>
        <v>103900</v>
      </c>
      <c r="F35" s="81">
        <f>[1]Vendedor5!$K$5</f>
        <v>12468</v>
      </c>
      <c r="G35" s="85">
        <f>[1]Vendedor5!$L$5</f>
        <v>8000</v>
      </c>
      <c r="H35" s="19">
        <f>[1]Vendedor5!$J$7</f>
        <v>39200</v>
      </c>
      <c r="I35" s="15">
        <f>[1]Vendedor5!$K$7</f>
        <v>4704</v>
      </c>
      <c r="J35" s="17">
        <f>[1]Vendedor5!$L$7</f>
        <v>16000</v>
      </c>
      <c r="K35" s="19">
        <f t="shared" si="3"/>
        <v>273200</v>
      </c>
      <c r="L35" s="15">
        <f t="shared" si="2"/>
        <v>32800</v>
      </c>
      <c r="M35" s="15">
        <f t="shared" si="1"/>
        <v>130250</v>
      </c>
      <c r="N35" s="15">
        <v>0</v>
      </c>
      <c r="O35" s="17">
        <f t="shared" si="0"/>
        <v>110150</v>
      </c>
    </row>
    <row r="36" spans="1:15" ht="15.75" thickBot="1">
      <c r="A36" s="20" t="s">
        <v>45</v>
      </c>
      <c r="B36" s="21">
        <f>[2]Vendedor5!$J$4</f>
        <v>0</v>
      </c>
      <c r="C36" s="83">
        <f>[2]Vendedor5!$K$4</f>
        <v>0</v>
      </c>
      <c r="D36" s="84">
        <f>[2]Vendedor5!$L$4</f>
        <v>0</v>
      </c>
      <c r="E36" s="21">
        <f>[2]Vendedor5!$J$5</f>
        <v>0</v>
      </c>
      <c r="F36" s="83">
        <f>[2]Vendedor5!$K$5</f>
        <v>0</v>
      </c>
      <c r="G36" s="86">
        <f>[2]Vendedor5!$L$5</f>
        <v>0</v>
      </c>
      <c r="H36" s="26">
        <f>[2]Vendedor5!$J$7</f>
        <v>0</v>
      </c>
      <c r="I36" s="22">
        <f>[2]Vendedor5!$K$7</f>
        <v>0</v>
      </c>
      <c r="J36" s="24">
        <f>[2]Vendedor5!$L$7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.5" thickBot="1">
      <c r="A37" s="5" t="s">
        <v>46</v>
      </c>
      <c r="B37" s="27">
        <f t="shared" ref="B37:M37" si="4">SUM(B6:B36)</f>
        <v>4275450</v>
      </c>
      <c r="C37" s="28">
        <f t="shared" si="4"/>
        <v>513054</v>
      </c>
      <c r="D37" s="29">
        <f t="shared" si="4"/>
        <v>3672000</v>
      </c>
      <c r="E37" s="30">
        <f t="shared" si="4"/>
        <v>3847550</v>
      </c>
      <c r="F37" s="28">
        <f t="shared" si="4"/>
        <v>461706</v>
      </c>
      <c r="G37" s="31">
        <f t="shared" si="4"/>
        <v>2760000</v>
      </c>
      <c r="H37" s="27">
        <f t="shared" si="4"/>
        <v>986250</v>
      </c>
      <c r="I37" s="28">
        <f t="shared" si="4"/>
        <v>118350</v>
      </c>
      <c r="J37" s="29">
        <f t="shared" si="4"/>
        <v>1000000</v>
      </c>
      <c r="K37" s="60">
        <f t="shared" si="4"/>
        <v>9109250</v>
      </c>
      <c r="L37" s="32">
        <f t="shared" si="4"/>
        <v>1093050</v>
      </c>
      <c r="M37" s="32">
        <f t="shared" si="4"/>
        <v>7432000</v>
      </c>
      <c r="N37" s="32">
        <f>SUM(N5:N36)</f>
        <v>0</v>
      </c>
      <c r="O37" s="33">
        <f>SUM(O5:O36)</f>
        <v>584200</v>
      </c>
    </row>
    <row r="47" spans="1:1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7" width="11.42578125" style="1"/>
    <col min="18" max="18" width="12" style="1" customWidth="1"/>
    <col min="19" max="19" width="4.85546875" style="1" customWidth="1"/>
    <col min="20" max="20" width="10" style="1" customWidth="1"/>
    <col min="21" max="21" width="6.140625" style="1" customWidth="1"/>
    <col min="22" max="1027" width="11.42578125" style="1"/>
  </cols>
  <sheetData>
    <row r="1" spans="1:60" ht="15.75" thickBot="1">
      <c r="I1" s="136" t="s">
        <v>0</v>
      </c>
      <c r="J1" s="137"/>
      <c r="K1" s="137"/>
      <c r="L1" s="137"/>
      <c r="M1" s="137"/>
      <c r="N1" s="137"/>
      <c r="O1" s="137"/>
      <c r="P1" s="138"/>
    </row>
    <row r="2" spans="1:60" ht="19.5" thickBot="1">
      <c r="A2" s="2" t="s">
        <v>1</v>
      </c>
      <c r="B2" s="135" t="s">
        <v>134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>
      <c r="A6" s="20" t="s">
        <v>49</v>
      </c>
      <c r="B6" s="53">
        <f>[3]Vendedor6!$J$4</f>
        <v>0</v>
      </c>
      <c r="C6" s="87">
        <f>[3]Vendedor6!$K$4</f>
        <v>0</v>
      </c>
      <c r="D6" s="88">
        <f>[3]Vendedor6!$L$4</f>
        <v>0</v>
      </c>
      <c r="E6" s="53">
        <f>[3]Vendedor6!$J$5</f>
        <v>0</v>
      </c>
      <c r="F6" s="87">
        <f>[3]Vendedor6!$K$5</f>
        <v>0</v>
      </c>
      <c r="G6" s="89">
        <f>[3]Vendedor6!$L$5</f>
        <v>0</v>
      </c>
      <c r="H6" s="59">
        <f>[3]Vendedor6!$J$6</f>
        <v>0</v>
      </c>
      <c r="I6" s="58">
        <f>[3]Vendedor6!$K$6</f>
        <v>0</v>
      </c>
      <c r="J6" s="55">
        <f>[3]Vendedor6!$L$6</f>
        <v>0</v>
      </c>
      <c r="K6" s="61">
        <f>[3]Vendedor6!$J$7</f>
        <v>0</v>
      </c>
      <c r="L6" s="58">
        <f>[3]Vendedor6!$K$7</f>
        <v>0</v>
      </c>
      <c r="M6" s="54">
        <f>[3]Vendedor6!$L$7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>
      <c r="A7" s="13" t="s">
        <v>50</v>
      </c>
      <c r="B7" s="14">
        <f>[4]Vendedor6!$J$4</f>
        <v>0</v>
      </c>
      <c r="C7" s="81">
        <f>[4]Vendedor6!$K$4</f>
        <v>0</v>
      </c>
      <c r="D7" s="82">
        <f>[4]Vendedor6!$L$4</f>
        <v>0</v>
      </c>
      <c r="E7" s="14">
        <f>[4]Vendedor6!$J$5</f>
        <v>0</v>
      </c>
      <c r="F7" s="81">
        <f>[4]Vendedor6!$K$5</f>
        <v>0</v>
      </c>
      <c r="G7" s="85">
        <f>[4]Vendedor6!$L$5</f>
        <v>0</v>
      </c>
      <c r="H7" s="19">
        <f>[4]Vendedor6!$J$6</f>
        <v>0</v>
      </c>
      <c r="I7" s="15">
        <f>[4]Vendedor6!$K$6</f>
        <v>0</v>
      </c>
      <c r="J7" s="17">
        <f>[4]Vendedor6!$L$6</f>
        <v>0</v>
      </c>
      <c r="K7" s="18">
        <f>[4]Vendedor6!$J$7</f>
        <v>0</v>
      </c>
      <c r="L7" s="15">
        <f>[4]Vendedor6!$K$7</f>
        <v>0</v>
      </c>
      <c r="M7" s="16">
        <f>[4]Vendedor6!$L$7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>
      <c r="A8" s="20" t="s">
        <v>51</v>
      </c>
      <c r="B8" s="14">
        <f>[5]Vendedor6!$J$4</f>
        <v>0</v>
      </c>
      <c r="C8" s="81">
        <f>[5]Vendedor6!$K$4</f>
        <v>0</v>
      </c>
      <c r="D8" s="82">
        <f>[5]Vendedor6!$L$4</f>
        <v>0</v>
      </c>
      <c r="E8" s="14">
        <f>[5]Vendedor6!$J$5</f>
        <v>0</v>
      </c>
      <c r="F8" s="81">
        <f>[5]Vendedor6!$K$5</f>
        <v>0</v>
      </c>
      <c r="G8" s="85">
        <f>[5]Vendedor6!$L$5</f>
        <v>0</v>
      </c>
      <c r="H8" s="19">
        <f>[5]Vendedor6!$J$6</f>
        <v>0</v>
      </c>
      <c r="I8" s="15">
        <f>[5]Vendedor6!$K$6</f>
        <v>0</v>
      </c>
      <c r="J8" s="17">
        <f>[5]Vendedor6!$L$6</f>
        <v>0</v>
      </c>
      <c r="K8" s="18">
        <f>[5]Vendedor6!$J$7</f>
        <v>0</v>
      </c>
      <c r="L8" s="15">
        <f>[5]Vendedor6!$K$7</f>
        <v>0</v>
      </c>
      <c r="M8" s="16">
        <f>[5]Vendedor6!$L$7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>
      <c r="A9" s="13" t="s">
        <v>52</v>
      </c>
      <c r="B9" s="14">
        <f>[6]Vendedor6!$J$4</f>
        <v>0</v>
      </c>
      <c r="C9" s="81">
        <f>[6]Vendedor6!$K$4</f>
        <v>0</v>
      </c>
      <c r="D9" s="82">
        <f>[6]Vendedor6!$L$4</f>
        <v>0</v>
      </c>
      <c r="E9" s="14">
        <f>[6]Vendedor6!$J$5</f>
        <v>0</v>
      </c>
      <c r="F9" s="81">
        <f>[6]Vendedor6!$K$5</f>
        <v>0</v>
      </c>
      <c r="G9" s="85">
        <f>[6]Vendedor6!$L$5</f>
        <v>0</v>
      </c>
      <c r="H9" s="19">
        <f>[6]Vendedor6!$J$6</f>
        <v>0</v>
      </c>
      <c r="I9" s="15">
        <f>[6]Vendedor6!$K$6</f>
        <v>0</v>
      </c>
      <c r="J9" s="17">
        <f>[6]Vendedor6!$L$6</f>
        <v>0</v>
      </c>
      <c r="K9" s="18">
        <f>[6]Vendedor6!$J$7</f>
        <v>0</v>
      </c>
      <c r="L9" s="15">
        <f>[6]Vendedor6!$K$7</f>
        <v>0</v>
      </c>
      <c r="M9" s="16">
        <f>[6]Vendedor6!$L$7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>
      <c r="A10" s="20" t="s">
        <v>53</v>
      </c>
      <c r="B10" s="14">
        <f>[7]Vendedor6!$J$4</f>
        <v>0</v>
      </c>
      <c r="C10" s="81">
        <f>[7]Vendedor6!$K$4</f>
        <v>0</v>
      </c>
      <c r="D10" s="82">
        <f>[7]Vendedor6!$L$4</f>
        <v>0</v>
      </c>
      <c r="E10" s="14">
        <f>[7]Vendedor6!$J$5</f>
        <v>0</v>
      </c>
      <c r="F10" s="81">
        <f>[7]Vendedor6!$K$5</f>
        <v>0</v>
      </c>
      <c r="G10" s="85">
        <f>[7]Vendedor6!$L$5</f>
        <v>0</v>
      </c>
      <c r="H10" s="19">
        <f>[7]Vendedor6!$J$6</f>
        <v>0</v>
      </c>
      <c r="I10" s="15">
        <f>[7]Vendedor6!$K$6</f>
        <v>0</v>
      </c>
      <c r="J10" s="17">
        <f>[7]Vendedor6!$L$6</f>
        <v>0</v>
      </c>
      <c r="K10" s="18">
        <f>[7]Vendedor6!$J$7</f>
        <v>0</v>
      </c>
      <c r="L10" s="15">
        <f>[7]Vendedor6!$K$7</f>
        <v>0</v>
      </c>
      <c r="M10" s="16">
        <f>[7]Vendedor6!$L$7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>
      <c r="A11" s="13" t="s">
        <v>20</v>
      </c>
      <c r="B11" s="14">
        <f>[8]Vendedor6!$J$4</f>
        <v>0</v>
      </c>
      <c r="C11" s="81">
        <f>[8]Vendedor6!$K$4</f>
        <v>0</v>
      </c>
      <c r="D11" s="82">
        <f>[8]Vendedor6!$L$4</f>
        <v>0</v>
      </c>
      <c r="E11" s="14">
        <f>[8]Vendedor6!$J$5</f>
        <v>0</v>
      </c>
      <c r="F11" s="81">
        <f>[8]Vendedor6!$K$5</f>
        <v>0</v>
      </c>
      <c r="G11" s="85">
        <f>[8]Vendedor6!$L$5</f>
        <v>0</v>
      </c>
      <c r="H11" s="19">
        <f>[8]Vendedor6!$J$6</f>
        <v>0</v>
      </c>
      <c r="I11" s="15">
        <f>[8]Vendedor6!$K$6</f>
        <v>0</v>
      </c>
      <c r="J11" s="17">
        <f>[8]Vendedor6!$L$6</f>
        <v>0</v>
      </c>
      <c r="K11" s="18">
        <f>[8]Vendedor6!$J$7</f>
        <v>0</v>
      </c>
      <c r="L11" s="15">
        <f>[8]Vendedor6!$K$7</f>
        <v>0</v>
      </c>
      <c r="M11" s="16">
        <f>[8]Vendedor6!$L$7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>
      <c r="A12" s="20" t="s">
        <v>21</v>
      </c>
      <c r="B12" s="14">
        <f>[9]Vendedor6!$J$4</f>
        <v>0</v>
      </c>
      <c r="C12" s="81">
        <f>[9]Vendedor6!$K$4</f>
        <v>0</v>
      </c>
      <c r="D12" s="82">
        <f>[9]Vendedor6!$L$4</f>
        <v>0</v>
      </c>
      <c r="E12" s="14">
        <f>[9]Vendedor6!$J$5</f>
        <v>0</v>
      </c>
      <c r="F12" s="81">
        <f>[9]Vendedor6!$K$5</f>
        <v>0</v>
      </c>
      <c r="G12" s="85">
        <f>[9]Vendedor6!$L$5</f>
        <v>0</v>
      </c>
      <c r="H12" s="19">
        <f>[9]Vendedor6!$J$6</f>
        <v>0</v>
      </c>
      <c r="I12" s="15">
        <f>[9]Vendedor6!$K$6</f>
        <v>0</v>
      </c>
      <c r="J12" s="17">
        <f>[9]Vendedor6!$L$6</f>
        <v>0</v>
      </c>
      <c r="K12" s="18">
        <f>[9]Vendedor6!$J$7</f>
        <v>0</v>
      </c>
      <c r="L12" s="15">
        <f>[9]Vendedor6!$K$7</f>
        <v>0</v>
      </c>
      <c r="M12" s="16">
        <f>[9]Vendedor6!$L$7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>
      <c r="A13" s="13" t="s">
        <v>22</v>
      </c>
      <c r="B13" s="14">
        <f>[10]Vendedor6!$J$4</f>
        <v>0</v>
      </c>
      <c r="C13" s="81">
        <f>[10]Vendedor6!$K$4</f>
        <v>0</v>
      </c>
      <c r="D13" s="82">
        <f>[10]Vendedor6!$L$4</f>
        <v>0</v>
      </c>
      <c r="E13" s="14">
        <f>[10]Vendedor6!$J$5</f>
        <v>0</v>
      </c>
      <c r="F13" s="81">
        <f>[10]Vendedor6!$K$5</f>
        <v>0</v>
      </c>
      <c r="G13" s="85">
        <f>[10]Vendedor6!$L$5</f>
        <v>0</v>
      </c>
      <c r="H13" s="19">
        <f>[10]Vendedor6!$J$6</f>
        <v>0</v>
      </c>
      <c r="I13" s="15">
        <f>[10]Vendedor6!$K$6</f>
        <v>0</v>
      </c>
      <c r="J13" s="17">
        <f>[10]Vendedor6!$L$6</f>
        <v>0</v>
      </c>
      <c r="K13" s="18">
        <f>[10]Vendedor6!$J$7</f>
        <v>0</v>
      </c>
      <c r="L13" s="15">
        <f>[10]Vendedor6!$K$7</f>
        <v>0</v>
      </c>
      <c r="M13" s="16">
        <f>[10]Vendedor6!$L$7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>
      <c r="A14" s="20" t="s">
        <v>23</v>
      </c>
      <c r="B14" s="14">
        <f>[11]Vendedor6!$J$4</f>
        <v>0</v>
      </c>
      <c r="C14" s="81">
        <f>[11]Vendedor6!$K$4</f>
        <v>0</v>
      </c>
      <c r="D14" s="82">
        <f>[11]Vendedor6!$L$4</f>
        <v>0</v>
      </c>
      <c r="E14" s="14">
        <f>[11]Vendedor6!$J$5</f>
        <v>0</v>
      </c>
      <c r="F14" s="81">
        <f>[11]Vendedor6!$K$5</f>
        <v>0</v>
      </c>
      <c r="G14" s="85">
        <f>[11]Vendedor6!$L$5</f>
        <v>0</v>
      </c>
      <c r="H14" s="19">
        <f>[11]Vendedor6!$J$6</f>
        <v>0</v>
      </c>
      <c r="I14" s="15">
        <f>[11]Vendedor6!$K$6</f>
        <v>0</v>
      </c>
      <c r="J14" s="17">
        <f>[11]Vendedor6!$L$6</f>
        <v>0</v>
      </c>
      <c r="K14" s="18">
        <f>[11]Vendedor6!$J$7</f>
        <v>0</v>
      </c>
      <c r="L14" s="15">
        <f>[11]Vendedor6!$K$7</f>
        <v>0</v>
      </c>
      <c r="M14" s="16">
        <f>[11]Vendedor6!$L$7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>
      <c r="A15" s="20" t="s">
        <v>24</v>
      </c>
      <c r="B15" s="14">
        <f>[12]Vendedor6!$J$4</f>
        <v>0</v>
      </c>
      <c r="C15" s="81">
        <f>[12]Vendedor6!$K$4</f>
        <v>0</v>
      </c>
      <c r="D15" s="82">
        <f>[12]Vendedor6!$L$4</f>
        <v>0</v>
      </c>
      <c r="E15" s="14">
        <f>[12]Vendedor6!$J$5</f>
        <v>0</v>
      </c>
      <c r="F15" s="81">
        <f>[12]Vendedor6!$K$5</f>
        <v>0</v>
      </c>
      <c r="G15" s="85">
        <f>[12]Vendedor6!$L$5</f>
        <v>0</v>
      </c>
      <c r="H15" s="19">
        <f>[12]Vendedor6!$J$6</f>
        <v>0</v>
      </c>
      <c r="I15" s="15">
        <f>[12]Vendedor6!$K$6</f>
        <v>0</v>
      </c>
      <c r="J15" s="17">
        <f>[12]Vendedor6!$L$6</f>
        <v>0</v>
      </c>
      <c r="K15" s="18">
        <f>[12]Vendedor6!$J$7</f>
        <v>0</v>
      </c>
      <c r="L15" s="15">
        <f>[12]Vendedor6!$K$7</f>
        <v>0</v>
      </c>
      <c r="M15" s="16">
        <f>[12]Vendedor6!$L$7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[13]Vendedor6!$J$4</f>
        <v>0</v>
      </c>
      <c r="C16" s="81">
        <f>[13]Vendedor6!$K$4</f>
        <v>0</v>
      </c>
      <c r="D16" s="82">
        <f>[13]Vendedor6!$L$4</f>
        <v>0</v>
      </c>
      <c r="E16" s="14">
        <f>[13]Vendedor6!$J$5</f>
        <v>0</v>
      </c>
      <c r="F16" s="81">
        <f>[13]Vendedor6!$K$5</f>
        <v>0</v>
      </c>
      <c r="G16" s="85">
        <f>[13]Vendedor6!$L$5</f>
        <v>0</v>
      </c>
      <c r="H16" s="19">
        <f>[13]Vendedor6!$J$6</f>
        <v>0</v>
      </c>
      <c r="I16" s="15">
        <f>[13]Vendedor6!$K$6</f>
        <v>0</v>
      </c>
      <c r="J16" s="17">
        <f>[13]Vendedor6!$L$6</f>
        <v>0</v>
      </c>
      <c r="K16" s="18">
        <f>[13]Vendedor6!$J$7</f>
        <v>0</v>
      </c>
      <c r="L16" s="15">
        <f>[13]Vendedor6!$K$7</f>
        <v>0</v>
      </c>
      <c r="M16" s="16">
        <f>[13]Vendedor6!$L$7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[14]Vendedor6!$J$4</f>
        <v>0</v>
      </c>
      <c r="C17" s="81">
        <f>[14]Vendedor6!$K$4</f>
        <v>0</v>
      </c>
      <c r="D17" s="82">
        <f>[14]Vendedor6!$L$4</f>
        <v>0</v>
      </c>
      <c r="E17" s="14">
        <f>[14]Vendedor6!$J$5</f>
        <v>0</v>
      </c>
      <c r="F17" s="81">
        <f>[14]Vendedor6!$K$5</f>
        <v>0</v>
      </c>
      <c r="G17" s="85">
        <f>[14]Vendedor6!$L$5</f>
        <v>0</v>
      </c>
      <c r="H17" s="19">
        <f>[14]Vendedor6!$J$6</f>
        <v>0</v>
      </c>
      <c r="I17" s="15">
        <f>[14]Vendedor6!$K$6</f>
        <v>0</v>
      </c>
      <c r="J17" s="17">
        <f>[14]Vendedor6!$L$6</f>
        <v>0</v>
      </c>
      <c r="K17" s="18">
        <f>[14]Vendedor6!$J$7</f>
        <v>0</v>
      </c>
      <c r="L17" s="15">
        <f>[14]Vendedor6!$K$7</f>
        <v>0</v>
      </c>
      <c r="M17" s="16">
        <f>[14]Vendedor6!$L$7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[15]Vendedor6!$J$4</f>
        <v>0</v>
      </c>
      <c r="C18" s="81">
        <f>[15]Vendedor6!$K$4</f>
        <v>0</v>
      </c>
      <c r="D18" s="82">
        <f>[15]Vendedor6!$L$4</f>
        <v>0</v>
      </c>
      <c r="E18" s="14">
        <f>[15]Vendedor6!$J$5</f>
        <v>0</v>
      </c>
      <c r="F18" s="81">
        <f>[15]Vendedor6!$K$5</f>
        <v>0</v>
      </c>
      <c r="G18" s="85">
        <f>[15]Vendedor6!$L$5</f>
        <v>0</v>
      </c>
      <c r="H18" s="19">
        <f>[15]Vendedor6!$J$6</f>
        <v>0</v>
      </c>
      <c r="I18" s="15">
        <f>[15]Vendedor6!$K$6</f>
        <v>0</v>
      </c>
      <c r="J18" s="17">
        <f>[15]Vendedor6!$L$6</f>
        <v>0</v>
      </c>
      <c r="K18" s="18">
        <f>[15]Vendedor6!$J$7</f>
        <v>0</v>
      </c>
      <c r="L18" s="15">
        <f>[15]Vendedor6!$K$7</f>
        <v>0</v>
      </c>
      <c r="M18" s="16">
        <f>[15]Vendedor6!$L$7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>
      <c r="A19" s="20" t="s">
        <v>28</v>
      </c>
      <c r="B19" s="14">
        <f>[16]Vendedor6!$J$4</f>
        <v>0</v>
      </c>
      <c r="C19" s="81">
        <f>[16]Vendedor6!$K$4</f>
        <v>0</v>
      </c>
      <c r="D19" s="82">
        <f>[16]Vendedor6!$L$4</f>
        <v>0</v>
      </c>
      <c r="E19" s="14">
        <f>[16]Vendedor6!$J$5</f>
        <v>0</v>
      </c>
      <c r="F19" s="81">
        <f>[16]Vendedor6!$K$5</f>
        <v>0</v>
      </c>
      <c r="G19" s="85">
        <f>[16]Vendedor6!$L$5</f>
        <v>0</v>
      </c>
      <c r="H19" s="19">
        <f>[16]Vendedor6!$J$6</f>
        <v>0</v>
      </c>
      <c r="I19" s="15">
        <f>[16]Vendedor6!$K$6</f>
        <v>0</v>
      </c>
      <c r="J19" s="17">
        <f>[16]Vendedor6!$L$6</f>
        <v>0</v>
      </c>
      <c r="K19" s="18">
        <f>[16]Vendedor6!$J$7</f>
        <v>0</v>
      </c>
      <c r="L19" s="15">
        <f>[16]Vendedor6!$K$7</f>
        <v>0</v>
      </c>
      <c r="M19" s="16">
        <f>[16]Vendedor6!$L$7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>
      <c r="A20" s="13" t="s">
        <v>29</v>
      </c>
      <c r="B20" s="14">
        <f>[17]Vendedor6!$J$4</f>
        <v>0</v>
      </c>
      <c r="C20" s="81">
        <f>[17]Vendedor6!$K$4</f>
        <v>0</v>
      </c>
      <c r="D20" s="82">
        <f>[17]Vendedor6!$L$4</f>
        <v>0</v>
      </c>
      <c r="E20" s="14">
        <f>[17]Vendedor6!$J$5</f>
        <v>0</v>
      </c>
      <c r="F20" s="81">
        <f>[17]Vendedor6!$K$5</f>
        <v>0</v>
      </c>
      <c r="G20" s="85">
        <f>[17]Vendedor6!$L$5</f>
        <v>0</v>
      </c>
      <c r="H20" s="19">
        <f>[17]Vendedor6!$J$6</f>
        <v>0</v>
      </c>
      <c r="I20" s="15">
        <f>[17]Vendedor6!$K$6</f>
        <v>0</v>
      </c>
      <c r="J20" s="17">
        <f>[17]Vendedor6!$L$6</f>
        <v>0</v>
      </c>
      <c r="K20" s="18">
        <f>[17]Vendedor6!$J$7</f>
        <v>0</v>
      </c>
      <c r="L20" s="15">
        <f>[17]Vendedor6!$K$7</f>
        <v>0</v>
      </c>
      <c r="M20" s="16">
        <f>[17]Vendedor6!$L$7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>
      <c r="A21" s="20" t="s">
        <v>30</v>
      </c>
      <c r="B21" s="14">
        <f>[18]Vendedor6!$J$4</f>
        <v>0</v>
      </c>
      <c r="C21" s="81">
        <f>[18]Vendedor6!$K$4</f>
        <v>0</v>
      </c>
      <c r="D21" s="82">
        <f>[18]Vendedor6!$L$4</f>
        <v>0</v>
      </c>
      <c r="E21" s="14">
        <f>[18]Vendedor6!$J$5</f>
        <v>0</v>
      </c>
      <c r="F21" s="81">
        <f>[18]Vendedor6!$K$5</f>
        <v>0</v>
      </c>
      <c r="G21" s="85">
        <f>[18]Vendedor6!$L$5</f>
        <v>0</v>
      </c>
      <c r="H21" s="19">
        <f>[18]Vendedor6!$J$6</f>
        <v>0</v>
      </c>
      <c r="I21" s="15">
        <f>[18]Vendedor6!$K$6</f>
        <v>0</v>
      </c>
      <c r="J21" s="17">
        <f>[18]Vendedor6!$L$6</f>
        <v>0</v>
      </c>
      <c r="K21" s="18">
        <f>[18]Vendedor6!$J$7</f>
        <v>0</v>
      </c>
      <c r="L21" s="15">
        <f>[18]Vendedor6!$K$7</f>
        <v>0</v>
      </c>
      <c r="M21" s="16">
        <f>[18]Vendedor6!$L$7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>
      <c r="A22" s="13" t="s">
        <v>31</v>
      </c>
      <c r="B22" s="14">
        <f>[19]Vendedor6!$J$4</f>
        <v>0</v>
      </c>
      <c r="C22" s="81">
        <f>[19]Vendedor6!$K$4</f>
        <v>0</v>
      </c>
      <c r="D22" s="82">
        <f>[19]Vendedor6!$L$4</f>
        <v>0</v>
      </c>
      <c r="E22" s="14">
        <f>[19]Vendedor6!$J$5</f>
        <v>0</v>
      </c>
      <c r="F22" s="81">
        <f>[19]Vendedor6!$K$5</f>
        <v>0</v>
      </c>
      <c r="G22" s="85">
        <f>[19]Vendedor6!$L$5</f>
        <v>0</v>
      </c>
      <c r="H22" s="19">
        <f>[19]Vendedor6!$J$6</f>
        <v>0</v>
      </c>
      <c r="I22" s="15">
        <f>[19]Vendedor6!$K$6</f>
        <v>0</v>
      </c>
      <c r="J22" s="17">
        <f>[19]Vendedor6!$L$6</f>
        <v>0</v>
      </c>
      <c r="K22" s="18">
        <f>[19]Vendedor6!$J$7</f>
        <v>0</v>
      </c>
      <c r="L22" s="15">
        <f>[19]Vendedor6!$K$7</f>
        <v>0</v>
      </c>
      <c r="M22" s="16">
        <f>[19]Vendedor6!$L$7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>
      <c r="A23" s="20" t="s">
        <v>32</v>
      </c>
      <c r="B23" s="14">
        <f>[20]Vendedor6!$J$4</f>
        <v>0</v>
      </c>
      <c r="C23" s="81">
        <f>[20]Vendedor6!$K$4</f>
        <v>0</v>
      </c>
      <c r="D23" s="82">
        <f>[20]Vendedor6!$L$4</f>
        <v>0</v>
      </c>
      <c r="E23" s="14">
        <f>[20]Vendedor6!$J$5</f>
        <v>0</v>
      </c>
      <c r="F23" s="81">
        <f>[20]Vendedor6!$K$5</f>
        <v>0</v>
      </c>
      <c r="G23" s="85">
        <f>[20]Vendedor6!$L$5</f>
        <v>0</v>
      </c>
      <c r="H23" s="19">
        <f>[20]Vendedor6!$J$6</f>
        <v>0</v>
      </c>
      <c r="I23" s="15">
        <f>[20]Vendedor6!$K$6</f>
        <v>0</v>
      </c>
      <c r="J23" s="17">
        <f>[20]Vendedor6!$L$6</f>
        <v>0</v>
      </c>
      <c r="K23" s="18">
        <f>[20]Vendedor6!$J$7</f>
        <v>0</v>
      </c>
      <c r="L23" s="15">
        <f>[20]Vendedor6!$K$7</f>
        <v>0</v>
      </c>
      <c r="M23" s="16">
        <f>[20]Vendedor6!$L$7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>
      <c r="A24" s="13" t="s">
        <v>33</v>
      </c>
      <c r="B24" s="14">
        <f>[21]Vendedor6!$J$4</f>
        <v>0</v>
      </c>
      <c r="C24" s="81">
        <f>[21]Vendedor6!$K$4</f>
        <v>0</v>
      </c>
      <c r="D24" s="82">
        <f>[21]Vendedor6!$L$4</f>
        <v>0</v>
      </c>
      <c r="E24" s="14">
        <f>[21]Vendedor6!$J$5</f>
        <v>0</v>
      </c>
      <c r="F24" s="81">
        <f>[21]Vendedor6!$K$5</f>
        <v>0</v>
      </c>
      <c r="G24" s="85">
        <f>[21]Vendedor6!$L$5</f>
        <v>0</v>
      </c>
      <c r="H24" s="19">
        <f>[21]Vendedor6!$J$6</f>
        <v>0</v>
      </c>
      <c r="I24" s="15">
        <f>[21]Vendedor6!$K$6</f>
        <v>0</v>
      </c>
      <c r="J24" s="17">
        <f>[21]Vendedor6!$L$6</f>
        <v>0</v>
      </c>
      <c r="K24" s="18">
        <f>[21]Vendedor6!$J$7</f>
        <v>0</v>
      </c>
      <c r="L24" s="15">
        <f>[21]Vendedor6!$K$7</f>
        <v>0</v>
      </c>
      <c r="M24" s="16">
        <f>[21]Vendedor6!$L$7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>
      <c r="A25" s="20" t="s">
        <v>34</v>
      </c>
      <c r="B25" s="14">
        <f>[22]Vendedor6!$J$4</f>
        <v>0</v>
      </c>
      <c r="C25" s="81">
        <f>[22]Vendedor6!$K$4</f>
        <v>0</v>
      </c>
      <c r="D25" s="82">
        <f>[22]Vendedor6!$L$4</f>
        <v>0</v>
      </c>
      <c r="E25" s="14">
        <f>[22]Vendedor6!$J$5</f>
        <v>0</v>
      </c>
      <c r="F25" s="81">
        <f>[22]Vendedor6!$K$5</f>
        <v>0</v>
      </c>
      <c r="G25" s="85">
        <f>[22]Vendedor6!$L$5</f>
        <v>0</v>
      </c>
      <c r="H25" s="19">
        <f>[22]Vendedor6!$J$6</f>
        <v>0</v>
      </c>
      <c r="I25" s="15">
        <f>[22]Vendedor6!$K$6</f>
        <v>0</v>
      </c>
      <c r="J25" s="17">
        <f>[22]Vendedor6!$L$6</f>
        <v>0</v>
      </c>
      <c r="K25" s="18">
        <f>[22]Vendedor6!$J$7</f>
        <v>0</v>
      </c>
      <c r="L25" s="15">
        <f>[22]Vendedor6!$K$7</f>
        <v>0</v>
      </c>
      <c r="M25" s="16">
        <f>[22]Vendedor6!$L$7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>
      <c r="A26" s="13" t="s">
        <v>35</v>
      </c>
      <c r="B26" s="14">
        <f>[23]Vendedor6!$J$4</f>
        <v>0</v>
      </c>
      <c r="C26" s="81">
        <f>[23]Vendedor6!$K$4</f>
        <v>0</v>
      </c>
      <c r="D26" s="82">
        <f>[23]Vendedor6!$L$4</f>
        <v>0</v>
      </c>
      <c r="E26" s="14">
        <f>[23]Vendedor6!$J$5</f>
        <v>0</v>
      </c>
      <c r="F26" s="81">
        <f>[23]Vendedor6!$K$5</f>
        <v>0</v>
      </c>
      <c r="G26" s="85">
        <f>[23]Vendedor6!$L$5</f>
        <v>0</v>
      </c>
      <c r="H26" s="19">
        <f>[23]Vendedor6!$J$6</f>
        <v>0</v>
      </c>
      <c r="I26" s="15">
        <f>[23]Vendedor6!$K$6</f>
        <v>0</v>
      </c>
      <c r="J26" s="17">
        <f>[23]Vendedor6!$L$6</f>
        <v>0</v>
      </c>
      <c r="K26" s="18">
        <f>[23]Vendedor6!$J$7</f>
        <v>0</v>
      </c>
      <c r="L26" s="15">
        <f>[23]Vendedor6!$K$7</f>
        <v>0</v>
      </c>
      <c r="M26" s="16">
        <f>[23]Vendedor6!$L$7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>
      <c r="A27" s="20" t="s">
        <v>36</v>
      </c>
      <c r="B27" s="14">
        <f>[24]Vendedor6!$J$4</f>
        <v>0</v>
      </c>
      <c r="C27" s="81">
        <f>[24]Vendedor6!$K$4</f>
        <v>0</v>
      </c>
      <c r="D27" s="82">
        <f>[24]Vendedor6!$L$4</f>
        <v>0</v>
      </c>
      <c r="E27" s="14">
        <f>[24]Vendedor6!$J$5</f>
        <v>0</v>
      </c>
      <c r="F27" s="81">
        <f>[24]Vendedor6!$K$5</f>
        <v>0</v>
      </c>
      <c r="G27" s="85">
        <f>[24]Vendedor6!$L$5</f>
        <v>0</v>
      </c>
      <c r="H27" s="19">
        <f>[24]Vendedor6!$J$6</f>
        <v>0</v>
      </c>
      <c r="I27" s="15">
        <f>[24]Vendedor6!$K$6</f>
        <v>0</v>
      </c>
      <c r="J27" s="17">
        <f>[24]Vendedor6!$L$6</f>
        <v>0</v>
      </c>
      <c r="K27" s="18">
        <f>[24]Vendedor6!$J$7</f>
        <v>0</v>
      </c>
      <c r="L27" s="15">
        <f>[24]Vendedor6!$K$7</f>
        <v>0</v>
      </c>
      <c r="M27" s="16">
        <f>[24]Vendedor6!$L$7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>
      <c r="A28" s="13" t="s">
        <v>37</v>
      </c>
      <c r="B28" s="14">
        <f>[25]Vendedor6!$J$4</f>
        <v>0</v>
      </c>
      <c r="C28" s="81">
        <f>[25]Vendedor6!$K$4</f>
        <v>0</v>
      </c>
      <c r="D28" s="82">
        <f>[25]Vendedor6!$L$4</f>
        <v>0</v>
      </c>
      <c r="E28" s="14">
        <f>[25]Vendedor6!$J$5</f>
        <v>0</v>
      </c>
      <c r="F28" s="81">
        <f>[25]Vendedor6!$K$5</f>
        <v>0</v>
      </c>
      <c r="G28" s="85">
        <f>[25]Vendedor6!$L$5</f>
        <v>0</v>
      </c>
      <c r="H28" s="19">
        <f>[25]Vendedor6!$J$6</f>
        <v>0</v>
      </c>
      <c r="I28" s="15">
        <f>[25]Vendedor6!$K$6</f>
        <v>0</v>
      </c>
      <c r="J28" s="17">
        <f>[25]Vendedor6!$L$6</f>
        <v>0</v>
      </c>
      <c r="K28" s="18">
        <f>[25]Vendedor6!$J$7</f>
        <v>0</v>
      </c>
      <c r="L28" s="15">
        <f>[25]Vendedor6!$K$7</f>
        <v>0</v>
      </c>
      <c r="M28" s="16">
        <f>[25]Vendedor6!$L$7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>
      <c r="A29" s="20" t="s">
        <v>38</v>
      </c>
      <c r="B29" s="14">
        <f>[26]Vendedor6!$J$4</f>
        <v>0</v>
      </c>
      <c r="C29" s="81">
        <f>[26]Vendedor6!$K$4</f>
        <v>0</v>
      </c>
      <c r="D29" s="82">
        <f>[26]Vendedor6!$L$4</f>
        <v>0</v>
      </c>
      <c r="E29" s="14">
        <f>[26]Vendedor6!$J$5</f>
        <v>0</v>
      </c>
      <c r="F29" s="81">
        <f>[26]Vendedor6!$K$5</f>
        <v>0</v>
      </c>
      <c r="G29" s="85">
        <f>[26]Vendedor6!$L$5</f>
        <v>0</v>
      </c>
      <c r="H29" s="19">
        <f>[26]Vendedor6!$J$6</f>
        <v>0</v>
      </c>
      <c r="I29" s="15">
        <f>[26]Vendedor6!$K$6</f>
        <v>0</v>
      </c>
      <c r="J29" s="17">
        <f>[26]Vendedor6!$L$6</f>
        <v>0</v>
      </c>
      <c r="K29" s="18">
        <f>[26]Vendedor6!$J$7</f>
        <v>0</v>
      </c>
      <c r="L29" s="15">
        <f>[26]Vendedor6!$K$7</f>
        <v>0</v>
      </c>
      <c r="M29" s="16">
        <f>[26]Vendedor6!$L$7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>
      <c r="A30" s="13" t="s">
        <v>39</v>
      </c>
      <c r="B30" s="14">
        <f>[27]Vendedor6!$J$4</f>
        <v>0</v>
      </c>
      <c r="C30" s="81">
        <f>[27]Vendedor6!$K$4</f>
        <v>0</v>
      </c>
      <c r="D30" s="82">
        <f>[27]Vendedor6!$L$4</f>
        <v>0</v>
      </c>
      <c r="E30" s="14">
        <f>[27]Vendedor6!$J$5</f>
        <v>0</v>
      </c>
      <c r="F30" s="81">
        <f>[27]Vendedor6!$K$5</f>
        <v>0</v>
      </c>
      <c r="G30" s="85">
        <f>[27]Vendedor6!$L$5</f>
        <v>0</v>
      </c>
      <c r="H30" s="19">
        <f>[27]Vendedor6!$J$6</f>
        <v>0</v>
      </c>
      <c r="I30" s="15">
        <f>[27]Vendedor6!$K$6</f>
        <v>0</v>
      </c>
      <c r="J30" s="17">
        <f>[27]Vendedor6!$L$6</f>
        <v>0</v>
      </c>
      <c r="K30" s="18">
        <f>[27]Vendedor6!$J$7</f>
        <v>0</v>
      </c>
      <c r="L30" s="15">
        <f>[27]Vendedor6!$K$7</f>
        <v>0</v>
      </c>
      <c r="M30" s="16">
        <f>[27]Vendedor6!$L$7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>
      <c r="A31" s="20" t="s">
        <v>40</v>
      </c>
      <c r="B31" s="14">
        <f>[28]Vendedor6!$J$4</f>
        <v>0</v>
      </c>
      <c r="C31" s="81">
        <f>[28]Vendedor6!$K$4</f>
        <v>0</v>
      </c>
      <c r="D31" s="82">
        <f>[28]Vendedor6!$L$4</f>
        <v>0</v>
      </c>
      <c r="E31" s="14">
        <f>[28]Vendedor6!$J$5</f>
        <v>0</v>
      </c>
      <c r="F31" s="81">
        <f>[28]Vendedor6!$K$5</f>
        <v>0</v>
      </c>
      <c r="G31" s="85">
        <f>[28]Vendedor6!$L$5</f>
        <v>0</v>
      </c>
      <c r="H31" s="19">
        <f>[28]Vendedor6!$J$6</f>
        <v>0</v>
      </c>
      <c r="I31" s="15">
        <f>[28]Vendedor6!$K$6</f>
        <v>0</v>
      </c>
      <c r="J31" s="17">
        <f>[28]Vendedor6!$L$6</f>
        <v>0</v>
      </c>
      <c r="K31" s="18">
        <f>[28]Vendedor6!$J$7</f>
        <v>0</v>
      </c>
      <c r="L31" s="15">
        <f>[28]Vendedor6!$K$7</f>
        <v>0</v>
      </c>
      <c r="M31" s="16">
        <f>[28]Vendedor6!$L$7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>
      <c r="A32" s="20" t="s">
        <v>41</v>
      </c>
      <c r="B32" s="14">
        <f>[29]Vendedor6!$J$4</f>
        <v>0</v>
      </c>
      <c r="C32" s="81">
        <f>[29]Vendedor6!$K$4</f>
        <v>0</v>
      </c>
      <c r="D32" s="82">
        <f>[29]Vendedor6!$L$4</f>
        <v>0</v>
      </c>
      <c r="E32" s="14">
        <f>[29]Vendedor6!$J$5</f>
        <v>0</v>
      </c>
      <c r="F32" s="81">
        <f>[29]Vendedor6!$K$5</f>
        <v>0</v>
      </c>
      <c r="G32" s="85">
        <f>[29]Vendedor6!$L$5</f>
        <v>0</v>
      </c>
      <c r="H32" s="19">
        <f>[29]Vendedor6!$J$6</f>
        <v>0</v>
      </c>
      <c r="I32" s="15">
        <f>[29]Vendedor6!$K$6</f>
        <v>0</v>
      </c>
      <c r="J32" s="17">
        <f>[29]Vendedor6!$L$6</f>
        <v>0</v>
      </c>
      <c r="K32" s="18">
        <f>[29]Vendedor6!$J$7</f>
        <v>0</v>
      </c>
      <c r="L32" s="15">
        <f>[29]Vendedor6!$K$7</f>
        <v>0</v>
      </c>
      <c r="M32" s="16">
        <f>[29]Vendedor6!$L$7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>
      <c r="A33" s="13" t="s">
        <v>42</v>
      </c>
      <c r="B33" s="14">
        <f>[30]Vendedor6!$J$4</f>
        <v>0</v>
      </c>
      <c r="C33" s="81">
        <f>[30]Vendedor6!$K$4</f>
        <v>0</v>
      </c>
      <c r="D33" s="82">
        <f>[30]Vendedor6!$L$4</f>
        <v>0</v>
      </c>
      <c r="E33" s="14">
        <f>[30]Vendedor6!$J$5</f>
        <v>0</v>
      </c>
      <c r="F33" s="81">
        <f>[30]Vendedor6!$K$5</f>
        <v>0</v>
      </c>
      <c r="G33" s="85">
        <f>[30]Vendedor6!$L$5</f>
        <v>0</v>
      </c>
      <c r="H33" s="19">
        <f>[30]Vendedor6!$J$6</f>
        <v>0</v>
      </c>
      <c r="I33" s="15">
        <f>[30]Vendedor6!$K$6</f>
        <v>0</v>
      </c>
      <c r="J33" s="17">
        <f>[30]Vendedor6!$L$6</f>
        <v>0</v>
      </c>
      <c r="K33" s="18">
        <f>[30]Vendedor6!$J$7</f>
        <v>0</v>
      </c>
      <c r="L33" s="15">
        <f>[30]Vendedor6!$K$7</f>
        <v>0</v>
      </c>
      <c r="M33" s="16">
        <f>[30]Vendedor6!$L$7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>
      <c r="A34" s="20" t="s">
        <v>43</v>
      </c>
      <c r="B34" s="14">
        <f>[31]Vendedor6!$J$4</f>
        <v>0</v>
      </c>
      <c r="C34" s="81">
        <f>[31]Vendedor6!$K$4</f>
        <v>0</v>
      </c>
      <c r="D34" s="82">
        <f>[31]Vendedor6!$L$4</f>
        <v>0</v>
      </c>
      <c r="E34" s="14">
        <f>[31]Vendedor6!$J$5</f>
        <v>0</v>
      </c>
      <c r="F34" s="81">
        <f>[31]Vendedor6!$K$5</f>
        <v>0</v>
      </c>
      <c r="G34" s="85">
        <f>[31]Vendedor6!$L$5</f>
        <v>0</v>
      </c>
      <c r="H34" s="19">
        <f>[31]Vendedor6!$J$6</f>
        <v>0</v>
      </c>
      <c r="I34" s="15">
        <f>[31]Vendedor6!$K$6</f>
        <v>0</v>
      </c>
      <c r="J34" s="17">
        <f>[31]Vendedor6!$L$6</f>
        <v>0</v>
      </c>
      <c r="K34" s="18">
        <f>[31]Vendedor6!$J$7</f>
        <v>0</v>
      </c>
      <c r="L34" s="15">
        <f>[31]Vendedor6!$K$7</f>
        <v>0</v>
      </c>
      <c r="M34" s="16">
        <f>[31]Vendedor6!$L$7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>
      <c r="A35" s="13" t="s">
        <v>44</v>
      </c>
      <c r="B35" s="14">
        <f>[1]Vendedor6!$J$4</f>
        <v>0</v>
      </c>
      <c r="C35" s="81">
        <f>[1]Vendedor6!$K$4</f>
        <v>0</v>
      </c>
      <c r="D35" s="82">
        <f>[1]Vendedor6!$L$4</f>
        <v>0</v>
      </c>
      <c r="E35" s="14">
        <f>[1]Vendedor6!$J$5</f>
        <v>0</v>
      </c>
      <c r="F35" s="81">
        <f>[1]Vendedor6!$K$5</f>
        <v>0</v>
      </c>
      <c r="G35" s="85">
        <f>[1]Vendedor6!$L$5</f>
        <v>0</v>
      </c>
      <c r="H35" s="19">
        <f>[1]Vendedor6!$J$6</f>
        <v>0</v>
      </c>
      <c r="I35" s="15">
        <f>[1]Vendedor6!$K$6</f>
        <v>0</v>
      </c>
      <c r="J35" s="17">
        <f>[1]Vendedor6!$L$6</f>
        <v>0</v>
      </c>
      <c r="K35" s="18">
        <f>[1]Vendedor6!$J$7</f>
        <v>0</v>
      </c>
      <c r="L35" s="15">
        <f>[1]Vendedor6!$K$7</f>
        <v>0</v>
      </c>
      <c r="M35" s="16">
        <f>[1]Vendedor6!$L$7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.75" thickBot="1">
      <c r="A36" s="20" t="s">
        <v>45</v>
      </c>
      <c r="B36" s="21">
        <f>[2]Vendedor6!$J$4</f>
        <v>0</v>
      </c>
      <c r="C36" s="83">
        <f>[2]Vendedor6!$K$4</f>
        <v>0</v>
      </c>
      <c r="D36" s="84">
        <f>[2]Vendedor6!$L$4</f>
        <v>0</v>
      </c>
      <c r="E36" s="21">
        <f>[2]Vendedor6!$J$5</f>
        <v>0</v>
      </c>
      <c r="F36" s="83">
        <f>[2]Vendedor6!$K$5</f>
        <v>0</v>
      </c>
      <c r="G36" s="86">
        <f>[2]Vendedor6!$L$5</f>
        <v>0</v>
      </c>
      <c r="H36" s="26">
        <f>[2]Vendedor6!$J$6</f>
        <v>0</v>
      </c>
      <c r="I36" s="22">
        <f>[2]Vendedor6!$K$6</f>
        <v>0</v>
      </c>
      <c r="J36" s="24">
        <f>[2]Vendedor6!$L$6</f>
        <v>0</v>
      </c>
      <c r="K36" s="25">
        <f>[2]Vendedor6!$J$7</f>
        <v>0</v>
      </c>
      <c r="L36" s="22">
        <f>[2]Vendedor6!$K$7</f>
        <v>0</v>
      </c>
      <c r="M36" s="23">
        <f>[2]Vendedor6!$L$7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.5" thickBot="1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V37"/>
  <sheetViews>
    <sheetView showGridLines="0" topLeftCell="L1" zoomScale="80" zoomScaleNormal="8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6" width="11.42578125" style="1"/>
    <col min="17" max="19" width="14.5703125" style="1" customWidth="1"/>
    <col min="20" max="26" width="11.42578125" style="1"/>
    <col min="27" max="27" width="12.140625" style="1" customWidth="1"/>
    <col min="28" max="28" width="4.85546875" style="1" customWidth="1"/>
    <col min="29" max="29" width="11.140625" style="1" customWidth="1"/>
    <col min="30" max="30" width="6.140625" style="1" customWidth="1"/>
    <col min="31" max="1036" width="11.42578125" style="1"/>
  </cols>
  <sheetData>
    <row r="1" spans="1:27" ht="15.75" thickBot="1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8"/>
    </row>
    <row r="2" spans="1:27" ht="19.5" thickBot="1">
      <c r="A2" s="2" t="s">
        <v>1</v>
      </c>
      <c r="B2" s="135" t="s">
        <v>87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102</v>
      </c>
      <c r="T2" s="4">
        <v>0.12</v>
      </c>
      <c r="U2" s="3" t="s">
        <v>103</v>
      </c>
      <c r="V2" s="4">
        <v>0.12</v>
      </c>
    </row>
    <row r="3" spans="1:27" ht="15.75" thickBot="1"/>
    <row r="4" spans="1:2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56" t="s">
        <v>98</v>
      </c>
      <c r="R4" s="57" t="s">
        <v>99</v>
      </c>
      <c r="S4" s="12" t="s">
        <v>100</v>
      </c>
      <c r="T4" s="56" t="s">
        <v>92</v>
      </c>
      <c r="U4" s="57" t="s">
        <v>93</v>
      </c>
      <c r="V4" s="12" t="s">
        <v>94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>
      <c r="A6" s="79" t="s">
        <v>49</v>
      </c>
      <c r="B6" s="53">
        <f>[3]Vendedor7!$J$4</f>
        <v>446400</v>
      </c>
      <c r="C6" s="58">
        <f>[3]Vendedor7!$K$4</f>
        <v>53568</v>
      </c>
      <c r="D6" s="55">
        <f>[3]Vendedor7!$L$4</f>
        <v>446250</v>
      </c>
      <c r="E6" s="53">
        <f>[3]Vendedor7!$J$5</f>
        <v>421750</v>
      </c>
      <c r="F6" s="58">
        <f>[3]Vendedor7!$K$5</f>
        <v>50610</v>
      </c>
      <c r="G6" s="54">
        <f>[3]Vendedor7!$L$5</f>
        <v>794750</v>
      </c>
      <c r="H6" s="59">
        <f>[3]Vendedor7!$J$6</f>
        <v>71700</v>
      </c>
      <c r="I6" s="58">
        <f>[3]Vendedor7!$K$6</f>
        <v>7170</v>
      </c>
      <c r="J6" s="55">
        <f>[3]Vendedor7!$L$6</f>
        <v>0</v>
      </c>
      <c r="K6" s="61">
        <f>[3]Vendedor7!$J$7</f>
        <v>38050</v>
      </c>
      <c r="L6" s="58">
        <f>[3]Vendedor7!$K$7</f>
        <v>4566</v>
      </c>
      <c r="M6" s="54">
        <f>[3]Vendedor7!$L$7</f>
        <v>25500</v>
      </c>
      <c r="N6" s="59">
        <f>[3]Vendedor7!$J$8</f>
        <v>57800</v>
      </c>
      <c r="O6" s="58">
        <f>[3]Vendedor7!$K$8</f>
        <v>6936</v>
      </c>
      <c r="P6" s="55">
        <f>[3]Vendedor7!$L$8</f>
        <v>8500</v>
      </c>
      <c r="Q6" s="61">
        <f>[3]Vendedor7!$J$9</f>
        <v>97600</v>
      </c>
      <c r="R6" s="58">
        <f>[3]Vendedor7!$K$9</f>
        <v>11712</v>
      </c>
      <c r="S6" s="54">
        <f>[3]Vendedor7!$L$9</f>
        <v>42500</v>
      </c>
      <c r="T6" s="59">
        <f>[3]Vendedor7!$J$10</f>
        <v>2900</v>
      </c>
      <c r="U6" s="58">
        <f>[3]Vendedor7!$K$10</f>
        <v>348</v>
      </c>
      <c r="V6" s="55">
        <f>[3]Vendedor7!$L$10</f>
        <v>17000</v>
      </c>
      <c r="W6" s="61">
        <f>+B6+E6+H6+K6+N6+Q6+T6</f>
        <v>1136200</v>
      </c>
      <c r="X6" s="58">
        <f t="shared" ref="X6:X36" si="1">+C6+F6+I6+L6+O6+R6+U6</f>
        <v>134910</v>
      </c>
      <c r="Y6" s="58">
        <f t="shared" ref="Y6:Y36" si="2">+D6+G6+J6+M6+P6+S6+V6</f>
        <v>1334500</v>
      </c>
      <c r="Z6" s="58">
        <v>0</v>
      </c>
      <c r="AA6" s="55">
        <f t="shared" ref="AA6:AA36" si="3">+W6-X6-Y6+Z6</f>
        <v>-333210</v>
      </c>
    </row>
    <row r="7" spans="1:27">
      <c r="A7" s="80" t="s">
        <v>50</v>
      </c>
      <c r="B7" s="14">
        <f>[4]Vendedor7!$J$4</f>
        <v>397000</v>
      </c>
      <c r="C7" s="15">
        <f>[4]Vendedor7!$K$4</f>
        <v>47640</v>
      </c>
      <c r="D7" s="17">
        <f>[4]Vendedor7!$L$4</f>
        <v>369750</v>
      </c>
      <c r="E7" s="14">
        <f>[4]Vendedor7!$J$5</f>
        <v>415350</v>
      </c>
      <c r="F7" s="15">
        <f>[4]Vendedor7!$K$5</f>
        <v>49842</v>
      </c>
      <c r="G7" s="16">
        <f>[4]Vendedor7!$L$5</f>
        <v>450500</v>
      </c>
      <c r="H7" s="19">
        <f>[4]Vendedor7!$J$6</f>
        <v>73000</v>
      </c>
      <c r="I7" s="15">
        <f>[4]Vendedor7!$K$6</f>
        <v>7300</v>
      </c>
      <c r="J7" s="17">
        <f>[4]Vendedor7!$L$6</f>
        <v>450000</v>
      </c>
      <c r="K7" s="18">
        <f>[4]Vendedor7!$J$7</f>
        <v>55600</v>
      </c>
      <c r="L7" s="15">
        <f>[4]Vendedor7!$K$7</f>
        <v>6672</v>
      </c>
      <c r="M7" s="16">
        <f>[4]Vendedor7!$L$7</f>
        <v>8500</v>
      </c>
      <c r="N7" s="19">
        <f>[4]Vendedor7!$J$8</f>
        <v>59600</v>
      </c>
      <c r="O7" s="15">
        <f>[4]Vendedor7!$K$8</f>
        <v>7152</v>
      </c>
      <c r="P7" s="17">
        <f>[4]Vendedor7!$L$8</f>
        <v>42500</v>
      </c>
      <c r="Q7" s="18">
        <f>[4]Vendedor7!$J$9</f>
        <v>67700</v>
      </c>
      <c r="R7" s="15">
        <f>[4]Vendedor7!$K$9</f>
        <v>8124</v>
      </c>
      <c r="S7" s="16">
        <f>[4]Vendedor7!$L$9</f>
        <v>85000</v>
      </c>
      <c r="T7" s="19">
        <f>[4]Vendedor7!$J$10</f>
        <v>0</v>
      </c>
      <c r="U7" s="15">
        <f>[4]Vendedor7!$K$10</f>
        <v>0</v>
      </c>
      <c r="V7" s="17">
        <f>[4]Vendedor7!$L$10</f>
        <v>0</v>
      </c>
      <c r="W7" s="18">
        <f t="shared" ref="W7:W36" si="4">+B7+E7+H7+K7+N7+Q7+T7</f>
        <v>1068250</v>
      </c>
      <c r="X7" s="15">
        <f t="shared" si="1"/>
        <v>126730</v>
      </c>
      <c r="Y7" s="15">
        <f t="shared" si="2"/>
        <v>1406250</v>
      </c>
      <c r="Z7" s="15">
        <v>0</v>
      </c>
      <c r="AA7" s="17">
        <f t="shared" si="3"/>
        <v>-464730</v>
      </c>
    </row>
    <row r="8" spans="1:27">
      <c r="A8" s="79" t="s">
        <v>51</v>
      </c>
      <c r="B8" s="14">
        <f>[5]Vendedor7!$J$4</f>
        <v>592250</v>
      </c>
      <c r="C8" s="15">
        <f>[5]Vendedor7!$K$4</f>
        <v>71070</v>
      </c>
      <c r="D8" s="17">
        <f>[5]Vendedor7!$L$4</f>
        <v>357000</v>
      </c>
      <c r="E8" s="14">
        <f>[5]Vendedor7!$J$5</f>
        <v>415950</v>
      </c>
      <c r="F8" s="15">
        <f>[5]Vendedor7!$K$5</f>
        <v>49914</v>
      </c>
      <c r="G8" s="16">
        <f>[5]Vendedor7!$L$5</f>
        <v>748000</v>
      </c>
      <c r="H8" s="19">
        <f>[5]Vendedor7!$J$6</f>
        <v>89500</v>
      </c>
      <c r="I8" s="15">
        <f>[5]Vendedor7!$K$6</f>
        <v>8950</v>
      </c>
      <c r="J8" s="17">
        <f>[5]Vendedor7!$L$6</f>
        <v>180000</v>
      </c>
      <c r="K8" s="18">
        <f>[5]Vendedor7!$J$7</f>
        <v>91500</v>
      </c>
      <c r="L8" s="15">
        <f>[5]Vendedor7!$K$7</f>
        <v>10980</v>
      </c>
      <c r="M8" s="16">
        <f>[5]Vendedor7!$L$7</f>
        <v>0</v>
      </c>
      <c r="N8" s="19">
        <f>[5]Vendedor7!$J$8</f>
        <v>32700</v>
      </c>
      <c r="O8" s="15">
        <f>[5]Vendedor7!$K$8</f>
        <v>3924</v>
      </c>
      <c r="P8" s="17">
        <f>[5]Vendedor7!$L$8</f>
        <v>0</v>
      </c>
      <c r="Q8" s="18">
        <f>[5]Vendedor7!$J$9</f>
        <v>83600</v>
      </c>
      <c r="R8" s="15">
        <f>[5]Vendedor7!$K$9</f>
        <v>10032</v>
      </c>
      <c r="S8" s="16">
        <f>[5]Vendedor7!$L$9</f>
        <v>0</v>
      </c>
      <c r="T8" s="19">
        <f>[5]Vendedor7!$J$10</f>
        <v>0</v>
      </c>
      <c r="U8" s="15">
        <f>[5]Vendedor7!$K$10</f>
        <v>0</v>
      </c>
      <c r="V8" s="17">
        <f>[5]Vendedor7!$L$10</f>
        <v>0</v>
      </c>
      <c r="W8" s="18">
        <f t="shared" si="4"/>
        <v>1305500</v>
      </c>
      <c r="X8" s="15">
        <f t="shared" si="1"/>
        <v>154870</v>
      </c>
      <c r="Y8" s="15">
        <f t="shared" si="2"/>
        <v>1285000</v>
      </c>
      <c r="Z8" s="15">
        <v>0</v>
      </c>
      <c r="AA8" s="17">
        <f t="shared" si="3"/>
        <v>-134370</v>
      </c>
    </row>
    <row r="9" spans="1:27">
      <c r="A9" s="80" t="s">
        <v>52</v>
      </c>
      <c r="B9" s="14">
        <f>[6]Vendedor7!$J$4</f>
        <v>518200</v>
      </c>
      <c r="C9" s="15">
        <f>[6]Vendedor7!$K$4</f>
        <v>62184</v>
      </c>
      <c r="D9" s="17">
        <f>[6]Vendedor7!$L$4</f>
        <v>743750</v>
      </c>
      <c r="E9" s="14">
        <f>[6]Vendedor7!$J$5</f>
        <v>462050</v>
      </c>
      <c r="F9" s="15">
        <f>[6]Vendedor7!$K$5</f>
        <v>55446</v>
      </c>
      <c r="G9" s="16">
        <f>[6]Vendedor7!$L$5</f>
        <v>140250</v>
      </c>
      <c r="H9" s="19">
        <f>[6]Vendedor7!$J$6</f>
        <v>67550</v>
      </c>
      <c r="I9" s="15">
        <f>[6]Vendedor7!$K$6</f>
        <v>6755</v>
      </c>
      <c r="J9" s="17">
        <f>[6]Vendedor7!$L$6</f>
        <v>0</v>
      </c>
      <c r="K9" s="18">
        <f>[6]Vendedor7!$J$7</f>
        <v>66900</v>
      </c>
      <c r="L9" s="15">
        <f>[6]Vendedor7!$K$7</f>
        <v>8028</v>
      </c>
      <c r="M9" s="16">
        <f>[6]Vendedor7!$L$7</f>
        <v>25500</v>
      </c>
      <c r="N9" s="19">
        <f>[6]Vendedor7!$J$8</f>
        <v>14300</v>
      </c>
      <c r="O9" s="15">
        <f>[6]Vendedor7!$K$8</f>
        <v>1716</v>
      </c>
      <c r="P9" s="17">
        <f>[6]Vendedor7!$L$8</f>
        <v>0</v>
      </c>
      <c r="Q9" s="18">
        <f>[6]Vendedor7!$J$9</f>
        <v>112000</v>
      </c>
      <c r="R9" s="15">
        <f>[6]Vendedor7!$K$9</f>
        <v>13440</v>
      </c>
      <c r="S9" s="16">
        <f>[6]Vendedor7!$L$9</f>
        <v>0</v>
      </c>
      <c r="T9" s="19">
        <f>[6]Vendedor7!$J$10</f>
        <v>0</v>
      </c>
      <c r="U9" s="15">
        <f>[6]Vendedor7!$K$10</f>
        <v>0</v>
      </c>
      <c r="V9" s="17">
        <f>[6]Vendedor7!$L$10</f>
        <v>0</v>
      </c>
      <c r="W9" s="18">
        <f t="shared" si="4"/>
        <v>1241000</v>
      </c>
      <c r="X9" s="15">
        <f t="shared" si="1"/>
        <v>147569</v>
      </c>
      <c r="Y9" s="15">
        <f t="shared" si="2"/>
        <v>909500</v>
      </c>
      <c r="Z9" s="15">
        <v>0</v>
      </c>
      <c r="AA9" s="17">
        <f t="shared" si="3"/>
        <v>183931</v>
      </c>
    </row>
    <row r="10" spans="1:27">
      <c r="A10" s="79" t="s">
        <v>53</v>
      </c>
      <c r="B10" s="14">
        <f>[7]Vendedor7!$J$4</f>
        <v>500050</v>
      </c>
      <c r="C10" s="15">
        <f>[7]Vendedor7!$K$4</f>
        <v>60006</v>
      </c>
      <c r="D10" s="17">
        <f>[7]Vendedor7!$L$4</f>
        <v>323000</v>
      </c>
      <c r="E10" s="14">
        <f>[7]Vendedor7!$J$5</f>
        <v>324350</v>
      </c>
      <c r="F10" s="15">
        <f>[7]Vendedor7!$K$5</f>
        <v>38922</v>
      </c>
      <c r="G10" s="16">
        <f>[7]Vendedor7!$L$5</f>
        <v>191250</v>
      </c>
      <c r="H10" s="19">
        <f>[7]Vendedor7!$J$6</f>
        <v>70300</v>
      </c>
      <c r="I10" s="15">
        <f>[7]Vendedor7!$K$6</f>
        <v>7030</v>
      </c>
      <c r="J10" s="17">
        <f>[7]Vendedor7!$L$6</f>
        <v>60000</v>
      </c>
      <c r="K10" s="18">
        <f>[7]Vendedor7!$J$7</f>
        <v>51500</v>
      </c>
      <c r="L10" s="15">
        <f>[7]Vendedor7!$K$7</f>
        <v>6180</v>
      </c>
      <c r="M10" s="16">
        <f>[7]Vendedor7!$L$7</f>
        <v>0</v>
      </c>
      <c r="N10" s="19">
        <f>[7]Vendedor7!$J$8</f>
        <v>24000</v>
      </c>
      <c r="O10" s="15">
        <f>[7]Vendedor7!$K$8</f>
        <v>2880</v>
      </c>
      <c r="P10" s="17">
        <f>[7]Vendedor7!$L$8</f>
        <v>0</v>
      </c>
      <c r="Q10" s="18">
        <f>[7]Vendedor7!$J$9</f>
        <v>71000</v>
      </c>
      <c r="R10" s="15">
        <f>[7]Vendedor7!$K$9</f>
        <v>8520</v>
      </c>
      <c r="S10" s="16">
        <f>[7]Vendedor7!$L$9</f>
        <v>0</v>
      </c>
      <c r="T10" s="19">
        <f>[7]Vendedor7!$J$10</f>
        <v>0</v>
      </c>
      <c r="U10" s="15">
        <f>[7]Vendedor7!$K$10</f>
        <v>0</v>
      </c>
      <c r="V10" s="17">
        <f>[7]Vendedor7!$L$10</f>
        <v>0</v>
      </c>
      <c r="W10" s="18">
        <f t="shared" si="4"/>
        <v>1041200</v>
      </c>
      <c r="X10" s="15">
        <f t="shared" si="1"/>
        <v>123538</v>
      </c>
      <c r="Y10" s="15">
        <f t="shared" si="2"/>
        <v>574250</v>
      </c>
      <c r="Z10" s="15">
        <v>0</v>
      </c>
      <c r="AA10" s="17">
        <f t="shared" si="3"/>
        <v>343412</v>
      </c>
    </row>
    <row r="11" spans="1:27">
      <c r="A11" s="80" t="s">
        <v>20</v>
      </c>
      <c r="B11" s="14">
        <f>[8]Vendedor7!$J$4</f>
        <v>472850</v>
      </c>
      <c r="C11" s="15">
        <f>[8]Vendedor7!$K$4</f>
        <v>56742</v>
      </c>
      <c r="D11" s="17">
        <f>[8]Vendedor7!$L$4</f>
        <v>391000</v>
      </c>
      <c r="E11" s="14">
        <f>[8]Vendedor7!$J$5</f>
        <v>400650</v>
      </c>
      <c r="F11" s="15">
        <f>[8]Vendedor7!$K$5</f>
        <v>48078</v>
      </c>
      <c r="G11" s="16">
        <f>[8]Vendedor7!$L$5</f>
        <v>335750</v>
      </c>
      <c r="H11" s="19">
        <f>[8]Vendedor7!$J$6</f>
        <v>74300</v>
      </c>
      <c r="I11" s="15">
        <f>[8]Vendedor7!$K$6</f>
        <v>7430</v>
      </c>
      <c r="J11" s="17">
        <f>[8]Vendedor7!$L$6</f>
        <v>0</v>
      </c>
      <c r="K11" s="18">
        <f>[8]Vendedor7!$J$7</f>
        <v>28150</v>
      </c>
      <c r="L11" s="15">
        <f>[8]Vendedor7!$K$7</f>
        <v>3378</v>
      </c>
      <c r="M11" s="16">
        <f>[8]Vendedor7!$L$7</f>
        <v>17000</v>
      </c>
      <c r="N11" s="19">
        <f>[8]Vendedor7!$J$8</f>
        <v>25950</v>
      </c>
      <c r="O11" s="15">
        <f>[8]Vendedor7!$K$8</f>
        <v>3114</v>
      </c>
      <c r="P11" s="17">
        <f>[8]Vendedor7!$L$8</f>
        <v>0</v>
      </c>
      <c r="Q11" s="18">
        <f>[8]Vendedor7!$J$9</f>
        <v>0</v>
      </c>
      <c r="R11" s="15">
        <f>[8]Vendedor7!$K$9</f>
        <v>0</v>
      </c>
      <c r="S11" s="16">
        <f>[8]Vendedor7!$L$9</f>
        <v>0</v>
      </c>
      <c r="T11" s="19">
        <f>[8]Vendedor7!$J$10</f>
        <v>0</v>
      </c>
      <c r="U11" s="15">
        <f>[8]Vendedor7!$K$10</f>
        <v>0</v>
      </c>
      <c r="V11" s="17">
        <f>[8]Vendedor7!$L$10</f>
        <v>0</v>
      </c>
      <c r="W11" s="18">
        <f t="shared" si="4"/>
        <v>1001900</v>
      </c>
      <c r="X11" s="15">
        <f t="shared" si="1"/>
        <v>118742</v>
      </c>
      <c r="Y11" s="15">
        <f t="shared" si="2"/>
        <v>743750</v>
      </c>
      <c r="Z11" s="15">
        <v>0</v>
      </c>
      <c r="AA11" s="17">
        <f t="shared" si="3"/>
        <v>139408</v>
      </c>
    </row>
    <row r="12" spans="1:27">
      <c r="A12" s="79" t="s">
        <v>21</v>
      </c>
      <c r="B12" s="14">
        <f>[9]Vendedor7!$J$4</f>
        <v>487650</v>
      </c>
      <c r="C12" s="15">
        <f>[9]Vendedor7!$K$4</f>
        <v>58518</v>
      </c>
      <c r="D12" s="17">
        <f>[9]Vendedor7!$L$4</f>
        <v>301750</v>
      </c>
      <c r="E12" s="14">
        <f>[9]Vendedor7!$J$5</f>
        <v>289350</v>
      </c>
      <c r="F12" s="15">
        <f>[9]Vendedor7!$K$5</f>
        <v>34722</v>
      </c>
      <c r="G12" s="16">
        <f>[9]Vendedor7!$L$5</f>
        <v>136000</v>
      </c>
      <c r="H12" s="19">
        <f>[9]Vendedor7!$J$6</f>
        <v>71350</v>
      </c>
      <c r="I12" s="15">
        <f>[9]Vendedor7!$K$6</f>
        <v>7135</v>
      </c>
      <c r="J12" s="17">
        <f>[9]Vendedor7!$L$6</f>
        <v>0</v>
      </c>
      <c r="K12" s="18">
        <f>[9]Vendedor7!$J$7</f>
        <v>60250</v>
      </c>
      <c r="L12" s="15">
        <f>[9]Vendedor7!$K$7</f>
        <v>7230</v>
      </c>
      <c r="M12" s="16">
        <f>[9]Vendedor7!$L$7</f>
        <v>17000</v>
      </c>
      <c r="N12" s="19">
        <f>[9]Vendedor7!$J$8</f>
        <v>42700</v>
      </c>
      <c r="O12" s="15">
        <f>[9]Vendedor7!$K$8</f>
        <v>5124</v>
      </c>
      <c r="P12" s="17">
        <f>[9]Vendedor7!$L$8</f>
        <v>187000</v>
      </c>
      <c r="Q12" s="18">
        <f>[9]Vendedor7!$J$9</f>
        <v>95950</v>
      </c>
      <c r="R12" s="15">
        <f>[9]Vendedor7!$K$9</f>
        <v>11514</v>
      </c>
      <c r="S12" s="16">
        <f>[9]Vendedor7!$L$9</f>
        <v>0</v>
      </c>
      <c r="T12" s="19">
        <f>[9]Vendedor7!$J$10</f>
        <v>0</v>
      </c>
      <c r="U12" s="15">
        <f>[9]Vendedor7!$K$10</f>
        <v>0</v>
      </c>
      <c r="V12" s="17">
        <f>[9]Vendedor7!$L$10</f>
        <v>0</v>
      </c>
      <c r="W12" s="18">
        <f t="shared" si="4"/>
        <v>1047250</v>
      </c>
      <c r="X12" s="15">
        <f t="shared" si="1"/>
        <v>124243</v>
      </c>
      <c r="Y12" s="15">
        <f t="shared" si="2"/>
        <v>641750</v>
      </c>
      <c r="Z12" s="15">
        <v>0</v>
      </c>
      <c r="AA12" s="17">
        <f t="shared" si="3"/>
        <v>281257</v>
      </c>
    </row>
    <row r="13" spans="1:27">
      <c r="A13" s="80" t="s">
        <v>22</v>
      </c>
      <c r="B13" s="14">
        <f>[10]Vendedor7!$J$4</f>
        <v>353200</v>
      </c>
      <c r="C13" s="15">
        <f>[10]Vendedor7!$K$4</f>
        <v>42384</v>
      </c>
      <c r="D13" s="17">
        <f>[10]Vendedor7!$L$4</f>
        <v>195500</v>
      </c>
      <c r="E13" s="14">
        <f>[10]Vendedor7!$J$5</f>
        <v>309850</v>
      </c>
      <c r="F13" s="15">
        <f>[10]Vendedor7!$K$5</f>
        <v>37182</v>
      </c>
      <c r="G13" s="16">
        <f>[10]Vendedor7!$L$5</f>
        <v>199750</v>
      </c>
      <c r="H13" s="19">
        <f>[10]Vendedor7!$J$6</f>
        <v>52650</v>
      </c>
      <c r="I13" s="15">
        <f>[10]Vendedor7!$K$6</f>
        <v>5265</v>
      </c>
      <c r="J13" s="17">
        <f>[10]Vendedor7!$L$6</f>
        <v>0</v>
      </c>
      <c r="K13" s="18">
        <f>[10]Vendedor7!$J$7</f>
        <v>49950</v>
      </c>
      <c r="L13" s="15">
        <f>[10]Vendedor7!$K$7</f>
        <v>5994</v>
      </c>
      <c r="M13" s="16">
        <f>[10]Vendedor7!$L$7</f>
        <v>42500</v>
      </c>
      <c r="N13" s="19">
        <f>[10]Vendedor7!$J$8</f>
        <v>52950</v>
      </c>
      <c r="O13" s="15">
        <f>[10]Vendedor7!$K$8</f>
        <v>6354</v>
      </c>
      <c r="P13" s="17">
        <f>[10]Vendedor7!$L$8</f>
        <v>12750</v>
      </c>
      <c r="Q13" s="18">
        <f>[10]Vendedor7!$J$9</f>
        <v>77500</v>
      </c>
      <c r="R13" s="15">
        <f>[10]Vendedor7!$K$9</f>
        <v>9300</v>
      </c>
      <c r="S13" s="16">
        <f>[10]Vendedor7!$L$9</f>
        <v>85000</v>
      </c>
      <c r="T13" s="19">
        <f>[10]Vendedor7!$J$10</f>
        <v>0</v>
      </c>
      <c r="U13" s="15">
        <f>[10]Vendedor7!$K$10</f>
        <v>0</v>
      </c>
      <c r="V13" s="17">
        <f>[10]Vendedor7!$L$10</f>
        <v>0</v>
      </c>
      <c r="W13" s="18">
        <f t="shared" si="4"/>
        <v>896100</v>
      </c>
      <c r="X13" s="15">
        <f t="shared" si="1"/>
        <v>106479</v>
      </c>
      <c r="Y13" s="15">
        <f t="shared" si="2"/>
        <v>535500</v>
      </c>
      <c r="Z13" s="15">
        <v>0</v>
      </c>
      <c r="AA13" s="17">
        <f t="shared" si="3"/>
        <v>254121</v>
      </c>
    </row>
    <row r="14" spans="1:27">
      <c r="A14" s="79" t="s">
        <v>23</v>
      </c>
      <c r="B14" s="14">
        <f>[11]Vendedor7!$J$4</f>
        <v>399150</v>
      </c>
      <c r="C14" s="15">
        <f>[11]Vendedor7!$K$4</f>
        <v>47898</v>
      </c>
      <c r="D14" s="17">
        <f>[11]Vendedor7!$L$4</f>
        <v>38250</v>
      </c>
      <c r="E14" s="14">
        <f>[11]Vendedor7!$J$5</f>
        <v>256550</v>
      </c>
      <c r="F14" s="15">
        <f>[11]Vendedor7!$K$5</f>
        <v>30786</v>
      </c>
      <c r="G14" s="16">
        <f>[11]Vendedor7!$L$5</f>
        <v>165750</v>
      </c>
      <c r="H14" s="19">
        <f>[11]Vendedor7!$J$6</f>
        <v>51150</v>
      </c>
      <c r="I14" s="15">
        <f>[11]Vendedor7!$K$6</f>
        <v>5115</v>
      </c>
      <c r="J14" s="17">
        <f>[11]Vendedor7!$L$6</f>
        <v>0</v>
      </c>
      <c r="K14" s="18">
        <f>[11]Vendedor7!$J$7</f>
        <v>38100</v>
      </c>
      <c r="L14" s="15">
        <f>[11]Vendedor7!$K$7</f>
        <v>4572</v>
      </c>
      <c r="M14" s="16">
        <f>[11]Vendedor7!$L$7</f>
        <v>0</v>
      </c>
      <c r="N14" s="19">
        <f>[11]Vendedor7!$J$8</f>
        <v>42250</v>
      </c>
      <c r="O14" s="15">
        <f>[11]Vendedor7!$K$8</f>
        <v>5070</v>
      </c>
      <c r="P14" s="17">
        <f>[11]Vendedor7!$L$8</f>
        <v>0</v>
      </c>
      <c r="Q14" s="18">
        <f>[11]Vendedor7!$J$9</f>
        <v>41500</v>
      </c>
      <c r="R14" s="15">
        <f>[11]Vendedor7!$K$9</f>
        <v>4980</v>
      </c>
      <c r="S14" s="16">
        <f>[11]Vendedor7!$L$9</f>
        <v>127500</v>
      </c>
      <c r="T14" s="19">
        <f>[11]Vendedor7!$J$10</f>
        <v>0</v>
      </c>
      <c r="U14" s="15">
        <f>[11]Vendedor7!$K$10</f>
        <v>0</v>
      </c>
      <c r="V14" s="17">
        <f>[11]Vendedor7!$L$10</f>
        <v>0</v>
      </c>
      <c r="W14" s="18">
        <f t="shared" si="4"/>
        <v>828700</v>
      </c>
      <c r="X14" s="15">
        <f t="shared" si="1"/>
        <v>98421</v>
      </c>
      <c r="Y14" s="15">
        <f t="shared" si="2"/>
        <v>331500</v>
      </c>
      <c r="Z14" s="15">
        <v>0</v>
      </c>
      <c r="AA14" s="17">
        <f t="shared" si="3"/>
        <v>398779</v>
      </c>
    </row>
    <row r="15" spans="1:27">
      <c r="A15" s="80" t="s">
        <v>24</v>
      </c>
      <c r="B15" s="14">
        <f>[12]Vendedor7!$J$4</f>
        <v>294700</v>
      </c>
      <c r="C15" s="15">
        <f>[12]Vendedor7!$K$4</f>
        <v>35364</v>
      </c>
      <c r="D15" s="17">
        <f>[12]Vendedor7!$L$4</f>
        <v>259250</v>
      </c>
      <c r="E15" s="14">
        <f>[12]Vendedor7!$J$5</f>
        <v>210800</v>
      </c>
      <c r="F15" s="15">
        <f>[12]Vendedor7!$K$5</f>
        <v>25296</v>
      </c>
      <c r="G15" s="16">
        <f>[12]Vendedor7!$L$5</f>
        <v>229500</v>
      </c>
      <c r="H15" s="19">
        <f>[12]Vendedor7!$J$6</f>
        <v>47850</v>
      </c>
      <c r="I15" s="15">
        <f>[12]Vendedor7!$K$6</f>
        <v>4785</v>
      </c>
      <c r="J15" s="17">
        <f>[12]Vendedor7!$L$6</f>
        <v>0</v>
      </c>
      <c r="K15" s="18">
        <f>[12]Vendedor7!$J$7</f>
        <v>29400</v>
      </c>
      <c r="L15" s="15">
        <f>[12]Vendedor7!$K$7</f>
        <v>3528</v>
      </c>
      <c r="M15" s="16">
        <f>[12]Vendedor7!$L$7</f>
        <v>42500</v>
      </c>
      <c r="N15" s="19">
        <f>[12]Vendedor7!$J$8</f>
        <v>12100</v>
      </c>
      <c r="O15" s="15">
        <f>[12]Vendedor7!$K$8</f>
        <v>1452</v>
      </c>
      <c r="P15" s="17">
        <f>[12]Vendedor7!$L$8</f>
        <v>8500</v>
      </c>
      <c r="Q15" s="18">
        <f>[12]Vendedor7!$J$9</f>
        <v>0</v>
      </c>
      <c r="R15" s="15">
        <f>[12]Vendedor7!$K$9</f>
        <v>0</v>
      </c>
      <c r="S15" s="16">
        <f>[12]Vendedor7!$L$9</f>
        <v>0</v>
      </c>
      <c r="T15" s="19">
        <f>[12]Vendedor7!$J$10</f>
        <v>0</v>
      </c>
      <c r="U15" s="15">
        <f>[12]Vendedor7!$K$10</f>
        <v>0</v>
      </c>
      <c r="V15" s="17">
        <f>[12]Vendedor7!$L$10</f>
        <v>0</v>
      </c>
      <c r="W15" s="18">
        <f t="shared" si="4"/>
        <v>594850</v>
      </c>
      <c r="X15" s="15">
        <f t="shared" si="1"/>
        <v>70425</v>
      </c>
      <c r="Y15" s="15">
        <f t="shared" si="2"/>
        <v>539750</v>
      </c>
      <c r="Z15" s="15">
        <v>0</v>
      </c>
      <c r="AA15" s="17">
        <f t="shared" si="3"/>
        <v>-15325</v>
      </c>
    </row>
    <row r="16" spans="1:27">
      <c r="A16" s="79" t="s">
        <v>25</v>
      </c>
      <c r="B16" s="14">
        <f>[13]Vendedor7!$J$4</f>
        <v>442750</v>
      </c>
      <c r="C16" s="15">
        <f>[13]Vendedor7!$K$4</f>
        <v>53130</v>
      </c>
      <c r="D16" s="17">
        <f>[13]Vendedor7!$L$4</f>
        <v>310250</v>
      </c>
      <c r="E16" s="14">
        <f>[13]Vendedor7!$J$5</f>
        <v>366350</v>
      </c>
      <c r="F16" s="15">
        <f>[13]Vendedor7!$K$5</f>
        <v>43962</v>
      </c>
      <c r="G16" s="16">
        <f>[13]Vendedor7!$L$5</f>
        <v>191250</v>
      </c>
      <c r="H16" s="19">
        <f>[13]Vendedor7!$J$6</f>
        <v>66100</v>
      </c>
      <c r="I16" s="15">
        <f>[13]Vendedor7!$K$6</f>
        <v>6610</v>
      </c>
      <c r="J16" s="17">
        <f>[13]Vendedor7!$L$6</f>
        <v>0</v>
      </c>
      <c r="K16" s="18">
        <f>[13]Vendedor7!$J$7</f>
        <v>52350</v>
      </c>
      <c r="L16" s="15">
        <f>[13]Vendedor7!$K$7</f>
        <v>6282</v>
      </c>
      <c r="M16" s="16">
        <f>[13]Vendedor7!$L$7</f>
        <v>93500</v>
      </c>
      <c r="N16" s="19">
        <f>[13]Vendedor7!$J$8</f>
        <v>13700</v>
      </c>
      <c r="O16" s="15">
        <f>[13]Vendedor7!$K$8</f>
        <v>1644</v>
      </c>
      <c r="P16" s="17">
        <f>[13]Vendedor7!$L$8</f>
        <v>72250</v>
      </c>
      <c r="Q16" s="18">
        <f>[13]Vendedor7!$J$9</f>
        <v>16000</v>
      </c>
      <c r="R16" s="15">
        <f>[13]Vendedor7!$K$9</f>
        <v>1920</v>
      </c>
      <c r="S16" s="16">
        <f>[13]Vendedor7!$L$9</f>
        <v>0</v>
      </c>
      <c r="T16" s="19">
        <f>[13]Vendedor7!$J$10</f>
        <v>0</v>
      </c>
      <c r="U16" s="15">
        <f>[13]Vendedor7!$K$10</f>
        <v>0</v>
      </c>
      <c r="V16" s="17">
        <f>[13]Vendedor7!$L$10</f>
        <v>0</v>
      </c>
      <c r="W16" s="18">
        <f t="shared" si="4"/>
        <v>957250</v>
      </c>
      <c r="X16" s="15">
        <f t="shared" si="1"/>
        <v>113548</v>
      </c>
      <c r="Y16" s="15">
        <f t="shared" si="2"/>
        <v>667250</v>
      </c>
      <c r="Z16" s="15">
        <v>0</v>
      </c>
      <c r="AA16" s="17">
        <f t="shared" si="3"/>
        <v>176452</v>
      </c>
    </row>
    <row r="17" spans="1:29">
      <c r="A17" s="80" t="s">
        <v>26</v>
      </c>
      <c r="B17" s="14">
        <f>[14]Vendedor7!$J$4</f>
        <v>427550</v>
      </c>
      <c r="C17" s="15">
        <f>[14]Vendedor7!$K$4</f>
        <v>51306</v>
      </c>
      <c r="D17" s="17">
        <f>[14]Vendedor7!$L$4</f>
        <v>280500</v>
      </c>
      <c r="E17" s="14">
        <f>[14]Vendedor7!$J$5</f>
        <v>265450</v>
      </c>
      <c r="F17" s="15">
        <f>[14]Vendedor7!$K$5</f>
        <v>31854</v>
      </c>
      <c r="G17" s="16">
        <f>[14]Vendedor7!$L$5</f>
        <v>46750</v>
      </c>
      <c r="H17" s="19">
        <f>[14]Vendedor7!$J$6</f>
        <v>69650</v>
      </c>
      <c r="I17" s="15">
        <f>[14]Vendedor7!$K$6</f>
        <v>6965</v>
      </c>
      <c r="J17" s="17">
        <f>[14]Vendedor7!$L$6</f>
        <v>400000</v>
      </c>
      <c r="K17" s="18">
        <f>[14]Vendedor7!$J$7</f>
        <v>58700</v>
      </c>
      <c r="L17" s="15">
        <f>[14]Vendedor7!$K$7</f>
        <v>7044</v>
      </c>
      <c r="M17" s="16">
        <f>[14]Vendedor7!$L$7</f>
        <v>42500</v>
      </c>
      <c r="N17" s="19">
        <f>[14]Vendedor7!$J$8</f>
        <v>20950</v>
      </c>
      <c r="O17" s="15">
        <f>[14]Vendedor7!$K$8</f>
        <v>2514</v>
      </c>
      <c r="P17" s="17">
        <f>[14]Vendedor7!$L$8</f>
        <v>42500</v>
      </c>
      <c r="Q17" s="18">
        <f>[14]Vendedor7!$J$9</f>
        <v>130500</v>
      </c>
      <c r="R17" s="15">
        <f>[14]Vendedor7!$K$9</f>
        <v>15660</v>
      </c>
      <c r="S17" s="16">
        <f>[14]Vendedor7!$L$9</f>
        <v>0</v>
      </c>
      <c r="T17" s="19">
        <f>[14]Vendedor7!$J$10</f>
        <v>0</v>
      </c>
      <c r="U17" s="15">
        <f>[14]Vendedor7!$K$10</f>
        <v>0</v>
      </c>
      <c r="V17" s="17">
        <f>[14]Vendedor7!$L$10</f>
        <v>0</v>
      </c>
      <c r="W17" s="18">
        <f t="shared" si="4"/>
        <v>972800</v>
      </c>
      <c r="X17" s="15">
        <f t="shared" si="1"/>
        <v>115343</v>
      </c>
      <c r="Y17" s="15">
        <f t="shared" si="2"/>
        <v>812250</v>
      </c>
      <c r="Z17" s="15">
        <v>0</v>
      </c>
      <c r="AA17" s="17">
        <f t="shared" si="3"/>
        <v>45207</v>
      </c>
    </row>
    <row r="18" spans="1:29">
      <c r="A18" s="79" t="s">
        <v>27</v>
      </c>
      <c r="B18" s="14">
        <f>[15]Vendedor7!$J$4</f>
        <v>537650</v>
      </c>
      <c r="C18" s="15">
        <f>[15]Vendedor7!$K$4</f>
        <v>64518</v>
      </c>
      <c r="D18" s="17">
        <f>[15]Vendedor7!$L$4</f>
        <v>446250</v>
      </c>
      <c r="E18" s="14">
        <f>[15]Vendedor7!$J$5</f>
        <v>318350</v>
      </c>
      <c r="F18" s="15">
        <f>[15]Vendedor7!$K$5</f>
        <v>38202</v>
      </c>
      <c r="G18" s="16">
        <f>[15]Vendedor7!$L$5</f>
        <v>263500</v>
      </c>
      <c r="H18" s="19">
        <f>[15]Vendedor7!$J$6</f>
        <v>58800</v>
      </c>
      <c r="I18" s="15">
        <f>[15]Vendedor7!$K$6</f>
        <v>5880</v>
      </c>
      <c r="J18" s="17">
        <f>[15]Vendedor7!$L$6</f>
        <v>200000</v>
      </c>
      <c r="K18" s="18">
        <f>[15]Vendedor7!$J$7</f>
        <v>30550</v>
      </c>
      <c r="L18" s="15">
        <f>[15]Vendedor7!$K$7</f>
        <v>3666</v>
      </c>
      <c r="M18" s="16">
        <f>[15]Vendedor7!$L$7</f>
        <v>17000</v>
      </c>
      <c r="N18" s="19">
        <f>[15]Vendedor7!$J$8</f>
        <v>48400</v>
      </c>
      <c r="O18" s="15">
        <f>[15]Vendedor7!$K$8</f>
        <v>5808</v>
      </c>
      <c r="P18" s="17">
        <f>[15]Vendedor7!$L$8</f>
        <v>12750</v>
      </c>
      <c r="Q18" s="18">
        <f>[15]Vendedor7!$J$9</f>
        <v>107000</v>
      </c>
      <c r="R18" s="15">
        <f>[15]Vendedor7!$K$9</f>
        <v>12840</v>
      </c>
      <c r="S18" s="16">
        <f>[15]Vendedor7!$L$9</f>
        <v>0</v>
      </c>
      <c r="T18" s="19">
        <f>[15]Vendedor7!$J$10</f>
        <v>0</v>
      </c>
      <c r="U18" s="15">
        <f>[15]Vendedor7!$K$10</f>
        <v>0</v>
      </c>
      <c r="V18" s="17">
        <f>[15]Vendedor7!$L$10</f>
        <v>0</v>
      </c>
      <c r="W18" s="18">
        <f t="shared" si="4"/>
        <v>1100750</v>
      </c>
      <c r="X18" s="15">
        <f t="shared" si="1"/>
        <v>130914</v>
      </c>
      <c r="Y18" s="15">
        <f t="shared" si="2"/>
        <v>939500</v>
      </c>
      <c r="Z18" s="15">
        <v>0</v>
      </c>
      <c r="AA18" s="17">
        <f t="shared" si="3"/>
        <v>30336</v>
      </c>
      <c r="AC18" s="62"/>
    </row>
    <row r="19" spans="1:29">
      <c r="A19" s="79" t="s">
        <v>28</v>
      </c>
      <c r="B19" s="14">
        <f>[16]Vendedor7!$J$4</f>
        <v>490000</v>
      </c>
      <c r="C19" s="15">
        <f>[16]Vendedor7!$K$4</f>
        <v>58800</v>
      </c>
      <c r="D19" s="17">
        <f>[16]Vendedor7!$L$4</f>
        <v>208250</v>
      </c>
      <c r="E19" s="14">
        <f>[16]Vendedor7!$J$5</f>
        <v>526950</v>
      </c>
      <c r="F19" s="15">
        <f>[16]Vendedor7!$K$5</f>
        <v>63234</v>
      </c>
      <c r="G19" s="16">
        <f>[16]Vendedor7!$L$5</f>
        <v>284750</v>
      </c>
      <c r="H19" s="19">
        <f>[16]Vendedor7!$J$6</f>
        <v>71050</v>
      </c>
      <c r="I19" s="15">
        <f>[16]Vendedor7!$K$6</f>
        <v>7105</v>
      </c>
      <c r="J19" s="17">
        <f>[16]Vendedor7!$L$6</f>
        <v>0</v>
      </c>
      <c r="K19" s="18">
        <f>[16]Vendedor7!$J$7</f>
        <v>62150</v>
      </c>
      <c r="L19" s="15">
        <f>[16]Vendedor7!$K$7</f>
        <v>7458</v>
      </c>
      <c r="M19" s="16">
        <f>[16]Vendedor7!$L$7</f>
        <v>106250</v>
      </c>
      <c r="N19" s="19">
        <f>[16]Vendedor7!$J$8</f>
        <v>54600</v>
      </c>
      <c r="O19" s="15">
        <f>[16]Vendedor7!$K$8</f>
        <v>6552</v>
      </c>
      <c r="P19" s="17">
        <f>[16]Vendedor7!$L$8</f>
        <v>0</v>
      </c>
      <c r="Q19" s="18">
        <f>[16]Vendedor7!$J$9</f>
        <v>56000</v>
      </c>
      <c r="R19" s="15">
        <f>[16]Vendedor7!$K$9</f>
        <v>6720</v>
      </c>
      <c r="S19" s="16">
        <f>[16]Vendedor7!$L$9</f>
        <v>0</v>
      </c>
      <c r="T19" s="19">
        <f>[16]Vendedor7!$J$10</f>
        <v>0</v>
      </c>
      <c r="U19" s="15">
        <f>[16]Vendedor7!$K$10</f>
        <v>0</v>
      </c>
      <c r="V19" s="17">
        <f>[16]Vendedor7!$L$10</f>
        <v>0</v>
      </c>
      <c r="W19" s="18">
        <f t="shared" si="4"/>
        <v>1260750</v>
      </c>
      <c r="X19" s="15">
        <f t="shared" si="1"/>
        <v>149869</v>
      </c>
      <c r="Y19" s="15">
        <f t="shared" si="2"/>
        <v>599250</v>
      </c>
      <c r="Z19" s="15">
        <v>0</v>
      </c>
      <c r="AA19" s="17">
        <f t="shared" si="3"/>
        <v>511631</v>
      </c>
      <c r="AC19" s="62"/>
    </row>
    <row r="20" spans="1:29">
      <c r="A20" s="80" t="s">
        <v>29</v>
      </c>
      <c r="B20" s="14">
        <f>[17]Vendedor7!$J$4</f>
        <v>561400</v>
      </c>
      <c r="C20" s="15">
        <f>[17]Vendedor7!$K$4</f>
        <v>67368</v>
      </c>
      <c r="D20" s="17">
        <f>[17]Vendedor7!$L$4</f>
        <v>454750</v>
      </c>
      <c r="E20" s="14">
        <f>[17]Vendedor7!$J$5</f>
        <v>543650</v>
      </c>
      <c r="F20" s="15">
        <f>[17]Vendedor7!$K$5</f>
        <v>65238</v>
      </c>
      <c r="G20" s="16">
        <f>[17]Vendedor7!$L$5</f>
        <v>412250</v>
      </c>
      <c r="H20" s="19">
        <f>[17]Vendedor7!$J$6</f>
        <v>63650</v>
      </c>
      <c r="I20" s="15">
        <f>[17]Vendedor7!$K$6</f>
        <v>6365</v>
      </c>
      <c r="J20" s="17">
        <f>[17]Vendedor7!$L$6</f>
        <v>70000</v>
      </c>
      <c r="K20" s="18">
        <f>[17]Vendedor7!$J$7</f>
        <v>127150</v>
      </c>
      <c r="L20" s="15">
        <f>[17]Vendedor7!$K$7</f>
        <v>15258</v>
      </c>
      <c r="M20" s="16">
        <f>[17]Vendedor7!$L$7</f>
        <v>85000</v>
      </c>
      <c r="N20" s="19">
        <f>[17]Vendedor7!$J$8</f>
        <v>170300</v>
      </c>
      <c r="O20" s="15">
        <f>[17]Vendedor7!$K$8</f>
        <v>20436</v>
      </c>
      <c r="P20" s="17">
        <f>[17]Vendedor7!$L$8</f>
        <v>314500</v>
      </c>
      <c r="Q20" s="18">
        <f>[17]Vendedor7!$J$9</f>
        <v>114700</v>
      </c>
      <c r="R20" s="15">
        <f>[17]Vendedor7!$K$9</f>
        <v>13764</v>
      </c>
      <c r="S20" s="16">
        <f>[17]Vendedor7!$L$9</f>
        <v>170000</v>
      </c>
      <c r="T20" s="19">
        <f>[17]Vendedor7!$J$10</f>
        <v>2200</v>
      </c>
      <c r="U20" s="15">
        <f>[17]Vendedor7!$K$10</f>
        <v>264</v>
      </c>
      <c r="V20" s="17">
        <f>[17]Vendedor7!$L$10</f>
        <v>0</v>
      </c>
      <c r="W20" s="18">
        <f t="shared" si="4"/>
        <v>1583050</v>
      </c>
      <c r="X20" s="15">
        <f t="shared" si="1"/>
        <v>188693</v>
      </c>
      <c r="Y20" s="15">
        <f t="shared" si="2"/>
        <v>1506500</v>
      </c>
      <c r="Z20" s="15">
        <v>0</v>
      </c>
      <c r="AA20" s="17">
        <f t="shared" si="3"/>
        <v>-112143</v>
      </c>
    </row>
    <row r="21" spans="1:29">
      <c r="A21" s="79" t="s">
        <v>30</v>
      </c>
      <c r="B21" s="14">
        <f>[18]Vendedor7!$J$4</f>
        <v>576850</v>
      </c>
      <c r="C21" s="81">
        <f>[18]Vendedor7!$K$4</f>
        <v>69222</v>
      </c>
      <c r="D21" s="82">
        <f>[18]Vendedor7!$L$4</f>
        <v>658750</v>
      </c>
      <c r="E21" s="14">
        <f>[18]Vendedor7!$J$5</f>
        <v>317250</v>
      </c>
      <c r="F21" s="81">
        <f>[18]Vendedor7!$K$5</f>
        <v>38070</v>
      </c>
      <c r="G21" s="85">
        <f>[18]Vendedor7!$L$5</f>
        <v>357000</v>
      </c>
      <c r="H21" s="19">
        <f>[18]Vendedor7!$J$6</f>
        <v>60800</v>
      </c>
      <c r="I21" s="15">
        <f>[18]Vendedor7!$K$6</f>
        <v>6080</v>
      </c>
      <c r="J21" s="17">
        <f>[18]Vendedor7!$L$6</f>
        <v>20000</v>
      </c>
      <c r="K21" s="18">
        <f>[18]Vendedor7!$J$7</f>
        <v>92450</v>
      </c>
      <c r="L21" s="15">
        <f>[18]Vendedor7!$K$7</f>
        <v>11094</v>
      </c>
      <c r="M21" s="16">
        <f>[18]Vendedor7!$L$7</f>
        <v>0</v>
      </c>
      <c r="N21" s="19">
        <f>[18]Vendedor7!$J$8</f>
        <v>107850</v>
      </c>
      <c r="O21" s="15">
        <f>[18]Vendedor7!$K$8</f>
        <v>12942</v>
      </c>
      <c r="P21" s="17">
        <f>[18]Vendedor7!$L$8</f>
        <v>0</v>
      </c>
      <c r="Q21" s="18">
        <f>[18]Vendedor7!$J$9</f>
        <v>102250</v>
      </c>
      <c r="R21" s="15">
        <f>[18]Vendedor7!$K$9</f>
        <v>12270</v>
      </c>
      <c r="S21" s="16">
        <f>[18]Vendedor7!$L$9</f>
        <v>0</v>
      </c>
      <c r="T21" s="19">
        <f>[18]Vendedor7!$J$10</f>
        <v>0</v>
      </c>
      <c r="U21" s="15">
        <f>[18]Vendedor7!$K$10</f>
        <v>0</v>
      </c>
      <c r="V21" s="17">
        <f>[18]Vendedor7!$L$10</f>
        <v>0</v>
      </c>
      <c r="W21" s="18">
        <f t="shared" si="4"/>
        <v>1257450</v>
      </c>
      <c r="X21" s="15">
        <f t="shared" si="1"/>
        <v>149678</v>
      </c>
      <c r="Y21" s="15">
        <f t="shared" si="2"/>
        <v>1035750</v>
      </c>
      <c r="Z21" s="15">
        <v>0</v>
      </c>
      <c r="AA21" s="17">
        <f t="shared" si="3"/>
        <v>72022</v>
      </c>
    </row>
    <row r="22" spans="1:29">
      <c r="A22" s="80" t="s">
        <v>31</v>
      </c>
      <c r="B22" s="14">
        <f>[19]Vendedor7!$J$4</f>
        <v>526100</v>
      </c>
      <c r="C22" s="81">
        <f>[19]Vendedor7!$K$4</f>
        <v>63132</v>
      </c>
      <c r="D22" s="82">
        <f>[19]Vendedor7!$L$4</f>
        <v>612000</v>
      </c>
      <c r="E22" s="14">
        <f>[19]Vendedor7!$J$5</f>
        <v>409000</v>
      </c>
      <c r="F22" s="81">
        <f>[19]Vendedor7!$K$5</f>
        <v>49080</v>
      </c>
      <c r="G22" s="85">
        <f>[19]Vendedor7!$L$5</f>
        <v>85000</v>
      </c>
      <c r="H22" s="19">
        <f>[19]Vendedor7!$J$6</f>
        <v>73900</v>
      </c>
      <c r="I22" s="15">
        <f>[19]Vendedor7!$K$6</f>
        <v>7390</v>
      </c>
      <c r="J22" s="17">
        <f>[19]Vendedor7!$L$6</f>
        <v>350000</v>
      </c>
      <c r="K22" s="18">
        <f>[19]Vendedor7!$J$7</f>
        <v>139100</v>
      </c>
      <c r="L22" s="15">
        <f>[19]Vendedor7!$K$7</f>
        <v>16692</v>
      </c>
      <c r="M22" s="16">
        <f>[19]Vendedor7!$L$7</f>
        <v>38250</v>
      </c>
      <c r="N22" s="19">
        <f>[19]Vendedor7!$J$8</f>
        <v>86200</v>
      </c>
      <c r="O22" s="15">
        <f>[19]Vendedor7!$K$8</f>
        <v>10344</v>
      </c>
      <c r="P22" s="17">
        <f>[19]Vendedor7!$L$8</f>
        <v>17000</v>
      </c>
      <c r="Q22" s="18">
        <f>[19]Vendedor7!$J$9</f>
        <v>114250</v>
      </c>
      <c r="R22" s="15">
        <f>[19]Vendedor7!$K$9</f>
        <v>13710</v>
      </c>
      <c r="S22" s="16">
        <f>[19]Vendedor7!$L$9</f>
        <v>85000</v>
      </c>
      <c r="T22" s="19">
        <f>[19]Vendedor7!$J$10</f>
        <v>0</v>
      </c>
      <c r="U22" s="15">
        <f>[19]Vendedor7!$K$10</f>
        <v>0</v>
      </c>
      <c r="V22" s="17">
        <f>[19]Vendedor7!$L$10</f>
        <v>0</v>
      </c>
      <c r="W22" s="18">
        <f t="shared" si="4"/>
        <v>1348550</v>
      </c>
      <c r="X22" s="15">
        <f t="shared" si="1"/>
        <v>160348</v>
      </c>
      <c r="Y22" s="15">
        <f t="shared" si="2"/>
        <v>1187250</v>
      </c>
      <c r="Z22" s="15">
        <v>0</v>
      </c>
      <c r="AA22" s="17">
        <f t="shared" si="3"/>
        <v>952</v>
      </c>
    </row>
    <row r="23" spans="1:29">
      <c r="A23" s="79" t="s">
        <v>32</v>
      </c>
      <c r="B23" s="14">
        <f>[20]Vendedor7!$J$4</f>
        <v>503100</v>
      </c>
      <c r="C23" s="81">
        <f>[20]Vendedor7!$K$4</f>
        <v>60372</v>
      </c>
      <c r="D23" s="82">
        <f>[20]Vendedor7!$L$4</f>
        <v>735250</v>
      </c>
      <c r="E23" s="14">
        <f>[20]Vendedor7!$J$5</f>
        <v>484650</v>
      </c>
      <c r="F23" s="81">
        <f>[20]Vendedor7!$K$5</f>
        <v>58158</v>
      </c>
      <c r="G23" s="85">
        <f>[20]Vendedor7!$L$5</f>
        <v>131750</v>
      </c>
      <c r="H23" s="19">
        <f>[20]Vendedor7!$J$6</f>
        <v>63250</v>
      </c>
      <c r="I23" s="15">
        <f>[20]Vendedor7!$K$6</f>
        <v>6325</v>
      </c>
      <c r="J23" s="17">
        <f>[20]Vendedor7!$L$6</f>
        <v>250000</v>
      </c>
      <c r="K23" s="18">
        <f>[20]Vendedor7!$J$7</f>
        <v>71050</v>
      </c>
      <c r="L23" s="15">
        <f>[20]Vendedor7!$K$7</f>
        <v>8526</v>
      </c>
      <c r="M23" s="16">
        <f>[20]Vendedor7!$L$7</f>
        <v>46750</v>
      </c>
      <c r="N23" s="19">
        <f>[20]Vendedor7!$J$8</f>
        <v>69800</v>
      </c>
      <c r="O23" s="15">
        <f>[20]Vendedor7!$K$8</f>
        <v>8376</v>
      </c>
      <c r="P23" s="17">
        <f>[20]Vendedor7!$L$8</f>
        <v>42500</v>
      </c>
      <c r="Q23" s="18">
        <f>[20]Vendedor7!$J$9</f>
        <v>120500</v>
      </c>
      <c r="R23" s="15">
        <f>[20]Vendedor7!$K$9</f>
        <v>14460</v>
      </c>
      <c r="S23" s="16">
        <f>[20]Vendedor7!$L$9</f>
        <v>63750</v>
      </c>
      <c r="T23" s="19">
        <f>[20]Vendedor7!$J$10</f>
        <v>0</v>
      </c>
      <c r="U23" s="15">
        <f>[20]Vendedor7!$K$10</f>
        <v>0</v>
      </c>
      <c r="V23" s="17">
        <f>[20]Vendedor7!$L$10</f>
        <v>0</v>
      </c>
      <c r="W23" s="18">
        <f t="shared" si="4"/>
        <v>1312350</v>
      </c>
      <c r="X23" s="15">
        <f t="shared" si="1"/>
        <v>156217</v>
      </c>
      <c r="Y23" s="15">
        <f t="shared" si="2"/>
        <v>1270000</v>
      </c>
      <c r="Z23" s="15">
        <v>0</v>
      </c>
      <c r="AA23" s="17">
        <f t="shared" si="3"/>
        <v>-113867</v>
      </c>
    </row>
    <row r="24" spans="1:29">
      <c r="A24" s="80" t="s">
        <v>33</v>
      </c>
      <c r="B24" s="14">
        <f>[21]Vendedor7!$J$4</f>
        <v>386900</v>
      </c>
      <c r="C24" s="81">
        <f>[21]Vendedor7!$K$4</f>
        <v>46428</v>
      </c>
      <c r="D24" s="82">
        <f>[21]Vendedor7!$L$4</f>
        <v>352750</v>
      </c>
      <c r="E24" s="14">
        <f>[21]Vendedor7!$J$5</f>
        <v>311250</v>
      </c>
      <c r="F24" s="81">
        <f>[21]Vendedor7!$K$5</f>
        <v>37350</v>
      </c>
      <c r="G24" s="85">
        <f>[21]Vendedor7!$L$5</f>
        <v>399500</v>
      </c>
      <c r="H24" s="19">
        <f>[21]Vendedor7!$J$6</f>
        <v>53250</v>
      </c>
      <c r="I24" s="15">
        <f>[21]Vendedor7!$K$6</f>
        <v>5325</v>
      </c>
      <c r="J24" s="17">
        <f>[21]Vendedor7!$L$6</f>
        <v>220000</v>
      </c>
      <c r="K24" s="18">
        <f>[21]Vendedor7!$J$7</f>
        <v>38800</v>
      </c>
      <c r="L24" s="15">
        <f>[21]Vendedor7!$K$7</f>
        <v>4656</v>
      </c>
      <c r="M24" s="16">
        <f>[21]Vendedor7!$L$7</f>
        <v>29750</v>
      </c>
      <c r="N24" s="19">
        <f>[21]Vendedor7!$J$8</f>
        <v>27250</v>
      </c>
      <c r="O24" s="15">
        <f>[21]Vendedor7!$K$8</f>
        <v>3270</v>
      </c>
      <c r="P24" s="17">
        <f>[21]Vendedor7!$L$8</f>
        <v>0</v>
      </c>
      <c r="Q24" s="18">
        <f>[21]Vendedor7!$J$9</f>
        <v>113900</v>
      </c>
      <c r="R24" s="15">
        <f>[21]Vendedor7!$K$9</f>
        <v>13668</v>
      </c>
      <c r="S24" s="16">
        <f>[21]Vendedor7!$L$9</f>
        <v>170000</v>
      </c>
      <c r="T24" s="19">
        <f>[21]Vendedor7!$J$10</f>
        <v>0</v>
      </c>
      <c r="U24" s="15">
        <f>[21]Vendedor7!$K$10</f>
        <v>0</v>
      </c>
      <c r="V24" s="17">
        <f>[21]Vendedor7!$L$10</f>
        <v>0</v>
      </c>
      <c r="W24" s="18">
        <f t="shared" si="4"/>
        <v>931350</v>
      </c>
      <c r="X24" s="15">
        <f t="shared" si="1"/>
        <v>110697</v>
      </c>
      <c r="Y24" s="15">
        <f t="shared" si="2"/>
        <v>1172000</v>
      </c>
      <c r="Z24" s="15">
        <v>0</v>
      </c>
      <c r="AA24" s="17">
        <f t="shared" si="3"/>
        <v>-351347</v>
      </c>
    </row>
    <row r="25" spans="1:29">
      <c r="A25" s="79" t="s">
        <v>34</v>
      </c>
      <c r="B25" s="14">
        <f>[22]Vendedor7!$J$4</f>
        <v>475750</v>
      </c>
      <c r="C25" s="81">
        <f>[22]Vendedor7!$K$4</f>
        <v>57090</v>
      </c>
      <c r="D25" s="82">
        <f>[22]Vendedor7!$L$4</f>
        <v>926500</v>
      </c>
      <c r="E25" s="14">
        <f>[22]Vendedor7!$J$5</f>
        <v>357350</v>
      </c>
      <c r="F25" s="81">
        <f>[22]Vendedor7!$K$5</f>
        <v>42882</v>
      </c>
      <c r="G25" s="85">
        <f>[22]Vendedor7!$L$5</f>
        <v>344250</v>
      </c>
      <c r="H25" s="19">
        <f>[22]Vendedor7!$J$6</f>
        <v>85750</v>
      </c>
      <c r="I25" s="15">
        <f>[22]Vendedor7!$K$6</f>
        <v>8575</v>
      </c>
      <c r="J25" s="17">
        <f>[22]Vendedor7!$L$6</f>
        <v>0</v>
      </c>
      <c r="K25" s="18">
        <f>[22]Vendedor7!$J$7</f>
        <v>66150</v>
      </c>
      <c r="L25" s="15">
        <f>[22]Vendedor7!$K$7</f>
        <v>7938</v>
      </c>
      <c r="M25" s="16">
        <f>[22]Vendedor7!$L$7</f>
        <v>106250</v>
      </c>
      <c r="N25" s="19">
        <f>[22]Vendedor7!$J$8</f>
        <v>45350</v>
      </c>
      <c r="O25" s="15">
        <f>[22]Vendedor7!$K$8</f>
        <v>5442</v>
      </c>
      <c r="P25" s="17">
        <f>[22]Vendedor7!$L$8</f>
        <v>42500</v>
      </c>
      <c r="Q25" s="18">
        <f>[22]Vendedor7!$J$9</f>
        <v>74750</v>
      </c>
      <c r="R25" s="15">
        <f>[22]Vendedor7!$K$9</f>
        <v>8970</v>
      </c>
      <c r="S25" s="16">
        <f>[22]Vendedor7!$L$9</f>
        <v>170000</v>
      </c>
      <c r="T25" s="19">
        <f>[22]Vendedor7!$J$10</f>
        <v>0</v>
      </c>
      <c r="U25" s="15">
        <f>[22]Vendedor7!$K$10</f>
        <v>0</v>
      </c>
      <c r="V25" s="17">
        <f>[22]Vendedor7!$L$10</f>
        <v>0</v>
      </c>
      <c r="W25" s="18">
        <f t="shared" si="4"/>
        <v>1105100</v>
      </c>
      <c r="X25" s="15">
        <f t="shared" si="1"/>
        <v>130897</v>
      </c>
      <c r="Y25" s="15">
        <f t="shared" si="2"/>
        <v>1589500</v>
      </c>
      <c r="Z25" s="15">
        <v>0</v>
      </c>
      <c r="AA25" s="17">
        <f t="shared" si="3"/>
        <v>-615297</v>
      </c>
    </row>
    <row r="26" spans="1:29">
      <c r="A26" s="80" t="s">
        <v>35</v>
      </c>
      <c r="B26" s="14">
        <f>[23]Vendedor7!$J$4</f>
        <v>322900</v>
      </c>
      <c r="C26" s="81">
        <f>[23]Vendedor7!$K$4</f>
        <v>38748</v>
      </c>
      <c r="D26" s="82">
        <f>[23]Vendedor7!$L$4</f>
        <v>442000</v>
      </c>
      <c r="E26" s="14">
        <f>[23]Vendedor7!$J$5</f>
        <v>336800</v>
      </c>
      <c r="F26" s="81">
        <f>[23]Vendedor7!$K$5</f>
        <v>40416</v>
      </c>
      <c r="G26" s="85">
        <f>[23]Vendedor7!$L$5</f>
        <v>110500</v>
      </c>
      <c r="H26" s="19">
        <f>[23]Vendedor7!$J$6</f>
        <v>67650</v>
      </c>
      <c r="I26" s="15">
        <f>[23]Vendedor7!$K$6</f>
        <v>6765</v>
      </c>
      <c r="J26" s="17">
        <f>[23]Vendedor7!$L$6</f>
        <v>100000</v>
      </c>
      <c r="K26" s="18">
        <f>[23]Vendedor7!$J$7</f>
        <v>75500</v>
      </c>
      <c r="L26" s="15">
        <f>[23]Vendedor7!$K$7</f>
        <v>9060</v>
      </c>
      <c r="M26" s="16">
        <f>[23]Vendedor7!$L$7</f>
        <v>42500</v>
      </c>
      <c r="N26" s="19">
        <f>[23]Vendedor7!$J$8</f>
        <v>28700</v>
      </c>
      <c r="O26" s="15">
        <f>[23]Vendedor7!$K$8</f>
        <v>3444</v>
      </c>
      <c r="P26" s="17">
        <f>[23]Vendedor7!$L$8</f>
        <v>0</v>
      </c>
      <c r="Q26" s="18">
        <f>[23]Vendedor7!$J$9</f>
        <v>0</v>
      </c>
      <c r="R26" s="15">
        <f>[23]Vendedor7!$K$9</f>
        <v>0</v>
      </c>
      <c r="S26" s="16">
        <f>[23]Vendedor7!$L$9</f>
        <v>0</v>
      </c>
      <c r="T26" s="19">
        <f>[23]Vendedor7!$J$10</f>
        <v>0</v>
      </c>
      <c r="U26" s="15">
        <f>[23]Vendedor7!$K$10</f>
        <v>0</v>
      </c>
      <c r="V26" s="17">
        <f>[23]Vendedor7!$L$10</f>
        <v>0</v>
      </c>
      <c r="W26" s="18">
        <f t="shared" si="4"/>
        <v>831550</v>
      </c>
      <c r="X26" s="15">
        <f t="shared" si="1"/>
        <v>98433</v>
      </c>
      <c r="Y26" s="15">
        <f t="shared" si="2"/>
        <v>695000</v>
      </c>
      <c r="Z26" s="15">
        <v>0</v>
      </c>
      <c r="AA26" s="17">
        <f t="shared" si="3"/>
        <v>38117</v>
      </c>
    </row>
    <row r="27" spans="1:29">
      <c r="A27" s="79" t="s">
        <v>36</v>
      </c>
      <c r="B27" s="14">
        <f>[24]Vendedor7!$J$4</f>
        <v>484050</v>
      </c>
      <c r="C27" s="81">
        <f>[24]Vendedor7!$K$4</f>
        <v>58086</v>
      </c>
      <c r="D27" s="82">
        <f>[24]Vendedor7!$L$4</f>
        <v>603500</v>
      </c>
      <c r="E27" s="14">
        <f>[24]Vendedor7!$J$5</f>
        <v>408500</v>
      </c>
      <c r="F27" s="81">
        <f>[24]Vendedor7!$K$5</f>
        <v>49020</v>
      </c>
      <c r="G27" s="85">
        <f>[24]Vendedor7!$L$5</f>
        <v>267750</v>
      </c>
      <c r="H27" s="19">
        <f>[24]Vendedor7!$J$6</f>
        <v>82400</v>
      </c>
      <c r="I27" s="15">
        <f>[24]Vendedor7!$K$6</f>
        <v>8240</v>
      </c>
      <c r="J27" s="17">
        <f>[24]Vendedor7!$L$6</f>
        <v>240000</v>
      </c>
      <c r="K27" s="18">
        <f>[24]Vendedor7!$J$7</f>
        <v>81050</v>
      </c>
      <c r="L27" s="15">
        <f>[24]Vendedor7!$K$7</f>
        <v>9726</v>
      </c>
      <c r="M27" s="16">
        <f>[24]Vendedor7!$L$7</f>
        <v>34000</v>
      </c>
      <c r="N27" s="19">
        <f>[24]Vendedor7!$J$8</f>
        <v>33250</v>
      </c>
      <c r="O27" s="15">
        <f>[24]Vendedor7!$K$8</f>
        <v>3990</v>
      </c>
      <c r="P27" s="17">
        <f>[24]Vendedor7!$L$8</f>
        <v>0</v>
      </c>
      <c r="Q27" s="18">
        <f>[24]Vendedor7!$J$9</f>
        <v>17000</v>
      </c>
      <c r="R27" s="15">
        <f>[24]Vendedor7!$K$9</f>
        <v>2040</v>
      </c>
      <c r="S27" s="16">
        <f>[24]Vendedor7!$L$9</f>
        <v>0</v>
      </c>
      <c r="T27" s="19">
        <f>[24]Vendedor7!$J$10</f>
        <v>4800</v>
      </c>
      <c r="U27" s="15">
        <f>[24]Vendedor7!$K$10</f>
        <v>576</v>
      </c>
      <c r="V27" s="17">
        <f>[24]Vendedor7!$L$10</f>
        <v>8500</v>
      </c>
      <c r="W27" s="18">
        <f t="shared" si="4"/>
        <v>1111050</v>
      </c>
      <c r="X27" s="15">
        <f t="shared" si="1"/>
        <v>131678</v>
      </c>
      <c r="Y27" s="15">
        <f t="shared" si="2"/>
        <v>1153750</v>
      </c>
      <c r="Z27" s="15">
        <v>0</v>
      </c>
      <c r="AA27" s="17">
        <f t="shared" si="3"/>
        <v>-174378</v>
      </c>
    </row>
    <row r="28" spans="1:29">
      <c r="A28" s="80" t="s">
        <v>37</v>
      </c>
      <c r="B28" s="14">
        <f>[25]Vendedor7!$J$4</f>
        <v>395300</v>
      </c>
      <c r="C28" s="81">
        <f>[25]Vendedor7!$K$4</f>
        <v>47436</v>
      </c>
      <c r="D28" s="82">
        <f>[25]Vendedor7!$L$4</f>
        <v>607750</v>
      </c>
      <c r="E28" s="14">
        <f>[25]Vendedor7!$J$5</f>
        <v>391200</v>
      </c>
      <c r="F28" s="81">
        <f>[25]Vendedor7!$K$5</f>
        <v>46944</v>
      </c>
      <c r="G28" s="85">
        <f>[25]Vendedor7!$L$5</f>
        <v>280500</v>
      </c>
      <c r="H28" s="19">
        <f>[25]Vendedor7!$J$6</f>
        <v>77550</v>
      </c>
      <c r="I28" s="15">
        <f>[25]Vendedor7!$K$6</f>
        <v>7755</v>
      </c>
      <c r="J28" s="17">
        <f>[25]Vendedor7!$L$6</f>
        <v>200000</v>
      </c>
      <c r="K28" s="18">
        <f>[25]Vendedor7!$J$7</f>
        <v>67100</v>
      </c>
      <c r="L28" s="15">
        <f>[25]Vendedor7!$K$7</f>
        <v>8052</v>
      </c>
      <c r="M28" s="16">
        <f>[25]Vendedor7!$L$7</f>
        <v>208250</v>
      </c>
      <c r="N28" s="19">
        <f>[25]Vendedor7!$J$8</f>
        <v>14300</v>
      </c>
      <c r="O28" s="15">
        <f>[25]Vendedor7!$K$8</f>
        <v>1716</v>
      </c>
      <c r="P28" s="17">
        <f>[25]Vendedor7!$L$8</f>
        <v>42500</v>
      </c>
      <c r="Q28" s="18">
        <f>[25]Vendedor7!$J$9</f>
        <v>63750</v>
      </c>
      <c r="R28" s="15">
        <f>[25]Vendedor7!$K$9</f>
        <v>7650</v>
      </c>
      <c r="S28" s="16">
        <f>[25]Vendedor7!$L$9</f>
        <v>0</v>
      </c>
      <c r="T28" s="19">
        <f>[25]Vendedor7!$J$10</f>
        <v>0</v>
      </c>
      <c r="U28" s="15">
        <f>[25]Vendedor7!$K$10</f>
        <v>0</v>
      </c>
      <c r="V28" s="17">
        <f>[25]Vendedor7!$L$10</f>
        <v>0</v>
      </c>
      <c r="W28" s="18">
        <f t="shared" si="4"/>
        <v>1009200</v>
      </c>
      <c r="X28" s="15">
        <f t="shared" si="1"/>
        <v>119553</v>
      </c>
      <c r="Y28" s="15">
        <f t="shared" si="2"/>
        <v>1339000</v>
      </c>
      <c r="Z28" s="15">
        <v>0</v>
      </c>
      <c r="AA28" s="17">
        <f t="shared" si="3"/>
        <v>-449353</v>
      </c>
    </row>
    <row r="29" spans="1:29">
      <c r="A29" s="79" t="s">
        <v>38</v>
      </c>
      <c r="B29" s="14">
        <f>[26]Vendedor7!$J$4</f>
        <v>511000</v>
      </c>
      <c r="C29" s="81">
        <f>[26]Vendedor7!$K$4</f>
        <v>61320</v>
      </c>
      <c r="D29" s="82">
        <f>[26]Vendedor7!$L$4</f>
        <v>68000</v>
      </c>
      <c r="E29" s="14">
        <f>[26]Vendedor7!$J$5</f>
        <v>345650</v>
      </c>
      <c r="F29" s="81">
        <f>[26]Vendedor7!$K$5</f>
        <v>41478</v>
      </c>
      <c r="G29" s="85">
        <f>[26]Vendedor7!$L$5</f>
        <v>267750</v>
      </c>
      <c r="H29" s="19">
        <f>[26]Vendedor7!$J$6</f>
        <v>101700</v>
      </c>
      <c r="I29" s="15">
        <f>[26]Vendedor7!$K$6</f>
        <v>10170</v>
      </c>
      <c r="J29" s="17">
        <f>[26]Vendedor7!$L$6</f>
        <v>0</v>
      </c>
      <c r="K29" s="18">
        <f>[26]Vendedor7!$J$7</f>
        <v>56250</v>
      </c>
      <c r="L29" s="15">
        <f>[26]Vendedor7!$K$7</f>
        <v>6750</v>
      </c>
      <c r="M29" s="16">
        <f>[26]Vendedor7!$L$7</f>
        <v>46750</v>
      </c>
      <c r="N29" s="19">
        <f>[26]Vendedor7!$J$8</f>
        <v>11000</v>
      </c>
      <c r="O29" s="15">
        <f>[26]Vendedor7!$K$8</f>
        <v>1320</v>
      </c>
      <c r="P29" s="17">
        <f>[26]Vendedor7!$L$8</f>
        <v>12750</v>
      </c>
      <c r="Q29" s="18">
        <f>[26]Vendedor7!$J$9</f>
        <v>78500</v>
      </c>
      <c r="R29" s="15">
        <f>[26]Vendedor7!$K$9</f>
        <v>9420</v>
      </c>
      <c r="S29" s="16">
        <f>[26]Vendedor7!$L$9</f>
        <v>0</v>
      </c>
      <c r="T29" s="19">
        <f>[26]Vendedor7!$J$10</f>
        <v>0</v>
      </c>
      <c r="U29" s="15">
        <f>[26]Vendedor7!$K$10</f>
        <v>0</v>
      </c>
      <c r="V29" s="17">
        <f>[26]Vendedor7!$L$10</f>
        <v>0</v>
      </c>
      <c r="W29" s="18">
        <f t="shared" si="4"/>
        <v>1104100</v>
      </c>
      <c r="X29" s="15">
        <f t="shared" si="1"/>
        <v>130458</v>
      </c>
      <c r="Y29" s="15">
        <f t="shared" si="2"/>
        <v>395250</v>
      </c>
      <c r="Z29" s="15">
        <v>0</v>
      </c>
      <c r="AA29" s="17">
        <f t="shared" si="3"/>
        <v>578392</v>
      </c>
    </row>
    <row r="30" spans="1:29">
      <c r="A30" s="80" t="s">
        <v>39</v>
      </c>
      <c r="B30" s="14">
        <f>[27]Vendedor7!$J$4</f>
        <v>557000</v>
      </c>
      <c r="C30" s="81">
        <f>[27]Vendedor7!$K$4</f>
        <v>66840</v>
      </c>
      <c r="D30" s="82">
        <f>[27]Vendedor7!$L$4</f>
        <v>539750</v>
      </c>
      <c r="E30" s="14">
        <f>[27]Vendedor7!$J$5</f>
        <v>431950</v>
      </c>
      <c r="F30" s="81">
        <f>[27]Vendedor7!$K$5</f>
        <v>51834</v>
      </c>
      <c r="G30" s="85">
        <f>[27]Vendedor7!$L$5</f>
        <v>497250</v>
      </c>
      <c r="H30" s="19">
        <f>[27]Vendedor7!$J$6</f>
        <v>110950</v>
      </c>
      <c r="I30" s="15">
        <f>[27]Vendedor7!$K$6</f>
        <v>11095</v>
      </c>
      <c r="J30" s="17">
        <f>[27]Vendedor7!$L$6</f>
        <v>0</v>
      </c>
      <c r="K30" s="18">
        <f>[27]Vendedor7!$J$7</f>
        <v>82050</v>
      </c>
      <c r="L30" s="15">
        <f>[27]Vendedor7!$K$7</f>
        <v>9846</v>
      </c>
      <c r="M30" s="16">
        <f>[27]Vendedor7!$L$7</f>
        <v>8500</v>
      </c>
      <c r="N30" s="19">
        <f>[27]Vendedor7!$J$8</f>
        <v>62500</v>
      </c>
      <c r="O30" s="15">
        <f>[27]Vendedor7!$K$8</f>
        <v>7500</v>
      </c>
      <c r="P30" s="17">
        <f>[27]Vendedor7!$L$8</f>
        <v>0</v>
      </c>
      <c r="Q30" s="18">
        <f>[27]Vendedor7!$J$9</f>
        <v>70300</v>
      </c>
      <c r="R30" s="15">
        <f>[27]Vendedor7!$K$9</f>
        <v>8436</v>
      </c>
      <c r="S30" s="16">
        <f>[27]Vendedor7!$L$9</f>
        <v>0</v>
      </c>
      <c r="T30" s="19">
        <f>[27]Vendedor7!$J$10</f>
        <v>0</v>
      </c>
      <c r="U30" s="15">
        <f>[27]Vendedor7!$K$10</f>
        <v>0</v>
      </c>
      <c r="V30" s="17">
        <f>[27]Vendedor7!$L$10</f>
        <v>0</v>
      </c>
      <c r="W30" s="18">
        <f t="shared" si="4"/>
        <v>1314750</v>
      </c>
      <c r="X30" s="15">
        <f t="shared" si="1"/>
        <v>155551</v>
      </c>
      <c r="Y30" s="15">
        <f t="shared" si="2"/>
        <v>1045500</v>
      </c>
      <c r="Z30" s="15">
        <v>0</v>
      </c>
      <c r="AA30" s="17">
        <f t="shared" si="3"/>
        <v>113699</v>
      </c>
    </row>
    <row r="31" spans="1:29">
      <c r="A31" s="79" t="s">
        <v>40</v>
      </c>
      <c r="B31" s="14">
        <f>[28]Vendedor7!$J$4</f>
        <v>504300</v>
      </c>
      <c r="C31" s="81">
        <f>[28]Vendedor7!$K$4</f>
        <v>60516</v>
      </c>
      <c r="D31" s="82">
        <f>[28]Vendedor7!$L$4</f>
        <v>603500</v>
      </c>
      <c r="E31" s="14">
        <f>[28]Vendedor7!$J$5</f>
        <v>403900</v>
      </c>
      <c r="F31" s="81">
        <f>[28]Vendedor7!$K$5</f>
        <v>48468</v>
      </c>
      <c r="G31" s="85">
        <f>[28]Vendedor7!$L$5</f>
        <v>17000</v>
      </c>
      <c r="H31" s="19">
        <f>[28]Vendedor7!$J$6</f>
        <v>80800</v>
      </c>
      <c r="I31" s="15">
        <f>[28]Vendedor7!$K$6</f>
        <v>8080</v>
      </c>
      <c r="J31" s="17">
        <f>[28]Vendedor7!$L$6</f>
        <v>650000</v>
      </c>
      <c r="K31" s="18">
        <f>[28]Vendedor7!$J$7</f>
        <v>82450</v>
      </c>
      <c r="L31" s="15">
        <f>[28]Vendedor7!$K$7</f>
        <v>9894</v>
      </c>
      <c r="M31" s="16">
        <f>[28]Vendedor7!$L$7</f>
        <v>42500</v>
      </c>
      <c r="N31" s="19">
        <f>[28]Vendedor7!$J$8</f>
        <v>124750</v>
      </c>
      <c r="O31" s="15">
        <f>[28]Vendedor7!$K$8</f>
        <v>14970</v>
      </c>
      <c r="P31" s="17">
        <f>[28]Vendedor7!$L$8</f>
        <v>17000</v>
      </c>
      <c r="Q31" s="18">
        <f>[28]Vendedor7!$J$9</f>
        <v>85500</v>
      </c>
      <c r="R31" s="15">
        <f>[28]Vendedor7!$K$9</f>
        <v>10260</v>
      </c>
      <c r="S31" s="16">
        <f>[28]Vendedor7!$L$9</f>
        <v>85000</v>
      </c>
      <c r="T31" s="19">
        <f>[28]Vendedor7!$J$10</f>
        <v>0</v>
      </c>
      <c r="U31" s="15">
        <f>[28]Vendedor7!$K$10</f>
        <v>0</v>
      </c>
      <c r="V31" s="17">
        <f>[28]Vendedor7!$L$10</f>
        <v>0</v>
      </c>
      <c r="W31" s="18">
        <f t="shared" si="4"/>
        <v>1281700</v>
      </c>
      <c r="X31" s="15">
        <f t="shared" si="1"/>
        <v>152188</v>
      </c>
      <c r="Y31" s="15">
        <f t="shared" si="2"/>
        <v>1415000</v>
      </c>
      <c r="Z31" s="15">
        <v>0</v>
      </c>
      <c r="AA31" s="17">
        <f t="shared" si="3"/>
        <v>-285488</v>
      </c>
    </row>
    <row r="32" spans="1:29">
      <c r="A32" s="79" t="s">
        <v>41</v>
      </c>
      <c r="B32" s="14">
        <f>[29]Vendedor7!$J$4</f>
        <v>547450</v>
      </c>
      <c r="C32" s="81">
        <f>[29]Vendedor7!$K$4</f>
        <v>65694</v>
      </c>
      <c r="D32" s="82">
        <f>[29]Vendedor7!$L$4</f>
        <v>1024250</v>
      </c>
      <c r="E32" s="14">
        <f>[29]Vendedor7!$J$5</f>
        <v>420700</v>
      </c>
      <c r="F32" s="81">
        <f>[29]Vendedor7!$K$5</f>
        <v>50484</v>
      </c>
      <c r="G32" s="85">
        <f>[29]Vendedor7!$L$5</f>
        <v>255000</v>
      </c>
      <c r="H32" s="19">
        <f>[29]Vendedor7!$J$6</f>
        <v>73450</v>
      </c>
      <c r="I32" s="15">
        <f>[29]Vendedor7!$K$6</f>
        <v>7345</v>
      </c>
      <c r="J32" s="17">
        <f>[29]Vendedor7!$L$6</f>
        <v>400000</v>
      </c>
      <c r="K32" s="18">
        <f>[29]Vendedor7!$J$7</f>
        <v>24500</v>
      </c>
      <c r="L32" s="15">
        <f>[29]Vendedor7!$K$7</f>
        <v>2940</v>
      </c>
      <c r="M32" s="16">
        <f>[29]Vendedor7!$L$7</f>
        <v>17000</v>
      </c>
      <c r="N32" s="19">
        <f>[29]Vendedor7!$J$8</f>
        <v>47000</v>
      </c>
      <c r="O32" s="15">
        <f>[29]Vendedor7!$K$8</f>
        <v>5640</v>
      </c>
      <c r="P32" s="17">
        <f>[29]Vendedor7!$L$8</f>
        <v>127500</v>
      </c>
      <c r="Q32" s="18">
        <f>[29]Vendedor7!$J$9</f>
        <v>75100</v>
      </c>
      <c r="R32" s="15">
        <f>[29]Vendedor7!$K$9</f>
        <v>9012</v>
      </c>
      <c r="S32" s="16">
        <f>[29]Vendedor7!$L$9</f>
        <v>0</v>
      </c>
      <c r="T32" s="19">
        <f>[29]Vendedor7!$J$10</f>
        <v>0</v>
      </c>
      <c r="U32" s="15">
        <f>[29]Vendedor7!$K$10</f>
        <v>0</v>
      </c>
      <c r="V32" s="17">
        <f>[29]Vendedor7!$L$10</f>
        <v>0</v>
      </c>
      <c r="W32" s="18">
        <f t="shared" si="4"/>
        <v>1188200</v>
      </c>
      <c r="X32" s="15">
        <f t="shared" si="1"/>
        <v>141115</v>
      </c>
      <c r="Y32" s="15">
        <f t="shared" si="2"/>
        <v>1823750</v>
      </c>
      <c r="Z32" s="15">
        <v>0</v>
      </c>
      <c r="AA32" s="17">
        <f t="shared" si="3"/>
        <v>-776665</v>
      </c>
    </row>
    <row r="33" spans="1:27">
      <c r="A33" s="80" t="s">
        <v>42</v>
      </c>
      <c r="B33" s="14">
        <f>[30]Vendedor7!$J$4</f>
        <v>420600</v>
      </c>
      <c r="C33" s="81">
        <f>[30]Vendedor7!$K$4</f>
        <v>50472</v>
      </c>
      <c r="D33" s="82">
        <f>[30]Vendedor7!$L$4</f>
        <v>63750</v>
      </c>
      <c r="E33" s="14">
        <f>[30]Vendedor7!$J$5</f>
        <v>354900</v>
      </c>
      <c r="F33" s="81">
        <f>[30]Vendedor7!$K$5</f>
        <v>42588</v>
      </c>
      <c r="G33" s="85">
        <f>[30]Vendedor7!$L$5</f>
        <v>675750</v>
      </c>
      <c r="H33" s="19">
        <f>[30]Vendedor7!$J$6</f>
        <v>71600</v>
      </c>
      <c r="I33" s="15">
        <f>[30]Vendedor7!$K$6</f>
        <v>7160</v>
      </c>
      <c r="J33" s="17">
        <f>[30]Vendedor7!$L$6</f>
        <v>0</v>
      </c>
      <c r="K33" s="18">
        <f>[30]Vendedor7!$J$7</f>
        <v>35100</v>
      </c>
      <c r="L33" s="15">
        <f>[30]Vendedor7!$K$7</f>
        <v>4212</v>
      </c>
      <c r="M33" s="16">
        <f>[30]Vendedor7!$L$7</f>
        <v>25500</v>
      </c>
      <c r="N33" s="19">
        <f>[30]Vendedor7!$J$8</f>
        <v>15750</v>
      </c>
      <c r="O33" s="15">
        <f>[30]Vendedor7!$K$8</f>
        <v>1890</v>
      </c>
      <c r="P33" s="17">
        <f>[30]Vendedor7!$L$8</f>
        <v>8500</v>
      </c>
      <c r="Q33" s="18">
        <f>[30]Vendedor7!$J$9</f>
        <v>74850</v>
      </c>
      <c r="R33" s="15">
        <f>[30]Vendedor7!$K$9</f>
        <v>8982</v>
      </c>
      <c r="S33" s="16">
        <f>[30]Vendedor7!$L$9</f>
        <v>0</v>
      </c>
      <c r="T33" s="19">
        <f>[30]Vendedor7!$J$10</f>
        <v>0</v>
      </c>
      <c r="U33" s="15">
        <f>[30]Vendedor7!$K$10</f>
        <v>0</v>
      </c>
      <c r="V33" s="17">
        <f>[30]Vendedor7!$L$10</f>
        <v>0</v>
      </c>
      <c r="W33" s="18">
        <f t="shared" si="4"/>
        <v>972800</v>
      </c>
      <c r="X33" s="15">
        <f t="shared" si="1"/>
        <v>115304</v>
      </c>
      <c r="Y33" s="15">
        <f t="shared" si="2"/>
        <v>773500</v>
      </c>
      <c r="Z33" s="15">
        <v>0</v>
      </c>
      <c r="AA33" s="17">
        <f t="shared" si="3"/>
        <v>83996</v>
      </c>
    </row>
    <row r="34" spans="1:27">
      <c r="A34" s="79" t="s">
        <v>43</v>
      </c>
      <c r="B34" s="14">
        <f>[31]Vendedor7!$J$4</f>
        <v>327000</v>
      </c>
      <c r="C34" s="81">
        <f>[31]Vendedor7!$K$4</f>
        <v>39240</v>
      </c>
      <c r="D34" s="82">
        <f>[31]Vendedor7!$L$4</f>
        <v>174250</v>
      </c>
      <c r="E34" s="14">
        <f>[31]Vendedor7!$J$5</f>
        <v>344650</v>
      </c>
      <c r="F34" s="81">
        <f>[31]Vendedor7!$K$5</f>
        <v>41358</v>
      </c>
      <c r="G34" s="85">
        <f>[31]Vendedor7!$L$5</f>
        <v>246500</v>
      </c>
      <c r="H34" s="19">
        <f>[31]Vendedor7!$J$6</f>
        <v>85050</v>
      </c>
      <c r="I34" s="15">
        <f>[31]Vendedor7!$K$6</f>
        <v>8505</v>
      </c>
      <c r="J34" s="17">
        <f>[31]Vendedor7!$L$6</f>
        <v>0</v>
      </c>
      <c r="K34" s="18">
        <f>[31]Vendedor7!$J$7</f>
        <v>68850</v>
      </c>
      <c r="L34" s="15">
        <f>[31]Vendedor7!$K$7</f>
        <v>8262</v>
      </c>
      <c r="M34" s="16">
        <f>[31]Vendedor7!$L$7</f>
        <v>148750</v>
      </c>
      <c r="N34" s="19">
        <f>[31]Vendedor7!$J$8</f>
        <v>90450</v>
      </c>
      <c r="O34" s="15">
        <f>[31]Vendedor7!$K$8</f>
        <v>10854</v>
      </c>
      <c r="P34" s="17">
        <f>[31]Vendedor7!$L$8</f>
        <v>85000</v>
      </c>
      <c r="Q34" s="18">
        <f>[31]Vendedor7!$J$9</f>
        <v>55000</v>
      </c>
      <c r="R34" s="15">
        <f>[31]Vendedor7!$K$9</f>
        <v>6600</v>
      </c>
      <c r="S34" s="16">
        <f>[31]Vendedor7!$L$9</f>
        <v>0</v>
      </c>
      <c r="T34" s="19">
        <f>[31]Vendedor7!$J$10</f>
        <v>13350</v>
      </c>
      <c r="U34" s="15">
        <f>[31]Vendedor7!$K$10</f>
        <v>1602</v>
      </c>
      <c r="V34" s="17">
        <f>[31]Vendedor7!$L$10</f>
        <v>0</v>
      </c>
      <c r="W34" s="18">
        <f t="shared" si="4"/>
        <v>984350</v>
      </c>
      <c r="X34" s="15">
        <f t="shared" si="1"/>
        <v>116421</v>
      </c>
      <c r="Y34" s="15">
        <f t="shared" si="2"/>
        <v>654500</v>
      </c>
      <c r="Z34" s="15">
        <v>0</v>
      </c>
      <c r="AA34" s="17">
        <f t="shared" si="3"/>
        <v>213429</v>
      </c>
    </row>
    <row r="35" spans="1:27">
      <c r="A35" s="80" t="s">
        <v>44</v>
      </c>
      <c r="B35" s="14">
        <f>[1]Vendedor7!$J$4</f>
        <v>406300</v>
      </c>
      <c r="C35" s="81">
        <f>[1]Vendedor7!$K$4</f>
        <v>48756</v>
      </c>
      <c r="D35" s="82">
        <f>[1]Vendedor7!$L$4</f>
        <v>556750</v>
      </c>
      <c r="E35" s="14">
        <f>[1]Vendedor7!$J$5</f>
        <v>300050</v>
      </c>
      <c r="F35" s="81">
        <f>[1]Vendedor7!$K$5</f>
        <v>36006</v>
      </c>
      <c r="G35" s="85">
        <f>[1]Vendedor7!$L$5</f>
        <v>89250</v>
      </c>
      <c r="H35" s="19">
        <f>[1]Vendedor7!$J$6</f>
        <v>91750</v>
      </c>
      <c r="I35" s="15">
        <f>[1]Vendedor7!$K$6</f>
        <v>9175</v>
      </c>
      <c r="J35" s="17">
        <f>[1]Vendedor7!$L$6</f>
        <v>0</v>
      </c>
      <c r="K35" s="18">
        <f>[1]Vendedor7!$J$7</f>
        <v>43550</v>
      </c>
      <c r="L35" s="15">
        <f>[1]Vendedor7!$K$7</f>
        <v>5226</v>
      </c>
      <c r="M35" s="16">
        <f>[1]Vendedor7!$L$7</f>
        <v>63750</v>
      </c>
      <c r="N35" s="19">
        <f>[1]Vendedor7!$J$8</f>
        <v>41700</v>
      </c>
      <c r="O35" s="15">
        <f>[1]Vendedor7!$K$8</f>
        <v>5004</v>
      </c>
      <c r="P35" s="17">
        <f>[1]Vendedor7!$L$8</f>
        <v>8500</v>
      </c>
      <c r="Q35" s="18">
        <f>[1]Vendedor7!$J$9</f>
        <v>42000</v>
      </c>
      <c r="R35" s="15">
        <f>[1]Vendedor7!$K$9</f>
        <v>5040</v>
      </c>
      <c r="S35" s="16">
        <f>[1]Vendedor7!$L$9</f>
        <v>85000</v>
      </c>
      <c r="T35" s="19">
        <f>[1]Vendedor7!$J$10</f>
        <v>0</v>
      </c>
      <c r="U35" s="15">
        <f>[1]Vendedor7!$K$10</f>
        <v>0</v>
      </c>
      <c r="V35" s="17">
        <f>[1]Vendedor7!$L$10</f>
        <v>0</v>
      </c>
      <c r="W35" s="18">
        <f t="shared" si="4"/>
        <v>925350</v>
      </c>
      <c r="X35" s="15">
        <f t="shared" si="1"/>
        <v>109207</v>
      </c>
      <c r="Y35" s="15">
        <f t="shared" si="2"/>
        <v>803250</v>
      </c>
      <c r="Z35" s="15">
        <v>0</v>
      </c>
      <c r="AA35" s="17">
        <f t="shared" si="3"/>
        <v>12893</v>
      </c>
    </row>
    <row r="36" spans="1:27" ht="15.75" thickBot="1">
      <c r="A36" s="79" t="s">
        <v>45</v>
      </c>
      <c r="B36" s="21">
        <f>[2]Vendedor7!$J$4</f>
        <v>562300</v>
      </c>
      <c r="C36" s="83">
        <f>[2]Vendedor7!$K$4</f>
        <v>67476</v>
      </c>
      <c r="D36" s="84">
        <f>[2]Vendedor7!$L$4</f>
        <v>684250</v>
      </c>
      <c r="E36" s="21">
        <f>[2]Vendedor7!$J$5</f>
        <v>370950</v>
      </c>
      <c r="F36" s="83">
        <f>[2]Vendedor7!$K$5</f>
        <v>44514</v>
      </c>
      <c r="G36" s="86">
        <f>[2]Vendedor7!$L$5</f>
        <v>131750</v>
      </c>
      <c r="H36" s="26">
        <f>[2]Vendedor7!$J$6</f>
        <v>104700</v>
      </c>
      <c r="I36" s="22">
        <f>[2]Vendedor7!$K$6</f>
        <v>10470</v>
      </c>
      <c r="J36" s="24">
        <f>[2]Vendedor7!$L$6</f>
        <v>0</v>
      </c>
      <c r="K36" s="25">
        <f>[2]Vendedor7!$J$7</f>
        <v>43850</v>
      </c>
      <c r="L36" s="22">
        <f>[2]Vendedor7!$K$7</f>
        <v>5262</v>
      </c>
      <c r="M36" s="23">
        <f>[2]Vendedor7!$L$7</f>
        <v>0</v>
      </c>
      <c r="N36" s="26">
        <f>[2]Vendedor7!$J$8</f>
        <v>27000</v>
      </c>
      <c r="O36" s="22">
        <f>[2]Vendedor7!$K$8</f>
        <v>3240</v>
      </c>
      <c r="P36" s="24">
        <f>[2]Vendedor7!$L$8</f>
        <v>0</v>
      </c>
      <c r="Q36" s="25">
        <f>[2]Vendedor7!$J$9</f>
        <v>102250</v>
      </c>
      <c r="R36" s="22">
        <f>[2]Vendedor7!$K$9</f>
        <v>12270</v>
      </c>
      <c r="S36" s="23">
        <f>[2]Vendedor7!$L$9</f>
        <v>0</v>
      </c>
      <c r="T36" s="26">
        <f>[2]Vendedor7!$J$10</f>
        <v>0</v>
      </c>
      <c r="U36" s="22">
        <f>[2]Vendedor7!$K$10</f>
        <v>0</v>
      </c>
      <c r="V36" s="24">
        <f>[2]Vendedor7!$L$10</f>
        <v>0</v>
      </c>
      <c r="W36" s="25">
        <f t="shared" si="4"/>
        <v>1211050</v>
      </c>
      <c r="X36" s="22">
        <f t="shared" si="1"/>
        <v>143232</v>
      </c>
      <c r="Y36" s="22">
        <f t="shared" si="2"/>
        <v>816000</v>
      </c>
      <c r="Z36" s="22">
        <v>0</v>
      </c>
      <c r="AA36" s="24">
        <f t="shared" si="3"/>
        <v>251818</v>
      </c>
    </row>
    <row r="37" spans="1:27" ht="16.5" thickBot="1">
      <c r="A37" s="5" t="s">
        <v>46</v>
      </c>
      <c r="B37" s="77">
        <f t="shared" ref="B37:Y37" si="5">SUM(B6:B36)</f>
        <v>14427700</v>
      </c>
      <c r="C37" s="32">
        <f t="shared" si="5"/>
        <v>1731324</v>
      </c>
      <c r="D37" s="78">
        <f t="shared" si="5"/>
        <v>13778500</v>
      </c>
      <c r="E37" s="60">
        <f t="shared" si="5"/>
        <v>11516150</v>
      </c>
      <c r="F37" s="32">
        <f t="shared" si="5"/>
        <v>1381938</v>
      </c>
      <c r="G37" s="73">
        <f t="shared" si="5"/>
        <v>8746500</v>
      </c>
      <c r="H37" s="77">
        <f t="shared" si="5"/>
        <v>2283150</v>
      </c>
      <c r="I37" s="32">
        <f t="shared" si="5"/>
        <v>228315</v>
      </c>
      <c r="J37" s="78">
        <f t="shared" si="5"/>
        <v>3790000</v>
      </c>
      <c r="K37" s="60">
        <f t="shared" ref="K37:M37" si="6">SUM(K6:K36)</f>
        <v>1908100</v>
      </c>
      <c r="L37" s="32">
        <f t="shared" si="6"/>
        <v>228972</v>
      </c>
      <c r="M37" s="78">
        <f t="shared" si="6"/>
        <v>1381250</v>
      </c>
      <c r="N37" s="60">
        <f t="shared" ref="N37:V37" si="7">SUM(N6:N36)</f>
        <v>1505150</v>
      </c>
      <c r="O37" s="32">
        <f t="shared" si="7"/>
        <v>180618</v>
      </c>
      <c r="P37" s="73">
        <f t="shared" si="7"/>
        <v>1105000</v>
      </c>
      <c r="Q37" s="77">
        <f t="shared" si="7"/>
        <v>2260950</v>
      </c>
      <c r="R37" s="32">
        <f t="shared" si="7"/>
        <v>271314</v>
      </c>
      <c r="S37" s="78">
        <f t="shared" si="7"/>
        <v>1168750</v>
      </c>
      <c r="T37" s="60">
        <f t="shared" si="7"/>
        <v>23250</v>
      </c>
      <c r="U37" s="32">
        <f t="shared" si="7"/>
        <v>2790</v>
      </c>
      <c r="V37" s="73">
        <f t="shared" si="7"/>
        <v>25500</v>
      </c>
      <c r="W37" s="77">
        <f t="shared" si="5"/>
        <v>33924450</v>
      </c>
      <c r="X37" s="32">
        <f t="shared" si="5"/>
        <v>4025271</v>
      </c>
      <c r="Y37" s="32">
        <f t="shared" si="5"/>
        <v>29995500</v>
      </c>
      <c r="Z37" s="32">
        <f>SUM(Z5:Z36)</f>
        <v>0</v>
      </c>
      <c r="AA37" s="33">
        <f>SUM(AA5:AA36)</f>
        <v>-96321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topLeftCell="A22" zoomScale="90" zoomScaleNormal="90" workbookViewId="0">
      <selection activeCell="A7" sqref="A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6.5703125" style="1" bestFit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115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88</v>
      </c>
      <c r="N2" s="4">
        <v>0.12</v>
      </c>
    </row>
    <row r="4" spans="1:15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89</v>
      </c>
      <c r="I4" s="7" t="s">
        <v>90</v>
      </c>
      <c r="J4" s="8" t="s">
        <v>91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14">
        <f>[3]Vendedor8!$J$4</f>
        <v>26800</v>
      </c>
      <c r="C6" s="81">
        <f>[3]Vendedor8!$K$4</f>
        <v>3216</v>
      </c>
      <c r="D6" s="82">
        <f>[3]Vendedor8!$L$4</f>
        <v>0</v>
      </c>
      <c r="E6" s="14">
        <f>[3]Vendedor8!$J$5</f>
        <v>0</v>
      </c>
      <c r="F6" s="81">
        <f>[3]Vendedor8!$K$5</f>
        <v>0</v>
      </c>
      <c r="G6" s="85">
        <f>[3]Vendedor8!$L$5</f>
        <v>0</v>
      </c>
      <c r="H6" s="19">
        <f>[3]Vendedor8!$J$7</f>
        <v>0</v>
      </c>
      <c r="I6" s="15">
        <f>[3]Vendedor8!$K$7</f>
        <v>0</v>
      </c>
      <c r="J6" s="17">
        <f>[3]Vendedor8!$L$7</f>
        <v>0</v>
      </c>
      <c r="K6" s="59">
        <f t="shared" ref="K6:K36" si="1">+B6+E6+H6</f>
        <v>26800</v>
      </c>
      <c r="L6" s="58">
        <f>MROUND(C6+F6+I6,50)</f>
        <v>3200</v>
      </c>
      <c r="M6" s="58">
        <f t="shared" ref="M6:M36" si="2">+D6+G6+J6</f>
        <v>0</v>
      </c>
      <c r="N6" s="58">
        <v>0</v>
      </c>
      <c r="O6" s="55">
        <f t="shared" ref="O6:O36" si="3">+K6-L6-M6+N6</f>
        <v>23600</v>
      </c>
    </row>
    <row r="7" spans="1:15">
      <c r="A7" s="13" t="s">
        <v>50</v>
      </c>
      <c r="B7" s="14">
        <f>[4]Vendedor8!$J$4</f>
        <v>8600</v>
      </c>
      <c r="C7" s="81">
        <f>[4]Vendedor8!$K$4</f>
        <v>1032</v>
      </c>
      <c r="D7" s="82">
        <f>[4]Vendedor8!$L$4</f>
        <v>0</v>
      </c>
      <c r="E7" s="14">
        <f>[4]Vendedor8!$J$5</f>
        <v>0</v>
      </c>
      <c r="F7" s="81">
        <f>[4]Vendedor8!$K$5</f>
        <v>0</v>
      </c>
      <c r="G7" s="85">
        <f>[4]Vendedor8!$L$5</f>
        <v>0</v>
      </c>
      <c r="H7" s="19">
        <f>[4]Vendedor8!$J$7</f>
        <v>0</v>
      </c>
      <c r="I7" s="15">
        <f>[4]Vendedor8!$K$7</f>
        <v>0</v>
      </c>
      <c r="J7" s="17">
        <f>[4]Vendedor8!$L$7</f>
        <v>0</v>
      </c>
      <c r="K7" s="19">
        <f>+B7+E7+H7</f>
        <v>8600</v>
      </c>
      <c r="L7" s="15">
        <f>MROUND(C7+F7+I7,50)</f>
        <v>1050</v>
      </c>
      <c r="M7" s="15">
        <f>+D7+G7+J7</f>
        <v>0</v>
      </c>
      <c r="N7" s="15">
        <v>0</v>
      </c>
      <c r="O7" s="17">
        <f t="shared" si="3"/>
        <v>7550</v>
      </c>
    </row>
    <row r="8" spans="1:15">
      <c r="A8" s="20" t="s">
        <v>51</v>
      </c>
      <c r="B8" s="14">
        <f>[5]Vendedor8!$J$4</f>
        <v>14600</v>
      </c>
      <c r="C8" s="81">
        <f>[5]Vendedor8!$K$4</f>
        <v>1752</v>
      </c>
      <c r="D8" s="82">
        <f>[5]Vendedor8!$L$4</f>
        <v>0</v>
      </c>
      <c r="E8" s="14">
        <f>[5]Vendedor8!$J$5</f>
        <v>0</v>
      </c>
      <c r="F8" s="81">
        <f>[5]Vendedor8!$K$5</f>
        <v>0</v>
      </c>
      <c r="G8" s="85">
        <f>[5]Vendedor8!$L$5</f>
        <v>0</v>
      </c>
      <c r="H8" s="19">
        <f>[5]Vendedor8!$J$7</f>
        <v>0</v>
      </c>
      <c r="I8" s="15">
        <f>[5]Vendedor8!$K$7</f>
        <v>0</v>
      </c>
      <c r="J8" s="17">
        <f>[5]Vendedor8!$L$7</f>
        <v>0</v>
      </c>
      <c r="K8" s="19">
        <f t="shared" si="1"/>
        <v>14600</v>
      </c>
      <c r="L8" s="15">
        <f t="shared" ref="L8:L36" si="4">MROUND(C8+F8+I8,50)</f>
        <v>1750</v>
      </c>
      <c r="M8" s="15">
        <f t="shared" si="2"/>
        <v>0</v>
      </c>
      <c r="N8" s="15">
        <v>0</v>
      </c>
      <c r="O8" s="17">
        <f t="shared" si="3"/>
        <v>12850</v>
      </c>
    </row>
    <row r="9" spans="1:15">
      <c r="A9" s="13" t="s">
        <v>52</v>
      </c>
      <c r="B9" s="14">
        <f>[6]Vendedor8!$J$4</f>
        <v>24500</v>
      </c>
      <c r="C9" s="81">
        <f>[6]Vendedor8!$K$4</f>
        <v>2940</v>
      </c>
      <c r="D9" s="82">
        <f>[6]Vendedor8!$L$4</f>
        <v>0</v>
      </c>
      <c r="E9" s="14">
        <f>[6]Vendedor8!$J$5</f>
        <v>0</v>
      </c>
      <c r="F9" s="81">
        <f>[6]Vendedor8!$K$5</f>
        <v>0</v>
      </c>
      <c r="G9" s="85">
        <f>[6]Vendedor8!$L$5</f>
        <v>0</v>
      </c>
      <c r="H9" s="19">
        <f>[6]Vendedor8!$J$7</f>
        <v>0</v>
      </c>
      <c r="I9" s="15">
        <f>[6]Vendedor8!$K$7</f>
        <v>0</v>
      </c>
      <c r="J9" s="17">
        <f>[6]Vendedor8!$L$7</f>
        <v>0</v>
      </c>
      <c r="K9" s="19">
        <f t="shared" si="1"/>
        <v>24500</v>
      </c>
      <c r="L9" s="15">
        <f t="shared" si="4"/>
        <v>2950</v>
      </c>
      <c r="M9" s="15">
        <f t="shared" si="2"/>
        <v>0</v>
      </c>
      <c r="N9" s="15">
        <v>0</v>
      </c>
      <c r="O9" s="17">
        <f t="shared" si="3"/>
        <v>21550</v>
      </c>
    </row>
    <row r="10" spans="1:15">
      <c r="A10" s="20" t="s">
        <v>53</v>
      </c>
      <c r="B10" s="14">
        <f>[7]Vendedor8!$J$4</f>
        <v>16000</v>
      </c>
      <c r="C10" s="81">
        <f>[7]Vendedor8!$K$4</f>
        <v>1920</v>
      </c>
      <c r="D10" s="82">
        <f>[7]Vendedor8!$L$4</f>
        <v>42500</v>
      </c>
      <c r="E10" s="14">
        <f>[7]Vendedor8!$J$5</f>
        <v>0</v>
      </c>
      <c r="F10" s="81">
        <f>[7]Vendedor8!$K$5</f>
        <v>0</v>
      </c>
      <c r="G10" s="85">
        <f>[7]Vendedor8!$L$5</f>
        <v>0</v>
      </c>
      <c r="H10" s="19">
        <f>[7]Vendedor8!$J$7</f>
        <v>0</v>
      </c>
      <c r="I10" s="15">
        <f>[7]Vendedor8!$K$7</f>
        <v>0</v>
      </c>
      <c r="J10" s="17">
        <f>[7]Vendedor8!$L$7</f>
        <v>0</v>
      </c>
      <c r="K10" s="19">
        <f t="shared" si="1"/>
        <v>16000</v>
      </c>
      <c r="L10" s="15">
        <f t="shared" si="4"/>
        <v>1900</v>
      </c>
      <c r="M10" s="15">
        <f t="shared" si="2"/>
        <v>42500</v>
      </c>
      <c r="N10" s="15">
        <v>0</v>
      </c>
      <c r="O10" s="17">
        <f t="shared" si="3"/>
        <v>-28400</v>
      </c>
    </row>
    <row r="11" spans="1:15">
      <c r="A11" s="13" t="s">
        <v>20</v>
      </c>
      <c r="B11" s="14">
        <f>[8]Vendedor8!$J$4</f>
        <v>85800</v>
      </c>
      <c r="C11" s="81">
        <f>[8]Vendedor8!$K$4</f>
        <v>10296</v>
      </c>
      <c r="D11" s="82">
        <f>[8]Vendedor8!$L$4</f>
        <v>425000</v>
      </c>
      <c r="E11" s="14">
        <f>[8]Vendedor8!$J$5</f>
        <v>0</v>
      </c>
      <c r="F11" s="81">
        <f>[8]Vendedor8!$K$5</f>
        <v>0</v>
      </c>
      <c r="G11" s="85">
        <f>[8]Vendedor8!$L$5</f>
        <v>0</v>
      </c>
      <c r="H11" s="19">
        <f>[8]Vendedor8!$J$7</f>
        <v>0</v>
      </c>
      <c r="I11" s="15">
        <f>[8]Vendedor8!$K$7</f>
        <v>0</v>
      </c>
      <c r="J11" s="17">
        <f>[8]Vendedor8!$L$7</f>
        <v>0</v>
      </c>
      <c r="K11" s="19">
        <f t="shared" si="1"/>
        <v>85800</v>
      </c>
      <c r="L11" s="15">
        <f t="shared" si="4"/>
        <v>10300</v>
      </c>
      <c r="M11" s="15">
        <f t="shared" si="2"/>
        <v>425000</v>
      </c>
      <c r="N11" s="15">
        <v>0</v>
      </c>
      <c r="O11" s="17">
        <f t="shared" si="3"/>
        <v>-349500</v>
      </c>
    </row>
    <row r="12" spans="1:15">
      <c r="A12" s="20" t="s">
        <v>21</v>
      </c>
      <c r="B12" s="14">
        <f>[9]Vendedor8!$J$4</f>
        <v>59900</v>
      </c>
      <c r="C12" s="81">
        <f>[9]Vendedor8!$K$4</f>
        <v>7188</v>
      </c>
      <c r="D12" s="82">
        <f>[9]Vendedor8!$L$4</f>
        <v>0</v>
      </c>
      <c r="E12" s="14">
        <f>[9]Vendedor8!$J$5</f>
        <v>0</v>
      </c>
      <c r="F12" s="81">
        <f>[9]Vendedor8!$K$5</f>
        <v>0</v>
      </c>
      <c r="G12" s="85">
        <f>[9]Vendedor8!$L$5</f>
        <v>0</v>
      </c>
      <c r="H12" s="19">
        <f>[9]Vendedor8!$J$7</f>
        <v>0</v>
      </c>
      <c r="I12" s="15">
        <f>[9]Vendedor8!$K$7</f>
        <v>0</v>
      </c>
      <c r="J12" s="17">
        <f>[9]Vendedor8!$L$7</f>
        <v>0</v>
      </c>
      <c r="K12" s="19">
        <f t="shared" si="1"/>
        <v>59900</v>
      </c>
      <c r="L12" s="15">
        <f t="shared" si="4"/>
        <v>7200</v>
      </c>
      <c r="M12" s="15">
        <f t="shared" si="2"/>
        <v>0</v>
      </c>
      <c r="N12" s="15">
        <v>0</v>
      </c>
      <c r="O12" s="17">
        <f t="shared" si="3"/>
        <v>52700</v>
      </c>
    </row>
    <row r="13" spans="1:15">
      <c r="A13" s="13" t="s">
        <v>22</v>
      </c>
      <c r="B13" s="14">
        <f>[10]Vendedor8!$J$4</f>
        <v>55200</v>
      </c>
      <c r="C13" s="81">
        <f>[10]Vendedor8!$K$4</f>
        <v>6624</v>
      </c>
      <c r="D13" s="82">
        <f>[10]Vendedor8!$L$4</f>
        <v>0</v>
      </c>
      <c r="E13" s="14">
        <f>[10]Vendedor8!$J$5</f>
        <v>0</v>
      </c>
      <c r="F13" s="81">
        <f>[10]Vendedor8!$K$5</f>
        <v>0</v>
      </c>
      <c r="G13" s="85">
        <f>[10]Vendedor8!$L$5</f>
        <v>0</v>
      </c>
      <c r="H13" s="19">
        <f>[10]Vendedor8!$J$7</f>
        <v>0</v>
      </c>
      <c r="I13" s="15">
        <f>[10]Vendedor8!$K$7</f>
        <v>0</v>
      </c>
      <c r="J13" s="17">
        <f>[10]Vendedor8!$L$7</f>
        <v>0</v>
      </c>
      <c r="K13" s="19">
        <f t="shared" si="1"/>
        <v>55200</v>
      </c>
      <c r="L13" s="15">
        <f t="shared" si="4"/>
        <v>6600</v>
      </c>
      <c r="M13" s="15">
        <f t="shared" si="2"/>
        <v>0</v>
      </c>
      <c r="N13" s="15">
        <v>0</v>
      </c>
      <c r="O13" s="17">
        <f t="shared" si="3"/>
        <v>48600</v>
      </c>
    </row>
    <row r="14" spans="1:15">
      <c r="A14" s="20" t="s">
        <v>23</v>
      </c>
      <c r="B14" s="14">
        <f>[11]Vendedor8!$J$4</f>
        <v>25600</v>
      </c>
      <c r="C14" s="81">
        <f>[11]Vendedor8!$K$4</f>
        <v>3072</v>
      </c>
      <c r="D14" s="82">
        <f>[11]Vendedor8!$L$4</f>
        <v>0</v>
      </c>
      <c r="E14" s="14">
        <f>[11]Vendedor8!$J$5</f>
        <v>0</v>
      </c>
      <c r="F14" s="81">
        <f>[11]Vendedor8!$K$5</f>
        <v>0</v>
      </c>
      <c r="G14" s="85">
        <f>[11]Vendedor8!$L$5</f>
        <v>0</v>
      </c>
      <c r="H14" s="19">
        <f>[11]Vendedor8!$J$7</f>
        <v>0</v>
      </c>
      <c r="I14" s="15">
        <f>[11]Vendedor8!$K$7</f>
        <v>0</v>
      </c>
      <c r="J14" s="17">
        <f>[11]Vendedor8!$L$7</f>
        <v>0</v>
      </c>
      <c r="K14" s="19">
        <f t="shared" si="1"/>
        <v>25600</v>
      </c>
      <c r="L14" s="15">
        <f t="shared" si="4"/>
        <v>3050</v>
      </c>
      <c r="M14" s="15">
        <f t="shared" si="2"/>
        <v>0</v>
      </c>
      <c r="N14" s="15">
        <v>0</v>
      </c>
      <c r="O14" s="17">
        <f t="shared" si="3"/>
        <v>22550</v>
      </c>
    </row>
    <row r="15" spans="1:15">
      <c r="A15" s="13" t="s">
        <v>24</v>
      </c>
      <c r="B15" s="14">
        <f>[12]Vendedor8!$J$4</f>
        <v>19900</v>
      </c>
      <c r="C15" s="81">
        <f>[12]Vendedor8!$K$4</f>
        <v>2388</v>
      </c>
      <c r="D15" s="82">
        <f>[12]Vendedor8!$L$4</f>
        <v>0</v>
      </c>
      <c r="E15" s="14">
        <f>[12]Vendedor8!$J$5</f>
        <v>0</v>
      </c>
      <c r="F15" s="81">
        <f>[12]Vendedor8!$K$5</f>
        <v>0</v>
      </c>
      <c r="G15" s="85">
        <f>[12]Vendedor8!$L$5</f>
        <v>0</v>
      </c>
      <c r="H15" s="19">
        <f>[12]Vendedor8!$J$7</f>
        <v>0</v>
      </c>
      <c r="I15" s="15">
        <f>[12]Vendedor8!$K$7</f>
        <v>0</v>
      </c>
      <c r="J15" s="17">
        <f>[12]Vendedor8!$L$7</f>
        <v>0</v>
      </c>
      <c r="K15" s="19">
        <f t="shared" si="1"/>
        <v>19900</v>
      </c>
      <c r="L15" s="15">
        <f t="shared" si="4"/>
        <v>2400</v>
      </c>
      <c r="M15" s="15">
        <f t="shared" si="2"/>
        <v>0</v>
      </c>
      <c r="N15" s="15">
        <v>0</v>
      </c>
      <c r="O15" s="17">
        <f t="shared" si="3"/>
        <v>17500</v>
      </c>
    </row>
    <row r="16" spans="1:15">
      <c r="A16" s="20" t="s">
        <v>25</v>
      </c>
      <c r="B16" s="14">
        <f>[13]Vendedor8!$J$4</f>
        <v>28600</v>
      </c>
      <c r="C16" s="81">
        <f>[13]Vendedor8!$K$4</f>
        <v>3432</v>
      </c>
      <c r="D16" s="82">
        <f>[13]Vendedor8!$L$4</f>
        <v>0</v>
      </c>
      <c r="E16" s="14">
        <f>[13]Vendedor8!$J$5</f>
        <v>0</v>
      </c>
      <c r="F16" s="81">
        <f>[13]Vendedor8!$K$5</f>
        <v>0</v>
      </c>
      <c r="G16" s="85">
        <f>[13]Vendedor8!$L$5</f>
        <v>0</v>
      </c>
      <c r="H16" s="19">
        <f>[13]Vendedor8!$J$7</f>
        <v>0</v>
      </c>
      <c r="I16" s="15">
        <f>[13]Vendedor8!$K$7</f>
        <v>0</v>
      </c>
      <c r="J16" s="17">
        <f>[13]Vendedor8!$L$7</f>
        <v>0</v>
      </c>
      <c r="K16" s="19">
        <f t="shared" si="1"/>
        <v>28600</v>
      </c>
      <c r="L16" s="15">
        <f t="shared" si="4"/>
        <v>3450</v>
      </c>
      <c r="M16" s="15">
        <f t="shared" si="2"/>
        <v>0</v>
      </c>
      <c r="N16" s="15">
        <v>0</v>
      </c>
      <c r="O16" s="17">
        <f t="shared" si="3"/>
        <v>25150</v>
      </c>
    </row>
    <row r="17" spans="1:15">
      <c r="A17" s="13" t="s">
        <v>26</v>
      </c>
      <c r="B17" s="14">
        <f>[14]Vendedor8!$J$4</f>
        <v>10750</v>
      </c>
      <c r="C17" s="81">
        <f>[14]Vendedor8!$K$4</f>
        <v>1290</v>
      </c>
      <c r="D17" s="82">
        <f>[14]Vendedor8!$L$4</f>
        <v>0</v>
      </c>
      <c r="E17" s="14">
        <f>[14]Vendedor8!$J$5</f>
        <v>0</v>
      </c>
      <c r="F17" s="81">
        <f>[14]Vendedor8!$K$5</f>
        <v>0</v>
      </c>
      <c r="G17" s="85">
        <f>[14]Vendedor8!$L$5</f>
        <v>0</v>
      </c>
      <c r="H17" s="19">
        <f>[14]Vendedor8!$J$7</f>
        <v>0</v>
      </c>
      <c r="I17" s="15">
        <f>[14]Vendedor8!$K$7</f>
        <v>0</v>
      </c>
      <c r="J17" s="17">
        <f>[14]Vendedor8!$L$7</f>
        <v>0</v>
      </c>
      <c r="K17" s="19">
        <f t="shared" si="1"/>
        <v>10750</v>
      </c>
      <c r="L17" s="15">
        <f t="shared" si="4"/>
        <v>1300</v>
      </c>
      <c r="M17" s="15">
        <f t="shared" si="2"/>
        <v>0</v>
      </c>
      <c r="N17" s="15">
        <v>0</v>
      </c>
      <c r="O17" s="17">
        <f t="shared" si="3"/>
        <v>9450</v>
      </c>
    </row>
    <row r="18" spans="1:15">
      <c r="A18" s="20" t="s">
        <v>27</v>
      </c>
      <c r="B18" s="14">
        <f>[15]Vendedor8!$J$4</f>
        <v>21500</v>
      </c>
      <c r="C18" s="81">
        <f>[15]Vendedor8!$K$4</f>
        <v>2580</v>
      </c>
      <c r="D18" s="82">
        <f>[15]Vendedor8!$L$4</f>
        <v>0</v>
      </c>
      <c r="E18" s="14">
        <f>[15]Vendedor8!$J$5</f>
        <v>0</v>
      </c>
      <c r="F18" s="81">
        <f>[15]Vendedor8!$K$5</f>
        <v>0</v>
      </c>
      <c r="G18" s="85">
        <f>[15]Vendedor8!$L$5</f>
        <v>0</v>
      </c>
      <c r="H18" s="19">
        <f>[15]Vendedor8!$J$7</f>
        <v>0</v>
      </c>
      <c r="I18" s="15">
        <f>[15]Vendedor8!$K$7</f>
        <v>0</v>
      </c>
      <c r="J18" s="17">
        <f>[15]Vendedor8!$L$7</f>
        <v>0</v>
      </c>
      <c r="K18" s="19">
        <f t="shared" si="1"/>
        <v>21500</v>
      </c>
      <c r="L18" s="15">
        <f t="shared" si="4"/>
        <v>2600</v>
      </c>
      <c r="M18" s="15">
        <f t="shared" si="2"/>
        <v>0</v>
      </c>
      <c r="N18" s="15">
        <v>0</v>
      </c>
      <c r="O18" s="17">
        <f t="shared" si="3"/>
        <v>18900</v>
      </c>
    </row>
    <row r="19" spans="1:15">
      <c r="A19" s="20" t="s">
        <v>28</v>
      </c>
      <c r="B19" s="14">
        <f>[16]Vendedor8!$J$4</f>
        <v>11000</v>
      </c>
      <c r="C19" s="81">
        <f>[16]Vendedor8!$K$4</f>
        <v>1320</v>
      </c>
      <c r="D19" s="82">
        <f>[16]Vendedor8!$L$4</f>
        <v>0</v>
      </c>
      <c r="E19" s="14">
        <f>[16]Vendedor8!$J$5</f>
        <v>0</v>
      </c>
      <c r="F19" s="81">
        <f>[16]Vendedor8!$K$5</f>
        <v>0</v>
      </c>
      <c r="G19" s="85">
        <f>[16]Vendedor8!$L$5</f>
        <v>0</v>
      </c>
      <c r="H19" s="19">
        <f>[16]Vendedor8!$J$7</f>
        <v>0</v>
      </c>
      <c r="I19" s="15">
        <f>[16]Vendedor8!$K$7</f>
        <v>0</v>
      </c>
      <c r="J19" s="17">
        <f>[16]Vendedor8!$L$7</f>
        <v>0</v>
      </c>
      <c r="K19" s="19">
        <f t="shared" si="1"/>
        <v>11000</v>
      </c>
      <c r="L19" s="15">
        <f t="shared" si="4"/>
        <v>1300</v>
      </c>
      <c r="M19" s="15">
        <f t="shared" si="2"/>
        <v>0</v>
      </c>
      <c r="N19" s="15">
        <v>0</v>
      </c>
      <c r="O19" s="17">
        <f t="shared" si="3"/>
        <v>9700</v>
      </c>
    </row>
    <row r="20" spans="1:15">
      <c r="A20" s="13" t="s">
        <v>29</v>
      </c>
      <c r="B20" s="14">
        <f>[17]Vendedor8!$J$4</f>
        <v>39700</v>
      </c>
      <c r="C20" s="81">
        <f>[17]Vendedor8!$K$4</f>
        <v>4764</v>
      </c>
      <c r="D20" s="82">
        <f>[17]Vendedor8!$L$4</f>
        <v>85000</v>
      </c>
      <c r="E20" s="14">
        <f>[17]Vendedor8!$J$5</f>
        <v>0</v>
      </c>
      <c r="F20" s="81">
        <f>[17]Vendedor8!$K$5</f>
        <v>0</v>
      </c>
      <c r="G20" s="85">
        <f>[17]Vendedor8!$L$5</f>
        <v>0</v>
      </c>
      <c r="H20" s="19">
        <f>[17]Vendedor8!$J$7</f>
        <v>0</v>
      </c>
      <c r="I20" s="15">
        <f>[17]Vendedor8!$K$7</f>
        <v>0</v>
      </c>
      <c r="J20" s="17">
        <f>[17]Vendedor8!$L$7</f>
        <v>0</v>
      </c>
      <c r="K20" s="19">
        <f t="shared" si="1"/>
        <v>39700</v>
      </c>
      <c r="L20" s="15">
        <f t="shared" si="4"/>
        <v>4750</v>
      </c>
      <c r="M20" s="15">
        <f t="shared" si="2"/>
        <v>85000</v>
      </c>
      <c r="N20" s="15">
        <v>0</v>
      </c>
      <c r="O20" s="17">
        <f t="shared" si="3"/>
        <v>-50050</v>
      </c>
    </row>
    <row r="21" spans="1:15">
      <c r="A21" s="20" t="s">
        <v>30</v>
      </c>
      <c r="B21" s="14">
        <f>[18]Vendedor8!$J$4</f>
        <v>17000</v>
      </c>
      <c r="C21" s="81">
        <f>[18]Vendedor8!$K$4</f>
        <v>2040</v>
      </c>
      <c r="D21" s="82">
        <f>[18]Vendedor8!$L$4</f>
        <v>0</v>
      </c>
      <c r="E21" s="14">
        <f>[18]Vendedor8!$J$5</f>
        <v>0</v>
      </c>
      <c r="F21" s="81">
        <f>[18]Vendedor8!$K$5</f>
        <v>0</v>
      </c>
      <c r="G21" s="85">
        <f>[18]Vendedor8!$L$5</f>
        <v>0</v>
      </c>
      <c r="H21" s="19">
        <f>[18]Vendedor8!$J$7</f>
        <v>0</v>
      </c>
      <c r="I21" s="15">
        <f>[18]Vendedor8!$K$7</f>
        <v>0</v>
      </c>
      <c r="J21" s="17">
        <f>[18]Vendedor8!$L$7</f>
        <v>0</v>
      </c>
      <c r="K21" s="19">
        <f t="shared" si="1"/>
        <v>17000</v>
      </c>
      <c r="L21" s="15">
        <f t="shared" si="4"/>
        <v>2050</v>
      </c>
      <c r="M21" s="15">
        <f t="shared" si="2"/>
        <v>0</v>
      </c>
      <c r="N21" s="15">
        <v>0</v>
      </c>
      <c r="O21" s="17">
        <f t="shared" si="3"/>
        <v>14950</v>
      </c>
    </row>
    <row r="22" spans="1:15">
      <c r="A22" s="13" t="s">
        <v>31</v>
      </c>
      <c r="B22" s="14">
        <f>[19]Vendedor8!$J$4</f>
        <v>79500</v>
      </c>
      <c r="C22" s="81">
        <f>[19]Vendedor8!$K$4</f>
        <v>9540</v>
      </c>
      <c r="D22" s="82">
        <f>[19]Vendedor8!$L$4</f>
        <v>0</v>
      </c>
      <c r="E22" s="14">
        <f>[19]Vendedor8!$J$5</f>
        <v>0</v>
      </c>
      <c r="F22" s="81">
        <f>[19]Vendedor8!$K$5</f>
        <v>0</v>
      </c>
      <c r="G22" s="85">
        <f>[19]Vendedor8!$L$5</f>
        <v>0</v>
      </c>
      <c r="H22" s="19">
        <f>[19]Vendedor8!$J$7</f>
        <v>0</v>
      </c>
      <c r="I22" s="15">
        <f>[19]Vendedor8!$K$7</f>
        <v>0</v>
      </c>
      <c r="J22" s="17">
        <f>[19]Vendedor8!$L$7</f>
        <v>0</v>
      </c>
      <c r="K22" s="19">
        <f t="shared" si="1"/>
        <v>79500</v>
      </c>
      <c r="L22" s="15">
        <f t="shared" si="4"/>
        <v>9550</v>
      </c>
      <c r="M22" s="15">
        <f t="shared" si="2"/>
        <v>0</v>
      </c>
      <c r="N22" s="15">
        <v>0</v>
      </c>
      <c r="O22" s="17">
        <f t="shared" si="3"/>
        <v>69950</v>
      </c>
    </row>
    <row r="23" spans="1:15">
      <c r="A23" s="20" t="s">
        <v>32</v>
      </c>
      <c r="B23" s="14">
        <f>[20]Vendedor8!$J$4</f>
        <v>21100</v>
      </c>
      <c r="C23" s="81">
        <f>[20]Vendedor8!$K$4</f>
        <v>2532</v>
      </c>
      <c r="D23" s="82">
        <f>[20]Vendedor8!$L$4</f>
        <v>0</v>
      </c>
      <c r="E23" s="14">
        <f>[20]Vendedor8!$J$5</f>
        <v>0</v>
      </c>
      <c r="F23" s="81">
        <f>[20]Vendedor8!$K$5</f>
        <v>0</v>
      </c>
      <c r="G23" s="85">
        <f>[20]Vendedor8!$L$5</f>
        <v>0</v>
      </c>
      <c r="H23" s="19">
        <f>[20]Vendedor8!$J$7</f>
        <v>0</v>
      </c>
      <c r="I23" s="15">
        <f>[20]Vendedor8!$K$7</f>
        <v>0</v>
      </c>
      <c r="J23" s="17">
        <f>[20]Vendedor8!$L$7</f>
        <v>0</v>
      </c>
      <c r="K23" s="19">
        <f t="shared" si="1"/>
        <v>21100</v>
      </c>
      <c r="L23" s="15">
        <f t="shared" si="4"/>
        <v>2550</v>
      </c>
      <c r="M23" s="15">
        <f t="shared" si="2"/>
        <v>0</v>
      </c>
      <c r="N23" s="15">
        <v>0</v>
      </c>
      <c r="O23" s="17">
        <f t="shared" si="3"/>
        <v>18550</v>
      </c>
    </row>
    <row r="24" spans="1:15">
      <c r="A24" s="13" t="s">
        <v>33</v>
      </c>
      <c r="B24" s="14">
        <f>[21]Vendedor8!$J$4</f>
        <v>17800</v>
      </c>
      <c r="C24" s="81">
        <f>[21]Vendedor8!$K$4</f>
        <v>2136</v>
      </c>
      <c r="D24" s="82">
        <f>[21]Vendedor8!$L$4</f>
        <v>0</v>
      </c>
      <c r="E24" s="14">
        <f>[21]Vendedor8!$J$5</f>
        <v>0</v>
      </c>
      <c r="F24" s="81">
        <f>[21]Vendedor8!$K$5</f>
        <v>0</v>
      </c>
      <c r="G24" s="85">
        <f>[21]Vendedor8!$L$5</f>
        <v>0</v>
      </c>
      <c r="H24" s="19">
        <f>[21]Vendedor8!$J$7</f>
        <v>0</v>
      </c>
      <c r="I24" s="15">
        <f>[21]Vendedor8!$K$7</f>
        <v>0</v>
      </c>
      <c r="J24" s="17">
        <f>[21]Vendedor8!$L$7</f>
        <v>0</v>
      </c>
      <c r="K24" s="19">
        <f t="shared" si="1"/>
        <v>17800</v>
      </c>
      <c r="L24" s="15">
        <f t="shared" si="4"/>
        <v>2150</v>
      </c>
      <c r="M24" s="15">
        <f t="shared" si="2"/>
        <v>0</v>
      </c>
      <c r="N24" s="15">
        <v>0</v>
      </c>
      <c r="O24" s="17">
        <f t="shared" si="3"/>
        <v>15650</v>
      </c>
    </row>
    <row r="25" spans="1:15">
      <c r="A25" s="20" t="s">
        <v>34</v>
      </c>
      <c r="B25" s="14">
        <f>[22]Vendedor8!$J$4</f>
        <v>36800</v>
      </c>
      <c r="C25" s="81">
        <f>[22]Vendedor8!$K$4</f>
        <v>4416</v>
      </c>
      <c r="D25" s="82">
        <f>[22]Vendedor8!$L$4</f>
        <v>0</v>
      </c>
      <c r="E25" s="14">
        <f>[22]Vendedor8!$J$5</f>
        <v>0</v>
      </c>
      <c r="F25" s="81">
        <f>[22]Vendedor8!$K$5</f>
        <v>0</v>
      </c>
      <c r="G25" s="85">
        <f>[22]Vendedor8!$L$5</f>
        <v>0</v>
      </c>
      <c r="H25" s="19">
        <f>[22]Vendedor8!$J$7</f>
        <v>0</v>
      </c>
      <c r="I25" s="15">
        <f>[22]Vendedor8!$K$7</f>
        <v>0</v>
      </c>
      <c r="J25" s="17">
        <f>[22]Vendedor8!$L$7</f>
        <v>0</v>
      </c>
      <c r="K25" s="19">
        <f t="shared" si="1"/>
        <v>36800</v>
      </c>
      <c r="L25" s="15">
        <f t="shared" si="4"/>
        <v>4400</v>
      </c>
      <c r="M25" s="15">
        <f t="shared" si="2"/>
        <v>0</v>
      </c>
      <c r="N25" s="15">
        <v>0</v>
      </c>
      <c r="O25" s="17">
        <f t="shared" si="3"/>
        <v>32400</v>
      </c>
    </row>
    <row r="26" spans="1:15">
      <c r="A26" s="13" t="s">
        <v>35</v>
      </c>
      <c r="B26" s="14">
        <f>[23]Vendedor8!$J$4</f>
        <v>13600</v>
      </c>
      <c r="C26" s="81">
        <f>[23]Vendedor8!$K$4</f>
        <v>1632</v>
      </c>
      <c r="D26" s="82">
        <f>[23]Vendedor8!$L$4</f>
        <v>0</v>
      </c>
      <c r="E26" s="14">
        <f>[23]Vendedor8!$J$5</f>
        <v>0</v>
      </c>
      <c r="F26" s="81">
        <f>[23]Vendedor8!$K$5</f>
        <v>0</v>
      </c>
      <c r="G26" s="85">
        <f>[23]Vendedor8!$L$5</f>
        <v>0</v>
      </c>
      <c r="H26" s="19">
        <f>[23]Vendedor8!$J$7</f>
        <v>0</v>
      </c>
      <c r="I26" s="15">
        <f>[23]Vendedor8!$K$7</f>
        <v>0</v>
      </c>
      <c r="J26" s="17">
        <f>[23]Vendedor8!$L$7</f>
        <v>0</v>
      </c>
      <c r="K26" s="19">
        <f t="shared" si="1"/>
        <v>13600</v>
      </c>
      <c r="L26" s="15">
        <f t="shared" si="4"/>
        <v>1650</v>
      </c>
      <c r="M26" s="15">
        <f t="shared" si="2"/>
        <v>0</v>
      </c>
      <c r="N26" s="15">
        <v>0</v>
      </c>
      <c r="O26" s="17">
        <f t="shared" si="3"/>
        <v>11950</v>
      </c>
    </row>
    <row r="27" spans="1:15">
      <c r="A27" s="20" t="s">
        <v>36</v>
      </c>
      <c r="B27" s="14">
        <f>[24]Vendedor8!$J$4</f>
        <v>46200</v>
      </c>
      <c r="C27" s="81">
        <f>[24]Vendedor8!$K$4</f>
        <v>5544</v>
      </c>
      <c r="D27" s="82">
        <f>[24]Vendedor8!$L$4</f>
        <v>0</v>
      </c>
      <c r="E27" s="14">
        <f>[24]Vendedor8!$J$5</f>
        <v>0</v>
      </c>
      <c r="F27" s="81">
        <f>[24]Vendedor8!$K$5</f>
        <v>0</v>
      </c>
      <c r="G27" s="85">
        <f>[24]Vendedor8!$L$5</f>
        <v>0</v>
      </c>
      <c r="H27" s="19">
        <f>[24]Vendedor8!$J$7</f>
        <v>0</v>
      </c>
      <c r="I27" s="15">
        <f>[24]Vendedor8!$K$7</f>
        <v>0</v>
      </c>
      <c r="J27" s="17">
        <f>[24]Vendedor8!$L$7</f>
        <v>0</v>
      </c>
      <c r="K27" s="19">
        <f t="shared" si="1"/>
        <v>46200</v>
      </c>
      <c r="L27" s="15">
        <f t="shared" si="4"/>
        <v>5550</v>
      </c>
      <c r="M27" s="15">
        <f t="shared" si="2"/>
        <v>0</v>
      </c>
      <c r="N27" s="15">
        <v>0</v>
      </c>
      <c r="O27" s="17">
        <f t="shared" si="3"/>
        <v>40650</v>
      </c>
    </row>
    <row r="28" spans="1:15">
      <c r="A28" s="13" t="s">
        <v>37</v>
      </c>
      <c r="B28" s="14">
        <f>[25]Vendedor8!$J$4</f>
        <v>6900</v>
      </c>
      <c r="C28" s="81">
        <f>[25]Vendedor8!$K$4</f>
        <v>828</v>
      </c>
      <c r="D28" s="82">
        <f>[25]Vendedor8!$L$4</f>
        <v>0</v>
      </c>
      <c r="E28" s="14">
        <f>[25]Vendedor8!$J$5</f>
        <v>0</v>
      </c>
      <c r="F28" s="81">
        <f>[25]Vendedor8!$K$5</f>
        <v>0</v>
      </c>
      <c r="G28" s="85">
        <f>[25]Vendedor8!$L$5</f>
        <v>0</v>
      </c>
      <c r="H28" s="19">
        <f>[25]Vendedor8!$J$7</f>
        <v>0</v>
      </c>
      <c r="I28" s="15">
        <f>[25]Vendedor8!$K$7</f>
        <v>0</v>
      </c>
      <c r="J28" s="17">
        <f>[25]Vendedor8!$L$7</f>
        <v>0</v>
      </c>
      <c r="K28" s="19">
        <f t="shared" si="1"/>
        <v>6900</v>
      </c>
      <c r="L28" s="15">
        <f t="shared" si="4"/>
        <v>850</v>
      </c>
      <c r="M28" s="15">
        <f t="shared" si="2"/>
        <v>0</v>
      </c>
      <c r="N28" s="15">
        <v>0</v>
      </c>
      <c r="O28" s="17">
        <f t="shared" si="3"/>
        <v>6050</v>
      </c>
    </row>
    <row r="29" spans="1:15">
      <c r="A29" s="20" t="s">
        <v>38</v>
      </c>
      <c r="B29" s="14">
        <f>[26]Vendedor8!$J$4</f>
        <v>26000</v>
      </c>
      <c r="C29" s="81">
        <f>[26]Vendedor8!$K$4</f>
        <v>3120</v>
      </c>
      <c r="D29" s="82">
        <f>[26]Vendedor8!$L$4</f>
        <v>85000</v>
      </c>
      <c r="E29" s="14">
        <f>[26]Vendedor8!$J$5</f>
        <v>0</v>
      </c>
      <c r="F29" s="81">
        <f>[26]Vendedor8!$K$5</f>
        <v>0</v>
      </c>
      <c r="G29" s="85">
        <f>[26]Vendedor8!$L$5</f>
        <v>0</v>
      </c>
      <c r="H29" s="19">
        <f>[26]Vendedor8!$J$7</f>
        <v>0</v>
      </c>
      <c r="I29" s="15">
        <f>[26]Vendedor8!$K$7</f>
        <v>0</v>
      </c>
      <c r="J29" s="17">
        <f>[26]Vendedor8!$L$7</f>
        <v>0</v>
      </c>
      <c r="K29" s="19">
        <f t="shared" si="1"/>
        <v>26000</v>
      </c>
      <c r="L29" s="15">
        <f t="shared" si="4"/>
        <v>3100</v>
      </c>
      <c r="M29" s="15">
        <f t="shared" si="2"/>
        <v>85000</v>
      </c>
      <c r="N29" s="15">
        <v>0</v>
      </c>
      <c r="O29" s="17">
        <f t="shared" si="3"/>
        <v>-62100</v>
      </c>
    </row>
    <row r="30" spans="1:15">
      <c r="A30" s="13" t="s">
        <v>39</v>
      </c>
      <c r="B30" s="14">
        <f>[27]Vendedor8!$J$4</f>
        <v>7500</v>
      </c>
      <c r="C30" s="81">
        <f>[27]Vendedor8!$K$4</f>
        <v>900</v>
      </c>
      <c r="D30" s="82">
        <f>[27]Vendedor8!$L$4</f>
        <v>0</v>
      </c>
      <c r="E30" s="14">
        <f>[27]Vendedor8!$J$5</f>
        <v>0</v>
      </c>
      <c r="F30" s="81">
        <f>[27]Vendedor8!$K$5</f>
        <v>0</v>
      </c>
      <c r="G30" s="85">
        <f>[27]Vendedor8!$L$5</f>
        <v>0</v>
      </c>
      <c r="H30" s="19">
        <f>[27]Vendedor8!$J$7</f>
        <v>0</v>
      </c>
      <c r="I30" s="15">
        <f>[27]Vendedor8!$K$7</f>
        <v>0</v>
      </c>
      <c r="J30" s="17">
        <f>[27]Vendedor8!$L$7</f>
        <v>0</v>
      </c>
      <c r="K30" s="19">
        <f t="shared" si="1"/>
        <v>7500</v>
      </c>
      <c r="L30" s="15">
        <f t="shared" si="4"/>
        <v>900</v>
      </c>
      <c r="M30" s="15">
        <f t="shared" si="2"/>
        <v>0</v>
      </c>
      <c r="N30" s="15">
        <v>0</v>
      </c>
      <c r="O30" s="17">
        <f t="shared" si="3"/>
        <v>6600</v>
      </c>
    </row>
    <row r="31" spans="1:15">
      <c r="A31" s="20" t="s">
        <v>40</v>
      </c>
      <c r="B31" s="14">
        <f>[28]Vendedor8!$J$4</f>
        <v>27100</v>
      </c>
      <c r="C31" s="81">
        <f>[28]Vendedor8!$K$4</f>
        <v>3252</v>
      </c>
      <c r="D31" s="82">
        <f>[28]Vendedor8!$L$4</f>
        <v>0</v>
      </c>
      <c r="E31" s="14">
        <f>[28]Vendedor8!$J$5</f>
        <v>0</v>
      </c>
      <c r="F31" s="81">
        <f>[28]Vendedor8!$K$5</f>
        <v>0</v>
      </c>
      <c r="G31" s="85">
        <f>[28]Vendedor8!$L$5</f>
        <v>0</v>
      </c>
      <c r="H31" s="19">
        <f>[28]Vendedor8!$J$7</f>
        <v>0</v>
      </c>
      <c r="I31" s="15">
        <f>[28]Vendedor8!$K$7</f>
        <v>0</v>
      </c>
      <c r="J31" s="17">
        <f>[28]Vendedor8!$L$7</f>
        <v>0</v>
      </c>
      <c r="K31" s="19">
        <f t="shared" si="1"/>
        <v>27100</v>
      </c>
      <c r="L31" s="15">
        <f t="shared" si="4"/>
        <v>3250</v>
      </c>
      <c r="M31" s="15">
        <f t="shared" si="2"/>
        <v>0</v>
      </c>
      <c r="N31" s="15">
        <v>0</v>
      </c>
      <c r="O31" s="17">
        <f t="shared" si="3"/>
        <v>23850</v>
      </c>
    </row>
    <row r="32" spans="1:15">
      <c r="A32" s="20" t="s">
        <v>41</v>
      </c>
      <c r="B32" s="14">
        <f>[29]Vendedor8!$J$4</f>
        <v>25600</v>
      </c>
      <c r="C32" s="81">
        <f>[29]Vendedor8!$K$4</f>
        <v>3072</v>
      </c>
      <c r="D32" s="82">
        <f>[29]Vendedor8!$L$4</f>
        <v>0</v>
      </c>
      <c r="E32" s="14">
        <f>[29]Vendedor8!$J$5</f>
        <v>0</v>
      </c>
      <c r="F32" s="81">
        <f>[29]Vendedor8!$K$5</f>
        <v>0</v>
      </c>
      <c r="G32" s="85">
        <f>[29]Vendedor8!$L$5</f>
        <v>0</v>
      </c>
      <c r="H32" s="19">
        <f>[29]Vendedor8!$J$7</f>
        <v>0</v>
      </c>
      <c r="I32" s="15">
        <f>[29]Vendedor8!$K$7</f>
        <v>0</v>
      </c>
      <c r="J32" s="17">
        <f>[29]Vendedor8!$L$7</f>
        <v>0</v>
      </c>
      <c r="K32" s="19">
        <f t="shared" si="1"/>
        <v>25600</v>
      </c>
      <c r="L32" s="15">
        <f t="shared" si="4"/>
        <v>3050</v>
      </c>
      <c r="M32" s="15">
        <f t="shared" si="2"/>
        <v>0</v>
      </c>
      <c r="N32" s="15">
        <v>0</v>
      </c>
      <c r="O32" s="17">
        <f t="shared" si="3"/>
        <v>22550</v>
      </c>
    </row>
    <row r="33" spans="1:15">
      <c r="A33" s="13" t="s">
        <v>42</v>
      </c>
      <c r="B33" s="14">
        <f>[30]Vendedor8!$J$4</f>
        <v>7900</v>
      </c>
      <c r="C33" s="81">
        <f>[30]Vendedor8!$K$4</f>
        <v>948</v>
      </c>
      <c r="D33" s="82">
        <f>[30]Vendedor8!$L$4</f>
        <v>0</v>
      </c>
      <c r="E33" s="14">
        <f>[30]Vendedor8!$J$5</f>
        <v>0</v>
      </c>
      <c r="F33" s="81">
        <f>[30]Vendedor8!$K$5</f>
        <v>0</v>
      </c>
      <c r="G33" s="85">
        <f>[30]Vendedor8!$L$5</f>
        <v>0</v>
      </c>
      <c r="H33" s="19">
        <f>[30]Vendedor8!$J$7</f>
        <v>0</v>
      </c>
      <c r="I33" s="15">
        <f>[30]Vendedor8!$K$7</f>
        <v>0</v>
      </c>
      <c r="J33" s="17">
        <f>[30]Vendedor8!$L$7</f>
        <v>0</v>
      </c>
      <c r="K33" s="19">
        <f t="shared" si="1"/>
        <v>7900</v>
      </c>
      <c r="L33" s="15">
        <f t="shared" si="4"/>
        <v>950</v>
      </c>
      <c r="M33" s="15">
        <f t="shared" si="2"/>
        <v>0</v>
      </c>
      <c r="N33" s="15">
        <v>0</v>
      </c>
      <c r="O33" s="17">
        <f t="shared" si="3"/>
        <v>6950</v>
      </c>
    </row>
    <row r="34" spans="1:15">
      <c r="A34" s="20" t="s">
        <v>43</v>
      </c>
      <c r="B34" s="14">
        <f>[31]Vendedor8!$J$4</f>
        <v>27600</v>
      </c>
      <c r="C34" s="81">
        <f>[31]Vendedor8!$K$4</f>
        <v>3312</v>
      </c>
      <c r="D34" s="82">
        <f>[31]Vendedor8!$L$4</f>
        <v>0</v>
      </c>
      <c r="E34" s="14">
        <f>[31]Vendedor8!$J$5</f>
        <v>0</v>
      </c>
      <c r="F34" s="81">
        <f>[31]Vendedor8!$K$5</f>
        <v>0</v>
      </c>
      <c r="G34" s="85">
        <f>[31]Vendedor8!$L$5</f>
        <v>0</v>
      </c>
      <c r="H34" s="19">
        <f>[31]Vendedor8!$J$7</f>
        <v>0</v>
      </c>
      <c r="I34" s="15">
        <f>[31]Vendedor8!$K$7</f>
        <v>0</v>
      </c>
      <c r="J34" s="17">
        <f>[31]Vendedor8!$L$7</f>
        <v>0</v>
      </c>
      <c r="K34" s="19">
        <f t="shared" si="1"/>
        <v>27600</v>
      </c>
      <c r="L34" s="15">
        <f t="shared" si="4"/>
        <v>3300</v>
      </c>
      <c r="M34" s="15">
        <f t="shared" si="2"/>
        <v>0</v>
      </c>
      <c r="N34" s="15">
        <v>0</v>
      </c>
      <c r="O34" s="17">
        <f t="shared" si="3"/>
        <v>24300</v>
      </c>
    </row>
    <row r="35" spans="1:15">
      <c r="A35" s="13" t="s">
        <v>44</v>
      </c>
      <c r="B35" s="14">
        <f>[1]Vendedor8!$J$4</f>
        <v>16900</v>
      </c>
      <c r="C35" s="81">
        <f>[1]Vendedor8!$K$4</f>
        <v>2028</v>
      </c>
      <c r="D35" s="82">
        <f>[1]Vendedor8!$L$4</f>
        <v>68000</v>
      </c>
      <c r="E35" s="14">
        <f>[1]Vendedor8!$J$5</f>
        <v>0</v>
      </c>
      <c r="F35" s="81">
        <f>[1]Vendedor8!$K$5</f>
        <v>0</v>
      </c>
      <c r="G35" s="85">
        <f>[1]Vendedor8!$L$5</f>
        <v>0</v>
      </c>
      <c r="H35" s="19">
        <f>[1]Vendedor8!$J$7</f>
        <v>0</v>
      </c>
      <c r="I35" s="15">
        <f>[1]Vendedor8!$K$7</f>
        <v>0</v>
      </c>
      <c r="J35" s="17">
        <f>[1]Vendedor8!$L$7</f>
        <v>0</v>
      </c>
      <c r="K35" s="19">
        <f t="shared" si="1"/>
        <v>16900</v>
      </c>
      <c r="L35" s="15">
        <f t="shared" si="4"/>
        <v>2050</v>
      </c>
      <c r="M35" s="15">
        <f t="shared" si="2"/>
        <v>68000</v>
      </c>
      <c r="N35" s="15">
        <v>0</v>
      </c>
      <c r="O35" s="17">
        <f t="shared" si="3"/>
        <v>-53150</v>
      </c>
    </row>
    <row r="36" spans="1:15" ht="15.75" thickBot="1">
      <c r="A36" s="20" t="s">
        <v>45</v>
      </c>
      <c r="B36" s="21">
        <f>[2]Vendedor8!$J$4</f>
        <v>32000</v>
      </c>
      <c r="C36" s="83">
        <f>[2]Vendedor8!$K$4</f>
        <v>3840</v>
      </c>
      <c r="D36" s="84">
        <f>[2]Vendedor8!$L$4</f>
        <v>0</v>
      </c>
      <c r="E36" s="21">
        <f>[2]Vendedor8!$J$5</f>
        <v>0</v>
      </c>
      <c r="F36" s="83">
        <f>[2]Vendedor8!$K$5</f>
        <v>0</v>
      </c>
      <c r="G36" s="86">
        <f>[2]Vendedor8!$L$5</f>
        <v>0</v>
      </c>
      <c r="H36" s="26">
        <f>[2]Vendedor8!$J$7</f>
        <v>0</v>
      </c>
      <c r="I36" s="22">
        <f>[2]Vendedor8!$K$7</f>
        <v>0</v>
      </c>
      <c r="J36" s="24">
        <f>[2]Vendedor8!$L$7</f>
        <v>0</v>
      </c>
      <c r="K36" s="26">
        <f t="shared" si="1"/>
        <v>32000</v>
      </c>
      <c r="L36" s="22">
        <f t="shared" si="4"/>
        <v>3850</v>
      </c>
      <c r="M36" s="22">
        <f t="shared" si="2"/>
        <v>0</v>
      </c>
      <c r="N36" s="22">
        <v>0</v>
      </c>
      <c r="O36" s="24">
        <f t="shared" si="3"/>
        <v>28150</v>
      </c>
    </row>
    <row r="37" spans="1:15" ht="16.5" thickBot="1">
      <c r="A37" s="5" t="s">
        <v>46</v>
      </c>
      <c r="B37" s="27">
        <f t="shared" ref="B37:M37" si="5">SUM(B6:B36)</f>
        <v>857950</v>
      </c>
      <c r="C37" s="28">
        <f t="shared" si="5"/>
        <v>102954</v>
      </c>
      <c r="D37" s="29">
        <f t="shared" si="5"/>
        <v>705500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857950</v>
      </c>
      <c r="L37" s="28">
        <f t="shared" si="5"/>
        <v>103000</v>
      </c>
      <c r="M37" s="28">
        <f t="shared" si="5"/>
        <v>705500</v>
      </c>
      <c r="N37" s="32">
        <f>SUM(N5:N36)</f>
        <v>0</v>
      </c>
      <c r="O37" s="33">
        <f>SUM(O5:O36)</f>
        <v>49450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P40"/>
  <sheetViews>
    <sheetView showGridLines="0" topLeftCell="B19" zoomScale="70" zoomScaleNormal="7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3" width="11.42578125" style="1"/>
    <col min="4" max="4" width="12.7109375" style="1" customWidth="1"/>
    <col min="5" max="5" width="13.140625" style="1" customWidth="1"/>
    <col min="6" max="20" width="11.42578125" style="1"/>
    <col min="21" max="21" width="12.140625" style="1" customWidth="1"/>
    <col min="22" max="22" width="4.85546875" style="1" customWidth="1"/>
    <col min="23" max="23" width="10" style="1" customWidth="1"/>
    <col min="24" max="24" width="6.140625" style="1" customWidth="1"/>
    <col min="25" max="1030" width="11.42578125" style="1"/>
  </cols>
  <sheetData>
    <row r="1" spans="1:21" ht="15.75" thickBot="1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8"/>
    </row>
    <row r="2" spans="1:21" ht="19.5" thickBot="1">
      <c r="A2" s="2" t="s">
        <v>1</v>
      </c>
      <c r="B2" s="135" t="s">
        <v>135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</row>
    <row r="3" spans="1:21" ht="15.75" thickBot="1"/>
    <row r="4" spans="1:21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89</v>
      </c>
      <c r="L4" s="57" t="s">
        <v>90</v>
      </c>
      <c r="M4" s="12" t="s">
        <v>91</v>
      </c>
      <c r="N4" s="56" t="s">
        <v>96</v>
      </c>
      <c r="O4" s="57" t="s">
        <v>95</v>
      </c>
      <c r="P4" s="12" t="s">
        <v>97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>
      <c r="A6" s="20" t="s">
        <v>49</v>
      </c>
      <c r="B6" s="53">
        <f>[3]Vendedor9!$J$4</f>
        <v>54400</v>
      </c>
      <c r="C6" s="58">
        <f>[3]Vendedor9!$K$4</f>
        <v>6528</v>
      </c>
      <c r="D6" s="54">
        <f>[3]Vendedor9!$L$4</f>
        <v>25500</v>
      </c>
      <c r="E6" s="53">
        <f>[3]Vendedor9!$J$5</f>
        <v>47400</v>
      </c>
      <c r="F6" s="58">
        <f>[3]Vendedor9!$K$5</f>
        <v>5688</v>
      </c>
      <c r="G6" s="55">
        <f>[3]Vendedor9!$L$5</f>
        <v>0</v>
      </c>
      <c r="H6" s="61">
        <f>[3]Vendedor9!$J$6</f>
        <v>0</v>
      </c>
      <c r="I6" s="58">
        <f>[3]Vendedor9!$K$6</f>
        <v>0</v>
      </c>
      <c r="J6" s="54">
        <f>[3]Vendedor9!$L$6</f>
        <v>0</v>
      </c>
      <c r="K6" s="74">
        <f>[3]Vendedor9!$J$7</f>
        <v>28750</v>
      </c>
      <c r="L6" s="75">
        <f>[3]Vendedor9!$K$7</f>
        <v>3450</v>
      </c>
      <c r="M6" s="90">
        <f>[3]Vendedor9!$L$7</f>
        <v>89250</v>
      </c>
      <c r="N6" s="59">
        <f>[3]Vendedor9!$J$8</f>
        <v>0</v>
      </c>
      <c r="O6" s="58">
        <f>[3]Vendedor9!$K$8</f>
        <v>0</v>
      </c>
      <c r="P6" s="55">
        <f>[3]Vendedor9!$L$8</f>
        <v>0</v>
      </c>
      <c r="Q6" s="59">
        <f t="shared" ref="Q6:Q17" si="1">+B6+E6+H6+K6</f>
        <v>130550</v>
      </c>
      <c r="R6" s="58">
        <f t="shared" ref="R6:R36" si="2">+C6+F6+I6+L6</f>
        <v>15666</v>
      </c>
      <c r="S6" s="58">
        <f t="shared" ref="S6:S36" si="3">+D6+G6+J6+M6</f>
        <v>114750</v>
      </c>
      <c r="T6" s="58">
        <v>0</v>
      </c>
      <c r="U6" s="55">
        <f t="shared" ref="U6:U36" si="4">+Q6-R6-S6+T6</f>
        <v>134</v>
      </c>
    </row>
    <row r="7" spans="1:21">
      <c r="A7" s="13" t="s">
        <v>50</v>
      </c>
      <c r="B7" s="14">
        <f>[4]Vendedor9!$J$4</f>
        <v>77550</v>
      </c>
      <c r="C7" s="15">
        <f>[4]Vendedor9!$K$4</f>
        <v>9306</v>
      </c>
      <c r="D7" s="16">
        <f>[4]Vendedor9!$L$4</f>
        <v>89250</v>
      </c>
      <c r="E7" s="14">
        <f>[4]Vendedor9!$J$5</f>
        <v>64750</v>
      </c>
      <c r="F7" s="15">
        <f>[4]Vendedor9!$K$5</f>
        <v>7770</v>
      </c>
      <c r="G7" s="17">
        <f>[4]Vendedor9!$L$5</f>
        <v>17000</v>
      </c>
      <c r="H7" s="18">
        <f>[4]Vendedor9!$J$6</f>
        <v>3750</v>
      </c>
      <c r="I7" s="15">
        <f>[4]Vendedor9!$K$6</f>
        <v>375</v>
      </c>
      <c r="J7" s="16">
        <f>[4]Vendedor9!$L$6</f>
        <v>0</v>
      </c>
      <c r="K7" s="19">
        <f>[4]Vendedor9!$J$7</f>
        <v>38150</v>
      </c>
      <c r="L7" s="15">
        <f>[4]Vendedor9!$K$7</f>
        <v>4578</v>
      </c>
      <c r="M7" s="16">
        <f>[4]Vendedor9!$L$7</f>
        <v>38250</v>
      </c>
      <c r="N7" s="19">
        <f>[4]Vendedor9!$J$8</f>
        <v>0</v>
      </c>
      <c r="O7" s="15">
        <f>[4]Vendedor9!$K$8</f>
        <v>0</v>
      </c>
      <c r="P7" s="17">
        <f>[4]Vendedor9!$L$8</f>
        <v>0</v>
      </c>
      <c r="Q7" s="19">
        <f t="shared" si="1"/>
        <v>184200</v>
      </c>
      <c r="R7" s="15">
        <f t="shared" si="2"/>
        <v>22029</v>
      </c>
      <c r="S7" s="15">
        <f t="shared" si="3"/>
        <v>144500</v>
      </c>
      <c r="T7" s="15">
        <v>0</v>
      </c>
      <c r="U7" s="17">
        <f t="shared" si="4"/>
        <v>17671</v>
      </c>
    </row>
    <row r="8" spans="1:21">
      <c r="A8" s="20" t="s">
        <v>51</v>
      </c>
      <c r="B8" s="14">
        <f>[5]Vendedor9!$J$4</f>
        <v>116200</v>
      </c>
      <c r="C8" s="15">
        <f>[5]Vendedor9!$K$4</f>
        <v>13944</v>
      </c>
      <c r="D8" s="16">
        <f>[5]Vendedor9!$L$4</f>
        <v>153000</v>
      </c>
      <c r="E8" s="14">
        <f>[5]Vendedor9!$J$5</f>
        <v>79800</v>
      </c>
      <c r="F8" s="15">
        <f>[5]Vendedor9!$K$5</f>
        <v>9576</v>
      </c>
      <c r="G8" s="17">
        <f>[5]Vendedor9!$L$5</f>
        <v>114750</v>
      </c>
      <c r="H8" s="18">
        <f>[5]Vendedor9!$J$6</f>
        <v>0</v>
      </c>
      <c r="I8" s="15">
        <f>[5]Vendedor9!$K$6</f>
        <v>0</v>
      </c>
      <c r="J8" s="16">
        <f>[5]Vendedor9!$L$6</f>
        <v>0</v>
      </c>
      <c r="K8" s="19">
        <f>[5]Vendedor9!$J$7</f>
        <v>44050</v>
      </c>
      <c r="L8" s="15">
        <f>[5]Vendedor9!$K$7</f>
        <v>5286</v>
      </c>
      <c r="M8" s="16">
        <f>[5]Vendedor9!$L$7</f>
        <v>42500</v>
      </c>
      <c r="N8" s="19">
        <f>[5]Vendedor9!$J$8</f>
        <v>0</v>
      </c>
      <c r="O8" s="15">
        <f>[5]Vendedor9!$K$8</f>
        <v>0</v>
      </c>
      <c r="P8" s="17">
        <f>[5]Vendedor9!$L$8</f>
        <v>0</v>
      </c>
      <c r="Q8" s="19">
        <f t="shared" si="1"/>
        <v>240050</v>
      </c>
      <c r="R8" s="15">
        <f t="shared" si="2"/>
        <v>28806</v>
      </c>
      <c r="S8" s="15">
        <f t="shared" si="3"/>
        <v>310250</v>
      </c>
      <c r="T8" s="15">
        <v>0</v>
      </c>
      <c r="U8" s="17">
        <f t="shared" si="4"/>
        <v>-99006</v>
      </c>
    </row>
    <row r="9" spans="1:21">
      <c r="A9" s="13" t="s">
        <v>52</v>
      </c>
      <c r="B9" s="14">
        <f>[6]Vendedor9!$J$4</f>
        <v>127550</v>
      </c>
      <c r="C9" s="15">
        <f>[6]Vendedor9!$K$4</f>
        <v>15306</v>
      </c>
      <c r="D9" s="16">
        <f>[6]Vendedor9!$L$4</f>
        <v>182750</v>
      </c>
      <c r="E9" s="14">
        <f>[6]Vendedor9!$J$5</f>
        <v>118500</v>
      </c>
      <c r="F9" s="15">
        <f>[6]Vendedor9!$K$5</f>
        <v>14220</v>
      </c>
      <c r="G9" s="17">
        <f>[6]Vendedor9!$L$5</f>
        <v>63750</v>
      </c>
      <c r="H9" s="18">
        <f>[6]Vendedor9!$J$6</f>
        <v>12050</v>
      </c>
      <c r="I9" s="15">
        <f>[6]Vendedor9!$K$6</f>
        <v>1205</v>
      </c>
      <c r="J9" s="16">
        <f>[6]Vendedor9!$L$6</f>
        <v>0</v>
      </c>
      <c r="K9" s="19">
        <f>[6]Vendedor9!$J$7</f>
        <v>49900</v>
      </c>
      <c r="L9" s="15">
        <f>[6]Vendedor9!$K$7</f>
        <v>5988</v>
      </c>
      <c r="M9" s="16">
        <f>[6]Vendedor9!$L$7</f>
        <v>68000</v>
      </c>
      <c r="N9" s="19">
        <f>[6]Vendedor9!$J$8</f>
        <v>0</v>
      </c>
      <c r="O9" s="15">
        <f>[6]Vendedor9!$K$8</f>
        <v>0</v>
      </c>
      <c r="P9" s="17">
        <f>[6]Vendedor9!$L$8</f>
        <v>0</v>
      </c>
      <c r="Q9" s="19">
        <f t="shared" si="1"/>
        <v>308000</v>
      </c>
      <c r="R9" s="15">
        <f t="shared" si="2"/>
        <v>36719</v>
      </c>
      <c r="S9" s="15">
        <f t="shared" si="3"/>
        <v>314500</v>
      </c>
      <c r="T9" s="15">
        <v>0</v>
      </c>
      <c r="U9" s="17">
        <f t="shared" si="4"/>
        <v>-43219</v>
      </c>
    </row>
    <row r="10" spans="1:21">
      <c r="A10" s="20" t="s">
        <v>53</v>
      </c>
      <c r="B10" s="14">
        <f>[7]Vendedor9!$J$4</f>
        <v>71300</v>
      </c>
      <c r="C10" s="15">
        <f>[7]Vendedor9!$K$4</f>
        <v>8556</v>
      </c>
      <c r="D10" s="16">
        <f>[7]Vendedor9!$L$4</f>
        <v>187000</v>
      </c>
      <c r="E10" s="14">
        <f>[7]Vendedor9!$J$5</f>
        <v>70300</v>
      </c>
      <c r="F10" s="15">
        <f>[7]Vendedor9!$K$5</f>
        <v>8436</v>
      </c>
      <c r="G10" s="17">
        <f>[7]Vendedor9!$L$5</f>
        <v>17000</v>
      </c>
      <c r="H10" s="18">
        <f>[7]Vendedor9!$J$6</f>
        <v>7100</v>
      </c>
      <c r="I10" s="15">
        <f>[7]Vendedor9!$K$6</f>
        <v>710</v>
      </c>
      <c r="J10" s="16">
        <f>[7]Vendedor9!$L$6</f>
        <v>0</v>
      </c>
      <c r="K10" s="19">
        <f>[7]Vendedor9!$J$7</f>
        <v>49100</v>
      </c>
      <c r="L10" s="15">
        <f>[7]Vendedor9!$K$7</f>
        <v>5892</v>
      </c>
      <c r="M10" s="16">
        <f>[7]Vendedor9!$L$7</f>
        <v>51000</v>
      </c>
      <c r="N10" s="19">
        <f>[7]Vendedor9!$J$8</f>
        <v>0</v>
      </c>
      <c r="O10" s="15">
        <f>[7]Vendedor9!$K$8</f>
        <v>0</v>
      </c>
      <c r="P10" s="17">
        <f>[7]Vendedor9!$L$8</f>
        <v>0</v>
      </c>
      <c r="Q10" s="19">
        <f t="shared" si="1"/>
        <v>197800</v>
      </c>
      <c r="R10" s="15">
        <f t="shared" si="2"/>
        <v>23594</v>
      </c>
      <c r="S10" s="15">
        <f t="shared" si="3"/>
        <v>255000</v>
      </c>
      <c r="T10" s="15">
        <v>0</v>
      </c>
      <c r="U10" s="17">
        <f t="shared" si="4"/>
        <v>-80794</v>
      </c>
    </row>
    <row r="11" spans="1:21">
      <c r="A11" s="13" t="s">
        <v>20</v>
      </c>
      <c r="B11" s="14">
        <f>[8]Vendedor9!$J$4</f>
        <v>119050</v>
      </c>
      <c r="C11" s="15">
        <f>[8]Vendedor9!$K$4</f>
        <v>14286</v>
      </c>
      <c r="D11" s="16">
        <f>[8]Vendedor9!$L$4</f>
        <v>51000</v>
      </c>
      <c r="E11" s="14">
        <f>[8]Vendedor9!$J$5</f>
        <v>83750</v>
      </c>
      <c r="F11" s="15">
        <f>[8]Vendedor9!$K$5</f>
        <v>10050</v>
      </c>
      <c r="G11" s="17">
        <f>[8]Vendedor9!$L$5</f>
        <v>55250</v>
      </c>
      <c r="H11" s="18">
        <f>[8]Vendedor9!$J$6</f>
        <v>6900</v>
      </c>
      <c r="I11" s="15">
        <f>[8]Vendedor9!$K$6</f>
        <v>690</v>
      </c>
      <c r="J11" s="16">
        <f>[8]Vendedor9!$L$6</f>
        <v>0</v>
      </c>
      <c r="K11" s="19">
        <f>[8]Vendedor9!$J$7</f>
        <v>43850</v>
      </c>
      <c r="L11" s="15">
        <f>[8]Vendedor9!$K$7</f>
        <v>5262</v>
      </c>
      <c r="M11" s="16">
        <f>[8]Vendedor9!$L$7</f>
        <v>25500</v>
      </c>
      <c r="N11" s="19">
        <f>[8]Vendedor9!$J$8</f>
        <v>0</v>
      </c>
      <c r="O11" s="15">
        <f>[8]Vendedor9!$K$8</f>
        <v>0</v>
      </c>
      <c r="P11" s="17">
        <f>[8]Vendedor9!$L$8</f>
        <v>0</v>
      </c>
      <c r="Q11" s="19">
        <f t="shared" si="1"/>
        <v>253550</v>
      </c>
      <c r="R11" s="15">
        <f t="shared" si="2"/>
        <v>30288</v>
      </c>
      <c r="S11" s="15">
        <f t="shared" si="3"/>
        <v>131750</v>
      </c>
      <c r="T11" s="15">
        <v>0</v>
      </c>
      <c r="U11" s="17">
        <f t="shared" si="4"/>
        <v>91512</v>
      </c>
    </row>
    <row r="12" spans="1:21">
      <c r="A12" s="20" t="s">
        <v>21</v>
      </c>
      <c r="B12" s="14">
        <f>[9]Vendedor9!$J$4</f>
        <v>92700</v>
      </c>
      <c r="C12" s="15">
        <f>[9]Vendedor9!$K$4</f>
        <v>11124</v>
      </c>
      <c r="D12" s="16">
        <f>[9]Vendedor9!$L$4</f>
        <v>59500</v>
      </c>
      <c r="E12" s="14">
        <f>[9]Vendedor9!$J$5</f>
        <v>76300</v>
      </c>
      <c r="F12" s="15">
        <f>[9]Vendedor9!$K$5</f>
        <v>9156</v>
      </c>
      <c r="G12" s="17">
        <f>[9]Vendedor9!$L$5</f>
        <v>46750</v>
      </c>
      <c r="H12" s="18">
        <f>[9]Vendedor9!$J$6</f>
        <v>10900</v>
      </c>
      <c r="I12" s="15">
        <f>[9]Vendedor9!$K$6</f>
        <v>1090</v>
      </c>
      <c r="J12" s="16">
        <f>[9]Vendedor9!$L$6</f>
        <v>60000</v>
      </c>
      <c r="K12" s="19">
        <f>[9]Vendedor9!$J$7</f>
        <v>34550</v>
      </c>
      <c r="L12" s="15">
        <f>[9]Vendedor9!$K$7</f>
        <v>4146</v>
      </c>
      <c r="M12" s="16">
        <f>[9]Vendedor9!$L$7</f>
        <v>25500</v>
      </c>
      <c r="N12" s="19">
        <f>[9]Vendedor9!$J$8</f>
        <v>0</v>
      </c>
      <c r="O12" s="15">
        <f>[9]Vendedor9!$K$8</f>
        <v>0</v>
      </c>
      <c r="P12" s="17">
        <f>[9]Vendedor9!$L$8</f>
        <v>0</v>
      </c>
      <c r="Q12" s="19">
        <f t="shared" si="1"/>
        <v>214450</v>
      </c>
      <c r="R12" s="15">
        <f t="shared" si="2"/>
        <v>25516</v>
      </c>
      <c r="S12" s="15">
        <f t="shared" si="3"/>
        <v>191750</v>
      </c>
      <c r="T12" s="15">
        <v>0</v>
      </c>
      <c r="U12" s="17">
        <f t="shared" si="4"/>
        <v>-2816</v>
      </c>
    </row>
    <row r="13" spans="1:21">
      <c r="A13" s="13" t="s">
        <v>22</v>
      </c>
      <c r="B13" s="14">
        <f>[10]Vendedor9!$J$4</f>
        <v>80500</v>
      </c>
      <c r="C13" s="15">
        <f>[10]Vendedor9!$K$4</f>
        <v>9660</v>
      </c>
      <c r="D13" s="16">
        <f>[10]Vendedor9!$L$4</f>
        <v>72250</v>
      </c>
      <c r="E13" s="14">
        <f>[10]Vendedor9!$J$5</f>
        <v>68100</v>
      </c>
      <c r="F13" s="15">
        <f>[10]Vendedor9!$K$5</f>
        <v>8172</v>
      </c>
      <c r="G13" s="17">
        <f>[10]Vendedor9!$L$5</f>
        <v>51000</v>
      </c>
      <c r="H13" s="18">
        <f>[10]Vendedor9!$J$6</f>
        <v>7400</v>
      </c>
      <c r="I13" s="15">
        <f>[10]Vendedor9!$K$6</f>
        <v>740</v>
      </c>
      <c r="J13" s="16">
        <f>[10]Vendedor9!$L$6</f>
        <v>0</v>
      </c>
      <c r="K13" s="19">
        <f>[10]Vendedor9!$J$7</f>
        <v>31700</v>
      </c>
      <c r="L13" s="15">
        <f>[10]Vendedor9!$K$7</f>
        <v>3804</v>
      </c>
      <c r="M13" s="16">
        <f>[10]Vendedor9!$L$7</f>
        <v>51000</v>
      </c>
      <c r="N13" s="19">
        <f>[10]Vendedor9!$J$8</f>
        <v>0</v>
      </c>
      <c r="O13" s="15">
        <f>[10]Vendedor9!$K$8</f>
        <v>0</v>
      </c>
      <c r="P13" s="17">
        <f>[10]Vendedor9!$L$8</f>
        <v>0</v>
      </c>
      <c r="Q13" s="19">
        <f t="shared" si="1"/>
        <v>187700</v>
      </c>
      <c r="R13" s="15">
        <f t="shared" si="2"/>
        <v>22376</v>
      </c>
      <c r="S13" s="15">
        <f t="shared" si="3"/>
        <v>174250</v>
      </c>
      <c r="T13" s="15">
        <v>0</v>
      </c>
      <c r="U13" s="17">
        <f t="shared" si="4"/>
        <v>-8926</v>
      </c>
    </row>
    <row r="14" spans="1:21">
      <c r="A14" s="20" t="s">
        <v>23</v>
      </c>
      <c r="B14" s="14">
        <f>[11]Vendedor9!$J$4</f>
        <v>123550</v>
      </c>
      <c r="C14" s="15">
        <f>[11]Vendedor9!$K$4</f>
        <v>14826</v>
      </c>
      <c r="D14" s="16">
        <f>[11]Vendedor9!$L$4</f>
        <v>106250</v>
      </c>
      <c r="E14" s="14">
        <f>[11]Vendedor9!$J$5</f>
        <v>120550</v>
      </c>
      <c r="F14" s="15">
        <f>[11]Vendedor9!$K$5</f>
        <v>14466</v>
      </c>
      <c r="G14" s="17">
        <f>[11]Vendedor9!$L$5</f>
        <v>59500</v>
      </c>
      <c r="H14" s="18">
        <f>[11]Vendedor9!$J$6</f>
        <v>8650</v>
      </c>
      <c r="I14" s="15">
        <f>[11]Vendedor9!$K$6</f>
        <v>865</v>
      </c>
      <c r="J14" s="16">
        <f>[11]Vendedor9!$L$6</f>
        <v>0</v>
      </c>
      <c r="K14" s="19">
        <f>[11]Vendedor9!$J$7</f>
        <v>48500</v>
      </c>
      <c r="L14" s="15">
        <f>[11]Vendedor9!$K$7</f>
        <v>5820</v>
      </c>
      <c r="M14" s="16">
        <f>[11]Vendedor9!$L$7</f>
        <v>38250</v>
      </c>
      <c r="N14" s="19">
        <f>[11]Vendedor9!$J$8</f>
        <v>0</v>
      </c>
      <c r="O14" s="15">
        <f>[11]Vendedor9!$K$8</f>
        <v>0</v>
      </c>
      <c r="P14" s="17">
        <f>[11]Vendedor9!$L$8</f>
        <v>0</v>
      </c>
      <c r="Q14" s="19">
        <f t="shared" si="1"/>
        <v>301250</v>
      </c>
      <c r="R14" s="15">
        <f t="shared" si="2"/>
        <v>35977</v>
      </c>
      <c r="S14" s="15">
        <f t="shared" si="3"/>
        <v>204000</v>
      </c>
      <c r="T14" s="15">
        <v>0</v>
      </c>
      <c r="U14" s="17">
        <f t="shared" si="4"/>
        <v>61273</v>
      </c>
    </row>
    <row r="15" spans="1:21">
      <c r="A15" s="13" t="s">
        <v>24</v>
      </c>
      <c r="B15" s="14">
        <f>[12]Vendedor9!$J$4</f>
        <v>58350</v>
      </c>
      <c r="C15" s="15">
        <f>[12]Vendedor9!$K$4</f>
        <v>7002</v>
      </c>
      <c r="D15" s="16">
        <f>[12]Vendedor9!$L$4</f>
        <v>17000</v>
      </c>
      <c r="E15" s="14">
        <f>[12]Vendedor9!$J$5</f>
        <v>77850</v>
      </c>
      <c r="F15" s="15">
        <f>[12]Vendedor9!$K$5</f>
        <v>9342</v>
      </c>
      <c r="G15" s="17">
        <f>[12]Vendedor9!$L$5</f>
        <v>148750</v>
      </c>
      <c r="H15" s="18">
        <f>[12]Vendedor9!$J$6</f>
        <v>7300</v>
      </c>
      <c r="I15" s="15">
        <f>[12]Vendedor9!$K$6</f>
        <v>730</v>
      </c>
      <c r="J15" s="16">
        <f>[12]Vendedor9!$L$6</f>
        <v>0</v>
      </c>
      <c r="K15" s="19">
        <f>[12]Vendedor9!$J$7</f>
        <v>49250</v>
      </c>
      <c r="L15" s="15">
        <f>[12]Vendedor9!$K$7</f>
        <v>5910</v>
      </c>
      <c r="M15" s="16">
        <f>[12]Vendedor9!$L$7</f>
        <v>102000</v>
      </c>
      <c r="N15" s="19">
        <f>[12]Vendedor9!$J$8</f>
        <v>0</v>
      </c>
      <c r="O15" s="15">
        <f>[12]Vendedor9!$K$8</f>
        <v>0</v>
      </c>
      <c r="P15" s="17">
        <f>[12]Vendedor9!$L$8</f>
        <v>0</v>
      </c>
      <c r="Q15" s="19">
        <f t="shared" si="1"/>
        <v>192750</v>
      </c>
      <c r="R15" s="15">
        <f t="shared" si="2"/>
        <v>22984</v>
      </c>
      <c r="S15" s="15">
        <f t="shared" si="3"/>
        <v>267750</v>
      </c>
      <c r="T15" s="15">
        <v>0</v>
      </c>
      <c r="U15" s="17">
        <f t="shared" si="4"/>
        <v>-97984</v>
      </c>
    </row>
    <row r="16" spans="1:21">
      <c r="A16" s="20" t="s">
        <v>25</v>
      </c>
      <c r="B16" s="14">
        <f>[13]Vendedor9!$J$4</f>
        <v>128900</v>
      </c>
      <c r="C16" s="15">
        <f>[13]Vendedor9!$K$4</f>
        <v>15468</v>
      </c>
      <c r="D16" s="16">
        <f>[13]Vendedor9!$L$4</f>
        <v>93500</v>
      </c>
      <c r="E16" s="14">
        <f>[13]Vendedor9!$J$5</f>
        <v>106350</v>
      </c>
      <c r="F16" s="15">
        <f>[13]Vendedor9!$K$5</f>
        <v>12762</v>
      </c>
      <c r="G16" s="17">
        <f>[13]Vendedor9!$L$5</f>
        <v>63750</v>
      </c>
      <c r="H16" s="18">
        <f>[13]Vendedor9!$J$6</f>
        <v>14900</v>
      </c>
      <c r="I16" s="15">
        <f>[13]Vendedor9!$K$6</f>
        <v>1490</v>
      </c>
      <c r="J16" s="16">
        <f>[13]Vendedor9!$L$6</f>
        <v>0</v>
      </c>
      <c r="K16" s="19">
        <f>[13]Vendedor9!$J$7</f>
        <v>55850</v>
      </c>
      <c r="L16" s="15">
        <f>[13]Vendedor9!$K$7</f>
        <v>6702</v>
      </c>
      <c r="M16" s="16">
        <f>[13]Vendedor9!$L$7</f>
        <v>153000</v>
      </c>
      <c r="N16" s="19">
        <f>[13]Vendedor9!$J$8</f>
        <v>0</v>
      </c>
      <c r="O16" s="15">
        <f>[13]Vendedor9!$K$8</f>
        <v>0</v>
      </c>
      <c r="P16" s="17">
        <f>[13]Vendedor9!$L$8</f>
        <v>0</v>
      </c>
      <c r="Q16" s="19">
        <f t="shared" si="1"/>
        <v>306000</v>
      </c>
      <c r="R16" s="15">
        <f t="shared" si="2"/>
        <v>36422</v>
      </c>
      <c r="S16" s="15">
        <f t="shared" si="3"/>
        <v>310250</v>
      </c>
      <c r="T16" s="15">
        <v>0</v>
      </c>
      <c r="U16" s="17">
        <f t="shared" si="4"/>
        <v>-40672</v>
      </c>
    </row>
    <row r="17" spans="1:21">
      <c r="A17" s="13" t="s">
        <v>26</v>
      </c>
      <c r="B17" s="14">
        <f>[14]Vendedor9!$J$4</f>
        <v>112400</v>
      </c>
      <c r="C17" s="15">
        <f>[14]Vendedor9!$K$4</f>
        <v>13488</v>
      </c>
      <c r="D17" s="16">
        <f>[14]Vendedor9!$L$4</f>
        <v>182750</v>
      </c>
      <c r="E17" s="14">
        <f>[14]Vendedor9!$J$5</f>
        <v>67300</v>
      </c>
      <c r="F17" s="15">
        <f>[14]Vendedor9!$K$5</f>
        <v>8076</v>
      </c>
      <c r="G17" s="17">
        <f>[14]Vendedor9!$L$5</f>
        <v>85000</v>
      </c>
      <c r="H17" s="18">
        <f>[14]Vendedor9!$J$6</f>
        <v>3800</v>
      </c>
      <c r="I17" s="15">
        <f>[14]Vendedor9!$K$6</f>
        <v>380</v>
      </c>
      <c r="J17" s="16">
        <f>[14]Vendedor9!$L$6</f>
        <v>0</v>
      </c>
      <c r="K17" s="19">
        <f>[14]Vendedor9!$J$7</f>
        <v>60600</v>
      </c>
      <c r="L17" s="15">
        <f>[14]Vendedor9!$K$7</f>
        <v>7272</v>
      </c>
      <c r="M17" s="16">
        <f>[14]Vendedor9!$L$7</f>
        <v>123250</v>
      </c>
      <c r="N17" s="19">
        <f>[14]Vendedor9!$J$8</f>
        <v>0</v>
      </c>
      <c r="O17" s="15">
        <f>[14]Vendedor9!$K$8</f>
        <v>0</v>
      </c>
      <c r="P17" s="17">
        <f>[14]Vendedor9!$L$8</f>
        <v>0</v>
      </c>
      <c r="Q17" s="19">
        <f t="shared" si="1"/>
        <v>244100</v>
      </c>
      <c r="R17" s="15">
        <f t="shared" si="2"/>
        <v>29216</v>
      </c>
      <c r="S17" s="15">
        <f t="shared" si="3"/>
        <v>391000</v>
      </c>
      <c r="T17" s="15">
        <v>0</v>
      </c>
      <c r="U17" s="17">
        <f t="shared" si="4"/>
        <v>-176116</v>
      </c>
    </row>
    <row r="18" spans="1:21">
      <c r="A18" s="20" t="s">
        <v>27</v>
      </c>
      <c r="B18" s="14">
        <f>[15]Vendedor9!$J$4</f>
        <v>153050</v>
      </c>
      <c r="C18" s="15">
        <f>[15]Vendedor9!$K$4</f>
        <v>18366</v>
      </c>
      <c r="D18" s="16">
        <f>[15]Vendedor9!$L$4</f>
        <v>89250</v>
      </c>
      <c r="E18" s="14">
        <f>[15]Vendedor9!$J$5</f>
        <v>103700</v>
      </c>
      <c r="F18" s="15">
        <f>[15]Vendedor9!$K$5</f>
        <v>12444</v>
      </c>
      <c r="G18" s="17">
        <f>[15]Vendedor9!$L$5</f>
        <v>76500</v>
      </c>
      <c r="H18" s="18">
        <f>[15]Vendedor9!$J$6</f>
        <v>3050</v>
      </c>
      <c r="I18" s="15">
        <f>[15]Vendedor9!$K$6</f>
        <v>305</v>
      </c>
      <c r="J18" s="16">
        <f>[15]Vendedor9!$L$6</f>
        <v>0</v>
      </c>
      <c r="K18" s="19">
        <f>[15]Vendedor9!$J$7</f>
        <v>52700</v>
      </c>
      <c r="L18" s="15">
        <f>[15]Vendedor9!$K$7</f>
        <v>6324</v>
      </c>
      <c r="M18" s="16">
        <f>[15]Vendedor9!$L$7</f>
        <v>38250</v>
      </c>
      <c r="N18" s="19">
        <f>[15]Vendedor9!$J$8</f>
        <v>0</v>
      </c>
      <c r="O18" s="15">
        <f>[15]Vendedor9!$K$8</f>
        <v>0</v>
      </c>
      <c r="P18" s="17">
        <f>[15]Vendedor9!$L$8</f>
        <v>0</v>
      </c>
      <c r="Q18" s="19">
        <f>+B18+E18+H18+K18</f>
        <v>312500</v>
      </c>
      <c r="R18" s="15">
        <f>+C18+F18+I18+L18</f>
        <v>37439</v>
      </c>
      <c r="S18" s="15">
        <f>+D18+G18+J18+M18</f>
        <v>204000</v>
      </c>
      <c r="T18" s="15">
        <v>0</v>
      </c>
      <c r="U18" s="17">
        <f t="shared" si="4"/>
        <v>71061</v>
      </c>
    </row>
    <row r="19" spans="1:21">
      <c r="A19" s="20" t="s">
        <v>28</v>
      </c>
      <c r="B19" s="14">
        <f>[16]Vendedor9!$J$4</f>
        <v>89850</v>
      </c>
      <c r="C19" s="15">
        <f>[16]Vendedor9!$K$4</f>
        <v>10782</v>
      </c>
      <c r="D19" s="16">
        <f>[16]Vendedor9!$L$4</f>
        <v>25500</v>
      </c>
      <c r="E19" s="14">
        <f>[16]Vendedor9!$J$5</f>
        <v>89700</v>
      </c>
      <c r="F19" s="15">
        <f>[16]Vendedor9!$K$5</f>
        <v>10764</v>
      </c>
      <c r="G19" s="17">
        <f>[16]Vendedor9!$L$5</f>
        <v>136000</v>
      </c>
      <c r="H19" s="18">
        <f>[16]Vendedor9!$J$6</f>
        <v>13100</v>
      </c>
      <c r="I19" s="15">
        <f>[16]Vendedor9!$K$6</f>
        <v>1310</v>
      </c>
      <c r="J19" s="16">
        <f>[16]Vendedor9!$L$6</f>
        <v>0</v>
      </c>
      <c r="K19" s="19">
        <f>[16]Vendedor9!$J$7</f>
        <v>59850</v>
      </c>
      <c r="L19" s="15">
        <f>[16]Vendedor9!$K$7</f>
        <v>7182</v>
      </c>
      <c r="M19" s="16">
        <f>[16]Vendedor9!$L$7</f>
        <v>29750</v>
      </c>
      <c r="N19" s="19">
        <f>[16]Vendedor9!$J$8</f>
        <v>0</v>
      </c>
      <c r="O19" s="15">
        <f>[16]Vendedor9!$K$8</f>
        <v>0</v>
      </c>
      <c r="P19" s="17">
        <f>[16]Vendedor9!$L$8</f>
        <v>0</v>
      </c>
      <c r="Q19" s="19">
        <f t="shared" ref="Q19:Q36" si="5">+B19+E19+H19+K19</f>
        <v>252500</v>
      </c>
      <c r="R19" s="15">
        <f t="shared" si="2"/>
        <v>30038</v>
      </c>
      <c r="S19" s="15">
        <f t="shared" si="3"/>
        <v>191250</v>
      </c>
      <c r="T19" s="15">
        <v>0</v>
      </c>
      <c r="U19" s="17">
        <f t="shared" si="4"/>
        <v>31212</v>
      </c>
    </row>
    <row r="20" spans="1:21">
      <c r="A20" s="13" t="s">
        <v>29</v>
      </c>
      <c r="B20" s="14">
        <f>[17]Vendedor9!$J$4</f>
        <v>54200</v>
      </c>
      <c r="C20" s="15">
        <f>[17]Vendedor9!$K$4</f>
        <v>6504</v>
      </c>
      <c r="D20" s="16">
        <f>[17]Vendedor9!$L$4</f>
        <v>17000</v>
      </c>
      <c r="E20" s="14">
        <f>[17]Vendedor9!$J$5</f>
        <v>50650</v>
      </c>
      <c r="F20" s="15">
        <f>[17]Vendedor9!$K$5</f>
        <v>6078</v>
      </c>
      <c r="G20" s="17">
        <f>[17]Vendedor9!$L$5</f>
        <v>0</v>
      </c>
      <c r="H20" s="18">
        <f>[17]Vendedor9!$J$6</f>
        <v>1600</v>
      </c>
      <c r="I20" s="15">
        <f>[17]Vendedor9!$K$6</f>
        <v>160</v>
      </c>
      <c r="J20" s="16">
        <f>[17]Vendedor9!$L$6</f>
        <v>0</v>
      </c>
      <c r="K20" s="19">
        <f>[17]Vendedor9!$J$7</f>
        <v>33600</v>
      </c>
      <c r="L20" s="15">
        <f>[17]Vendedor9!$K$7</f>
        <v>4032</v>
      </c>
      <c r="M20" s="16">
        <f>[17]Vendedor9!$L$7</f>
        <v>42500</v>
      </c>
      <c r="N20" s="19">
        <f>[17]Vendedor9!$J$8</f>
        <v>0</v>
      </c>
      <c r="O20" s="15">
        <f>[17]Vendedor9!$K$8</f>
        <v>0</v>
      </c>
      <c r="P20" s="17">
        <f>[17]Vendedor9!$L$8</f>
        <v>0</v>
      </c>
      <c r="Q20" s="19">
        <f t="shared" si="5"/>
        <v>140050</v>
      </c>
      <c r="R20" s="15">
        <f t="shared" si="2"/>
        <v>16774</v>
      </c>
      <c r="S20" s="15">
        <f t="shared" si="3"/>
        <v>59500</v>
      </c>
      <c r="T20" s="15">
        <v>0</v>
      </c>
      <c r="U20" s="17">
        <f t="shared" si="4"/>
        <v>63776</v>
      </c>
    </row>
    <row r="21" spans="1:21">
      <c r="A21" s="20" t="s">
        <v>30</v>
      </c>
      <c r="B21" s="14">
        <f>[18]Vendedor9!$J$4</f>
        <v>54250</v>
      </c>
      <c r="C21" s="81">
        <f>[18]Vendedor9!$K$4</f>
        <v>6510</v>
      </c>
      <c r="D21" s="82">
        <f>[18]Vendedor9!$L$4</f>
        <v>25500</v>
      </c>
      <c r="E21" s="14">
        <f>[18]Vendedor9!$J$5</f>
        <v>68850</v>
      </c>
      <c r="F21" s="81">
        <f>[18]Vendedor9!$K$5</f>
        <v>8262</v>
      </c>
      <c r="G21" s="85">
        <f>[18]Vendedor9!$L$5</f>
        <v>17000</v>
      </c>
      <c r="H21" s="19">
        <f>[18]Vendedor9!$J$6</f>
        <v>400</v>
      </c>
      <c r="I21" s="15">
        <f>[18]Vendedor9!$K$6</f>
        <v>40</v>
      </c>
      <c r="J21" s="17">
        <f>[18]Vendedor9!$L$6</f>
        <v>0</v>
      </c>
      <c r="K21" s="18">
        <f>[18]Vendedor9!$J$7</f>
        <v>61500</v>
      </c>
      <c r="L21" s="15">
        <f>[18]Vendedor9!$K$7</f>
        <v>7380</v>
      </c>
      <c r="M21" s="16">
        <f>[18]Vendedor9!$L$7</f>
        <v>51000</v>
      </c>
      <c r="N21" s="19">
        <f>[18]Vendedor9!$J$8</f>
        <v>2850</v>
      </c>
      <c r="O21" s="15">
        <f>[18]Vendedor9!$K$8</f>
        <v>342</v>
      </c>
      <c r="P21" s="17">
        <f>[18]Vendedor9!$L$8</f>
        <v>0</v>
      </c>
      <c r="Q21" s="19">
        <f t="shared" si="5"/>
        <v>185000</v>
      </c>
      <c r="R21" s="15">
        <f t="shared" si="2"/>
        <v>22192</v>
      </c>
      <c r="S21" s="15">
        <f t="shared" si="3"/>
        <v>93500</v>
      </c>
      <c r="T21" s="15">
        <v>0</v>
      </c>
      <c r="U21" s="17">
        <f t="shared" si="4"/>
        <v>69308</v>
      </c>
    </row>
    <row r="22" spans="1:21">
      <c r="A22" s="13" t="s">
        <v>31</v>
      </c>
      <c r="B22" s="14">
        <f>[19]Vendedor9!$J$4</f>
        <v>128100</v>
      </c>
      <c r="C22" s="81">
        <f>[19]Vendedor9!$K$4</f>
        <v>15372</v>
      </c>
      <c r="D22" s="82">
        <f>[19]Vendedor9!$L$4</f>
        <v>97750</v>
      </c>
      <c r="E22" s="14">
        <f>[19]Vendedor9!$J$5</f>
        <v>57600</v>
      </c>
      <c r="F22" s="81">
        <f>[19]Vendedor9!$K$5</f>
        <v>6912</v>
      </c>
      <c r="G22" s="85">
        <f>[19]Vendedor9!$L$5</f>
        <v>34000</v>
      </c>
      <c r="H22" s="19">
        <f>[19]Vendedor9!$J$6</f>
        <v>5600</v>
      </c>
      <c r="I22" s="15">
        <f>[19]Vendedor9!$K$6</f>
        <v>560</v>
      </c>
      <c r="J22" s="17">
        <f>[19]Vendedor9!$L$6</f>
        <v>0</v>
      </c>
      <c r="K22" s="18">
        <f>[19]Vendedor9!$J$7</f>
        <v>44700</v>
      </c>
      <c r="L22" s="15">
        <f>[19]Vendedor9!$K$7</f>
        <v>5364</v>
      </c>
      <c r="M22" s="16">
        <f>[19]Vendedor9!$L$7</f>
        <v>68000</v>
      </c>
      <c r="N22" s="19">
        <f>[19]Vendedor9!$J$8</f>
        <v>6500</v>
      </c>
      <c r="O22" s="15">
        <f>[19]Vendedor9!$K$8</f>
        <v>780</v>
      </c>
      <c r="P22" s="17">
        <f>[19]Vendedor9!$L$8</f>
        <v>0</v>
      </c>
      <c r="Q22" s="19">
        <f t="shared" si="5"/>
        <v>236000</v>
      </c>
      <c r="R22" s="15">
        <f t="shared" si="2"/>
        <v>28208</v>
      </c>
      <c r="S22" s="15">
        <f t="shared" si="3"/>
        <v>199750</v>
      </c>
      <c r="T22" s="15">
        <v>0</v>
      </c>
      <c r="U22" s="17">
        <f t="shared" si="4"/>
        <v>8042</v>
      </c>
    </row>
    <row r="23" spans="1:21">
      <c r="A23" s="20" t="s">
        <v>32</v>
      </c>
      <c r="B23" s="14">
        <f>[20]Vendedor9!$J$4</f>
        <v>114100</v>
      </c>
      <c r="C23" s="81">
        <f>[20]Vendedor9!$K$4</f>
        <v>13692</v>
      </c>
      <c r="D23" s="82">
        <f>[20]Vendedor9!$L$4</f>
        <v>25500</v>
      </c>
      <c r="E23" s="14">
        <f>[20]Vendedor9!$J$5</f>
        <v>110850</v>
      </c>
      <c r="F23" s="81">
        <f>[20]Vendedor9!$K$5</f>
        <v>13302</v>
      </c>
      <c r="G23" s="85">
        <f>[20]Vendedor9!$L$5</f>
        <v>46750</v>
      </c>
      <c r="H23" s="19">
        <f>[20]Vendedor9!$J$6</f>
        <v>1200</v>
      </c>
      <c r="I23" s="15">
        <f>[20]Vendedor9!$K$6</f>
        <v>120</v>
      </c>
      <c r="J23" s="17">
        <f>[20]Vendedor9!$L$6</f>
        <v>0</v>
      </c>
      <c r="K23" s="18">
        <f>[20]Vendedor9!$J$7</f>
        <v>47350</v>
      </c>
      <c r="L23" s="15">
        <f>[20]Vendedor9!$K$7</f>
        <v>5682</v>
      </c>
      <c r="M23" s="16">
        <f>[20]Vendedor9!$L$7</f>
        <v>85000</v>
      </c>
      <c r="N23" s="19">
        <f>[20]Vendedor9!$J$8</f>
        <v>0</v>
      </c>
      <c r="O23" s="15">
        <f>[20]Vendedor9!$K$8</f>
        <v>0</v>
      </c>
      <c r="P23" s="17">
        <f>[20]Vendedor9!$L$8</f>
        <v>0</v>
      </c>
      <c r="Q23" s="19">
        <f t="shared" si="5"/>
        <v>273500</v>
      </c>
      <c r="R23" s="15">
        <f t="shared" si="2"/>
        <v>32796</v>
      </c>
      <c r="S23" s="15">
        <f t="shared" si="3"/>
        <v>157250</v>
      </c>
      <c r="T23" s="15">
        <v>0</v>
      </c>
      <c r="U23" s="17">
        <f t="shared" si="4"/>
        <v>83454</v>
      </c>
    </row>
    <row r="24" spans="1:21">
      <c r="A24" s="13" t="s">
        <v>33</v>
      </c>
      <c r="B24" s="14">
        <f>[21]Vendedor9!$J$4</f>
        <v>70150</v>
      </c>
      <c r="C24" s="81">
        <f>[21]Vendedor9!$K$4</f>
        <v>8418</v>
      </c>
      <c r="D24" s="82">
        <f>[21]Vendedor9!$L$4</f>
        <v>187000</v>
      </c>
      <c r="E24" s="14">
        <f>[21]Vendedor9!$J$5</f>
        <v>63450</v>
      </c>
      <c r="F24" s="81">
        <f>[21]Vendedor9!$K$5</f>
        <v>7614</v>
      </c>
      <c r="G24" s="85">
        <f>[21]Vendedor9!$L$5</f>
        <v>8500</v>
      </c>
      <c r="H24" s="19">
        <f>[21]Vendedor9!$J$6</f>
        <v>1500</v>
      </c>
      <c r="I24" s="15">
        <f>[21]Vendedor9!$K$6</f>
        <v>150</v>
      </c>
      <c r="J24" s="17">
        <f>[21]Vendedor9!$L$6</f>
        <v>0</v>
      </c>
      <c r="K24" s="18">
        <f>[21]Vendedor9!$J$7</f>
        <v>53000</v>
      </c>
      <c r="L24" s="15">
        <f>[21]Vendedor9!$K$7</f>
        <v>6360</v>
      </c>
      <c r="M24" s="16">
        <f>[21]Vendedor9!$L$7</f>
        <v>0</v>
      </c>
      <c r="N24" s="19">
        <f>[21]Vendedor9!$J$8</f>
        <v>0</v>
      </c>
      <c r="O24" s="15">
        <f>[21]Vendedor9!$K$8</f>
        <v>0</v>
      </c>
      <c r="P24" s="17">
        <f>[21]Vendedor9!$L$8</f>
        <v>0</v>
      </c>
      <c r="Q24" s="19">
        <f t="shared" si="5"/>
        <v>188100</v>
      </c>
      <c r="R24" s="15">
        <f t="shared" si="2"/>
        <v>22542</v>
      </c>
      <c r="S24" s="15">
        <f t="shared" si="3"/>
        <v>195500</v>
      </c>
      <c r="T24" s="15">
        <v>0</v>
      </c>
      <c r="U24" s="17">
        <f t="shared" si="4"/>
        <v>-29942</v>
      </c>
    </row>
    <row r="25" spans="1:21">
      <c r="A25" s="20" t="s">
        <v>34</v>
      </c>
      <c r="B25" s="14">
        <f>[22]Vendedor9!$J$4</f>
        <v>96650</v>
      </c>
      <c r="C25" s="81">
        <f>[22]Vendedor9!$K$4</f>
        <v>11598</v>
      </c>
      <c r="D25" s="82">
        <f>[22]Vendedor9!$L$4</f>
        <v>51000</v>
      </c>
      <c r="E25" s="14">
        <f>[22]Vendedor9!$J$5</f>
        <v>93150</v>
      </c>
      <c r="F25" s="81">
        <f>[22]Vendedor9!$K$5</f>
        <v>11178</v>
      </c>
      <c r="G25" s="85">
        <f>[22]Vendedor9!$L$5</f>
        <v>68000</v>
      </c>
      <c r="H25" s="19">
        <f>[22]Vendedor9!$J$6</f>
        <v>10300</v>
      </c>
      <c r="I25" s="15">
        <f>[22]Vendedor9!$K$6</f>
        <v>1030</v>
      </c>
      <c r="J25" s="17">
        <f>[22]Vendedor9!$L$6</f>
        <v>0</v>
      </c>
      <c r="K25" s="18">
        <f>[22]Vendedor9!$J$7</f>
        <v>51600</v>
      </c>
      <c r="L25" s="15">
        <f>[22]Vendedor9!$K$7</f>
        <v>6192</v>
      </c>
      <c r="M25" s="16">
        <f>[22]Vendedor9!$L$7</f>
        <v>174250</v>
      </c>
      <c r="N25" s="19">
        <f>[22]Vendedor9!$J$8</f>
        <v>7150</v>
      </c>
      <c r="O25" s="15">
        <f>[22]Vendedor9!$K$8</f>
        <v>858</v>
      </c>
      <c r="P25" s="17">
        <f>[22]Vendedor9!$L$8</f>
        <v>0</v>
      </c>
      <c r="Q25" s="19">
        <f t="shared" si="5"/>
        <v>251700</v>
      </c>
      <c r="R25" s="15">
        <f t="shared" si="2"/>
        <v>29998</v>
      </c>
      <c r="S25" s="15">
        <f t="shared" si="3"/>
        <v>293250</v>
      </c>
      <c r="T25" s="15">
        <v>0</v>
      </c>
      <c r="U25" s="17">
        <f t="shared" si="4"/>
        <v>-71548</v>
      </c>
    </row>
    <row r="26" spans="1:21">
      <c r="A26" s="13" t="s">
        <v>35</v>
      </c>
      <c r="B26" s="14">
        <f>[23]Vendedor9!$J$4</f>
        <v>34400</v>
      </c>
      <c r="C26" s="81">
        <f>[23]Vendedor9!$K$4</f>
        <v>4128</v>
      </c>
      <c r="D26" s="82">
        <f>[23]Vendedor9!$L$4</f>
        <v>12750</v>
      </c>
      <c r="E26" s="14">
        <f>[23]Vendedor9!$J$5</f>
        <v>39500</v>
      </c>
      <c r="F26" s="81">
        <f>[23]Vendedor9!$K$5</f>
        <v>4740</v>
      </c>
      <c r="G26" s="85">
        <f>[23]Vendedor9!$L$5</f>
        <v>0</v>
      </c>
      <c r="H26" s="19">
        <f>[23]Vendedor9!$J$6</f>
        <v>7250</v>
      </c>
      <c r="I26" s="15">
        <f>[23]Vendedor9!$K$6</f>
        <v>725</v>
      </c>
      <c r="J26" s="17">
        <f>[23]Vendedor9!$L$6</f>
        <v>0</v>
      </c>
      <c r="K26" s="18">
        <f>[23]Vendedor9!$J$7</f>
        <v>31100</v>
      </c>
      <c r="L26" s="15">
        <f>[23]Vendedor9!$K$7</f>
        <v>3732</v>
      </c>
      <c r="M26" s="16">
        <f>[23]Vendedor9!$L$7</f>
        <v>0</v>
      </c>
      <c r="N26" s="19">
        <f>[23]Vendedor9!$J$8</f>
        <v>1600</v>
      </c>
      <c r="O26" s="15">
        <f>[23]Vendedor9!$K$8</f>
        <v>192</v>
      </c>
      <c r="P26" s="17">
        <f>[23]Vendedor9!$L$8</f>
        <v>0</v>
      </c>
      <c r="Q26" s="19">
        <f t="shared" si="5"/>
        <v>112250</v>
      </c>
      <c r="R26" s="15">
        <f t="shared" si="2"/>
        <v>13325</v>
      </c>
      <c r="S26" s="15">
        <f t="shared" si="3"/>
        <v>12750</v>
      </c>
      <c r="T26" s="15">
        <v>0</v>
      </c>
      <c r="U26" s="17">
        <f t="shared" si="4"/>
        <v>86175</v>
      </c>
    </row>
    <row r="27" spans="1:21">
      <c r="A27" s="20" t="s">
        <v>36</v>
      </c>
      <c r="B27" s="14">
        <f>[24]Vendedor9!$J$4</f>
        <v>32400</v>
      </c>
      <c r="C27" s="81">
        <f>[24]Vendedor9!$K$4</f>
        <v>3888</v>
      </c>
      <c r="D27" s="82">
        <f>[24]Vendedor9!$L$4</f>
        <v>42500</v>
      </c>
      <c r="E27" s="14">
        <f>[24]Vendedor9!$J$5</f>
        <v>29200</v>
      </c>
      <c r="F27" s="81">
        <f>[24]Vendedor9!$K$5</f>
        <v>3504</v>
      </c>
      <c r="G27" s="85">
        <f>[24]Vendedor9!$L$5</f>
        <v>97750</v>
      </c>
      <c r="H27" s="19">
        <f>[24]Vendedor9!$J$6</f>
        <v>1000</v>
      </c>
      <c r="I27" s="15">
        <f>[24]Vendedor9!$K$6</f>
        <v>100</v>
      </c>
      <c r="J27" s="17">
        <f>[24]Vendedor9!$L$6</f>
        <v>0</v>
      </c>
      <c r="K27" s="18">
        <f>[24]Vendedor9!$J$7</f>
        <v>16550</v>
      </c>
      <c r="L27" s="15">
        <f>[24]Vendedor9!$K$7</f>
        <v>1986</v>
      </c>
      <c r="M27" s="16">
        <f>[24]Vendedor9!$L$7</f>
        <v>12750</v>
      </c>
      <c r="N27" s="19">
        <f>[24]Vendedor9!$J$8</f>
        <v>0</v>
      </c>
      <c r="O27" s="15">
        <f>[24]Vendedor9!$K$8</f>
        <v>0</v>
      </c>
      <c r="P27" s="17">
        <f>[24]Vendedor9!$L$8</f>
        <v>0</v>
      </c>
      <c r="Q27" s="19">
        <f t="shared" si="5"/>
        <v>79150</v>
      </c>
      <c r="R27" s="15">
        <f t="shared" si="2"/>
        <v>9478</v>
      </c>
      <c r="S27" s="15">
        <f t="shared" si="3"/>
        <v>153000</v>
      </c>
      <c r="T27" s="15">
        <v>0</v>
      </c>
      <c r="U27" s="17">
        <f t="shared" si="4"/>
        <v>-83328</v>
      </c>
    </row>
    <row r="28" spans="1:21">
      <c r="A28" s="13" t="s">
        <v>37</v>
      </c>
      <c r="B28" s="14">
        <f>[25]Vendedor9!$J$4</f>
        <v>42100</v>
      </c>
      <c r="C28" s="81">
        <f>[25]Vendedor9!$K$4</f>
        <v>5052</v>
      </c>
      <c r="D28" s="82">
        <f>[25]Vendedor9!$L$4</f>
        <v>29750</v>
      </c>
      <c r="E28" s="14">
        <f>[25]Vendedor9!$J$5</f>
        <v>48000</v>
      </c>
      <c r="F28" s="81">
        <f>[25]Vendedor9!$K$5</f>
        <v>5760</v>
      </c>
      <c r="G28" s="85">
        <f>[25]Vendedor9!$L$5</f>
        <v>0</v>
      </c>
      <c r="H28" s="19">
        <f>[25]Vendedor9!$J$6</f>
        <v>4800</v>
      </c>
      <c r="I28" s="15">
        <f>[25]Vendedor9!$K$6</f>
        <v>480</v>
      </c>
      <c r="J28" s="17">
        <f>[25]Vendedor9!$L$6</f>
        <v>0</v>
      </c>
      <c r="K28" s="18">
        <f>[25]Vendedor9!$J$7</f>
        <v>36750</v>
      </c>
      <c r="L28" s="15">
        <f>[25]Vendedor9!$K$7</f>
        <v>4410</v>
      </c>
      <c r="M28" s="16">
        <f>[25]Vendedor9!$L$7</f>
        <v>106250</v>
      </c>
      <c r="N28" s="19">
        <f>[25]Vendedor9!$J$8</f>
        <v>2400</v>
      </c>
      <c r="O28" s="15">
        <f>[25]Vendedor9!$K$8</f>
        <v>288</v>
      </c>
      <c r="P28" s="17">
        <f>[25]Vendedor9!$L$8</f>
        <v>0</v>
      </c>
      <c r="Q28" s="19">
        <f t="shared" si="5"/>
        <v>131650</v>
      </c>
      <c r="R28" s="15">
        <f t="shared" si="2"/>
        <v>15702</v>
      </c>
      <c r="S28" s="15">
        <f t="shared" si="3"/>
        <v>136000</v>
      </c>
      <c r="T28" s="15">
        <v>0</v>
      </c>
      <c r="U28" s="17">
        <f t="shared" si="4"/>
        <v>-20052</v>
      </c>
    </row>
    <row r="29" spans="1:21">
      <c r="A29" s="20" t="s">
        <v>38</v>
      </c>
      <c r="B29" s="14">
        <f>[26]Vendedor9!$J$4</f>
        <v>74850</v>
      </c>
      <c r="C29" s="81">
        <f>[26]Vendedor9!$K$4</f>
        <v>8982</v>
      </c>
      <c r="D29" s="82">
        <f>[26]Vendedor9!$L$4</f>
        <v>42500</v>
      </c>
      <c r="E29" s="14">
        <f>[26]Vendedor9!$J$5</f>
        <v>41400</v>
      </c>
      <c r="F29" s="81">
        <f>[26]Vendedor9!$K$5</f>
        <v>4968</v>
      </c>
      <c r="G29" s="85">
        <f>[26]Vendedor9!$L$5</f>
        <v>63750</v>
      </c>
      <c r="H29" s="19">
        <f>[26]Vendedor9!$J$6</f>
        <v>5300</v>
      </c>
      <c r="I29" s="15">
        <f>[26]Vendedor9!$K$6</f>
        <v>530</v>
      </c>
      <c r="J29" s="17">
        <f>[26]Vendedor9!$L$6</f>
        <v>0</v>
      </c>
      <c r="K29" s="18">
        <f>[26]Vendedor9!$J$7</f>
        <v>43400</v>
      </c>
      <c r="L29" s="15">
        <f>[26]Vendedor9!$K$7</f>
        <v>5208</v>
      </c>
      <c r="M29" s="16">
        <f>[26]Vendedor9!$L$7</f>
        <v>12750</v>
      </c>
      <c r="N29" s="19">
        <f>[26]Vendedor9!$J$8</f>
        <v>7400</v>
      </c>
      <c r="O29" s="15">
        <f>[26]Vendedor9!$K$8</f>
        <v>888</v>
      </c>
      <c r="P29" s="17">
        <f>[26]Vendedor9!$L$8</f>
        <v>0</v>
      </c>
      <c r="Q29" s="19">
        <f t="shared" si="5"/>
        <v>164950</v>
      </c>
      <c r="R29" s="15">
        <f t="shared" si="2"/>
        <v>19688</v>
      </c>
      <c r="S29" s="15">
        <f t="shared" si="3"/>
        <v>119000</v>
      </c>
      <c r="T29" s="15">
        <v>0</v>
      </c>
      <c r="U29" s="17">
        <f t="shared" si="4"/>
        <v>26262</v>
      </c>
    </row>
    <row r="30" spans="1:21">
      <c r="A30" s="13" t="s">
        <v>39</v>
      </c>
      <c r="B30" s="14">
        <f>[27]Vendedor9!$J$4</f>
        <v>61450</v>
      </c>
      <c r="C30" s="81">
        <f>[27]Vendedor9!$K$4</f>
        <v>7374</v>
      </c>
      <c r="D30" s="82">
        <f>[27]Vendedor9!$L$4</f>
        <v>76500</v>
      </c>
      <c r="E30" s="14">
        <f>[27]Vendedor9!$J$5</f>
        <v>77250</v>
      </c>
      <c r="F30" s="81">
        <f>[27]Vendedor9!$K$5</f>
        <v>9270</v>
      </c>
      <c r="G30" s="85">
        <f>[27]Vendedor9!$L$5</f>
        <v>140250</v>
      </c>
      <c r="H30" s="19">
        <f>[27]Vendedor9!$J$6</f>
        <v>5750</v>
      </c>
      <c r="I30" s="15">
        <f>[27]Vendedor9!$K$6</f>
        <v>575</v>
      </c>
      <c r="J30" s="17">
        <f>[27]Vendedor9!$L$6</f>
        <v>0</v>
      </c>
      <c r="K30" s="18">
        <f>[27]Vendedor9!$J$7</f>
        <v>45050</v>
      </c>
      <c r="L30" s="15">
        <f>[27]Vendedor9!$K$7</f>
        <v>5406</v>
      </c>
      <c r="M30" s="16">
        <f>[27]Vendedor9!$L$7</f>
        <v>80750</v>
      </c>
      <c r="N30" s="19">
        <f>[27]Vendedor9!$J$8</f>
        <v>5100</v>
      </c>
      <c r="O30" s="15">
        <f>[27]Vendedor9!$K$8</f>
        <v>612</v>
      </c>
      <c r="P30" s="17">
        <f>[27]Vendedor9!$L$8</f>
        <v>17000</v>
      </c>
      <c r="Q30" s="19">
        <f t="shared" si="5"/>
        <v>189500</v>
      </c>
      <c r="R30" s="15">
        <f t="shared" si="2"/>
        <v>22625</v>
      </c>
      <c r="S30" s="15">
        <f t="shared" si="3"/>
        <v>297500</v>
      </c>
      <c r="T30" s="15">
        <v>0</v>
      </c>
      <c r="U30" s="17">
        <f t="shared" si="4"/>
        <v>-130625</v>
      </c>
    </row>
    <row r="31" spans="1:21">
      <c r="A31" s="20" t="s">
        <v>40</v>
      </c>
      <c r="B31" s="14">
        <f>[28]Vendedor9!$J$4</f>
        <v>85550</v>
      </c>
      <c r="C31" s="81">
        <f>[28]Vendedor9!$K$4</f>
        <v>10266</v>
      </c>
      <c r="D31" s="82">
        <f>[28]Vendedor9!$L$4</f>
        <v>68000</v>
      </c>
      <c r="E31" s="14">
        <f>[28]Vendedor9!$J$5</f>
        <v>99100</v>
      </c>
      <c r="F31" s="81">
        <f>[28]Vendedor9!$K$5</f>
        <v>11892</v>
      </c>
      <c r="G31" s="85">
        <f>[28]Vendedor9!$L$5</f>
        <v>110500</v>
      </c>
      <c r="H31" s="19">
        <f>[28]Vendedor9!$J$6</f>
        <v>11200</v>
      </c>
      <c r="I31" s="15">
        <f>[28]Vendedor9!$K$6</f>
        <v>1120</v>
      </c>
      <c r="J31" s="17">
        <f>[28]Vendedor9!$L$6</f>
        <v>100000</v>
      </c>
      <c r="K31" s="18">
        <f>[28]Vendedor9!$J$7</f>
        <v>38500</v>
      </c>
      <c r="L31" s="15">
        <f>[28]Vendedor9!$K$7</f>
        <v>4620</v>
      </c>
      <c r="M31" s="16">
        <f>[28]Vendedor9!$L$7</f>
        <v>0</v>
      </c>
      <c r="N31" s="19">
        <f>[28]Vendedor9!$J$8</f>
        <v>7100</v>
      </c>
      <c r="O31" s="15">
        <f>[28]Vendedor9!$K$8</f>
        <v>852</v>
      </c>
      <c r="P31" s="17">
        <f>[28]Vendedor9!$L$8</f>
        <v>0</v>
      </c>
      <c r="Q31" s="19">
        <f t="shared" si="5"/>
        <v>234350</v>
      </c>
      <c r="R31" s="15">
        <f t="shared" si="2"/>
        <v>27898</v>
      </c>
      <c r="S31" s="15">
        <f t="shared" si="3"/>
        <v>278500</v>
      </c>
      <c r="T31" s="15">
        <v>0</v>
      </c>
      <c r="U31" s="17">
        <f t="shared" si="4"/>
        <v>-72048</v>
      </c>
    </row>
    <row r="32" spans="1:21">
      <c r="A32" s="20" t="s">
        <v>41</v>
      </c>
      <c r="B32" s="14">
        <f>[29]Vendedor9!$J$4</f>
        <v>127950</v>
      </c>
      <c r="C32" s="81">
        <f>[29]Vendedor9!$K$4</f>
        <v>15354</v>
      </c>
      <c r="D32" s="82">
        <f>[29]Vendedor9!$L$4</f>
        <v>174250</v>
      </c>
      <c r="E32" s="14">
        <f>[29]Vendedor9!$J$5</f>
        <v>79100</v>
      </c>
      <c r="F32" s="81">
        <f>[29]Vendedor9!$K$5</f>
        <v>9492</v>
      </c>
      <c r="G32" s="85">
        <f>[29]Vendedor9!$L$5</f>
        <v>25500</v>
      </c>
      <c r="H32" s="19">
        <f>[29]Vendedor9!$J$6</f>
        <v>9400</v>
      </c>
      <c r="I32" s="15">
        <f>[29]Vendedor9!$K$6</f>
        <v>940</v>
      </c>
      <c r="J32" s="17">
        <f>[29]Vendedor9!$L$6</f>
        <v>0</v>
      </c>
      <c r="K32" s="18">
        <f>[29]Vendedor9!$J$7</f>
        <v>69000</v>
      </c>
      <c r="L32" s="15">
        <f>[29]Vendedor9!$K$7</f>
        <v>8280</v>
      </c>
      <c r="M32" s="16">
        <f>[29]Vendedor9!$L$7</f>
        <v>29750</v>
      </c>
      <c r="N32" s="19">
        <f>[29]Vendedor9!$J$8</f>
        <v>5650</v>
      </c>
      <c r="O32" s="15">
        <f>[29]Vendedor9!$K$8</f>
        <v>678</v>
      </c>
      <c r="P32" s="17">
        <f>[29]Vendedor9!$L$8</f>
        <v>0</v>
      </c>
      <c r="Q32" s="19">
        <f t="shared" si="5"/>
        <v>285450</v>
      </c>
      <c r="R32" s="15">
        <f t="shared" si="2"/>
        <v>34066</v>
      </c>
      <c r="S32" s="15">
        <f t="shared" si="3"/>
        <v>229500</v>
      </c>
      <c r="T32" s="15">
        <v>0</v>
      </c>
      <c r="U32" s="17">
        <f t="shared" si="4"/>
        <v>21884</v>
      </c>
    </row>
    <row r="33" spans="1:21">
      <c r="A33" s="13" t="s">
        <v>42</v>
      </c>
      <c r="B33" s="14">
        <f>[30]Vendedor9!$J$4</f>
        <v>51700</v>
      </c>
      <c r="C33" s="81">
        <f>[30]Vendedor9!$K$4</f>
        <v>6204</v>
      </c>
      <c r="D33" s="82">
        <f>[30]Vendedor9!$L$4</f>
        <v>0</v>
      </c>
      <c r="E33" s="14">
        <f>[30]Vendedor9!$J$5</f>
        <v>55400</v>
      </c>
      <c r="F33" s="81">
        <f>[30]Vendedor9!$K$5</f>
        <v>6648</v>
      </c>
      <c r="G33" s="85">
        <f>[30]Vendedor9!$L$5</f>
        <v>110500</v>
      </c>
      <c r="H33" s="19">
        <f>[30]Vendedor9!$J$6</f>
        <v>3800</v>
      </c>
      <c r="I33" s="15">
        <f>[30]Vendedor9!$K$6</f>
        <v>380</v>
      </c>
      <c r="J33" s="17">
        <f>[30]Vendedor9!$L$6</f>
        <v>0</v>
      </c>
      <c r="K33" s="18">
        <f>[30]Vendedor9!$J$7</f>
        <v>47600</v>
      </c>
      <c r="L33" s="15">
        <f>[30]Vendedor9!$K$7</f>
        <v>5712</v>
      </c>
      <c r="M33" s="16">
        <f>[30]Vendedor9!$L$7</f>
        <v>21250</v>
      </c>
      <c r="N33" s="19">
        <f>[30]Vendedor9!$J$8</f>
        <v>4700</v>
      </c>
      <c r="O33" s="15">
        <f>[30]Vendedor9!$K$8</f>
        <v>564</v>
      </c>
      <c r="P33" s="17">
        <f>[30]Vendedor9!$L$8</f>
        <v>17000</v>
      </c>
      <c r="Q33" s="19">
        <f t="shared" si="5"/>
        <v>158500</v>
      </c>
      <c r="R33" s="15">
        <f t="shared" si="2"/>
        <v>18944</v>
      </c>
      <c r="S33" s="15">
        <f t="shared" si="3"/>
        <v>131750</v>
      </c>
      <c r="T33" s="15">
        <v>0</v>
      </c>
      <c r="U33" s="17">
        <f t="shared" si="4"/>
        <v>7806</v>
      </c>
    </row>
    <row r="34" spans="1:21">
      <c r="A34" s="20" t="s">
        <v>43</v>
      </c>
      <c r="B34" s="14">
        <f>[31]Vendedor9!$J$4</f>
        <v>37900</v>
      </c>
      <c r="C34" s="81">
        <f>[31]Vendedor9!$K$4</f>
        <v>4548</v>
      </c>
      <c r="D34" s="82">
        <f>[31]Vendedor9!$L$4</f>
        <v>21250</v>
      </c>
      <c r="E34" s="14">
        <f>[31]Vendedor9!$J$5</f>
        <v>49750</v>
      </c>
      <c r="F34" s="81">
        <f>[31]Vendedor9!$K$5</f>
        <v>5970</v>
      </c>
      <c r="G34" s="85">
        <f>[31]Vendedor9!$L$5</f>
        <v>0</v>
      </c>
      <c r="H34" s="19">
        <f>[31]Vendedor9!$J$6</f>
        <v>2100</v>
      </c>
      <c r="I34" s="15">
        <f>[31]Vendedor9!$K$6</f>
        <v>210</v>
      </c>
      <c r="J34" s="17">
        <f>[31]Vendedor9!$L$6</f>
        <v>0</v>
      </c>
      <c r="K34" s="18">
        <f>[31]Vendedor9!$J$7</f>
        <v>25450</v>
      </c>
      <c r="L34" s="15">
        <f>[31]Vendedor9!$K$7</f>
        <v>3054</v>
      </c>
      <c r="M34" s="16">
        <f>[31]Vendedor9!$L$7</f>
        <v>42500</v>
      </c>
      <c r="N34" s="19">
        <f>[31]Vendedor9!$J$8</f>
        <v>0</v>
      </c>
      <c r="O34" s="15">
        <f>[31]Vendedor9!$K$8</f>
        <v>0</v>
      </c>
      <c r="P34" s="17">
        <f>[31]Vendedor9!$L$8</f>
        <v>0</v>
      </c>
      <c r="Q34" s="19">
        <f t="shared" si="5"/>
        <v>115200</v>
      </c>
      <c r="R34" s="15">
        <f t="shared" si="2"/>
        <v>13782</v>
      </c>
      <c r="S34" s="15">
        <f t="shared" si="3"/>
        <v>63750</v>
      </c>
      <c r="T34" s="15">
        <v>0</v>
      </c>
      <c r="U34" s="17">
        <f t="shared" si="4"/>
        <v>37668</v>
      </c>
    </row>
    <row r="35" spans="1:21">
      <c r="A35" s="13" t="s">
        <v>44</v>
      </c>
      <c r="B35" s="14">
        <f>[1]Vendedor9!$J$4</f>
        <v>57350</v>
      </c>
      <c r="C35" s="81">
        <f>[1]Vendedor9!$K$4</f>
        <v>6882</v>
      </c>
      <c r="D35" s="82">
        <f>[1]Vendedor9!$L$4</f>
        <v>42500</v>
      </c>
      <c r="E35" s="14">
        <f>[1]Vendedor9!$J$5</f>
        <v>20050</v>
      </c>
      <c r="F35" s="81">
        <f>[1]Vendedor9!$K$5</f>
        <v>2406</v>
      </c>
      <c r="G35" s="85">
        <f>[1]Vendedor9!$L$5</f>
        <v>0</v>
      </c>
      <c r="H35" s="19">
        <f>[1]Vendedor9!$J$6</f>
        <v>2250</v>
      </c>
      <c r="I35" s="15">
        <f>[1]Vendedor9!$K$6</f>
        <v>225</v>
      </c>
      <c r="J35" s="17">
        <f>[1]Vendedor9!$L$6</f>
        <v>0</v>
      </c>
      <c r="K35" s="18">
        <f>[1]Vendedor9!$J$7</f>
        <v>14700</v>
      </c>
      <c r="L35" s="15">
        <f>[1]Vendedor9!$K$7</f>
        <v>1764</v>
      </c>
      <c r="M35" s="16">
        <f>[1]Vendedor9!$L$7</f>
        <v>0</v>
      </c>
      <c r="N35" s="19">
        <f>[1]Vendedor9!$J$8</f>
        <v>0</v>
      </c>
      <c r="O35" s="15">
        <f>[1]Vendedor9!$K$8</f>
        <v>0</v>
      </c>
      <c r="P35" s="17">
        <f>[1]Vendedor9!$L$8</f>
        <v>0</v>
      </c>
      <c r="Q35" s="19">
        <f t="shared" si="5"/>
        <v>94350</v>
      </c>
      <c r="R35" s="15">
        <f t="shared" si="2"/>
        <v>11277</v>
      </c>
      <c r="S35" s="15">
        <f t="shared" si="3"/>
        <v>42500</v>
      </c>
      <c r="T35" s="15">
        <v>0</v>
      </c>
      <c r="U35" s="17">
        <f t="shared" si="4"/>
        <v>40573</v>
      </c>
    </row>
    <row r="36" spans="1:21" ht="15.75" thickBot="1">
      <c r="A36" s="20" t="s">
        <v>45</v>
      </c>
      <c r="B36" s="21">
        <f>[2]Vendedor9!$J$4</f>
        <v>118800</v>
      </c>
      <c r="C36" s="83">
        <f>[2]Vendedor9!$K$4</f>
        <v>14256</v>
      </c>
      <c r="D36" s="84">
        <f>[2]Vendedor9!$L$4</f>
        <v>335750</v>
      </c>
      <c r="E36" s="21">
        <f>[2]Vendedor9!$J$5</f>
        <v>74950</v>
      </c>
      <c r="F36" s="83">
        <f>[2]Vendedor9!$K$5</f>
        <v>8994</v>
      </c>
      <c r="G36" s="86">
        <f>[2]Vendedor9!$L$5</f>
        <v>46750</v>
      </c>
      <c r="H36" s="26">
        <f>[2]Vendedor9!$J$6</f>
        <v>10600</v>
      </c>
      <c r="I36" s="22">
        <f>[2]Vendedor9!$K$6</f>
        <v>1060</v>
      </c>
      <c r="J36" s="24">
        <f>[2]Vendedor9!$L$6</f>
        <v>0</v>
      </c>
      <c r="K36" s="25">
        <f>[2]Vendedor9!$J$7</f>
        <v>43550</v>
      </c>
      <c r="L36" s="22">
        <f>[2]Vendedor9!$K$7</f>
        <v>5226</v>
      </c>
      <c r="M36" s="23">
        <f>[2]Vendedor9!$L$7</f>
        <v>25500</v>
      </c>
      <c r="N36" s="26">
        <f>[2]Vendedor9!$J$8</f>
        <v>7000</v>
      </c>
      <c r="O36" s="22">
        <f>[2]Vendedor9!$K$8</f>
        <v>840</v>
      </c>
      <c r="P36" s="24">
        <f>[2]Vendedor9!$L$8</f>
        <v>0</v>
      </c>
      <c r="Q36" s="26">
        <f t="shared" si="5"/>
        <v>247900</v>
      </c>
      <c r="R36" s="22">
        <f t="shared" si="2"/>
        <v>29536</v>
      </c>
      <c r="S36" s="22">
        <f t="shared" si="3"/>
        <v>408000</v>
      </c>
      <c r="T36" s="22">
        <v>0</v>
      </c>
      <c r="U36" s="24">
        <f t="shared" si="4"/>
        <v>-189636</v>
      </c>
    </row>
    <row r="37" spans="1:21" ht="16.5" thickBot="1">
      <c r="A37" s="5" t="s">
        <v>46</v>
      </c>
      <c r="B37" s="27">
        <f t="shared" ref="B37:S37" si="6">SUM(B6:B36)</f>
        <v>2647250</v>
      </c>
      <c r="C37" s="28">
        <f t="shared" si="6"/>
        <v>317670</v>
      </c>
      <c r="D37" s="29">
        <f t="shared" si="6"/>
        <v>2584000</v>
      </c>
      <c r="E37" s="30">
        <f t="shared" si="6"/>
        <v>2232600</v>
      </c>
      <c r="F37" s="28">
        <f t="shared" si="6"/>
        <v>267912</v>
      </c>
      <c r="G37" s="31">
        <f t="shared" si="6"/>
        <v>1704250</v>
      </c>
      <c r="H37" s="27">
        <f t="shared" si="6"/>
        <v>182950</v>
      </c>
      <c r="I37" s="28">
        <f t="shared" si="6"/>
        <v>18295</v>
      </c>
      <c r="J37" s="29">
        <f t="shared" si="6"/>
        <v>160000</v>
      </c>
      <c r="K37" s="30">
        <f t="shared" si="6"/>
        <v>1350200</v>
      </c>
      <c r="L37" s="28">
        <f t="shared" si="6"/>
        <v>162024</v>
      </c>
      <c r="M37" s="31">
        <f t="shared" si="6"/>
        <v>1627750</v>
      </c>
      <c r="N37" s="30">
        <f t="shared" ref="N37:P37" si="7">SUM(N6:N36)</f>
        <v>57450</v>
      </c>
      <c r="O37" s="28">
        <f t="shared" si="7"/>
        <v>6894</v>
      </c>
      <c r="P37" s="31">
        <f t="shared" si="7"/>
        <v>34000</v>
      </c>
      <c r="Q37" s="27">
        <f t="shared" si="6"/>
        <v>6413000</v>
      </c>
      <c r="R37" s="28">
        <f t="shared" si="6"/>
        <v>765901</v>
      </c>
      <c r="S37" s="28">
        <f t="shared" si="6"/>
        <v>6076000</v>
      </c>
      <c r="T37" s="32">
        <f>SUM(T5:T36)</f>
        <v>0</v>
      </c>
      <c r="U37" s="33">
        <f>SUM(U5:U36)</f>
        <v>-428901</v>
      </c>
    </row>
    <row r="40" spans="1:21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77</v>
      </c>
      <c r="C2" s="135"/>
      <c r="D2" s="135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[3]Vendedor10!$J$4</f>
        <v>131200</v>
      </c>
      <c r="C6" s="58">
        <f>[3]Vendedor10!$K$4</f>
        <v>15744</v>
      </c>
      <c r="D6" s="54">
        <f>[3]Vendedor10!$L$4</f>
        <v>25500</v>
      </c>
      <c r="E6" s="53">
        <f>[3]Vendedor10!$J$5</f>
        <v>59300</v>
      </c>
      <c r="F6" s="58">
        <f>[3]Vendedor10!$K$5</f>
        <v>7116</v>
      </c>
      <c r="G6" s="55">
        <f>[3]Vendedor10!$L$5</f>
        <v>108000</v>
      </c>
      <c r="H6" s="61">
        <f>[3]Vendedor10!$J$6</f>
        <v>0</v>
      </c>
      <c r="I6" s="58">
        <f>[3]Vendedor10!$K$6</f>
        <v>0</v>
      </c>
      <c r="J6" s="54">
        <f>[3]Vendedor10!$L$6</f>
        <v>0</v>
      </c>
      <c r="K6" s="59">
        <f t="shared" ref="K6:K36" si="1">+B6+E6+H6</f>
        <v>190500</v>
      </c>
      <c r="L6" s="58">
        <f>MROUND(C6+F6+I6,50)</f>
        <v>22850</v>
      </c>
      <c r="M6" s="58">
        <f t="shared" ref="M6:M36" si="2">+D6+G6+J6</f>
        <v>133500</v>
      </c>
      <c r="N6" s="58">
        <v>0</v>
      </c>
      <c r="O6" s="55">
        <f t="shared" ref="O6:O36" si="3">+K6-L6-M6+N6</f>
        <v>34150</v>
      </c>
    </row>
    <row r="7" spans="1:15">
      <c r="A7" s="13" t="s">
        <v>50</v>
      </c>
      <c r="B7" s="14">
        <f>[4]Vendedor10!$J$4</f>
        <v>69350</v>
      </c>
      <c r="C7" s="15">
        <f>[4]Vendedor10!$K$4</f>
        <v>8322</v>
      </c>
      <c r="D7" s="16">
        <f>[4]Vendedor10!$L$4</f>
        <v>34000</v>
      </c>
      <c r="E7" s="14">
        <f>[4]Vendedor10!$J$5</f>
        <v>40400</v>
      </c>
      <c r="F7" s="15">
        <f>[4]Vendedor10!$K$5</f>
        <v>4848</v>
      </c>
      <c r="G7" s="17">
        <f>[4]Vendedor10!$L$5</f>
        <v>0</v>
      </c>
      <c r="H7" s="18">
        <f>[4]Vendedor10!$J$6</f>
        <v>0</v>
      </c>
      <c r="I7" s="15">
        <f>[4]Vendedor10!$K$6</f>
        <v>0</v>
      </c>
      <c r="J7" s="16">
        <f>[4]Vendedor10!$L$6</f>
        <v>0</v>
      </c>
      <c r="K7" s="19">
        <f t="shared" si="1"/>
        <v>109750</v>
      </c>
      <c r="L7" s="15">
        <f t="shared" ref="L7:L36" si="4">MROUND(C7+F7+I7,50)</f>
        <v>13150</v>
      </c>
      <c r="M7" s="15">
        <f t="shared" si="2"/>
        <v>34000</v>
      </c>
      <c r="N7" s="15">
        <v>0</v>
      </c>
      <c r="O7" s="17">
        <f t="shared" si="3"/>
        <v>62600</v>
      </c>
    </row>
    <row r="8" spans="1:15">
      <c r="A8" s="20" t="s">
        <v>51</v>
      </c>
      <c r="B8" s="14">
        <f>[5]Vendedor10!$J$4</f>
        <v>96850</v>
      </c>
      <c r="C8" s="15">
        <f>[5]Vendedor10!$K$4</f>
        <v>11622</v>
      </c>
      <c r="D8" s="16">
        <f>[5]Vendedor10!$L$4</f>
        <v>42500</v>
      </c>
      <c r="E8" s="14">
        <f>[5]Vendedor10!$J$5</f>
        <v>26950</v>
      </c>
      <c r="F8" s="15">
        <f>[5]Vendedor10!$K$5</f>
        <v>3234</v>
      </c>
      <c r="G8" s="17">
        <f>[5]Vendedor10!$L$5</f>
        <v>120000</v>
      </c>
      <c r="H8" s="18">
        <f>[5]Vendedor10!$J$6</f>
        <v>0</v>
      </c>
      <c r="I8" s="15">
        <f>[5]Vendedor10!$K$6</f>
        <v>0</v>
      </c>
      <c r="J8" s="16">
        <f>[5]Vendedor10!$L$6</f>
        <v>0</v>
      </c>
      <c r="K8" s="19">
        <f t="shared" si="1"/>
        <v>123800</v>
      </c>
      <c r="L8" s="15">
        <f t="shared" si="4"/>
        <v>14850</v>
      </c>
      <c r="M8" s="15">
        <f t="shared" si="2"/>
        <v>162500</v>
      </c>
      <c r="N8" s="15">
        <v>0</v>
      </c>
      <c r="O8" s="17">
        <f t="shared" si="3"/>
        <v>-53550</v>
      </c>
    </row>
    <row r="9" spans="1:15">
      <c r="A9" s="13" t="s">
        <v>52</v>
      </c>
      <c r="B9" s="14">
        <f>[6]Vendedor10!$J$4</f>
        <v>105650</v>
      </c>
      <c r="C9" s="15">
        <f>[6]Vendedor10!$K$4</f>
        <v>12678</v>
      </c>
      <c r="D9" s="16">
        <f>[6]Vendedor10!$L$4</f>
        <v>161500</v>
      </c>
      <c r="E9" s="14">
        <f>[6]Vendedor10!$J$5</f>
        <v>69350</v>
      </c>
      <c r="F9" s="15">
        <f>[6]Vendedor10!$K$5</f>
        <v>8322</v>
      </c>
      <c r="G9" s="17">
        <f>[6]Vendedor10!$L$5</f>
        <v>80000</v>
      </c>
      <c r="H9" s="18">
        <f>[6]Vendedor10!$J$6</f>
        <v>0</v>
      </c>
      <c r="I9" s="15">
        <f>[6]Vendedor10!$K$6</f>
        <v>0</v>
      </c>
      <c r="J9" s="16">
        <f>[6]Vendedor10!$L$6</f>
        <v>0</v>
      </c>
      <c r="K9" s="19">
        <f t="shared" si="1"/>
        <v>175000</v>
      </c>
      <c r="L9" s="15">
        <f t="shared" si="4"/>
        <v>21000</v>
      </c>
      <c r="M9" s="15">
        <f t="shared" si="2"/>
        <v>241500</v>
      </c>
      <c r="N9" s="15">
        <v>0</v>
      </c>
      <c r="O9" s="17">
        <f t="shared" si="3"/>
        <v>-87500</v>
      </c>
    </row>
    <row r="10" spans="1:15">
      <c r="A10" s="20" t="s">
        <v>53</v>
      </c>
      <c r="B10" s="14">
        <f>[7]Vendedor10!$J$4</f>
        <v>87050</v>
      </c>
      <c r="C10" s="15">
        <f>[7]Vendedor10!$K$4</f>
        <v>10446</v>
      </c>
      <c r="D10" s="16">
        <f>[7]Vendedor10!$L$4</f>
        <v>110500</v>
      </c>
      <c r="E10" s="14">
        <f>[7]Vendedor10!$J$5</f>
        <v>40650</v>
      </c>
      <c r="F10" s="15">
        <f>[7]Vendedor10!$K$5</f>
        <v>4878</v>
      </c>
      <c r="G10" s="17">
        <f>[7]Vendedor10!$L$5</f>
        <v>0</v>
      </c>
      <c r="H10" s="18">
        <f>[7]Vendedor10!$J$6</f>
        <v>0</v>
      </c>
      <c r="I10" s="15">
        <f>[7]Vendedor10!$K$6</f>
        <v>0</v>
      </c>
      <c r="J10" s="16">
        <f>[7]Vendedor10!$L$6</f>
        <v>0</v>
      </c>
      <c r="K10" s="19">
        <f t="shared" si="1"/>
        <v>127700</v>
      </c>
      <c r="L10" s="15">
        <f t="shared" si="4"/>
        <v>15300</v>
      </c>
      <c r="M10" s="15">
        <f t="shared" si="2"/>
        <v>110500</v>
      </c>
      <c r="N10" s="15">
        <v>0</v>
      </c>
      <c r="O10" s="17">
        <f t="shared" si="3"/>
        <v>1900</v>
      </c>
    </row>
    <row r="11" spans="1:15">
      <c r="A11" s="13" t="s">
        <v>20</v>
      </c>
      <c r="B11" s="14">
        <f>[8]Vendedor10!$J$4</f>
        <v>128500</v>
      </c>
      <c r="C11" s="15">
        <f>[8]Vendedor10!$K$4</f>
        <v>15420</v>
      </c>
      <c r="D11" s="16">
        <f>[8]Vendedor10!$L$4</f>
        <v>131750</v>
      </c>
      <c r="E11" s="14">
        <f>[8]Vendedor10!$J$5</f>
        <v>50150</v>
      </c>
      <c r="F11" s="15">
        <f>[8]Vendedor10!$K$5</f>
        <v>6018</v>
      </c>
      <c r="G11" s="17">
        <f>[8]Vendedor10!$L$5</f>
        <v>0</v>
      </c>
      <c r="H11" s="18">
        <f>[8]Vendedor10!$J$6</f>
        <v>0</v>
      </c>
      <c r="I11" s="15">
        <f>[8]Vendedor10!$K$6</f>
        <v>0</v>
      </c>
      <c r="J11" s="16">
        <f>[8]Vendedor10!$L$6</f>
        <v>0</v>
      </c>
      <c r="K11" s="19">
        <f t="shared" si="1"/>
        <v>178650</v>
      </c>
      <c r="L11" s="15">
        <f t="shared" si="4"/>
        <v>21450</v>
      </c>
      <c r="M11" s="15">
        <f t="shared" si="2"/>
        <v>131750</v>
      </c>
      <c r="N11" s="15">
        <v>0</v>
      </c>
      <c r="O11" s="17">
        <f t="shared" si="3"/>
        <v>25450</v>
      </c>
    </row>
    <row r="12" spans="1:15">
      <c r="A12" s="20" t="s">
        <v>21</v>
      </c>
      <c r="B12" s="14">
        <f>[9]Vendedor10!$J$4</f>
        <v>115600</v>
      </c>
      <c r="C12" s="15">
        <f>[9]Vendedor10!$K$4</f>
        <v>13872</v>
      </c>
      <c r="D12" s="16">
        <f>[9]Vendedor10!$L$4</f>
        <v>42500</v>
      </c>
      <c r="E12" s="14">
        <f>[9]Vendedor10!$J$5</f>
        <v>78700</v>
      </c>
      <c r="F12" s="15">
        <f>[9]Vendedor10!$K$5</f>
        <v>9444</v>
      </c>
      <c r="G12" s="17">
        <f>[9]Vendedor10!$L$5</f>
        <v>40000</v>
      </c>
      <c r="H12" s="18">
        <f>[9]Vendedor10!$J$6</f>
        <v>0</v>
      </c>
      <c r="I12" s="15">
        <f>[9]Vendedor10!$K$6</f>
        <v>0</v>
      </c>
      <c r="J12" s="16">
        <f>[9]Vendedor10!$L$6</f>
        <v>0</v>
      </c>
      <c r="K12" s="19">
        <f t="shared" si="1"/>
        <v>194300</v>
      </c>
      <c r="L12" s="15">
        <f t="shared" si="4"/>
        <v>23300</v>
      </c>
      <c r="M12" s="15">
        <f t="shared" si="2"/>
        <v>82500</v>
      </c>
      <c r="N12" s="15">
        <v>0</v>
      </c>
      <c r="O12" s="17">
        <f t="shared" si="3"/>
        <v>88500</v>
      </c>
    </row>
    <row r="13" spans="1:15">
      <c r="A13" s="13" t="s">
        <v>22</v>
      </c>
      <c r="B13" s="14">
        <f>[10]Vendedor10!$J$4</f>
        <v>148050</v>
      </c>
      <c r="C13" s="15">
        <f>[10]Vendedor10!$K$4</f>
        <v>17766</v>
      </c>
      <c r="D13" s="16">
        <f>[10]Vendedor10!$L$4</f>
        <v>212500</v>
      </c>
      <c r="E13" s="14">
        <f>[10]Vendedor10!$J$5</f>
        <v>87950</v>
      </c>
      <c r="F13" s="15">
        <f>[10]Vendedor10!$K$5</f>
        <v>10554</v>
      </c>
      <c r="G13" s="17">
        <f>[10]Vendedor10!$L$5</f>
        <v>32000</v>
      </c>
      <c r="H13" s="18">
        <f>[10]Vendedor10!$J$6</f>
        <v>0</v>
      </c>
      <c r="I13" s="15">
        <f>[10]Vendedor10!$K$6</f>
        <v>0</v>
      </c>
      <c r="J13" s="16">
        <f>[10]Vendedor10!$L$6</f>
        <v>0</v>
      </c>
      <c r="K13" s="19">
        <f t="shared" si="1"/>
        <v>236000</v>
      </c>
      <c r="L13" s="15">
        <f t="shared" si="4"/>
        <v>28300</v>
      </c>
      <c r="M13" s="15">
        <f t="shared" si="2"/>
        <v>244500</v>
      </c>
      <c r="N13" s="15">
        <v>0</v>
      </c>
      <c r="O13" s="17">
        <f t="shared" si="3"/>
        <v>-36800</v>
      </c>
    </row>
    <row r="14" spans="1:15">
      <c r="A14" s="20" t="s">
        <v>23</v>
      </c>
      <c r="B14" s="14">
        <f>[11]Vendedor10!$J$4</f>
        <v>121500</v>
      </c>
      <c r="C14" s="15">
        <f>[11]Vendedor10!$K$4</f>
        <v>14580</v>
      </c>
      <c r="D14" s="16">
        <f>[11]Vendedor10!$L$4</f>
        <v>51000</v>
      </c>
      <c r="E14" s="14">
        <f>[11]Vendedor10!$J$5</f>
        <v>87650</v>
      </c>
      <c r="F14" s="15">
        <f>[11]Vendedor10!$K$5</f>
        <v>10518</v>
      </c>
      <c r="G14" s="17">
        <f>[11]Vendedor10!$L$5</f>
        <v>120000</v>
      </c>
      <c r="H14" s="18">
        <f>[11]Vendedor10!$J$6</f>
        <v>0</v>
      </c>
      <c r="I14" s="15">
        <f>[11]Vendedor10!$K$6</f>
        <v>0</v>
      </c>
      <c r="J14" s="16">
        <f>[11]Vendedor10!$L$6</f>
        <v>0</v>
      </c>
      <c r="K14" s="19">
        <f t="shared" si="1"/>
        <v>209150</v>
      </c>
      <c r="L14" s="15">
        <f t="shared" si="4"/>
        <v>25100</v>
      </c>
      <c r="M14" s="15">
        <f t="shared" si="2"/>
        <v>171000</v>
      </c>
      <c r="N14" s="15">
        <v>0</v>
      </c>
      <c r="O14" s="17">
        <f t="shared" si="3"/>
        <v>13050</v>
      </c>
    </row>
    <row r="15" spans="1:15">
      <c r="A15" s="13" t="s">
        <v>24</v>
      </c>
      <c r="B15" s="14">
        <f>[12]Vendedor10!$J$4</f>
        <v>116900</v>
      </c>
      <c r="C15" s="15">
        <f>[12]Vendedor10!$K$4</f>
        <v>14028</v>
      </c>
      <c r="D15" s="16">
        <f>[12]Vendedor10!$L$4</f>
        <v>51000</v>
      </c>
      <c r="E15" s="14">
        <f>[12]Vendedor10!$J$5</f>
        <v>81050</v>
      </c>
      <c r="F15" s="15">
        <f>[12]Vendedor10!$K$5</f>
        <v>9726</v>
      </c>
      <c r="G15" s="17">
        <f>[12]Vendedor10!$L$5</f>
        <v>132000</v>
      </c>
      <c r="H15" s="18">
        <f>[12]Vendedor10!$J$6</f>
        <v>0</v>
      </c>
      <c r="I15" s="15">
        <f>[12]Vendedor10!$K$6</f>
        <v>0</v>
      </c>
      <c r="J15" s="16">
        <f>[12]Vendedor10!$L$6</f>
        <v>0</v>
      </c>
      <c r="K15" s="19">
        <f t="shared" si="1"/>
        <v>197950</v>
      </c>
      <c r="L15" s="15">
        <f t="shared" si="4"/>
        <v>23750</v>
      </c>
      <c r="M15" s="15">
        <f t="shared" si="2"/>
        <v>183000</v>
      </c>
      <c r="N15" s="15">
        <v>0</v>
      </c>
      <c r="O15" s="17">
        <f t="shared" si="3"/>
        <v>-8800</v>
      </c>
    </row>
    <row r="16" spans="1:15">
      <c r="A16" s="20" t="s">
        <v>25</v>
      </c>
      <c r="B16" s="14">
        <f>[13]Vendedor10!$J$4</f>
        <v>136350</v>
      </c>
      <c r="C16" s="15">
        <f>[13]Vendedor10!$K$4</f>
        <v>16362</v>
      </c>
      <c r="D16" s="16">
        <f>[13]Vendedor10!$L$4</f>
        <v>161500</v>
      </c>
      <c r="E16" s="14">
        <f>[13]Vendedor10!$J$5</f>
        <v>98150</v>
      </c>
      <c r="F16" s="15">
        <f>[13]Vendedor10!$K$5</f>
        <v>11778</v>
      </c>
      <c r="G16" s="17">
        <f>[13]Vendedor10!$L$5</f>
        <v>32000</v>
      </c>
      <c r="H16" s="18">
        <f>[13]Vendedor10!$J$6</f>
        <v>0</v>
      </c>
      <c r="I16" s="15">
        <f>[13]Vendedor10!$K$6</f>
        <v>0</v>
      </c>
      <c r="J16" s="16">
        <f>[13]Vendedor10!$L$6</f>
        <v>0</v>
      </c>
      <c r="K16" s="19">
        <f t="shared" si="1"/>
        <v>234500</v>
      </c>
      <c r="L16" s="15">
        <f t="shared" si="4"/>
        <v>28150</v>
      </c>
      <c r="M16" s="15">
        <f t="shared" si="2"/>
        <v>193500</v>
      </c>
      <c r="N16" s="15">
        <v>0</v>
      </c>
      <c r="O16" s="17">
        <f t="shared" si="3"/>
        <v>12850</v>
      </c>
    </row>
    <row r="17" spans="1:15">
      <c r="A17" s="13" t="s">
        <v>26</v>
      </c>
      <c r="B17" s="14">
        <f>[14]Vendedor10!$J$4</f>
        <v>106550</v>
      </c>
      <c r="C17" s="15">
        <f>[14]Vendedor10!$K$4</f>
        <v>12786</v>
      </c>
      <c r="D17" s="16">
        <f>[14]Vendedor10!$L$4</f>
        <v>0</v>
      </c>
      <c r="E17" s="14">
        <f>[14]Vendedor10!$J$5</f>
        <v>91300</v>
      </c>
      <c r="F17" s="15">
        <f>[14]Vendedor10!$K$5</f>
        <v>10956</v>
      </c>
      <c r="G17" s="17">
        <f>[14]Vendedor10!$L$5</f>
        <v>60000</v>
      </c>
      <c r="H17" s="18">
        <f>[14]Vendedor10!$J$6</f>
        <v>0</v>
      </c>
      <c r="I17" s="15">
        <f>[14]Vendedor10!$K$6</f>
        <v>0</v>
      </c>
      <c r="J17" s="16">
        <f>[14]Vendedor10!$L$6</f>
        <v>0</v>
      </c>
      <c r="K17" s="19">
        <f t="shared" si="1"/>
        <v>197850</v>
      </c>
      <c r="L17" s="15">
        <f t="shared" si="4"/>
        <v>23750</v>
      </c>
      <c r="M17" s="15">
        <f t="shared" si="2"/>
        <v>60000</v>
      </c>
      <c r="N17" s="15">
        <v>0</v>
      </c>
      <c r="O17" s="17">
        <f t="shared" si="3"/>
        <v>114100</v>
      </c>
    </row>
    <row r="18" spans="1:15">
      <c r="A18" s="20" t="s">
        <v>27</v>
      </c>
      <c r="B18" s="14">
        <f>[15]Vendedor10!$J$4</f>
        <v>122400</v>
      </c>
      <c r="C18" s="15">
        <f>[15]Vendedor10!$K$4</f>
        <v>14688</v>
      </c>
      <c r="D18" s="16">
        <f>[15]Vendedor10!$L$4</f>
        <v>0</v>
      </c>
      <c r="E18" s="14">
        <f>[15]Vendedor10!$J$5</f>
        <v>43850</v>
      </c>
      <c r="F18" s="15">
        <f>[15]Vendedor10!$K$5</f>
        <v>5262</v>
      </c>
      <c r="G18" s="17">
        <f>[15]Vendedor10!$L$5</f>
        <v>0</v>
      </c>
      <c r="H18" s="18">
        <f>[15]Vendedor10!$J$6</f>
        <v>0</v>
      </c>
      <c r="I18" s="15">
        <f>[15]Vendedor10!$K$6</f>
        <v>0</v>
      </c>
      <c r="J18" s="16">
        <f>[15]Vendedor10!$L$6</f>
        <v>0</v>
      </c>
      <c r="K18" s="19">
        <f t="shared" si="1"/>
        <v>166250</v>
      </c>
      <c r="L18" s="15">
        <f t="shared" si="4"/>
        <v>19950</v>
      </c>
      <c r="M18" s="15">
        <f t="shared" si="2"/>
        <v>0</v>
      </c>
      <c r="N18" s="15">
        <v>0</v>
      </c>
      <c r="O18" s="17">
        <f t="shared" si="3"/>
        <v>146300</v>
      </c>
    </row>
    <row r="19" spans="1:15">
      <c r="A19" s="20" t="s">
        <v>28</v>
      </c>
      <c r="B19" s="14">
        <f>[16]Vendedor10!$J$4</f>
        <v>102700</v>
      </c>
      <c r="C19" s="15">
        <f>[16]Vendedor10!$K$4</f>
        <v>12324</v>
      </c>
      <c r="D19" s="16">
        <f>[16]Vendedor10!$L$4</f>
        <v>34000</v>
      </c>
      <c r="E19" s="14">
        <f>[16]Vendedor10!$J$5</f>
        <v>47250</v>
      </c>
      <c r="F19" s="15">
        <f>[16]Vendedor10!$K$5</f>
        <v>5670</v>
      </c>
      <c r="G19" s="17">
        <f>[16]Vendedor10!$L$5</f>
        <v>36000</v>
      </c>
      <c r="H19" s="18">
        <f>[16]Vendedor10!$J$6</f>
        <v>0</v>
      </c>
      <c r="I19" s="15">
        <f>[16]Vendedor10!$K$6</f>
        <v>0</v>
      </c>
      <c r="J19" s="16">
        <f>[16]Vendedor10!$L$6</f>
        <v>0</v>
      </c>
      <c r="K19" s="19">
        <f t="shared" si="1"/>
        <v>149950</v>
      </c>
      <c r="L19" s="15">
        <f t="shared" si="4"/>
        <v>18000</v>
      </c>
      <c r="M19" s="15">
        <f t="shared" si="2"/>
        <v>70000</v>
      </c>
      <c r="N19" s="15">
        <v>0</v>
      </c>
      <c r="O19" s="17">
        <f t="shared" si="3"/>
        <v>61950</v>
      </c>
    </row>
    <row r="20" spans="1:15">
      <c r="A20" s="13" t="s">
        <v>29</v>
      </c>
      <c r="B20" s="14">
        <f>[17]Vendedor10!$J$4</f>
        <v>137050</v>
      </c>
      <c r="C20" s="15">
        <f>[17]Vendedor10!$K$4</f>
        <v>16446</v>
      </c>
      <c r="D20" s="16">
        <f>[17]Vendedor10!$L$4</f>
        <v>38250</v>
      </c>
      <c r="E20" s="14">
        <f>[17]Vendedor10!$J$5</f>
        <v>72000</v>
      </c>
      <c r="F20" s="15">
        <f>[17]Vendedor10!$K$5</f>
        <v>8640</v>
      </c>
      <c r="G20" s="17">
        <f>[17]Vendedor10!$L$5</f>
        <v>20000</v>
      </c>
      <c r="H20" s="18">
        <f>[17]Vendedor10!$J$6</f>
        <v>0</v>
      </c>
      <c r="I20" s="15">
        <f>[17]Vendedor10!$K$6</f>
        <v>0</v>
      </c>
      <c r="J20" s="16">
        <f>[17]Vendedor10!$L$6</f>
        <v>0</v>
      </c>
      <c r="K20" s="19">
        <f t="shared" si="1"/>
        <v>209050</v>
      </c>
      <c r="L20" s="15">
        <f t="shared" si="4"/>
        <v>25100</v>
      </c>
      <c r="M20" s="15">
        <f t="shared" si="2"/>
        <v>58250</v>
      </c>
      <c r="N20" s="15">
        <v>0</v>
      </c>
      <c r="O20" s="17">
        <f t="shared" si="3"/>
        <v>125700</v>
      </c>
    </row>
    <row r="21" spans="1:15">
      <c r="A21" s="20" t="s">
        <v>30</v>
      </c>
      <c r="B21" s="14">
        <f>[18]Vendedor10!$J$4</f>
        <v>64600</v>
      </c>
      <c r="C21" s="81">
        <f>[18]Vendedor10!$K$4</f>
        <v>7752</v>
      </c>
      <c r="D21" s="82">
        <f>[18]Vendedor10!$L$4</f>
        <v>106250</v>
      </c>
      <c r="E21" s="14">
        <f>[18]Vendedor10!$J$5</f>
        <v>48700</v>
      </c>
      <c r="F21" s="81">
        <f>[18]Vendedor10!$K$5</f>
        <v>5844</v>
      </c>
      <c r="G21" s="85">
        <f>[18]Vendedor10!$L$5</f>
        <v>0</v>
      </c>
      <c r="H21" s="19">
        <f>[18]Vendedor10!$J$6</f>
        <v>0</v>
      </c>
      <c r="I21" s="15">
        <f>[18]Vendedor10!$K$6</f>
        <v>0</v>
      </c>
      <c r="J21" s="17">
        <f>[18]Vendedor10!$L$6</f>
        <v>0</v>
      </c>
      <c r="K21" s="19">
        <f t="shared" si="1"/>
        <v>113300</v>
      </c>
      <c r="L21" s="15">
        <f t="shared" si="4"/>
        <v>13600</v>
      </c>
      <c r="M21" s="15">
        <f t="shared" si="2"/>
        <v>106250</v>
      </c>
      <c r="N21" s="15">
        <v>0</v>
      </c>
      <c r="O21" s="17">
        <f t="shared" si="3"/>
        <v>-6550</v>
      </c>
    </row>
    <row r="22" spans="1:15">
      <c r="A22" s="13" t="s">
        <v>31</v>
      </c>
      <c r="B22" s="14">
        <f>[19]Vendedor10!$J$4</f>
        <v>91000</v>
      </c>
      <c r="C22" s="81">
        <f>[19]Vendedor10!$K$4</f>
        <v>10920</v>
      </c>
      <c r="D22" s="82">
        <f>[19]Vendedor10!$L$4</f>
        <v>25500</v>
      </c>
      <c r="E22" s="14">
        <f>[19]Vendedor10!$J$5</f>
        <v>59850</v>
      </c>
      <c r="F22" s="81">
        <f>[19]Vendedor10!$K$5</f>
        <v>7182</v>
      </c>
      <c r="G22" s="85">
        <f>[19]Vendedor10!$L$5</f>
        <v>0</v>
      </c>
      <c r="H22" s="19">
        <f>[19]Vendedor10!$J$6</f>
        <v>0</v>
      </c>
      <c r="I22" s="15">
        <f>[19]Vendedor10!$K$6</f>
        <v>0</v>
      </c>
      <c r="J22" s="17">
        <f>[19]Vendedor10!$L$6</f>
        <v>0</v>
      </c>
      <c r="K22" s="19">
        <f t="shared" si="1"/>
        <v>150850</v>
      </c>
      <c r="L22" s="15">
        <f t="shared" si="4"/>
        <v>18100</v>
      </c>
      <c r="M22" s="15">
        <f t="shared" si="2"/>
        <v>25500</v>
      </c>
      <c r="N22" s="15">
        <v>0</v>
      </c>
      <c r="O22" s="17">
        <f t="shared" si="3"/>
        <v>107250</v>
      </c>
    </row>
    <row r="23" spans="1:15">
      <c r="A23" s="20" t="s">
        <v>32</v>
      </c>
      <c r="B23" s="14">
        <f>[20]Vendedor10!$J$4</f>
        <v>117100</v>
      </c>
      <c r="C23" s="81">
        <f>[20]Vendedor10!$K$4</f>
        <v>14052</v>
      </c>
      <c r="D23" s="82">
        <f>[20]Vendedor10!$L$4</f>
        <v>59500</v>
      </c>
      <c r="E23" s="14">
        <f>[20]Vendedor10!$J$5</f>
        <v>78350</v>
      </c>
      <c r="F23" s="81">
        <f>[20]Vendedor10!$K$5</f>
        <v>9402</v>
      </c>
      <c r="G23" s="85">
        <f>[20]Vendedor10!$L$5</f>
        <v>0</v>
      </c>
      <c r="H23" s="19">
        <f>[20]Vendedor10!$J$6</f>
        <v>0</v>
      </c>
      <c r="I23" s="15">
        <f>[20]Vendedor10!$K$6</f>
        <v>0</v>
      </c>
      <c r="J23" s="17">
        <f>[20]Vendedor10!$L$6</f>
        <v>0</v>
      </c>
      <c r="K23" s="19">
        <f t="shared" si="1"/>
        <v>195450</v>
      </c>
      <c r="L23" s="15">
        <f t="shared" si="4"/>
        <v>23450</v>
      </c>
      <c r="M23" s="15">
        <f t="shared" si="2"/>
        <v>59500</v>
      </c>
      <c r="N23" s="15">
        <v>0</v>
      </c>
      <c r="O23" s="17">
        <f t="shared" si="3"/>
        <v>112500</v>
      </c>
    </row>
    <row r="24" spans="1:15">
      <c r="A24" s="13" t="s">
        <v>33</v>
      </c>
      <c r="B24" s="14">
        <f>[21]Vendedor10!$J$4</f>
        <v>95200</v>
      </c>
      <c r="C24" s="81">
        <f>[21]Vendedor10!$K$4</f>
        <v>11424</v>
      </c>
      <c r="D24" s="82">
        <f>[21]Vendedor10!$L$4</f>
        <v>25500</v>
      </c>
      <c r="E24" s="14">
        <f>[21]Vendedor10!$J$5</f>
        <v>34800</v>
      </c>
      <c r="F24" s="81">
        <f>[21]Vendedor10!$K$5</f>
        <v>4176</v>
      </c>
      <c r="G24" s="85">
        <f>[21]Vendedor10!$L$5</f>
        <v>0</v>
      </c>
      <c r="H24" s="19">
        <f>[21]Vendedor10!$J$6</f>
        <v>0</v>
      </c>
      <c r="I24" s="15">
        <f>[21]Vendedor10!$K$6</f>
        <v>0</v>
      </c>
      <c r="J24" s="17">
        <f>[21]Vendedor10!$L$6</f>
        <v>0</v>
      </c>
      <c r="K24" s="19">
        <f t="shared" si="1"/>
        <v>130000</v>
      </c>
      <c r="L24" s="15">
        <f t="shared" si="4"/>
        <v>15600</v>
      </c>
      <c r="M24" s="15">
        <f t="shared" si="2"/>
        <v>25500</v>
      </c>
      <c r="N24" s="15">
        <v>0</v>
      </c>
      <c r="O24" s="17">
        <f t="shared" si="3"/>
        <v>88900</v>
      </c>
    </row>
    <row r="25" spans="1:15">
      <c r="A25" s="20" t="s">
        <v>34</v>
      </c>
      <c r="B25" s="14">
        <f>[22]Vendedor10!$J$4</f>
        <v>158000</v>
      </c>
      <c r="C25" s="81">
        <f>[22]Vendedor10!$K$4</f>
        <v>18960</v>
      </c>
      <c r="D25" s="82">
        <f>[22]Vendedor10!$L$4</f>
        <v>246500</v>
      </c>
      <c r="E25" s="14">
        <f>[22]Vendedor10!$J$5</f>
        <v>73250</v>
      </c>
      <c r="F25" s="81">
        <f>[22]Vendedor10!$K$5</f>
        <v>8790</v>
      </c>
      <c r="G25" s="85">
        <f>[22]Vendedor10!$L$5</f>
        <v>0</v>
      </c>
      <c r="H25" s="19">
        <f>[22]Vendedor10!$J$6</f>
        <v>0</v>
      </c>
      <c r="I25" s="15">
        <f>[22]Vendedor10!$K$6</f>
        <v>0</v>
      </c>
      <c r="J25" s="17">
        <f>[22]Vendedor10!$L$6</f>
        <v>0</v>
      </c>
      <c r="K25" s="19">
        <f t="shared" si="1"/>
        <v>231250</v>
      </c>
      <c r="L25" s="15">
        <f t="shared" si="4"/>
        <v>27750</v>
      </c>
      <c r="M25" s="15">
        <f t="shared" si="2"/>
        <v>246500</v>
      </c>
      <c r="N25" s="15">
        <v>0</v>
      </c>
      <c r="O25" s="17">
        <f t="shared" si="3"/>
        <v>-43000</v>
      </c>
    </row>
    <row r="26" spans="1:15">
      <c r="A26" s="13" t="s">
        <v>35</v>
      </c>
      <c r="B26" s="14">
        <f>[23]Vendedor10!$J$4</f>
        <v>110700</v>
      </c>
      <c r="C26" s="81">
        <f>[23]Vendedor10!$K$4</f>
        <v>13284</v>
      </c>
      <c r="D26" s="82">
        <f>[23]Vendedor10!$L$4</f>
        <v>148750</v>
      </c>
      <c r="E26" s="14">
        <f>[23]Vendedor10!$J$5</f>
        <v>39950</v>
      </c>
      <c r="F26" s="81">
        <f>[23]Vendedor10!$K$5</f>
        <v>4794</v>
      </c>
      <c r="G26" s="85">
        <f>[23]Vendedor10!$L$5</f>
        <v>0</v>
      </c>
      <c r="H26" s="19">
        <f>[23]Vendedor10!$J$6</f>
        <v>0</v>
      </c>
      <c r="I26" s="15">
        <f>[23]Vendedor10!$K$6</f>
        <v>0</v>
      </c>
      <c r="J26" s="17">
        <f>[23]Vendedor10!$L$6</f>
        <v>0</v>
      </c>
      <c r="K26" s="19">
        <f t="shared" si="1"/>
        <v>150650</v>
      </c>
      <c r="L26" s="15">
        <f t="shared" si="4"/>
        <v>18100</v>
      </c>
      <c r="M26" s="15">
        <f t="shared" si="2"/>
        <v>148750</v>
      </c>
      <c r="N26" s="15">
        <v>0</v>
      </c>
      <c r="O26" s="17">
        <f t="shared" si="3"/>
        <v>-16200</v>
      </c>
    </row>
    <row r="27" spans="1:15">
      <c r="A27" s="20" t="s">
        <v>36</v>
      </c>
      <c r="B27" s="14">
        <f>[24]Vendedor10!$J$4</f>
        <v>128050</v>
      </c>
      <c r="C27" s="81">
        <f>[24]Vendedor10!$K$4</f>
        <v>15366</v>
      </c>
      <c r="D27" s="82">
        <f>[24]Vendedor10!$L$4</f>
        <v>110500</v>
      </c>
      <c r="E27" s="14">
        <f>[24]Vendedor10!$J$5</f>
        <v>54100</v>
      </c>
      <c r="F27" s="81">
        <f>[24]Vendedor10!$K$5</f>
        <v>6492</v>
      </c>
      <c r="G27" s="85">
        <f>[24]Vendedor10!$L$5</f>
        <v>20000</v>
      </c>
      <c r="H27" s="19">
        <f>[24]Vendedor10!$J$6</f>
        <v>0</v>
      </c>
      <c r="I27" s="15">
        <f>[24]Vendedor10!$K$6</f>
        <v>0</v>
      </c>
      <c r="J27" s="17">
        <f>[24]Vendedor10!$L$6</f>
        <v>0</v>
      </c>
      <c r="K27" s="19">
        <f t="shared" si="1"/>
        <v>182150</v>
      </c>
      <c r="L27" s="15">
        <f t="shared" si="4"/>
        <v>21850</v>
      </c>
      <c r="M27" s="15">
        <f t="shared" si="2"/>
        <v>130500</v>
      </c>
      <c r="N27" s="15">
        <v>0</v>
      </c>
      <c r="O27" s="17">
        <f t="shared" si="3"/>
        <v>29800</v>
      </c>
    </row>
    <row r="28" spans="1:15">
      <c r="A28" s="13" t="s">
        <v>37</v>
      </c>
      <c r="B28" s="14">
        <f>[25]Vendedor10!$J$4</f>
        <v>96500</v>
      </c>
      <c r="C28" s="81">
        <f>[25]Vendedor10!$K$4</f>
        <v>11580</v>
      </c>
      <c r="D28" s="82">
        <f>[25]Vendedor10!$L$4</f>
        <v>208250</v>
      </c>
      <c r="E28" s="14">
        <f>[25]Vendedor10!$J$5</f>
        <v>67400</v>
      </c>
      <c r="F28" s="81">
        <f>[25]Vendedor10!$K$5</f>
        <v>8088</v>
      </c>
      <c r="G28" s="85">
        <f>[25]Vendedor10!$L$5</f>
        <v>160000</v>
      </c>
      <c r="H28" s="19">
        <f>[25]Vendedor10!$J$6</f>
        <v>0</v>
      </c>
      <c r="I28" s="15">
        <f>[25]Vendedor10!$K$6</f>
        <v>0</v>
      </c>
      <c r="J28" s="17">
        <f>[25]Vendedor10!$L$6</f>
        <v>0</v>
      </c>
      <c r="K28" s="19">
        <f t="shared" si="1"/>
        <v>163900</v>
      </c>
      <c r="L28" s="15">
        <f t="shared" si="4"/>
        <v>19650</v>
      </c>
      <c r="M28" s="15">
        <f t="shared" si="2"/>
        <v>368250</v>
      </c>
      <c r="N28" s="15">
        <v>0</v>
      </c>
      <c r="O28" s="17">
        <f t="shared" si="3"/>
        <v>-224000</v>
      </c>
    </row>
    <row r="29" spans="1:15">
      <c r="A29" s="20" t="s">
        <v>38</v>
      </c>
      <c r="B29" s="14">
        <f>[26]Vendedor10!$J$4</f>
        <v>142000</v>
      </c>
      <c r="C29" s="81">
        <f>[26]Vendedor10!$K$4</f>
        <v>17040</v>
      </c>
      <c r="D29" s="82">
        <f>[26]Vendedor10!$L$4</f>
        <v>25500</v>
      </c>
      <c r="E29" s="14">
        <f>[26]Vendedor10!$J$5</f>
        <v>86650</v>
      </c>
      <c r="F29" s="81">
        <f>[26]Vendedor10!$K$5</f>
        <v>10398</v>
      </c>
      <c r="G29" s="85">
        <f>[26]Vendedor10!$L$5</f>
        <v>76000</v>
      </c>
      <c r="H29" s="19">
        <f>[26]Vendedor10!$J$6</f>
        <v>0</v>
      </c>
      <c r="I29" s="15">
        <f>[26]Vendedor10!$K$6</f>
        <v>0</v>
      </c>
      <c r="J29" s="17">
        <f>[26]Vendedor10!$L$6</f>
        <v>0</v>
      </c>
      <c r="K29" s="19">
        <f t="shared" si="1"/>
        <v>228650</v>
      </c>
      <c r="L29" s="15">
        <f t="shared" si="4"/>
        <v>27450</v>
      </c>
      <c r="M29" s="15">
        <f t="shared" si="2"/>
        <v>101500</v>
      </c>
      <c r="N29" s="15">
        <v>0</v>
      </c>
      <c r="O29" s="17">
        <f t="shared" si="3"/>
        <v>99700</v>
      </c>
    </row>
    <row r="30" spans="1:15">
      <c r="A30" s="13" t="s">
        <v>39</v>
      </c>
      <c r="B30" s="14">
        <f>[27]Vendedor10!$J$4</f>
        <v>114800</v>
      </c>
      <c r="C30" s="81">
        <f>[27]Vendedor10!$K$4</f>
        <v>13776</v>
      </c>
      <c r="D30" s="82">
        <f>[27]Vendedor10!$L$4</f>
        <v>318750</v>
      </c>
      <c r="E30" s="14">
        <f>[27]Vendedor10!$J$5</f>
        <v>77050</v>
      </c>
      <c r="F30" s="81">
        <f>[27]Vendedor10!$K$5</f>
        <v>9246</v>
      </c>
      <c r="G30" s="85">
        <f>[27]Vendedor10!$L$5</f>
        <v>52000</v>
      </c>
      <c r="H30" s="19">
        <f>[27]Vendedor10!$J$6</f>
        <v>0</v>
      </c>
      <c r="I30" s="15">
        <f>[27]Vendedor10!$K$6</f>
        <v>0</v>
      </c>
      <c r="J30" s="17">
        <f>[27]Vendedor10!$L$6</f>
        <v>0</v>
      </c>
      <c r="K30" s="19">
        <f t="shared" si="1"/>
        <v>191850</v>
      </c>
      <c r="L30" s="15">
        <f t="shared" si="4"/>
        <v>23000</v>
      </c>
      <c r="M30" s="15">
        <f t="shared" si="2"/>
        <v>370750</v>
      </c>
      <c r="N30" s="15">
        <v>0</v>
      </c>
      <c r="O30" s="17">
        <f t="shared" si="3"/>
        <v>-201900</v>
      </c>
    </row>
    <row r="31" spans="1:15">
      <c r="A31" s="20" t="s">
        <v>40</v>
      </c>
      <c r="B31" s="14">
        <f>[28]Vendedor10!$J$4</f>
        <v>103650</v>
      </c>
      <c r="C31" s="81">
        <f>[28]Vendedor10!$K$4</f>
        <v>12438</v>
      </c>
      <c r="D31" s="82">
        <f>[28]Vendedor10!$L$4</f>
        <v>114750</v>
      </c>
      <c r="E31" s="14">
        <f>[28]Vendedor10!$J$5</f>
        <v>38200</v>
      </c>
      <c r="F31" s="81">
        <f>[28]Vendedor10!$K$5</f>
        <v>4584</v>
      </c>
      <c r="G31" s="85">
        <f>[28]Vendedor10!$L$5</f>
        <v>0</v>
      </c>
      <c r="H31" s="19">
        <f>[28]Vendedor10!$J$6</f>
        <v>0</v>
      </c>
      <c r="I31" s="15">
        <f>[28]Vendedor10!$K$6</f>
        <v>0</v>
      </c>
      <c r="J31" s="17">
        <f>[28]Vendedor10!$L$6</f>
        <v>0</v>
      </c>
      <c r="K31" s="19">
        <f t="shared" si="1"/>
        <v>141850</v>
      </c>
      <c r="L31" s="15">
        <f t="shared" si="4"/>
        <v>17000</v>
      </c>
      <c r="M31" s="15">
        <f t="shared" si="2"/>
        <v>114750</v>
      </c>
      <c r="N31" s="15">
        <v>0</v>
      </c>
      <c r="O31" s="17">
        <f t="shared" si="3"/>
        <v>10100</v>
      </c>
    </row>
    <row r="32" spans="1:15">
      <c r="A32" s="20" t="s">
        <v>41</v>
      </c>
      <c r="B32" s="14">
        <f>[29]Vendedor10!$J$4</f>
        <v>103050</v>
      </c>
      <c r="C32" s="81">
        <f>[29]Vendedor10!$K$4</f>
        <v>12366</v>
      </c>
      <c r="D32" s="82">
        <f>[29]Vendedor10!$L$4</f>
        <v>127500</v>
      </c>
      <c r="E32" s="14">
        <f>[29]Vendedor10!$J$5</f>
        <v>38750</v>
      </c>
      <c r="F32" s="81">
        <f>[29]Vendedor10!$K$5</f>
        <v>4650</v>
      </c>
      <c r="G32" s="85">
        <f>[29]Vendedor10!$L$5</f>
        <v>0</v>
      </c>
      <c r="H32" s="19">
        <f>[29]Vendedor10!$J$6</f>
        <v>0</v>
      </c>
      <c r="I32" s="15">
        <f>[29]Vendedor10!$K$6</f>
        <v>0</v>
      </c>
      <c r="J32" s="17">
        <f>[29]Vendedor10!$L$6</f>
        <v>0</v>
      </c>
      <c r="K32" s="19">
        <f t="shared" si="1"/>
        <v>141800</v>
      </c>
      <c r="L32" s="15">
        <f t="shared" si="4"/>
        <v>17000</v>
      </c>
      <c r="M32" s="15">
        <f t="shared" si="2"/>
        <v>127500</v>
      </c>
      <c r="N32" s="15">
        <v>0</v>
      </c>
      <c r="O32" s="17">
        <f t="shared" si="3"/>
        <v>-2700</v>
      </c>
    </row>
    <row r="33" spans="1:15">
      <c r="A33" s="13" t="s">
        <v>42</v>
      </c>
      <c r="B33" s="14">
        <f>[30]Vendedor10!$J$4</f>
        <v>118000</v>
      </c>
      <c r="C33" s="81">
        <f>[30]Vendedor10!$K$4</f>
        <v>14160</v>
      </c>
      <c r="D33" s="82">
        <f>[30]Vendedor10!$L$4</f>
        <v>34000</v>
      </c>
      <c r="E33" s="14">
        <f>[30]Vendedor10!$J$5</f>
        <v>71700</v>
      </c>
      <c r="F33" s="81">
        <f>[30]Vendedor10!$K$5</f>
        <v>8604</v>
      </c>
      <c r="G33" s="85">
        <f>[30]Vendedor10!$L$5</f>
        <v>40000</v>
      </c>
      <c r="H33" s="19">
        <f>[30]Vendedor10!$J$6</f>
        <v>0</v>
      </c>
      <c r="I33" s="15">
        <f>[30]Vendedor10!$K$6</f>
        <v>0</v>
      </c>
      <c r="J33" s="17">
        <f>[30]Vendedor10!$L$6</f>
        <v>0</v>
      </c>
      <c r="K33" s="19">
        <f t="shared" si="1"/>
        <v>189700</v>
      </c>
      <c r="L33" s="15">
        <f t="shared" si="4"/>
        <v>22750</v>
      </c>
      <c r="M33" s="15">
        <f t="shared" si="2"/>
        <v>74000</v>
      </c>
      <c r="N33" s="15">
        <v>0</v>
      </c>
      <c r="O33" s="17">
        <f t="shared" si="3"/>
        <v>92950</v>
      </c>
    </row>
    <row r="34" spans="1:15">
      <c r="A34" s="20" t="s">
        <v>43</v>
      </c>
      <c r="B34" s="14">
        <f>[31]Vendedor10!$J$4</f>
        <v>111550</v>
      </c>
      <c r="C34" s="81">
        <f>[31]Vendedor10!$K$4</f>
        <v>13386</v>
      </c>
      <c r="D34" s="82">
        <f>[31]Vendedor10!$L$4</f>
        <v>8500</v>
      </c>
      <c r="E34" s="14">
        <f>[31]Vendedor10!$J$5</f>
        <v>52600</v>
      </c>
      <c r="F34" s="81">
        <f>[31]Vendedor10!$K$5</f>
        <v>6312</v>
      </c>
      <c r="G34" s="85">
        <f>[31]Vendedor10!$L$5</f>
        <v>0</v>
      </c>
      <c r="H34" s="19">
        <f>[31]Vendedor10!$J$6</f>
        <v>0</v>
      </c>
      <c r="I34" s="15">
        <f>[31]Vendedor10!$K$6</f>
        <v>0</v>
      </c>
      <c r="J34" s="17">
        <f>[31]Vendedor10!$L$6</f>
        <v>0</v>
      </c>
      <c r="K34" s="19">
        <f t="shared" si="1"/>
        <v>164150</v>
      </c>
      <c r="L34" s="15">
        <f t="shared" si="4"/>
        <v>19700</v>
      </c>
      <c r="M34" s="15">
        <f t="shared" si="2"/>
        <v>8500</v>
      </c>
      <c r="N34" s="15">
        <v>0</v>
      </c>
      <c r="O34" s="17">
        <f t="shared" si="3"/>
        <v>135950</v>
      </c>
    </row>
    <row r="35" spans="1:15">
      <c r="A35" s="13" t="s">
        <v>44</v>
      </c>
      <c r="B35" s="14">
        <f>[1]Vendedor10!$J$4</f>
        <v>94650</v>
      </c>
      <c r="C35" s="81">
        <f>[1]Vendedor10!$K$4</f>
        <v>11358</v>
      </c>
      <c r="D35" s="82">
        <f>[1]Vendedor10!$L$4</f>
        <v>0</v>
      </c>
      <c r="E35" s="14">
        <f>[1]Vendedor10!$J$5</f>
        <v>35100</v>
      </c>
      <c r="F35" s="81">
        <f>[1]Vendedor10!$K$5</f>
        <v>4212</v>
      </c>
      <c r="G35" s="85">
        <f>[1]Vendedor10!$L$5</f>
        <v>0</v>
      </c>
      <c r="H35" s="19">
        <f>[1]Vendedor10!$J$6</f>
        <v>0</v>
      </c>
      <c r="I35" s="15">
        <f>[1]Vendedor10!$K$6</f>
        <v>0</v>
      </c>
      <c r="J35" s="17">
        <f>[1]Vendedor10!$L$6</f>
        <v>0</v>
      </c>
      <c r="K35" s="19">
        <f t="shared" si="1"/>
        <v>129750</v>
      </c>
      <c r="L35" s="15">
        <f t="shared" si="4"/>
        <v>15550</v>
      </c>
      <c r="M35" s="15">
        <f t="shared" si="2"/>
        <v>0</v>
      </c>
      <c r="N35" s="15">
        <v>0</v>
      </c>
      <c r="O35" s="17">
        <f t="shared" si="3"/>
        <v>114200</v>
      </c>
    </row>
    <row r="36" spans="1:15">
      <c r="A36" s="20" t="s">
        <v>45</v>
      </c>
      <c r="B36" s="21">
        <f>[2]Vendedor10!$J$4</f>
        <v>78000</v>
      </c>
      <c r="C36" s="83">
        <f>[2]Vendedor10!$K$4</f>
        <v>9360</v>
      </c>
      <c r="D36" s="84">
        <f>[2]Vendedor10!$L$4</f>
        <v>25500</v>
      </c>
      <c r="E36" s="21">
        <f>[2]Vendedor10!$J$5</f>
        <v>47100</v>
      </c>
      <c r="F36" s="83">
        <f>[2]Vendedor10!$K$5</f>
        <v>5652</v>
      </c>
      <c r="G36" s="86">
        <f>[2]Vendedor10!$L$5</f>
        <v>0</v>
      </c>
      <c r="H36" s="26">
        <f>[2]Vendedor10!$J$6</f>
        <v>0</v>
      </c>
      <c r="I36" s="22">
        <f>[2]Vendedor10!$K$6</f>
        <v>0</v>
      </c>
      <c r="J36" s="24">
        <f>[2]Vendedor10!$L$6</f>
        <v>0</v>
      </c>
      <c r="K36" s="26">
        <f t="shared" si="1"/>
        <v>125100</v>
      </c>
      <c r="L36" s="22">
        <f t="shared" si="4"/>
        <v>15000</v>
      </c>
      <c r="M36" s="22">
        <f t="shared" si="2"/>
        <v>25500</v>
      </c>
      <c r="N36" s="22">
        <v>0</v>
      </c>
      <c r="O36" s="24">
        <f t="shared" si="3"/>
        <v>84600</v>
      </c>
    </row>
    <row r="37" spans="1:15" ht="15.75">
      <c r="A37" s="5" t="s">
        <v>46</v>
      </c>
      <c r="B37" s="27">
        <f t="shared" ref="B37:M37" si="5">SUM(B6:B36)</f>
        <v>3452550</v>
      </c>
      <c r="C37" s="28">
        <f t="shared" si="5"/>
        <v>414306</v>
      </c>
      <c r="D37" s="29">
        <f t="shared" si="5"/>
        <v>2681750</v>
      </c>
      <c r="E37" s="30">
        <f t="shared" si="5"/>
        <v>1878250</v>
      </c>
      <c r="F37" s="28">
        <f t="shared" si="5"/>
        <v>225390</v>
      </c>
      <c r="G37" s="31">
        <f t="shared" si="5"/>
        <v>1128000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5330800</v>
      </c>
      <c r="L37" s="28">
        <f t="shared" si="5"/>
        <v>639550</v>
      </c>
      <c r="M37" s="28">
        <f t="shared" si="5"/>
        <v>3809750</v>
      </c>
      <c r="N37" s="32">
        <f>SUM(N5:N36)</f>
        <v>0</v>
      </c>
      <c r="O37" s="33">
        <f>SUM(O5:O36)</f>
        <v>881500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sqref="A1:O3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139</v>
      </c>
      <c r="C2" s="135"/>
      <c r="D2" s="135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>
      <c r="A6" s="20" t="s">
        <v>49</v>
      </c>
      <c r="B6" s="53">
        <f>[3]Vendedor11!$J$4</f>
        <v>82000</v>
      </c>
      <c r="C6" s="87">
        <f>[3]Vendedor11!$K$4</f>
        <v>12300</v>
      </c>
      <c r="D6" s="88">
        <f>[3]Vendedor11!$L$4</f>
        <v>72000</v>
      </c>
      <c r="E6" s="53">
        <f>[3]Vendedor11!$J$5</f>
        <v>0</v>
      </c>
      <c r="F6" s="87">
        <f>[3]Vendedor11!$K$5</f>
        <v>0</v>
      </c>
      <c r="G6" s="89">
        <f>[3]Vendedor11!$L$5</f>
        <v>0</v>
      </c>
      <c r="H6" s="59">
        <f>[3]Vendedor11!$J$6</f>
        <v>0</v>
      </c>
      <c r="I6" s="58">
        <f>[3]Vendedor11!$K$6</f>
        <v>0</v>
      </c>
      <c r="J6" s="55">
        <f>[3]Vendedor11!$L$6</f>
        <v>0</v>
      </c>
      <c r="K6" s="59">
        <f t="shared" ref="K6:K36" si="1">+B6+E6+H6</f>
        <v>82000</v>
      </c>
      <c r="L6" s="58">
        <f>MROUND(C6+F6+I6,50)</f>
        <v>12300</v>
      </c>
      <c r="M6" s="58">
        <f t="shared" ref="M6:M36" si="2">+D6+G6+J6</f>
        <v>72000</v>
      </c>
      <c r="N6" s="58">
        <v>0</v>
      </c>
      <c r="O6" s="55">
        <f t="shared" ref="O6:O36" si="3">+K6-L6-M6+N6</f>
        <v>-2300</v>
      </c>
    </row>
    <row r="7" spans="1:15">
      <c r="A7" s="13" t="s">
        <v>50</v>
      </c>
      <c r="B7" s="14">
        <f>[4]Vendedor11!$J$4</f>
        <v>68850</v>
      </c>
      <c r="C7" s="81">
        <f>[4]Vendedor11!$K$4</f>
        <v>10327.5</v>
      </c>
      <c r="D7" s="82">
        <f>[4]Vendedor11!$L$4</f>
        <v>12000</v>
      </c>
      <c r="E7" s="14">
        <f>[4]Vendedor11!$J$5</f>
        <v>0</v>
      </c>
      <c r="F7" s="81">
        <f>[4]Vendedor11!$K$5</f>
        <v>0</v>
      </c>
      <c r="G7" s="85">
        <f>[4]Vendedor11!$L$5</f>
        <v>0</v>
      </c>
      <c r="H7" s="19">
        <f>[4]Vendedor11!$J$6</f>
        <v>0</v>
      </c>
      <c r="I7" s="15">
        <f>[4]Vendedor11!$K$6</f>
        <v>0</v>
      </c>
      <c r="J7" s="17">
        <f>[4]Vendedor11!$L$6</f>
        <v>0</v>
      </c>
      <c r="K7" s="19">
        <f t="shared" si="1"/>
        <v>68850</v>
      </c>
      <c r="L7" s="15">
        <f t="shared" ref="L7:L36" si="4">MROUND(C7+F7+I7,50)</f>
        <v>10350</v>
      </c>
      <c r="M7" s="15">
        <f t="shared" si="2"/>
        <v>12000</v>
      </c>
      <c r="N7" s="15">
        <v>0</v>
      </c>
      <c r="O7" s="17">
        <f t="shared" si="3"/>
        <v>46500</v>
      </c>
    </row>
    <row r="8" spans="1:15">
      <c r="A8" s="20" t="s">
        <v>51</v>
      </c>
      <c r="B8" s="14">
        <f>[5]Vendedor11!$J$4</f>
        <v>81700</v>
      </c>
      <c r="C8" s="81">
        <f>[5]Vendedor11!$K$4</f>
        <v>12255</v>
      </c>
      <c r="D8" s="82">
        <f>[5]Vendedor11!$L$4</f>
        <v>64000</v>
      </c>
      <c r="E8" s="14">
        <f>[5]Vendedor11!$J$5</f>
        <v>0</v>
      </c>
      <c r="F8" s="81">
        <f>[5]Vendedor11!$K$5</f>
        <v>0</v>
      </c>
      <c r="G8" s="85">
        <f>[5]Vendedor11!$L$5</f>
        <v>0</v>
      </c>
      <c r="H8" s="19">
        <f>[5]Vendedor11!$J$6</f>
        <v>0</v>
      </c>
      <c r="I8" s="15">
        <f>[5]Vendedor11!$K$6</f>
        <v>0</v>
      </c>
      <c r="J8" s="17">
        <f>[5]Vendedor11!$L$6</f>
        <v>0</v>
      </c>
      <c r="K8" s="19">
        <f t="shared" si="1"/>
        <v>81700</v>
      </c>
      <c r="L8" s="15">
        <f t="shared" si="4"/>
        <v>12250</v>
      </c>
      <c r="M8" s="15">
        <f t="shared" si="2"/>
        <v>64000</v>
      </c>
      <c r="N8" s="15">
        <v>0</v>
      </c>
      <c r="O8" s="17">
        <f t="shared" si="3"/>
        <v>5450</v>
      </c>
    </row>
    <row r="9" spans="1:15">
      <c r="A9" s="13" t="s">
        <v>52</v>
      </c>
      <c r="B9" s="14">
        <f>[6]Vendedor11!$J$4</f>
        <v>94050</v>
      </c>
      <c r="C9" s="81">
        <f>[6]Vendedor11!$K$4</f>
        <v>14107.5</v>
      </c>
      <c r="D9" s="82">
        <f>[6]Vendedor11!$L$4</f>
        <v>224000</v>
      </c>
      <c r="E9" s="14">
        <f>[6]Vendedor11!$J$5</f>
        <v>0</v>
      </c>
      <c r="F9" s="81">
        <f>[6]Vendedor11!$K$5</f>
        <v>0</v>
      </c>
      <c r="G9" s="85">
        <f>[6]Vendedor11!$L$5</f>
        <v>0</v>
      </c>
      <c r="H9" s="19">
        <f>[6]Vendedor11!$J$6</f>
        <v>0</v>
      </c>
      <c r="I9" s="15">
        <f>[6]Vendedor11!$K$6</f>
        <v>0</v>
      </c>
      <c r="J9" s="17">
        <f>[6]Vendedor11!$L$6</f>
        <v>0</v>
      </c>
      <c r="K9" s="19">
        <f t="shared" si="1"/>
        <v>94050</v>
      </c>
      <c r="L9" s="15">
        <f t="shared" si="4"/>
        <v>14100</v>
      </c>
      <c r="M9" s="15">
        <f t="shared" si="2"/>
        <v>224000</v>
      </c>
      <c r="N9" s="15">
        <v>0</v>
      </c>
      <c r="O9" s="17">
        <f t="shared" si="3"/>
        <v>-144050</v>
      </c>
    </row>
    <row r="10" spans="1:15">
      <c r="A10" s="20" t="s">
        <v>53</v>
      </c>
      <c r="B10" s="14">
        <f>[7]Vendedor11!$J$4</f>
        <v>85900</v>
      </c>
      <c r="C10" s="81">
        <f>[7]Vendedor11!$K$4</f>
        <v>12885</v>
      </c>
      <c r="D10" s="82">
        <f>[7]Vendedor11!$L$4</f>
        <v>40000</v>
      </c>
      <c r="E10" s="14">
        <f>[7]Vendedor11!$J$5</f>
        <v>0</v>
      </c>
      <c r="F10" s="81">
        <f>[7]Vendedor11!$K$5</f>
        <v>0</v>
      </c>
      <c r="G10" s="85">
        <f>[7]Vendedor11!$L$5</f>
        <v>0</v>
      </c>
      <c r="H10" s="19">
        <f>[7]Vendedor11!$J$6</f>
        <v>0</v>
      </c>
      <c r="I10" s="15">
        <f>[7]Vendedor11!$K$6</f>
        <v>0</v>
      </c>
      <c r="J10" s="17">
        <f>[7]Vendedor11!$L$6</f>
        <v>0</v>
      </c>
      <c r="K10" s="19">
        <f t="shared" si="1"/>
        <v>85900</v>
      </c>
      <c r="L10" s="15">
        <f t="shared" si="4"/>
        <v>12900</v>
      </c>
      <c r="M10" s="15">
        <f t="shared" si="2"/>
        <v>40000</v>
      </c>
      <c r="N10" s="15">
        <v>0</v>
      </c>
      <c r="O10" s="17">
        <f t="shared" si="3"/>
        <v>33000</v>
      </c>
    </row>
    <row r="11" spans="1:15">
      <c r="A11" s="13" t="s">
        <v>20</v>
      </c>
      <c r="B11" s="14">
        <f>[8]Vendedor11!$J$4</f>
        <v>115600</v>
      </c>
      <c r="C11" s="81">
        <f>[8]Vendedor11!$K$4</f>
        <v>17340</v>
      </c>
      <c r="D11" s="82">
        <f>[8]Vendedor11!$L$4</f>
        <v>44000</v>
      </c>
      <c r="E11" s="14">
        <f>[8]Vendedor11!$J$5</f>
        <v>0</v>
      </c>
      <c r="F11" s="81">
        <f>[8]Vendedor11!$K$5</f>
        <v>0</v>
      </c>
      <c r="G11" s="85">
        <f>[8]Vendedor11!$L$5</f>
        <v>0</v>
      </c>
      <c r="H11" s="19">
        <f>[8]Vendedor11!$J$6</f>
        <v>0</v>
      </c>
      <c r="I11" s="15">
        <f>[8]Vendedor11!$K$6</f>
        <v>0</v>
      </c>
      <c r="J11" s="17">
        <f>[8]Vendedor11!$L$6</f>
        <v>0</v>
      </c>
      <c r="K11" s="19">
        <f t="shared" si="1"/>
        <v>115600</v>
      </c>
      <c r="L11" s="15">
        <f t="shared" si="4"/>
        <v>17350</v>
      </c>
      <c r="M11" s="15">
        <f t="shared" si="2"/>
        <v>44000</v>
      </c>
      <c r="N11" s="15">
        <v>0</v>
      </c>
      <c r="O11" s="17">
        <f t="shared" si="3"/>
        <v>54250</v>
      </c>
    </row>
    <row r="12" spans="1:15">
      <c r="A12" s="20" t="s">
        <v>21</v>
      </c>
      <c r="B12" s="14">
        <f>[9]Vendedor11!$J$4</f>
        <v>134150</v>
      </c>
      <c r="C12" s="81">
        <f>[9]Vendedor11!$K$4</f>
        <v>20122.5</v>
      </c>
      <c r="D12" s="82">
        <f>[9]Vendedor11!$L$4</f>
        <v>240000</v>
      </c>
      <c r="E12" s="14">
        <f>[9]Vendedor11!$J$5</f>
        <v>0</v>
      </c>
      <c r="F12" s="81">
        <f>[9]Vendedor11!$K$5</f>
        <v>0</v>
      </c>
      <c r="G12" s="85">
        <f>[9]Vendedor11!$L$5</f>
        <v>0</v>
      </c>
      <c r="H12" s="19">
        <f>[9]Vendedor11!$J$6</f>
        <v>0</v>
      </c>
      <c r="I12" s="15">
        <f>[9]Vendedor11!$K$6</f>
        <v>0</v>
      </c>
      <c r="J12" s="17">
        <f>[9]Vendedor11!$L$6</f>
        <v>0</v>
      </c>
      <c r="K12" s="19">
        <f t="shared" si="1"/>
        <v>134150</v>
      </c>
      <c r="L12" s="15">
        <f t="shared" si="4"/>
        <v>20100</v>
      </c>
      <c r="M12" s="15">
        <f t="shared" si="2"/>
        <v>240000</v>
      </c>
      <c r="N12" s="15">
        <v>0</v>
      </c>
      <c r="O12" s="17">
        <f t="shared" si="3"/>
        <v>-125950</v>
      </c>
    </row>
    <row r="13" spans="1:15">
      <c r="A13" s="13" t="s">
        <v>22</v>
      </c>
      <c r="B13" s="14">
        <f>[10]Vendedor11!$J$4</f>
        <v>153400</v>
      </c>
      <c r="C13" s="81">
        <f>[10]Vendedor11!$K$4</f>
        <v>23010</v>
      </c>
      <c r="D13" s="82">
        <f>[10]Vendedor11!$L$4</f>
        <v>88000</v>
      </c>
      <c r="E13" s="14">
        <f>[10]Vendedor11!$J$5</f>
        <v>0</v>
      </c>
      <c r="F13" s="81">
        <f>[10]Vendedor11!$K$5</f>
        <v>0</v>
      </c>
      <c r="G13" s="85">
        <f>[10]Vendedor11!$L$5</f>
        <v>0</v>
      </c>
      <c r="H13" s="19">
        <f>[10]Vendedor11!$J$6</f>
        <v>0</v>
      </c>
      <c r="I13" s="15">
        <f>[10]Vendedor11!$K$6</f>
        <v>0</v>
      </c>
      <c r="J13" s="17">
        <f>[10]Vendedor11!$L$6</f>
        <v>0</v>
      </c>
      <c r="K13" s="19">
        <f t="shared" si="1"/>
        <v>153400</v>
      </c>
      <c r="L13" s="15">
        <f t="shared" si="4"/>
        <v>23000</v>
      </c>
      <c r="M13" s="15">
        <f t="shared" si="2"/>
        <v>88000</v>
      </c>
      <c r="N13" s="15">
        <v>0</v>
      </c>
      <c r="O13" s="17">
        <f t="shared" si="3"/>
        <v>42400</v>
      </c>
    </row>
    <row r="14" spans="1:15">
      <c r="A14" s="20" t="s">
        <v>23</v>
      </c>
      <c r="B14" s="14">
        <f>[11]Vendedor11!$J$4</f>
        <v>89150</v>
      </c>
      <c r="C14" s="81">
        <f>[11]Vendedor11!$K$4</f>
        <v>13372.5</v>
      </c>
      <c r="D14" s="82">
        <f>[11]Vendedor11!$L$4</f>
        <v>56000</v>
      </c>
      <c r="E14" s="14">
        <f>[11]Vendedor11!$J$5</f>
        <v>0</v>
      </c>
      <c r="F14" s="81">
        <f>[11]Vendedor11!$K$5</f>
        <v>0</v>
      </c>
      <c r="G14" s="85">
        <f>[11]Vendedor11!$L$5</f>
        <v>0</v>
      </c>
      <c r="H14" s="19">
        <f>[11]Vendedor11!$J$6</f>
        <v>0</v>
      </c>
      <c r="I14" s="15">
        <f>[11]Vendedor11!$K$6</f>
        <v>0</v>
      </c>
      <c r="J14" s="17">
        <f>[11]Vendedor11!$L$6</f>
        <v>0</v>
      </c>
      <c r="K14" s="19">
        <f t="shared" si="1"/>
        <v>89150</v>
      </c>
      <c r="L14" s="15">
        <f t="shared" si="4"/>
        <v>13350</v>
      </c>
      <c r="M14" s="15">
        <f t="shared" si="2"/>
        <v>56000</v>
      </c>
      <c r="N14" s="15">
        <v>0</v>
      </c>
      <c r="O14" s="17">
        <f t="shared" si="3"/>
        <v>19800</v>
      </c>
    </row>
    <row r="15" spans="1:15">
      <c r="A15" s="13" t="s">
        <v>24</v>
      </c>
      <c r="B15" s="14">
        <f>[12]Vendedor11!$J$4</f>
        <v>97400</v>
      </c>
      <c r="C15" s="81">
        <f>[12]Vendedor11!$K$4</f>
        <v>14610</v>
      </c>
      <c r="D15" s="82">
        <f>[12]Vendedor11!$L$4</f>
        <v>184000</v>
      </c>
      <c r="E15" s="14">
        <f>[12]Vendedor11!$J$5</f>
        <v>0</v>
      </c>
      <c r="F15" s="81">
        <f>[12]Vendedor11!$K$5</f>
        <v>0</v>
      </c>
      <c r="G15" s="85">
        <f>[12]Vendedor11!$L$5</f>
        <v>0</v>
      </c>
      <c r="H15" s="19">
        <f>[12]Vendedor11!$J$6</f>
        <v>0</v>
      </c>
      <c r="I15" s="15">
        <f>[12]Vendedor11!$K$6</f>
        <v>0</v>
      </c>
      <c r="J15" s="17">
        <f>[12]Vendedor11!$L$6</f>
        <v>0</v>
      </c>
      <c r="K15" s="19">
        <f t="shared" si="1"/>
        <v>97400</v>
      </c>
      <c r="L15" s="15">
        <f t="shared" si="4"/>
        <v>14600</v>
      </c>
      <c r="M15" s="15">
        <f t="shared" si="2"/>
        <v>184000</v>
      </c>
      <c r="N15" s="15">
        <v>0</v>
      </c>
      <c r="O15" s="17">
        <f t="shared" si="3"/>
        <v>-101200</v>
      </c>
    </row>
    <row r="16" spans="1:15">
      <c r="A16" s="20" t="s">
        <v>25</v>
      </c>
      <c r="B16" s="14">
        <f>[13]Vendedor11!$J$4</f>
        <v>105750</v>
      </c>
      <c r="C16" s="81">
        <f>[13]Vendedor11!$K$4</f>
        <v>15862.5</v>
      </c>
      <c r="D16" s="82">
        <f>[13]Vendedor11!$L$4</f>
        <v>40000</v>
      </c>
      <c r="E16" s="14">
        <f>[13]Vendedor11!$J$5</f>
        <v>0</v>
      </c>
      <c r="F16" s="81">
        <f>[13]Vendedor11!$K$5</f>
        <v>0</v>
      </c>
      <c r="G16" s="85">
        <f>[13]Vendedor11!$L$5</f>
        <v>0</v>
      </c>
      <c r="H16" s="19">
        <f>[13]Vendedor11!$J$6</f>
        <v>0</v>
      </c>
      <c r="I16" s="15">
        <f>[13]Vendedor11!$K$6</f>
        <v>0</v>
      </c>
      <c r="J16" s="17">
        <f>[13]Vendedor11!$L$6</f>
        <v>0</v>
      </c>
      <c r="K16" s="19">
        <f t="shared" si="1"/>
        <v>105750</v>
      </c>
      <c r="L16" s="15">
        <f t="shared" si="4"/>
        <v>15850</v>
      </c>
      <c r="M16" s="15">
        <f t="shared" si="2"/>
        <v>40000</v>
      </c>
      <c r="N16" s="15">
        <v>0</v>
      </c>
      <c r="O16" s="17">
        <f t="shared" si="3"/>
        <v>49900</v>
      </c>
    </row>
    <row r="17" spans="1:15">
      <c r="A17" s="13" t="s">
        <v>26</v>
      </c>
      <c r="B17" s="14">
        <f>[14]Vendedor11!$J$4</f>
        <v>118200</v>
      </c>
      <c r="C17" s="81">
        <f>[14]Vendedor11!$K$4</f>
        <v>17730</v>
      </c>
      <c r="D17" s="82">
        <f>[14]Vendedor11!$L$4</f>
        <v>456000</v>
      </c>
      <c r="E17" s="14">
        <f>[14]Vendedor11!$J$5</f>
        <v>0</v>
      </c>
      <c r="F17" s="81">
        <f>[14]Vendedor11!$K$5</f>
        <v>0</v>
      </c>
      <c r="G17" s="85">
        <f>[14]Vendedor11!$L$5</f>
        <v>0</v>
      </c>
      <c r="H17" s="19">
        <f>[14]Vendedor11!$J$6</f>
        <v>0</v>
      </c>
      <c r="I17" s="15">
        <f>[14]Vendedor11!$K$6</f>
        <v>0</v>
      </c>
      <c r="J17" s="17">
        <f>[14]Vendedor11!$L$6</f>
        <v>0</v>
      </c>
      <c r="K17" s="19">
        <f t="shared" si="1"/>
        <v>118200</v>
      </c>
      <c r="L17" s="15">
        <f t="shared" si="4"/>
        <v>17750</v>
      </c>
      <c r="M17" s="15">
        <f t="shared" si="2"/>
        <v>456000</v>
      </c>
      <c r="N17" s="15">
        <v>0</v>
      </c>
      <c r="O17" s="17">
        <f t="shared" si="3"/>
        <v>-355550</v>
      </c>
    </row>
    <row r="18" spans="1:15">
      <c r="A18" s="20" t="s">
        <v>27</v>
      </c>
      <c r="B18" s="14">
        <f>[15]Vendedor11!$J$4</f>
        <v>140750</v>
      </c>
      <c r="C18" s="81">
        <f>[15]Vendedor11!$K$4</f>
        <v>21112.5</v>
      </c>
      <c r="D18" s="82">
        <f>[15]Vendedor11!$L$4</f>
        <v>80000</v>
      </c>
      <c r="E18" s="14">
        <f>[15]Vendedor11!$J$5</f>
        <v>0</v>
      </c>
      <c r="F18" s="81">
        <f>[15]Vendedor11!$K$5</f>
        <v>0</v>
      </c>
      <c r="G18" s="85">
        <f>[15]Vendedor11!$L$5</f>
        <v>0</v>
      </c>
      <c r="H18" s="19">
        <f>[15]Vendedor11!$J$6</f>
        <v>0</v>
      </c>
      <c r="I18" s="15">
        <f>[15]Vendedor11!$K$6</f>
        <v>0</v>
      </c>
      <c r="J18" s="17">
        <f>[15]Vendedor11!$L$6</f>
        <v>0</v>
      </c>
      <c r="K18" s="19">
        <f t="shared" si="1"/>
        <v>140750</v>
      </c>
      <c r="L18" s="15">
        <f t="shared" si="4"/>
        <v>21100</v>
      </c>
      <c r="M18" s="15">
        <f t="shared" si="2"/>
        <v>80000</v>
      </c>
      <c r="N18" s="15">
        <v>0</v>
      </c>
      <c r="O18" s="17">
        <f t="shared" si="3"/>
        <v>39650</v>
      </c>
    </row>
    <row r="19" spans="1:15">
      <c r="A19" s="20" t="s">
        <v>28</v>
      </c>
      <c r="B19" s="14">
        <f>[16]Vendedor11!$J$4</f>
        <v>96300</v>
      </c>
      <c r="C19" s="81">
        <f>[16]Vendedor11!$K$4</f>
        <v>14445</v>
      </c>
      <c r="D19" s="82">
        <f>[16]Vendedor11!$L$4</f>
        <v>0</v>
      </c>
      <c r="E19" s="14">
        <f>[16]Vendedor11!$J$5</f>
        <v>0</v>
      </c>
      <c r="F19" s="81">
        <f>[16]Vendedor11!$K$5</f>
        <v>0</v>
      </c>
      <c r="G19" s="85">
        <f>[16]Vendedor11!$L$5</f>
        <v>0</v>
      </c>
      <c r="H19" s="19">
        <f>[16]Vendedor11!$J$6</f>
        <v>0</v>
      </c>
      <c r="I19" s="15">
        <f>[16]Vendedor11!$K$6</f>
        <v>0</v>
      </c>
      <c r="J19" s="17">
        <f>[16]Vendedor11!$L$6</f>
        <v>0</v>
      </c>
      <c r="K19" s="19">
        <f t="shared" si="1"/>
        <v>96300</v>
      </c>
      <c r="L19" s="15">
        <f t="shared" si="4"/>
        <v>14450</v>
      </c>
      <c r="M19" s="15">
        <f t="shared" si="2"/>
        <v>0</v>
      </c>
      <c r="N19" s="15">
        <v>0</v>
      </c>
      <c r="O19" s="17">
        <f t="shared" si="3"/>
        <v>81850</v>
      </c>
    </row>
    <row r="20" spans="1:15">
      <c r="A20" s="13" t="s">
        <v>29</v>
      </c>
      <c r="B20" s="14">
        <f>[17]Vendedor11!$J$4</f>
        <v>86550</v>
      </c>
      <c r="C20" s="81">
        <f>[17]Vendedor11!$K$4</f>
        <v>12982.5</v>
      </c>
      <c r="D20" s="82">
        <f>[17]Vendedor11!$L$4</f>
        <v>40000</v>
      </c>
      <c r="E20" s="14">
        <f>[17]Vendedor11!$J$5</f>
        <v>0</v>
      </c>
      <c r="F20" s="81">
        <f>[17]Vendedor11!$K$5</f>
        <v>0</v>
      </c>
      <c r="G20" s="85">
        <f>[17]Vendedor11!$L$5</f>
        <v>0</v>
      </c>
      <c r="H20" s="19">
        <f>[17]Vendedor11!$J$6</f>
        <v>0</v>
      </c>
      <c r="I20" s="15">
        <f>[17]Vendedor11!$K$6</f>
        <v>0</v>
      </c>
      <c r="J20" s="17">
        <f>[17]Vendedor11!$L$6</f>
        <v>0</v>
      </c>
      <c r="K20" s="19">
        <f t="shared" si="1"/>
        <v>86550</v>
      </c>
      <c r="L20" s="15">
        <f t="shared" si="4"/>
        <v>13000</v>
      </c>
      <c r="M20" s="15">
        <f t="shared" si="2"/>
        <v>40000</v>
      </c>
      <c r="N20" s="15">
        <v>0</v>
      </c>
      <c r="O20" s="17">
        <f t="shared" si="3"/>
        <v>33550</v>
      </c>
    </row>
    <row r="21" spans="1:15">
      <c r="A21" s="20" t="s">
        <v>30</v>
      </c>
      <c r="B21" s="14">
        <f>[18]Vendedor11!$J$4</f>
        <v>96100</v>
      </c>
      <c r="C21" s="81">
        <f>[18]Vendedor11!$K$4</f>
        <v>14415</v>
      </c>
      <c r="D21" s="82">
        <f>[18]Vendedor11!$L$4</f>
        <v>80000</v>
      </c>
      <c r="E21" s="14">
        <f>[18]Vendedor11!$J$5</f>
        <v>0</v>
      </c>
      <c r="F21" s="81">
        <f>[18]Vendedor11!$K$5</f>
        <v>0</v>
      </c>
      <c r="G21" s="85">
        <f>[18]Vendedor11!$L$5</f>
        <v>0</v>
      </c>
      <c r="H21" s="19">
        <f>[18]Vendedor11!$J$6</f>
        <v>0</v>
      </c>
      <c r="I21" s="15">
        <f>[18]Vendedor11!$K$6</f>
        <v>0</v>
      </c>
      <c r="J21" s="17">
        <f>[18]Vendedor11!$L$6</f>
        <v>0</v>
      </c>
      <c r="K21" s="19">
        <f t="shared" si="1"/>
        <v>96100</v>
      </c>
      <c r="L21" s="15">
        <f t="shared" si="4"/>
        <v>14400</v>
      </c>
      <c r="M21" s="15">
        <f t="shared" si="2"/>
        <v>80000</v>
      </c>
      <c r="N21" s="15">
        <v>0</v>
      </c>
      <c r="O21" s="17">
        <f t="shared" si="3"/>
        <v>1700</v>
      </c>
    </row>
    <row r="22" spans="1:15">
      <c r="A22" s="13" t="s">
        <v>31</v>
      </c>
      <c r="B22" s="14">
        <f>[19]Vendedor11!$J$4</f>
        <v>79600</v>
      </c>
      <c r="C22" s="81">
        <f>[19]Vendedor11!$K$4</f>
        <v>11940</v>
      </c>
      <c r="D22" s="82">
        <f>[19]Vendedor11!$L$4</f>
        <v>0</v>
      </c>
      <c r="E22" s="14">
        <f>[19]Vendedor11!$J$5</f>
        <v>0</v>
      </c>
      <c r="F22" s="81">
        <f>[19]Vendedor11!$K$5</f>
        <v>0</v>
      </c>
      <c r="G22" s="85">
        <f>[19]Vendedor11!$L$5</f>
        <v>0</v>
      </c>
      <c r="H22" s="19">
        <f>[19]Vendedor11!$J$6</f>
        <v>0</v>
      </c>
      <c r="I22" s="15">
        <f>[19]Vendedor11!$K$6</f>
        <v>0</v>
      </c>
      <c r="J22" s="17">
        <f>[19]Vendedor11!$L$6</f>
        <v>0</v>
      </c>
      <c r="K22" s="19">
        <f t="shared" si="1"/>
        <v>79600</v>
      </c>
      <c r="L22" s="15">
        <f t="shared" si="4"/>
        <v>11950</v>
      </c>
      <c r="M22" s="15">
        <f t="shared" si="2"/>
        <v>0</v>
      </c>
      <c r="N22" s="15">
        <v>0</v>
      </c>
      <c r="O22" s="17">
        <f t="shared" si="3"/>
        <v>67650</v>
      </c>
    </row>
    <row r="23" spans="1:15">
      <c r="A23" s="20" t="s">
        <v>32</v>
      </c>
      <c r="B23" s="14">
        <f>[20]Vendedor11!$J$4</f>
        <v>104800</v>
      </c>
      <c r="C23" s="81">
        <f>[20]Vendedor11!$K$4</f>
        <v>15720</v>
      </c>
      <c r="D23" s="82">
        <f>[20]Vendedor11!$L$4</f>
        <v>100000</v>
      </c>
      <c r="E23" s="14">
        <f>[20]Vendedor11!$J$5</f>
        <v>0</v>
      </c>
      <c r="F23" s="81">
        <f>[20]Vendedor11!$K$5</f>
        <v>0</v>
      </c>
      <c r="G23" s="85">
        <f>[20]Vendedor11!$L$5</f>
        <v>0</v>
      </c>
      <c r="H23" s="19">
        <f>[20]Vendedor11!$J$6</f>
        <v>0</v>
      </c>
      <c r="I23" s="15">
        <f>[20]Vendedor11!$K$6</f>
        <v>0</v>
      </c>
      <c r="J23" s="17">
        <f>[20]Vendedor11!$L$6</f>
        <v>0</v>
      </c>
      <c r="K23" s="19">
        <f t="shared" si="1"/>
        <v>104800</v>
      </c>
      <c r="L23" s="15">
        <f t="shared" si="4"/>
        <v>15700</v>
      </c>
      <c r="M23" s="15">
        <f t="shared" si="2"/>
        <v>100000</v>
      </c>
      <c r="N23" s="15">
        <v>0</v>
      </c>
      <c r="O23" s="17">
        <f t="shared" si="3"/>
        <v>-10900</v>
      </c>
    </row>
    <row r="24" spans="1:15">
      <c r="A24" s="13" t="s">
        <v>33</v>
      </c>
      <c r="B24" s="14">
        <f>[21]Vendedor11!$J$4</f>
        <v>122900</v>
      </c>
      <c r="C24" s="81">
        <f>[21]Vendedor11!$K$4</f>
        <v>18435</v>
      </c>
      <c r="D24" s="82">
        <f>[21]Vendedor11!$L$4</f>
        <v>40000</v>
      </c>
      <c r="E24" s="14">
        <f>[21]Vendedor11!$J$5</f>
        <v>0</v>
      </c>
      <c r="F24" s="81">
        <f>[21]Vendedor11!$K$5</f>
        <v>0</v>
      </c>
      <c r="G24" s="85">
        <f>[21]Vendedor11!$L$5</f>
        <v>0</v>
      </c>
      <c r="H24" s="19">
        <f>[21]Vendedor11!$J$6</f>
        <v>0</v>
      </c>
      <c r="I24" s="15">
        <f>[21]Vendedor11!$K$6</f>
        <v>0</v>
      </c>
      <c r="J24" s="17">
        <f>[21]Vendedor11!$L$6</f>
        <v>0</v>
      </c>
      <c r="K24" s="19">
        <f t="shared" si="1"/>
        <v>122900</v>
      </c>
      <c r="L24" s="15">
        <f t="shared" si="4"/>
        <v>18450</v>
      </c>
      <c r="M24" s="15">
        <f t="shared" si="2"/>
        <v>40000</v>
      </c>
      <c r="N24" s="15">
        <v>0</v>
      </c>
      <c r="O24" s="17">
        <f t="shared" si="3"/>
        <v>64450</v>
      </c>
    </row>
    <row r="25" spans="1:15">
      <c r="A25" s="20" t="s">
        <v>34</v>
      </c>
      <c r="B25" s="14">
        <f>[22]Vendedor11!$J$4</f>
        <v>123750</v>
      </c>
      <c r="C25" s="81">
        <f>[22]Vendedor11!$K$4</f>
        <v>18562.5</v>
      </c>
      <c r="D25" s="82">
        <f>[22]Vendedor11!$L$4</f>
        <v>40000</v>
      </c>
      <c r="E25" s="14">
        <f>[22]Vendedor11!$J$5</f>
        <v>0</v>
      </c>
      <c r="F25" s="81">
        <f>[22]Vendedor11!$K$5</f>
        <v>0</v>
      </c>
      <c r="G25" s="85">
        <f>[22]Vendedor11!$L$5</f>
        <v>0</v>
      </c>
      <c r="H25" s="19">
        <f>[22]Vendedor11!$J$6</f>
        <v>0</v>
      </c>
      <c r="I25" s="15">
        <f>[22]Vendedor11!$K$6</f>
        <v>0</v>
      </c>
      <c r="J25" s="17">
        <f>[22]Vendedor11!$L$6</f>
        <v>0</v>
      </c>
      <c r="K25" s="19">
        <f t="shared" si="1"/>
        <v>123750</v>
      </c>
      <c r="L25" s="15">
        <f t="shared" si="4"/>
        <v>18550</v>
      </c>
      <c r="M25" s="15">
        <f t="shared" si="2"/>
        <v>40000</v>
      </c>
      <c r="N25" s="15">
        <v>0</v>
      </c>
      <c r="O25" s="17">
        <f t="shared" si="3"/>
        <v>65200</v>
      </c>
    </row>
    <row r="26" spans="1:15">
      <c r="A26" s="13" t="s">
        <v>35</v>
      </c>
      <c r="B26" s="14">
        <f>[23]Vendedor11!$J$4</f>
        <v>80400</v>
      </c>
      <c r="C26" s="81">
        <f>[23]Vendedor11!$K$4</f>
        <v>12060</v>
      </c>
      <c r="D26" s="82">
        <f>[23]Vendedor11!$L$4</f>
        <v>36000</v>
      </c>
      <c r="E26" s="14">
        <f>[23]Vendedor11!$J$5</f>
        <v>0</v>
      </c>
      <c r="F26" s="81">
        <f>[23]Vendedor11!$K$5</f>
        <v>0</v>
      </c>
      <c r="G26" s="85">
        <f>[23]Vendedor11!$L$5</f>
        <v>0</v>
      </c>
      <c r="H26" s="19">
        <f>[23]Vendedor11!$J$6</f>
        <v>0</v>
      </c>
      <c r="I26" s="15">
        <f>[23]Vendedor11!$K$6</f>
        <v>0</v>
      </c>
      <c r="J26" s="17">
        <f>[23]Vendedor11!$L$6</f>
        <v>0</v>
      </c>
      <c r="K26" s="19">
        <f t="shared" si="1"/>
        <v>80400</v>
      </c>
      <c r="L26" s="15">
        <f t="shared" si="4"/>
        <v>12050</v>
      </c>
      <c r="M26" s="15">
        <f t="shared" si="2"/>
        <v>36000</v>
      </c>
      <c r="N26" s="15">
        <v>0</v>
      </c>
      <c r="O26" s="17">
        <f t="shared" si="3"/>
        <v>32350</v>
      </c>
    </row>
    <row r="27" spans="1:15">
      <c r="A27" s="20" t="s">
        <v>36</v>
      </c>
      <c r="B27" s="14">
        <f>[24]Vendedor11!$J$4</f>
        <v>91000</v>
      </c>
      <c r="C27" s="81">
        <f>[24]Vendedor11!$K$4</f>
        <v>13650</v>
      </c>
      <c r="D27" s="82">
        <f>[24]Vendedor11!$L$4</f>
        <v>88000</v>
      </c>
      <c r="E27" s="14">
        <f>[24]Vendedor11!$J$5</f>
        <v>0</v>
      </c>
      <c r="F27" s="81">
        <f>[24]Vendedor11!$K$5</f>
        <v>0</v>
      </c>
      <c r="G27" s="85">
        <f>[24]Vendedor11!$L$5</f>
        <v>0</v>
      </c>
      <c r="H27" s="19">
        <f>[24]Vendedor11!$J$6</f>
        <v>0</v>
      </c>
      <c r="I27" s="15">
        <f>[24]Vendedor11!$K$6</f>
        <v>0</v>
      </c>
      <c r="J27" s="17">
        <f>[24]Vendedor11!$L$6</f>
        <v>0</v>
      </c>
      <c r="K27" s="19">
        <f t="shared" si="1"/>
        <v>91000</v>
      </c>
      <c r="L27" s="15">
        <f t="shared" si="4"/>
        <v>13650</v>
      </c>
      <c r="M27" s="15">
        <f t="shared" si="2"/>
        <v>88000</v>
      </c>
      <c r="N27" s="15">
        <v>0</v>
      </c>
      <c r="O27" s="17">
        <f t="shared" si="3"/>
        <v>-10650</v>
      </c>
    </row>
    <row r="28" spans="1:15">
      <c r="A28" s="13" t="s">
        <v>37</v>
      </c>
      <c r="B28" s="14">
        <f>[25]Vendedor11!$J$4</f>
        <v>70250</v>
      </c>
      <c r="C28" s="81">
        <f>[25]Vendedor11!$K$4</f>
        <v>10537.5</v>
      </c>
      <c r="D28" s="82">
        <f>[25]Vendedor11!$L$4</f>
        <v>0</v>
      </c>
      <c r="E28" s="14">
        <f>[25]Vendedor11!$J$5</f>
        <v>0</v>
      </c>
      <c r="F28" s="81">
        <f>[25]Vendedor11!$K$5</f>
        <v>0</v>
      </c>
      <c r="G28" s="85">
        <f>[25]Vendedor11!$L$5</f>
        <v>0</v>
      </c>
      <c r="H28" s="19">
        <f>[25]Vendedor11!$J$6</f>
        <v>0</v>
      </c>
      <c r="I28" s="15">
        <f>[25]Vendedor11!$K$6</f>
        <v>0</v>
      </c>
      <c r="J28" s="17">
        <f>[25]Vendedor11!$L$6</f>
        <v>0</v>
      </c>
      <c r="K28" s="19">
        <f t="shared" si="1"/>
        <v>70250</v>
      </c>
      <c r="L28" s="15">
        <f t="shared" si="4"/>
        <v>10550</v>
      </c>
      <c r="M28" s="15">
        <f t="shared" si="2"/>
        <v>0</v>
      </c>
      <c r="N28" s="15">
        <v>0</v>
      </c>
      <c r="O28" s="17">
        <f t="shared" si="3"/>
        <v>59700</v>
      </c>
    </row>
    <row r="29" spans="1:15">
      <c r="A29" s="20" t="s">
        <v>38</v>
      </c>
      <c r="B29" s="14">
        <f>[26]Vendedor11!$J$4</f>
        <v>88550</v>
      </c>
      <c r="C29" s="81">
        <f>[26]Vendedor11!$K$4</f>
        <v>13282.5</v>
      </c>
      <c r="D29" s="82">
        <f>[26]Vendedor11!$L$4</f>
        <v>0</v>
      </c>
      <c r="E29" s="14">
        <f>[26]Vendedor11!$J$5</f>
        <v>0</v>
      </c>
      <c r="F29" s="81">
        <f>[26]Vendedor11!$K$5</f>
        <v>0</v>
      </c>
      <c r="G29" s="85">
        <f>[26]Vendedor11!$L$5</f>
        <v>0</v>
      </c>
      <c r="H29" s="19">
        <f>[26]Vendedor11!$J$6</f>
        <v>0</v>
      </c>
      <c r="I29" s="15">
        <f>[26]Vendedor11!$K$6</f>
        <v>0</v>
      </c>
      <c r="J29" s="17">
        <f>[26]Vendedor11!$L$6</f>
        <v>0</v>
      </c>
      <c r="K29" s="19">
        <f t="shared" si="1"/>
        <v>88550</v>
      </c>
      <c r="L29" s="15">
        <f t="shared" si="4"/>
        <v>13300</v>
      </c>
      <c r="M29" s="15">
        <f t="shared" si="2"/>
        <v>0</v>
      </c>
      <c r="N29" s="15">
        <v>0</v>
      </c>
      <c r="O29" s="17">
        <f t="shared" si="3"/>
        <v>75250</v>
      </c>
    </row>
    <row r="30" spans="1:15">
      <c r="A30" s="13" t="s">
        <v>39</v>
      </c>
      <c r="B30" s="14">
        <f>[27]Vendedor11!$J$4</f>
        <v>79450</v>
      </c>
      <c r="C30" s="81">
        <f>[27]Vendedor11!$K$4</f>
        <v>11917.5</v>
      </c>
      <c r="D30" s="82">
        <f>[27]Vendedor11!$L$4</f>
        <v>184000</v>
      </c>
      <c r="E30" s="14">
        <f>[27]Vendedor11!$J$5</f>
        <v>0</v>
      </c>
      <c r="F30" s="81">
        <f>[27]Vendedor11!$K$5</f>
        <v>0</v>
      </c>
      <c r="G30" s="85">
        <f>[27]Vendedor11!$L$5</f>
        <v>0</v>
      </c>
      <c r="H30" s="19">
        <f>[27]Vendedor11!$J$6</f>
        <v>0</v>
      </c>
      <c r="I30" s="15">
        <f>[27]Vendedor11!$K$6</f>
        <v>0</v>
      </c>
      <c r="J30" s="17">
        <f>[27]Vendedor11!$L$6</f>
        <v>0</v>
      </c>
      <c r="K30" s="19">
        <f t="shared" si="1"/>
        <v>79450</v>
      </c>
      <c r="L30" s="15">
        <f t="shared" si="4"/>
        <v>11900</v>
      </c>
      <c r="M30" s="15">
        <f t="shared" si="2"/>
        <v>184000</v>
      </c>
      <c r="N30" s="15">
        <v>0</v>
      </c>
      <c r="O30" s="17">
        <f t="shared" si="3"/>
        <v>-116450</v>
      </c>
    </row>
    <row r="31" spans="1:15">
      <c r="A31" s="20" t="s">
        <v>40</v>
      </c>
      <c r="B31" s="14">
        <f>[28]Vendedor11!$J$4</f>
        <v>104250</v>
      </c>
      <c r="C31" s="81">
        <f>[28]Vendedor11!$K$4</f>
        <v>15637.5</v>
      </c>
      <c r="D31" s="82">
        <f>[28]Vendedor11!$L$4</f>
        <v>112000</v>
      </c>
      <c r="E31" s="14">
        <f>[28]Vendedor11!$J$5</f>
        <v>0</v>
      </c>
      <c r="F31" s="81">
        <f>[28]Vendedor11!$K$5</f>
        <v>0</v>
      </c>
      <c r="G31" s="85">
        <f>[28]Vendedor11!$L$5</f>
        <v>0</v>
      </c>
      <c r="H31" s="19">
        <f>[28]Vendedor11!$J$6</f>
        <v>0</v>
      </c>
      <c r="I31" s="15">
        <f>[28]Vendedor11!$K$6</f>
        <v>0</v>
      </c>
      <c r="J31" s="17">
        <f>[28]Vendedor11!$L$6</f>
        <v>0</v>
      </c>
      <c r="K31" s="19">
        <f t="shared" si="1"/>
        <v>104250</v>
      </c>
      <c r="L31" s="15">
        <f t="shared" si="4"/>
        <v>15650</v>
      </c>
      <c r="M31" s="15">
        <f t="shared" si="2"/>
        <v>112000</v>
      </c>
      <c r="N31" s="15">
        <v>0</v>
      </c>
      <c r="O31" s="17">
        <f t="shared" si="3"/>
        <v>-23400</v>
      </c>
    </row>
    <row r="32" spans="1:15">
      <c r="A32" s="20" t="s">
        <v>41</v>
      </c>
      <c r="B32" s="14">
        <f>[29]Vendedor11!$J$4</f>
        <v>110050</v>
      </c>
      <c r="C32" s="81">
        <f>[29]Vendedor11!$K$4</f>
        <v>16507.5</v>
      </c>
      <c r="D32" s="82">
        <f>[29]Vendedor11!$L$4</f>
        <v>272000</v>
      </c>
      <c r="E32" s="14">
        <f>[29]Vendedor11!$J$5</f>
        <v>0</v>
      </c>
      <c r="F32" s="81">
        <f>[29]Vendedor11!$K$5</f>
        <v>0</v>
      </c>
      <c r="G32" s="85">
        <f>[29]Vendedor11!$L$5</f>
        <v>0</v>
      </c>
      <c r="H32" s="19">
        <f>[29]Vendedor11!$J$6</f>
        <v>0</v>
      </c>
      <c r="I32" s="15">
        <f>[29]Vendedor11!$K$6</f>
        <v>0</v>
      </c>
      <c r="J32" s="17">
        <f>[29]Vendedor11!$L$6</f>
        <v>0</v>
      </c>
      <c r="K32" s="19">
        <f t="shared" si="1"/>
        <v>110050</v>
      </c>
      <c r="L32" s="15">
        <f t="shared" si="4"/>
        <v>16500</v>
      </c>
      <c r="M32" s="15">
        <f t="shared" si="2"/>
        <v>272000</v>
      </c>
      <c r="N32" s="15">
        <v>0</v>
      </c>
      <c r="O32" s="17">
        <f t="shared" si="3"/>
        <v>-178450</v>
      </c>
    </row>
    <row r="33" spans="1:15">
      <c r="A33" s="13" t="s">
        <v>42</v>
      </c>
      <c r="B33" s="14">
        <f>[30]Vendedor11!$J$4</f>
        <v>90250</v>
      </c>
      <c r="C33" s="81">
        <f>[30]Vendedor11!$K$4</f>
        <v>13537.5</v>
      </c>
      <c r="D33" s="82">
        <f>[30]Vendedor11!$L$4</f>
        <v>0</v>
      </c>
      <c r="E33" s="14">
        <f>[30]Vendedor11!$J$5</f>
        <v>0</v>
      </c>
      <c r="F33" s="81">
        <f>[30]Vendedor11!$K$5</f>
        <v>0</v>
      </c>
      <c r="G33" s="85">
        <f>[30]Vendedor11!$L$5</f>
        <v>0</v>
      </c>
      <c r="H33" s="19">
        <f>[30]Vendedor11!$J$6</f>
        <v>0</v>
      </c>
      <c r="I33" s="15">
        <f>[30]Vendedor11!$K$6</f>
        <v>0</v>
      </c>
      <c r="J33" s="17">
        <f>[30]Vendedor11!$L$6</f>
        <v>0</v>
      </c>
      <c r="K33" s="19">
        <f t="shared" si="1"/>
        <v>90250</v>
      </c>
      <c r="L33" s="15">
        <f t="shared" si="4"/>
        <v>13550</v>
      </c>
      <c r="M33" s="15">
        <f t="shared" si="2"/>
        <v>0</v>
      </c>
      <c r="N33" s="15">
        <v>0</v>
      </c>
      <c r="O33" s="17">
        <f t="shared" si="3"/>
        <v>76700</v>
      </c>
    </row>
    <row r="34" spans="1:15">
      <c r="A34" s="20" t="s">
        <v>43</v>
      </c>
      <c r="B34" s="14">
        <f>[31]Vendedor11!$J$4</f>
        <v>0</v>
      </c>
      <c r="C34" s="81">
        <f>[31]Vendedor11!$K$4</f>
        <v>0</v>
      </c>
      <c r="D34" s="82">
        <f>[31]Vendedor11!$L$4</f>
        <v>0</v>
      </c>
      <c r="E34" s="14">
        <f>[31]Vendedor11!$J$5</f>
        <v>0</v>
      </c>
      <c r="F34" s="81">
        <f>[31]Vendedor11!$K$5</f>
        <v>0</v>
      </c>
      <c r="G34" s="85">
        <f>[31]Vendedor11!$L$5</f>
        <v>0</v>
      </c>
      <c r="H34" s="19">
        <f>[31]Vendedor11!$J$6</f>
        <v>0</v>
      </c>
      <c r="I34" s="15">
        <f>[31]Vendedor11!$K$6</f>
        <v>0</v>
      </c>
      <c r="J34" s="17">
        <f>[31]Vendedor11!$L$6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[1]Vendedor11!$J$4</f>
        <v>70800</v>
      </c>
      <c r="C35" s="81">
        <f>[1]Vendedor11!$K$4</f>
        <v>10620</v>
      </c>
      <c r="D35" s="82">
        <f>[1]Vendedor11!$L$4</f>
        <v>64000</v>
      </c>
      <c r="E35" s="14">
        <f>[1]Vendedor11!$J$5</f>
        <v>0</v>
      </c>
      <c r="F35" s="81">
        <f>[1]Vendedor11!$K$5</f>
        <v>0</v>
      </c>
      <c r="G35" s="85">
        <f>[1]Vendedor11!$L$5</f>
        <v>0</v>
      </c>
      <c r="H35" s="19">
        <f>[1]Vendedor11!$J$6</f>
        <v>0</v>
      </c>
      <c r="I35" s="15">
        <f>[1]Vendedor11!$K$6</f>
        <v>0</v>
      </c>
      <c r="J35" s="17">
        <f>[1]Vendedor11!$L$6</f>
        <v>0</v>
      </c>
      <c r="K35" s="19">
        <f t="shared" si="1"/>
        <v>70800</v>
      </c>
      <c r="L35" s="15">
        <f t="shared" si="4"/>
        <v>10600</v>
      </c>
      <c r="M35" s="15">
        <f t="shared" si="2"/>
        <v>64000</v>
      </c>
      <c r="N35" s="15">
        <v>0</v>
      </c>
      <c r="O35" s="17">
        <f t="shared" si="3"/>
        <v>-3800</v>
      </c>
    </row>
    <row r="36" spans="1:15" ht="15.75" thickBot="1">
      <c r="A36" s="20" t="s">
        <v>45</v>
      </c>
      <c r="B36" s="21">
        <f>[2]Vendedor11!$J$4</f>
        <v>117450</v>
      </c>
      <c r="C36" s="83">
        <f>[2]Vendedor11!$K$4</f>
        <v>17617.5</v>
      </c>
      <c r="D36" s="84">
        <f>[2]Vendedor11!$L$4</f>
        <v>200000</v>
      </c>
      <c r="E36" s="21">
        <f>[2]Vendedor11!$J$5</f>
        <v>0</v>
      </c>
      <c r="F36" s="83">
        <f>[2]Vendedor11!$K$5</f>
        <v>0</v>
      </c>
      <c r="G36" s="86">
        <f>[2]Vendedor11!$L$5</f>
        <v>0</v>
      </c>
      <c r="H36" s="26">
        <f>[2]Vendedor11!$J$6</f>
        <v>0</v>
      </c>
      <c r="I36" s="22">
        <f>[2]Vendedor11!$K$6</f>
        <v>0</v>
      </c>
      <c r="J36" s="24">
        <f>[2]Vendedor11!$L$6</f>
        <v>0</v>
      </c>
      <c r="K36" s="26">
        <f t="shared" si="1"/>
        <v>117450</v>
      </c>
      <c r="L36" s="22">
        <f t="shared" si="4"/>
        <v>17600</v>
      </c>
      <c r="M36" s="22">
        <f t="shared" si="2"/>
        <v>200000</v>
      </c>
      <c r="N36" s="22">
        <v>0</v>
      </c>
      <c r="O36" s="24">
        <f t="shared" si="3"/>
        <v>-100150</v>
      </c>
    </row>
    <row r="37" spans="1:15" ht="16.5" thickBot="1">
      <c r="A37" s="5" t="s">
        <v>46</v>
      </c>
      <c r="B37" s="27">
        <f t="shared" ref="B37:M37" si="5">SUM(B6:B36)</f>
        <v>2979350</v>
      </c>
      <c r="C37" s="28">
        <f t="shared" si="5"/>
        <v>446902.5</v>
      </c>
      <c r="D37" s="29">
        <f t="shared" si="5"/>
        <v>2856000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2979350</v>
      </c>
      <c r="L37" s="28">
        <f t="shared" si="5"/>
        <v>446850</v>
      </c>
      <c r="M37" s="28">
        <f t="shared" si="5"/>
        <v>2856000</v>
      </c>
      <c r="N37" s="32">
        <f>SUM(N5:N36)</f>
        <v>0</v>
      </c>
      <c r="O37" s="33">
        <f>SUM(O5:O36)</f>
        <v>-323500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136</v>
      </c>
      <c r="C2" s="135"/>
      <c r="D2" s="135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[3]Vendedor12!$J$4</f>
        <v>0</v>
      </c>
      <c r="C6" s="58">
        <f>[3]Vendedor12!$K$4</f>
        <v>0</v>
      </c>
      <c r="D6" s="54">
        <f>[3]Vendedor12!$L$4</f>
        <v>0</v>
      </c>
      <c r="E6" s="53">
        <f>[3]Vendedor12!$J$5</f>
        <v>0</v>
      </c>
      <c r="F6" s="58">
        <f>[3]Vendedor12!$K$5</f>
        <v>0</v>
      </c>
      <c r="G6" s="55">
        <f>[3]Vendedor12!$L$5</f>
        <v>0</v>
      </c>
      <c r="H6" s="61">
        <f>[3]Vendedor12!$J$6</f>
        <v>0</v>
      </c>
      <c r="I6" s="58">
        <f>[3]Vendedor12!$K$6</f>
        <v>0</v>
      </c>
      <c r="J6" s="54">
        <f>[3]Vendedor12!$L$6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[4]Vendedor12!$J$4</f>
        <v>0</v>
      </c>
      <c r="C7" s="15">
        <f>[4]Vendedor12!$K$4</f>
        <v>0</v>
      </c>
      <c r="D7" s="16">
        <f>[4]Vendedor12!$L$4</f>
        <v>0</v>
      </c>
      <c r="E7" s="14">
        <f>[4]Vendedor12!$J$5</f>
        <v>0</v>
      </c>
      <c r="F7" s="15">
        <f>[4]Vendedor12!$K$5</f>
        <v>0</v>
      </c>
      <c r="G7" s="17">
        <f>[4]Vendedor12!$L$5</f>
        <v>0</v>
      </c>
      <c r="H7" s="18">
        <f>[4]Vendedor12!$J$6</f>
        <v>0</v>
      </c>
      <c r="I7" s="15">
        <f>[4]Vendedor12!$K$6</f>
        <v>0</v>
      </c>
      <c r="J7" s="16">
        <f>[4]Vendedor12!$L$6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[5]Vendedor12!$J$4</f>
        <v>0</v>
      </c>
      <c r="C8" s="15">
        <f>[5]Vendedor12!$K$4</f>
        <v>0</v>
      </c>
      <c r="D8" s="16">
        <f>[5]Vendedor12!$L$4</f>
        <v>0</v>
      </c>
      <c r="E8" s="14">
        <f>[5]Vendedor12!$J$5</f>
        <v>0</v>
      </c>
      <c r="F8" s="15">
        <f>[5]Vendedor12!$K$5</f>
        <v>0</v>
      </c>
      <c r="G8" s="17">
        <f>[5]Vendedor12!$L$5</f>
        <v>0</v>
      </c>
      <c r="H8" s="18">
        <f>[5]Vendedor12!$J$6</f>
        <v>0</v>
      </c>
      <c r="I8" s="15">
        <f>[5]Vendedor12!$K$6</f>
        <v>0</v>
      </c>
      <c r="J8" s="16">
        <f>[5]Vendedor12!$L$6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[6]Vendedor12!$J$4</f>
        <v>0</v>
      </c>
      <c r="C9" s="15">
        <f>[6]Vendedor12!$K$4</f>
        <v>0</v>
      </c>
      <c r="D9" s="16">
        <f>[6]Vendedor12!$L$4</f>
        <v>0</v>
      </c>
      <c r="E9" s="14">
        <f>[6]Vendedor12!$J$5</f>
        <v>0</v>
      </c>
      <c r="F9" s="15">
        <f>[6]Vendedor12!$K$5</f>
        <v>0</v>
      </c>
      <c r="G9" s="17">
        <f>[6]Vendedor12!$L$5</f>
        <v>0</v>
      </c>
      <c r="H9" s="18">
        <f>[6]Vendedor12!$J$6</f>
        <v>0</v>
      </c>
      <c r="I9" s="15">
        <f>[6]Vendedor12!$K$6</f>
        <v>0</v>
      </c>
      <c r="J9" s="16">
        <f>[6]Vendedor12!$L$6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[7]Vendedor12!$J$4</f>
        <v>0</v>
      </c>
      <c r="C10" s="15">
        <f>[7]Vendedor12!$K$4</f>
        <v>0</v>
      </c>
      <c r="D10" s="16">
        <f>[7]Vendedor12!$L$4</f>
        <v>0</v>
      </c>
      <c r="E10" s="14">
        <f>[7]Vendedor12!$J$5</f>
        <v>0</v>
      </c>
      <c r="F10" s="15">
        <f>[7]Vendedor12!$K$5</f>
        <v>0</v>
      </c>
      <c r="G10" s="17">
        <f>[7]Vendedor12!$L$5</f>
        <v>0</v>
      </c>
      <c r="H10" s="18">
        <f>[7]Vendedor12!$J$6</f>
        <v>0</v>
      </c>
      <c r="I10" s="15">
        <f>[7]Vendedor12!$K$6</f>
        <v>0</v>
      </c>
      <c r="J10" s="16">
        <f>[7]Vendedor12!$L$6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[8]Vendedor12!$J$4</f>
        <v>0</v>
      </c>
      <c r="C11" s="15">
        <f>[8]Vendedor12!$K$4</f>
        <v>0</v>
      </c>
      <c r="D11" s="16">
        <f>[8]Vendedor12!$L$4</f>
        <v>0</v>
      </c>
      <c r="E11" s="14">
        <f>[8]Vendedor12!$J$5</f>
        <v>0</v>
      </c>
      <c r="F11" s="15">
        <f>[8]Vendedor12!$K$5</f>
        <v>0</v>
      </c>
      <c r="G11" s="17">
        <f>[8]Vendedor12!$L$5</f>
        <v>0</v>
      </c>
      <c r="H11" s="18">
        <f>[8]Vendedor12!$J$6</f>
        <v>0</v>
      </c>
      <c r="I11" s="15">
        <f>[8]Vendedor12!$K$6</f>
        <v>0</v>
      </c>
      <c r="J11" s="16">
        <f>[8]Vendedor12!$L$6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[9]Vendedor12!$J$4</f>
        <v>0</v>
      </c>
      <c r="C12" s="15">
        <f>[9]Vendedor12!$K$4</f>
        <v>0</v>
      </c>
      <c r="D12" s="16">
        <f>[9]Vendedor12!$L$4</f>
        <v>0</v>
      </c>
      <c r="E12" s="14">
        <f>[9]Vendedor12!$J$5</f>
        <v>0</v>
      </c>
      <c r="F12" s="15">
        <f>[9]Vendedor12!$K$5</f>
        <v>0</v>
      </c>
      <c r="G12" s="17">
        <f>[9]Vendedor12!$L$5</f>
        <v>0</v>
      </c>
      <c r="H12" s="18">
        <f>[9]Vendedor12!$J$6</f>
        <v>0</v>
      </c>
      <c r="I12" s="15">
        <f>[9]Vendedor12!$K$6</f>
        <v>0</v>
      </c>
      <c r="J12" s="16">
        <f>[9]Vendedor12!$L$6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[10]Vendedor12!$J$4</f>
        <v>0</v>
      </c>
      <c r="C13" s="15">
        <f>[10]Vendedor12!$K$4</f>
        <v>0</v>
      </c>
      <c r="D13" s="16">
        <f>[10]Vendedor12!$L$4</f>
        <v>0</v>
      </c>
      <c r="E13" s="14">
        <f>[10]Vendedor12!$J$5</f>
        <v>0</v>
      </c>
      <c r="F13" s="15">
        <f>[10]Vendedor12!$K$5</f>
        <v>0</v>
      </c>
      <c r="G13" s="17">
        <f>[10]Vendedor12!$L$5</f>
        <v>0</v>
      </c>
      <c r="H13" s="18">
        <f>[10]Vendedor12!$J$6</f>
        <v>0</v>
      </c>
      <c r="I13" s="15">
        <f>[10]Vendedor12!$K$6</f>
        <v>0</v>
      </c>
      <c r="J13" s="16">
        <f>[10]Vendedor12!$L$6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[11]Vendedor12!$J$4</f>
        <v>0</v>
      </c>
      <c r="C14" s="15">
        <f>[11]Vendedor12!$K$4</f>
        <v>0</v>
      </c>
      <c r="D14" s="16">
        <f>[11]Vendedor12!$L$4</f>
        <v>0</v>
      </c>
      <c r="E14" s="14">
        <f>[11]Vendedor12!$J$5</f>
        <v>0</v>
      </c>
      <c r="F14" s="15">
        <f>[11]Vendedor12!$K$5</f>
        <v>0</v>
      </c>
      <c r="G14" s="17">
        <f>[11]Vendedor12!$L$5</f>
        <v>0</v>
      </c>
      <c r="H14" s="18">
        <f>[11]Vendedor12!$J$6</f>
        <v>0</v>
      </c>
      <c r="I14" s="15">
        <f>[11]Vendedor12!$K$6</f>
        <v>0</v>
      </c>
      <c r="J14" s="16">
        <f>[11]Vendedor12!$L$6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[12]Vendedor12!$J$4</f>
        <v>0</v>
      </c>
      <c r="C15" s="15">
        <f>[12]Vendedor12!$K$4</f>
        <v>0</v>
      </c>
      <c r="D15" s="16">
        <f>[12]Vendedor12!$L$4</f>
        <v>0</v>
      </c>
      <c r="E15" s="14">
        <f>[12]Vendedor12!$J$5</f>
        <v>0</v>
      </c>
      <c r="F15" s="15">
        <f>[12]Vendedor12!$K$5</f>
        <v>0</v>
      </c>
      <c r="G15" s="17">
        <f>[12]Vendedor12!$L$5</f>
        <v>0</v>
      </c>
      <c r="H15" s="18">
        <f>[12]Vendedor12!$J$6</f>
        <v>0</v>
      </c>
      <c r="I15" s="15">
        <f>[12]Vendedor12!$K$6</f>
        <v>0</v>
      </c>
      <c r="J15" s="16">
        <f>[12]Vendedor12!$L$6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[13]Vendedor12!$J$4</f>
        <v>0</v>
      </c>
      <c r="C16" s="15">
        <f>[13]Vendedor12!$K$4</f>
        <v>0</v>
      </c>
      <c r="D16" s="16">
        <f>[13]Vendedor12!$L$4</f>
        <v>0</v>
      </c>
      <c r="E16" s="14">
        <f>[13]Vendedor12!$J$5</f>
        <v>0</v>
      </c>
      <c r="F16" s="15">
        <f>[13]Vendedor12!$K$5</f>
        <v>0</v>
      </c>
      <c r="G16" s="17">
        <f>[13]Vendedor12!$L$5</f>
        <v>0</v>
      </c>
      <c r="H16" s="18">
        <f>[13]Vendedor12!$J$6</f>
        <v>0</v>
      </c>
      <c r="I16" s="15">
        <f>[13]Vendedor12!$K$6</f>
        <v>0</v>
      </c>
      <c r="J16" s="16">
        <f>[13]Vendedor12!$L$6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[14]Vendedor12!$J$4</f>
        <v>0</v>
      </c>
      <c r="C17" s="15">
        <f>[14]Vendedor12!$K$4</f>
        <v>0</v>
      </c>
      <c r="D17" s="16">
        <f>[14]Vendedor12!$L$4</f>
        <v>0</v>
      </c>
      <c r="E17" s="14">
        <f>[14]Vendedor12!$J$5</f>
        <v>0</v>
      </c>
      <c r="F17" s="15">
        <f>[14]Vendedor12!$K$5</f>
        <v>0</v>
      </c>
      <c r="G17" s="17">
        <f>[14]Vendedor12!$L$5</f>
        <v>0</v>
      </c>
      <c r="H17" s="18">
        <f>[14]Vendedor12!$J$6</f>
        <v>0</v>
      </c>
      <c r="I17" s="15">
        <f>[14]Vendedor12!$K$6</f>
        <v>0</v>
      </c>
      <c r="J17" s="16">
        <f>[14]Vendedor12!$L$6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[15]Vendedor12!$J$4</f>
        <v>0</v>
      </c>
      <c r="C18" s="15">
        <f>[15]Vendedor12!$K$4</f>
        <v>0</v>
      </c>
      <c r="D18" s="16">
        <f>[15]Vendedor12!$L$4</f>
        <v>0</v>
      </c>
      <c r="E18" s="14">
        <f>[15]Vendedor12!$J$5</f>
        <v>0</v>
      </c>
      <c r="F18" s="15">
        <f>[15]Vendedor12!$K$5</f>
        <v>0</v>
      </c>
      <c r="G18" s="17">
        <f>[15]Vendedor12!$L$5</f>
        <v>0</v>
      </c>
      <c r="H18" s="18">
        <f>[15]Vendedor12!$J$6</f>
        <v>0</v>
      </c>
      <c r="I18" s="15">
        <f>[15]Vendedor12!$K$6</f>
        <v>0</v>
      </c>
      <c r="J18" s="16">
        <f>[15]Vendedor12!$L$6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[16]Vendedor12!$J$4</f>
        <v>0</v>
      </c>
      <c r="C19" s="15">
        <f>[16]Vendedor12!$K$4</f>
        <v>0</v>
      </c>
      <c r="D19" s="16">
        <f>[16]Vendedor12!$L$4</f>
        <v>0</v>
      </c>
      <c r="E19" s="14">
        <f>[16]Vendedor12!$J$5</f>
        <v>0</v>
      </c>
      <c r="F19" s="15">
        <f>[16]Vendedor12!$K$5</f>
        <v>0</v>
      </c>
      <c r="G19" s="17">
        <f>[16]Vendedor12!$L$5</f>
        <v>0</v>
      </c>
      <c r="H19" s="18">
        <f>[16]Vendedor12!$J$6</f>
        <v>0</v>
      </c>
      <c r="I19" s="15">
        <f>[16]Vendedor12!$K$6</f>
        <v>0</v>
      </c>
      <c r="J19" s="16">
        <f>[16]Vendedor12!$L$6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[17]Vendedor12!$J$4</f>
        <v>0</v>
      </c>
      <c r="C20" s="15">
        <f>[17]Vendedor12!$K$4</f>
        <v>0</v>
      </c>
      <c r="D20" s="16">
        <f>[17]Vendedor12!$L$4</f>
        <v>0</v>
      </c>
      <c r="E20" s="14">
        <f>[17]Vendedor12!$J$5</f>
        <v>0</v>
      </c>
      <c r="F20" s="15">
        <f>[17]Vendedor12!$K$5</f>
        <v>0</v>
      </c>
      <c r="G20" s="17">
        <f>[17]Vendedor12!$L$5</f>
        <v>0</v>
      </c>
      <c r="H20" s="18">
        <f>[17]Vendedor12!$J$6</f>
        <v>0</v>
      </c>
      <c r="I20" s="15">
        <f>[17]Vendedor12!$K$6</f>
        <v>0</v>
      </c>
      <c r="J20" s="16">
        <f>[17]Vendedor12!$L$6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[18]Vendedor12!$J$4</f>
        <v>0</v>
      </c>
      <c r="C21" s="81">
        <f>[18]Vendedor12!$K$4</f>
        <v>0</v>
      </c>
      <c r="D21" s="82">
        <f>[18]Vendedor12!$L$4</f>
        <v>0</v>
      </c>
      <c r="E21" s="14">
        <f>[18]Vendedor12!$J$5</f>
        <v>0</v>
      </c>
      <c r="F21" s="81">
        <f>[18]Vendedor12!$K$5</f>
        <v>0</v>
      </c>
      <c r="G21" s="85">
        <f>[18]Vendedor12!$L$5</f>
        <v>0</v>
      </c>
      <c r="H21" s="19">
        <f>[18]Vendedor12!$J$6</f>
        <v>0</v>
      </c>
      <c r="I21" s="15">
        <f>[18]Vendedor12!$K$6</f>
        <v>0</v>
      </c>
      <c r="J21" s="17">
        <f>[18]Vendedor12!$L$6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[19]Vendedor12!$J$4</f>
        <v>0</v>
      </c>
      <c r="C22" s="81">
        <f>[19]Vendedor12!$K$4</f>
        <v>0</v>
      </c>
      <c r="D22" s="82">
        <f>[19]Vendedor12!$L$4</f>
        <v>0</v>
      </c>
      <c r="E22" s="14">
        <f>[19]Vendedor12!$J$5</f>
        <v>0</v>
      </c>
      <c r="F22" s="81">
        <f>[19]Vendedor12!$K$5</f>
        <v>0</v>
      </c>
      <c r="G22" s="85">
        <f>[19]Vendedor12!$L$5</f>
        <v>0</v>
      </c>
      <c r="H22" s="19">
        <f>[19]Vendedor12!$J$6</f>
        <v>0</v>
      </c>
      <c r="I22" s="15">
        <f>[19]Vendedor12!$K$6</f>
        <v>0</v>
      </c>
      <c r="J22" s="17">
        <f>[19]Vendedor12!$L$6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[20]Vendedor12!$J$4</f>
        <v>0</v>
      </c>
      <c r="C23" s="81">
        <f>[20]Vendedor12!$K$4</f>
        <v>0</v>
      </c>
      <c r="D23" s="82">
        <f>[20]Vendedor12!$L$4</f>
        <v>0</v>
      </c>
      <c r="E23" s="14">
        <f>[20]Vendedor12!$J$5</f>
        <v>0</v>
      </c>
      <c r="F23" s="81">
        <f>[20]Vendedor12!$K$5</f>
        <v>0</v>
      </c>
      <c r="G23" s="85">
        <f>[20]Vendedor12!$L$5</f>
        <v>0</v>
      </c>
      <c r="H23" s="19">
        <f>[20]Vendedor12!$J$6</f>
        <v>0</v>
      </c>
      <c r="I23" s="15">
        <f>[20]Vendedor12!$K$6</f>
        <v>0</v>
      </c>
      <c r="J23" s="17">
        <f>[20]Vendedor12!$L$6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[21]Vendedor12!$J$4</f>
        <v>0</v>
      </c>
      <c r="C24" s="81">
        <f>[21]Vendedor12!$K$4</f>
        <v>0</v>
      </c>
      <c r="D24" s="82">
        <f>[21]Vendedor12!$L$4</f>
        <v>0</v>
      </c>
      <c r="E24" s="14">
        <f>[21]Vendedor12!$J$5</f>
        <v>0</v>
      </c>
      <c r="F24" s="81">
        <f>[21]Vendedor12!$K$5</f>
        <v>0</v>
      </c>
      <c r="G24" s="85">
        <f>[21]Vendedor12!$L$5</f>
        <v>0</v>
      </c>
      <c r="H24" s="19">
        <f>[21]Vendedor12!$J$6</f>
        <v>0</v>
      </c>
      <c r="I24" s="15">
        <f>[21]Vendedor12!$K$6</f>
        <v>0</v>
      </c>
      <c r="J24" s="17">
        <f>[21]Vendedor12!$L$6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[22]Vendedor12!$J$4</f>
        <v>0</v>
      </c>
      <c r="C25" s="81">
        <f>[22]Vendedor12!$K$4</f>
        <v>0</v>
      </c>
      <c r="D25" s="82">
        <f>[22]Vendedor12!$L$4</f>
        <v>0</v>
      </c>
      <c r="E25" s="14">
        <f>[22]Vendedor12!$J$5</f>
        <v>0</v>
      </c>
      <c r="F25" s="81">
        <f>[22]Vendedor12!$K$5</f>
        <v>0</v>
      </c>
      <c r="G25" s="85">
        <f>[22]Vendedor12!$L$5</f>
        <v>0</v>
      </c>
      <c r="H25" s="19">
        <f>[22]Vendedor12!$J$6</f>
        <v>0</v>
      </c>
      <c r="I25" s="15">
        <f>[22]Vendedor12!$K$6</f>
        <v>0</v>
      </c>
      <c r="J25" s="17">
        <f>[22]Vendedor12!$L$6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[23]Vendedor12!$J$4</f>
        <v>0</v>
      </c>
      <c r="C26" s="81">
        <f>[23]Vendedor12!$K$4</f>
        <v>0</v>
      </c>
      <c r="D26" s="82">
        <f>[23]Vendedor12!$L$4</f>
        <v>0</v>
      </c>
      <c r="E26" s="14">
        <f>[23]Vendedor12!$J$5</f>
        <v>0</v>
      </c>
      <c r="F26" s="81">
        <f>[23]Vendedor12!$K$5</f>
        <v>0</v>
      </c>
      <c r="G26" s="85">
        <f>[23]Vendedor12!$L$5</f>
        <v>0</v>
      </c>
      <c r="H26" s="19">
        <f>[23]Vendedor12!$J$6</f>
        <v>0</v>
      </c>
      <c r="I26" s="15">
        <f>[23]Vendedor12!$K$6</f>
        <v>0</v>
      </c>
      <c r="J26" s="17">
        <f>[23]Vendedor12!$L$6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[24]Vendedor12!$J$4</f>
        <v>0</v>
      </c>
      <c r="C27" s="81">
        <f>[24]Vendedor12!$K$4</f>
        <v>0</v>
      </c>
      <c r="D27" s="82">
        <f>[24]Vendedor12!$L$4</f>
        <v>0</v>
      </c>
      <c r="E27" s="14">
        <f>[24]Vendedor12!$J$5</f>
        <v>0</v>
      </c>
      <c r="F27" s="81">
        <f>[24]Vendedor12!$K$5</f>
        <v>0</v>
      </c>
      <c r="G27" s="85">
        <f>[24]Vendedor12!$L$5</f>
        <v>0</v>
      </c>
      <c r="H27" s="19">
        <f>[24]Vendedor12!$J$6</f>
        <v>0</v>
      </c>
      <c r="I27" s="15">
        <f>[24]Vendedor12!$K$6</f>
        <v>0</v>
      </c>
      <c r="J27" s="17">
        <f>[24]Vendedor12!$L$6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[25]Vendedor12!$J$4</f>
        <v>0</v>
      </c>
      <c r="C28" s="81">
        <f>[25]Vendedor12!$K$4</f>
        <v>0</v>
      </c>
      <c r="D28" s="82">
        <f>[25]Vendedor12!$L$4</f>
        <v>0</v>
      </c>
      <c r="E28" s="14">
        <f>[25]Vendedor12!$J$5</f>
        <v>0</v>
      </c>
      <c r="F28" s="81">
        <f>[25]Vendedor12!$K$5</f>
        <v>0</v>
      </c>
      <c r="G28" s="85">
        <f>[25]Vendedor12!$L$5</f>
        <v>0</v>
      </c>
      <c r="H28" s="19">
        <f>[25]Vendedor12!$J$6</f>
        <v>0</v>
      </c>
      <c r="I28" s="15">
        <f>[25]Vendedor12!$K$6</f>
        <v>0</v>
      </c>
      <c r="J28" s="17">
        <f>[25]Vendedor12!$L$6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[26]Vendedor12!$J$4</f>
        <v>0</v>
      </c>
      <c r="C29" s="81">
        <f>[26]Vendedor12!$K$4</f>
        <v>0</v>
      </c>
      <c r="D29" s="82">
        <f>[26]Vendedor12!$L$4</f>
        <v>0</v>
      </c>
      <c r="E29" s="14">
        <f>[26]Vendedor12!$J$5</f>
        <v>0</v>
      </c>
      <c r="F29" s="81">
        <f>[26]Vendedor12!$K$5</f>
        <v>0</v>
      </c>
      <c r="G29" s="85">
        <f>[26]Vendedor12!$L$5</f>
        <v>0</v>
      </c>
      <c r="H29" s="19">
        <f>[26]Vendedor12!$J$6</f>
        <v>0</v>
      </c>
      <c r="I29" s="15">
        <f>[26]Vendedor12!$K$6</f>
        <v>0</v>
      </c>
      <c r="J29" s="17">
        <f>[26]Vendedor12!$L$6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[27]Vendedor12!$J$4</f>
        <v>0</v>
      </c>
      <c r="C30" s="81">
        <f>[27]Vendedor12!$K$4</f>
        <v>0</v>
      </c>
      <c r="D30" s="82">
        <f>[27]Vendedor12!$L$4</f>
        <v>0</v>
      </c>
      <c r="E30" s="14">
        <f>[27]Vendedor12!$J$5</f>
        <v>0</v>
      </c>
      <c r="F30" s="81">
        <f>[27]Vendedor12!$K$5</f>
        <v>0</v>
      </c>
      <c r="G30" s="85">
        <f>[27]Vendedor12!$L$5</f>
        <v>0</v>
      </c>
      <c r="H30" s="19">
        <f>[27]Vendedor12!$J$6</f>
        <v>0</v>
      </c>
      <c r="I30" s="15">
        <f>[27]Vendedor12!$K$6</f>
        <v>0</v>
      </c>
      <c r="J30" s="17">
        <f>[27]Vendedor12!$L$6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[28]Vendedor12!$J$4</f>
        <v>0</v>
      </c>
      <c r="C31" s="81">
        <f>[28]Vendedor12!$K$4</f>
        <v>0</v>
      </c>
      <c r="D31" s="82">
        <f>[28]Vendedor12!$L$4</f>
        <v>0</v>
      </c>
      <c r="E31" s="14">
        <f>[28]Vendedor12!$J$5</f>
        <v>0</v>
      </c>
      <c r="F31" s="81">
        <f>[28]Vendedor12!$K$5</f>
        <v>0</v>
      </c>
      <c r="G31" s="85">
        <f>[28]Vendedor12!$L$5</f>
        <v>0</v>
      </c>
      <c r="H31" s="19">
        <f>[28]Vendedor12!$J$6</f>
        <v>0</v>
      </c>
      <c r="I31" s="15">
        <f>[28]Vendedor12!$K$6</f>
        <v>0</v>
      </c>
      <c r="J31" s="17">
        <f>[28]Vendedor12!$L$6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[29]Vendedor12!$J$4</f>
        <v>0</v>
      </c>
      <c r="C32" s="81">
        <f>[29]Vendedor12!$K$4</f>
        <v>0</v>
      </c>
      <c r="D32" s="82">
        <f>[29]Vendedor12!$L$4</f>
        <v>0</v>
      </c>
      <c r="E32" s="14">
        <f>[29]Vendedor12!$J$5</f>
        <v>0</v>
      </c>
      <c r="F32" s="81">
        <f>[29]Vendedor12!$K$5</f>
        <v>0</v>
      </c>
      <c r="G32" s="85">
        <f>[29]Vendedor12!$L$5</f>
        <v>0</v>
      </c>
      <c r="H32" s="19">
        <f>[29]Vendedor12!$J$6</f>
        <v>0</v>
      </c>
      <c r="I32" s="15">
        <f>[29]Vendedor12!$K$6</f>
        <v>0</v>
      </c>
      <c r="J32" s="17">
        <f>[29]Vendedor12!$L$6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[30]Vendedor12!$J$4</f>
        <v>0</v>
      </c>
      <c r="C33" s="81">
        <f>[30]Vendedor12!$K$4</f>
        <v>0</v>
      </c>
      <c r="D33" s="82">
        <f>[30]Vendedor12!$L$4</f>
        <v>0</v>
      </c>
      <c r="E33" s="14">
        <f>[30]Vendedor12!$J$5</f>
        <v>0</v>
      </c>
      <c r="F33" s="81">
        <f>[30]Vendedor12!$K$5</f>
        <v>0</v>
      </c>
      <c r="G33" s="85">
        <f>[30]Vendedor12!$L$5</f>
        <v>0</v>
      </c>
      <c r="H33" s="19">
        <f>[30]Vendedor12!$J$6</f>
        <v>0</v>
      </c>
      <c r="I33" s="15">
        <f>[30]Vendedor12!$K$6</f>
        <v>0</v>
      </c>
      <c r="J33" s="17">
        <f>[30]Vendedor12!$L$6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[31]Vendedor12!$J$4</f>
        <v>0</v>
      </c>
      <c r="C34" s="81">
        <f>[31]Vendedor12!$K$4</f>
        <v>0</v>
      </c>
      <c r="D34" s="82">
        <f>[31]Vendedor12!$L$4</f>
        <v>0</v>
      </c>
      <c r="E34" s="14">
        <f>[31]Vendedor12!$J$5</f>
        <v>0</v>
      </c>
      <c r="F34" s="81">
        <f>[31]Vendedor12!$K$5</f>
        <v>0</v>
      </c>
      <c r="G34" s="85">
        <f>[31]Vendedor12!$L$5</f>
        <v>0</v>
      </c>
      <c r="H34" s="19">
        <f>[31]Vendedor12!$J$6</f>
        <v>0</v>
      </c>
      <c r="I34" s="15">
        <f>[31]Vendedor12!$K$6</f>
        <v>0</v>
      </c>
      <c r="J34" s="17">
        <f>[31]Vendedor12!$L$6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[1]Vendedor12!$J$4</f>
        <v>0</v>
      </c>
      <c r="C35" s="81">
        <f>[1]Vendedor12!$K$4</f>
        <v>0</v>
      </c>
      <c r="D35" s="82">
        <f>[1]Vendedor12!$L$4</f>
        <v>0</v>
      </c>
      <c r="E35" s="14">
        <f>[1]Vendedor12!$J$5</f>
        <v>0</v>
      </c>
      <c r="F35" s="81">
        <f>[1]Vendedor12!$K$5</f>
        <v>0</v>
      </c>
      <c r="G35" s="85">
        <f>[1]Vendedor12!$L$5</f>
        <v>0</v>
      </c>
      <c r="H35" s="19">
        <f>[1]Vendedor12!$J$6</f>
        <v>0</v>
      </c>
      <c r="I35" s="15">
        <f>[1]Vendedor12!$K$6</f>
        <v>0</v>
      </c>
      <c r="J35" s="17">
        <f>[1]Vendedor12!$L$6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.75" thickBot="1">
      <c r="A36" s="20" t="s">
        <v>45</v>
      </c>
      <c r="B36" s="21">
        <f>[2]Vendedor12!$J$4</f>
        <v>0</v>
      </c>
      <c r="C36" s="83">
        <f>[2]Vendedor12!$K$4</f>
        <v>0</v>
      </c>
      <c r="D36" s="84">
        <f>[2]Vendedor12!$L$4</f>
        <v>0</v>
      </c>
      <c r="E36" s="21">
        <f>[2]Vendedor12!$J$5</f>
        <v>0</v>
      </c>
      <c r="F36" s="83">
        <f>[2]Vendedor12!$K$5</f>
        <v>0</v>
      </c>
      <c r="G36" s="86">
        <f>[2]Vendedor12!$L$5</f>
        <v>0</v>
      </c>
      <c r="H36" s="26">
        <f>[2]Vendedor12!$J$6</f>
        <v>0</v>
      </c>
      <c r="I36" s="22">
        <f>[2]Vendedor12!$K$6</f>
        <v>0</v>
      </c>
      <c r="J36" s="24">
        <f>[2]Vendedor12!$L$6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.5" thickBot="1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M37"/>
  <sheetViews>
    <sheetView showGridLines="0" zoomScale="80" zoomScaleNormal="80" workbookViewId="0"/>
  </sheetViews>
  <sheetFormatPr baseColWidth="10" defaultColWidth="11.42578125" defaultRowHeight="15"/>
  <cols>
    <col min="1" max="1" width="11.28515625" style="1" bestFit="1" customWidth="1"/>
    <col min="2" max="2" width="11.42578125" style="1"/>
    <col min="3" max="3" width="13.7109375" style="1" bestFit="1" customWidth="1"/>
    <col min="4" max="4" width="12" style="1" bestFit="1" customWidth="1"/>
    <col min="5" max="5" width="11.28515625" style="1" bestFit="1" customWidth="1"/>
    <col min="6" max="6" width="14.140625" style="1" bestFit="1" customWidth="1"/>
    <col min="7" max="7" width="13.140625" style="1" bestFit="1" customWidth="1"/>
    <col min="8" max="10" width="12.42578125" style="1" bestFit="1" customWidth="1"/>
    <col min="11" max="12" width="9.42578125" style="1" bestFit="1" customWidth="1"/>
    <col min="13" max="13" width="10.7109375" style="1" bestFit="1" customWidth="1"/>
    <col min="14" max="16" width="12" style="1" bestFit="1" customWidth="1"/>
    <col min="17" max="17" width="11.42578125" style="1"/>
    <col min="18" max="18" width="10.28515625" style="1" bestFit="1" customWidth="1"/>
    <col min="19" max="19" width="14.5703125" style="1" bestFit="1" customWidth="1"/>
    <col min="20" max="20" width="10.7109375" style="1" bestFit="1" customWidth="1"/>
    <col min="21" max="21" width="12.42578125" style="1" bestFit="1" customWidth="1"/>
    <col min="22" max="1027" width="11.42578125" style="1"/>
  </cols>
  <sheetData>
    <row r="1" spans="1:60" ht="15.75" thickBot="1">
      <c r="I1" s="136" t="s">
        <v>0</v>
      </c>
      <c r="J1" s="137"/>
      <c r="K1" s="137"/>
      <c r="L1" s="137"/>
      <c r="M1" s="137"/>
      <c r="N1" s="137"/>
      <c r="O1" s="137"/>
      <c r="P1" s="138"/>
    </row>
    <row r="2" spans="1:60" ht="19.5" thickBot="1">
      <c r="A2" s="2" t="s">
        <v>1</v>
      </c>
      <c r="B2" s="135" t="s">
        <v>138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88</v>
      </c>
      <c r="P2" s="72">
        <v>0.12</v>
      </c>
    </row>
    <row r="3" spans="1:60" ht="15.75" thickBot="1"/>
    <row r="4" spans="1:60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8" t="s">
        <v>91</v>
      </c>
      <c r="N4" s="9" t="s">
        <v>96</v>
      </c>
      <c r="O4" s="7" t="s">
        <v>95</v>
      </c>
      <c r="P4" s="10" t="s">
        <v>97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>
      <c r="A6" s="20" t="s">
        <v>49</v>
      </c>
      <c r="B6" s="53">
        <f>[3]Vendedor13!$J$4</f>
        <v>84450</v>
      </c>
      <c r="C6" s="87">
        <f>[3]Vendedor13!$K$4</f>
        <v>10134</v>
      </c>
      <c r="D6" s="88">
        <f>[3]Vendedor13!$L$4</f>
        <v>0</v>
      </c>
      <c r="E6" s="53">
        <f>[3]Vendedor13!$J$5</f>
        <v>13250</v>
      </c>
      <c r="F6" s="87">
        <f>[3]Vendedor13!$K$5</f>
        <v>1590</v>
      </c>
      <c r="G6" s="89">
        <f>[3]Vendedor13!$L$5</f>
        <v>16000</v>
      </c>
      <c r="H6" s="59">
        <f>[3]Vendedor13!$J$6</f>
        <v>7000</v>
      </c>
      <c r="I6" s="58">
        <f>[3]Vendedor13!$K$6</f>
        <v>700</v>
      </c>
      <c r="J6" s="55">
        <f>[3]Vendedor13!$L$6</f>
        <v>0</v>
      </c>
      <c r="K6" s="61">
        <f>[3]Vendedor13!$J$7</f>
        <v>5700</v>
      </c>
      <c r="L6" s="58">
        <f>[3]Vendedor13!$K$7</f>
        <v>684</v>
      </c>
      <c r="M6" s="54">
        <f>[3]Vendedor13!$L$7</f>
        <v>0</v>
      </c>
      <c r="N6" s="59">
        <f>[3]Vendedor13!$J$8</f>
        <v>0</v>
      </c>
      <c r="O6" s="58">
        <f>[3]Vendedor13!$K$8</f>
        <v>0</v>
      </c>
      <c r="P6" s="55">
        <f>[3]Vendedor13!$L$8</f>
        <v>0</v>
      </c>
      <c r="Q6" s="59">
        <f>+B6+E6+H6+K6+N6</f>
        <v>110400</v>
      </c>
      <c r="R6" s="58">
        <f t="shared" ref="R6:R36" si="1">+C6+F6+I6+L6+O6</f>
        <v>13108</v>
      </c>
      <c r="S6" s="55">
        <f t="shared" ref="S6:S36" si="2">+D6+G6+J6+M6+P6</f>
        <v>16000</v>
      </c>
      <c r="T6" s="61">
        <v>0</v>
      </c>
      <c r="U6" s="55">
        <f t="shared" si="0"/>
        <v>81292</v>
      </c>
    </row>
    <row r="7" spans="1:60">
      <c r="A7" s="13" t="s">
        <v>50</v>
      </c>
      <c r="B7" s="14">
        <f>[4]Vendedor13!$J$4</f>
        <v>36600</v>
      </c>
      <c r="C7" s="81">
        <f>[4]Vendedor13!$K$4</f>
        <v>4392</v>
      </c>
      <c r="D7" s="82">
        <f>[4]Vendedor13!$L$4</f>
        <v>55250</v>
      </c>
      <c r="E7" s="14">
        <f>[4]Vendedor13!$J$5</f>
        <v>21250</v>
      </c>
      <c r="F7" s="81">
        <f>[4]Vendedor13!$K$5</f>
        <v>2550</v>
      </c>
      <c r="G7" s="85">
        <f>[4]Vendedor13!$L$5</f>
        <v>0</v>
      </c>
      <c r="H7" s="19">
        <f>[4]Vendedor13!$J$6</f>
        <v>0</v>
      </c>
      <c r="I7" s="15">
        <f>[4]Vendedor13!$K$6</f>
        <v>0</v>
      </c>
      <c r="J7" s="17">
        <f>[4]Vendedor13!$L$6</f>
        <v>0</v>
      </c>
      <c r="K7" s="18">
        <f>[4]Vendedor13!$J$7</f>
        <v>500</v>
      </c>
      <c r="L7" s="15">
        <f>[4]Vendedor13!$K$7</f>
        <v>60</v>
      </c>
      <c r="M7" s="16">
        <f>[4]Vendedor13!$L$7</f>
        <v>0</v>
      </c>
      <c r="N7" s="19">
        <f>[4]Vendedor13!$J$8</f>
        <v>0</v>
      </c>
      <c r="O7" s="15">
        <f>[4]Vendedor13!$K$8</f>
        <v>0</v>
      </c>
      <c r="P7" s="17">
        <f>[4]Vendedor13!$L$8</f>
        <v>0</v>
      </c>
      <c r="Q7" s="19">
        <f t="shared" ref="Q7:Q36" si="3">+B7+E7+H7+K7+N7</f>
        <v>58350</v>
      </c>
      <c r="R7" s="15">
        <f t="shared" si="1"/>
        <v>7002</v>
      </c>
      <c r="S7" s="17">
        <f t="shared" si="2"/>
        <v>55250</v>
      </c>
      <c r="T7" s="18">
        <v>0</v>
      </c>
      <c r="U7" s="17">
        <f t="shared" si="0"/>
        <v>-3902</v>
      </c>
    </row>
    <row r="8" spans="1:60">
      <c r="A8" s="20" t="s">
        <v>51</v>
      </c>
      <c r="B8" s="14">
        <f>[5]Vendedor13!$J$4</f>
        <v>45100</v>
      </c>
      <c r="C8" s="81">
        <f>[5]Vendedor13!$K$4</f>
        <v>5412</v>
      </c>
      <c r="D8" s="82">
        <f>[5]Vendedor13!$L$4</f>
        <v>238000</v>
      </c>
      <c r="E8" s="14">
        <f>[5]Vendedor13!$J$5</f>
        <v>24150</v>
      </c>
      <c r="F8" s="81">
        <f>[5]Vendedor13!$K$5</f>
        <v>2898</v>
      </c>
      <c r="G8" s="85">
        <f>[5]Vendedor13!$L$5</f>
        <v>56000</v>
      </c>
      <c r="H8" s="19">
        <f>[5]Vendedor13!$J$6</f>
        <v>1300</v>
      </c>
      <c r="I8" s="15">
        <f>[5]Vendedor13!$K$6</f>
        <v>130</v>
      </c>
      <c r="J8" s="17">
        <f>[5]Vendedor13!$L$6</f>
        <v>0</v>
      </c>
      <c r="K8" s="18">
        <f>[5]Vendedor13!$J$7</f>
        <v>1500</v>
      </c>
      <c r="L8" s="15">
        <f>[5]Vendedor13!$K$7</f>
        <v>180</v>
      </c>
      <c r="M8" s="16">
        <f>[5]Vendedor13!$L$7</f>
        <v>0</v>
      </c>
      <c r="N8" s="19">
        <f>[5]Vendedor13!$J$8</f>
        <v>0</v>
      </c>
      <c r="O8" s="15">
        <f>[5]Vendedor13!$K$8</f>
        <v>0</v>
      </c>
      <c r="P8" s="17">
        <f>[5]Vendedor13!$L$8</f>
        <v>0</v>
      </c>
      <c r="Q8" s="19">
        <f t="shared" si="3"/>
        <v>72050</v>
      </c>
      <c r="R8" s="15">
        <f t="shared" si="1"/>
        <v>8620</v>
      </c>
      <c r="S8" s="17">
        <f t="shared" si="2"/>
        <v>294000</v>
      </c>
      <c r="T8" s="18">
        <v>0</v>
      </c>
      <c r="U8" s="17">
        <f t="shared" si="0"/>
        <v>-230570</v>
      </c>
    </row>
    <row r="9" spans="1:60">
      <c r="A9" s="13" t="s">
        <v>52</v>
      </c>
      <c r="B9" s="14">
        <f>[6]Vendedor13!$J$4</f>
        <v>63150</v>
      </c>
      <c r="C9" s="81">
        <f>[6]Vendedor13!$K$4</f>
        <v>7578</v>
      </c>
      <c r="D9" s="82">
        <f>[6]Vendedor13!$L$4</f>
        <v>42500</v>
      </c>
      <c r="E9" s="14">
        <f>[6]Vendedor13!$J$5</f>
        <v>30250</v>
      </c>
      <c r="F9" s="81">
        <f>[6]Vendedor13!$K$5</f>
        <v>3630</v>
      </c>
      <c r="G9" s="85">
        <f>[6]Vendedor13!$L$5</f>
        <v>8000</v>
      </c>
      <c r="H9" s="19">
        <f>[6]Vendedor13!$J$6</f>
        <v>7300</v>
      </c>
      <c r="I9" s="15">
        <f>[6]Vendedor13!$K$6</f>
        <v>730</v>
      </c>
      <c r="J9" s="17">
        <f>[6]Vendedor13!$L$6</f>
        <v>0</v>
      </c>
      <c r="K9" s="18">
        <f>[6]Vendedor13!$J$7</f>
        <v>1000</v>
      </c>
      <c r="L9" s="15">
        <f>[6]Vendedor13!$K$7</f>
        <v>120</v>
      </c>
      <c r="M9" s="16">
        <f>[6]Vendedor13!$L$7</f>
        <v>0</v>
      </c>
      <c r="N9" s="19">
        <f>[6]Vendedor13!$J$8</f>
        <v>0</v>
      </c>
      <c r="O9" s="15">
        <f>[6]Vendedor13!$K$8</f>
        <v>0</v>
      </c>
      <c r="P9" s="17">
        <f>[6]Vendedor13!$L$8</f>
        <v>0</v>
      </c>
      <c r="Q9" s="19">
        <f t="shared" si="3"/>
        <v>101700</v>
      </c>
      <c r="R9" s="15">
        <f t="shared" si="1"/>
        <v>12058</v>
      </c>
      <c r="S9" s="17">
        <f t="shared" si="2"/>
        <v>50500</v>
      </c>
      <c r="T9" s="18">
        <v>0</v>
      </c>
      <c r="U9" s="17">
        <f t="shared" si="0"/>
        <v>39142</v>
      </c>
    </row>
    <row r="10" spans="1:60">
      <c r="A10" s="20" t="s">
        <v>53</v>
      </c>
      <c r="B10" s="14">
        <f>[7]Vendedor13!$J$4</f>
        <v>65650</v>
      </c>
      <c r="C10" s="81">
        <f>[7]Vendedor13!$K$4</f>
        <v>7878</v>
      </c>
      <c r="D10" s="82">
        <f>[7]Vendedor13!$L$4</f>
        <v>0</v>
      </c>
      <c r="E10" s="14">
        <f>[7]Vendedor13!$J$5</f>
        <v>18900</v>
      </c>
      <c r="F10" s="81">
        <f>[7]Vendedor13!$K$5</f>
        <v>2268</v>
      </c>
      <c r="G10" s="85">
        <f>[7]Vendedor13!$L$5</f>
        <v>0</v>
      </c>
      <c r="H10" s="19">
        <f>[7]Vendedor13!$J$6</f>
        <v>2700</v>
      </c>
      <c r="I10" s="15">
        <f>[7]Vendedor13!$K$6</f>
        <v>270</v>
      </c>
      <c r="J10" s="17">
        <f>[7]Vendedor13!$L$6</f>
        <v>0</v>
      </c>
      <c r="K10" s="18">
        <f>[7]Vendedor13!$J$7</f>
        <v>2750</v>
      </c>
      <c r="L10" s="15">
        <f>[7]Vendedor13!$K$7</f>
        <v>330</v>
      </c>
      <c r="M10" s="16">
        <f>[7]Vendedor13!$L$7</f>
        <v>16000</v>
      </c>
      <c r="N10" s="19">
        <f>[7]Vendedor13!$J$8</f>
        <v>0</v>
      </c>
      <c r="O10" s="15">
        <f>[7]Vendedor13!$K$8</f>
        <v>0</v>
      </c>
      <c r="P10" s="17">
        <f>[7]Vendedor13!$L$8</f>
        <v>0</v>
      </c>
      <c r="Q10" s="19">
        <f t="shared" si="3"/>
        <v>90000</v>
      </c>
      <c r="R10" s="15">
        <f t="shared" si="1"/>
        <v>10746</v>
      </c>
      <c r="S10" s="17">
        <f t="shared" si="2"/>
        <v>16000</v>
      </c>
      <c r="T10" s="18">
        <v>0</v>
      </c>
      <c r="U10" s="17">
        <f t="shared" si="0"/>
        <v>63254</v>
      </c>
    </row>
    <row r="11" spans="1:60">
      <c r="A11" s="13" t="s">
        <v>20</v>
      </c>
      <c r="B11" s="14">
        <f>[8]Vendedor13!$J$4</f>
        <v>46650</v>
      </c>
      <c r="C11" s="81">
        <f>[8]Vendedor13!$K$4</f>
        <v>5598</v>
      </c>
      <c r="D11" s="82">
        <f>[8]Vendedor13!$L$4</f>
        <v>21250</v>
      </c>
      <c r="E11" s="14">
        <f>[8]Vendedor13!$J$5</f>
        <v>18700</v>
      </c>
      <c r="F11" s="81">
        <f>[8]Vendedor13!$K$5</f>
        <v>2244</v>
      </c>
      <c r="G11" s="85">
        <f>[8]Vendedor13!$L$5</f>
        <v>0</v>
      </c>
      <c r="H11" s="19">
        <f>[8]Vendedor13!$J$6</f>
        <v>3500</v>
      </c>
      <c r="I11" s="15">
        <f>[8]Vendedor13!$K$6</f>
        <v>350</v>
      </c>
      <c r="J11" s="17">
        <f>[8]Vendedor13!$L$6</f>
        <v>0</v>
      </c>
      <c r="K11" s="18">
        <f>[8]Vendedor13!$J$7</f>
        <v>1500</v>
      </c>
      <c r="L11" s="15">
        <f>[8]Vendedor13!$K$7</f>
        <v>180</v>
      </c>
      <c r="M11" s="16">
        <f>[8]Vendedor13!$L$7</f>
        <v>0</v>
      </c>
      <c r="N11" s="19">
        <f>[8]Vendedor13!$J$8</f>
        <v>0</v>
      </c>
      <c r="O11" s="15">
        <f>[8]Vendedor13!$K$8</f>
        <v>0</v>
      </c>
      <c r="P11" s="17">
        <f>[8]Vendedor13!$L$8</f>
        <v>0</v>
      </c>
      <c r="Q11" s="19">
        <f t="shared" si="3"/>
        <v>70350</v>
      </c>
      <c r="R11" s="15">
        <f t="shared" si="1"/>
        <v>8372</v>
      </c>
      <c r="S11" s="17">
        <f t="shared" si="2"/>
        <v>21250</v>
      </c>
      <c r="T11" s="18">
        <v>0</v>
      </c>
      <c r="U11" s="17">
        <f t="shared" si="0"/>
        <v>40728</v>
      </c>
    </row>
    <row r="12" spans="1:60">
      <c r="A12" s="20" t="s">
        <v>21</v>
      </c>
      <c r="B12" s="14">
        <f>[9]Vendedor13!$J$4</f>
        <v>56050</v>
      </c>
      <c r="C12" s="81">
        <f>[9]Vendedor13!$K$4</f>
        <v>6726</v>
      </c>
      <c r="D12" s="82">
        <f>[9]Vendedor13!$L$4</f>
        <v>42500</v>
      </c>
      <c r="E12" s="14">
        <f>[9]Vendedor13!$J$5</f>
        <v>20600</v>
      </c>
      <c r="F12" s="81">
        <f>[9]Vendedor13!$K$5</f>
        <v>2472</v>
      </c>
      <c r="G12" s="85">
        <f>[9]Vendedor13!$L$5</f>
        <v>0</v>
      </c>
      <c r="H12" s="19">
        <f>[9]Vendedor13!$J$6</f>
        <v>1000</v>
      </c>
      <c r="I12" s="15">
        <f>[9]Vendedor13!$K$6</f>
        <v>100</v>
      </c>
      <c r="J12" s="17">
        <f>[9]Vendedor13!$L$6</f>
        <v>0</v>
      </c>
      <c r="K12" s="18">
        <f>[9]Vendedor13!$J$7</f>
        <v>3000</v>
      </c>
      <c r="L12" s="15">
        <f>[9]Vendedor13!$K$7</f>
        <v>360</v>
      </c>
      <c r="M12" s="16">
        <f>[9]Vendedor13!$L$7</f>
        <v>0</v>
      </c>
      <c r="N12" s="19">
        <f>[9]Vendedor13!$J$8</f>
        <v>0</v>
      </c>
      <c r="O12" s="15">
        <f>[9]Vendedor13!$K$8</f>
        <v>0</v>
      </c>
      <c r="P12" s="17">
        <f>[9]Vendedor13!$L$8</f>
        <v>0</v>
      </c>
      <c r="Q12" s="19">
        <f t="shared" si="3"/>
        <v>80650</v>
      </c>
      <c r="R12" s="15">
        <f t="shared" si="1"/>
        <v>9658</v>
      </c>
      <c r="S12" s="17">
        <f t="shared" si="2"/>
        <v>42500</v>
      </c>
      <c r="T12" s="18">
        <v>0</v>
      </c>
      <c r="U12" s="17">
        <f t="shared" si="0"/>
        <v>28492</v>
      </c>
    </row>
    <row r="13" spans="1:60">
      <c r="A13" s="13" t="s">
        <v>22</v>
      </c>
      <c r="B13" s="14">
        <f>[10]Vendedor13!$J$4</f>
        <v>78100</v>
      </c>
      <c r="C13" s="81">
        <f>[10]Vendedor13!$K$4</f>
        <v>9372</v>
      </c>
      <c r="D13" s="82">
        <f>[10]Vendedor13!$L$4</f>
        <v>42500</v>
      </c>
      <c r="E13" s="14">
        <f>[10]Vendedor13!$J$5</f>
        <v>19100</v>
      </c>
      <c r="F13" s="81">
        <f>[10]Vendedor13!$K$5</f>
        <v>2292</v>
      </c>
      <c r="G13" s="85">
        <f>[10]Vendedor13!$L$5</f>
        <v>0</v>
      </c>
      <c r="H13" s="19">
        <f>[10]Vendedor13!$J$6</f>
        <v>8000</v>
      </c>
      <c r="I13" s="15">
        <f>[10]Vendedor13!$K$6</f>
        <v>800</v>
      </c>
      <c r="J13" s="17">
        <f>[10]Vendedor13!$L$6</f>
        <v>0</v>
      </c>
      <c r="K13" s="18">
        <f>[10]Vendedor13!$J$7</f>
        <v>6200</v>
      </c>
      <c r="L13" s="15">
        <f>[10]Vendedor13!$K$7</f>
        <v>744</v>
      </c>
      <c r="M13" s="16">
        <f>[10]Vendedor13!$L$7</f>
        <v>0</v>
      </c>
      <c r="N13" s="19">
        <f>[10]Vendedor13!$J$8</f>
        <v>0</v>
      </c>
      <c r="O13" s="15">
        <f>[10]Vendedor13!$K$8</f>
        <v>0</v>
      </c>
      <c r="P13" s="17">
        <f>[10]Vendedor13!$L$8</f>
        <v>0</v>
      </c>
      <c r="Q13" s="19">
        <f t="shared" si="3"/>
        <v>111400</v>
      </c>
      <c r="R13" s="15">
        <f t="shared" si="1"/>
        <v>13208</v>
      </c>
      <c r="S13" s="17">
        <f t="shared" si="2"/>
        <v>42500</v>
      </c>
      <c r="T13" s="18">
        <v>0</v>
      </c>
      <c r="U13" s="17">
        <f t="shared" si="0"/>
        <v>55692</v>
      </c>
    </row>
    <row r="14" spans="1:60">
      <c r="A14" s="20" t="s">
        <v>23</v>
      </c>
      <c r="B14" s="14">
        <f>[11]Vendedor13!$J$4</f>
        <v>49350</v>
      </c>
      <c r="C14" s="81">
        <f>[11]Vendedor13!$K$4</f>
        <v>5922</v>
      </c>
      <c r="D14" s="82">
        <f>[11]Vendedor13!$L$4</f>
        <v>42500</v>
      </c>
      <c r="E14" s="14">
        <f>[11]Vendedor13!$J$5</f>
        <v>13300</v>
      </c>
      <c r="F14" s="81">
        <f>[11]Vendedor13!$K$5</f>
        <v>1596</v>
      </c>
      <c r="G14" s="85">
        <f>[11]Vendedor13!$L$5</f>
        <v>0</v>
      </c>
      <c r="H14" s="19">
        <f>[11]Vendedor13!$J$6</f>
        <v>0</v>
      </c>
      <c r="I14" s="15">
        <f>[11]Vendedor13!$K$6</f>
        <v>0</v>
      </c>
      <c r="J14" s="17">
        <f>[11]Vendedor13!$L$6</f>
        <v>0</v>
      </c>
      <c r="K14" s="18">
        <f>[11]Vendedor13!$J$7</f>
        <v>600</v>
      </c>
      <c r="L14" s="15">
        <f>[11]Vendedor13!$K$7</f>
        <v>72</v>
      </c>
      <c r="M14" s="16">
        <f>[11]Vendedor13!$L$7</f>
        <v>0</v>
      </c>
      <c r="N14" s="19">
        <f>[11]Vendedor13!$J$8</f>
        <v>0</v>
      </c>
      <c r="O14" s="15">
        <f>[11]Vendedor13!$K$8</f>
        <v>0</v>
      </c>
      <c r="P14" s="17">
        <f>[11]Vendedor13!$L$8</f>
        <v>0</v>
      </c>
      <c r="Q14" s="19">
        <f t="shared" si="3"/>
        <v>63250</v>
      </c>
      <c r="R14" s="15">
        <f t="shared" si="1"/>
        <v>7590</v>
      </c>
      <c r="S14" s="17">
        <f t="shared" si="2"/>
        <v>42500</v>
      </c>
      <c r="T14" s="18">
        <v>0</v>
      </c>
      <c r="U14" s="17">
        <f t="shared" si="0"/>
        <v>13160</v>
      </c>
    </row>
    <row r="15" spans="1:60" s="76" customFormat="1">
      <c r="A15" s="20" t="s">
        <v>24</v>
      </c>
      <c r="B15" s="14">
        <f>[12]Vendedor13!$J$4</f>
        <v>48550</v>
      </c>
      <c r="C15" s="81">
        <f>[12]Vendedor13!$K$4</f>
        <v>5826</v>
      </c>
      <c r="D15" s="82">
        <f>[12]Vendedor13!$L$4</f>
        <v>21250</v>
      </c>
      <c r="E15" s="14">
        <f>[12]Vendedor13!$J$5</f>
        <v>10900</v>
      </c>
      <c r="F15" s="81">
        <f>[12]Vendedor13!$K$5</f>
        <v>1308</v>
      </c>
      <c r="G15" s="85">
        <f>[12]Vendedor13!$L$5</f>
        <v>0</v>
      </c>
      <c r="H15" s="19">
        <f>[12]Vendedor13!$J$6</f>
        <v>500</v>
      </c>
      <c r="I15" s="15">
        <f>[12]Vendedor13!$K$6</f>
        <v>50</v>
      </c>
      <c r="J15" s="17">
        <f>[12]Vendedor13!$L$6</f>
        <v>0</v>
      </c>
      <c r="K15" s="18">
        <f>[12]Vendedor13!$J$7</f>
        <v>2800</v>
      </c>
      <c r="L15" s="15">
        <f>[12]Vendedor13!$K$7</f>
        <v>336</v>
      </c>
      <c r="M15" s="16">
        <f>[12]Vendedor13!$L$7</f>
        <v>0</v>
      </c>
      <c r="N15" s="19">
        <f>[12]Vendedor13!$J$8</f>
        <v>0</v>
      </c>
      <c r="O15" s="15">
        <f>[12]Vendedor13!$K$8</f>
        <v>0</v>
      </c>
      <c r="P15" s="17">
        <f>[12]Vendedor13!$L$8</f>
        <v>0</v>
      </c>
      <c r="Q15" s="19">
        <f t="shared" si="3"/>
        <v>62750</v>
      </c>
      <c r="R15" s="15">
        <f t="shared" si="1"/>
        <v>7520</v>
      </c>
      <c r="S15" s="17">
        <f t="shared" si="2"/>
        <v>21250</v>
      </c>
      <c r="T15" s="18">
        <v>0</v>
      </c>
      <c r="U15" s="17">
        <f t="shared" si="0"/>
        <v>33980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>
      <c r="A16" s="20" t="s">
        <v>25</v>
      </c>
      <c r="B16" s="14">
        <f>[13]Vendedor13!$J$4</f>
        <v>65800</v>
      </c>
      <c r="C16" s="81">
        <f>[13]Vendedor13!$K$4</f>
        <v>7896</v>
      </c>
      <c r="D16" s="82">
        <f>[13]Vendedor13!$L$4</f>
        <v>42500</v>
      </c>
      <c r="E16" s="14">
        <f>[13]Vendedor13!$J$5</f>
        <v>38350</v>
      </c>
      <c r="F16" s="81">
        <f>[13]Vendedor13!$K$5</f>
        <v>4602</v>
      </c>
      <c r="G16" s="85">
        <f>[13]Vendedor13!$L$5</f>
        <v>56000</v>
      </c>
      <c r="H16" s="19">
        <f>[13]Vendedor13!$J$6</f>
        <v>3600</v>
      </c>
      <c r="I16" s="15">
        <f>[13]Vendedor13!$K$6</f>
        <v>360</v>
      </c>
      <c r="J16" s="17">
        <f>[13]Vendedor13!$L$6</f>
        <v>0</v>
      </c>
      <c r="K16" s="18">
        <f>[13]Vendedor13!$J$7</f>
        <v>5000</v>
      </c>
      <c r="L16" s="15">
        <f>[13]Vendedor13!$K$7</f>
        <v>600</v>
      </c>
      <c r="M16" s="16">
        <f>[13]Vendedor13!$L$7</f>
        <v>0</v>
      </c>
      <c r="N16" s="19">
        <f>[13]Vendedor13!$J$8</f>
        <v>250</v>
      </c>
      <c r="O16" s="15">
        <f>[13]Vendedor13!$K$8</f>
        <v>30</v>
      </c>
      <c r="P16" s="17">
        <f>[13]Vendedor13!$L$8</f>
        <v>0</v>
      </c>
      <c r="Q16" s="19">
        <f t="shared" si="3"/>
        <v>113000</v>
      </c>
      <c r="R16" s="15">
        <f t="shared" si="1"/>
        <v>13488</v>
      </c>
      <c r="S16" s="17">
        <f t="shared" si="2"/>
        <v>98500</v>
      </c>
      <c r="T16" s="18">
        <v>0</v>
      </c>
      <c r="U16" s="17">
        <f t="shared" si="0"/>
        <v>1012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>
      <c r="A17" s="20" t="s">
        <v>26</v>
      </c>
      <c r="B17" s="14">
        <f>[14]Vendedor13!$J$4</f>
        <v>55450</v>
      </c>
      <c r="C17" s="81">
        <f>[14]Vendedor13!$K$4</f>
        <v>6654</v>
      </c>
      <c r="D17" s="82">
        <f>[14]Vendedor13!$L$4</f>
        <v>59500</v>
      </c>
      <c r="E17" s="14">
        <f>[14]Vendedor13!$J$5</f>
        <v>18750</v>
      </c>
      <c r="F17" s="81">
        <f>[14]Vendedor13!$K$5</f>
        <v>2250</v>
      </c>
      <c r="G17" s="85">
        <f>[14]Vendedor13!$L$5</f>
        <v>40000</v>
      </c>
      <c r="H17" s="19">
        <f>[14]Vendedor13!$J$6</f>
        <v>0</v>
      </c>
      <c r="I17" s="15">
        <f>[14]Vendedor13!$K$6</f>
        <v>0</v>
      </c>
      <c r="J17" s="17">
        <f>[14]Vendedor13!$L$6</f>
        <v>0</v>
      </c>
      <c r="K17" s="18">
        <f>[14]Vendedor13!$J$7</f>
        <v>1000</v>
      </c>
      <c r="L17" s="15">
        <f>[14]Vendedor13!$K$7</f>
        <v>120</v>
      </c>
      <c r="M17" s="16">
        <f>[14]Vendedor13!$L$7</f>
        <v>0</v>
      </c>
      <c r="N17" s="19">
        <f>[14]Vendedor13!$J$8</f>
        <v>0</v>
      </c>
      <c r="O17" s="15">
        <f>[14]Vendedor13!$K$8</f>
        <v>0</v>
      </c>
      <c r="P17" s="17">
        <f>[14]Vendedor13!$L$8</f>
        <v>0</v>
      </c>
      <c r="Q17" s="19">
        <f t="shared" si="3"/>
        <v>75200</v>
      </c>
      <c r="R17" s="15">
        <f t="shared" si="1"/>
        <v>9024</v>
      </c>
      <c r="S17" s="17">
        <f t="shared" si="2"/>
        <v>99500</v>
      </c>
      <c r="T17" s="18">
        <v>0</v>
      </c>
      <c r="U17" s="17">
        <f t="shared" si="0"/>
        <v>-33324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>
      <c r="A18" s="20" t="s">
        <v>27</v>
      </c>
      <c r="B18" s="14">
        <f>[15]Vendedor13!$J$4</f>
        <v>54550</v>
      </c>
      <c r="C18" s="81">
        <f>[15]Vendedor13!$K$4</f>
        <v>6546</v>
      </c>
      <c r="D18" s="82">
        <f>[15]Vendedor13!$L$4</f>
        <v>276250</v>
      </c>
      <c r="E18" s="14">
        <f>[15]Vendedor13!$J$5</f>
        <v>36000</v>
      </c>
      <c r="F18" s="81">
        <f>[15]Vendedor13!$K$5</f>
        <v>4320</v>
      </c>
      <c r="G18" s="85">
        <f>[15]Vendedor13!$L$5</f>
        <v>0</v>
      </c>
      <c r="H18" s="19">
        <f>[15]Vendedor13!$J$6</f>
        <v>1100</v>
      </c>
      <c r="I18" s="15">
        <f>[15]Vendedor13!$K$6</f>
        <v>110</v>
      </c>
      <c r="J18" s="17">
        <f>[15]Vendedor13!$L$6</f>
        <v>0</v>
      </c>
      <c r="K18" s="18">
        <f>[15]Vendedor13!$J$7</f>
        <v>1600</v>
      </c>
      <c r="L18" s="15">
        <f>[15]Vendedor13!$K$7</f>
        <v>192</v>
      </c>
      <c r="M18" s="16">
        <f>[15]Vendedor13!$L$7</f>
        <v>0</v>
      </c>
      <c r="N18" s="19">
        <f>[15]Vendedor13!$J$8</f>
        <v>0</v>
      </c>
      <c r="O18" s="15">
        <f>[15]Vendedor13!$K$8</f>
        <v>0</v>
      </c>
      <c r="P18" s="17">
        <f>[15]Vendedor13!$L$8</f>
        <v>0</v>
      </c>
      <c r="Q18" s="19">
        <f t="shared" si="3"/>
        <v>93250</v>
      </c>
      <c r="R18" s="15">
        <f t="shared" si="1"/>
        <v>11168</v>
      </c>
      <c r="S18" s="17">
        <f t="shared" si="2"/>
        <v>276250</v>
      </c>
      <c r="T18" s="18">
        <v>0</v>
      </c>
      <c r="U18" s="17">
        <f t="shared" si="0"/>
        <v>-194168</v>
      </c>
    </row>
    <row r="19" spans="1:60">
      <c r="A19" s="20" t="s">
        <v>28</v>
      </c>
      <c r="B19" s="14">
        <f>[16]Vendedor13!$J$4</f>
        <v>60600</v>
      </c>
      <c r="C19" s="81">
        <f>[16]Vendedor13!$K$4</f>
        <v>7272</v>
      </c>
      <c r="D19" s="82">
        <f>[16]Vendedor13!$L$4</f>
        <v>233750</v>
      </c>
      <c r="E19" s="14">
        <f>[16]Vendedor13!$J$5</f>
        <v>22200</v>
      </c>
      <c r="F19" s="81">
        <f>[16]Vendedor13!$K$5</f>
        <v>2664</v>
      </c>
      <c r="G19" s="85">
        <f>[16]Vendedor13!$L$5</f>
        <v>0</v>
      </c>
      <c r="H19" s="19">
        <f>[16]Vendedor13!$J$6</f>
        <v>700</v>
      </c>
      <c r="I19" s="15">
        <f>[16]Vendedor13!$K$6</f>
        <v>70</v>
      </c>
      <c r="J19" s="17">
        <f>[16]Vendedor13!$L$6</f>
        <v>0</v>
      </c>
      <c r="K19" s="18">
        <f>[16]Vendedor13!$J$7</f>
        <v>2500</v>
      </c>
      <c r="L19" s="15">
        <f>[16]Vendedor13!$K$7</f>
        <v>300</v>
      </c>
      <c r="M19" s="16">
        <f>[16]Vendedor13!$L$7</f>
        <v>0</v>
      </c>
      <c r="N19" s="19">
        <f>[16]Vendedor13!$J$8</f>
        <v>0</v>
      </c>
      <c r="O19" s="15">
        <f>[16]Vendedor13!$K$8</f>
        <v>0</v>
      </c>
      <c r="P19" s="17">
        <f>[16]Vendedor13!$L$8</f>
        <v>0</v>
      </c>
      <c r="Q19" s="19">
        <f t="shared" si="3"/>
        <v>86000</v>
      </c>
      <c r="R19" s="15">
        <f t="shared" si="1"/>
        <v>10306</v>
      </c>
      <c r="S19" s="17">
        <f t="shared" si="2"/>
        <v>233750</v>
      </c>
      <c r="T19" s="18">
        <v>0</v>
      </c>
      <c r="U19" s="17">
        <f t="shared" si="0"/>
        <v>-158056</v>
      </c>
    </row>
    <row r="20" spans="1:60">
      <c r="A20" s="13" t="s">
        <v>29</v>
      </c>
      <c r="B20" s="14">
        <f>[17]Vendedor13!$J$4</f>
        <v>96550</v>
      </c>
      <c r="C20" s="81">
        <f>[17]Vendedor13!$K$4</f>
        <v>11586</v>
      </c>
      <c r="D20" s="82">
        <f>[17]Vendedor13!$L$4</f>
        <v>85000</v>
      </c>
      <c r="E20" s="14">
        <f>[17]Vendedor13!$J$5</f>
        <v>11100</v>
      </c>
      <c r="F20" s="81">
        <f>[17]Vendedor13!$K$5</f>
        <v>1332</v>
      </c>
      <c r="G20" s="85">
        <f>[17]Vendedor13!$L$5</f>
        <v>0</v>
      </c>
      <c r="H20" s="19">
        <f>[17]Vendedor13!$J$6</f>
        <v>9000</v>
      </c>
      <c r="I20" s="15">
        <f>[17]Vendedor13!$K$6</f>
        <v>900</v>
      </c>
      <c r="J20" s="17">
        <f>[17]Vendedor13!$L$6</f>
        <v>0</v>
      </c>
      <c r="K20" s="18">
        <f>[17]Vendedor13!$J$7</f>
        <v>5000</v>
      </c>
      <c r="L20" s="15">
        <f>[17]Vendedor13!$K$7</f>
        <v>600</v>
      </c>
      <c r="M20" s="16">
        <f>[17]Vendedor13!$L$7</f>
        <v>0</v>
      </c>
      <c r="N20" s="19">
        <f>[17]Vendedor13!$J$8</f>
        <v>0</v>
      </c>
      <c r="O20" s="15">
        <f>[17]Vendedor13!$K$8</f>
        <v>0</v>
      </c>
      <c r="P20" s="17">
        <f>[17]Vendedor13!$L$8</f>
        <v>0</v>
      </c>
      <c r="Q20" s="19">
        <f t="shared" si="3"/>
        <v>121650</v>
      </c>
      <c r="R20" s="15">
        <f t="shared" si="1"/>
        <v>14418</v>
      </c>
      <c r="S20" s="17">
        <f t="shared" si="2"/>
        <v>85000</v>
      </c>
      <c r="T20" s="18">
        <v>0</v>
      </c>
      <c r="U20" s="17">
        <f t="shared" si="0"/>
        <v>22232</v>
      </c>
    </row>
    <row r="21" spans="1:60">
      <c r="A21" s="20" t="s">
        <v>30</v>
      </c>
      <c r="B21" s="14">
        <f>[18]Vendedor13!$J$4</f>
        <v>36550</v>
      </c>
      <c r="C21" s="81">
        <f>[18]Vendedor13!$K$4</f>
        <v>4386</v>
      </c>
      <c r="D21" s="82">
        <f>[18]Vendedor13!$L$4</f>
        <v>42500</v>
      </c>
      <c r="E21" s="14">
        <f>[18]Vendedor13!$J$5</f>
        <v>22150</v>
      </c>
      <c r="F21" s="81">
        <f>[18]Vendedor13!$K$5</f>
        <v>2658</v>
      </c>
      <c r="G21" s="85">
        <f>[18]Vendedor13!$L$5</f>
        <v>8000</v>
      </c>
      <c r="H21" s="19">
        <f>[18]Vendedor13!$J$6</f>
        <v>1000</v>
      </c>
      <c r="I21" s="15">
        <f>[18]Vendedor13!$K$6</f>
        <v>100</v>
      </c>
      <c r="J21" s="17">
        <f>[18]Vendedor13!$L$6</f>
        <v>0</v>
      </c>
      <c r="K21" s="18">
        <f>[18]Vendedor13!$J$7</f>
        <v>2400</v>
      </c>
      <c r="L21" s="15">
        <f>[18]Vendedor13!$K$7</f>
        <v>288</v>
      </c>
      <c r="M21" s="16">
        <f>[18]Vendedor13!$L$7</f>
        <v>0</v>
      </c>
      <c r="N21" s="19">
        <f>[18]Vendedor13!$J$8</f>
        <v>0</v>
      </c>
      <c r="O21" s="15">
        <f>[18]Vendedor13!$K$8</f>
        <v>0</v>
      </c>
      <c r="P21" s="17">
        <f>[18]Vendedor13!$L$8</f>
        <v>0</v>
      </c>
      <c r="Q21" s="19">
        <f t="shared" si="3"/>
        <v>62100</v>
      </c>
      <c r="R21" s="15">
        <f t="shared" si="1"/>
        <v>7432</v>
      </c>
      <c r="S21" s="17">
        <f t="shared" si="2"/>
        <v>50500</v>
      </c>
      <c r="T21" s="18">
        <v>0</v>
      </c>
      <c r="U21" s="17">
        <f t="shared" si="0"/>
        <v>4168</v>
      </c>
    </row>
    <row r="22" spans="1:60">
      <c r="A22" s="13" t="s">
        <v>31</v>
      </c>
      <c r="B22" s="14">
        <f>[19]Vendedor13!$J$4</f>
        <v>25300</v>
      </c>
      <c r="C22" s="81">
        <f>[19]Vendedor13!$K$4</f>
        <v>3036</v>
      </c>
      <c r="D22" s="82">
        <f>[19]Vendedor13!$L$4</f>
        <v>0</v>
      </c>
      <c r="E22" s="14">
        <f>[19]Vendedor13!$J$5</f>
        <v>10650</v>
      </c>
      <c r="F22" s="81">
        <f>[19]Vendedor13!$K$5</f>
        <v>1278</v>
      </c>
      <c r="G22" s="85">
        <f>[19]Vendedor13!$L$5</f>
        <v>0</v>
      </c>
      <c r="H22" s="19">
        <f>[19]Vendedor13!$J$6</f>
        <v>0</v>
      </c>
      <c r="I22" s="15">
        <f>[19]Vendedor13!$K$6</f>
        <v>0</v>
      </c>
      <c r="J22" s="17">
        <f>[19]Vendedor13!$L$6</f>
        <v>0</v>
      </c>
      <c r="K22" s="18">
        <f>[19]Vendedor13!$J$7</f>
        <v>0</v>
      </c>
      <c r="L22" s="15">
        <f>[19]Vendedor13!$K$7</f>
        <v>0</v>
      </c>
      <c r="M22" s="16">
        <f>[19]Vendedor13!$L$7</f>
        <v>0</v>
      </c>
      <c r="N22" s="19">
        <f>[19]Vendedor13!$J$8</f>
        <v>0</v>
      </c>
      <c r="O22" s="15">
        <f>[19]Vendedor13!$K$8</f>
        <v>0</v>
      </c>
      <c r="P22" s="17">
        <f>[19]Vendedor13!$L$8</f>
        <v>0</v>
      </c>
      <c r="Q22" s="19">
        <f t="shared" si="3"/>
        <v>35950</v>
      </c>
      <c r="R22" s="15">
        <f t="shared" si="1"/>
        <v>4314</v>
      </c>
      <c r="S22" s="17">
        <f t="shared" si="2"/>
        <v>0</v>
      </c>
      <c r="T22" s="18">
        <v>0</v>
      </c>
      <c r="U22" s="17">
        <f t="shared" si="0"/>
        <v>31636</v>
      </c>
    </row>
    <row r="23" spans="1:60">
      <c r="A23" s="20" t="s">
        <v>32</v>
      </c>
      <c r="B23" s="14">
        <f>[20]Vendedor13!$J$4</f>
        <v>70550</v>
      </c>
      <c r="C23" s="81">
        <f>[20]Vendedor13!$K$4</f>
        <v>8466</v>
      </c>
      <c r="D23" s="82">
        <f>[20]Vendedor13!$L$4</f>
        <v>0</v>
      </c>
      <c r="E23" s="14">
        <f>[20]Vendedor13!$J$5</f>
        <v>31150</v>
      </c>
      <c r="F23" s="81">
        <f>[20]Vendedor13!$K$5</f>
        <v>3738</v>
      </c>
      <c r="G23" s="85">
        <f>[20]Vendedor13!$L$5</f>
        <v>0</v>
      </c>
      <c r="H23" s="19">
        <f>[20]Vendedor13!$J$6</f>
        <v>4000</v>
      </c>
      <c r="I23" s="15">
        <f>[20]Vendedor13!$K$6</f>
        <v>400</v>
      </c>
      <c r="J23" s="17">
        <f>[20]Vendedor13!$L$6</f>
        <v>0</v>
      </c>
      <c r="K23" s="18">
        <f>[20]Vendedor13!$J$7</f>
        <v>0</v>
      </c>
      <c r="L23" s="15">
        <f>[20]Vendedor13!$K$7</f>
        <v>0</v>
      </c>
      <c r="M23" s="16">
        <f>[20]Vendedor13!$L$7</f>
        <v>0</v>
      </c>
      <c r="N23" s="19">
        <f>[20]Vendedor13!$J$8</f>
        <v>0</v>
      </c>
      <c r="O23" s="15">
        <f>[20]Vendedor13!$K$8</f>
        <v>0</v>
      </c>
      <c r="P23" s="17">
        <f>[20]Vendedor13!$L$8</f>
        <v>0</v>
      </c>
      <c r="Q23" s="19">
        <f t="shared" si="3"/>
        <v>105700</v>
      </c>
      <c r="R23" s="15">
        <f t="shared" si="1"/>
        <v>12604</v>
      </c>
      <c r="S23" s="17">
        <f t="shared" si="2"/>
        <v>0</v>
      </c>
      <c r="T23" s="18">
        <v>0</v>
      </c>
      <c r="U23" s="17">
        <f t="shared" si="0"/>
        <v>93096</v>
      </c>
    </row>
    <row r="24" spans="1:60">
      <c r="A24" s="13" t="s">
        <v>33</v>
      </c>
      <c r="B24" s="14">
        <f>[21]Vendedor13!$J$4</f>
        <v>47150</v>
      </c>
      <c r="C24" s="81">
        <f>[21]Vendedor13!$K$4</f>
        <v>5658</v>
      </c>
      <c r="D24" s="82">
        <f>[21]Vendedor13!$L$4</f>
        <v>42500</v>
      </c>
      <c r="E24" s="14">
        <f>[21]Vendedor13!$J$5</f>
        <v>19800</v>
      </c>
      <c r="F24" s="81">
        <f>[21]Vendedor13!$K$5</f>
        <v>2376</v>
      </c>
      <c r="G24" s="85">
        <f>[21]Vendedor13!$L$5</f>
        <v>20000</v>
      </c>
      <c r="H24" s="19">
        <f>[21]Vendedor13!$J$6</f>
        <v>0</v>
      </c>
      <c r="I24" s="15">
        <f>[21]Vendedor13!$K$6</f>
        <v>0</v>
      </c>
      <c r="J24" s="17">
        <f>[21]Vendedor13!$L$6</f>
        <v>0</v>
      </c>
      <c r="K24" s="18">
        <f>[21]Vendedor13!$J$7</f>
        <v>1000</v>
      </c>
      <c r="L24" s="15">
        <f>[21]Vendedor13!$K$7</f>
        <v>120</v>
      </c>
      <c r="M24" s="16">
        <f>[21]Vendedor13!$L$7</f>
        <v>0</v>
      </c>
      <c r="N24" s="19">
        <f>[21]Vendedor13!$J$8</f>
        <v>0</v>
      </c>
      <c r="O24" s="15">
        <f>[21]Vendedor13!$K$8</f>
        <v>0</v>
      </c>
      <c r="P24" s="17">
        <f>[21]Vendedor13!$L$8</f>
        <v>0</v>
      </c>
      <c r="Q24" s="19">
        <f t="shared" si="3"/>
        <v>67950</v>
      </c>
      <c r="R24" s="15">
        <f t="shared" si="1"/>
        <v>8154</v>
      </c>
      <c r="S24" s="17">
        <f t="shared" si="2"/>
        <v>62500</v>
      </c>
      <c r="T24" s="18">
        <v>0</v>
      </c>
      <c r="U24" s="17">
        <f t="shared" si="0"/>
        <v>-2704</v>
      </c>
    </row>
    <row r="25" spans="1:60">
      <c r="A25" s="20" t="s">
        <v>34</v>
      </c>
      <c r="B25" s="14">
        <f>[22]Vendedor13!$J$4</f>
        <v>52300</v>
      </c>
      <c r="C25" s="81">
        <f>[22]Vendedor13!$K$4</f>
        <v>6276</v>
      </c>
      <c r="D25" s="82">
        <f>[22]Vendedor13!$L$4</f>
        <v>42500</v>
      </c>
      <c r="E25" s="14">
        <f>[22]Vendedor13!$J$5</f>
        <v>28700</v>
      </c>
      <c r="F25" s="81">
        <f>[22]Vendedor13!$K$5</f>
        <v>3444</v>
      </c>
      <c r="G25" s="85">
        <f>[22]Vendedor13!$L$5</f>
        <v>24000</v>
      </c>
      <c r="H25" s="19">
        <f>[22]Vendedor13!$J$6</f>
        <v>500</v>
      </c>
      <c r="I25" s="15">
        <f>[22]Vendedor13!$K$6</f>
        <v>50</v>
      </c>
      <c r="J25" s="17">
        <f>[22]Vendedor13!$L$6</f>
        <v>0</v>
      </c>
      <c r="K25" s="18">
        <f>[22]Vendedor13!$J$7</f>
        <v>1500</v>
      </c>
      <c r="L25" s="15">
        <f>[22]Vendedor13!$K$7</f>
        <v>180</v>
      </c>
      <c r="M25" s="16">
        <f>[22]Vendedor13!$L$7</f>
        <v>0</v>
      </c>
      <c r="N25" s="19">
        <f>[22]Vendedor13!$J$8</f>
        <v>0</v>
      </c>
      <c r="O25" s="15">
        <f>[22]Vendedor13!$K$8</f>
        <v>0</v>
      </c>
      <c r="P25" s="17">
        <f>[22]Vendedor13!$L$8</f>
        <v>0</v>
      </c>
      <c r="Q25" s="19">
        <f>+B25+E25+H25+K25+N25</f>
        <v>83000</v>
      </c>
      <c r="R25" s="15">
        <f>+C25+F25+I25+L25+O25</f>
        <v>9950</v>
      </c>
      <c r="S25" s="17">
        <f t="shared" si="2"/>
        <v>66500</v>
      </c>
      <c r="T25" s="18">
        <v>0</v>
      </c>
      <c r="U25" s="17">
        <f t="shared" si="0"/>
        <v>6550</v>
      </c>
    </row>
    <row r="26" spans="1:60">
      <c r="A26" s="13" t="s">
        <v>35</v>
      </c>
      <c r="B26" s="14">
        <f>[23]Vendedor13!$J$4</f>
        <v>83450</v>
      </c>
      <c r="C26" s="81">
        <f>[23]Vendedor13!$K$4</f>
        <v>10014</v>
      </c>
      <c r="D26" s="82">
        <f>[23]Vendedor13!$L$4</f>
        <v>8500</v>
      </c>
      <c r="E26" s="14">
        <f>[23]Vendedor13!$J$5</f>
        <v>21000</v>
      </c>
      <c r="F26" s="81">
        <f>[23]Vendedor13!$K$5</f>
        <v>2520</v>
      </c>
      <c r="G26" s="85">
        <f>[23]Vendedor13!$L$5</f>
        <v>8000</v>
      </c>
      <c r="H26" s="19">
        <f>[23]Vendedor13!$J$6</f>
        <v>1800</v>
      </c>
      <c r="I26" s="15">
        <f>[23]Vendedor13!$K$6</f>
        <v>180</v>
      </c>
      <c r="J26" s="17">
        <f>[23]Vendedor13!$L$6</f>
        <v>0</v>
      </c>
      <c r="K26" s="18">
        <f>[23]Vendedor13!$J$7</f>
        <v>2800</v>
      </c>
      <c r="L26" s="15">
        <f>[23]Vendedor13!$K$7</f>
        <v>336</v>
      </c>
      <c r="M26" s="16">
        <f>[23]Vendedor13!$L$7</f>
        <v>0</v>
      </c>
      <c r="N26" s="19">
        <f>[23]Vendedor13!$J$8</f>
        <v>1700</v>
      </c>
      <c r="O26" s="15">
        <f>[23]Vendedor13!$K$8</f>
        <v>204</v>
      </c>
      <c r="P26" s="17">
        <f>[23]Vendedor13!$L$8</f>
        <v>0</v>
      </c>
      <c r="Q26" s="19">
        <f t="shared" si="3"/>
        <v>110750</v>
      </c>
      <c r="R26" s="15">
        <f t="shared" si="1"/>
        <v>13254</v>
      </c>
      <c r="S26" s="17">
        <f t="shared" si="2"/>
        <v>16500</v>
      </c>
      <c r="T26" s="18">
        <v>0</v>
      </c>
      <c r="U26" s="17">
        <f t="shared" si="0"/>
        <v>80996</v>
      </c>
    </row>
    <row r="27" spans="1:60">
      <c r="A27" s="20" t="s">
        <v>36</v>
      </c>
      <c r="B27" s="14">
        <f>[24]Vendedor13!$J$4</f>
        <v>91450</v>
      </c>
      <c r="C27" s="81">
        <f>[24]Vendedor13!$K$4</f>
        <v>10974</v>
      </c>
      <c r="D27" s="82">
        <f>[24]Vendedor13!$L$4</f>
        <v>148750</v>
      </c>
      <c r="E27" s="14">
        <f>[24]Vendedor13!$J$5</f>
        <v>41050</v>
      </c>
      <c r="F27" s="81">
        <f>[24]Vendedor13!$K$5</f>
        <v>4926</v>
      </c>
      <c r="G27" s="85">
        <f>[24]Vendedor13!$L$5</f>
        <v>52000</v>
      </c>
      <c r="H27" s="19">
        <f>[24]Vendedor13!$J$6</f>
        <v>7500</v>
      </c>
      <c r="I27" s="15">
        <f>[24]Vendedor13!$K$6</f>
        <v>750</v>
      </c>
      <c r="J27" s="17">
        <f>[24]Vendedor13!$L$6</f>
        <v>0</v>
      </c>
      <c r="K27" s="18">
        <f>[24]Vendedor13!$J$7</f>
        <v>0</v>
      </c>
      <c r="L27" s="15">
        <f>[24]Vendedor13!$K$7</f>
        <v>0</v>
      </c>
      <c r="M27" s="16">
        <f>[24]Vendedor13!$L$7</f>
        <v>0</v>
      </c>
      <c r="N27" s="19">
        <f>[24]Vendedor13!$J$8</f>
        <v>4900</v>
      </c>
      <c r="O27" s="15">
        <f>[24]Vendedor13!$K$8</f>
        <v>588</v>
      </c>
      <c r="P27" s="17">
        <f>[24]Vendedor13!$L$8</f>
        <v>16000</v>
      </c>
      <c r="Q27" s="19">
        <f t="shared" si="3"/>
        <v>144900</v>
      </c>
      <c r="R27" s="15">
        <f t="shared" si="1"/>
        <v>17238</v>
      </c>
      <c r="S27" s="17">
        <f t="shared" si="2"/>
        <v>216750</v>
      </c>
      <c r="T27" s="18">
        <v>0</v>
      </c>
      <c r="U27" s="17">
        <f t="shared" si="0"/>
        <v>-89088</v>
      </c>
    </row>
    <row r="28" spans="1:60">
      <c r="A28" s="13" t="s">
        <v>37</v>
      </c>
      <c r="B28" s="14">
        <f>[25]Vendedor13!$J$4</f>
        <v>52900</v>
      </c>
      <c r="C28" s="81">
        <f>[25]Vendedor13!$K$4</f>
        <v>6348</v>
      </c>
      <c r="D28" s="82">
        <f>[25]Vendedor13!$L$4</f>
        <v>42500</v>
      </c>
      <c r="E28" s="14">
        <f>[25]Vendedor13!$J$5</f>
        <v>26350</v>
      </c>
      <c r="F28" s="81">
        <f>[25]Vendedor13!$K$5</f>
        <v>3162</v>
      </c>
      <c r="G28" s="85">
        <f>[25]Vendedor13!$L$5</f>
        <v>20000</v>
      </c>
      <c r="H28" s="19">
        <f>[25]Vendedor13!$J$6</f>
        <v>0</v>
      </c>
      <c r="I28" s="15">
        <f>[25]Vendedor13!$K$6</f>
        <v>0</v>
      </c>
      <c r="J28" s="17">
        <f>[25]Vendedor13!$L$6</f>
        <v>0</v>
      </c>
      <c r="K28" s="18">
        <f>[25]Vendedor13!$J$7</f>
        <v>0</v>
      </c>
      <c r="L28" s="15">
        <f>[25]Vendedor13!$K$7</f>
        <v>0</v>
      </c>
      <c r="M28" s="16">
        <f>[25]Vendedor13!$L$7</f>
        <v>0</v>
      </c>
      <c r="N28" s="19">
        <f>[25]Vendedor13!$J$8</f>
        <v>0</v>
      </c>
      <c r="O28" s="15">
        <f>[25]Vendedor13!$K$8</f>
        <v>0</v>
      </c>
      <c r="P28" s="17">
        <f>[25]Vendedor13!$L$8</f>
        <v>0</v>
      </c>
      <c r="Q28" s="19">
        <f t="shared" si="3"/>
        <v>79250</v>
      </c>
      <c r="R28" s="15">
        <f t="shared" si="1"/>
        <v>9510</v>
      </c>
      <c r="S28" s="17">
        <f t="shared" si="2"/>
        <v>62500</v>
      </c>
      <c r="T28" s="18">
        <v>0</v>
      </c>
      <c r="U28" s="17">
        <f t="shared" si="0"/>
        <v>7240</v>
      </c>
    </row>
    <row r="29" spans="1:60">
      <c r="A29" s="20" t="s">
        <v>38</v>
      </c>
      <c r="B29" s="14">
        <f>[26]Vendedor13!$J$4</f>
        <v>41850</v>
      </c>
      <c r="C29" s="81">
        <f>[26]Vendedor13!$K$4</f>
        <v>5022</v>
      </c>
      <c r="D29" s="82">
        <f>[26]Vendedor13!$L$4</f>
        <v>0</v>
      </c>
      <c r="E29" s="14">
        <f>[26]Vendedor13!$J$5</f>
        <v>11900</v>
      </c>
      <c r="F29" s="81">
        <f>[26]Vendedor13!$K$5</f>
        <v>1428</v>
      </c>
      <c r="G29" s="85">
        <f>[26]Vendedor13!$L$5</f>
        <v>20000</v>
      </c>
      <c r="H29" s="19">
        <f>[26]Vendedor13!$J$6</f>
        <v>200</v>
      </c>
      <c r="I29" s="15">
        <f>[26]Vendedor13!$K$6</f>
        <v>20</v>
      </c>
      <c r="J29" s="17">
        <f>[26]Vendedor13!$L$6</f>
        <v>0</v>
      </c>
      <c r="K29" s="18">
        <f>[26]Vendedor13!$J$7</f>
        <v>4000</v>
      </c>
      <c r="L29" s="15">
        <f>[26]Vendedor13!$K$7</f>
        <v>480</v>
      </c>
      <c r="M29" s="16">
        <f>[26]Vendedor13!$L$7</f>
        <v>0</v>
      </c>
      <c r="N29" s="19">
        <f>[26]Vendedor13!$J$8</f>
        <v>0</v>
      </c>
      <c r="O29" s="15">
        <f>[26]Vendedor13!$K$8</f>
        <v>0</v>
      </c>
      <c r="P29" s="17">
        <f>[26]Vendedor13!$L$8</f>
        <v>0</v>
      </c>
      <c r="Q29" s="19">
        <f t="shared" si="3"/>
        <v>57950</v>
      </c>
      <c r="R29" s="15">
        <f t="shared" si="1"/>
        <v>6950</v>
      </c>
      <c r="S29" s="17">
        <f t="shared" si="2"/>
        <v>20000</v>
      </c>
      <c r="T29" s="18">
        <v>0</v>
      </c>
      <c r="U29" s="17">
        <f t="shared" si="0"/>
        <v>31000</v>
      </c>
    </row>
    <row r="30" spans="1:60">
      <c r="A30" s="13" t="s">
        <v>39</v>
      </c>
      <c r="B30" s="14">
        <f>[27]Vendedor13!$J$4</f>
        <v>61350</v>
      </c>
      <c r="C30" s="81">
        <f>[27]Vendedor13!$K$4</f>
        <v>7362</v>
      </c>
      <c r="D30" s="82">
        <f>[27]Vendedor13!$L$4</f>
        <v>191250</v>
      </c>
      <c r="E30" s="14">
        <f>[27]Vendedor13!$J$5</f>
        <v>20150</v>
      </c>
      <c r="F30" s="81">
        <f>[27]Vendedor13!$K$5</f>
        <v>2418</v>
      </c>
      <c r="G30" s="85">
        <f>[27]Vendedor13!$L$5</f>
        <v>0</v>
      </c>
      <c r="H30" s="19">
        <f>[27]Vendedor13!$J$6</f>
        <v>200</v>
      </c>
      <c r="I30" s="15">
        <f>[27]Vendedor13!$K$6</f>
        <v>20</v>
      </c>
      <c r="J30" s="17">
        <f>[27]Vendedor13!$L$6</f>
        <v>0</v>
      </c>
      <c r="K30" s="18">
        <f>[27]Vendedor13!$J$7</f>
        <v>0</v>
      </c>
      <c r="L30" s="15">
        <f>[27]Vendedor13!$K$7</f>
        <v>0</v>
      </c>
      <c r="M30" s="16">
        <f>[27]Vendedor13!$L$7</f>
        <v>0</v>
      </c>
      <c r="N30" s="19">
        <f>[27]Vendedor13!$J$8</f>
        <v>2700</v>
      </c>
      <c r="O30" s="15">
        <f>[27]Vendedor13!$K$8</f>
        <v>324</v>
      </c>
      <c r="P30" s="17">
        <f>[27]Vendedor13!$L$8</f>
        <v>0</v>
      </c>
      <c r="Q30" s="19">
        <f t="shared" si="3"/>
        <v>84400</v>
      </c>
      <c r="R30" s="15">
        <f t="shared" si="1"/>
        <v>10124</v>
      </c>
      <c r="S30" s="17">
        <f t="shared" si="2"/>
        <v>191250</v>
      </c>
      <c r="T30" s="18">
        <v>0</v>
      </c>
      <c r="U30" s="17">
        <f t="shared" si="0"/>
        <v>-116974</v>
      </c>
    </row>
    <row r="31" spans="1:60">
      <c r="A31" s="20" t="s">
        <v>40</v>
      </c>
      <c r="B31" s="14">
        <f>[28]Vendedor13!$J$4</f>
        <v>37050</v>
      </c>
      <c r="C31" s="81">
        <f>[28]Vendedor13!$K$4</f>
        <v>4446</v>
      </c>
      <c r="D31" s="82">
        <f>[28]Vendedor13!$L$4</f>
        <v>42500</v>
      </c>
      <c r="E31" s="14">
        <f>[28]Vendedor13!$J$5</f>
        <v>9850</v>
      </c>
      <c r="F31" s="81">
        <f>[28]Vendedor13!$K$5</f>
        <v>1182</v>
      </c>
      <c r="G31" s="85">
        <f>[28]Vendedor13!$L$5</f>
        <v>0</v>
      </c>
      <c r="H31" s="19">
        <f>[28]Vendedor13!$J$6</f>
        <v>0</v>
      </c>
      <c r="I31" s="15">
        <f>[28]Vendedor13!$K$6</f>
        <v>0</v>
      </c>
      <c r="J31" s="17">
        <f>[28]Vendedor13!$L$6</f>
        <v>0</v>
      </c>
      <c r="K31" s="18">
        <f>[28]Vendedor13!$J$7</f>
        <v>1200</v>
      </c>
      <c r="L31" s="15">
        <f>[28]Vendedor13!$K$7</f>
        <v>144</v>
      </c>
      <c r="M31" s="16">
        <f>[28]Vendedor13!$L$7</f>
        <v>0</v>
      </c>
      <c r="N31" s="19">
        <f>[28]Vendedor13!$J$8</f>
        <v>0</v>
      </c>
      <c r="O31" s="15">
        <f>[28]Vendedor13!$K$8</f>
        <v>0</v>
      </c>
      <c r="P31" s="17">
        <f>[28]Vendedor13!$L$8</f>
        <v>0</v>
      </c>
      <c r="Q31" s="19">
        <f t="shared" si="3"/>
        <v>48100</v>
      </c>
      <c r="R31" s="15">
        <f t="shared" si="1"/>
        <v>5772</v>
      </c>
      <c r="S31" s="17">
        <f t="shared" si="2"/>
        <v>42500</v>
      </c>
      <c r="T31" s="18">
        <v>0</v>
      </c>
      <c r="U31" s="17">
        <f t="shared" si="0"/>
        <v>-172</v>
      </c>
    </row>
    <row r="32" spans="1:60">
      <c r="A32" s="20" t="s">
        <v>41</v>
      </c>
      <c r="B32" s="14">
        <f>[29]Vendedor13!$J$4</f>
        <v>43750</v>
      </c>
      <c r="C32" s="81">
        <f>[29]Vendedor13!$K$4</f>
        <v>5250</v>
      </c>
      <c r="D32" s="82">
        <f>[29]Vendedor13!$L$4</f>
        <v>42500</v>
      </c>
      <c r="E32" s="14">
        <f>[29]Vendedor13!$J$5</f>
        <v>22700</v>
      </c>
      <c r="F32" s="81">
        <f>[29]Vendedor13!$K$5</f>
        <v>2724</v>
      </c>
      <c r="G32" s="85">
        <f>[29]Vendedor13!$L$5</f>
        <v>0</v>
      </c>
      <c r="H32" s="19">
        <f>[29]Vendedor13!$J$6</f>
        <v>0</v>
      </c>
      <c r="I32" s="15">
        <f>[29]Vendedor13!$K$6</f>
        <v>0</v>
      </c>
      <c r="J32" s="17">
        <f>[29]Vendedor13!$L$6</f>
        <v>0</v>
      </c>
      <c r="K32" s="18">
        <f>[29]Vendedor13!$J$7</f>
        <v>12800</v>
      </c>
      <c r="L32" s="15">
        <f>[29]Vendedor13!$K$7</f>
        <v>1536</v>
      </c>
      <c r="M32" s="16">
        <f>[29]Vendedor13!$L$7</f>
        <v>0</v>
      </c>
      <c r="N32" s="19">
        <f>[29]Vendedor13!$J$8</f>
        <v>0</v>
      </c>
      <c r="O32" s="15">
        <f>[29]Vendedor13!$K$8</f>
        <v>0</v>
      </c>
      <c r="P32" s="17">
        <f>[29]Vendedor13!$L$8</f>
        <v>0</v>
      </c>
      <c r="Q32" s="19">
        <f t="shared" si="3"/>
        <v>79250</v>
      </c>
      <c r="R32" s="15">
        <f t="shared" si="1"/>
        <v>9510</v>
      </c>
      <c r="S32" s="17">
        <f t="shared" si="2"/>
        <v>42500</v>
      </c>
      <c r="T32" s="18">
        <v>0</v>
      </c>
      <c r="U32" s="17">
        <f t="shared" si="0"/>
        <v>27240</v>
      </c>
    </row>
    <row r="33" spans="1:21">
      <c r="A33" s="13" t="s">
        <v>42</v>
      </c>
      <c r="B33" s="14">
        <f>[30]Vendedor13!$J$4</f>
        <v>61900</v>
      </c>
      <c r="C33" s="81">
        <f>[30]Vendedor13!$K$4</f>
        <v>7428</v>
      </c>
      <c r="D33" s="82">
        <f>[30]Vendedor13!$L$4</f>
        <v>21250</v>
      </c>
      <c r="E33" s="14">
        <f>[30]Vendedor13!$J$5</f>
        <v>17850</v>
      </c>
      <c r="F33" s="81">
        <f>[30]Vendedor13!$K$5</f>
        <v>2142</v>
      </c>
      <c r="G33" s="85">
        <f>[30]Vendedor13!$L$5</f>
        <v>80000</v>
      </c>
      <c r="H33" s="19">
        <f>[30]Vendedor13!$J$6</f>
        <v>1000</v>
      </c>
      <c r="I33" s="15">
        <f>[30]Vendedor13!$K$6</f>
        <v>100</v>
      </c>
      <c r="J33" s="17">
        <f>[30]Vendedor13!$L$6</f>
        <v>0</v>
      </c>
      <c r="K33" s="18">
        <f>[30]Vendedor13!$J$7</f>
        <v>7500</v>
      </c>
      <c r="L33" s="15">
        <f>[30]Vendedor13!$K$7</f>
        <v>900</v>
      </c>
      <c r="M33" s="16">
        <f>[30]Vendedor13!$L$7</f>
        <v>0</v>
      </c>
      <c r="N33" s="19">
        <f>[30]Vendedor13!$J$8</f>
        <v>0</v>
      </c>
      <c r="O33" s="15">
        <f>[30]Vendedor13!$K$8</f>
        <v>0</v>
      </c>
      <c r="P33" s="17">
        <f>[30]Vendedor13!$L$8</f>
        <v>0</v>
      </c>
      <c r="Q33" s="19">
        <f t="shared" si="3"/>
        <v>88250</v>
      </c>
      <c r="R33" s="15">
        <f t="shared" si="1"/>
        <v>10570</v>
      </c>
      <c r="S33" s="17">
        <f t="shared" si="2"/>
        <v>101250</v>
      </c>
      <c r="T33" s="18">
        <v>0</v>
      </c>
      <c r="U33" s="17">
        <f t="shared" si="0"/>
        <v>-23570</v>
      </c>
    </row>
    <row r="34" spans="1:21">
      <c r="A34" s="20" t="s">
        <v>43</v>
      </c>
      <c r="B34" s="14">
        <f>[31]Vendedor13!$J$4</f>
        <v>75450</v>
      </c>
      <c r="C34" s="81">
        <f>[31]Vendedor13!$K$4</f>
        <v>9054</v>
      </c>
      <c r="D34" s="82">
        <f>[31]Vendedor13!$L$4</f>
        <v>85000</v>
      </c>
      <c r="E34" s="14">
        <f>[31]Vendedor13!$J$5</f>
        <v>12450</v>
      </c>
      <c r="F34" s="81">
        <f>[31]Vendedor13!$K$5</f>
        <v>1494</v>
      </c>
      <c r="G34" s="85">
        <f>[31]Vendedor13!$L$5</f>
        <v>0</v>
      </c>
      <c r="H34" s="19">
        <f>[31]Vendedor13!$J$6</f>
        <v>6500</v>
      </c>
      <c r="I34" s="15">
        <f>[31]Vendedor13!$K$6</f>
        <v>650</v>
      </c>
      <c r="J34" s="17">
        <f>[31]Vendedor13!$L$6</f>
        <v>0</v>
      </c>
      <c r="K34" s="18">
        <f>[31]Vendedor13!$J$7</f>
        <v>0</v>
      </c>
      <c r="L34" s="15">
        <f>[31]Vendedor13!$K$7</f>
        <v>0</v>
      </c>
      <c r="M34" s="16">
        <f>[31]Vendedor13!$L$7</f>
        <v>0</v>
      </c>
      <c r="N34" s="19">
        <f>[31]Vendedor13!$J$8</f>
        <v>0</v>
      </c>
      <c r="O34" s="15">
        <f>[31]Vendedor13!$K$8</f>
        <v>0</v>
      </c>
      <c r="P34" s="17">
        <f>[31]Vendedor13!$L$8</f>
        <v>0</v>
      </c>
      <c r="Q34" s="19">
        <f t="shared" si="3"/>
        <v>94400</v>
      </c>
      <c r="R34" s="15">
        <f t="shared" si="1"/>
        <v>11198</v>
      </c>
      <c r="S34" s="17">
        <f t="shared" si="2"/>
        <v>85000</v>
      </c>
      <c r="T34" s="18">
        <v>0</v>
      </c>
      <c r="U34" s="17">
        <f t="shared" si="0"/>
        <v>-1798</v>
      </c>
    </row>
    <row r="35" spans="1:21">
      <c r="A35" s="13" t="s">
        <v>44</v>
      </c>
      <c r="B35" s="14">
        <f>[1]Vendedor13!$J$4</f>
        <v>53850</v>
      </c>
      <c r="C35" s="81">
        <f>[1]Vendedor13!$K$4</f>
        <v>6462</v>
      </c>
      <c r="D35" s="82">
        <f>[1]Vendedor13!$L$4</f>
        <v>21250</v>
      </c>
      <c r="E35" s="14">
        <f>[1]Vendedor13!$J$5</f>
        <v>17550</v>
      </c>
      <c r="F35" s="81">
        <f>[1]Vendedor13!$K$5</f>
        <v>2106</v>
      </c>
      <c r="G35" s="85">
        <f>[1]Vendedor13!$L$5</f>
        <v>0</v>
      </c>
      <c r="H35" s="19">
        <f>[1]Vendedor13!$J$6</f>
        <v>1500</v>
      </c>
      <c r="I35" s="15">
        <f>[1]Vendedor13!$K$6</f>
        <v>150</v>
      </c>
      <c r="J35" s="17">
        <f>[1]Vendedor13!$L$6</f>
        <v>0</v>
      </c>
      <c r="K35" s="18">
        <f>[1]Vendedor13!$J$7</f>
        <v>300</v>
      </c>
      <c r="L35" s="15">
        <f>[1]Vendedor13!$K$7</f>
        <v>36</v>
      </c>
      <c r="M35" s="16">
        <f>[1]Vendedor13!$L$7</f>
        <v>0</v>
      </c>
      <c r="N35" s="19">
        <f>[1]Vendedor13!$J$8</f>
        <v>3000</v>
      </c>
      <c r="O35" s="15">
        <f>[1]Vendedor13!$K$8</f>
        <v>360</v>
      </c>
      <c r="P35" s="17">
        <f>[1]Vendedor13!$L$8</f>
        <v>0</v>
      </c>
      <c r="Q35" s="19">
        <f t="shared" si="3"/>
        <v>76200</v>
      </c>
      <c r="R35" s="15">
        <f t="shared" si="1"/>
        <v>9114</v>
      </c>
      <c r="S35" s="17">
        <f t="shared" si="2"/>
        <v>21250</v>
      </c>
      <c r="T35" s="18">
        <v>0</v>
      </c>
      <c r="U35" s="17">
        <f t="shared" si="0"/>
        <v>45836</v>
      </c>
    </row>
    <row r="36" spans="1:21" ht="15.75" thickBot="1">
      <c r="A36" s="20" t="s">
        <v>45</v>
      </c>
      <c r="B36" s="21">
        <f>[2]Vendedor13!$J$4</f>
        <v>39100</v>
      </c>
      <c r="C36" s="83">
        <f>[2]Vendedor13!$K$4</f>
        <v>4692</v>
      </c>
      <c r="D36" s="84">
        <f>[2]Vendedor13!$L$4</f>
        <v>21250</v>
      </c>
      <c r="E36" s="21">
        <f>[2]Vendedor13!$J$5</f>
        <v>15400</v>
      </c>
      <c r="F36" s="83">
        <f>[2]Vendedor13!$K$5</f>
        <v>1848</v>
      </c>
      <c r="G36" s="86">
        <f>[2]Vendedor13!$L$5</f>
        <v>0</v>
      </c>
      <c r="H36" s="26">
        <f>[2]Vendedor13!$J$6</f>
        <v>3000</v>
      </c>
      <c r="I36" s="22">
        <f>[2]Vendedor13!$K$6</f>
        <v>300</v>
      </c>
      <c r="J36" s="24">
        <f>[2]Vendedor13!$L$6</f>
        <v>0</v>
      </c>
      <c r="K36" s="25">
        <f>[2]Vendedor13!$J$7</f>
        <v>1800</v>
      </c>
      <c r="L36" s="22">
        <f>[2]Vendedor13!$K$7</f>
        <v>216</v>
      </c>
      <c r="M36" s="23">
        <f>[2]Vendedor13!$L$7</f>
        <v>0</v>
      </c>
      <c r="N36" s="26">
        <f>[2]Vendedor13!$J$8</f>
        <v>900</v>
      </c>
      <c r="O36" s="22">
        <f>[2]Vendedor13!$K$8</f>
        <v>108</v>
      </c>
      <c r="P36" s="24">
        <f>[2]Vendedor13!$L$8</f>
        <v>24000</v>
      </c>
      <c r="Q36" s="26">
        <f t="shared" si="3"/>
        <v>60200</v>
      </c>
      <c r="R36" s="22">
        <f t="shared" si="1"/>
        <v>7164</v>
      </c>
      <c r="S36" s="24">
        <f t="shared" si="2"/>
        <v>45250</v>
      </c>
      <c r="T36" s="25">
        <v>0</v>
      </c>
      <c r="U36" s="24">
        <f t="shared" si="0"/>
        <v>7786</v>
      </c>
    </row>
    <row r="37" spans="1:21" ht="16.5" thickBot="1">
      <c r="A37" s="5" t="s">
        <v>46</v>
      </c>
      <c r="B37" s="27">
        <f t="shared" ref="B37:J37" si="4">SUM(B6:B36)</f>
        <v>1780550</v>
      </c>
      <c r="C37" s="28">
        <f t="shared" si="4"/>
        <v>213666</v>
      </c>
      <c r="D37" s="29">
        <f t="shared" si="4"/>
        <v>1955000</v>
      </c>
      <c r="E37" s="30">
        <f t="shared" si="4"/>
        <v>645500</v>
      </c>
      <c r="F37" s="28">
        <f t="shared" si="4"/>
        <v>77460</v>
      </c>
      <c r="G37" s="31">
        <f t="shared" si="4"/>
        <v>408000</v>
      </c>
      <c r="H37" s="27">
        <f t="shared" si="4"/>
        <v>72900</v>
      </c>
      <c r="I37" s="28">
        <f t="shared" si="4"/>
        <v>7290</v>
      </c>
      <c r="J37" s="29">
        <f t="shared" si="4"/>
        <v>0</v>
      </c>
      <c r="K37" s="60">
        <f t="shared" ref="K37:M37" si="5">SUM(K6:K36)</f>
        <v>75950</v>
      </c>
      <c r="L37" s="32">
        <f t="shared" si="5"/>
        <v>9114</v>
      </c>
      <c r="M37" s="78">
        <f t="shared" si="5"/>
        <v>16000</v>
      </c>
      <c r="N37" s="60">
        <f t="shared" ref="N37:P37" si="6">SUM(N6:N36)</f>
        <v>13450</v>
      </c>
      <c r="O37" s="32">
        <f t="shared" si="6"/>
        <v>1614</v>
      </c>
      <c r="P37" s="73">
        <f t="shared" si="6"/>
        <v>40000</v>
      </c>
      <c r="Q37" s="30">
        <f>SUM(Q6:Q36)</f>
        <v>2588350</v>
      </c>
      <c r="R37" s="28">
        <f>SUM(R6:R36)</f>
        <v>309144</v>
      </c>
      <c r="S37" s="28">
        <f>SUM(S6:S36)</f>
        <v>2419000</v>
      </c>
      <c r="T37" s="32">
        <f>SUM(T5:T36)</f>
        <v>0</v>
      </c>
      <c r="U37" s="33">
        <f>SUM(U5:U36)</f>
        <v>-139794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topLeftCell="J1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2" width="11.5703125" style="1" bestFit="1" customWidth="1"/>
    <col min="3" max="3" width="10.42578125" style="1" customWidth="1"/>
    <col min="4" max="4" width="11.5703125" style="1" bestFit="1" customWidth="1"/>
    <col min="5" max="5" width="10.5703125" style="1" customWidth="1"/>
    <col min="6" max="7" width="10.42578125" style="1" customWidth="1"/>
    <col min="8" max="10" width="11.5703125" style="1" bestFit="1" customWidth="1"/>
    <col min="11" max="19" width="11.5703125" style="1" customWidth="1"/>
    <col min="20" max="20" width="11.5703125" style="1" bestFit="1" customWidth="1"/>
    <col min="21" max="21" width="10.42578125" style="1" customWidth="1"/>
    <col min="22" max="22" width="11.5703125" style="1" bestFit="1" customWidth="1"/>
    <col min="23" max="23" width="9.85546875" style="1" bestFit="1" customWidth="1"/>
    <col min="24" max="24" width="12.140625" style="1" bestFit="1" customWidth="1"/>
    <col min="25" max="25" width="5.42578125" style="1" customWidth="1"/>
    <col min="26" max="26" width="11.140625" style="1" bestFit="1" customWidth="1"/>
    <col min="27" max="27" width="11.5703125" style="1" customWidth="1"/>
    <col min="28" max="1033" width="11.42578125" style="1"/>
  </cols>
  <sheetData>
    <row r="1" spans="1:24" ht="15.75" thickBot="1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8"/>
    </row>
    <row r="2" spans="1:24" ht="19.5" thickBot="1">
      <c r="A2" s="2" t="s">
        <v>1</v>
      </c>
      <c r="B2" s="135" t="s">
        <v>84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  <c r="U2" s="4">
        <v>0.12</v>
      </c>
    </row>
    <row r="3" spans="1:24" ht="15.75" thickBot="1"/>
    <row r="4" spans="1:24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[3]Vendedor14!$J$4</f>
        <v>491100</v>
      </c>
      <c r="C6" s="87">
        <f>[3]Vendedor14!$K$4</f>
        <v>58932</v>
      </c>
      <c r="D6" s="88">
        <f>[3]Vendedor14!$L$4</f>
        <v>471750</v>
      </c>
      <c r="E6" s="53">
        <f>[3]Vendedor14!$J$5</f>
        <v>469050</v>
      </c>
      <c r="F6" s="87">
        <f>[3]Vendedor14!$K$5</f>
        <v>56286</v>
      </c>
      <c r="G6" s="89">
        <f>[3]Vendedor14!$L$5</f>
        <v>233750</v>
      </c>
      <c r="H6" s="59">
        <f>[3]Vendedor14!$J$6</f>
        <v>79950</v>
      </c>
      <c r="I6" s="58">
        <f>[3]Vendedor14!$K$6</f>
        <v>7995</v>
      </c>
      <c r="J6" s="55">
        <f>[3]Vendedor14!$L$6</f>
        <v>160000</v>
      </c>
      <c r="K6" s="61">
        <f>[3]Vendedor14!$J$7</f>
        <v>138250</v>
      </c>
      <c r="L6" s="58">
        <f>[3]Vendedor14!$K$7</f>
        <v>16590</v>
      </c>
      <c r="M6" s="54">
        <f>[3]Vendedor14!$L$7</f>
        <v>178500</v>
      </c>
      <c r="N6" s="59">
        <f>[3]Vendedor14!$J$8</f>
        <v>139550</v>
      </c>
      <c r="O6" s="58">
        <f>[3]Vendedor14!$K$8</f>
        <v>16746</v>
      </c>
      <c r="P6" s="55">
        <f>[3]Vendedor14!$L$8</f>
        <v>85000</v>
      </c>
      <c r="Q6" s="59">
        <f>[3]Vendedor14!$J$10</f>
        <v>0</v>
      </c>
      <c r="R6" s="58">
        <f>[3]Vendedor14!$K$10</f>
        <v>0</v>
      </c>
      <c r="S6" s="55">
        <f>[3]Vendedor14!$L$10</f>
        <v>0</v>
      </c>
      <c r="T6" s="61">
        <f>+B6+E6+H6+K6+N6+Q6</f>
        <v>1317900</v>
      </c>
      <c r="U6" s="58">
        <f t="shared" ref="U6:U36" si="1">+C6+F6+I6+L6+O6+R6</f>
        <v>156549</v>
      </c>
      <c r="V6" s="58">
        <f t="shared" ref="V6:V36" si="2">+D6+G6+J6+M6+P6+S6</f>
        <v>1129000</v>
      </c>
      <c r="W6" s="58">
        <v>0</v>
      </c>
      <c r="X6" s="55">
        <f>+T6-U6-V6+W6</f>
        <v>32351</v>
      </c>
    </row>
    <row r="7" spans="1:24">
      <c r="A7" s="13" t="s">
        <v>50</v>
      </c>
      <c r="B7" s="14">
        <f>[4]Vendedor14!$J$4</f>
        <v>425350</v>
      </c>
      <c r="C7" s="81">
        <f>[4]Vendedor14!$K$4</f>
        <v>51042</v>
      </c>
      <c r="D7" s="82">
        <f>[4]Vendedor14!$L$4</f>
        <v>242250</v>
      </c>
      <c r="E7" s="14">
        <f>[4]Vendedor14!$J$5</f>
        <v>372850</v>
      </c>
      <c r="F7" s="81">
        <f>[4]Vendedor14!$K$5</f>
        <v>44742</v>
      </c>
      <c r="G7" s="85">
        <f>[4]Vendedor14!$L$5</f>
        <v>590750</v>
      </c>
      <c r="H7" s="19">
        <f>[4]Vendedor14!$J$6</f>
        <v>71350</v>
      </c>
      <c r="I7" s="15">
        <f>[4]Vendedor14!$K$6</f>
        <v>7135</v>
      </c>
      <c r="J7" s="17">
        <f>[4]Vendedor14!$L$6</f>
        <v>100000</v>
      </c>
      <c r="K7" s="18">
        <f>[4]Vendedor14!$J$7</f>
        <v>106900</v>
      </c>
      <c r="L7" s="15">
        <f>[4]Vendedor14!$K$7</f>
        <v>12828</v>
      </c>
      <c r="M7" s="16">
        <f>[4]Vendedor14!$L$7</f>
        <v>191250</v>
      </c>
      <c r="N7" s="19">
        <f>[4]Vendedor14!$J$8</f>
        <v>104150</v>
      </c>
      <c r="O7" s="15">
        <f>[4]Vendedor14!$K$8</f>
        <v>12498</v>
      </c>
      <c r="P7" s="17">
        <f>[4]Vendedor14!$L$8</f>
        <v>68000</v>
      </c>
      <c r="Q7" s="19">
        <f>[4]Vendedor14!$J$10</f>
        <v>0</v>
      </c>
      <c r="R7" s="15">
        <f>[4]Vendedor14!$K$10</f>
        <v>0</v>
      </c>
      <c r="S7" s="17">
        <f>[4]Vendedor14!$L$10</f>
        <v>0</v>
      </c>
      <c r="T7" s="18">
        <f t="shared" ref="T7:T36" si="3">+B7+E7+H7+K7+N7+Q7</f>
        <v>1080600</v>
      </c>
      <c r="U7" s="15">
        <f t="shared" si="1"/>
        <v>128245</v>
      </c>
      <c r="V7" s="15">
        <f t="shared" si="2"/>
        <v>1192250</v>
      </c>
      <c r="W7" s="15">
        <v>0</v>
      </c>
      <c r="X7" s="17">
        <f>+T7-U7-V7+W7</f>
        <v>-239895</v>
      </c>
    </row>
    <row r="8" spans="1:24">
      <c r="A8" s="20" t="s">
        <v>51</v>
      </c>
      <c r="B8" s="14">
        <f>[5]Vendedor14!$J$4</f>
        <v>501050</v>
      </c>
      <c r="C8" s="81">
        <f>[5]Vendedor14!$K$4</f>
        <v>60126</v>
      </c>
      <c r="D8" s="82">
        <f>[5]Vendedor14!$L$4</f>
        <v>408000</v>
      </c>
      <c r="E8" s="14">
        <f>[5]Vendedor14!$J$5</f>
        <v>544000</v>
      </c>
      <c r="F8" s="81">
        <f>[5]Vendedor14!$K$5</f>
        <v>65280</v>
      </c>
      <c r="G8" s="85">
        <f>[5]Vendedor14!$L$5</f>
        <v>765000</v>
      </c>
      <c r="H8" s="19">
        <f>[5]Vendedor14!$J$6</f>
        <v>82550</v>
      </c>
      <c r="I8" s="15">
        <f>[5]Vendedor14!$K$6</f>
        <v>8255</v>
      </c>
      <c r="J8" s="17">
        <f>[5]Vendedor14!$L$6</f>
        <v>60000</v>
      </c>
      <c r="K8" s="18">
        <f>[5]Vendedor14!$J$7</f>
        <v>117500</v>
      </c>
      <c r="L8" s="15">
        <f>[5]Vendedor14!$K$7</f>
        <v>14100</v>
      </c>
      <c r="M8" s="16">
        <f>[5]Vendedor14!$L$7</f>
        <v>106250</v>
      </c>
      <c r="N8" s="19">
        <f>[5]Vendedor14!$J$8</f>
        <v>134950</v>
      </c>
      <c r="O8" s="15">
        <f>[5]Vendedor14!$K$8</f>
        <v>16194</v>
      </c>
      <c r="P8" s="17">
        <f>[5]Vendedor14!$L$8</f>
        <v>59500</v>
      </c>
      <c r="Q8" s="19">
        <f>[5]Vendedor14!$J$10</f>
        <v>0</v>
      </c>
      <c r="R8" s="15">
        <f>[5]Vendedor14!$K$10</f>
        <v>0</v>
      </c>
      <c r="S8" s="17">
        <f>[5]Vendedor14!$L$10</f>
        <v>0</v>
      </c>
      <c r="T8" s="18">
        <f t="shared" si="3"/>
        <v>1380050</v>
      </c>
      <c r="U8" s="15">
        <f t="shared" si="1"/>
        <v>163955</v>
      </c>
      <c r="V8" s="15">
        <f t="shared" si="2"/>
        <v>1398750</v>
      </c>
      <c r="W8" s="15">
        <v>0</v>
      </c>
      <c r="X8" s="17">
        <f>+T8-U8-V8+W8</f>
        <v>-182655</v>
      </c>
    </row>
    <row r="9" spans="1:24">
      <c r="A9" s="13" t="s">
        <v>52</v>
      </c>
      <c r="B9" s="14">
        <f>[6]Vendedor14!$J$4</f>
        <v>410850</v>
      </c>
      <c r="C9" s="81">
        <f>[6]Vendedor14!$K$4</f>
        <v>49302</v>
      </c>
      <c r="D9" s="82">
        <f>[6]Vendedor14!$L$4</f>
        <v>896750</v>
      </c>
      <c r="E9" s="14">
        <f>[6]Vendedor14!$J$5</f>
        <v>429000</v>
      </c>
      <c r="F9" s="81">
        <f>[6]Vendedor14!$K$5</f>
        <v>51480</v>
      </c>
      <c r="G9" s="85">
        <f>[6]Vendedor14!$L$5</f>
        <v>195500</v>
      </c>
      <c r="H9" s="19">
        <f>[6]Vendedor14!$J$6</f>
        <v>58300</v>
      </c>
      <c r="I9" s="15">
        <f>[6]Vendedor14!$K$6</f>
        <v>5830</v>
      </c>
      <c r="J9" s="17">
        <f>[6]Vendedor14!$L$6</f>
        <v>0</v>
      </c>
      <c r="K9" s="18">
        <f>[6]Vendedor14!$J$7</f>
        <v>121500</v>
      </c>
      <c r="L9" s="15">
        <f>[6]Vendedor14!$K$7</f>
        <v>14580</v>
      </c>
      <c r="M9" s="16">
        <f>[6]Vendedor14!$L$7</f>
        <v>102000</v>
      </c>
      <c r="N9" s="19">
        <f>[6]Vendedor14!$J$8</f>
        <v>79550</v>
      </c>
      <c r="O9" s="15">
        <f>[6]Vendedor14!$K$8</f>
        <v>9546</v>
      </c>
      <c r="P9" s="17">
        <f>[6]Vendedor14!$L$8</f>
        <v>17000</v>
      </c>
      <c r="Q9" s="19">
        <f>[6]Vendedor14!$J$10</f>
        <v>5100</v>
      </c>
      <c r="R9" s="15">
        <f>[6]Vendedor14!$K$10</f>
        <v>612</v>
      </c>
      <c r="S9" s="17">
        <f>[6]Vendedor14!$L$10</f>
        <v>0</v>
      </c>
      <c r="T9" s="18">
        <f t="shared" si="3"/>
        <v>1104300</v>
      </c>
      <c r="U9" s="15">
        <f t="shared" si="1"/>
        <v>131350</v>
      </c>
      <c r="V9" s="15">
        <f t="shared" si="2"/>
        <v>1211250</v>
      </c>
      <c r="W9" s="15">
        <v>0</v>
      </c>
      <c r="X9" s="17">
        <f t="shared" ref="X9:X36" si="4">+T9-U9-V9+W9</f>
        <v>-238300</v>
      </c>
    </row>
    <row r="10" spans="1:24">
      <c r="A10" s="20" t="s">
        <v>53</v>
      </c>
      <c r="B10" s="14">
        <f>[7]Vendedor14!$J$4</f>
        <v>397900</v>
      </c>
      <c r="C10" s="81">
        <f>[7]Vendedor14!$K$4</f>
        <v>47748</v>
      </c>
      <c r="D10" s="82">
        <f>[7]Vendedor14!$L$4</f>
        <v>68000</v>
      </c>
      <c r="E10" s="14">
        <f>[7]Vendedor14!$J$5</f>
        <v>401350</v>
      </c>
      <c r="F10" s="81">
        <f>[7]Vendedor14!$K$5</f>
        <v>48162</v>
      </c>
      <c r="G10" s="85">
        <f>[7]Vendedor14!$L$5</f>
        <v>263500</v>
      </c>
      <c r="H10" s="19">
        <f>[7]Vendedor14!$J$6</f>
        <v>55850</v>
      </c>
      <c r="I10" s="15">
        <f>[7]Vendedor14!$K$6</f>
        <v>5585</v>
      </c>
      <c r="J10" s="17">
        <f>[7]Vendedor14!$L$6</f>
        <v>0</v>
      </c>
      <c r="K10" s="18">
        <f>[7]Vendedor14!$J$7</f>
        <v>116300</v>
      </c>
      <c r="L10" s="15">
        <f>[7]Vendedor14!$K$7</f>
        <v>13956</v>
      </c>
      <c r="M10" s="16">
        <f>[7]Vendedor14!$L$7</f>
        <v>12750</v>
      </c>
      <c r="N10" s="19">
        <f>[7]Vendedor14!$J$8</f>
        <v>69800</v>
      </c>
      <c r="O10" s="15">
        <f>[7]Vendedor14!$K$8</f>
        <v>8376</v>
      </c>
      <c r="P10" s="17">
        <f>[7]Vendedor14!$L$8</f>
        <v>85000</v>
      </c>
      <c r="Q10" s="19">
        <f>[7]Vendedor14!$J$10</f>
        <v>0</v>
      </c>
      <c r="R10" s="15">
        <f>[7]Vendedor14!$K$10</f>
        <v>0</v>
      </c>
      <c r="S10" s="17">
        <f>[7]Vendedor14!$L$10</f>
        <v>0</v>
      </c>
      <c r="T10" s="18">
        <f t="shared" si="3"/>
        <v>1041200</v>
      </c>
      <c r="U10" s="15">
        <f t="shared" si="1"/>
        <v>123827</v>
      </c>
      <c r="V10" s="15">
        <f t="shared" si="2"/>
        <v>429250</v>
      </c>
      <c r="W10" s="15">
        <v>0</v>
      </c>
      <c r="X10" s="17">
        <f t="shared" si="4"/>
        <v>488123</v>
      </c>
    </row>
    <row r="11" spans="1:24">
      <c r="A11" s="13" t="s">
        <v>20</v>
      </c>
      <c r="B11" s="14">
        <f>[8]Vendedor14!$J$4</f>
        <v>492000</v>
      </c>
      <c r="C11" s="81">
        <f>[8]Vendedor14!$K$4</f>
        <v>59040</v>
      </c>
      <c r="D11" s="82">
        <f>[8]Vendedor14!$L$4</f>
        <v>705500</v>
      </c>
      <c r="E11" s="14">
        <f>[8]Vendedor14!$J$5</f>
        <v>436400</v>
      </c>
      <c r="F11" s="81">
        <f>[8]Vendedor14!$K$5</f>
        <v>52368</v>
      </c>
      <c r="G11" s="85">
        <f>[8]Vendedor14!$L$5</f>
        <v>361250</v>
      </c>
      <c r="H11" s="19">
        <f>[8]Vendedor14!$J$6</f>
        <v>56650</v>
      </c>
      <c r="I11" s="15">
        <f>[8]Vendedor14!$K$6</f>
        <v>5665</v>
      </c>
      <c r="J11" s="17">
        <f>[8]Vendedor14!$L$6</f>
        <v>0</v>
      </c>
      <c r="K11" s="18">
        <f>[8]Vendedor14!$J$7</f>
        <v>93050</v>
      </c>
      <c r="L11" s="15">
        <f>[8]Vendedor14!$K$7</f>
        <v>11166</v>
      </c>
      <c r="M11" s="16">
        <f>[8]Vendedor14!$L$7</f>
        <v>76500</v>
      </c>
      <c r="N11" s="19">
        <f>[8]Vendedor14!$J$8</f>
        <v>98700</v>
      </c>
      <c r="O11" s="15">
        <f>[8]Vendedor14!$K$8</f>
        <v>11844</v>
      </c>
      <c r="P11" s="17">
        <f>[8]Vendedor14!$L$8</f>
        <v>38250</v>
      </c>
      <c r="Q11" s="19">
        <f>[8]Vendedor14!$J$10</f>
        <v>0</v>
      </c>
      <c r="R11" s="15">
        <f>[8]Vendedor14!$K$10</f>
        <v>0</v>
      </c>
      <c r="S11" s="17">
        <f>[8]Vendedor14!$L$10</f>
        <v>0</v>
      </c>
      <c r="T11" s="18">
        <f t="shared" si="3"/>
        <v>1176800</v>
      </c>
      <c r="U11" s="15">
        <f t="shared" si="1"/>
        <v>140083</v>
      </c>
      <c r="V11" s="15">
        <f t="shared" si="2"/>
        <v>1181500</v>
      </c>
      <c r="W11" s="15">
        <v>0</v>
      </c>
      <c r="X11" s="17">
        <f t="shared" si="4"/>
        <v>-144783</v>
      </c>
    </row>
    <row r="12" spans="1:24">
      <c r="A12" s="20" t="s">
        <v>21</v>
      </c>
      <c r="B12" s="14">
        <f>[9]Vendedor14!$J$4</f>
        <v>463900</v>
      </c>
      <c r="C12" s="81">
        <f>[9]Vendedor14!$K$4</f>
        <v>55668</v>
      </c>
      <c r="D12" s="82">
        <f>[9]Vendedor14!$L$4</f>
        <v>552500</v>
      </c>
      <c r="E12" s="14">
        <f>[9]Vendedor14!$J$5</f>
        <v>514550</v>
      </c>
      <c r="F12" s="81">
        <f>[9]Vendedor14!$K$5</f>
        <v>61746</v>
      </c>
      <c r="G12" s="85">
        <f>[9]Vendedor14!$L$5</f>
        <v>488750</v>
      </c>
      <c r="H12" s="19">
        <f>[9]Vendedor14!$J$6</f>
        <v>55200</v>
      </c>
      <c r="I12" s="15">
        <f>[9]Vendedor14!$K$6</f>
        <v>5520</v>
      </c>
      <c r="J12" s="17">
        <f>[9]Vendedor14!$L$6</f>
        <v>0</v>
      </c>
      <c r="K12" s="18">
        <f>[9]Vendedor14!$J$7</f>
        <v>124350</v>
      </c>
      <c r="L12" s="15">
        <f>[9]Vendedor14!$K$7</f>
        <v>14922</v>
      </c>
      <c r="M12" s="16">
        <f>[9]Vendedor14!$L$7</f>
        <v>8500</v>
      </c>
      <c r="N12" s="19">
        <f>[9]Vendedor14!$J$8</f>
        <v>115200</v>
      </c>
      <c r="O12" s="15">
        <f>[9]Vendedor14!$K$8</f>
        <v>13824</v>
      </c>
      <c r="P12" s="17">
        <f>[9]Vendedor14!$L$8</f>
        <v>212500</v>
      </c>
      <c r="Q12" s="19">
        <f>[9]Vendedor14!$J$10</f>
        <v>0</v>
      </c>
      <c r="R12" s="15">
        <f>[9]Vendedor14!$K$10</f>
        <v>0</v>
      </c>
      <c r="S12" s="17">
        <f>[9]Vendedor14!$L$10</f>
        <v>0</v>
      </c>
      <c r="T12" s="18">
        <f t="shared" si="3"/>
        <v>1273200</v>
      </c>
      <c r="U12" s="15">
        <f t="shared" si="1"/>
        <v>151680</v>
      </c>
      <c r="V12" s="15">
        <f t="shared" si="2"/>
        <v>1262250</v>
      </c>
      <c r="W12" s="15">
        <v>0</v>
      </c>
      <c r="X12" s="17">
        <f t="shared" si="4"/>
        <v>-140730</v>
      </c>
    </row>
    <row r="13" spans="1:24">
      <c r="A13" s="13" t="s">
        <v>22</v>
      </c>
      <c r="B13" s="14">
        <f>[10]Vendedor14!$J$4</f>
        <v>456400</v>
      </c>
      <c r="C13" s="81">
        <f>[10]Vendedor14!$K$4</f>
        <v>54768</v>
      </c>
      <c r="D13" s="82">
        <f>[10]Vendedor14!$L$4</f>
        <v>637500</v>
      </c>
      <c r="E13" s="14">
        <f>[10]Vendedor14!$J$5</f>
        <v>546100</v>
      </c>
      <c r="F13" s="81">
        <f>[10]Vendedor14!$K$5</f>
        <v>65532</v>
      </c>
      <c r="G13" s="85">
        <f>[10]Vendedor14!$L$5</f>
        <v>505750</v>
      </c>
      <c r="H13" s="19">
        <f>[10]Vendedor14!$J$6</f>
        <v>41300</v>
      </c>
      <c r="I13" s="15">
        <f>[10]Vendedor14!$K$6</f>
        <v>4130</v>
      </c>
      <c r="J13" s="17">
        <f>[10]Vendedor14!$L$6</f>
        <v>0</v>
      </c>
      <c r="K13" s="18">
        <f>[10]Vendedor14!$J$7</f>
        <v>110350</v>
      </c>
      <c r="L13" s="15">
        <f>[10]Vendedor14!$K$7</f>
        <v>13242</v>
      </c>
      <c r="M13" s="16">
        <f>[10]Vendedor14!$L$7</f>
        <v>131750</v>
      </c>
      <c r="N13" s="19">
        <f>[10]Vendedor14!$J$8</f>
        <v>101850</v>
      </c>
      <c r="O13" s="15">
        <f>[10]Vendedor14!$K$8</f>
        <v>12222</v>
      </c>
      <c r="P13" s="17">
        <f>[10]Vendedor14!$L$8</f>
        <v>80750</v>
      </c>
      <c r="Q13" s="19">
        <f>[10]Vendedor14!$J$10</f>
        <v>0</v>
      </c>
      <c r="R13" s="15">
        <f>[10]Vendedor14!$K$10</f>
        <v>0</v>
      </c>
      <c r="S13" s="17">
        <f>[10]Vendedor14!$L$10</f>
        <v>0</v>
      </c>
      <c r="T13" s="18">
        <f t="shared" si="3"/>
        <v>1256000</v>
      </c>
      <c r="U13" s="15">
        <f t="shared" si="1"/>
        <v>149894</v>
      </c>
      <c r="V13" s="15">
        <f t="shared" si="2"/>
        <v>1355750</v>
      </c>
      <c r="W13" s="15">
        <v>0</v>
      </c>
      <c r="X13" s="17">
        <f t="shared" si="4"/>
        <v>-249644</v>
      </c>
    </row>
    <row r="14" spans="1:24">
      <c r="A14" s="20" t="s">
        <v>23</v>
      </c>
      <c r="B14" s="14">
        <f>[11]Vendedor14!$J$4</f>
        <v>483650</v>
      </c>
      <c r="C14" s="81">
        <f>[11]Vendedor14!$K$4</f>
        <v>58038</v>
      </c>
      <c r="D14" s="82">
        <f>[11]Vendedor14!$L$4</f>
        <v>250750</v>
      </c>
      <c r="E14" s="14">
        <f>[11]Vendedor14!$J$5</f>
        <v>507800</v>
      </c>
      <c r="F14" s="81">
        <f>[11]Vendedor14!$K$5</f>
        <v>60936</v>
      </c>
      <c r="G14" s="85">
        <f>[11]Vendedor14!$L$5</f>
        <v>480250</v>
      </c>
      <c r="H14" s="19">
        <f>[11]Vendedor14!$J$6</f>
        <v>61400</v>
      </c>
      <c r="I14" s="15">
        <f>[11]Vendedor14!$K$6</f>
        <v>6140</v>
      </c>
      <c r="J14" s="17">
        <f>[11]Vendedor14!$L$6</f>
        <v>0</v>
      </c>
      <c r="K14" s="18">
        <f>[11]Vendedor14!$J$7</f>
        <v>128150</v>
      </c>
      <c r="L14" s="15">
        <f>[11]Vendedor14!$K$7</f>
        <v>15378</v>
      </c>
      <c r="M14" s="16">
        <f>[11]Vendedor14!$L$7</f>
        <v>8500</v>
      </c>
      <c r="N14" s="19">
        <f>[11]Vendedor14!$J$8</f>
        <v>96050</v>
      </c>
      <c r="O14" s="15">
        <f>[11]Vendedor14!$K$8</f>
        <v>11526</v>
      </c>
      <c r="P14" s="17">
        <f>[11]Vendedor14!$L$8</f>
        <v>110500</v>
      </c>
      <c r="Q14" s="19">
        <f>[11]Vendedor14!$J$10</f>
        <v>0</v>
      </c>
      <c r="R14" s="15">
        <f>[11]Vendedor14!$K$10</f>
        <v>0</v>
      </c>
      <c r="S14" s="17">
        <f>[11]Vendedor14!$L$10</f>
        <v>0</v>
      </c>
      <c r="T14" s="18">
        <f t="shared" si="3"/>
        <v>1277050</v>
      </c>
      <c r="U14" s="15">
        <f t="shared" si="1"/>
        <v>152018</v>
      </c>
      <c r="V14" s="15">
        <f t="shared" si="2"/>
        <v>850000</v>
      </c>
      <c r="W14" s="15">
        <v>0</v>
      </c>
      <c r="X14" s="17">
        <f t="shared" si="4"/>
        <v>275032</v>
      </c>
    </row>
    <row r="15" spans="1:24">
      <c r="A15" s="13" t="s">
        <v>24</v>
      </c>
      <c r="B15" s="14">
        <f>[12]Vendedor14!$J$4</f>
        <v>461800</v>
      </c>
      <c r="C15" s="81">
        <f>[12]Vendedor14!$K$4</f>
        <v>55416</v>
      </c>
      <c r="D15" s="82">
        <f>[12]Vendedor14!$L$4</f>
        <v>255000</v>
      </c>
      <c r="E15" s="14">
        <f>[12]Vendedor14!$J$5</f>
        <v>400800</v>
      </c>
      <c r="F15" s="81">
        <f>[12]Vendedor14!$K$5</f>
        <v>48096</v>
      </c>
      <c r="G15" s="85">
        <f>[12]Vendedor14!$L$5</f>
        <v>556750</v>
      </c>
      <c r="H15" s="19">
        <f>[12]Vendedor14!$J$6</f>
        <v>87500</v>
      </c>
      <c r="I15" s="15">
        <f>[12]Vendedor14!$K$6</f>
        <v>8750</v>
      </c>
      <c r="J15" s="17">
        <f>[12]Vendedor14!$L$6</f>
        <v>30000</v>
      </c>
      <c r="K15" s="18">
        <f>[12]Vendedor14!$J$7</f>
        <v>88850</v>
      </c>
      <c r="L15" s="15">
        <f>[12]Vendedor14!$K$7</f>
        <v>10662</v>
      </c>
      <c r="M15" s="16">
        <f>[12]Vendedor14!$L$7</f>
        <v>246500</v>
      </c>
      <c r="N15" s="19">
        <f>[12]Vendedor14!$J$8</f>
        <v>85300</v>
      </c>
      <c r="O15" s="15">
        <f>[12]Vendedor14!$K$8</f>
        <v>10236</v>
      </c>
      <c r="P15" s="17">
        <f>[12]Vendedor14!$L$8</f>
        <v>42500</v>
      </c>
      <c r="Q15" s="19">
        <f>[12]Vendedor14!$J$10</f>
        <v>0</v>
      </c>
      <c r="R15" s="15">
        <f>[12]Vendedor14!$K$10</f>
        <v>0</v>
      </c>
      <c r="S15" s="17">
        <f>[12]Vendedor14!$L$10</f>
        <v>0</v>
      </c>
      <c r="T15" s="18">
        <f t="shared" si="3"/>
        <v>1124250</v>
      </c>
      <c r="U15" s="15">
        <f t="shared" si="1"/>
        <v>133160</v>
      </c>
      <c r="V15" s="15">
        <f t="shared" si="2"/>
        <v>1130750</v>
      </c>
      <c r="W15" s="15">
        <v>0</v>
      </c>
      <c r="X15" s="17">
        <f t="shared" si="4"/>
        <v>-139660</v>
      </c>
    </row>
    <row r="16" spans="1:24">
      <c r="A16" s="20" t="s">
        <v>25</v>
      </c>
      <c r="B16" s="14">
        <f>[13]Vendedor14!$J$4</f>
        <v>420000</v>
      </c>
      <c r="C16" s="81">
        <f>[13]Vendedor14!$K$4</f>
        <v>50400</v>
      </c>
      <c r="D16" s="82">
        <f>[13]Vendedor14!$L$4</f>
        <v>208250</v>
      </c>
      <c r="E16" s="14">
        <f>[13]Vendedor14!$J$5</f>
        <v>486400</v>
      </c>
      <c r="F16" s="81">
        <f>[13]Vendedor14!$K$5</f>
        <v>58368</v>
      </c>
      <c r="G16" s="85">
        <f>[13]Vendedor14!$L$5</f>
        <v>586500</v>
      </c>
      <c r="H16" s="19">
        <f>[13]Vendedor14!$J$6</f>
        <v>68850</v>
      </c>
      <c r="I16" s="15">
        <f>[13]Vendedor14!$K$6</f>
        <v>6885</v>
      </c>
      <c r="J16" s="17">
        <f>[13]Vendedor14!$L$6</f>
        <v>0</v>
      </c>
      <c r="K16" s="18">
        <f>[13]Vendedor14!$J$7</f>
        <v>158250</v>
      </c>
      <c r="L16" s="15">
        <f>[13]Vendedor14!$K$7</f>
        <v>18990</v>
      </c>
      <c r="M16" s="16">
        <f>[13]Vendedor14!$L$7</f>
        <v>301750</v>
      </c>
      <c r="N16" s="19">
        <f>[13]Vendedor14!$J$8</f>
        <v>97450</v>
      </c>
      <c r="O16" s="15">
        <f>[13]Vendedor14!$K$8</f>
        <v>11694</v>
      </c>
      <c r="P16" s="17">
        <f>[13]Vendedor14!$L$8</f>
        <v>59500</v>
      </c>
      <c r="Q16" s="19">
        <f>[13]Vendedor14!$J$10</f>
        <v>0</v>
      </c>
      <c r="R16" s="15">
        <f>[13]Vendedor14!$K$10</f>
        <v>0</v>
      </c>
      <c r="S16" s="17">
        <f>[13]Vendedor14!$L$10</f>
        <v>0</v>
      </c>
      <c r="T16" s="18">
        <f t="shared" si="3"/>
        <v>1230950</v>
      </c>
      <c r="U16" s="15">
        <f t="shared" si="1"/>
        <v>146337</v>
      </c>
      <c r="V16" s="15">
        <f t="shared" si="2"/>
        <v>1156000</v>
      </c>
      <c r="W16" s="15">
        <v>0</v>
      </c>
      <c r="X16" s="17">
        <f t="shared" si="4"/>
        <v>-71387</v>
      </c>
    </row>
    <row r="17" spans="1:24">
      <c r="A17" s="13" t="s">
        <v>26</v>
      </c>
      <c r="B17" s="14">
        <f>[14]Vendedor14!$J$4</f>
        <v>456600</v>
      </c>
      <c r="C17" s="81">
        <f>[14]Vendedor14!$K$4</f>
        <v>54792</v>
      </c>
      <c r="D17" s="82">
        <f>[14]Vendedor14!$L$4</f>
        <v>739500</v>
      </c>
      <c r="E17" s="14">
        <f>[14]Vendedor14!$J$5</f>
        <v>491050</v>
      </c>
      <c r="F17" s="81">
        <f>[14]Vendedor14!$K$5</f>
        <v>58926</v>
      </c>
      <c r="G17" s="85">
        <f>[14]Vendedor14!$L$5</f>
        <v>195500</v>
      </c>
      <c r="H17" s="19">
        <f>[14]Vendedor14!$J$6</f>
        <v>66400</v>
      </c>
      <c r="I17" s="15">
        <f>[14]Vendedor14!$K$6</f>
        <v>6640</v>
      </c>
      <c r="J17" s="17">
        <f>[14]Vendedor14!$L$6</f>
        <v>70000</v>
      </c>
      <c r="K17" s="18">
        <f>[14]Vendedor14!$J$7</f>
        <v>112350</v>
      </c>
      <c r="L17" s="15">
        <f>[14]Vendedor14!$K$7</f>
        <v>13482</v>
      </c>
      <c r="M17" s="16">
        <f>[14]Vendedor14!$L$7</f>
        <v>153000</v>
      </c>
      <c r="N17" s="19">
        <f>[14]Vendedor14!$J$8</f>
        <v>93500</v>
      </c>
      <c r="O17" s="15">
        <f>[14]Vendedor14!$K$8</f>
        <v>11220</v>
      </c>
      <c r="P17" s="17">
        <f>[14]Vendedor14!$L$8</f>
        <v>153000</v>
      </c>
      <c r="Q17" s="19">
        <f>[14]Vendedor14!$J$10</f>
        <v>0</v>
      </c>
      <c r="R17" s="15">
        <f>[14]Vendedor14!$K$10</f>
        <v>0</v>
      </c>
      <c r="S17" s="17">
        <f>[14]Vendedor14!$L$10</f>
        <v>0</v>
      </c>
      <c r="T17" s="18">
        <f t="shared" si="3"/>
        <v>1219900</v>
      </c>
      <c r="U17" s="15">
        <f t="shared" si="1"/>
        <v>145060</v>
      </c>
      <c r="V17" s="15">
        <f t="shared" si="2"/>
        <v>1311000</v>
      </c>
      <c r="W17" s="15">
        <v>0</v>
      </c>
      <c r="X17" s="17">
        <f t="shared" si="4"/>
        <v>-236160</v>
      </c>
    </row>
    <row r="18" spans="1:24">
      <c r="A18" s="20" t="s">
        <v>27</v>
      </c>
      <c r="B18" s="14">
        <f>[15]Vendedor14!$J$4</f>
        <v>447450</v>
      </c>
      <c r="C18" s="81">
        <f>[15]Vendedor14!$K$4</f>
        <v>53694</v>
      </c>
      <c r="D18" s="82">
        <f>[15]Vendedor14!$L$4</f>
        <v>327250</v>
      </c>
      <c r="E18" s="14">
        <f>[15]Vendedor14!$J$5</f>
        <v>475250</v>
      </c>
      <c r="F18" s="81">
        <f>[15]Vendedor14!$K$5</f>
        <v>57030</v>
      </c>
      <c r="G18" s="85">
        <f>[15]Vendedor14!$L$5</f>
        <v>399500</v>
      </c>
      <c r="H18" s="19">
        <f>[15]Vendedor14!$J$6</f>
        <v>86400</v>
      </c>
      <c r="I18" s="15">
        <f>[15]Vendedor14!$K$6</f>
        <v>8640</v>
      </c>
      <c r="J18" s="17">
        <f>[15]Vendedor14!$L$6</f>
        <v>200000</v>
      </c>
      <c r="K18" s="18">
        <f>[15]Vendedor14!$J$7</f>
        <v>123550</v>
      </c>
      <c r="L18" s="15">
        <f>[15]Vendedor14!$K$7</f>
        <v>14826</v>
      </c>
      <c r="M18" s="16">
        <f>[15]Vendedor14!$L$7</f>
        <v>51000</v>
      </c>
      <c r="N18" s="19">
        <f>[15]Vendedor14!$J$8</f>
        <v>68650</v>
      </c>
      <c r="O18" s="15">
        <f>[15]Vendedor14!$K$8</f>
        <v>8238</v>
      </c>
      <c r="P18" s="17">
        <f>[15]Vendedor14!$L$8</f>
        <v>72250</v>
      </c>
      <c r="Q18" s="19">
        <f>[15]Vendedor14!$J$10</f>
        <v>0</v>
      </c>
      <c r="R18" s="15">
        <f>[15]Vendedor14!$K$10</f>
        <v>0</v>
      </c>
      <c r="S18" s="17">
        <f>[15]Vendedor14!$L$10</f>
        <v>0</v>
      </c>
      <c r="T18" s="18">
        <f t="shared" si="3"/>
        <v>1201300</v>
      </c>
      <c r="U18" s="15">
        <f t="shared" si="1"/>
        <v>142428</v>
      </c>
      <c r="V18" s="15">
        <f t="shared" si="2"/>
        <v>1050000</v>
      </c>
      <c r="W18" s="15">
        <v>0</v>
      </c>
      <c r="X18" s="17">
        <f t="shared" si="4"/>
        <v>8872</v>
      </c>
    </row>
    <row r="19" spans="1:24">
      <c r="A19" s="20" t="s">
        <v>28</v>
      </c>
      <c r="B19" s="14">
        <f>[16]Vendedor14!$J$4</f>
        <v>448950</v>
      </c>
      <c r="C19" s="81">
        <f>[16]Vendedor14!$K$4</f>
        <v>53874</v>
      </c>
      <c r="D19" s="82">
        <f>[16]Vendedor14!$L$4</f>
        <v>535500</v>
      </c>
      <c r="E19" s="14">
        <f>[16]Vendedor14!$J$5</f>
        <v>512100</v>
      </c>
      <c r="F19" s="81">
        <f>[16]Vendedor14!$K$5</f>
        <v>61452</v>
      </c>
      <c r="G19" s="85">
        <f>[16]Vendedor14!$L$5</f>
        <v>310250</v>
      </c>
      <c r="H19" s="19">
        <f>[16]Vendedor14!$J$6</f>
        <v>79950</v>
      </c>
      <c r="I19" s="15">
        <f>[16]Vendedor14!$K$6</f>
        <v>7995</v>
      </c>
      <c r="J19" s="17">
        <f>[16]Vendedor14!$L$6</f>
        <v>240000</v>
      </c>
      <c r="K19" s="18">
        <f>[16]Vendedor14!$J$7</f>
        <v>166100</v>
      </c>
      <c r="L19" s="15">
        <f>[16]Vendedor14!$K$7</f>
        <v>19932</v>
      </c>
      <c r="M19" s="16">
        <f>[16]Vendedor14!$L$7</f>
        <v>255000</v>
      </c>
      <c r="N19" s="19">
        <f>[16]Vendedor14!$J$8</f>
        <v>95050</v>
      </c>
      <c r="O19" s="15">
        <f>[16]Vendedor14!$K$8</f>
        <v>11406</v>
      </c>
      <c r="P19" s="17">
        <f>[16]Vendedor14!$L$8</f>
        <v>127500</v>
      </c>
      <c r="Q19" s="19">
        <f>[16]Vendedor14!$J$10</f>
        <v>0</v>
      </c>
      <c r="R19" s="15">
        <f>[16]Vendedor14!$K$10</f>
        <v>0</v>
      </c>
      <c r="S19" s="17">
        <f>[16]Vendedor14!$L$10</f>
        <v>0</v>
      </c>
      <c r="T19" s="18">
        <f t="shared" si="3"/>
        <v>1302150</v>
      </c>
      <c r="U19" s="15">
        <f t="shared" si="1"/>
        <v>154659</v>
      </c>
      <c r="V19" s="15">
        <f t="shared" si="2"/>
        <v>1468250</v>
      </c>
      <c r="W19" s="15">
        <v>0</v>
      </c>
      <c r="X19" s="17">
        <f t="shared" si="4"/>
        <v>-320759</v>
      </c>
    </row>
    <row r="20" spans="1:24">
      <c r="A20" s="13" t="s">
        <v>29</v>
      </c>
      <c r="B20" s="14">
        <f>[17]Vendedor14!$J$4</f>
        <v>554450</v>
      </c>
      <c r="C20" s="81">
        <f>[17]Vendedor14!$K$4</f>
        <v>66534</v>
      </c>
      <c r="D20" s="82">
        <f>[17]Vendedor14!$L$4</f>
        <v>786250</v>
      </c>
      <c r="E20" s="14">
        <f>[17]Vendedor14!$J$5</f>
        <v>476300</v>
      </c>
      <c r="F20" s="81">
        <f>[17]Vendedor14!$K$5</f>
        <v>57156</v>
      </c>
      <c r="G20" s="85">
        <f>[17]Vendedor14!$L$5</f>
        <v>391000</v>
      </c>
      <c r="H20" s="19">
        <f>[17]Vendedor14!$J$6</f>
        <v>94050</v>
      </c>
      <c r="I20" s="15">
        <f>[17]Vendedor14!$K$6</f>
        <v>9405</v>
      </c>
      <c r="J20" s="17">
        <f>[17]Vendedor14!$L$6</f>
        <v>310000</v>
      </c>
      <c r="K20" s="18">
        <f>[17]Vendedor14!$J$7</f>
        <v>163400</v>
      </c>
      <c r="L20" s="15">
        <f>[17]Vendedor14!$K$7</f>
        <v>19608</v>
      </c>
      <c r="M20" s="16">
        <f>[17]Vendedor14!$L$7</f>
        <v>0</v>
      </c>
      <c r="N20" s="19">
        <f>[17]Vendedor14!$J$8</f>
        <v>95700</v>
      </c>
      <c r="O20" s="15">
        <f>[17]Vendedor14!$K$8</f>
        <v>11484</v>
      </c>
      <c r="P20" s="17">
        <f>[17]Vendedor14!$L$8</f>
        <v>110500</v>
      </c>
      <c r="Q20" s="19">
        <f>[17]Vendedor14!$J$10</f>
        <v>0</v>
      </c>
      <c r="R20" s="15">
        <f>[17]Vendedor14!$K$10</f>
        <v>0</v>
      </c>
      <c r="S20" s="17">
        <f>[17]Vendedor14!$L$10</f>
        <v>0</v>
      </c>
      <c r="T20" s="18">
        <f t="shared" si="3"/>
        <v>1383900</v>
      </c>
      <c r="U20" s="15">
        <f t="shared" si="1"/>
        <v>164187</v>
      </c>
      <c r="V20" s="15">
        <f t="shared" si="2"/>
        <v>1597750</v>
      </c>
      <c r="W20" s="15">
        <v>0</v>
      </c>
      <c r="X20" s="17">
        <f t="shared" si="4"/>
        <v>-378037</v>
      </c>
    </row>
    <row r="21" spans="1:24">
      <c r="A21" s="20" t="s">
        <v>30</v>
      </c>
      <c r="B21" s="14">
        <f>[18]Vendedor14!$J$4</f>
        <v>411100</v>
      </c>
      <c r="C21" s="81">
        <f>[18]Vendedor14!$K$4</f>
        <v>49332</v>
      </c>
      <c r="D21" s="82">
        <f>[18]Vendedor14!$L$4</f>
        <v>709750</v>
      </c>
      <c r="E21" s="14">
        <f>[18]Vendedor14!$J$5</f>
        <v>431650</v>
      </c>
      <c r="F21" s="81">
        <f>[18]Vendedor14!$K$5</f>
        <v>51798</v>
      </c>
      <c r="G21" s="85">
        <f>[18]Vendedor14!$L$5</f>
        <v>233750</v>
      </c>
      <c r="H21" s="19">
        <f>[18]Vendedor14!$J$6</f>
        <v>68300</v>
      </c>
      <c r="I21" s="15">
        <f>[18]Vendedor14!$K$6</f>
        <v>6830</v>
      </c>
      <c r="J21" s="17">
        <f>[18]Vendedor14!$L$6</f>
        <v>630000</v>
      </c>
      <c r="K21" s="18">
        <f>[18]Vendedor14!$J$7</f>
        <v>131600</v>
      </c>
      <c r="L21" s="15">
        <f>[18]Vendedor14!$K$7</f>
        <v>15792</v>
      </c>
      <c r="M21" s="16">
        <f>[18]Vendedor14!$L$7</f>
        <v>59500</v>
      </c>
      <c r="N21" s="19">
        <f>[18]Vendedor14!$J$8</f>
        <v>66400</v>
      </c>
      <c r="O21" s="15">
        <f>[18]Vendedor14!$K$8</f>
        <v>7968</v>
      </c>
      <c r="P21" s="17">
        <f>[18]Vendedor14!$L$8</f>
        <v>8500</v>
      </c>
      <c r="Q21" s="19">
        <f>[18]Vendedor14!$J$10</f>
        <v>0</v>
      </c>
      <c r="R21" s="15">
        <f>[18]Vendedor14!$K$10</f>
        <v>0</v>
      </c>
      <c r="S21" s="17">
        <f>[18]Vendedor14!$L$10</f>
        <v>0</v>
      </c>
      <c r="T21" s="18">
        <f t="shared" si="3"/>
        <v>1109050</v>
      </c>
      <c r="U21" s="15">
        <f t="shared" si="1"/>
        <v>131720</v>
      </c>
      <c r="V21" s="15">
        <f t="shared" si="2"/>
        <v>1641500</v>
      </c>
      <c r="W21" s="15">
        <v>0</v>
      </c>
      <c r="X21" s="17">
        <f t="shared" si="4"/>
        <v>-664170</v>
      </c>
    </row>
    <row r="22" spans="1:24">
      <c r="A22" s="13" t="s">
        <v>31</v>
      </c>
      <c r="B22" s="14">
        <f>[19]Vendedor14!$J$4</f>
        <v>467200</v>
      </c>
      <c r="C22" s="81">
        <f>[19]Vendedor14!$K$4</f>
        <v>56064</v>
      </c>
      <c r="D22" s="82">
        <f>[19]Vendedor14!$L$4</f>
        <v>1007250</v>
      </c>
      <c r="E22" s="14">
        <f>[19]Vendedor14!$J$5</f>
        <v>450100</v>
      </c>
      <c r="F22" s="81">
        <f>[19]Vendedor14!$K$5</f>
        <v>54012</v>
      </c>
      <c r="G22" s="85">
        <f>[19]Vendedor14!$L$5</f>
        <v>199750</v>
      </c>
      <c r="H22" s="19">
        <f>[19]Vendedor14!$J$6</f>
        <v>93550</v>
      </c>
      <c r="I22" s="15">
        <f>[19]Vendedor14!$K$6</f>
        <v>9355</v>
      </c>
      <c r="J22" s="17">
        <f>[19]Vendedor14!$L$6</f>
        <v>440000</v>
      </c>
      <c r="K22" s="18">
        <f>[19]Vendedor14!$J$7</f>
        <v>114050</v>
      </c>
      <c r="L22" s="15">
        <f>[19]Vendedor14!$K$7</f>
        <v>13686</v>
      </c>
      <c r="M22" s="16">
        <f>[19]Vendedor14!$L$7</f>
        <v>106250</v>
      </c>
      <c r="N22" s="19">
        <f>[19]Vendedor14!$J$8</f>
        <v>91050</v>
      </c>
      <c r="O22" s="15">
        <f>[19]Vendedor14!$K$8</f>
        <v>10926</v>
      </c>
      <c r="P22" s="17">
        <f>[19]Vendedor14!$L$8</f>
        <v>29750</v>
      </c>
      <c r="Q22" s="19">
        <f>[19]Vendedor14!$J$10</f>
        <v>0</v>
      </c>
      <c r="R22" s="15">
        <f>[19]Vendedor14!$K$10</f>
        <v>0</v>
      </c>
      <c r="S22" s="17">
        <f>[19]Vendedor14!$L$10</f>
        <v>0</v>
      </c>
      <c r="T22" s="18">
        <f t="shared" si="3"/>
        <v>1215950</v>
      </c>
      <c r="U22" s="15">
        <f t="shared" si="1"/>
        <v>144043</v>
      </c>
      <c r="V22" s="15">
        <f t="shared" si="2"/>
        <v>1783000</v>
      </c>
      <c r="W22" s="15">
        <v>0</v>
      </c>
      <c r="X22" s="17">
        <f t="shared" si="4"/>
        <v>-711093</v>
      </c>
    </row>
    <row r="23" spans="1:24">
      <c r="A23" s="20" t="s">
        <v>32</v>
      </c>
      <c r="B23" s="14">
        <f>[20]Vendedor14!$J$4</f>
        <v>481700</v>
      </c>
      <c r="C23" s="81">
        <f>[20]Vendedor14!$K$4</f>
        <v>57804</v>
      </c>
      <c r="D23" s="82">
        <f>[20]Vendedor14!$L$4</f>
        <v>242250</v>
      </c>
      <c r="E23" s="14">
        <f>[20]Vendedor14!$J$5</f>
        <v>466800</v>
      </c>
      <c r="F23" s="81">
        <f>[20]Vendedor14!$K$5</f>
        <v>56016</v>
      </c>
      <c r="G23" s="85">
        <f>[20]Vendedor14!$L$5</f>
        <v>110500</v>
      </c>
      <c r="H23" s="19">
        <f>[20]Vendedor14!$J$6</f>
        <v>127150</v>
      </c>
      <c r="I23" s="15">
        <f>[20]Vendedor14!$K$6</f>
        <v>12715</v>
      </c>
      <c r="J23" s="17">
        <f>[20]Vendedor14!$L$6</f>
        <v>80000</v>
      </c>
      <c r="K23" s="18">
        <f>[20]Vendedor14!$J$7</f>
        <v>124700</v>
      </c>
      <c r="L23" s="15">
        <f>[20]Vendedor14!$K$7</f>
        <v>14964</v>
      </c>
      <c r="M23" s="16">
        <f>[20]Vendedor14!$L$7</f>
        <v>114750</v>
      </c>
      <c r="N23" s="19">
        <f>[20]Vendedor14!$J$8</f>
        <v>84150</v>
      </c>
      <c r="O23" s="15">
        <f>[20]Vendedor14!$K$8</f>
        <v>10098</v>
      </c>
      <c r="P23" s="17">
        <f>[20]Vendedor14!$L$8</f>
        <v>110500</v>
      </c>
      <c r="Q23" s="19">
        <f>[20]Vendedor14!$J$10</f>
        <v>0</v>
      </c>
      <c r="R23" s="15">
        <f>[20]Vendedor14!$K$10</f>
        <v>0</v>
      </c>
      <c r="S23" s="17">
        <f>[20]Vendedor14!$L$10</f>
        <v>0</v>
      </c>
      <c r="T23" s="18">
        <f t="shared" si="3"/>
        <v>1284500</v>
      </c>
      <c r="U23" s="15">
        <f t="shared" si="1"/>
        <v>151597</v>
      </c>
      <c r="V23" s="15">
        <f t="shared" si="2"/>
        <v>658000</v>
      </c>
      <c r="W23" s="15">
        <v>0</v>
      </c>
      <c r="X23" s="17">
        <f t="shared" si="4"/>
        <v>474903</v>
      </c>
    </row>
    <row r="24" spans="1:24">
      <c r="A24" s="13" t="s">
        <v>33</v>
      </c>
      <c r="B24" s="14">
        <f>[21]Vendedor14!$J$4</f>
        <v>413100</v>
      </c>
      <c r="C24" s="81">
        <f>[21]Vendedor14!$K$4</f>
        <v>49572</v>
      </c>
      <c r="D24" s="82">
        <f>[21]Vendedor14!$L$4</f>
        <v>297500</v>
      </c>
      <c r="E24" s="14">
        <f>[21]Vendedor14!$J$5</f>
        <v>393400</v>
      </c>
      <c r="F24" s="81">
        <f>[21]Vendedor14!$K$5</f>
        <v>47208</v>
      </c>
      <c r="G24" s="85">
        <f>[21]Vendedor14!$L$5</f>
        <v>314500</v>
      </c>
      <c r="H24" s="19">
        <f>[21]Vendedor14!$J$6</f>
        <v>56400</v>
      </c>
      <c r="I24" s="15">
        <f>[21]Vendedor14!$K$6</f>
        <v>5640</v>
      </c>
      <c r="J24" s="17">
        <f>[21]Vendedor14!$L$6</f>
        <v>0</v>
      </c>
      <c r="K24" s="18">
        <f>[21]Vendedor14!$J$7</f>
        <v>85300</v>
      </c>
      <c r="L24" s="15">
        <f>[21]Vendedor14!$K$7</f>
        <v>10236</v>
      </c>
      <c r="M24" s="16">
        <f>[21]Vendedor14!$L$7</f>
        <v>110500</v>
      </c>
      <c r="N24" s="19">
        <f>[21]Vendedor14!$J$8</f>
        <v>53800</v>
      </c>
      <c r="O24" s="15">
        <f>[21]Vendedor14!$K$8</f>
        <v>6456</v>
      </c>
      <c r="P24" s="17">
        <f>[21]Vendedor14!$L$8</f>
        <v>8500</v>
      </c>
      <c r="Q24" s="19">
        <f>[21]Vendedor14!$J$10</f>
        <v>0</v>
      </c>
      <c r="R24" s="15">
        <f>[21]Vendedor14!$K$10</f>
        <v>0</v>
      </c>
      <c r="S24" s="17">
        <f>[21]Vendedor14!$L$10</f>
        <v>0</v>
      </c>
      <c r="T24" s="18">
        <f t="shared" si="3"/>
        <v>1002000</v>
      </c>
      <c r="U24" s="15">
        <f t="shared" si="1"/>
        <v>119112</v>
      </c>
      <c r="V24" s="15">
        <f t="shared" si="2"/>
        <v>731000</v>
      </c>
      <c r="W24" s="15">
        <v>0</v>
      </c>
      <c r="X24" s="17">
        <f t="shared" si="4"/>
        <v>151888</v>
      </c>
    </row>
    <row r="25" spans="1:24">
      <c r="A25" s="20" t="s">
        <v>34</v>
      </c>
      <c r="B25" s="14">
        <f>[22]Vendedor14!$J$4</f>
        <v>485850</v>
      </c>
      <c r="C25" s="81">
        <f>[22]Vendedor14!$K$4</f>
        <v>58302</v>
      </c>
      <c r="D25" s="82">
        <f>[22]Vendedor14!$L$4</f>
        <v>1194250</v>
      </c>
      <c r="E25" s="14">
        <f>[22]Vendedor14!$J$5</f>
        <v>446250</v>
      </c>
      <c r="F25" s="81">
        <f>[22]Vendedor14!$K$5</f>
        <v>53550</v>
      </c>
      <c r="G25" s="85">
        <f>[22]Vendedor14!$L$5</f>
        <v>140250</v>
      </c>
      <c r="H25" s="19">
        <f>[22]Vendedor14!$J$6</f>
        <v>87000</v>
      </c>
      <c r="I25" s="15">
        <f>[22]Vendedor14!$K$6</f>
        <v>8700</v>
      </c>
      <c r="J25" s="17">
        <f>[22]Vendedor14!$L$6</f>
        <v>0</v>
      </c>
      <c r="K25" s="18">
        <f>[22]Vendedor14!$J$7</f>
        <v>110250</v>
      </c>
      <c r="L25" s="15">
        <f>[22]Vendedor14!$K$7</f>
        <v>13230</v>
      </c>
      <c r="M25" s="16">
        <f>[22]Vendedor14!$L$7</f>
        <v>42500</v>
      </c>
      <c r="N25" s="19">
        <f>[22]Vendedor14!$J$8</f>
        <v>73700</v>
      </c>
      <c r="O25" s="15">
        <f>[22]Vendedor14!$K$8</f>
        <v>8844</v>
      </c>
      <c r="P25" s="17">
        <f>[22]Vendedor14!$L$8</f>
        <v>12750</v>
      </c>
      <c r="Q25" s="19">
        <f>[22]Vendedor14!$J$10</f>
        <v>0</v>
      </c>
      <c r="R25" s="15">
        <f>[22]Vendedor14!$K$10</f>
        <v>0</v>
      </c>
      <c r="S25" s="17">
        <f>[22]Vendedor14!$L$10</f>
        <v>0</v>
      </c>
      <c r="T25" s="18">
        <f t="shared" si="3"/>
        <v>1203050</v>
      </c>
      <c r="U25" s="15">
        <f t="shared" si="1"/>
        <v>142626</v>
      </c>
      <c r="V25" s="15">
        <f t="shared" si="2"/>
        <v>1389750</v>
      </c>
      <c r="W25" s="15">
        <v>0</v>
      </c>
      <c r="X25" s="17">
        <f t="shared" si="4"/>
        <v>-329326</v>
      </c>
    </row>
    <row r="26" spans="1:24">
      <c r="A26" s="13" t="s">
        <v>35</v>
      </c>
      <c r="B26" s="14">
        <f>[23]Vendedor14!$J$4</f>
        <v>493400</v>
      </c>
      <c r="C26" s="81">
        <f>[23]Vendedor14!$K$4</f>
        <v>59208</v>
      </c>
      <c r="D26" s="82">
        <f>[23]Vendedor14!$L$4</f>
        <v>144500</v>
      </c>
      <c r="E26" s="14">
        <f>[23]Vendedor14!$J$5</f>
        <v>470200</v>
      </c>
      <c r="F26" s="81">
        <f>[23]Vendedor14!$K$5</f>
        <v>56424</v>
      </c>
      <c r="G26" s="85">
        <f>[23]Vendedor14!$L$5</f>
        <v>174250</v>
      </c>
      <c r="H26" s="19">
        <f>[23]Vendedor14!$J$6</f>
        <v>78800</v>
      </c>
      <c r="I26" s="15">
        <f>[23]Vendedor14!$K$6</f>
        <v>7880</v>
      </c>
      <c r="J26" s="17">
        <f>[23]Vendedor14!$L$6</f>
        <v>100000</v>
      </c>
      <c r="K26" s="18">
        <f>[23]Vendedor14!$J$7</f>
        <v>83500</v>
      </c>
      <c r="L26" s="15">
        <f>[23]Vendedor14!$K$7</f>
        <v>10020</v>
      </c>
      <c r="M26" s="16">
        <f>[23]Vendedor14!$L$7</f>
        <v>55250</v>
      </c>
      <c r="N26" s="19">
        <f>[23]Vendedor14!$J$8</f>
        <v>81100</v>
      </c>
      <c r="O26" s="15">
        <f>[23]Vendedor14!$K$8</f>
        <v>9732</v>
      </c>
      <c r="P26" s="17">
        <f>[23]Vendedor14!$L$8</f>
        <v>46750</v>
      </c>
      <c r="Q26" s="19">
        <f>[23]Vendedor14!$J$10</f>
        <v>0</v>
      </c>
      <c r="R26" s="15">
        <f>[23]Vendedor14!$K$10</f>
        <v>0</v>
      </c>
      <c r="S26" s="17">
        <f>[23]Vendedor14!$L$10</f>
        <v>0</v>
      </c>
      <c r="T26" s="18">
        <f t="shared" si="3"/>
        <v>1207000</v>
      </c>
      <c r="U26" s="15">
        <f t="shared" si="1"/>
        <v>143264</v>
      </c>
      <c r="V26" s="15">
        <f t="shared" si="2"/>
        <v>520750</v>
      </c>
      <c r="W26" s="15">
        <v>0</v>
      </c>
      <c r="X26" s="17">
        <f t="shared" si="4"/>
        <v>542986</v>
      </c>
    </row>
    <row r="27" spans="1:24">
      <c r="A27" s="20" t="s">
        <v>36</v>
      </c>
      <c r="B27" s="14">
        <f>[24]Vendedor14!$J$4</f>
        <v>376400</v>
      </c>
      <c r="C27" s="81">
        <f>[24]Vendedor14!$K$4</f>
        <v>45168</v>
      </c>
      <c r="D27" s="82">
        <f>[24]Vendedor14!$L$4</f>
        <v>493000</v>
      </c>
      <c r="E27" s="14">
        <f>[24]Vendedor14!$J$5</f>
        <v>358650</v>
      </c>
      <c r="F27" s="81">
        <f>[24]Vendedor14!$K$5</f>
        <v>43038</v>
      </c>
      <c r="G27" s="85">
        <f>[24]Vendedor14!$L$5</f>
        <v>123250</v>
      </c>
      <c r="H27" s="19">
        <f>[24]Vendedor14!$J$6</f>
        <v>65850</v>
      </c>
      <c r="I27" s="15">
        <f>[24]Vendedor14!$K$6</f>
        <v>6585</v>
      </c>
      <c r="J27" s="17">
        <f>[24]Vendedor14!$L$6</f>
        <v>20000</v>
      </c>
      <c r="K27" s="18">
        <f>[24]Vendedor14!$J$7</f>
        <v>100950</v>
      </c>
      <c r="L27" s="15">
        <f>[24]Vendedor14!$K$7</f>
        <v>12114</v>
      </c>
      <c r="M27" s="16">
        <f>[24]Vendedor14!$L$7</f>
        <v>89250</v>
      </c>
      <c r="N27" s="19">
        <f>[24]Vendedor14!$J$8</f>
        <v>57100</v>
      </c>
      <c r="O27" s="15">
        <f>[24]Vendedor14!$K$8</f>
        <v>6852</v>
      </c>
      <c r="P27" s="17">
        <f>[24]Vendedor14!$L$8</f>
        <v>0</v>
      </c>
      <c r="Q27" s="19">
        <f>[24]Vendedor14!$J$10</f>
        <v>0</v>
      </c>
      <c r="R27" s="15">
        <f>[24]Vendedor14!$K$10</f>
        <v>0</v>
      </c>
      <c r="S27" s="17">
        <f>[24]Vendedor14!$L$10</f>
        <v>0</v>
      </c>
      <c r="T27" s="18">
        <f t="shared" si="3"/>
        <v>958950</v>
      </c>
      <c r="U27" s="15">
        <f t="shared" si="1"/>
        <v>113757</v>
      </c>
      <c r="V27" s="15">
        <f t="shared" si="2"/>
        <v>725500</v>
      </c>
      <c r="W27" s="15">
        <v>0</v>
      </c>
      <c r="X27" s="17">
        <f t="shared" si="4"/>
        <v>119693</v>
      </c>
    </row>
    <row r="28" spans="1:24">
      <c r="A28" s="13" t="s">
        <v>37</v>
      </c>
      <c r="B28" s="14">
        <f>[25]Vendedor14!$J$4</f>
        <v>495300</v>
      </c>
      <c r="C28" s="81">
        <f>[25]Vendedor14!$K$4</f>
        <v>59436</v>
      </c>
      <c r="D28" s="82">
        <f>[25]Vendedor14!$L$4</f>
        <v>459000</v>
      </c>
      <c r="E28" s="14">
        <f>[25]Vendedor14!$J$5</f>
        <v>488650</v>
      </c>
      <c r="F28" s="81">
        <f>[25]Vendedor14!$K$5</f>
        <v>58638</v>
      </c>
      <c r="G28" s="85">
        <f>[25]Vendedor14!$L$5</f>
        <v>225250</v>
      </c>
      <c r="H28" s="19">
        <f>[25]Vendedor14!$J$6</f>
        <v>122300</v>
      </c>
      <c r="I28" s="15">
        <f>[25]Vendedor14!$K$6</f>
        <v>12230</v>
      </c>
      <c r="J28" s="17">
        <f>[25]Vendedor14!$L$6</f>
        <v>130000</v>
      </c>
      <c r="K28" s="18">
        <f>[25]Vendedor14!$J$7</f>
        <v>112750</v>
      </c>
      <c r="L28" s="15">
        <f>[25]Vendedor14!$K$7</f>
        <v>13530</v>
      </c>
      <c r="M28" s="16">
        <f>[25]Vendedor14!$L$7</f>
        <v>365500</v>
      </c>
      <c r="N28" s="19">
        <f>[25]Vendedor14!$J$8</f>
        <v>106700</v>
      </c>
      <c r="O28" s="15">
        <f>[25]Vendedor14!$K$8</f>
        <v>12804</v>
      </c>
      <c r="P28" s="17">
        <f>[25]Vendedor14!$L$8</f>
        <v>46750</v>
      </c>
      <c r="Q28" s="19">
        <f>[25]Vendedor14!$J$10</f>
        <v>0</v>
      </c>
      <c r="R28" s="15">
        <f>[25]Vendedor14!$K$10</f>
        <v>0</v>
      </c>
      <c r="S28" s="17">
        <f>[25]Vendedor14!$L$10</f>
        <v>0</v>
      </c>
      <c r="T28" s="18">
        <f t="shared" si="3"/>
        <v>1325700</v>
      </c>
      <c r="U28" s="15">
        <f t="shared" si="1"/>
        <v>156638</v>
      </c>
      <c r="V28" s="15">
        <f t="shared" si="2"/>
        <v>1226500</v>
      </c>
      <c r="W28" s="15">
        <v>0</v>
      </c>
      <c r="X28" s="17">
        <f t="shared" si="4"/>
        <v>-57438</v>
      </c>
    </row>
    <row r="29" spans="1:24">
      <c r="A29" s="20" t="s">
        <v>38</v>
      </c>
      <c r="B29" s="14">
        <f>[26]Vendedor14!$J$4</f>
        <v>490100</v>
      </c>
      <c r="C29" s="81">
        <f>[26]Vendedor14!$K$4</f>
        <v>58812</v>
      </c>
      <c r="D29" s="82">
        <f>[26]Vendedor14!$L$4</f>
        <v>446250</v>
      </c>
      <c r="E29" s="14">
        <f>[26]Vendedor14!$J$5</f>
        <v>442750</v>
      </c>
      <c r="F29" s="81">
        <f>[26]Vendedor14!$K$5</f>
        <v>53130</v>
      </c>
      <c r="G29" s="85">
        <f>[26]Vendedor14!$L$5</f>
        <v>365500</v>
      </c>
      <c r="H29" s="19">
        <f>[26]Vendedor14!$J$6</f>
        <v>101750</v>
      </c>
      <c r="I29" s="15">
        <f>[26]Vendedor14!$K$6</f>
        <v>10175</v>
      </c>
      <c r="J29" s="17">
        <f>[26]Vendedor14!$L$6</f>
        <v>0</v>
      </c>
      <c r="K29" s="18">
        <f>[26]Vendedor14!$J$7</f>
        <v>91950</v>
      </c>
      <c r="L29" s="15">
        <f>[26]Vendedor14!$K$7</f>
        <v>11034</v>
      </c>
      <c r="M29" s="16">
        <f>[26]Vendedor14!$L$7</f>
        <v>153000</v>
      </c>
      <c r="N29" s="19">
        <f>[26]Vendedor14!$J$8</f>
        <v>74500</v>
      </c>
      <c r="O29" s="15">
        <f>[26]Vendedor14!$K$8</f>
        <v>8940</v>
      </c>
      <c r="P29" s="17">
        <f>[26]Vendedor14!$L$8</f>
        <v>17000</v>
      </c>
      <c r="Q29" s="19">
        <f>[26]Vendedor14!$J$10</f>
        <v>0</v>
      </c>
      <c r="R29" s="15">
        <f>[26]Vendedor14!$K$10</f>
        <v>0</v>
      </c>
      <c r="S29" s="17">
        <f>[26]Vendedor14!$L$10</f>
        <v>0</v>
      </c>
      <c r="T29" s="18">
        <f t="shared" si="3"/>
        <v>1201050</v>
      </c>
      <c r="U29" s="15">
        <f t="shared" si="1"/>
        <v>142091</v>
      </c>
      <c r="V29" s="15">
        <f t="shared" si="2"/>
        <v>981750</v>
      </c>
      <c r="W29" s="15">
        <v>0</v>
      </c>
      <c r="X29" s="17">
        <f t="shared" si="4"/>
        <v>77209</v>
      </c>
    </row>
    <row r="30" spans="1:24">
      <c r="A30" s="13" t="s">
        <v>39</v>
      </c>
      <c r="B30" s="14">
        <f>[27]Vendedor14!$J$4</f>
        <v>513050</v>
      </c>
      <c r="C30" s="81">
        <f>[27]Vendedor14!$K$4</f>
        <v>61566</v>
      </c>
      <c r="D30" s="82">
        <f>[27]Vendedor14!$L$4</f>
        <v>1007250</v>
      </c>
      <c r="E30" s="14">
        <f>[27]Vendedor14!$J$5</f>
        <v>444450</v>
      </c>
      <c r="F30" s="81">
        <f>[27]Vendedor14!$K$5</f>
        <v>53334</v>
      </c>
      <c r="G30" s="85">
        <f>[27]Vendedor14!$L$5</f>
        <v>403750</v>
      </c>
      <c r="H30" s="19">
        <f>[27]Vendedor14!$J$6</f>
        <v>109000</v>
      </c>
      <c r="I30" s="15">
        <f>[27]Vendedor14!$K$6</f>
        <v>10900</v>
      </c>
      <c r="J30" s="17">
        <f>[27]Vendedor14!$L$6</f>
        <v>0</v>
      </c>
      <c r="K30" s="18">
        <f>[27]Vendedor14!$J$7</f>
        <v>110700</v>
      </c>
      <c r="L30" s="15">
        <f>[27]Vendedor14!$K$7</f>
        <v>13284</v>
      </c>
      <c r="M30" s="16">
        <f>[27]Vendedor14!$L$7</f>
        <v>80750</v>
      </c>
      <c r="N30" s="19">
        <f>[27]Vendedor14!$J$8</f>
        <v>73800</v>
      </c>
      <c r="O30" s="15">
        <f>[27]Vendedor14!$K$8</f>
        <v>8856</v>
      </c>
      <c r="P30" s="17">
        <f>[27]Vendedor14!$L$8</f>
        <v>59500</v>
      </c>
      <c r="Q30" s="19">
        <f>[27]Vendedor14!$J$10</f>
        <v>0</v>
      </c>
      <c r="R30" s="15">
        <f>[27]Vendedor14!$K$10</f>
        <v>0</v>
      </c>
      <c r="S30" s="17">
        <f>[27]Vendedor14!$L$10</f>
        <v>0</v>
      </c>
      <c r="T30" s="18">
        <f t="shared" si="3"/>
        <v>1251000</v>
      </c>
      <c r="U30" s="15">
        <f t="shared" si="1"/>
        <v>147940</v>
      </c>
      <c r="V30" s="15">
        <f t="shared" si="2"/>
        <v>1551250</v>
      </c>
      <c r="W30" s="15">
        <v>0</v>
      </c>
      <c r="X30" s="17">
        <f t="shared" si="4"/>
        <v>-448190</v>
      </c>
    </row>
    <row r="31" spans="1:24">
      <c r="A31" s="20" t="s">
        <v>40</v>
      </c>
      <c r="B31" s="14">
        <f>[28]Vendedor14!$J$4</f>
        <v>584250</v>
      </c>
      <c r="C31" s="81">
        <f>[28]Vendedor14!$K$4</f>
        <v>70110</v>
      </c>
      <c r="D31" s="82">
        <f>[28]Vendedor14!$L$4</f>
        <v>637500</v>
      </c>
      <c r="E31" s="14">
        <f>[28]Vendedor14!$J$5</f>
        <v>507000</v>
      </c>
      <c r="F31" s="81">
        <f>[28]Vendedor14!$K$5</f>
        <v>60840</v>
      </c>
      <c r="G31" s="85">
        <f>[28]Vendedor14!$L$5</f>
        <v>340000</v>
      </c>
      <c r="H31" s="19">
        <f>[28]Vendedor14!$J$6</f>
        <v>158850</v>
      </c>
      <c r="I31" s="15">
        <f>[28]Vendedor14!$K$6</f>
        <v>15885</v>
      </c>
      <c r="J31" s="17">
        <f>[28]Vendedor14!$L$6</f>
        <v>610000</v>
      </c>
      <c r="K31" s="18">
        <f>[28]Vendedor14!$J$7</f>
        <v>81250</v>
      </c>
      <c r="L31" s="15">
        <f>[28]Vendedor14!$K$7</f>
        <v>9750</v>
      </c>
      <c r="M31" s="16">
        <f>[28]Vendedor14!$L$7</f>
        <v>51000</v>
      </c>
      <c r="N31" s="19">
        <f>[28]Vendedor14!$J$8</f>
        <v>120600</v>
      </c>
      <c r="O31" s="15">
        <f>[28]Vendedor14!$K$8</f>
        <v>14472</v>
      </c>
      <c r="P31" s="17">
        <f>[28]Vendedor14!$L$8</f>
        <v>119000</v>
      </c>
      <c r="Q31" s="19">
        <f>[28]Vendedor14!$J$10</f>
        <v>0</v>
      </c>
      <c r="R31" s="15">
        <f>[28]Vendedor14!$K$10</f>
        <v>0</v>
      </c>
      <c r="S31" s="17">
        <f>[28]Vendedor14!$L$10</f>
        <v>0</v>
      </c>
      <c r="T31" s="18">
        <f t="shared" si="3"/>
        <v>1451950</v>
      </c>
      <c r="U31" s="15">
        <f t="shared" si="1"/>
        <v>171057</v>
      </c>
      <c r="V31" s="15">
        <f t="shared" si="2"/>
        <v>1757500</v>
      </c>
      <c r="W31" s="15">
        <v>0</v>
      </c>
      <c r="X31" s="17">
        <f t="shared" si="4"/>
        <v>-476607</v>
      </c>
    </row>
    <row r="32" spans="1:24">
      <c r="A32" s="20" t="s">
        <v>41</v>
      </c>
      <c r="B32" s="14">
        <f>[29]Vendedor14!$J$4</f>
        <v>544550</v>
      </c>
      <c r="C32" s="81">
        <f>[29]Vendedor14!$K$4</f>
        <v>65346</v>
      </c>
      <c r="D32" s="82">
        <f>[29]Vendedor14!$L$4</f>
        <v>624750</v>
      </c>
      <c r="E32" s="14">
        <f>[29]Vendedor14!$J$5</f>
        <v>479450</v>
      </c>
      <c r="F32" s="81">
        <f>[29]Vendedor14!$K$5</f>
        <v>57534</v>
      </c>
      <c r="G32" s="85">
        <f>[29]Vendedor14!$L$5</f>
        <v>446250</v>
      </c>
      <c r="H32" s="19">
        <f>[29]Vendedor14!$J$6</f>
        <v>113500</v>
      </c>
      <c r="I32" s="15">
        <f>[29]Vendedor14!$K$6</f>
        <v>11350</v>
      </c>
      <c r="J32" s="17">
        <f>[29]Vendedor14!$L$6</f>
        <v>10000</v>
      </c>
      <c r="K32" s="18">
        <f>[29]Vendedor14!$J$7</f>
        <v>148650</v>
      </c>
      <c r="L32" s="15">
        <f>[29]Vendedor14!$K$7</f>
        <v>17838</v>
      </c>
      <c r="M32" s="16">
        <f>[29]Vendedor14!$L$7</f>
        <v>102000</v>
      </c>
      <c r="N32" s="19">
        <f>[29]Vendedor14!$J$8</f>
        <v>104300</v>
      </c>
      <c r="O32" s="15">
        <f>[29]Vendedor14!$K$8</f>
        <v>12516</v>
      </c>
      <c r="P32" s="17">
        <f>[29]Vendedor14!$L$8</f>
        <v>25500</v>
      </c>
      <c r="Q32" s="19">
        <f>[29]Vendedor14!$J$10</f>
        <v>0</v>
      </c>
      <c r="R32" s="15">
        <f>[29]Vendedor14!$K$10</f>
        <v>0</v>
      </c>
      <c r="S32" s="17">
        <f>[29]Vendedor14!$L$10</f>
        <v>0</v>
      </c>
      <c r="T32" s="18">
        <f t="shared" si="3"/>
        <v>1390450</v>
      </c>
      <c r="U32" s="15">
        <f t="shared" si="1"/>
        <v>164584</v>
      </c>
      <c r="V32" s="15">
        <f t="shared" si="2"/>
        <v>1208500</v>
      </c>
      <c r="W32" s="15">
        <v>0</v>
      </c>
      <c r="X32" s="17">
        <f t="shared" si="4"/>
        <v>17366</v>
      </c>
    </row>
    <row r="33" spans="1:24">
      <c r="A33" s="13" t="s">
        <v>42</v>
      </c>
      <c r="B33" s="14">
        <f>[30]Vendedor14!$J$4</f>
        <v>482700</v>
      </c>
      <c r="C33" s="81">
        <f>[30]Vendedor14!$K$4</f>
        <v>57924</v>
      </c>
      <c r="D33" s="82">
        <f>[30]Vendedor14!$L$4</f>
        <v>221000</v>
      </c>
      <c r="E33" s="14">
        <f>[30]Vendedor14!$J$5</f>
        <v>406600</v>
      </c>
      <c r="F33" s="81">
        <f>[30]Vendedor14!$K$5</f>
        <v>48792</v>
      </c>
      <c r="G33" s="85">
        <f>[30]Vendedor14!$L$5</f>
        <v>756500</v>
      </c>
      <c r="H33" s="19">
        <f>[30]Vendedor14!$J$6</f>
        <v>67250</v>
      </c>
      <c r="I33" s="15">
        <f>[30]Vendedor14!$K$6</f>
        <v>6725</v>
      </c>
      <c r="J33" s="17">
        <f>[30]Vendedor14!$L$6</f>
        <v>0</v>
      </c>
      <c r="K33" s="18">
        <f>[30]Vendedor14!$J$7</f>
        <v>93350</v>
      </c>
      <c r="L33" s="15">
        <f>[30]Vendedor14!$K$7</f>
        <v>11202</v>
      </c>
      <c r="M33" s="16">
        <f>[30]Vendedor14!$L$7</f>
        <v>119000</v>
      </c>
      <c r="N33" s="19">
        <f>[30]Vendedor14!$J$8</f>
        <v>82150</v>
      </c>
      <c r="O33" s="15">
        <f>[30]Vendedor14!$K$8</f>
        <v>9858</v>
      </c>
      <c r="P33" s="17">
        <f>[30]Vendedor14!$L$8</f>
        <v>34000</v>
      </c>
      <c r="Q33" s="19">
        <f>[30]Vendedor14!$J$10</f>
        <v>0</v>
      </c>
      <c r="R33" s="15">
        <f>[30]Vendedor14!$K$10</f>
        <v>0</v>
      </c>
      <c r="S33" s="17">
        <f>[30]Vendedor14!$L$10</f>
        <v>0</v>
      </c>
      <c r="T33" s="18">
        <f t="shared" si="3"/>
        <v>1132050</v>
      </c>
      <c r="U33" s="15">
        <f t="shared" si="1"/>
        <v>134501</v>
      </c>
      <c r="V33" s="15">
        <f t="shared" si="2"/>
        <v>1130500</v>
      </c>
      <c r="W33" s="15">
        <v>0</v>
      </c>
      <c r="X33" s="17">
        <f t="shared" si="4"/>
        <v>-132951</v>
      </c>
    </row>
    <row r="34" spans="1:24">
      <c r="A34" s="20" t="s">
        <v>43</v>
      </c>
      <c r="B34" s="14">
        <f>[31]Vendedor14!$J$4</f>
        <v>541350</v>
      </c>
      <c r="C34" s="81">
        <f>[31]Vendedor14!$K$4</f>
        <v>64962</v>
      </c>
      <c r="D34" s="82">
        <f>[31]Vendedor14!$L$4</f>
        <v>301750</v>
      </c>
      <c r="E34" s="14">
        <f>[31]Vendedor14!$J$5</f>
        <v>486100</v>
      </c>
      <c r="F34" s="81">
        <f>[31]Vendedor14!$K$5</f>
        <v>58332</v>
      </c>
      <c r="G34" s="85">
        <f>[31]Vendedor14!$L$5</f>
        <v>136000</v>
      </c>
      <c r="H34" s="19">
        <f>[31]Vendedor14!$J$6</f>
        <v>80650</v>
      </c>
      <c r="I34" s="15">
        <f>[31]Vendedor14!$K$6</f>
        <v>8065</v>
      </c>
      <c r="J34" s="17">
        <f>[31]Vendedor14!$L$6</f>
        <v>120000</v>
      </c>
      <c r="K34" s="18">
        <f>[31]Vendedor14!$J$7</f>
        <v>119450</v>
      </c>
      <c r="L34" s="15">
        <f>[31]Vendedor14!$K$7</f>
        <v>14334</v>
      </c>
      <c r="M34" s="16">
        <f>[31]Vendedor14!$L$7</f>
        <v>293250</v>
      </c>
      <c r="N34" s="19">
        <f>[31]Vendedor14!$J$8</f>
        <v>69000</v>
      </c>
      <c r="O34" s="15">
        <f>[31]Vendedor14!$K$8</f>
        <v>8280</v>
      </c>
      <c r="P34" s="17">
        <f>[31]Vendedor14!$L$8</f>
        <v>17000</v>
      </c>
      <c r="Q34" s="19">
        <f>[31]Vendedor14!$J$10</f>
        <v>0</v>
      </c>
      <c r="R34" s="15">
        <f>[31]Vendedor14!$K$10</f>
        <v>0</v>
      </c>
      <c r="S34" s="17">
        <f>[31]Vendedor14!$L$10</f>
        <v>0</v>
      </c>
      <c r="T34" s="18">
        <f t="shared" si="3"/>
        <v>1296550</v>
      </c>
      <c r="U34" s="15">
        <f t="shared" si="1"/>
        <v>153973</v>
      </c>
      <c r="V34" s="15">
        <f t="shared" si="2"/>
        <v>868000</v>
      </c>
      <c r="W34" s="15">
        <v>0</v>
      </c>
      <c r="X34" s="17">
        <f t="shared" si="4"/>
        <v>274577</v>
      </c>
    </row>
    <row r="35" spans="1:24">
      <c r="A35" s="13" t="s">
        <v>44</v>
      </c>
      <c r="B35" s="14">
        <f>[1]Vendedor14!$J$4</f>
        <v>475750</v>
      </c>
      <c r="C35" s="81">
        <f>[1]Vendedor14!$K$4</f>
        <v>57090</v>
      </c>
      <c r="D35" s="82">
        <f>[1]Vendedor14!$L$4</f>
        <v>318750</v>
      </c>
      <c r="E35" s="14">
        <f>[1]Vendedor14!$J$5</f>
        <v>459900</v>
      </c>
      <c r="F35" s="81">
        <f>[1]Vendedor14!$K$5</f>
        <v>55188</v>
      </c>
      <c r="G35" s="85">
        <f>[1]Vendedor14!$L$5</f>
        <v>344250</v>
      </c>
      <c r="H35" s="19">
        <f>[1]Vendedor14!$J$6</f>
        <v>83500</v>
      </c>
      <c r="I35" s="15">
        <f>[1]Vendedor14!$K$6</f>
        <v>8350</v>
      </c>
      <c r="J35" s="17">
        <f>[1]Vendedor14!$L$6</f>
        <v>0</v>
      </c>
      <c r="K35" s="18">
        <f>[1]Vendedor14!$J$7</f>
        <v>116400</v>
      </c>
      <c r="L35" s="15">
        <f>[1]Vendedor14!$K$7</f>
        <v>13968</v>
      </c>
      <c r="M35" s="16">
        <f>[1]Vendedor14!$L$7</f>
        <v>17000</v>
      </c>
      <c r="N35" s="19">
        <f>[1]Vendedor14!$J$8</f>
        <v>74350</v>
      </c>
      <c r="O35" s="15">
        <f>[1]Vendedor14!$K$8</f>
        <v>8922</v>
      </c>
      <c r="P35" s="17">
        <f>[1]Vendedor14!$L$8</f>
        <v>38250</v>
      </c>
      <c r="Q35" s="19">
        <f>[1]Vendedor14!$J$10</f>
        <v>0</v>
      </c>
      <c r="R35" s="15">
        <f>[1]Vendedor14!$K$10</f>
        <v>0</v>
      </c>
      <c r="S35" s="17">
        <f>[1]Vendedor14!$L$10</f>
        <v>0</v>
      </c>
      <c r="T35" s="18">
        <f t="shared" si="3"/>
        <v>1209900</v>
      </c>
      <c r="U35" s="15">
        <f t="shared" si="1"/>
        <v>143518</v>
      </c>
      <c r="V35" s="15">
        <f t="shared" si="2"/>
        <v>718250</v>
      </c>
      <c r="W35" s="15">
        <v>0</v>
      </c>
      <c r="X35" s="17">
        <f t="shared" si="4"/>
        <v>348132</v>
      </c>
    </row>
    <row r="36" spans="1:24" ht="15.75" thickBot="1">
      <c r="A36" s="20" t="s">
        <v>45</v>
      </c>
      <c r="B36" s="21">
        <f>[2]Vendedor14!$J$4</f>
        <v>575350</v>
      </c>
      <c r="C36" s="83">
        <f>[2]Vendedor14!$K$4</f>
        <v>69042</v>
      </c>
      <c r="D36" s="84">
        <f>[2]Vendedor14!$L$4</f>
        <v>629000</v>
      </c>
      <c r="E36" s="21">
        <f>[2]Vendedor14!$J$5</f>
        <v>586600</v>
      </c>
      <c r="F36" s="83">
        <f>[2]Vendedor14!$K$5</f>
        <v>70392</v>
      </c>
      <c r="G36" s="86">
        <f>[2]Vendedor14!$L$5</f>
        <v>446250</v>
      </c>
      <c r="H36" s="26">
        <f>[2]Vendedor14!$J$6</f>
        <v>88550</v>
      </c>
      <c r="I36" s="22">
        <f>[2]Vendedor14!$K$6</f>
        <v>8855</v>
      </c>
      <c r="J36" s="24">
        <f>[2]Vendedor14!$L$6</f>
        <v>0</v>
      </c>
      <c r="K36" s="25">
        <f>[2]Vendedor14!$J$7</f>
        <v>109100</v>
      </c>
      <c r="L36" s="22">
        <f>[2]Vendedor14!$K$7</f>
        <v>13092</v>
      </c>
      <c r="M36" s="23">
        <f>[2]Vendedor14!$L$7</f>
        <v>93500</v>
      </c>
      <c r="N36" s="26">
        <f>[2]Vendedor14!$J$8</f>
        <v>74300</v>
      </c>
      <c r="O36" s="22">
        <f>[2]Vendedor14!$K$8</f>
        <v>8916</v>
      </c>
      <c r="P36" s="24">
        <f>[2]Vendedor14!$L$8</f>
        <v>89250</v>
      </c>
      <c r="Q36" s="26">
        <f>[2]Vendedor14!$J$10</f>
        <v>0</v>
      </c>
      <c r="R36" s="22">
        <f>[2]Vendedor14!$K$10</f>
        <v>0</v>
      </c>
      <c r="S36" s="24">
        <f>[2]Vendedor14!$L$10</f>
        <v>0</v>
      </c>
      <c r="T36" s="25">
        <f t="shared" si="3"/>
        <v>1433900</v>
      </c>
      <c r="U36" s="22">
        <f t="shared" si="1"/>
        <v>170297</v>
      </c>
      <c r="V36" s="22">
        <f t="shared" si="2"/>
        <v>1258000</v>
      </c>
      <c r="W36" s="22">
        <v>0</v>
      </c>
      <c r="X36" s="24">
        <f t="shared" si="4"/>
        <v>5603</v>
      </c>
    </row>
    <row r="37" spans="1:24" ht="16.5" thickBot="1">
      <c r="A37" s="5" t="s">
        <v>46</v>
      </c>
      <c r="B37" s="27">
        <f t="shared" ref="B37:J37" si="5">SUM(B6:B36)</f>
        <v>14742600</v>
      </c>
      <c r="C37" s="28">
        <f t="shared" si="5"/>
        <v>1769112</v>
      </c>
      <c r="D37" s="29">
        <f t="shared" si="5"/>
        <v>15818500</v>
      </c>
      <c r="E37" s="30">
        <f t="shared" si="5"/>
        <v>14381550</v>
      </c>
      <c r="F37" s="28">
        <f t="shared" si="5"/>
        <v>1725786</v>
      </c>
      <c r="G37" s="31">
        <f t="shared" si="5"/>
        <v>11084000</v>
      </c>
      <c r="H37" s="27">
        <f t="shared" si="5"/>
        <v>2548100</v>
      </c>
      <c r="I37" s="28">
        <f t="shared" si="5"/>
        <v>254810</v>
      </c>
      <c r="J37" s="29">
        <f t="shared" si="5"/>
        <v>3310000</v>
      </c>
      <c r="K37" s="77">
        <f t="shared" ref="K37:M37" si="6">SUM(K6:K36)</f>
        <v>3602800</v>
      </c>
      <c r="L37" s="32">
        <f t="shared" si="6"/>
        <v>432336</v>
      </c>
      <c r="M37" s="78">
        <f t="shared" si="6"/>
        <v>3676250</v>
      </c>
      <c r="N37" s="77">
        <f t="shared" ref="N37:P37" si="7">SUM(N6:N36)</f>
        <v>2762450</v>
      </c>
      <c r="O37" s="32">
        <f t="shared" si="7"/>
        <v>331494</v>
      </c>
      <c r="P37" s="78">
        <f t="shared" si="7"/>
        <v>1984750</v>
      </c>
      <c r="Q37" s="77">
        <f t="shared" ref="Q37:S37" si="8">SUM(Q6:Q36)</f>
        <v>5100</v>
      </c>
      <c r="R37" s="32">
        <f t="shared" si="8"/>
        <v>612</v>
      </c>
      <c r="S37" s="78">
        <f t="shared" si="8"/>
        <v>0</v>
      </c>
      <c r="T37" s="60">
        <f>SUM(T6:T36)</f>
        <v>38042600</v>
      </c>
      <c r="U37" s="32">
        <f>SUM(U6:U36)</f>
        <v>4514150</v>
      </c>
      <c r="V37" s="32">
        <f>SUM(V6:V36)</f>
        <v>35873500</v>
      </c>
      <c r="W37" s="32">
        <f>SUM(W5:W36)</f>
        <v>0</v>
      </c>
      <c r="X37" s="33">
        <f>SUM(X5:X36)</f>
        <v>-2345050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S37"/>
  <sheetViews>
    <sheetView showGridLines="0" topLeftCell="K7" zoomScale="90" zoomScaleNormal="90" workbookViewId="0">
      <selection activeCell="X18" sqref="X18"/>
    </sheetView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7109375" style="1" bestFit="1" customWidth="1"/>
    <col min="4" max="4" width="11.140625" style="1" customWidth="1"/>
    <col min="5" max="5" width="11.85546875" style="1" customWidth="1"/>
    <col min="6" max="6" width="10.85546875" style="1" customWidth="1"/>
    <col min="7" max="19" width="11.85546875" style="1" customWidth="1"/>
    <col min="20" max="22" width="12.85546875" style="1" customWidth="1"/>
    <col min="23" max="23" width="11.85546875" style="1" customWidth="1"/>
    <col min="24" max="24" width="11.7109375" style="1" bestFit="1" customWidth="1"/>
    <col min="25" max="25" width="5.5703125" style="1" customWidth="1"/>
    <col min="26" max="26" width="11.42578125" style="1" customWidth="1"/>
    <col min="27" max="27" width="12.5703125" style="1" customWidth="1"/>
    <col min="28" max="1033" width="11.42578125" style="1"/>
  </cols>
  <sheetData>
    <row r="1" spans="1:24" ht="15.75" thickBot="1">
      <c r="I1" s="136" t="s">
        <v>0</v>
      </c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8"/>
    </row>
    <row r="2" spans="1:24" ht="19.5" thickBot="1">
      <c r="A2" s="2" t="s">
        <v>1</v>
      </c>
      <c r="B2" s="135" t="s">
        <v>85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88</v>
      </c>
      <c r="P2" s="4">
        <v>0.12</v>
      </c>
      <c r="Q2" s="3" t="s">
        <v>101</v>
      </c>
      <c r="R2" s="4">
        <v>0.12</v>
      </c>
      <c r="S2" s="3" t="s">
        <v>103</v>
      </c>
      <c r="T2" s="4">
        <v>0.12</v>
      </c>
    </row>
    <row r="3" spans="1:24" ht="15.75" thickBot="1"/>
    <row r="4" spans="1:24" ht="30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89</v>
      </c>
      <c r="L4" s="7" t="s">
        <v>90</v>
      </c>
      <c r="M4" s="10" t="s">
        <v>91</v>
      </c>
      <c r="N4" s="9" t="s">
        <v>96</v>
      </c>
      <c r="O4" s="7" t="s">
        <v>95</v>
      </c>
      <c r="P4" s="10" t="s">
        <v>97</v>
      </c>
      <c r="Q4" s="9" t="s">
        <v>92</v>
      </c>
      <c r="R4" s="7" t="s">
        <v>93</v>
      </c>
      <c r="S4" s="10" t="s">
        <v>94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>
      <c r="A6" s="20" t="s">
        <v>49</v>
      </c>
      <c r="B6" s="53">
        <f>[3]Vendedor15!$J$4</f>
        <v>141600</v>
      </c>
      <c r="C6" s="87">
        <f>[3]Vendedor15!$K$4</f>
        <v>16992</v>
      </c>
      <c r="D6" s="88">
        <f>[3]Vendedor15!$L$4</f>
        <v>12750</v>
      </c>
      <c r="E6" s="53">
        <f>[3]Vendedor15!$J$5</f>
        <v>139650</v>
      </c>
      <c r="F6" s="87">
        <f>[3]Vendedor15!$K$5</f>
        <v>16758</v>
      </c>
      <c r="G6" s="89">
        <f>[3]Vendedor15!$L$5</f>
        <v>131750</v>
      </c>
      <c r="H6" s="59">
        <f>[3]Vendedor15!$J$6</f>
        <v>54050</v>
      </c>
      <c r="I6" s="58">
        <f>[3]Vendedor15!$K$6</f>
        <v>5405</v>
      </c>
      <c r="J6" s="55">
        <f>[3]Vendedor15!$L$6</f>
        <v>0</v>
      </c>
      <c r="K6" s="61">
        <f>[3]Vendedor15!$J$7</f>
        <v>90400</v>
      </c>
      <c r="L6" s="58">
        <f>[3]Vendedor15!$K$7</f>
        <v>10848</v>
      </c>
      <c r="M6" s="54">
        <f>[3]Vendedor15!$L$7</f>
        <v>106250</v>
      </c>
      <c r="N6" s="59">
        <f>[3]Vendedor15!$J$8</f>
        <v>38100</v>
      </c>
      <c r="O6" s="58">
        <f>[3]Vendedor15!$K$8</f>
        <v>4572</v>
      </c>
      <c r="P6" s="55">
        <f>[3]Vendedor15!$L$8</f>
        <v>0</v>
      </c>
      <c r="Q6" s="59">
        <f>[3]Vendedor15!$J$10</f>
        <v>0</v>
      </c>
      <c r="R6" s="58">
        <f>[3]Vendedor15!$K$10</f>
        <v>0</v>
      </c>
      <c r="S6" s="55">
        <f>[3]Vendedor15!$L$10</f>
        <v>0</v>
      </c>
      <c r="T6" s="61">
        <f t="shared" ref="T6:T24" si="1">+B6+E6+H6+K6+N6+Q6</f>
        <v>463800</v>
      </c>
      <c r="U6" s="58">
        <f t="shared" ref="U6:U36" si="2">+C6+F6+I6+L6+O6+R6</f>
        <v>54575</v>
      </c>
      <c r="V6" s="58">
        <f t="shared" ref="V6:V36" si="3">+D6+G6+J6+M6+P6+S6</f>
        <v>250750</v>
      </c>
      <c r="W6" s="58">
        <v>0</v>
      </c>
      <c r="X6" s="55">
        <f t="shared" ref="X6:X36" si="4">+T6-U6-V6+W6</f>
        <v>158475</v>
      </c>
    </row>
    <row r="7" spans="1:24">
      <c r="A7" s="13" t="s">
        <v>50</v>
      </c>
      <c r="B7" s="14">
        <f>[4]Vendedor15!$J$4</f>
        <v>110050</v>
      </c>
      <c r="C7" s="81">
        <f>[4]Vendedor15!$K$4</f>
        <v>13206</v>
      </c>
      <c r="D7" s="82">
        <f>[4]Vendedor15!$L$4</f>
        <v>29750</v>
      </c>
      <c r="E7" s="14">
        <f>[4]Vendedor15!$J$5</f>
        <v>113400</v>
      </c>
      <c r="F7" s="81">
        <f>[4]Vendedor15!$K$5</f>
        <v>13608</v>
      </c>
      <c r="G7" s="85">
        <f>[4]Vendedor15!$L$5</f>
        <v>8500</v>
      </c>
      <c r="H7" s="19">
        <f>[4]Vendedor15!$J$6</f>
        <v>36850</v>
      </c>
      <c r="I7" s="15">
        <f>[4]Vendedor15!$K$6</f>
        <v>3685</v>
      </c>
      <c r="J7" s="17">
        <f>[4]Vendedor15!$L$6</f>
        <v>20000</v>
      </c>
      <c r="K7" s="18">
        <f>[4]Vendedor15!$J$7</f>
        <v>69650</v>
      </c>
      <c r="L7" s="15">
        <f>[4]Vendedor15!$K$7</f>
        <v>8358</v>
      </c>
      <c r="M7" s="16">
        <f>[4]Vendedor15!$L$7</f>
        <v>76500</v>
      </c>
      <c r="N7" s="19">
        <f>[4]Vendedor15!$J$8</f>
        <v>21550</v>
      </c>
      <c r="O7" s="15">
        <f>[4]Vendedor15!$K$8</f>
        <v>2586</v>
      </c>
      <c r="P7" s="17">
        <f>[4]Vendedor15!$L$8</f>
        <v>0</v>
      </c>
      <c r="Q7" s="19">
        <f>[4]Vendedor15!$J$10</f>
        <v>0</v>
      </c>
      <c r="R7" s="15">
        <f>[4]Vendedor15!$K$10</f>
        <v>0</v>
      </c>
      <c r="S7" s="17">
        <f>[4]Vendedor15!$L$10</f>
        <v>0</v>
      </c>
      <c r="T7" s="18">
        <f t="shared" si="1"/>
        <v>351500</v>
      </c>
      <c r="U7" s="15">
        <f t="shared" si="2"/>
        <v>41443</v>
      </c>
      <c r="V7" s="15">
        <f t="shared" si="3"/>
        <v>134750</v>
      </c>
      <c r="W7" s="15">
        <v>0</v>
      </c>
      <c r="X7" s="17">
        <f t="shared" si="4"/>
        <v>175307</v>
      </c>
    </row>
    <row r="8" spans="1:24">
      <c r="A8" s="20" t="s">
        <v>51</v>
      </c>
      <c r="B8" s="14">
        <f>[5]Vendedor15!$J$4</f>
        <v>157400</v>
      </c>
      <c r="C8" s="81">
        <f>[5]Vendedor15!$K$4</f>
        <v>18888</v>
      </c>
      <c r="D8" s="82">
        <f>[5]Vendedor15!$L$4</f>
        <v>106250</v>
      </c>
      <c r="E8" s="14">
        <f>[5]Vendedor15!$J$5</f>
        <v>121350</v>
      </c>
      <c r="F8" s="81">
        <f>[5]Vendedor15!$K$5</f>
        <v>14562</v>
      </c>
      <c r="G8" s="85">
        <f>[5]Vendedor15!$L$5</f>
        <v>161500</v>
      </c>
      <c r="H8" s="19">
        <f>[5]Vendedor15!$J$6</f>
        <v>37200</v>
      </c>
      <c r="I8" s="15">
        <f>[5]Vendedor15!$K$6</f>
        <v>3720</v>
      </c>
      <c r="J8" s="17">
        <f>[5]Vendedor15!$L$6</f>
        <v>40000</v>
      </c>
      <c r="K8" s="18">
        <f>[5]Vendedor15!$J$7</f>
        <v>69400</v>
      </c>
      <c r="L8" s="15">
        <f>[5]Vendedor15!$K$7</f>
        <v>8328</v>
      </c>
      <c r="M8" s="16">
        <f>[5]Vendedor15!$L$7</f>
        <v>12750</v>
      </c>
      <c r="N8" s="19">
        <f>[5]Vendedor15!$J$8</f>
        <v>23300</v>
      </c>
      <c r="O8" s="15">
        <f>[5]Vendedor15!$K$8</f>
        <v>2796</v>
      </c>
      <c r="P8" s="17">
        <f>[5]Vendedor15!$L$8</f>
        <v>17000</v>
      </c>
      <c r="Q8" s="19">
        <f>[5]Vendedor15!$J$10</f>
        <v>0</v>
      </c>
      <c r="R8" s="15">
        <f>[5]Vendedor15!$K$10</f>
        <v>0</v>
      </c>
      <c r="S8" s="17">
        <f>[5]Vendedor15!$L$10</f>
        <v>0</v>
      </c>
      <c r="T8" s="18">
        <f t="shared" si="1"/>
        <v>408650</v>
      </c>
      <c r="U8" s="15">
        <f t="shared" si="2"/>
        <v>48294</v>
      </c>
      <c r="V8" s="15">
        <f t="shared" si="3"/>
        <v>337500</v>
      </c>
      <c r="W8" s="15">
        <v>0</v>
      </c>
      <c r="X8" s="17">
        <f t="shared" si="4"/>
        <v>22856</v>
      </c>
    </row>
    <row r="9" spans="1:24">
      <c r="A9" s="13" t="s">
        <v>52</v>
      </c>
      <c r="B9" s="14">
        <f>[6]Vendedor15!$J$4</f>
        <v>153200</v>
      </c>
      <c r="C9" s="81">
        <f>[6]Vendedor15!$K$4</f>
        <v>18384</v>
      </c>
      <c r="D9" s="82">
        <f>[6]Vendedor15!$L$4</f>
        <v>38250</v>
      </c>
      <c r="E9" s="14">
        <f>[6]Vendedor15!$J$5</f>
        <v>99300</v>
      </c>
      <c r="F9" s="81">
        <f>[6]Vendedor15!$K$5</f>
        <v>11916</v>
      </c>
      <c r="G9" s="85">
        <f>[6]Vendedor15!$L$5</f>
        <v>80750</v>
      </c>
      <c r="H9" s="19">
        <f>[6]Vendedor15!$J$6</f>
        <v>42900</v>
      </c>
      <c r="I9" s="15">
        <f>[6]Vendedor15!$K$6</f>
        <v>4290</v>
      </c>
      <c r="J9" s="17">
        <f>[6]Vendedor15!$L$6</f>
        <v>0</v>
      </c>
      <c r="K9" s="18">
        <f>[6]Vendedor15!$J$7</f>
        <v>59050</v>
      </c>
      <c r="L9" s="15">
        <f>[6]Vendedor15!$K$7</f>
        <v>7086</v>
      </c>
      <c r="M9" s="16">
        <f>[6]Vendedor15!$L$7</f>
        <v>17000</v>
      </c>
      <c r="N9" s="19">
        <f>[6]Vendedor15!$J$8</f>
        <v>7750</v>
      </c>
      <c r="O9" s="15">
        <f>[6]Vendedor15!$K$8</f>
        <v>930</v>
      </c>
      <c r="P9" s="17">
        <f>[6]Vendedor15!$L$8</f>
        <v>8500</v>
      </c>
      <c r="Q9" s="19">
        <f>[6]Vendedor15!$J$10</f>
        <v>0</v>
      </c>
      <c r="R9" s="15">
        <f>[6]Vendedor15!$K$10</f>
        <v>0</v>
      </c>
      <c r="S9" s="17">
        <f>[6]Vendedor15!$L$10</f>
        <v>0</v>
      </c>
      <c r="T9" s="18">
        <f t="shared" si="1"/>
        <v>362200</v>
      </c>
      <c r="U9" s="15">
        <f t="shared" si="2"/>
        <v>42606</v>
      </c>
      <c r="V9" s="15">
        <f t="shared" si="3"/>
        <v>144500</v>
      </c>
      <c r="W9" s="15">
        <v>0</v>
      </c>
      <c r="X9" s="17">
        <f t="shared" si="4"/>
        <v>175094</v>
      </c>
    </row>
    <row r="10" spans="1:24">
      <c r="A10" s="20" t="s">
        <v>53</v>
      </c>
      <c r="B10" s="14">
        <f>[7]Vendedor15!$J$4</f>
        <v>127600</v>
      </c>
      <c r="C10" s="81">
        <f>[7]Vendedor15!$K$4</f>
        <v>15312</v>
      </c>
      <c r="D10" s="82">
        <f>[7]Vendedor15!$L$4</f>
        <v>63750</v>
      </c>
      <c r="E10" s="14">
        <f>[7]Vendedor15!$J$5</f>
        <v>84100</v>
      </c>
      <c r="F10" s="81">
        <f>[7]Vendedor15!$K$5</f>
        <v>10092</v>
      </c>
      <c r="G10" s="85">
        <f>[7]Vendedor15!$L$5</f>
        <v>42500</v>
      </c>
      <c r="H10" s="19">
        <f>[7]Vendedor15!$J$6</f>
        <v>29300</v>
      </c>
      <c r="I10" s="15">
        <f>[7]Vendedor15!$K$6</f>
        <v>2930</v>
      </c>
      <c r="J10" s="17">
        <f>[7]Vendedor15!$L$6</f>
        <v>0</v>
      </c>
      <c r="K10" s="18">
        <f>[7]Vendedor15!$J$7</f>
        <v>48900</v>
      </c>
      <c r="L10" s="15">
        <f>[7]Vendedor15!$K$7</f>
        <v>5868</v>
      </c>
      <c r="M10" s="16">
        <f>[7]Vendedor15!$L$7</f>
        <v>0</v>
      </c>
      <c r="N10" s="19">
        <f>[7]Vendedor15!$J$8</f>
        <v>12350</v>
      </c>
      <c r="O10" s="15">
        <f>[7]Vendedor15!$K$8</f>
        <v>1482</v>
      </c>
      <c r="P10" s="17">
        <f>[7]Vendedor15!$L$8</f>
        <v>25500</v>
      </c>
      <c r="Q10" s="19">
        <f>[7]Vendedor15!$J$10</f>
        <v>0</v>
      </c>
      <c r="R10" s="15">
        <f>[7]Vendedor15!$K$10</f>
        <v>0</v>
      </c>
      <c r="S10" s="17">
        <f>[7]Vendedor15!$L$10</f>
        <v>0</v>
      </c>
      <c r="T10" s="18">
        <f t="shared" si="1"/>
        <v>302250</v>
      </c>
      <c r="U10" s="15">
        <f t="shared" si="2"/>
        <v>35684</v>
      </c>
      <c r="V10" s="15">
        <f t="shared" si="3"/>
        <v>131750</v>
      </c>
      <c r="W10" s="15">
        <v>0</v>
      </c>
      <c r="X10" s="17">
        <f t="shared" si="4"/>
        <v>134816</v>
      </c>
    </row>
    <row r="11" spans="1:24">
      <c r="A11" s="13" t="s">
        <v>20</v>
      </c>
      <c r="B11" s="14">
        <f>[8]Vendedor15!$J$4</f>
        <v>165500</v>
      </c>
      <c r="C11" s="81">
        <f>[8]Vendedor15!$K$4</f>
        <v>19860</v>
      </c>
      <c r="D11" s="82">
        <f>[8]Vendedor15!$L$4</f>
        <v>276250</v>
      </c>
      <c r="E11" s="14">
        <f>[8]Vendedor15!$J$5</f>
        <v>114650</v>
      </c>
      <c r="F11" s="81">
        <f>[8]Vendedor15!$K$5</f>
        <v>13758</v>
      </c>
      <c r="G11" s="85">
        <f>[8]Vendedor15!$L$5</f>
        <v>187000</v>
      </c>
      <c r="H11" s="19">
        <f>[8]Vendedor15!$J$6</f>
        <v>57700</v>
      </c>
      <c r="I11" s="15">
        <f>[8]Vendedor15!$K$6</f>
        <v>5770</v>
      </c>
      <c r="J11" s="17">
        <f>[8]Vendedor15!$L$6</f>
        <v>0</v>
      </c>
      <c r="K11" s="18">
        <f>[8]Vendedor15!$J$7</f>
        <v>50600</v>
      </c>
      <c r="L11" s="15">
        <f>[8]Vendedor15!$K$7</f>
        <v>6072</v>
      </c>
      <c r="M11" s="16">
        <f>[8]Vendedor15!$L$7</f>
        <v>8500</v>
      </c>
      <c r="N11" s="19">
        <f>[8]Vendedor15!$J$8</f>
        <v>11500</v>
      </c>
      <c r="O11" s="15">
        <f>[8]Vendedor15!$K$8</f>
        <v>1380</v>
      </c>
      <c r="P11" s="17">
        <f>[8]Vendedor15!$L$8</f>
        <v>42500</v>
      </c>
      <c r="Q11" s="19">
        <f>[8]Vendedor15!$J$10</f>
        <v>0</v>
      </c>
      <c r="R11" s="15">
        <f>[8]Vendedor15!$K$10</f>
        <v>0</v>
      </c>
      <c r="S11" s="17">
        <f>[8]Vendedor15!$L$10</f>
        <v>0</v>
      </c>
      <c r="T11" s="18">
        <f t="shared" si="1"/>
        <v>399950</v>
      </c>
      <c r="U11" s="15">
        <f t="shared" si="2"/>
        <v>46840</v>
      </c>
      <c r="V11" s="15">
        <f t="shared" si="3"/>
        <v>514250</v>
      </c>
      <c r="W11" s="15">
        <v>0</v>
      </c>
      <c r="X11" s="17">
        <f t="shared" si="4"/>
        <v>-161140</v>
      </c>
    </row>
    <row r="12" spans="1:24">
      <c r="A12" s="20" t="s">
        <v>21</v>
      </c>
      <c r="B12" s="14">
        <f>[9]Vendedor15!$J$4</f>
        <v>160300</v>
      </c>
      <c r="C12" s="81">
        <f>[9]Vendedor15!$K$4</f>
        <v>19236</v>
      </c>
      <c r="D12" s="82">
        <f>[9]Vendedor15!$L$4</f>
        <v>544000</v>
      </c>
      <c r="E12" s="14">
        <f>[9]Vendedor15!$J$5</f>
        <v>115800</v>
      </c>
      <c r="F12" s="81">
        <f>[9]Vendedor15!$K$5</f>
        <v>13896</v>
      </c>
      <c r="G12" s="85">
        <f>[9]Vendedor15!$L$5</f>
        <v>110500</v>
      </c>
      <c r="H12" s="19">
        <f>[9]Vendedor15!$J$6</f>
        <v>42300</v>
      </c>
      <c r="I12" s="15">
        <f>[9]Vendedor15!$K$6</f>
        <v>4230</v>
      </c>
      <c r="J12" s="17">
        <f>[9]Vendedor15!$L$6</f>
        <v>40000</v>
      </c>
      <c r="K12" s="18">
        <f>[9]Vendedor15!$J$7</f>
        <v>56750</v>
      </c>
      <c r="L12" s="15">
        <f>[9]Vendedor15!$K$7</f>
        <v>6810</v>
      </c>
      <c r="M12" s="16">
        <f>[9]Vendedor15!$L$7</f>
        <v>8500</v>
      </c>
      <c r="N12" s="19">
        <f>[9]Vendedor15!$J$8</f>
        <v>3100</v>
      </c>
      <c r="O12" s="15">
        <f>[9]Vendedor15!$K$8</f>
        <v>372</v>
      </c>
      <c r="P12" s="17">
        <f>[9]Vendedor15!$L$8</f>
        <v>0</v>
      </c>
      <c r="Q12" s="19">
        <f>[9]Vendedor15!$J$10</f>
        <v>0</v>
      </c>
      <c r="R12" s="15">
        <f>[9]Vendedor15!$K$10</f>
        <v>0</v>
      </c>
      <c r="S12" s="17">
        <f>[9]Vendedor15!$L$10</f>
        <v>0</v>
      </c>
      <c r="T12" s="18">
        <f t="shared" si="1"/>
        <v>378250</v>
      </c>
      <c r="U12" s="15">
        <f t="shared" si="2"/>
        <v>44544</v>
      </c>
      <c r="V12" s="15">
        <f t="shared" si="3"/>
        <v>703000</v>
      </c>
      <c r="W12" s="15">
        <v>0</v>
      </c>
      <c r="X12" s="17">
        <f t="shared" si="4"/>
        <v>-369294</v>
      </c>
    </row>
    <row r="13" spans="1:24">
      <c r="A13" s="13" t="s">
        <v>22</v>
      </c>
      <c r="B13" s="14">
        <f>[10]Vendedor15!$J$4</f>
        <v>181350</v>
      </c>
      <c r="C13" s="81">
        <f>[10]Vendedor15!$K$4</f>
        <v>21762</v>
      </c>
      <c r="D13" s="82">
        <f>[10]Vendedor15!$L$4</f>
        <v>89250</v>
      </c>
      <c r="E13" s="14">
        <f>[10]Vendedor15!$J$5</f>
        <v>122100</v>
      </c>
      <c r="F13" s="81">
        <f>[10]Vendedor15!$K$5</f>
        <v>14652</v>
      </c>
      <c r="G13" s="85">
        <f>[10]Vendedor15!$L$5</f>
        <v>38250</v>
      </c>
      <c r="H13" s="19">
        <f>[10]Vendedor15!$J$6</f>
        <v>58800</v>
      </c>
      <c r="I13" s="15">
        <f>[10]Vendedor15!$K$6</f>
        <v>5880</v>
      </c>
      <c r="J13" s="17">
        <f>[10]Vendedor15!$L$6</f>
        <v>0</v>
      </c>
      <c r="K13" s="18">
        <f>[10]Vendedor15!$J$7</f>
        <v>69850</v>
      </c>
      <c r="L13" s="15">
        <f>[10]Vendedor15!$K$7</f>
        <v>8382</v>
      </c>
      <c r="M13" s="16">
        <f>[10]Vendedor15!$L$7</f>
        <v>178500</v>
      </c>
      <c r="N13" s="19">
        <f>[10]Vendedor15!$J$8</f>
        <v>28350</v>
      </c>
      <c r="O13" s="15">
        <f>[10]Vendedor15!$K$8</f>
        <v>3402</v>
      </c>
      <c r="P13" s="17">
        <f>[10]Vendedor15!$L$8</f>
        <v>0</v>
      </c>
      <c r="Q13" s="19">
        <f>[10]Vendedor15!$J$10</f>
        <v>1000</v>
      </c>
      <c r="R13" s="15">
        <f>[10]Vendedor15!$K$10</f>
        <v>120</v>
      </c>
      <c r="S13" s="17">
        <f>[10]Vendedor15!$L$10</f>
        <v>0</v>
      </c>
      <c r="T13" s="18">
        <f t="shared" si="1"/>
        <v>461450</v>
      </c>
      <c r="U13" s="15">
        <f t="shared" si="2"/>
        <v>54198</v>
      </c>
      <c r="V13" s="15">
        <f t="shared" si="3"/>
        <v>306000</v>
      </c>
      <c r="W13" s="15">
        <v>0</v>
      </c>
      <c r="X13" s="17">
        <f t="shared" si="4"/>
        <v>101252</v>
      </c>
    </row>
    <row r="14" spans="1:24">
      <c r="A14" s="20" t="s">
        <v>23</v>
      </c>
      <c r="B14" s="14">
        <f>[11]Vendedor15!$J$4</f>
        <v>137850</v>
      </c>
      <c r="C14" s="81">
        <f>[11]Vendedor15!$K$4</f>
        <v>16542</v>
      </c>
      <c r="D14" s="82">
        <f>[11]Vendedor15!$L$4</f>
        <v>114750</v>
      </c>
      <c r="E14" s="14">
        <f>[11]Vendedor15!$J$5</f>
        <v>121900</v>
      </c>
      <c r="F14" s="81">
        <f>[11]Vendedor15!$K$5</f>
        <v>14628</v>
      </c>
      <c r="G14" s="85">
        <f>[11]Vendedor15!$L$5</f>
        <v>170000</v>
      </c>
      <c r="H14" s="19">
        <f>[11]Vendedor15!$J$6</f>
        <v>41100</v>
      </c>
      <c r="I14" s="15">
        <f>[11]Vendedor15!$K$6</f>
        <v>4110</v>
      </c>
      <c r="J14" s="17">
        <f>[11]Vendedor15!$L$6</f>
        <v>0</v>
      </c>
      <c r="K14" s="18">
        <f>[11]Vendedor15!$J$7</f>
        <v>83500</v>
      </c>
      <c r="L14" s="15">
        <f>[11]Vendedor15!$K$7</f>
        <v>10020</v>
      </c>
      <c r="M14" s="16">
        <f>[11]Vendedor15!$L$7</f>
        <v>21250</v>
      </c>
      <c r="N14" s="19">
        <f>[11]Vendedor15!$J$8</f>
        <v>22000</v>
      </c>
      <c r="O14" s="15">
        <f>[11]Vendedor15!$K$8</f>
        <v>2640</v>
      </c>
      <c r="P14" s="17">
        <f>[11]Vendedor15!$L$8</f>
        <v>17000</v>
      </c>
      <c r="Q14" s="19">
        <f>[11]Vendedor15!$J$10</f>
        <v>0</v>
      </c>
      <c r="R14" s="15">
        <f>[11]Vendedor15!$K$10</f>
        <v>0</v>
      </c>
      <c r="S14" s="17">
        <f>[11]Vendedor15!$L$10</f>
        <v>0</v>
      </c>
      <c r="T14" s="18">
        <f t="shared" si="1"/>
        <v>406350</v>
      </c>
      <c r="U14" s="15">
        <f t="shared" si="2"/>
        <v>47940</v>
      </c>
      <c r="V14" s="15">
        <f t="shared" si="3"/>
        <v>323000</v>
      </c>
      <c r="W14" s="15">
        <v>0</v>
      </c>
      <c r="X14" s="17">
        <f t="shared" si="4"/>
        <v>35410</v>
      </c>
    </row>
    <row r="15" spans="1:24">
      <c r="A15" s="13" t="s">
        <v>24</v>
      </c>
      <c r="B15" s="14">
        <f>[12]Vendedor15!$J$4</f>
        <v>142750</v>
      </c>
      <c r="C15" s="81">
        <f>[12]Vendedor15!$K$4</f>
        <v>17130</v>
      </c>
      <c r="D15" s="82">
        <f>[12]Vendedor15!$L$4</f>
        <v>72250</v>
      </c>
      <c r="E15" s="14">
        <f>[12]Vendedor15!$J$5</f>
        <v>91250</v>
      </c>
      <c r="F15" s="81">
        <f>[12]Vendedor15!$K$5</f>
        <v>10950</v>
      </c>
      <c r="G15" s="85">
        <f>[12]Vendedor15!$L$5</f>
        <v>89250</v>
      </c>
      <c r="H15" s="19">
        <f>[12]Vendedor15!$J$6</f>
        <v>47000</v>
      </c>
      <c r="I15" s="15">
        <f>[12]Vendedor15!$K$6</f>
        <v>4700</v>
      </c>
      <c r="J15" s="17">
        <f>[12]Vendedor15!$L$6</f>
        <v>0</v>
      </c>
      <c r="K15" s="18">
        <f>[12]Vendedor15!$J$7</f>
        <v>47050</v>
      </c>
      <c r="L15" s="15">
        <f>[12]Vendedor15!$K$7</f>
        <v>5646</v>
      </c>
      <c r="M15" s="16">
        <f>[12]Vendedor15!$L$7</f>
        <v>8500</v>
      </c>
      <c r="N15" s="19">
        <f>[12]Vendedor15!$J$8</f>
        <v>12550</v>
      </c>
      <c r="O15" s="15">
        <f>[12]Vendedor15!$K$8</f>
        <v>1506</v>
      </c>
      <c r="P15" s="17">
        <f>[12]Vendedor15!$L$8</f>
        <v>12750</v>
      </c>
      <c r="Q15" s="19">
        <f>[12]Vendedor15!$J$10</f>
        <v>0</v>
      </c>
      <c r="R15" s="15">
        <f>[12]Vendedor15!$K$10</f>
        <v>0</v>
      </c>
      <c r="S15" s="17">
        <f>[12]Vendedor15!$L$10</f>
        <v>0</v>
      </c>
      <c r="T15" s="18">
        <f t="shared" si="1"/>
        <v>340600</v>
      </c>
      <c r="U15" s="15">
        <f t="shared" si="2"/>
        <v>39932</v>
      </c>
      <c r="V15" s="15">
        <f t="shared" si="3"/>
        <v>182750</v>
      </c>
      <c r="W15" s="15">
        <v>0</v>
      </c>
      <c r="X15" s="17">
        <f t="shared" si="4"/>
        <v>117918</v>
      </c>
    </row>
    <row r="16" spans="1:24">
      <c r="A16" s="20" t="s">
        <v>25</v>
      </c>
      <c r="B16" s="14">
        <f>[13]Vendedor15!$J$4</f>
        <v>131350</v>
      </c>
      <c r="C16" s="81">
        <f>[13]Vendedor15!$K$4</f>
        <v>15762</v>
      </c>
      <c r="D16" s="82">
        <f>[13]Vendedor15!$L$4</f>
        <v>110500</v>
      </c>
      <c r="E16" s="14">
        <f>[13]Vendedor15!$J$5</f>
        <v>125900</v>
      </c>
      <c r="F16" s="81">
        <f>[13]Vendedor15!$K$5</f>
        <v>15108</v>
      </c>
      <c r="G16" s="85">
        <f>[13]Vendedor15!$L$5</f>
        <v>51000</v>
      </c>
      <c r="H16" s="19">
        <f>[13]Vendedor15!$J$6</f>
        <v>48300</v>
      </c>
      <c r="I16" s="15">
        <f>[13]Vendedor15!$K$6</f>
        <v>4830</v>
      </c>
      <c r="J16" s="17">
        <f>[13]Vendedor15!$L$6</f>
        <v>0</v>
      </c>
      <c r="K16" s="18">
        <f>[13]Vendedor15!$J$7</f>
        <v>85100</v>
      </c>
      <c r="L16" s="15">
        <f>[13]Vendedor15!$K$7</f>
        <v>10212</v>
      </c>
      <c r="M16" s="16">
        <f>[13]Vendedor15!$L$7</f>
        <v>85000</v>
      </c>
      <c r="N16" s="19">
        <f>[13]Vendedor15!$J$8</f>
        <v>20800</v>
      </c>
      <c r="O16" s="15">
        <f>[13]Vendedor15!$K$8</f>
        <v>2496</v>
      </c>
      <c r="P16" s="17">
        <f>[13]Vendedor15!$L$8</f>
        <v>8500</v>
      </c>
      <c r="Q16" s="19">
        <f>[13]Vendedor15!$J$10</f>
        <v>2750</v>
      </c>
      <c r="R16" s="15">
        <f>[13]Vendedor15!$K$10</f>
        <v>330</v>
      </c>
      <c r="S16" s="17">
        <f>[13]Vendedor15!$L$10</f>
        <v>21250</v>
      </c>
      <c r="T16" s="18">
        <f t="shared" si="1"/>
        <v>414200</v>
      </c>
      <c r="U16" s="15">
        <f t="shared" si="2"/>
        <v>48738</v>
      </c>
      <c r="V16" s="15">
        <f t="shared" si="3"/>
        <v>276250</v>
      </c>
      <c r="W16" s="15">
        <v>0</v>
      </c>
      <c r="X16" s="17">
        <f t="shared" si="4"/>
        <v>89212</v>
      </c>
    </row>
    <row r="17" spans="1:24">
      <c r="A17" s="13" t="s">
        <v>26</v>
      </c>
      <c r="B17" s="14">
        <f>[14]Vendedor15!$J$4</f>
        <v>165950</v>
      </c>
      <c r="C17" s="81">
        <f>[14]Vendedor15!$K$4</f>
        <v>19914</v>
      </c>
      <c r="D17" s="82">
        <f>[14]Vendedor15!$L$4</f>
        <v>259250</v>
      </c>
      <c r="E17" s="14">
        <f>[14]Vendedor15!$J$5</f>
        <v>123200</v>
      </c>
      <c r="F17" s="81">
        <f>[14]Vendedor15!$K$5</f>
        <v>14784</v>
      </c>
      <c r="G17" s="85">
        <f>[14]Vendedor15!$L$5</f>
        <v>136000</v>
      </c>
      <c r="H17" s="19">
        <f>[14]Vendedor15!$J$6</f>
        <v>53650</v>
      </c>
      <c r="I17" s="15">
        <f>[14]Vendedor15!$K$6</f>
        <v>5365</v>
      </c>
      <c r="J17" s="17">
        <f>[14]Vendedor15!$L$6</f>
        <v>0</v>
      </c>
      <c r="K17" s="18">
        <f>[14]Vendedor15!$J$7</f>
        <v>105500</v>
      </c>
      <c r="L17" s="15">
        <f>[14]Vendedor15!$K$7</f>
        <v>12660</v>
      </c>
      <c r="M17" s="16">
        <f>[14]Vendedor15!$L$7</f>
        <v>97750</v>
      </c>
      <c r="N17" s="19">
        <f>[14]Vendedor15!$J$8</f>
        <v>18100</v>
      </c>
      <c r="O17" s="15">
        <f>[14]Vendedor15!$K$8</f>
        <v>2172</v>
      </c>
      <c r="P17" s="17">
        <f>[14]Vendedor15!$L$8</f>
        <v>0</v>
      </c>
      <c r="Q17" s="19">
        <f>[14]Vendedor15!$J$10</f>
        <v>0</v>
      </c>
      <c r="R17" s="15">
        <f>[14]Vendedor15!$K$10</f>
        <v>0</v>
      </c>
      <c r="S17" s="17">
        <f>[14]Vendedor15!$L$10</f>
        <v>0</v>
      </c>
      <c r="T17" s="18">
        <f t="shared" si="1"/>
        <v>466400</v>
      </c>
      <c r="U17" s="15">
        <f t="shared" si="2"/>
        <v>54895</v>
      </c>
      <c r="V17" s="15">
        <f t="shared" si="3"/>
        <v>493000</v>
      </c>
      <c r="W17" s="15">
        <v>0</v>
      </c>
      <c r="X17" s="17">
        <f t="shared" si="4"/>
        <v>-81495</v>
      </c>
    </row>
    <row r="18" spans="1:24">
      <c r="A18" s="20" t="s">
        <v>27</v>
      </c>
      <c r="B18" s="14">
        <f>[15]Vendedor15!$J$4</f>
        <v>210500</v>
      </c>
      <c r="C18" s="81">
        <f>[15]Vendedor15!$K$4</f>
        <v>25260</v>
      </c>
      <c r="D18" s="82">
        <f>[15]Vendedor15!$L$4</f>
        <v>544000</v>
      </c>
      <c r="E18" s="14">
        <f>[15]Vendedor15!$J$5</f>
        <v>122750</v>
      </c>
      <c r="F18" s="81">
        <f>[15]Vendedor15!$K$5</f>
        <v>14730</v>
      </c>
      <c r="G18" s="85">
        <f>[15]Vendedor15!$L$5</f>
        <v>110500</v>
      </c>
      <c r="H18" s="19">
        <f>[15]Vendedor15!$J$6</f>
        <v>68800</v>
      </c>
      <c r="I18" s="15">
        <f>[15]Vendedor15!$K$6</f>
        <v>6880</v>
      </c>
      <c r="J18" s="17">
        <f>[15]Vendedor15!$L$6</f>
        <v>20000</v>
      </c>
      <c r="K18" s="18">
        <f>[15]Vendedor15!$J$7</f>
        <v>88650</v>
      </c>
      <c r="L18" s="15">
        <f>[15]Vendedor15!$K$7</f>
        <v>10638</v>
      </c>
      <c r="M18" s="16">
        <f>[15]Vendedor15!$L$7</f>
        <v>76500</v>
      </c>
      <c r="N18" s="19">
        <f>[15]Vendedor15!$J$8</f>
        <v>15000</v>
      </c>
      <c r="O18" s="15">
        <f>[15]Vendedor15!$K$8</f>
        <v>1800</v>
      </c>
      <c r="P18" s="17">
        <f>[15]Vendedor15!$L$8</f>
        <v>0</v>
      </c>
      <c r="Q18" s="19">
        <f>[15]Vendedor15!$J$10</f>
        <v>0</v>
      </c>
      <c r="R18" s="15">
        <f>[15]Vendedor15!$K$10</f>
        <v>0</v>
      </c>
      <c r="S18" s="17">
        <f>[15]Vendedor15!$L$10</f>
        <v>0</v>
      </c>
      <c r="T18" s="18">
        <f t="shared" si="1"/>
        <v>505700</v>
      </c>
      <c r="U18" s="15">
        <f t="shared" si="2"/>
        <v>59308</v>
      </c>
      <c r="V18" s="15">
        <f t="shared" si="3"/>
        <v>751000</v>
      </c>
      <c r="W18" s="15">
        <v>0</v>
      </c>
      <c r="X18" s="17">
        <f t="shared" si="4"/>
        <v>-304608</v>
      </c>
    </row>
    <row r="19" spans="1:24">
      <c r="A19" s="20" t="s">
        <v>28</v>
      </c>
      <c r="B19" s="14">
        <f>[16]Vendedor15!$J$4</f>
        <v>171950</v>
      </c>
      <c r="C19" s="81">
        <f>[16]Vendedor15!$K$4</f>
        <v>20634</v>
      </c>
      <c r="D19" s="82">
        <f>[16]Vendedor15!$L$4</f>
        <v>131750</v>
      </c>
      <c r="E19" s="14">
        <f>[16]Vendedor15!$J$5</f>
        <v>200000</v>
      </c>
      <c r="F19" s="81">
        <f>[16]Vendedor15!$K$5</f>
        <v>24000</v>
      </c>
      <c r="G19" s="85">
        <f>[16]Vendedor15!$L$5</f>
        <v>85000</v>
      </c>
      <c r="H19" s="19">
        <f>[16]Vendedor15!$J$6</f>
        <v>54800</v>
      </c>
      <c r="I19" s="15">
        <f>[16]Vendedor15!$K$6</f>
        <v>5480</v>
      </c>
      <c r="J19" s="17">
        <f>[16]Vendedor15!$L$6</f>
        <v>140000</v>
      </c>
      <c r="K19" s="18">
        <f>[16]Vendedor15!$J$7</f>
        <v>76900</v>
      </c>
      <c r="L19" s="15">
        <f>[16]Vendedor15!$K$7</f>
        <v>9228</v>
      </c>
      <c r="M19" s="16">
        <f>[16]Vendedor15!$L$7</f>
        <v>123250</v>
      </c>
      <c r="N19" s="19">
        <f>[16]Vendedor15!$J$8</f>
        <v>16700</v>
      </c>
      <c r="O19" s="15">
        <f>[16]Vendedor15!$K$8</f>
        <v>2004</v>
      </c>
      <c r="P19" s="17">
        <f>[16]Vendedor15!$L$8</f>
        <v>0</v>
      </c>
      <c r="Q19" s="19">
        <f>[16]Vendedor15!$J$10</f>
        <v>0</v>
      </c>
      <c r="R19" s="15">
        <f>[16]Vendedor15!$K$10</f>
        <v>0</v>
      </c>
      <c r="S19" s="17">
        <f>[16]Vendedor15!$L$10</f>
        <v>0</v>
      </c>
      <c r="T19" s="18">
        <f t="shared" si="1"/>
        <v>520350</v>
      </c>
      <c r="U19" s="15">
        <f t="shared" si="2"/>
        <v>61346</v>
      </c>
      <c r="V19" s="15">
        <f t="shared" si="3"/>
        <v>480000</v>
      </c>
      <c r="W19" s="15">
        <v>0</v>
      </c>
      <c r="X19" s="17">
        <f t="shared" si="4"/>
        <v>-20996</v>
      </c>
    </row>
    <row r="20" spans="1:24">
      <c r="A20" s="13" t="s">
        <v>29</v>
      </c>
      <c r="B20" s="14">
        <f>[17]Vendedor15!$J$4</f>
        <v>184050</v>
      </c>
      <c r="C20" s="81">
        <f>[17]Vendedor15!$K$4</f>
        <v>22086</v>
      </c>
      <c r="D20" s="82">
        <f>[17]Vendedor15!$L$4</f>
        <v>225250</v>
      </c>
      <c r="E20" s="14">
        <f>[17]Vendedor15!$J$5</f>
        <v>139100</v>
      </c>
      <c r="F20" s="81">
        <f>[17]Vendedor15!$K$5</f>
        <v>16692</v>
      </c>
      <c r="G20" s="85">
        <f>[17]Vendedor15!$L$5</f>
        <v>110500</v>
      </c>
      <c r="H20" s="19">
        <f>[17]Vendedor15!$J$6</f>
        <v>66000</v>
      </c>
      <c r="I20" s="15">
        <f>[17]Vendedor15!$K$6</f>
        <v>6600</v>
      </c>
      <c r="J20" s="17">
        <f>[17]Vendedor15!$L$6</f>
        <v>0</v>
      </c>
      <c r="K20" s="18">
        <f>[17]Vendedor15!$J$7</f>
        <v>80150</v>
      </c>
      <c r="L20" s="15">
        <f>[17]Vendedor15!$K$7</f>
        <v>9618</v>
      </c>
      <c r="M20" s="16">
        <f>[17]Vendedor15!$L$7</f>
        <v>97750</v>
      </c>
      <c r="N20" s="19">
        <f>[17]Vendedor15!$J$8</f>
        <v>14000</v>
      </c>
      <c r="O20" s="15">
        <f>[17]Vendedor15!$K$8</f>
        <v>1680</v>
      </c>
      <c r="P20" s="17">
        <f>[17]Vendedor15!$L$8</f>
        <v>25500</v>
      </c>
      <c r="Q20" s="19">
        <f>[17]Vendedor15!$J$10</f>
        <v>0</v>
      </c>
      <c r="R20" s="15">
        <f>[17]Vendedor15!$K$10</f>
        <v>0</v>
      </c>
      <c r="S20" s="17">
        <f>[17]Vendedor15!$L$10</f>
        <v>0</v>
      </c>
      <c r="T20" s="18">
        <f t="shared" si="1"/>
        <v>483300</v>
      </c>
      <c r="U20" s="15">
        <f t="shared" si="2"/>
        <v>56676</v>
      </c>
      <c r="V20" s="15">
        <f t="shared" si="3"/>
        <v>459000</v>
      </c>
      <c r="W20" s="15">
        <v>0</v>
      </c>
      <c r="X20" s="17">
        <f t="shared" si="4"/>
        <v>-32376</v>
      </c>
    </row>
    <row r="21" spans="1:24">
      <c r="A21" s="20" t="s">
        <v>30</v>
      </c>
      <c r="B21" s="14">
        <f>[18]Vendedor15!$J$4</f>
        <v>135700</v>
      </c>
      <c r="C21" s="81">
        <f>[18]Vendedor15!$K$4</f>
        <v>16284</v>
      </c>
      <c r="D21" s="82">
        <f>[18]Vendedor15!$L$4</f>
        <v>144500</v>
      </c>
      <c r="E21" s="14">
        <f>[18]Vendedor15!$J$5</f>
        <v>94750</v>
      </c>
      <c r="F21" s="81">
        <f>[18]Vendedor15!$K$5</f>
        <v>11370</v>
      </c>
      <c r="G21" s="85">
        <f>[18]Vendedor15!$L$5</f>
        <v>51000</v>
      </c>
      <c r="H21" s="19">
        <f>[18]Vendedor15!$J$6</f>
        <v>41300</v>
      </c>
      <c r="I21" s="15">
        <f>[18]Vendedor15!$K$6</f>
        <v>4130</v>
      </c>
      <c r="J21" s="17">
        <f>[18]Vendedor15!$L$6</f>
        <v>70000</v>
      </c>
      <c r="K21" s="18">
        <f>[18]Vendedor15!$J$7</f>
        <v>74800</v>
      </c>
      <c r="L21" s="15">
        <f>[18]Vendedor15!$K$7</f>
        <v>8976</v>
      </c>
      <c r="M21" s="16">
        <f>[18]Vendedor15!$L$7</f>
        <v>46750</v>
      </c>
      <c r="N21" s="19">
        <f>[18]Vendedor15!$J$8</f>
        <v>23900</v>
      </c>
      <c r="O21" s="15">
        <f>[18]Vendedor15!$K$8</f>
        <v>2868</v>
      </c>
      <c r="P21" s="17">
        <f>[18]Vendedor15!$L$8</f>
        <v>12750</v>
      </c>
      <c r="Q21" s="19">
        <f>[18]Vendedor15!$J$10</f>
        <v>0</v>
      </c>
      <c r="R21" s="15">
        <f>[18]Vendedor15!$K$10</f>
        <v>0</v>
      </c>
      <c r="S21" s="17">
        <f>[18]Vendedor15!$L$10</f>
        <v>0</v>
      </c>
      <c r="T21" s="18">
        <f t="shared" si="1"/>
        <v>370450</v>
      </c>
      <c r="U21" s="15">
        <f t="shared" si="2"/>
        <v>43628</v>
      </c>
      <c r="V21" s="15">
        <f t="shared" si="3"/>
        <v>325000</v>
      </c>
      <c r="W21" s="15">
        <v>0</v>
      </c>
      <c r="X21" s="17">
        <f t="shared" si="4"/>
        <v>1822</v>
      </c>
    </row>
    <row r="22" spans="1:24">
      <c r="A22" s="13" t="s">
        <v>31</v>
      </c>
      <c r="B22" s="14">
        <f>[19]Vendedor15!$J$4</f>
        <v>160300</v>
      </c>
      <c r="C22" s="81">
        <f>[19]Vendedor15!$K$4</f>
        <v>19236</v>
      </c>
      <c r="D22" s="82">
        <f>[19]Vendedor15!$L$4</f>
        <v>127500</v>
      </c>
      <c r="E22" s="14">
        <f>[19]Vendedor15!$J$5</f>
        <v>140800</v>
      </c>
      <c r="F22" s="81">
        <f>[19]Vendedor15!$K$5</f>
        <v>16896</v>
      </c>
      <c r="G22" s="85">
        <f>[19]Vendedor15!$L$5</f>
        <v>51000</v>
      </c>
      <c r="H22" s="19">
        <f>[19]Vendedor15!$J$6</f>
        <v>70700</v>
      </c>
      <c r="I22" s="15">
        <f>[19]Vendedor15!$K$6</f>
        <v>7070</v>
      </c>
      <c r="J22" s="17">
        <f>[19]Vendedor15!$L$6</f>
        <v>200000</v>
      </c>
      <c r="K22" s="18">
        <f>[19]Vendedor15!$J$7</f>
        <v>64300</v>
      </c>
      <c r="L22" s="15">
        <f>[19]Vendedor15!$K$7</f>
        <v>7716</v>
      </c>
      <c r="M22" s="16">
        <f>[19]Vendedor15!$L$7</f>
        <v>0</v>
      </c>
      <c r="N22" s="19">
        <f>[19]Vendedor15!$J$8</f>
        <v>24250</v>
      </c>
      <c r="O22" s="15">
        <f>[19]Vendedor15!$K$8</f>
        <v>2910</v>
      </c>
      <c r="P22" s="17">
        <f>[19]Vendedor15!$L$8</f>
        <v>8500</v>
      </c>
      <c r="Q22" s="19">
        <f>[19]Vendedor15!$J$10</f>
        <v>0</v>
      </c>
      <c r="R22" s="15">
        <f>[19]Vendedor15!$K$10</f>
        <v>0</v>
      </c>
      <c r="S22" s="17">
        <f>[19]Vendedor15!$L$10</f>
        <v>0</v>
      </c>
      <c r="T22" s="18">
        <f t="shared" si="1"/>
        <v>460350</v>
      </c>
      <c r="U22" s="15">
        <f t="shared" si="2"/>
        <v>53828</v>
      </c>
      <c r="V22" s="15">
        <f t="shared" si="3"/>
        <v>387000</v>
      </c>
      <c r="W22" s="15">
        <v>0</v>
      </c>
      <c r="X22" s="17">
        <f t="shared" si="4"/>
        <v>19522</v>
      </c>
    </row>
    <row r="23" spans="1:24">
      <c r="A23" s="20" t="s">
        <v>32</v>
      </c>
      <c r="B23" s="14">
        <f>[20]Vendedor15!$J$4</f>
        <v>139800</v>
      </c>
      <c r="C23" s="81">
        <f>[20]Vendedor15!$K$4</f>
        <v>16776</v>
      </c>
      <c r="D23" s="82">
        <f>[20]Vendedor15!$L$4</f>
        <v>97750</v>
      </c>
      <c r="E23" s="14">
        <f>[20]Vendedor15!$J$5</f>
        <v>135650</v>
      </c>
      <c r="F23" s="81">
        <f>[20]Vendedor15!$K$5</f>
        <v>16278</v>
      </c>
      <c r="G23" s="85">
        <f>[20]Vendedor15!$L$5</f>
        <v>25500</v>
      </c>
      <c r="H23" s="19">
        <f>[20]Vendedor15!$J$6</f>
        <v>59100</v>
      </c>
      <c r="I23" s="15">
        <f>[20]Vendedor15!$K$6</f>
        <v>5910</v>
      </c>
      <c r="J23" s="17">
        <f>[20]Vendedor15!$L$6</f>
        <v>80000</v>
      </c>
      <c r="K23" s="18">
        <f>[20]Vendedor15!$J$7</f>
        <v>103950</v>
      </c>
      <c r="L23" s="15">
        <f>[20]Vendedor15!$K$7</f>
        <v>12474</v>
      </c>
      <c r="M23" s="16">
        <f>[20]Vendedor15!$L$7</f>
        <v>89250</v>
      </c>
      <c r="N23" s="19">
        <f>[20]Vendedor15!$J$8</f>
        <v>23700</v>
      </c>
      <c r="O23" s="15">
        <f>[20]Vendedor15!$K$8</f>
        <v>2844</v>
      </c>
      <c r="P23" s="17">
        <f>[20]Vendedor15!$L$8</f>
        <v>12750</v>
      </c>
      <c r="Q23" s="19">
        <f>[20]Vendedor15!$J$10</f>
        <v>0</v>
      </c>
      <c r="R23" s="15">
        <f>[20]Vendedor15!$K$10</f>
        <v>0</v>
      </c>
      <c r="S23" s="17">
        <f>[20]Vendedor15!$L$10</f>
        <v>0</v>
      </c>
      <c r="T23" s="18">
        <f t="shared" si="1"/>
        <v>462200</v>
      </c>
      <c r="U23" s="15">
        <f t="shared" si="2"/>
        <v>54282</v>
      </c>
      <c r="V23" s="15">
        <f t="shared" si="3"/>
        <v>305250</v>
      </c>
      <c r="W23" s="15">
        <v>0</v>
      </c>
      <c r="X23" s="17">
        <f t="shared" si="4"/>
        <v>102668</v>
      </c>
    </row>
    <row r="24" spans="1:24">
      <c r="A24" s="13" t="s">
        <v>33</v>
      </c>
      <c r="B24" s="14">
        <f>[21]Vendedor15!$J$4</f>
        <v>137650</v>
      </c>
      <c r="C24" s="81">
        <f>[21]Vendedor15!$K$4</f>
        <v>16518</v>
      </c>
      <c r="D24" s="82">
        <f>[21]Vendedor15!$L$4</f>
        <v>119000</v>
      </c>
      <c r="E24" s="14">
        <f>[21]Vendedor15!$J$5</f>
        <v>139250</v>
      </c>
      <c r="F24" s="81">
        <f>[21]Vendedor15!$K$5</f>
        <v>16710</v>
      </c>
      <c r="G24" s="85">
        <f>[21]Vendedor15!$L$5</f>
        <v>42500</v>
      </c>
      <c r="H24" s="19">
        <f>[21]Vendedor15!$J$6</f>
        <v>64250</v>
      </c>
      <c r="I24" s="15">
        <f>[21]Vendedor15!$K$6</f>
        <v>6425</v>
      </c>
      <c r="J24" s="17">
        <f>[21]Vendedor15!$L$6</f>
        <v>240000</v>
      </c>
      <c r="K24" s="18">
        <f>[21]Vendedor15!$J$7</f>
        <v>92650</v>
      </c>
      <c r="L24" s="15">
        <f>[21]Vendedor15!$K$7</f>
        <v>11118</v>
      </c>
      <c r="M24" s="16">
        <f>[21]Vendedor15!$L$7</f>
        <v>68000</v>
      </c>
      <c r="N24" s="19">
        <f>[21]Vendedor15!$J$8</f>
        <v>21100</v>
      </c>
      <c r="O24" s="15">
        <f>[21]Vendedor15!$K$8</f>
        <v>2532</v>
      </c>
      <c r="P24" s="17">
        <f>[21]Vendedor15!$L$8</f>
        <v>8500</v>
      </c>
      <c r="Q24" s="19">
        <f>[21]Vendedor15!$J$10</f>
        <v>0</v>
      </c>
      <c r="R24" s="15">
        <f>[21]Vendedor15!$K$10</f>
        <v>0</v>
      </c>
      <c r="S24" s="17">
        <f>[21]Vendedor15!$L$10</f>
        <v>0</v>
      </c>
      <c r="T24" s="18">
        <f t="shared" si="1"/>
        <v>454900</v>
      </c>
      <c r="U24" s="15">
        <f t="shared" si="2"/>
        <v>53303</v>
      </c>
      <c r="V24" s="15">
        <f t="shared" si="3"/>
        <v>478000</v>
      </c>
      <c r="W24" s="15">
        <v>0</v>
      </c>
      <c r="X24" s="17">
        <f t="shared" si="4"/>
        <v>-76403</v>
      </c>
    </row>
    <row r="25" spans="1:24">
      <c r="A25" s="20" t="s">
        <v>34</v>
      </c>
      <c r="B25" s="14">
        <f>[22]Vendedor15!$J$4</f>
        <v>204750</v>
      </c>
      <c r="C25" s="81">
        <f>[22]Vendedor15!$K$4</f>
        <v>24570</v>
      </c>
      <c r="D25" s="82">
        <f>[22]Vendedor15!$L$4</f>
        <v>629000</v>
      </c>
      <c r="E25" s="14">
        <f>[22]Vendedor15!$J$5</f>
        <v>175850</v>
      </c>
      <c r="F25" s="81">
        <f>[22]Vendedor15!$K$5</f>
        <v>21102</v>
      </c>
      <c r="G25" s="85">
        <f>[22]Vendedor15!$L$5</f>
        <v>110500</v>
      </c>
      <c r="H25" s="19">
        <f>[22]Vendedor15!$J$6</f>
        <v>72050</v>
      </c>
      <c r="I25" s="15">
        <f>[22]Vendedor15!$K$6</f>
        <v>7205</v>
      </c>
      <c r="J25" s="17">
        <f>[22]Vendedor15!$L$6</f>
        <v>0</v>
      </c>
      <c r="K25" s="18">
        <f>[22]Vendedor15!$J$7</f>
        <v>92250</v>
      </c>
      <c r="L25" s="15">
        <f>[22]Vendedor15!$K$7</f>
        <v>11070</v>
      </c>
      <c r="M25" s="16">
        <f>[22]Vendedor15!$L$7</f>
        <v>102000</v>
      </c>
      <c r="N25" s="19">
        <f>[22]Vendedor15!$J$8</f>
        <v>17000</v>
      </c>
      <c r="O25" s="15">
        <f>[22]Vendedor15!$K$8</f>
        <v>2040</v>
      </c>
      <c r="P25" s="17">
        <f>[22]Vendedor15!$L$8</f>
        <v>0</v>
      </c>
      <c r="Q25" s="19">
        <f>[22]Vendedor15!$J$10</f>
        <v>0</v>
      </c>
      <c r="R25" s="15">
        <f>[22]Vendedor15!$K$10</f>
        <v>0</v>
      </c>
      <c r="S25" s="17">
        <f>[22]Vendedor15!$L$10</f>
        <v>0</v>
      </c>
      <c r="T25" s="18">
        <f>+B25+E25+H25+K25+N25+Q25</f>
        <v>561900</v>
      </c>
      <c r="U25" s="15">
        <f t="shared" si="2"/>
        <v>65987</v>
      </c>
      <c r="V25" s="15">
        <f t="shared" si="3"/>
        <v>841500</v>
      </c>
      <c r="W25" s="15">
        <v>0</v>
      </c>
      <c r="X25" s="17">
        <f t="shared" si="4"/>
        <v>-345587</v>
      </c>
    </row>
    <row r="26" spans="1:24">
      <c r="A26" s="13" t="s">
        <v>35</v>
      </c>
      <c r="B26" s="14">
        <f>[23]Vendedor15!$J$4</f>
        <v>196200</v>
      </c>
      <c r="C26" s="81">
        <f>[23]Vendedor15!$K$4</f>
        <v>23544</v>
      </c>
      <c r="D26" s="82">
        <f>[23]Vendedor15!$L$4</f>
        <v>76500</v>
      </c>
      <c r="E26" s="14">
        <f>[23]Vendedor15!$J$5</f>
        <v>223200</v>
      </c>
      <c r="F26" s="81">
        <f>[23]Vendedor15!$K$5</f>
        <v>26784</v>
      </c>
      <c r="G26" s="85">
        <f>[23]Vendedor15!$L$5</f>
        <v>187000</v>
      </c>
      <c r="H26" s="19">
        <f>[23]Vendedor15!$J$6</f>
        <v>84250</v>
      </c>
      <c r="I26" s="15">
        <f>[23]Vendedor15!$K$6</f>
        <v>8425</v>
      </c>
      <c r="J26" s="17">
        <f>[23]Vendedor15!$L$6</f>
        <v>120000</v>
      </c>
      <c r="K26" s="18">
        <f>[23]Vendedor15!$J$7</f>
        <v>127900</v>
      </c>
      <c r="L26" s="15">
        <f>[23]Vendedor15!$K$7</f>
        <v>15348</v>
      </c>
      <c r="M26" s="16">
        <f>[23]Vendedor15!$L$7</f>
        <v>148750</v>
      </c>
      <c r="N26" s="19">
        <f>[23]Vendedor15!$J$8</f>
        <v>17650</v>
      </c>
      <c r="O26" s="15">
        <f>[23]Vendedor15!$K$8</f>
        <v>2118</v>
      </c>
      <c r="P26" s="17">
        <f>[23]Vendedor15!$L$8</f>
        <v>12750</v>
      </c>
      <c r="Q26" s="19">
        <f>[23]Vendedor15!$J$10</f>
        <v>0</v>
      </c>
      <c r="R26" s="15">
        <f>[23]Vendedor15!$K$10</f>
        <v>0</v>
      </c>
      <c r="S26" s="17">
        <f>[23]Vendedor15!$L$10</f>
        <v>0</v>
      </c>
      <c r="T26" s="18">
        <f t="shared" ref="T26:T36" si="5">+B26+E26+H26+K26+N26+Q26</f>
        <v>649200</v>
      </c>
      <c r="U26" s="15">
        <f t="shared" si="2"/>
        <v>76219</v>
      </c>
      <c r="V26" s="15">
        <f t="shared" si="3"/>
        <v>545000</v>
      </c>
      <c r="W26" s="15">
        <v>0</v>
      </c>
      <c r="X26" s="17">
        <f t="shared" si="4"/>
        <v>27981</v>
      </c>
    </row>
    <row r="27" spans="1:24">
      <c r="A27" s="20" t="s">
        <v>36</v>
      </c>
      <c r="B27" s="14">
        <f>[24]Vendedor15!$J$4</f>
        <v>154500</v>
      </c>
      <c r="C27" s="81">
        <f>[24]Vendedor15!$K$4</f>
        <v>18540</v>
      </c>
      <c r="D27" s="82">
        <f>[24]Vendedor15!$L$4</f>
        <v>267750</v>
      </c>
      <c r="E27" s="14">
        <f>[24]Vendedor15!$J$5</f>
        <v>172800</v>
      </c>
      <c r="F27" s="81">
        <f>[24]Vendedor15!$K$5</f>
        <v>20736</v>
      </c>
      <c r="G27" s="85">
        <f>[24]Vendedor15!$L$5</f>
        <v>157250</v>
      </c>
      <c r="H27" s="19">
        <f>[24]Vendedor15!$J$6</f>
        <v>86150</v>
      </c>
      <c r="I27" s="15">
        <f>[24]Vendedor15!$K$6</f>
        <v>8615</v>
      </c>
      <c r="J27" s="17">
        <f>[24]Vendedor15!$L$6</f>
        <v>140000</v>
      </c>
      <c r="K27" s="18">
        <f>[24]Vendedor15!$J$7</f>
        <v>126600</v>
      </c>
      <c r="L27" s="15">
        <f>[24]Vendedor15!$K$7</f>
        <v>15192</v>
      </c>
      <c r="M27" s="16">
        <f>[24]Vendedor15!$L$7</f>
        <v>68000</v>
      </c>
      <c r="N27" s="19">
        <f>[24]Vendedor15!$J$8</f>
        <v>29450</v>
      </c>
      <c r="O27" s="15">
        <f>[24]Vendedor15!$K$8</f>
        <v>3534</v>
      </c>
      <c r="P27" s="17">
        <f>[24]Vendedor15!$L$8</f>
        <v>17000</v>
      </c>
      <c r="Q27" s="19">
        <f>[24]Vendedor15!$J$10</f>
        <v>0</v>
      </c>
      <c r="R27" s="15">
        <f>[24]Vendedor15!$K$10</f>
        <v>0</v>
      </c>
      <c r="S27" s="17">
        <f>[24]Vendedor15!$L$10</f>
        <v>0</v>
      </c>
      <c r="T27" s="18">
        <f t="shared" si="5"/>
        <v>569500</v>
      </c>
      <c r="U27" s="15">
        <f t="shared" si="2"/>
        <v>66617</v>
      </c>
      <c r="V27" s="15">
        <f t="shared" si="3"/>
        <v>650000</v>
      </c>
      <c r="W27" s="15">
        <v>0</v>
      </c>
      <c r="X27" s="17">
        <f t="shared" si="4"/>
        <v>-147117</v>
      </c>
    </row>
    <row r="28" spans="1:24">
      <c r="A28" s="13" t="s">
        <v>37</v>
      </c>
      <c r="B28" s="14">
        <f>[25]Vendedor15!$J$4</f>
        <v>209100</v>
      </c>
      <c r="C28" s="81">
        <f>[25]Vendedor15!$K$4</f>
        <v>25092</v>
      </c>
      <c r="D28" s="82">
        <f>[25]Vendedor15!$L$4</f>
        <v>170000</v>
      </c>
      <c r="E28" s="14">
        <f>[25]Vendedor15!$J$5</f>
        <v>270700</v>
      </c>
      <c r="F28" s="81">
        <f>[25]Vendedor15!$K$5</f>
        <v>32484</v>
      </c>
      <c r="G28" s="85">
        <f>[25]Vendedor15!$L$5</f>
        <v>255000</v>
      </c>
      <c r="H28" s="19">
        <f>[25]Vendedor15!$J$6</f>
        <v>85500</v>
      </c>
      <c r="I28" s="15">
        <f>[25]Vendedor15!$K$6</f>
        <v>8550</v>
      </c>
      <c r="J28" s="17">
        <f>[25]Vendedor15!$L$6</f>
        <v>70000</v>
      </c>
      <c r="K28" s="18">
        <f>[25]Vendedor15!$J$7</f>
        <v>120850</v>
      </c>
      <c r="L28" s="15">
        <f>[25]Vendedor15!$K$7</f>
        <v>14502</v>
      </c>
      <c r="M28" s="16">
        <f>[25]Vendedor15!$L$7</f>
        <v>344250</v>
      </c>
      <c r="N28" s="19">
        <f>[25]Vendedor15!$J$8</f>
        <v>28500</v>
      </c>
      <c r="O28" s="15">
        <f>[25]Vendedor15!$K$8</f>
        <v>3420</v>
      </c>
      <c r="P28" s="17">
        <f>[25]Vendedor15!$L$8</f>
        <v>8500</v>
      </c>
      <c r="Q28" s="19">
        <f>[25]Vendedor15!$J$10</f>
        <v>0</v>
      </c>
      <c r="R28" s="15">
        <f>[25]Vendedor15!$K$10</f>
        <v>0</v>
      </c>
      <c r="S28" s="17">
        <f>[25]Vendedor15!$L$10</f>
        <v>0</v>
      </c>
      <c r="T28" s="18">
        <f t="shared" si="5"/>
        <v>714650</v>
      </c>
      <c r="U28" s="15">
        <f t="shared" si="2"/>
        <v>84048</v>
      </c>
      <c r="V28" s="15">
        <f t="shared" si="3"/>
        <v>847750</v>
      </c>
      <c r="W28" s="15">
        <v>0</v>
      </c>
      <c r="X28" s="17">
        <f t="shared" si="4"/>
        <v>-217148</v>
      </c>
    </row>
    <row r="29" spans="1:24">
      <c r="A29" s="20" t="s">
        <v>38</v>
      </c>
      <c r="B29" s="14">
        <f>[26]Vendedor15!$J$4</f>
        <v>223650</v>
      </c>
      <c r="C29" s="81">
        <f>[26]Vendedor15!$K$4</f>
        <v>26838</v>
      </c>
      <c r="D29" s="82">
        <f>[26]Vendedor15!$L$4</f>
        <v>221000</v>
      </c>
      <c r="E29" s="14">
        <f>[26]Vendedor15!$J$5</f>
        <v>222450</v>
      </c>
      <c r="F29" s="81">
        <f>[26]Vendedor15!$K$5</f>
        <v>26694</v>
      </c>
      <c r="G29" s="85">
        <f>[26]Vendedor15!$L$5</f>
        <v>352750</v>
      </c>
      <c r="H29" s="19">
        <f>[26]Vendedor15!$J$6</f>
        <v>84100</v>
      </c>
      <c r="I29" s="15">
        <f>[26]Vendedor15!$K$6</f>
        <v>8410</v>
      </c>
      <c r="J29" s="17">
        <f>[26]Vendedor15!$L$6</f>
        <v>0</v>
      </c>
      <c r="K29" s="18">
        <f>[26]Vendedor15!$J$7</f>
        <v>139250</v>
      </c>
      <c r="L29" s="15">
        <f>[26]Vendedor15!$K$7</f>
        <v>16710</v>
      </c>
      <c r="M29" s="16">
        <f>[26]Vendedor15!$L$7</f>
        <v>51000</v>
      </c>
      <c r="N29" s="19">
        <f>[26]Vendedor15!$J$8</f>
        <v>28500</v>
      </c>
      <c r="O29" s="15">
        <f>[26]Vendedor15!$K$8</f>
        <v>3420</v>
      </c>
      <c r="P29" s="17">
        <f>[26]Vendedor15!$L$8</f>
        <v>46750</v>
      </c>
      <c r="Q29" s="19">
        <f>[26]Vendedor15!$J$10</f>
        <v>0</v>
      </c>
      <c r="R29" s="15">
        <f>[26]Vendedor15!$K$10</f>
        <v>0</v>
      </c>
      <c r="S29" s="17">
        <f>[26]Vendedor15!$L$10</f>
        <v>0</v>
      </c>
      <c r="T29" s="18">
        <f t="shared" si="5"/>
        <v>697950</v>
      </c>
      <c r="U29" s="15">
        <f t="shared" si="2"/>
        <v>82072</v>
      </c>
      <c r="V29" s="15">
        <f t="shared" si="3"/>
        <v>671500</v>
      </c>
      <c r="W29" s="15">
        <v>0</v>
      </c>
      <c r="X29" s="17">
        <f t="shared" si="4"/>
        <v>-55622</v>
      </c>
    </row>
    <row r="30" spans="1:24">
      <c r="A30" s="13" t="s">
        <v>39</v>
      </c>
      <c r="B30" s="14">
        <f>[27]Vendedor15!$J$4</f>
        <v>177850</v>
      </c>
      <c r="C30" s="81">
        <f>[27]Vendedor15!$K$4</f>
        <v>21342</v>
      </c>
      <c r="D30" s="82">
        <f>[27]Vendedor15!$L$4</f>
        <v>191250</v>
      </c>
      <c r="E30" s="14">
        <f>[27]Vendedor15!$J$5</f>
        <v>196800</v>
      </c>
      <c r="F30" s="81">
        <f>[27]Vendedor15!$K$5</f>
        <v>23616</v>
      </c>
      <c r="G30" s="85">
        <f>[27]Vendedor15!$L$5</f>
        <v>191250</v>
      </c>
      <c r="H30" s="19">
        <f>[27]Vendedor15!$J$6</f>
        <v>83300</v>
      </c>
      <c r="I30" s="15">
        <f>[27]Vendedor15!$K$6</f>
        <v>8330</v>
      </c>
      <c r="J30" s="17">
        <f>[27]Vendedor15!$L$6</f>
        <v>0</v>
      </c>
      <c r="K30" s="18">
        <f>[27]Vendedor15!$J$7</f>
        <v>128450</v>
      </c>
      <c r="L30" s="15">
        <f>[27]Vendedor15!$K$7</f>
        <v>15414</v>
      </c>
      <c r="M30" s="16">
        <f>[27]Vendedor15!$L$7</f>
        <v>114750</v>
      </c>
      <c r="N30" s="19">
        <f>[27]Vendedor15!$J$8</f>
        <v>24200</v>
      </c>
      <c r="O30" s="15">
        <f>[27]Vendedor15!$K$8</f>
        <v>2904</v>
      </c>
      <c r="P30" s="17">
        <f>[27]Vendedor15!$L$8</f>
        <v>8500</v>
      </c>
      <c r="Q30" s="19">
        <f>[27]Vendedor15!$J$10</f>
        <v>0</v>
      </c>
      <c r="R30" s="15">
        <f>[27]Vendedor15!$K$10</f>
        <v>0</v>
      </c>
      <c r="S30" s="17">
        <f>[27]Vendedor15!$L$10</f>
        <v>0</v>
      </c>
      <c r="T30" s="18">
        <f t="shared" si="5"/>
        <v>610600</v>
      </c>
      <c r="U30" s="15">
        <f t="shared" si="2"/>
        <v>71606</v>
      </c>
      <c r="V30" s="15">
        <f t="shared" si="3"/>
        <v>505750</v>
      </c>
      <c r="W30" s="15">
        <v>0</v>
      </c>
      <c r="X30" s="17">
        <f t="shared" si="4"/>
        <v>33244</v>
      </c>
    </row>
    <row r="31" spans="1:24">
      <c r="A31" s="20" t="s">
        <v>40</v>
      </c>
      <c r="B31" s="14">
        <f>[28]Vendedor15!$J$4</f>
        <v>173400</v>
      </c>
      <c r="C31" s="81">
        <f>[28]Vendedor15!$K$4</f>
        <v>20808</v>
      </c>
      <c r="D31" s="82">
        <f>[28]Vendedor15!$L$4</f>
        <v>242250</v>
      </c>
      <c r="E31" s="14">
        <f>[28]Vendedor15!$J$5</f>
        <v>175500</v>
      </c>
      <c r="F31" s="81">
        <f>[28]Vendedor15!$K$5</f>
        <v>21060</v>
      </c>
      <c r="G31" s="85">
        <f>[28]Vendedor15!$L$5</f>
        <v>255000</v>
      </c>
      <c r="H31" s="19">
        <f>[28]Vendedor15!$J$6</f>
        <v>81500</v>
      </c>
      <c r="I31" s="15">
        <f>[28]Vendedor15!$K$6</f>
        <v>8150</v>
      </c>
      <c r="J31" s="17">
        <f>[28]Vendedor15!$L$6</f>
        <v>220000</v>
      </c>
      <c r="K31" s="18">
        <f>[28]Vendedor15!$J$7</f>
        <v>74400</v>
      </c>
      <c r="L31" s="15">
        <f>[28]Vendedor15!$K$7</f>
        <v>8928</v>
      </c>
      <c r="M31" s="16">
        <f>[28]Vendedor15!$L$7</f>
        <v>106250</v>
      </c>
      <c r="N31" s="19">
        <f>[28]Vendedor15!$J$8</f>
        <v>18150</v>
      </c>
      <c r="O31" s="15">
        <f>[28]Vendedor15!$K$8</f>
        <v>2178</v>
      </c>
      <c r="P31" s="17">
        <f>[28]Vendedor15!$L$8</f>
        <v>0</v>
      </c>
      <c r="Q31" s="19">
        <f>[28]Vendedor15!$J$10</f>
        <v>0</v>
      </c>
      <c r="R31" s="15">
        <f>[28]Vendedor15!$K$10</f>
        <v>0</v>
      </c>
      <c r="S31" s="17">
        <f>[28]Vendedor15!$L$10</f>
        <v>0</v>
      </c>
      <c r="T31" s="18">
        <f t="shared" si="5"/>
        <v>522950</v>
      </c>
      <c r="U31" s="15">
        <f t="shared" si="2"/>
        <v>61124</v>
      </c>
      <c r="V31" s="15">
        <f t="shared" si="3"/>
        <v>823500</v>
      </c>
      <c r="W31" s="15">
        <v>0</v>
      </c>
      <c r="X31" s="17">
        <f t="shared" si="4"/>
        <v>-361674</v>
      </c>
    </row>
    <row r="32" spans="1:24">
      <c r="A32" s="20" t="s">
        <v>41</v>
      </c>
      <c r="B32" s="14">
        <f>[29]Vendedor15!$J$4</f>
        <v>213650</v>
      </c>
      <c r="C32" s="81">
        <f>[29]Vendedor15!$K$4</f>
        <v>25638</v>
      </c>
      <c r="D32" s="82">
        <f>[29]Vendedor15!$L$4</f>
        <v>344250</v>
      </c>
      <c r="E32" s="14">
        <f>[29]Vendedor15!$J$5</f>
        <v>204100</v>
      </c>
      <c r="F32" s="81">
        <f>[29]Vendedor15!$K$5</f>
        <v>24492</v>
      </c>
      <c r="G32" s="85">
        <f>[29]Vendedor15!$L$5</f>
        <v>284750</v>
      </c>
      <c r="H32" s="19">
        <f>[29]Vendedor15!$J$6</f>
        <v>82350</v>
      </c>
      <c r="I32" s="15">
        <f>[29]Vendedor15!$K$6</f>
        <v>8235</v>
      </c>
      <c r="J32" s="17">
        <f>[29]Vendedor15!$L$6</f>
        <v>20000</v>
      </c>
      <c r="K32" s="18">
        <f>[29]Vendedor15!$J$7</f>
        <v>118300</v>
      </c>
      <c r="L32" s="15">
        <f>[29]Vendedor15!$K$7</f>
        <v>14196</v>
      </c>
      <c r="M32" s="16">
        <f>[29]Vendedor15!$L$7</f>
        <v>59500</v>
      </c>
      <c r="N32" s="19">
        <f>[29]Vendedor15!$J$8</f>
        <v>24000</v>
      </c>
      <c r="O32" s="15">
        <f>[29]Vendedor15!$K$8</f>
        <v>2880</v>
      </c>
      <c r="P32" s="17">
        <f>[29]Vendedor15!$L$8</f>
        <v>55250</v>
      </c>
      <c r="Q32" s="19">
        <f>[29]Vendedor15!$J$10</f>
        <v>0</v>
      </c>
      <c r="R32" s="15">
        <f>[29]Vendedor15!$K$10</f>
        <v>0</v>
      </c>
      <c r="S32" s="17">
        <f>[29]Vendedor15!$L$10</f>
        <v>0</v>
      </c>
      <c r="T32" s="18">
        <f t="shared" si="5"/>
        <v>642400</v>
      </c>
      <c r="U32" s="15">
        <f t="shared" si="2"/>
        <v>75441</v>
      </c>
      <c r="V32" s="15">
        <f t="shared" si="3"/>
        <v>763750</v>
      </c>
      <c r="W32" s="15">
        <v>0</v>
      </c>
      <c r="X32" s="17">
        <f t="shared" si="4"/>
        <v>-196791</v>
      </c>
    </row>
    <row r="33" spans="1:24">
      <c r="A33" s="13" t="s">
        <v>42</v>
      </c>
      <c r="B33" s="14">
        <f>[30]Vendedor15!$J$4</f>
        <v>212350</v>
      </c>
      <c r="C33" s="81">
        <f>[30]Vendedor15!$K$4</f>
        <v>25482</v>
      </c>
      <c r="D33" s="82">
        <f>[30]Vendedor15!$L$4</f>
        <v>259250</v>
      </c>
      <c r="E33" s="14">
        <f>[30]Vendedor15!$J$5</f>
        <v>194800</v>
      </c>
      <c r="F33" s="81">
        <f>[30]Vendedor15!$K$5</f>
        <v>23376</v>
      </c>
      <c r="G33" s="85">
        <f>[30]Vendedor15!$L$5</f>
        <v>174250</v>
      </c>
      <c r="H33" s="19">
        <f>[30]Vendedor15!$J$6</f>
        <v>81600</v>
      </c>
      <c r="I33" s="15">
        <f>[30]Vendedor15!$K$6</f>
        <v>8160</v>
      </c>
      <c r="J33" s="17">
        <f>[30]Vendedor15!$L$6</f>
        <v>0</v>
      </c>
      <c r="K33" s="18">
        <f>[30]Vendedor15!$J$7</f>
        <v>106500</v>
      </c>
      <c r="L33" s="15">
        <f>[30]Vendedor15!$K$7</f>
        <v>12780</v>
      </c>
      <c r="M33" s="16">
        <f>[30]Vendedor15!$L$7</f>
        <v>12750</v>
      </c>
      <c r="N33" s="19">
        <f>[30]Vendedor15!$J$8</f>
        <v>15300</v>
      </c>
      <c r="O33" s="15">
        <f>[30]Vendedor15!$K$8</f>
        <v>1836</v>
      </c>
      <c r="P33" s="17">
        <f>[30]Vendedor15!$L$8</f>
        <v>12750</v>
      </c>
      <c r="Q33" s="19">
        <f>[30]Vendedor15!$J$10</f>
        <v>0</v>
      </c>
      <c r="R33" s="15">
        <f>[30]Vendedor15!$K$10</f>
        <v>0</v>
      </c>
      <c r="S33" s="17">
        <f>[30]Vendedor15!$L$10</f>
        <v>0</v>
      </c>
      <c r="T33" s="18">
        <f t="shared" si="5"/>
        <v>610550</v>
      </c>
      <c r="U33" s="15">
        <f t="shared" si="2"/>
        <v>71634</v>
      </c>
      <c r="V33" s="15">
        <f t="shared" si="3"/>
        <v>459000</v>
      </c>
      <c r="W33" s="15">
        <v>0</v>
      </c>
      <c r="X33" s="17">
        <f t="shared" si="4"/>
        <v>79916</v>
      </c>
    </row>
    <row r="34" spans="1:24">
      <c r="A34" s="20" t="s">
        <v>43</v>
      </c>
      <c r="B34" s="14">
        <f>[31]Vendedor15!$J$4</f>
        <v>220050</v>
      </c>
      <c r="C34" s="81">
        <f>[31]Vendedor15!$K$4</f>
        <v>26406</v>
      </c>
      <c r="D34" s="82">
        <f>[31]Vendedor15!$L$4</f>
        <v>119000</v>
      </c>
      <c r="E34" s="14">
        <f>[31]Vendedor15!$J$5</f>
        <v>228800</v>
      </c>
      <c r="F34" s="81">
        <f>[31]Vendedor15!$K$5</f>
        <v>27456</v>
      </c>
      <c r="G34" s="85">
        <f>[31]Vendedor15!$L$5</f>
        <v>76500</v>
      </c>
      <c r="H34" s="19">
        <f>[31]Vendedor15!$J$6</f>
        <v>86200</v>
      </c>
      <c r="I34" s="15">
        <f>[31]Vendedor15!$K$6</f>
        <v>8620</v>
      </c>
      <c r="J34" s="17">
        <f>[31]Vendedor15!$L$6</f>
        <v>120000</v>
      </c>
      <c r="K34" s="18">
        <f>[31]Vendedor15!$J$7</f>
        <v>123250</v>
      </c>
      <c r="L34" s="15">
        <f>[31]Vendedor15!$K$7</f>
        <v>14790</v>
      </c>
      <c r="M34" s="16">
        <f>[31]Vendedor15!$L$7</f>
        <v>340000</v>
      </c>
      <c r="N34" s="19">
        <f>[31]Vendedor15!$J$8</f>
        <v>35750</v>
      </c>
      <c r="O34" s="15">
        <f>[31]Vendedor15!$K$8</f>
        <v>4290</v>
      </c>
      <c r="P34" s="17">
        <f>[31]Vendedor15!$L$8</f>
        <v>17000</v>
      </c>
      <c r="Q34" s="19">
        <f>[31]Vendedor15!$J$10</f>
        <v>0</v>
      </c>
      <c r="R34" s="15">
        <f>[31]Vendedor15!$K$10</f>
        <v>0</v>
      </c>
      <c r="S34" s="17">
        <f>[31]Vendedor15!$L$10</f>
        <v>0</v>
      </c>
      <c r="T34" s="18">
        <f t="shared" si="5"/>
        <v>694050</v>
      </c>
      <c r="U34" s="15">
        <f t="shared" si="2"/>
        <v>81562</v>
      </c>
      <c r="V34" s="15">
        <f t="shared" si="3"/>
        <v>672500</v>
      </c>
      <c r="W34" s="15">
        <v>0</v>
      </c>
      <c r="X34" s="17">
        <f t="shared" si="4"/>
        <v>-60012</v>
      </c>
    </row>
    <row r="35" spans="1:24">
      <c r="A35" s="13" t="s">
        <v>44</v>
      </c>
      <c r="B35" s="14">
        <f>[1]Vendedor15!$J$4</f>
        <v>173750</v>
      </c>
      <c r="C35" s="81">
        <f>[1]Vendedor15!$K$4</f>
        <v>20850</v>
      </c>
      <c r="D35" s="82">
        <f>[1]Vendedor15!$L$4</f>
        <v>335750</v>
      </c>
      <c r="E35" s="14">
        <f>[1]Vendedor15!$J$5</f>
        <v>195000</v>
      </c>
      <c r="F35" s="81">
        <f>[1]Vendedor15!$K$5</f>
        <v>23400</v>
      </c>
      <c r="G35" s="85">
        <f>[1]Vendedor15!$L$5</f>
        <v>233750</v>
      </c>
      <c r="H35" s="19">
        <f>[1]Vendedor15!$J$6</f>
        <v>60500</v>
      </c>
      <c r="I35" s="15">
        <f>[1]Vendedor15!$K$6</f>
        <v>6050</v>
      </c>
      <c r="J35" s="17">
        <f>[1]Vendedor15!$L$6</f>
        <v>0</v>
      </c>
      <c r="K35" s="18">
        <f>[1]Vendedor15!$J$7</f>
        <v>143500</v>
      </c>
      <c r="L35" s="15">
        <f>[1]Vendedor15!$K$7</f>
        <v>17220</v>
      </c>
      <c r="M35" s="16">
        <f>[1]Vendedor15!$L$7</f>
        <v>85000</v>
      </c>
      <c r="N35" s="19">
        <f>[1]Vendedor15!$J$8</f>
        <v>32000</v>
      </c>
      <c r="O35" s="15">
        <f>[1]Vendedor15!$K$8</f>
        <v>3840</v>
      </c>
      <c r="P35" s="17">
        <f>[1]Vendedor15!$L$8</f>
        <v>0</v>
      </c>
      <c r="Q35" s="19">
        <f>[1]Vendedor15!$J$10</f>
        <v>0</v>
      </c>
      <c r="R35" s="15">
        <f>[1]Vendedor15!$K$10</f>
        <v>0</v>
      </c>
      <c r="S35" s="17">
        <f>[1]Vendedor15!$L$10</f>
        <v>0</v>
      </c>
      <c r="T35" s="18">
        <f t="shared" si="5"/>
        <v>604750</v>
      </c>
      <c r="U35" s="15">
        <f t="shared" si="2"/>
        <v>71360</v>
      </c>
      <c r="V35" s="15">
        <f t="shared" si="3"/>
        <v>654500</v>
      </c>
      <c r="W35" s="15">
        <v>0</v>
      </c>
      <c r="X35" s="17">
        <f t="shared" si="4"/>
        <v>-121110</v>
      </c>
    </row>
    <row r="36" spans="1:24" ht="15.75" thickBot="1">
      <c r="A36" s="20" t="s">
        <v>45</v>
      </c>
      <c r="B36" s="21">
        <f>[2]Vendedor15!$J$4</f>
        <v>270650</v>
      </c>
      <c r="C36" s="83">
        <f>[2]Vendedor15!$K$4</f>
        <v>32478</v>
      </c>
      <c r="D36" s="84">
        <f>[2]Vendedor15!$L$4</f>
        <v>340000</v>
      </c>
      <c r="E36" s="21">
        <f>[2]Vendedor15!$J$5</f>
        <v>210950</v>
      </c>
      <c r="F36" s="83">
        <f>[2]Vendedor15!$K$5</f>
        <v>25314</v>
      </c>
      <c r="G36" s="86">
        <f>[2]Vendedor15!$L$5</f>
        <v>93500</v>
      </c>
      <c r="H36" s="26">
        <f>[2]Vendedor15!$J$6</f>
        <v>92600</v>
      </c>
      <c r="I36" s="22">
        <f>[2]Vendedor15!$K$6</f>
        <v>9260</v>
      </c>
      <c r="J36" s="24">
        <f>[2]Vendedor15!$L$6</f>
        <v>0</v>
      </c>
      <c r="K36" s="25">
        <f>[2]Vendedor15!$J$7</f>
        <v>118000</v>
      </c>
      <c r="L36" s="22">
        <f>[2]Vendedor15!$K$7</f>
        <v>14160</v>
      </c>
      <c r="M36" s="23">
        <f>[2]Vendedor15!$L$7</f>
        <v>161500</v>
      </c>
      <c r="N36" s="26">
        <f>[2]Vendedor15!$J$8</f>
        <v>35700</v>
      </c>
      <c r="O36" s="22">
        <f>[2]Vendedor15!$K$8</f>
        <v>4284</v>
      </c>
      <c r="P36" s="24">
        <f>[2]Vendedor15!$L$8</f>
        <v>34000</v>
      </c>
      <c r="Q36" s="26">
        <f>[2]Vendedor15!$J$10</f>
        <v>0</v>
      </c>
      <c r="R36" s="22">
        <f>[2]Vendedor15!$K$10</f>
        <v>0</v>
      </c>
      <c r="S36" s="24">
        <f>[2]Vendedor15!$L$10</f>
        <v>0</v>
      </c>
      <c r="T36" s="25">
        <f t="shared" si="5"/>
        <v>727900</v>
      </c>
      <c r="U36" s="22">
        <f t="shared" si="2"/>
        <v>85496</v>
      </c>
      <c r="V36" s="22">
        <f t="shared" si="3"/>
        <v>629000</v>
      </c>
      <c r="W36" s="22">
        <v>0</v>
      </c>
      <c r="X36" s="24">
        <f t="shared" si="4"/>
        <v>13404</v>
      </c>
    </row>
    <row r="37" spans="1:24" ht="16.5" thickBot="1">
      <c r="A37" s="5" t="s">
        <v>46</v>
      </c>
      <c r="B37" s="27">
        <f t="shared" ref="B37:S37" si="6">SUM(B6:B36)</f>
        <v>5344750</v>
      </c>
      <c r="C37" s="28">
        <f t="shared" si="6"/>
        <v>641370</v>
      </c>
      <c r="D37" s="29">
        <f t="shared" si="6"/>
        <v>6302750</v>
      </c>
      <c r="E37" s="30">
        <f t="shared" si="6"/>
        <v>4815850</v>
      </c>
      <c r="F37" s="28">
        <f t="shared" si="6"/>
        <v>577902</v>
      </c>
      <c r="G37" s="31">
        <f t="shared" si="6"/>
        <v>4054500</v>
      </c>
      <c r="H37" s="30">
        <f t="shared" si="6"/>
        <v>1954200</v>
      </c>
      <c r="I37" s="28">
        <f t="shared" si="6"/>
        <v>195420</v>
      </c>
      <c r="J37" s="31">
        <f t="shared" si="6"/>
        <v>1540000</v>
      </c>
      <c r="K37" s="77">
        <f t="shared" si="6"/>
        <v>2836400</v>
      </c>
      <c r="L37" s="32">
        <f t="shared" si="6"/>
        <v>340368</v>
      </c>
      <c r="M37" s="78">
        <f t="shared" si="6"/>
        <v>2715750</v>
      </c>
      <c r="N37" s="30">
        <f t="shared" si="6"/>
        <v>664300</v>
      </c>
      <c r="O37" s="28">
        <f t="shared" si="6"/>
        <v>79716</v>
      </c>
      <c r="P37" s="31">
        <f t="shared" si="6"/>
        <v>412250</v>
      </c>
      <c r="Q37" s="30">
        <f t="shared" si="6"/>
        <v>3750</v>
      </c>
      <c r="R37" s="28">
        <f t="shared" si="6"/>
        <v>450</v>
      </c>
      <c r="S37" s="31">
        <f t="shared" si="6"/>
        <v>21250</v>
      </c>
      <c r="T37" s="60">
        <f>SUM(T6:T36)</f>
        <v>15619250</v>
      </c>
      <c r="U37" s="32">
        <f>SUM(U6:U36)</f>
        <v>1835226</v>
      </c>
      <c r="V37" s="32">
        <f>SUM(V6:V36)</f>
        <v>15046500</v>
      </c>
      <c r="W37" s="32">
        <f>SUM(W5:W36)</f>
        <v>0</v>
      </c>
      <c r="X37" s="33">
        <f>SUM(X5:X36)</f>
        <v>-1262476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82</v>
      </c>
      <c r="C2" s="135"/>
      <c r="D2" s="135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[3]Resumen!$B$18</f>
        <v>0</v>
      </c>
      <c r="C6" s="58">
        <f>[3]Resumen!$C$18</f>
        <v>0</v>
      </c>
      <c r="D6" s="54">
        <f>[3]Resumen!$D$18</f>
        <v>0</v>
      </c>
      <c r="E6" s="53">
        <f>[3]Resumen!$E$18</f>
        <v>0</v>
      </c>
      <c r="F6" s="58">
        <f>[3]Resumen!$F$18</f>
        <v>0</v>
      </c>
      <c r="G6" s="55">
        <f>[3]Resumen!$G$18</f>
        <v>0</v>
      </c>
      <c r="H6" s="61">
        <f>[3]Resumen!$H$18</f>
        <v>0</v>
      </c>
      <c r="I6" s="58">
        <f>[3]Resumen!$I$18</f>
        <v>0</v>
      </c>
      <c r="J6" s="54">
        <f>[3]Resumen!$J$18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[4]Resumen!$B$18</f>
        <v>0</v>
      </c>
      <c r="C7" s="15">
        <f>[4]Resumen!$C$18</f>
        <v>0</v>
      </c>
      <c r="D7" s="16">
        <f>[4]Resumen!$D$18</f>
        <v>0</v>
      </c>
      <c r="E7" s="14">
        <f>[4]Resumen!$E$18</f>
        <v>0</v>
      </c>
      <c r="F7" s="15">
        <f>[4]Resumen!$F$18</f>
        <v>0</v>
      </c>
      <c r="G7" s="17">
        <f>[4]Resumen!$G$18</f>
        <v>0</v>
      </c>
      <c r="H7" s="18">
        <f>[4]Resumen!$H$18</f>
        <v>0</v>
      </c>
      <c r="I7" s="15">
        <f>[4]Resumen!$I$18</f>
        <v>0</v>
      </c>
      <c r="J7" s="16">
        <f>[4]Resumen!$J$18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[5]Resumen!$B$18</f>
        <v>0</v>
      </c>
      <c r="C8" s="15">
        <f>[5]Resumen!$C$18</f>
        <v>0</v>
      </c>
      <c r="D8" s="16">
        <f>[5]Resumen!$D$18</f>
        <v>0</v>
      </c>
      <c r="E8" s="14">
        <f>[5]Resumen!$E$18</f>
        <v>0</v>
      </c>
      <c r="F8" s="15">
        <f>[5]Resumen!$F$18</f>
        <v>0</v>
      </c>
      <c r="G8" s="17">
        <f>[5]Resumen!$G$18</f>
        <v>0</v>
      </c>
      <c r="H8" s="18">
        <f>[5]Resumen!$H$18</f>
        <v>0</v>
      </c>
      <c r="I8" s="15">
        <f>[5]Resumen!$I$18</f>
        <v>0</v>
      </c>
      <c r="J8" s="16">
        <f>[5]Resumen!$J$18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[6]Resumen!$B$18</f>
        <v>0</v>
      </c>
      <c r="C9" s="15">
        <f>[6]Resumen!$C$18</f>
        <v>0</v>
      </c>
      <c r="D9" s="16">
        <f>[6]Resumen!$D$18</f>
        <v>0</v>
      </c>
      <c r="E9" s="14">
        <f>[6]Resumen!$E$18</f>
        <v>0</v>
      </c>
      <c r="F9" s="15">
        <f>[6]Resumen!$F$18</f>
        <v>0</v>
      </c>
      <c r="G9" s="17">
        <f>[6]Resumen!$G$18</f>
        <v>0</v>
      </c>
      <c r="H9" s="18">
        <f>[6]Resumen!$H$18</f>
        <v>0</v>
      </c>
      <c r="I9" s="15">
        <f>[6]Resumen!$I$18</f>
        <v>0</v>
      </c>
      <c r="J9" s="16">
        <f>[6]Resumen!$J$18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[7]Resumen!$B$18</f>
        <v>0</v>
      </c>
      <c r="C10" s="15">
        <f>[7]Resumen!$C$18</f>
        <v>0</v>
      </c>
      <c r="D10" s="16">
        <f>[7]Resumen!$D$18</f>
        <v>0</v>
      </c>
      <c r="E10" s="14">
        <f>[7]Resumen!$E$18</f>
        <v>0</v>
      </c>
      <c r="F10" s="15">
        <f>[7]Resumen!$F$18</f>
        <v>0</v>
      </c>
      <c r="G10" s="17">
        <f>[7]Resumen!$G$18</f>
        <v>0</v>
      </c>
      <c r="H10" s="18">
        <f>[7]Resumen!$H$18</f>
        <v>0</v>
      </c>
      <c r="I10" s="15">
        <f>[7]Resumen!$I$18</f>
        <v>0</v>
      </c>
      <c r="J10" s="16">
        <f>[7]Resumen!$J$18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[8]Resumen!$B$18</f>
        <v>0</v>
      </c>
      <c r="C11" s="15">
        <f>[8]Resumen!$C$18</f>
        <v>0</v>
      </c>
      <c r="D11" s="16">
        <f>[8]Resumen!$D$18</f>
        <v>0</v>
      </c>
      <c r="E11" s="14">
        <f>[8]Resumen!$E$18</f>
        <v>0</v>
      </c>
      <c r="F11" s="15">
        <f>[8]Resumen!$F$18</f>
        <v>0</v>
      </c>
      <c r="G11" s="17">
        <f>[8]Resumen!$G$18</f>
        <v>0</v>
      </c>
      <c r="H11" s="18">
        <f>[8]Resumen!$H$18</f>
        <v>0</v>
      </c>
      <c r="I11" s="15">
        <f>[8]Resumen!$I$18</f>
        <v>0</v>
      </c>
      <c r="J11" s="16">
        <f>[8]Resumen!$J$18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[9]Resumen!$B$18</f>
        <v>0</v>
      </c>
      <c r="C12" s="15">
        <f>[9]Resumen!$C$18</f>
        <v>0</v>
      </c>
      <c r="D12" s="16">
        <f>[9]Resumen!$D$18</f>
        <v>0</v>
      </c>
      <c r="E12" s="14">
        <f>[9]Resumen!$E$18</f>
        <v>0</v>
      </c>
      <c r="F12" s="15">
        <f>[9]Resumen!$F$18</f>
        <v>0</v>
      </c>
      <c r="G12" s="17">
        <f>[9]Resumen!$G$18</f>
        <v>0</v>
      </c>
      <c r="H12" s="18">
        <f>[9]Resumen!$H$18</f>
        <v>0</v>
      </c>
      <c r="I12" s="15">
        <f>[9]Resumen!$I$18</f>
        <v>0</v>
      </c>
      <c r="J12" s="16">
        <f>[9]Resumen!$J$18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[10]Resumen!$B$18</f>
        <v>0</v>
      </c>
      <c r="C13" s="15">
        <f>[10]Resumen!$C$18</f>
        <v>0</v>
      </c>
      <c r="D13" s="16">
        <f>[10]Resumen!$D$18</f>
        <v>0</v>
      </c>
      <c r="E13" s="14">
        <f>[10]Resumen!$E$18</f>
        <v>0</v>
      </c>
      <c r="F13" s="15">
        <f>[10]Resumen!$F$18</f>
        <v>0</v>
      </c>
      <c r="G13" s="17">
        <f>[10]Resumen!$G$18</f>
        <v>0</v>
      </c>
      <c r="H13" s="18">
        <f>[10]Resumen!$H$18</f>
        <v>0</v>
      </c>
      <c r="I13" s="15">
        <f>[10]Resumen!$I$18</f>
        <v>0</v>
      </c>
      <c r="J13" s="16">
        <f>[10]Resumen!$J$18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[11]Resumen!$B$18</f>
        <v>0</v>
      </c>
      <c r="C14" s="15">
        <f>[11]Resumen!$C$18</f>
        <v>0</v>
      </c>
      <c r="D14" s="16">
        <f>[11]Resumen!$D$18</f>
        <v>0</v>
      </c>
      <c r="E14" s="14">
        <f>[11]Resumen!$E$18</f>
        <v>0</v>
      </c>
      <c r="F14" s="15">
        <f>[11]Resumen!$F$18</f>
        <v>0</v>
      </c>
      <c r="G14" s="17">
        <f>[11]Resumen!$G$18</f>
        <v>0</v>
      </c>
      <c r="H14" s="18">
        <f>[11]Resumen!$H$18</f>
        <v>0</v>
      </c>
      <c r="I14" s="15">
        <f>[11]Resumen!$I$18</f>
        <v>0</v>
      </c>
      <c r="J14" s="16">
        <f>[11]Resumen!$J$18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[12]Resumen!$B$18</f>
        <v>0</v>
      </c>
      <c r="C15" s="15">
        <f>[12]Resumen!$C$18</f>
        <v>0</v>
      </c>
      <c r="D15" s="16">
        <f>[12]Resumen!$D$18</f>
        <v>0</v>
      </c>
      <c r="E15" s="14">
        <f>[12]Resumen!$E$18</f>
        <v>0</v>
      </c>
      <c r="F15" s="15">
        <f>[12]Resumen!$F$18</f>
        <v>0</v>
      </c>
      <c r="G15" s="17">
        <f>[12]Resumen!$G$18</f>
        <v>0</v>
      </c>
      <c r="H15" s="18">
        <f>[12]Resumen!$H$18</f>
        <v>0</v>
      </c>
      <c r="I15" s="15">
        <f>[12]Resumen!$I$18</f>
        <v>0</v>
      </c>
      <c r="J15" s="16">
        <f>[12]Resumen!$J$18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[13]Resumen!$B$18</f>
        <v>0</v>
      </c>
      <c r="C16" s="15">
        <f>[13]Resumen!$C$18</f>
        <v>0</v>
      </c>
      <c r="D16" s="16">
        <f>[13]Resumen!$D$18</f>
        <v>0</v>
      </c>
      <c r="E16" s="14">
        <f>[13]Resumen!$E$18</f>
        <v>0</v>
      </c>
      <c r="F16" s="15">
        <f>[13]Resumen!$F$18</f>
        <v>0</v>
      </c>
      <c r="G16" s="17">
        <f>[13]Resumen!$G$18</f>
        <v>0</v>
      </c>
      <c r="H16" s="18">
        <f>[13]Resumen!$H$18</f>
        <v>0</v>
      </c>
      <c r="I16" s="15">
        <f>[13]Resumen!$I$18</f>
        <v>0</v>
      </c>
      <c r="J16" s="16">
        <f>[13]Resumen!$J$18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[14]Resumen!$B$18</f>
        <v>0</v>
      </c>
      <c r="C17" s="15">
        <f>[14]Resumen!$C$18</f>
        <v>0</v>
      </c>
      <c r="D17" s="16">
        <f>[14]Resumen!$D$18</f>
        <v>0</v>
      </c>
      <c r="E17" s="14">
        <f>[14]Resumen!$E$18</f>
        <v>0</v>
      </c>
      <c r="F17" s="15">
        <f>[14]Resumen!$F$18</f>
        <v>0</v>
      </c>
      <c r="G17" s="17">
        <f>[14]Resumen!$G$18</f>
        <v>0</v>
      </c>
      <c r="H17" s="18">
        <f>[14]Resumen!$H$18</f>
        <v>0</v>
      </c>
      <c r="I17" s="15">
        <f>[14]Resumen!$I$18</f>
        <v>0</v>
      </c>
      <c r="J17" s="16">
        <f>[14]Resumen!$J$18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[15]Resumen!$B$18</f>
        <v>0</v>
      </c>
      <c r="C18" s="15">
        <f>[15]Resumen!$C$18</f>
        <v>0</v>
      </c>
      <c r="D18" s="16">
        <f>[15]Resumen!$D$18</f>
        <v>0</v>
      </c>
      <c r="E18" s="14">
        <f>[15]Resumen!$E$18</f>
        <v>0</v>
      </c>
      <c r="F18" s="15">
        <f>[15]Resumen!$F$18</f>
        <v>0</v>
      </c>
      <c r="G18" s="17">
        <f>[15]Resumen!$G$18</f>
        <v>0</v>
      </c>
      <c r="H18" s="18">
        <f>[15]Resumen!$H$18</f>
        <v>0</v>
      </c>
      <c r="I18" s="15">
        <f>[15]Resumen!$I$18</f>
        <v>0</v>
      </c>
      <c r="J18" s="16">
        <f>[15]Resumen!$J$18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[16]Resumen!$B$18</f>
        <v>0</v>
      </c>
      <c r="C19" s="15">
        <f>[16]Resumen!$C$18</f>
        <v>0</v>
      </c>
      <c r="D19" s="16">
        <f>[16]Resumen!$D$18</f>
        <v>0</v>
      </c>
      <c r="E19" s="14">
        <f>[16]Resumen!$E$18</f>
        <v>0</v>
      </c>
      <c r="F19" s="15">
        <f>[16]Resumen!$F$18</f>
        <v>0</v>
      </c>
      <c r="G19" s="17">
        <f>[16]Resumen!$G$18</f>
        <v>0</v>
      </c>
      <c r="H19" s="18">
        <f>[16]Resumen!$H$18</f>
        <v>0</v>
      </c>
      <c r="I19" s="15">
        <f>[16]Resumen!$I$18</f>
        <v>0</v>
      </c>
      <c r="J19" s="16">
        <f>[16]Resumen!$J$18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[17]Resumen!$B$18</f>
        <v>0</v>
      </c>
      <c r="C20" s="15">
        <f>[17]Resumen!$C$18</f>
        <v>0</v>
      </c>
      <c r="D20" s="16">
        <f>[17]Resumen!$D$18</f>
        <v>0</v>
      </c>
      <c r="E20" s="14">
        <f>[17]Resumen!$E$18</f>
        <v>0</v>
      </c>
      <c r="F20" s="15">
        <f>[17]Resumen!$F$18</f>
        <v>0</v>
      </c>
      <c r="G20" s="17">
        <f>[17]Resumen!$G$18</f>
        <v>0</v>
      </c>
      <c r="H20" s="18">
        <f>[17]Resumen!$H$18</f>
        <v>0</v>
      </c>
      <c r="I20" s="15">
        <f>[17]Resumen!$I$18</f>
        <v>0</v>
      </c>
      <c r="J20" s="16">
        <f>[17]Resumen!$J$18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[18]Resumen!$B$18</f>
        <v>0</v>
      </c>
      <c r="C21" s="15">
        <f>[18]Resumen!$C$18</f>
        <v>0</v>
      </c>
      <c r="D21" s="16">
        <f>[18]Resumen!$D$18</f>
        <v>0</v>
      </c>
      <c r="E21" s="14">
        <f>[18]Resumen!$E$18</f>
        <v>0</v>
      </c>
      <c r="F21" s="15">
        <f>[18]Resumen!$F$18</f>
        <v>0</v>
      </c>
      <c r="G21" s="17">
        <f>[18]Resumen!$G$18</f>
        <v>0</v>
      </c>
      <c r="H21" s="18">
        <f>[18]Resumen!$H$18</f>
        <v>0</v>
      </c>
      <c r="I21" s="15">
        <f>[18]Resumen!$I$18</f>
        <v>0</v>
      </c>
      <c r="J21" s="16">
        <f>[18]Resumen!$J$18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[19]Resumen!$B$18</f>
        <v>0</v>
      </c>
      <c r="C22" s="15">
        <f>[19]Resumen!$C$18</f>
        <v>0</v>
      </c>
      <c r="D22" s="16">
        <f>[19]Resumen!$D$18</f>
        <v>0</v>
      </c>
      <c r="E22" s="14">
        <f>[19]Resumen!$E$18</f>
        <v>0</v>
      </c>
      <c r="F22" s="15">
        <f>[19]Resumen!$F$18</f>
        <v>0</v>
      </c>
      <c r="G22" s="17">
        <f>[19]Resumen!$G$18</f>
        <v>0</v>
      </c>
      <c r="H22" s="18">
        <f>[19]Resumen!$H$18</f>
        <v>0</v>
      </c>
      <c r="I22" s="15">
        <f>[19]Resumen!$I$18</f>
        <v>0</v>
      </c>
      <c r="J22" s="16">
        <f>[19]Resumen!$J$18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[20]Resumen!$B$18</f>
        <v>0</v>
      </c>
      <c r="C23" s="15">
        <f>[20]Resumen!$C$18</f>
        <v>0</v>
      </c>
      <c r="D23" s="16">
        <f>[20]Resumen!$D$18</f>
        <v>0</v>
      </c>
      <c r="E23" s="14">
        <f>[20]Resumen!$E$18</f>
        <v>0</v>
      </c>
      <c r="F23" s="15">
        <f>[20]Resumen!$F$18</f>
        <v>0</v>
      </c>
      <c r="G23" s="17">
        <f>[20]Resumen!$G$18</f>
        <v>0</v>
      </c>
      <c r="H23" s="18">
        <f>[20]Resumen!$H$18</f>
        <v>0</v>
      </c>
      <c r="I23" s="15">
        <f>[20]Resumen!$I$18</f>
        <v>0</v>
      </c>
      <c r="J23" s="16">
        <f>[20]Resumen!$J$18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[21]Resumen!$B$18</f>
        <v>0</v>
      </c>
      <c r="C24" s="15">
        <f>[21]Resumen!$C$18</f>
        <v>0</v>
      </c>
      <c r="D24" s="16">
        <f>[21]Resumen!$D$18</f>
        <v>0</v>
      </c>
      <c r="E24" s="14">
        <f>[21]Resumen!$E$18</f>
        <v>0</v>
      </c>
      <c r="F24" s="15">
        <f>[21]Resumen!$F$18</f>
        <v>0</v>
      </c>
      <c r="G24" s="17">
        <f>[21]Resumen!$G$18</f>
        <v>0</v>
      </c>
      <c r="H24" s="18">
        <f>[21]Resumen!$H$18</f>
        <v>0</v>
      </c>
      <c r="I24" s="15">
        <f>[21]Resumen!$I$18</f>
        <v>0</v>
      </c>
      <c r="J24" s="16">
        <f>[21]Resumen!$J$18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[22]Resumen!$B$18</f>
        <v>0</v>
      </c>
      <c r="C25" s="15">
        <f>[22]Resumen!$C$18</f>
        <v>0</v>
      </c>
      <c r="D25" s="16">
        <f>[22]Resumen!$D$18</f>
        <v>0</v>
      </c>
      <c r="E25" s="14">
        <f>[22]Resumen!$E$18</f>
        <v>0</v>
      </c>
      <c r="F25" s="15">
        <f>[22]Resumen!$F$18</f>
        <v>0</v>
      </c>
      <c r="G25" s="17">
        <f>[22]Resumen!$G$18</f>
        <v>0</v>
      </c>
      <c r="H25" s="18">
        <f>[22]Resumen!$H$18</f>
        <v>0</v>
      </c>
      <c r="I25" s="15">
        <f>[22]Resumen!$I$18</f>
        <v>0</v>
      </c>
      <c r="J25" s="16">
        <f>[22]Resumen!$J$18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[23]Resumen!$B$18</f>
        <v>0</v>
      </c>
      <c r="C26" s="15">
        <f>[23]Resumen!$C$18</f>
        <v>0</v>
      </c>
      <c r="D26" s="16">
        <f>[23]Resumen!$D$18</f>
        <v>0</v>
      </c>
      <c r="E26" s="14">
        <f>[23]Resumen!$E$18</f>
        <v>0</v>
      </c>
      <c r="F26" s="15">
        <f>[23]Resumen!$F$18</f>
        <v>0</v>
      </c>
      <c r="G26" s="17">
        <f>[23]Resumen!$G$18</f>
        <v>0</v>
      </c>
      <c r="H26" s="18">
        <f>[23]Resumen!$H$18</f>
        <v>0</v>
      </c>
      <c r="I26" s="15">
        <f>[23]Resumen!$I$18</f>
        <v>0</v>
      </c>
      <c r="J26" s="16">
        <f>[23]Resumen!$J$18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[24]Resumen!$B$18</f>
        <v>0</v>
      </c>
      <c r="C27" s="15">
        <f>[24]Resumen!$C$18</f>
        <v>0</v>
      </c>
      <c r="D27" s="16">
        <f>[24]Resumen!$D$18</f>
        <v>0</v>
      </c>
      <c r="E27" s="14">
        <f>[24]Resumen!$E$18</f>
        <v>0</v>
      </c>
      <c r="F27" s="15">
        <f>[24]Resumen!$F$18</f>
        <v>0</v>
      </c>
      <c r="G27" s="17">
        <f>[24]Resumen!$G$18</f>
        <v>0</v>
      </c>
      <c r="H27" s="18">
        <f>[24]Resumen!$H$18</f>
        <v>0</v>
      </c>
      <c r="I27" s="15">
        <f>[24]Resumen!$I$18</f>
        <v>0</v>
      </c>
      <c r="J27" s="16">
        <f>[24]Resumen!$J$18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[25]Resumen!$B$18</f>
        <v>0</v>
      </c>
      <c r="C28" s="15">
        <f>[25]Resumen!$C$18</f>
        <v>0</v>
      </c>
      <c r="D28" s="16">
        <f>[25]Resumen!$D$18</f>
        <v>0</v>
      </c>
      <c r="E28" s="14">
        <f>[25]Resumen!$E$18</f>
        <v>0</v>
      </c>
      <c r="F28" s="15">
        <f>[25]Resumen!$F$18</f>
        <v>0</v>
      </c>
      <c r="G28" s="17">
        <f>[25]Resumen!$G$18</f>
        <v>0</v>
      </c>
      <c r="H28" s="18">
        <f>[25]Resumen!$H$18</f>
        <v>0</v>
      </c>
      <c r="I28" s="15">
        <f>[25]Resumen!$I$18</f>
        <v>0</v>
      </c>
      <c r="J28" s="16">
        <f>[25]Resumen!$J$18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[26]Resumen!$B$18</f>
        <v>0</v>
      </c>
      <c r="C29" s="15">
        <f>[26]Resumen!$C$18</f>
        <v>0</v>
      </c>
      <c r="D29" s="16">
        <f>[26]Resumen!$D$18</f>
        <v>0</v>
      </c>
      <c r="E29" s="14">
        <f>[26]Resumen!$E$18</f>
        <v>0</v>
      </c>
      <c r="F29" s="15">
        <f>[26]Resumen!$F$18</f>
        <v>0</v>
      </c>
      <c r="G29" s="17">
        <f>[26]Resumen!$G$18</f>
        <v>0</v>
      </c>
      <c r="H29" s="18">
        <f>[26]Resumen!$H$18</f>
        <v>0</v>
      </c>
      <c r="I29" s="15">
        <f>[26]Resumen!$I$18</f>
        <v>0</v>
      </c>
      <c r="J29" s="16">
        <f>[26]Resumen!$J$18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[27]Resumen!$B$18</f>
        <v>0</v>
      </c>
      <c r="C30" s="15">
        <f>[27]Resumen!$C$18</f>
        <v>0</v>
      </c>
      <c r="D30" s="16">
        <f>[27]Resumen!$D$18</f>
        <v>0</v>
      </c>
      <c r="E30" s="14">
        <f>[27]Resumen!$E$18</f>
        <v>0</v>
      </c>
      <c r="F30" s="15">
        <f>[27]Resumen!$F$18</f>
        <v>0</v>
      </c>
      <c r="G30" s="17">
        <f>[27]Resumen!$G$18</f>
        <v>0</v>
      </c>
      <c r="H30" s="18">
        <f>[27]Resumen!$H$18</f>
        <v>0</v>
      </c>
      <c r="I30" s="15">
        <f>[27]Resumen!$I$18</f>
        <v>0</v>
      </c>
      <c r="J30" s="16">
        <f>[27]Resumen!$J$18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[28]Resumen!$B$18</f>
        <v>0</v>
      </c>
      <c r="C31" s="15">
        <f>[28]Resumen!$C$18</f>
        <v>0</v>
      </c>
      <c r="D31" s="16">
        <f>[28]Resumen!$D$18</f>
        <v>0</v>
      </c>
      <c r="E31" s="14">
        <f>[28]Resumen!$E$18</f>
        <v>0</v>
      </c>
      <c r="F31" s="15">
        <f>[28]Resumen!$F$18</f>
        <v>0</v>
      </c>
      <c r="G31" s="17">
        <f>[28]Resumen!$G$18</f>
        <v>0</v>
      </c>
      <c r="H31" s="18">
        <f>[28]Resumen!$H$18</f>
        <v>0</v>
      </c>
      <c r="I31" s="15">
        <f>[28]Resumen!$I$18</f>
        <v>0</v>
      </c>
      <c r="J31" s="16">
        <f>[28]Resumen!$J$18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[29]Resumen!$B$18</f>
        <v>0</v>
      </c>
      <c r="C32" s="15">
        <f>[29]Resumen!$C$18</f>
        <v>0</v>
      </c>
      <c r="D32" s="16">
        <f>[29]Resumen!$D$18</f>
        <v>0</v>
      </c>
      <c r="E32" s="14">
        <f>[29]Resumen!$E$18</f>
        <v>0</v>
      </c>
      <c r="F32" s="15">
        <f>[29]Resumen!$F$18</f>
        <v>0</v>
      </c>
      <c r="G32" s="17">
        <f>[29]Resumen!$G$18</f>
        <v>0</v>
      </c>
      <c r="H32" s="18">
        <f>[29]Resumen!$H$18</f>
        <v>0</v>
      </c>
      <c r="I32" s="15">
        <f>[29]Resumen!$I$18</f>
        <v>0</v>
      </c>
      <c r="J32" s="16">
        <f>[29]Resumen!$J$18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[30]Resumen!$B$18</f>
        <v>0</v>
      </c>
      <c r="C33" s="15">
        <f>[30]Resumen!$C$18</f>
        <v>0</v>
      </c>
      <c r="D33" s="16">
        <f>[30]Resumen!$D$18</f>
        <v>0</v>
      </c>
      <c r="E33" s="14">
        <f>[30]Resumen!$E$18</f>
        <v>0</v>
      </c>
      <c r="F33" s="15">
        <f>[30]Resumen!$F$18</f>
        <v>0</v>
      </c>
      <c r="G33" s="17">
        <f>[30]Resumen!$G$18</f>
        <v>0</v>
      </c>
      <c r="H33" s="18">
        <f>[30]Resumen!$H$18</f>
        <v>0</v>
      </c>
      <c r="I33" s="15">
        <f>[30]Resumen!$I$18</f>
        <v>0</v>
      </c>
      <c r="J33" s="16">
        <f>[30]Resumen!$J$18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[31]Resumen!$B$18</f>
        <v>0</v>
      </c>
      <c r="C34" s="15">
        <f>[31]Resumen!$C$18</f>
        <v>0</v>
      </c>
      <c r="D34" s="16">
        <f>[31]Resumen!$D$18</f>
        <v>0</v>
      </c>
      <c r="E34" s="14">
        <f>[31]Resumen!$E$18</f>
        <v>0</v>
      </c>
      <c r="F34" s="15">
        <f>[31]Resumen!$F$18</f>
        <v>0</v>
      </c>
      <c r="G34" s="17">
        <f>[31]Resumen!$G$18</f>
        <v>0</v>
      </c>
      <c r="H34" s="18">
        <f>[31]Resumen!$H$18</f>
        <v>0</v>
      </c>
      <c r="I34" s="15">
        <f>[31]Resumen!$I$18</f>
        <v>0</v>
      </c>
      <c r="J34" s="16">
        <f>[31]Resumen!$J$18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[1]Resumen!$B$18</f>
        <v>0</v>
      </c>
      <c r="C35" s="15">
        <f>[1]Resumen!$C$18</f>
        <v>0</v>
      </c>
      <c r="D35" s="16">
        <f>[1]Resumen!$D$18</f>
        <v>0</v>
      </c>
      <c r="E35" s="14">
        <f>[1]Resumen!$E$18</f>
        <v>0</v>
      </c>
      <c r="F35" s="15">
        <f>[1]Resumen!$F$18</f>
        <v>0</v>
      </c>
      <c r="G35" s="17">
        <f>[1]Resumen!$G$18</f>
        <v>0</v>
      </c>
      <c r="H35" s="18">
        <f>[1]Resumen!$H$18</f>
        <v>0</v>
      </c>
      <c r="I35" s="15">
        <f>[1]Resumen!$I$18</f>
        <v>0</v>
      </c>
      <c r="J35" s="16">
        <f>[1]Resumen!$J$18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+[2]Resumen!$B$18</f>
        <v>0</v>
      </c>
      <c r="C36" s="22">
        <f>+[2]Resumen!$C$18</f>
        <v>0</v>
      </c>
      <c r="D36" s="23">
        <f>+[2]Resumen!$D$18</f>
        <v>0</v>
      </c>
      <c r="E36" s="21">
        <f>+[2]Resumen!$E$18</f>
        <v>0</v>
      </c>
      <c r="F36" s="22">
        <f>+[2]Resumen!$F$18</f>
        <v>0</v>
      </c>
      <c r="G36" s="24">
        <f>+[2]Resumen!$G$18</f>
        <v>0</v>
      </c>
      <c r="H36" s="25">
        <f>+[2]Resumen!$H$18</f>
        <v>0</v>
      </c>
      <c r="I36" s="22">
        <f>+[2]Resumen!$I$18</f>
        <v>0</v>
      </c>
      <c r="J36" s="23">
        <f>+[2]Resumen!$J$18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>
      <selection activeCell="H17" sqref="H17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[3]Resumen!$B$19</f>
        <v>0</v>
      </c>
      <c r="C6" s="58">
        <f>[3]Resumen!$C$19</f>
        <v>0</v>
      </c>
      <c r="D6" s="54">
        <f>[3]Resumen!$D$19</f>
        <v>0</v>
      </c>
      <c r="E6" s="53">
        <f>[3]Resumen!$E$19</f>
        <v>0</v>
      </c>
      <c r="F6" s="58">
        <f>[3]Resumen!$F$19</f>
        <v>0</v>
      </c>
      <c r="G6" s="55">
        <f>[3]Resumen!$G$19</f>
        <v>0</v>
      </c>
      <c r="H6" s="61">
        <f>[3]Resumen!$H$19</f>
        <v>0</v>
      </c>
      <c r="I6" s="58">
        <f>[3]Resumen!$I$19</f>
        <v>0</v>
      </c>
      <c r="J6" s="54">
        <f>[3]Resumen!$J$19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[4]Resumen!$B$19</f>
        <v>0</v>
      </c>
      <c r="C7" s="15">
        <f>[4]Resumen!$C$19</f>
        <v>0</v>
      </c>
      <c r="D7" s="16">
        <f>[4]Resumen!$D$19</f>
        <v>0</v>
      </c>
      <c r="E7" s="14">
        <f>[4]Resumen!$E$19</f>
        <v>0</v>
      </c>
      <c r="F7" s="15">
        <f>[4]Resumen!$F$19</f>
        <v>0</v>
      </c>
      <c r="G7" s="17">
        <f>[4]Resumen!$G$19</f>
        <v>0</v>
      </c>
      <c r="H7" s="18">
        <f>[4]Resumen!$H$19</f>
        <v>0</v>
      </c>
      <c r="I7" s="15">
        <f>[4]Resumen!$I$19</f>
        <v>0</v>
      </c>
      <c r="J7" s="16">
        <f>[4]Resumen!$J$19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[5]Resumen!$B$19</f>
        <v>0</v>
      </c>
      <c r="C8" s="15">
        <f>[5]Resumen!$C$19</f>
        <v>0</v>
      </c>
      <c r="D8" s="16">
        <f>[5]Resumen!$D$19</f>
        <v>0</v>
      </c>
      <c r="E8" s="14">
        <f>[5]Resumen!$E$19</f>
        <v>0</v>
      </c>
      <c r="F8" s="15">
        <f>[5]Resumen!$F$19</f>
        <v>0</v>
      </c>
      <c r="G8" s="17">
        <f>[5]Resumen!$G$19</f>
        <v>0</v>
      </c>
      <c r="H8" s="18">
        <f>[5]Resumen!$H$19</f>
        <v>0</v>
      </c>
      <c r="I8" s="15">
        <f>[5]Resumen!$I$19</f>
        <v>0</v>
      </c>
      <c r="J8" s="16">
        <f>[5]Resumen!$J$19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[6]Resumen!$B$19</f>
        <v>0</v>
      </c>
      <c r="C9" s="15">
        <f>[6]Resumen!$C$19</f>
        <v>0</v>
      </c>
      <c r="D9" s="16">
        <f>[6]Resumen!$D$19</f>
        <v>0</v>
      </c>
      <c r="E9" s="14">
        <f>[6]Resumen!$E$19</f>
        <v>0</v>
      </c>
      <c r="F9" s="15">
        <f>[6]Resumen!$F$19</f>
        <v>0</v>
      </c>
      <c r="G9" s="17">
        <f>[6]Resumen!$G$19</f>
        <v>0</v>
      </c>
      <c r="H9" s="18">
        <f>[6]Resumen!$H$19</f>
        <v>0</v>
      </c>
      <c r="I9" s="15">
        <f>[6]Resumen!$I$19</f>
        <v>0</v>
      </c>
      <c r="J9" s="16">
        <f>[6]Resumen!$J$19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[7]Resumen!$B$19</f>
        <v>0</v>
      </c>
      <c r="C10" s="15">
        <f>[7]Resumen!$C$19</f>
        <v>0</v>
      </c>
      <c r="D10" s="16">
        <f>[7]Resumen!$D$19</f>
        <v>0</v>
      </c>
      <c r="E10" s="14">
        <f>[7]Resumen!$E$19</f>
        <v>0</v>
      </c>
      <c r="F10" s="15">
        <f>[7]Resumen!$F$19</f>
        <v>0</v>
      </c>
      <c r="G10" s="17">
        <f>[7]Resumen!$G$19</f>
        <v>0</v>
      </c>
      <c r="H10" s="18">
        <f>[7]Resumen!$H$19</f>
        <v>0</v>
      </c>
      <c r="I10" s="15">
        <f>[7]Resumen!$I$19</f>
        <v>0</v>
      </c>
      <c r="J10" s="16">
        <f>[7]Resumen!$J$19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[8]Resumen!$B$19</f>
        <v>0</v>
      </c>
      <c r="C11" s="15">
        <f>[8]Resumen!$C$19</f>
        <v>0</v>
      </c>
      <c r="D11" s="16">
        <f>[8]Resumen!$D$19</f>
        <v>0</v>
      </c>
      <c r="E11" s="14">
        <f>[8]Resumen!$E$19</f>
        <v>0</v>
      </c>
      <c r="F11" s="15">
        <f>[8]Resumen!$F$19</f>
        <v>0</v>
      </c>
      <c r="G11" s="17">
        <f>[8]Resumen!$G$19</f>
        <v>0</v>
      </c>
      <c r="H11" s="18">
        <f>[8]Resumen!$H$19</f>
        <v>0</v>
      </c>
      <c r="I11" s="15">
        <f>[8]Resumen!$I$19</f>
        <v>0</v>
      </c>
      <c r="J11" s="16">
        <f>[8]Resumen!$J$19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[9]Resumen!$B$19</f>
        <v>0</v>
      </c>
      <c r="C12" s="15">
        <f>[9]Resumen!$C$19</f>
        <v>0</v>
      </c>
      <c r="D12" s="16">
        <f>[9]Resumen!$D$19</f>
        <v>0</v>
      </c>
      <c r="E12" s="14">
        <f>[9]Resumen!$E$19</f>
        <v>0</v>
      </c>
      <c r="F12" s="15">
        <f>[9]Resumen!$F$19</f>
        <v>0</v>
      </c>
      <c r="G12" s="17">
        <f>[9]Resumen!$G$19</f>
        <v>0</v>
      </c>
      <c r="H12" s="18">
        <f>[9]Resumen!$H$19</f>
        <v>0</v>
      </c>
      <c r="I12" s="15">
        <f>[9]Resumen!$I$19</f>
        <v>0</v>
      </c>
      <c r="J12" s="16">
        <f>[9]Resumen!$J$19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[10]Resumen!$B$19</f>
        <v>0</v>
      </c>
      <c r="C13" s="15">
        <f>[10]Resumen!$C$19</f>
        <v>0</v>
      </c>
      <c r="D13" s="16">
        <f>[10]Resumen!$D$19</f>
        <v>0</v>
      </c>
      <c r="E13" s="14">
        <f>[10]Resumen!$E$19</f>
        <v>0</v>
      </c>
      <c r="F13" s="15">
        <f>[10]Resumen!$F$19</f>
        <v>0</v>
      </c>
      <c r="G13" s="17">
        <f>[10]Resumen!$G$19</f>
        <v>0</v>
      </c>
      <c r="H13" s="18">
        <f>[10]Resumen!$H$19</f>
        <v>0</v>
      </c>
      <c r="I13" s="15">
        <f>[10]Resumen!$I$19</f>
        <v>0</v>
      </c>
      <c r="J13" s="16">
        <f>[10]Resumen!$J$19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[11]Resumen!$B$19</f>
        <v>0</v>
      </c>
      <c r="C14" s="15">
        <f>[11]Resumen!$C$19</f>
        <v>0</v>
      </c>
      <c r="D14" s="16">
        <f>[11]Resumen!$D$19</f>
        <v>0</v>
      </c>
      <c r="E14" s="14">
        <f>[11]Resumen!$E$19</f>
        <v>0</v>
      </c>
      <c r="F14" s="15">
        <f>[11]Resumen!$F$19</f>
        <v>0</v>
      </c>
      <c r="G14" s="17">
        <f>[11]Resumen!$G$19</f>
        <v>0</v>
      </c>
      <c r="H14" s="18">
        <f>[11]Resumen!$H$19</f>
        <v>0</v>
      </c>
      <c r="I14" s="15">
        <f>[11]Resumen!$I$19</f>
        <v>0</v>
      </c>
      <c r="J14" s="16">
        <f>[11]Resumen!$J$19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[12]Resumen!$B$19</f>
        <v>0</v>
      </c>
      <c r="C15" s="15">
        <f>[12]Resumen!$C$19</f>
        <v>0</v>
      </c>
      <c r="D15" s="16">
        <f>[12]Resumen!$D$19</f>
        <v>0</v>
      </c>
      <c r="E15" s="14">
        <f>[12]Resumen!$E$19</f>
        <v>0</v>
      </c>
      <c r="F15" s="15">
        <f>[12]Resumen!$F$19</f>
        <v>0</v>
      </c>
      <c r="G15" s="17">
        <f>[12]Resumen!$G$19</f>
        <v>0</v>
      </c>
      <c r="H15" s="18">
        <f>[12]Resumen!$H$19</f>
        <v>0</v>
      </c>
      <c r="I15" s="15">
        <f>[12]Resumen!$I$19</f>
        <v>0</v>
      </c>
      <c r="J15" s="16">
        <f>[12]Resumen!$J$19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[13]Resumen!$B$19</f>
        <v>0</v>
      </c>
      <c r="C16" s="15">
        <f>[13]Resumen!$C$19</f>
        <v>0</v>
      </c>
      <c r="D16" s="16">
        <f>[13]Resumen!$D$19</f>
        <v>0</v>
      </c>
      <c r="E16" s="14">
        <f>[13]Resumen!$E$19</f>
        <v>0</v>
      </c>
      <c r="F16" s="15">
        <f>[13]Resumen!$F$19</f>
        <v>0</v>
      </c>
      <c r="G16" s="17">
        <f>[13]Resumen!$G$19</f>
        <v>0</v>
      </c>
      <c r="H16" s="18">
        <f>[13]Resumen!$H$19</f>
        <v>0</v>
      </c>
      <c r="I16" s="15">
        <f>[13]Resumen!$I$19</f>
        <v>0</v>
      </c>
      <c r="J16" s="16">
        <f>[13]Resumen!$J$19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[14]Resumen!$B$19</f>
        <v>0</v>
      </c>
      <c r="C17" s="15">
        <f>[14]Resumen!$C$19</f>
        <v>0</v>
      </c>
      <c r="D17" s="16">
        <f>[14]Resumen!$D$19</f>
        <v>0</v>
      </c>
      <c r="E17" s="14">
        <f>[14]Resumen!$E$19</f>
        <v>0</v>
      </c>
      <c r="F17" s="15">
        <f>[14]Resumen!$F$19</f>
        <v>0</v>
      </c>
      <c r="G17" s="17">
        <f>[14]Resumen!$G$19</f>
        <v>0</v>
      </c>
      <c r="H17" s="18">
        <f>[14]Resumen!$H$19</f>
        <v>0</v>
      </c>
      <c r="I17" s="15">
        <f>[14]Resumen!$I$19</f>
        <v>0</v>
      </c>
      <c r="J17" s="16">
        <f>[14]Resumen!$J$19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[15]Resumen!$B$19</f>
        <v>0</v>
      </c>
      <c r="C18" s="15">
        <f>[15]Resumen!$C$19</f>
        <v>0</v>
      </c>
      <c r="D18" s="16">
        <f>[15]Resumen!$D$19</f>
        <v>0</v>
      </c>
      <c r="E18" s="14">
        <f>[15]Resumen!$E$19</f>
        <v>0</v>
      </c>
      <c r="F18" s="15">
        <f>[15]Resumen!$F$19</f>
        <v>0</v>
      </c>
      <c r="G18" s="17">
        <f>[15]Resumen!$G$19</f>
        <v>0</v>
      </c>
      <c r="H18" s="18">
        <f>[15]Resumen!$H$19</f>
        <v>0</v>
      </c>
      <c r="I18" s="15">
        <f>[15]Resumen!$I$19</f>
        <v>0</v>
      </c>
      <c r="J18" s="16">
        <f>[15]Resumen!$J$19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[16]Resumen!$B$19</f>
        <v>0</v>
      </c>
      <c r="C19" s="15">
        <f>[16]Resumen!$C$19</f>
        <v>0</v>
      </c>
      <c r="D19" s="16">
        <f>[16]Resumen!$D$19</f>
        <v>0</v>
      </c>
      <c r="E19" s="14">
        <f>[16]Resumen!$E$19</f>
        <v>0</v>
      </c>
      <c r="F19" s="15">
        <f>[16]Resumen!$F$19</f>
        <v>0</v>
      </c>
      <c r="G19" s="17">
        <f>[16]Resumen!$G$19</f>
        <v>0</v>
      </c>
      <c r="H19" s="18">
        <f>[16]Resumen!$H$19</f>
        <v>0</v>
      </c>
      <c r="I19" s="15">
        <f>[16]Resumen!$I$19</f>
        <v>0</v>
      </c>
      <c r="J19" s="16">
        <f>[16]Resumen!$J$19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[17]Resumen!$B$19</f>
        <v>0</v>
      </c>
      <c r="C20" s="15">
        <f>[17]Resumen!$C$19</f>
        <v>0</v>
      </c>
      <c r="D20" s="16">
        <f>[17]Resumen!$D$19</f>
        <v>0</v>
      </c>
      <c r="E20" s="14">
        <f>[17]Resumen!$E$19</f>
        <v>0</v>
      </c>
      <c r="F20" s="15">
        <f>[17]Resumen!$F$19</f>
        <v>0</v>
      </c>
      <c r="G20" s="17">
        <f>[17]Resumen!$G$19</f>
        <v>0</v>
      </c>
      <c r="H20" s="18">
        <f>[17]Resumen!$H$19</f>
        <v>0</v>
      </c>
      <c r="I20" s="15">
        <f>[17]Resumen!$I$19</f>
        <v>0</v>
      </c>
      <c r="J20" s="16">
        <f>[17]Resumen!$J$19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[18]Resumen!$B$19</f>
        <v>0</v>
      </c>
      <c r="C21" s="15">
        <f>[18]Resumen!$C$19</f>
        <v>0</v>
      </c>
      <c r="D21" s="16">
        <f>[18]Resumen!$D$19</f>
        <v>0</v>
      </c>
      <c r="E21" s="14">
        <f>[18]Resumen!$E$19</f>
        <v>0</v>
      </c>
      <c r="F21" s="15">
        <f>[18]Resumen!$F$19</f>
        <v>0</v>
      </c>
      <c r="G21" s="17">
        <f>[18]Resumen!$G$19</f>
        <v>0</v>
      </c>
      <c r="H21" s="18">
        <f>[18]Resumen!$H$19</f>
        <v>0</v>
      </c>
      <c r="I21" s="15">
        <f>[18]Resumen!$I$19</f>
        <v>0</v>
      </c>
      <c r="J21" s="16">
        <f>[18]Resumen!$J$19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[19]Resumen!$B$19</f>
        <v>0</v>
      </c>
      <c r="C22" s="15">
        <f>[19]Resumen!$C$19</f>
        <v>0</v>
      </c>
      <c r="D22" s="16">
        <f>[19]Resumen!$D$19</f>
        <v>0</v>
      </c>
      <c r="E22" s="14">
        <f>[19]Resumen!$E$19</f>
        <v>0</v>
      </c>
      <c r="F22" s="15">
        <f>[19]Resumen!$F$19</f>
        <v>0</v>
      </c>
      <c r="G22" s="17">
        <f>[19]Resumen!$G$19</f>
        <v>0</v>
      </c>
      <c r="H22" s="18">
        <f>[19]Resumen!$H$19</f>
        <v>0</v>
      </c>
      <c r="I22" s="15">
        <f>[19]Resumen!$I$19</f>
        <v>0</v>
      </c>
      <c r="J22" s="16">
        <f>[19]Resumen!$J$19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[20]Resumen!$B$19</f>
        <v>0</v>
      </c>
      <c r="C23" s="15">
        <f>[20]Resumen!$C$19</f>
        <v>0</v>
      </c>
      <c r="D23" s="16">
        <f>[20]Resumen!$D$19</f>
        <v>0</v>
      </c>
      <c r="E23" s="14">
        <f>[20]Resumen!$E$19</f>
        <v>0</v>
      </c>
      <c r="F23" s="15">
        <f>[20]Resumen!$F$19</f>
        <v>0</v>
      </c>
      <c r="G23" s="17">
        <f>[20]Resumen!$G$19</f>
        <v>0</v>
      </c>
      <c r="H23" s="18">
        <f>[20]Resumen!$H$19</f>
        <v>0</v>
      </c>
      <c r="I23" s="15">
        <f>[20]Resumen!$I$19</f>
        <v>0</v>
      </c>
      <c r="J23" s="16">
        <f>[20]Resumen!$J$19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[21]Resumen!$B$19</f>
        <v>0</v>
      </c>
      <c r="C24" s="15">
        <f>[21]Resumen!$C$19</f>
        <v>0</v>
      </c>
      <c r="D24" s="16">
        <f>[21]Resumen!$D$19</f>
        <v>0</v>
      </c>
      <c r="E24" s="14">
        <f>[21]Resumen!$E$19</f>
        <v>0</v>
      </c>
      <c r="F24" s="15">
        <f>[21]Resumen!$F$19</f>
        <v>0</v>
      </c>
      <c r="G24" s="17">
        <f>[21]Resumen!$G$19</f>
        <v>0</v>
      </c>
      <c r="H24" s="18">
        <f>[21]Resumen!$H$19</f>
        <v>0</v>
      </c>
      <c r="I24" s="15">
        <f>[21]Resumen!$I$19</f>
        <v>0</v>
      </c>
      <c r="J24" s="16">
        <f>[21]Resumen!$J$19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[22]Resumen!$B$19</f>
        <v>0</v>
      </c>
      <c r="C25" s="15">
        <f>[22]Resumen!$C$19</f>
        <v>0</v>
      </c>
      <c r="D25" s="16">
        <f>[22]Resumen!$D$19</f>
        <v>0</v>
      </c>
      <c r="E25" s="14">
        <f>[22]Resumen!$E$19</f>
        <v>0</v>
      </c>
      <c r="F25" s="15">
        <f>[22]Resumen!$F$19</f>
        <v>0</v>
      </c>
      <c r="G25" s="17">
        <f>[22]Resumen!$G$19</f>
        <v>0</v>
      </c>
      <c r="H25" s="18">
        <f>[22]Resumen!$H$19</f>
        <v>0</v>
      </c>
      <c r="I25" s="15">
        <f>[22]Resumen!$I$19</f>
        <v>0</v>
      </c>
      <c r="J25" s="16">
        <f>[22]Resumen!$J$19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[23]Resumen!$B$19</f>
        <v>0</v>
      </c>
      <c r="C26" s="15">
        <f>[23]Resumen!$C$19</f>
        <v>0</v>
      </c>
      <c r="D26" s="16">
        <f>[23]Resumen!$D$19</f>
        <v>0</v>
      </c>
      <c r="E26" s="14">
        <f>[23]Resumen!$E$19</f>
        <v>0</v>
      </c>
      <c r="F26" s="15">
        <f>[23]Resumen!$F$19</f>
        <v>0</v>
      </c>
      <c r="G26" s="17">
        <f>[23]Resumen!$G$19</f>
        <v>0</v>
      </c>
      <c r="H26" s="18">
        <f>[23]Resumen!$H$19</f>
        <v>0</v>
      </c>
      <c r="I26" s="15">
        <f>[23]Resumen!$I$19</f>
        <v>0</v>
      </c>
      <c r="J26" s="16">
        <f>[23]Resumen!$J$19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[24]Resumen!$B$19</f>
        <v>0</v>
      </c>
      <c r="C27" s="15">
        <f>[24]Resumen!$C$19</f>
        <v>0</v>
      </c>
      <c r="D27" s="16">
        <f>[24]Resumen!$D$19</f>
        <v>0</v>
      </c>
      <c r="E27" s="14">
        <f>[24]Resumen!$E$19</f>
        <v>0</v>
      </c>
      <c r="F27" s="15">
        <f>[24]Resumen!$F$19</f>
        <v>0</v>
      </c>
      <c r="G27" s="17">
        <f>[24]Resumen!$G$19</f>
        <v>0</v>
      </c>
      <c r="H27" s="18">
        <f>[24]Resumen!$H$19</f>
        <v>0</v>
      </c>
      <c r="I27" s="15">
        <f>[24]Resumen!$I$19</f>
        <v>0</v>
      </c>
      <c r="J27" s="16">
        <f>[24]Resumen!$J$19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[25]Resumen!$B$19</f>
        <v>0</v>
      </c>
      <c r="C28" s="15">
        <f>[25]Resumen!$C$19</f>
        <v>0</v>
      </c>
      <c r="D28" s="16">
        <f>[25]Resumen!$D$19</f>
        <v>0</v>
      </c>
      <c r="E28" s="14">
        <f>[25]Resumen!$E$19</f>
        <v>0</v>
      </c>
      <c r="F28" s="15">
        <f>[25]Resumen!$F$19</f>
        <v>0</v>
      </c>
      <c r="G28" s="17">
        <f>[25]Resumen!$G$19</f>
        <v>0</v>
      </c>
      <c r="H28" s="18">
        <f>[25]Resumen!$H$19</f>
        <v>0</v>
      </c>
      <c r="I28" s="15">
        <f>[25]Resumen!$I$19</f>
        <v>0</v>
      </c>
      <c r="J28" s="16">
        <f>[25]Resumen!$J$19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[26]Resumen!$B$19</f>
        <v>0</v>
      </c>
      <c r="C29" s="15">
        <f>[26]Resumen!$C$19</f>
        <v>0</v>
      </c>
      <c r="D29" s="16">
        <f>[26]Resumen!$D$19</f>
        <v>0</v>
      </c>
      <c r="E29" s="14">
        <f>[26]Resumen!$E$19</f>
        <v>0</v>
      </c>
      <c r="F29" s="15">
        <f>[26]Resumen!$F$19</f>
        <v>0</v>
      </c>
      <c r="G29" s="17">
        <f>[26]Resumen!$G$19</f>
        <v>0</v>
      </c>
      <c r="H29" s="18">
        <f>[26]Resumen!$H$19</f>
        <v>0</v>
      </c>
      <c r="I29" s="15">
        <f>[26]Resumen!$I$19</f>
        <v>0</v>
      </c>
      <c r="J29" s="16">
        <f>[26]Resumen!$J$19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[27]Resumen!$B$19</f>
        <v>0</v>
      </c>
      <c r="C30" s="15">
        <f>[27]Resumen!$C$19</f>
        <v>0</v>
      </c>
      <c r="D30" s="16">
        <f>[27]Resumen!$D$19</f>
        <v>0</v>
      </c>
      <c r="E30" s="14">
        <f>[27]Resumen!$E$19</f>
        <v>0</v>
      </c>
      <c r="F30" s="15">
        <f>[27]Resumen!$F$19</f>
        <v>0</v>
      </c>
      <c r="G30" s="17">
        <f>[27]Resumen!$G$19</f>
        <v>0</v>
      </c>
      <c r="H30" s="18">
        <f>[27]Resumen!$H$19</f>
        <v>0</v>
      </c>
      <c r="I30" s="15">
        <f>[27]Resumen!$I$19</f>
        <v>0</v>
      </c>
      <c r="J30" s="16">
        <f>[27]Resumen!$J$19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[28]Resumen!$B$19</f>
        <v>0</v>
      </c>
      <c r="C31" s="15">
        <f>[28]Resumen!$C$19</f>
        <v>0</v>
      </c>
      <c r="D31" s="16">
        <f>[28]Resumen!$D$19</f>
        <v>0</v>
      </c>
      <c r="E31" s="14">
        <f>[28]Resumen!$E$19</f>
        <v>0</v>
      </c>
      <c r="F31" s="15">
        <f>[28]Resumen!$F$19</f>
        <v>0</v>
      </c>
      <c r="G31" s="17">
        <f>[28]Resumen!$G$19</f>
        <v>0</v>
      </c>
      <c r="H31" s="18">
        <f>[28]Resumen!$H$19</f>
        <v>0</v>
      </c>
      <c r="I31" s="15">
        <f>[28]Resumen!$I$19</f>
        <v>0</v>
      </c>
      <c r="J31" s="16">
        <f>[28]Resumen!$J$19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[29]Resumen!$B$19</f>
        <v>0</v>
      </c>
      <c r="C32" s="15">
        <f>[29]Resumen!$C$19</f>
        <v>0</v>
      </c>
      <c r="D32" s="16">
        <f>[29]Resumen!$D$19</f>
        <v>0</v>
      </c>
      <c r="E32" s="14">
        <f>[29]Resumen!$E$19</f>
        <v>0</v>
      </c>
      <c r="F32" s="15">
        <f>[29]Resumen!$F$19</f>
        <v>0</v>
      </c>
      <c r="G32" s="17">
        <f>[29]Resumen!$G$19</f>
        <v>0</v>
      </c>
      <c r="H32" s="18">
        <f>[29]Resumen!$H$19</f>
        <v>0</v>
      </c>
      <c r="I32" s="15">
        <f>[29]Resumen!$I$19</f>
        <v>0</v>
      </c>
      <c r="J32" s="16">
        <f>[29]Resumen!$J$19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[30]Resumen!$B$19</f>
        <v>0</v>
      </c>
      <c r="C33" s="15">
        <f>[30]Resumen!$C$19</f>
        <v>0</v>
      </c>
      <c r="D33" s="16">
        <f>[30]Resumen!$D$19</f>
        <v>0</v>
      </c>
      <c r="E33" s="14">
        <f>[30]Resumen!$E$19</f>
        <v>0</v>
      </c>
      <c r="F33" s="15">
        <f>[30]Resumen!$F$19</f>
        <v>0</v>
      </c>
      <c r="G33" s="17">
        <f>[30]Resumen!$G$19</f>
        <v>0</v>
      </c>
      <c r="H33" s="18">
        <f>[30]Resumen!$H$19</f>
        <v>0</v>
      </c>
      <c r="I33" s="15">
        <f>[30]Resumen!$I$19</f>
        <v>0</v>
      </c>
      <c r="J33" s="16">
        <f>[30]Resumen!$J$19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[31]Resumen!$B$19</f>
        <v>0</v>
      </c>
      <c r="C34" s="15">
        <f>[31]Resumen!$C$19</f>
        <v>0</v>
      </c>
      <c r="D34" s="16">
        <f>[31]Resumen!$D$19</f>
        <v>0</v>
      </c>
      <c r="E34" s="14">
        <f>[31]Resumen!$E$19</f>
        <v>0</v>
      </c>
      <c r="F34" s="15">
        <f>[31]Resumen!$F$19</f>
        <v>0</v>
      </c>
      <c r="G34" s="17">
        <f>[31]Resumen!$G$19</f>
        <v>0</v>
      </c>
      <c r="H34" s="18">
        <f>[31]Resumen!$H$19</f>
        <v>0</v>
      </c>
      <c r="I34" s="15">
        <f>[31]Resumen!$I$19</f>
        <v>0</v>
      </c>
      <c r="J34" s="16">
        <f>[31]Resumen!$J$19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[1]Resumen!$B$19</f>
        <v>0</v>
      </c>
      <c r="C35" s="15">
        <f>[1]Resumen!$C$19</f>
        <v>0</v>
      </c>
      <c r="D35" s="16">
        <f>[1]Resumen!$D$19</f>
        <v>0</v>
      </c>
      <c r="E35" s="14">
        <f>[1]Resumen!$E$19</f>
        <v>0</v>
      </c>
      <c r="F35" s="15">
        <f>[1]Resumen!$F$19</f>
        <v>0</v>
      </c>
      <c r="G35" s="17">
        <f>[1]Resumen!$G$19</f>
        <v>0</v>
      </c>
      <c r="H35" s="18">
        <f>[1]Resumen!$H$19</f>
        <v>0</v>
      </c>
      <c r="I35" s="15">
        <f>[1]Resumen!$I$19</f>
        <v>0</v>
      </c>
      <c r="J35" s="16">
        <f>[1]Resumen!$J$19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+[2]Resumen!$B$19</f>
        <v>0</v>
      </c>
      <c r="C36" s="22">
        <f>+[2]Resumen!$C$19</f>
        <v>0</v>
      </c>
      <c r="D36" s="23">
        <f>+[2]Resumen!$D$19</f>
        <v>0</v>
      </c>
      <c r="E36" s="21">
        <f>+[2]Resumen!$E$19</f>
        <v>0</v>
      </c>
      <c r="F36" s="22">
        <f>+[2]Resumen!$F$19</f>
        <v>0</v>
      </c>
      <c r="G36" s="24">
        <f>+[2]Resumen!$G$19</f>
        <v>0</v>
      </c>
      <c r="H36" s="25">
        <f>+[2]Resumen!$H$19</f>
        <v>0</v>
      </c>
      <c r="I36" s="22">
        <f>+[2]Resumen!$I$19</f>
        <v>0</v>
      </c>
      <c r="J36" s="23">
        <f>+[2]Resumen!$J$19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4" t="s">
        <v>0</v>
      </c>
      <c r="J1" s="134"/>
      <c r="K1" s="134"/>
      <c r="L1" s="134"/>
      <c r="M1" s="134"/>
      <c r="N1" s="134"/>
    </row>
    <row r="2" spans="1:17" ht="18.75">
      <c r="A2" s="2" t="s">
        <v>1</v>
      </c>
      <c r="B2" s="135" t="s">
        <v>79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>
      <c r="A6" s="20" t="s">
        <v>49</v>
      </c>
      <c r="B6" s="53">
        <f>[3]Resumen!$B$20</f>
        <v>0</v>
      </c>
      <c r="C6" s="58">
        <f>[3]Resumen!$C$20</f>
        <v>0</v>
      </c>
      <c r="D6" s="54">
        <f>[3]Resumen!$D$20</f>
        <v>0</v>
      </c>
      <c r="E6" s="53">
        <f>[3]Resumen!$E$20</f>
        <v>0</v>
      </c>
      <c r="F6" s="58">
        <f>[3]Resumen!$F$20</f>
        <v>0</v>
      </c>
      <c r="G6" s="55">
        <f>[3]Resumen!$G$20</f>
        <v>0</v>
      </c>
      <c r="H6" s="61">
        <f>[3]Resumen!$H$20</f>
        <v>0</v>
      </c>
      <c r="I6" s="58">
        <f>[3]Resumen!$I$20</f>
        <v>0</v>
      </c>
      <c r="J6" s="54">
        <f>[3]Resumen!$J$20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>
      <c r="A7" s="13" t="s">
        <v>50</v>
      </c>
      <c r="B7" s="14">
        <f>[4]Resumen!$B$20</f>
        <v>0</v>
      </c>
      <c r="C7" s="15">
        <f>[4]Resumen!$C$20</f>
        <v>0</v>
      </c>
      <c r="D7" s="16">
        <f>[4]Resumen!$D$20</f>
        <v>0</v>
      </c>
      <c r="E7" s="14">
        <f>[4]Resumen!$E$20</f>
        <v>0</v>
      </c>
      <c r="F7" s="15">
        <f>[4]Resumen!$F$20</f>
        <v>0</v>
      </c>
      <c r="G7" s="17">
        <f>[4]Resumen!$G$20</f>
        <v>0</v>
      </c>
      <c r="H7" s="18">
        <f>[4]Resumen!$H$20</f>
        <v>0</v>
      </c>
      <c r="I7" s="15">
        <f>[4]Resumen!$I$20</f>
        <v>0</v>
      </c>
      <c r="J7" s="16">
        <f>[4]Resumen!$J$20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>
      <c r="A8" s="20" t="s">
        <v>51</v>
      </c>
      <c r="B8" s="14">
        <f>[5]Resumen!$B$20</f>
        <v>0</v>
      </c>
      <c r="C8" s="15">
        <f>[5]Resumen!$C$20</f>
        <v>0</v>
      </c>
      <c r="D8" s="16">
        <f>[5]Resumen!$D$20</f>
        <v>0</v>
      </c>
      <c r="E8" s="14">
        <f>[5]Resumen!$E$20</f>
        <v>0</v>
      </c>
      <c r="F8" s="15">
        <f>[5]Resumen!$F$20</f>
        <v>0</v>
      </c>
      <c r="G8" s="17">
        <f>[5]Resumen!$G$20</f>
        <v>0</v>
      </c>
      <c r="H8" s="18">
        <f>[5]Resumen!$H$20</f>
        <v>0</v>
      </c>
      <c r="I8" s="15">
        <f>[5]Resumen!$I$20</f>
        <v>0</v>
      </c>
      <c r="J8" s="16">
        <f>[5]Resumen!$J$20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>
      <c r="A9" s="13" t="s">
        <v>52</v>
      </c>
      <c r="B9" s="14">
        <f>[6]Resumen!$B$20</f>
        <v>0</v>
      </c>
      <c r="C9" s="15">
        <f>[6]Resumen!$C$20</f>
        <v>0</v>
      </c>
      <c r="D9" s="16">
        <f>[6]Resumen!$D$20</f>
        <v>0</v>
      </c>
      <c r="E9" s="14">
        <f>[6]Resumen!$E$20</f>
        <v>0</v>
      </c>
      <c r="F9" s="15">
        <f>[6]Resumen!$F$20</f>
        <v>0</v>
      </c>
      <c r="G9" s="17">
        <f>[6]Resumen!$G$20</f>
        <v>0</v>
      </c>
      <c r="H9" s="18">
        <f>[6]Resumen!$H$20</f>
        <v>0</v>
      </c>
      <c r="I9" s="15">
        <f>[6]Resumen!$I$20</f>
        <v>0</v>
      </c>
      <c r="J9" s="16">
        <f>[6]Resumen!$J$20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>
      <c r="A10" s="20" t="s">
        <v>53</v>
      </c>
      <c r="B10" s="14">
        <f>[7]Resumen!$B$20</f>
        <v>0</v>
      </c>
      <c r="C10" s="15">
        <f>[7]Resumen!$C$20</f>
        <v>0</v>
      </c>
      <c r="D10" s="16">
        <f>[7]Resumen!$D$20</f>
        <v>0</v>
      </c>
      <c r="E10" s="14">
        <f>[7]Resumen!$E$20</f>
        <v>0</v>
      </c>
      <c r="F10" s="15">
        <f>[7]Resumen!$F$20</f>
        <v>0</v>
      </c>
      <c r="G10" s="17">
        <f>[7]Resumen!$G$20</f>
        <v>0</v>
      </c>
      <c r="H10" s="18">
        <f>[7]Resumen!$H$20</f>
        <v>0</v>
      </c>
      <c r="I10" s="15">
        <f>[7]Resumen!$I$20</f>
        <v>0</v>
      </c>
      <c r="J10" s="16">
        <f>[7]Resumen!$J$20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>
      <c r="A11" s="13" t="s">
        <v>20</v>
      </c>
      <c r="B11" s="14">
        <f>[8]Resumen!$B$20</f>
        <v>0</v>
      </c>
      <c r="C11" s="15">
        <f>[8]Resumen!$C$20</f>
        <v>0</v>
      </c>
      <c r="D11" s="16">
        <f>[8]Resumen!$D$20</f>
        <v>0</v>
      </c>
      <c r="E11" s="14">
        <f>[8]Resumen!$E$20</f>
        <v>0</v>
      </c>
      <c r="F11" s="15">
        <f>[8]Resumen!$F$20</f>
        <v>0</v>
      </c>
      <c r="G11" s="17">
        <f>[8]Resumen!$G$20</f>
        <v>0</v>
      </c>
      <c r="H11" s="18">
        <f>[8]Resumen!$H$20</f>
        <v>0</v>
      </c>
      <c r="I11" s="15">
        <f>[8]Resumen!$I$20</f>
        <v>0</v>
      </c>
      <c r="J11" s="16">
        <f>[8]Resumen!$J$20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>
      <c r="A12" s="20" t="s">
        <v>21</v>
      </c>
      <c r="B12" s="14">
        <f>[9]Resumen!$B$20</f>
        <v>0</v>
      </c>
      <c r="C12" s="15">
        <f>[9]Resumen!$C$20</f>
        <v>0</v>
      </c>
      <c r="D12" s="16">
        <f>[9]Resumen!$D$20</f>
        <v>0</v>
      </c>
      <c r="E12" s="14">
        <f>[9]Resumen!$E$20</f>
        <v>0</v>
      </c>
      <c r="F12" s="15">
        <f>[9]Resumen!$F$20</f>
        <v>0</v>
      </c>
      <c r="G12" s="17">
        <f>[9]Resumen!$G$20</f>
        <v>0</v>
      </c>
      <c r="H12" s="18">
        <f>[9]Resumen!$H$20</f>
        <v>0</v>
      </c>
      <c r="I12" s="15">
        <f>[9]Resumen!$I$20</f>
        <v>0</v>
      </c>
      <c r="J12" s="16">
        <f>[9]Resumen!$J$20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>
      <c r="A13" s="13" t="s">
        <v>22</v>
      </c>
      <c r="B13" s="14">
        <f>[10]Resumen!$B$20</f>
        <v>0</v>
      </c>
      <c r="C13" s="15">
        <f>[10]Resumen!$C$20</f>
        <v>0</v>
      </c>
      <c r="D13" s="16">
        <f>[10]Resumen!$D$20</f>
        <v>0</v>
      </c>
      <c r="E13" s="14">
        <f>[10]Resumen!$E$20</f>
        <v>0</v>
      </c>
      <c r="F13" s="15">
        <f>[10]Resumen!$F$20</f>
        <v>0</v>
      </c>
      <c r="G13" s="17">
        <f>[10]Resumen!$G$20</f>
        <v>0</v>
      </c>
      <c r="H13" s="18">
        <f>[10]Resumen!$H$20</f>
        <v>0</v>
      </c>
      <c r="I13" s="15">
        <f>[10]Resumen!$I$20</f>
        <v>0</v>
      </c>
      <c r="J13" s="16">
        <f>[10]Resumen!$J$20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>
      <c r="A14" s="20" t="s">
        <v>23</v>
      </c>
      <c r="B14" s="14">
        <f>[11]Resumen!$B$20</f>
        <v>0</v>
      </c>
      <c r="C14" s="15">
        <f>[11]Resumen!$C$20</f>
        <v>0</v>
      </c>
      <c r="D14" s="16">
        <f>[11]Resumen!$D$20</f>
        <v>0</v>
      </c>
      <c r="E14" s="14">
        <f>[11]Resumen!$E$20</f>
        <v>0</v>
      </c>
      <c r="F14" s="15">
        <f>[11]Resumen!$F$20</f>
        <v>0</v>
      </c>
      <c r="G14" s="17">
        <f>[11]Resumen!$G$20</f>
        <v>0</v>
      </c>
      <c r="H14" s="18">
        <f>[11]Resumen!$H$20</f>
        <v>0</v>
      </c>
      <c r="I14" s="15">
        <f>[11]Resumen!$I$20</f>
        <v>0</v>
      </c>
      <c r="J14" s="16">
        <f>[11]Resumen!$J$20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>
      <c r="A15" s="13" t="s">
        <v>24</v>
      </c>
      <c r="B15" s="14">
        <f>[12]Resumen!$B$20</f>
        <v>0</v>
      </c>
      <c r="C15" s="15">
        <f>[12]Resumen!$C$20</f>
        <v>0</v>
      </c>
      <c r="D15" s="16">
        <f>[12]Resumen!$D$20</f>
        <v>0</v>
      </c>
      <c r="E15" s="14">
        <f>[12]Resumen!$E$20</f>
        <v>0</v>
      </c>
      <c r="F15" s="15">
        <f>[12]Resumen!$F$20</f>
        <v>0</v>
      </c>
      <c r="G15" s="17">
        <f>[12]Resumen!$G$20</f>
        <v>0</v>
      </c>
      <c r="H15" s="18">
        <f>[12]Resumen!$H$20</f>
        <v>0</v>
      </c>
      <c r="I15" s="15">
        <f>[12]Resumen!$I$20</f>
        <v>0</v>
      </c>
      <c r="J15" s="16">
        <f>[12]Resumen!$J$20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>
      <c r="A16" s="20" t="s">
        <v>25</v>
      </c>
      <c r="B16" s="14">
        <f>[13]Resumen!$B$20</f>
        <v>0</v>
      </c>
      <c r="C16" s="15">
        <f>[13]Resumen!$C$20</f>
        <v>0</v>
      </c>
      <c r="D16" s="16">
        <f>[13]Resumen!$D$20</f>
        <v>0</v>
      </c>
      <c r="E16" s="14">
        <f>[13]Resumen!$E$20</f>
        <v>0</v>
      </c>
      <c r="F16" s="15">
        <f>[13]Resumen!$F$20</f>
        <v>0</v>
      </c>
      <c r="G16" s="17">
        <f>[13]Resumen!$G$20</f>
        <v>0</v>
      </c>
      <c r="H16" s="18">
        <f>[13]Resumen!$H$20</f>
        <v>0</v>
      </c>
      <c r="I16" s="15">
        <f>[13]Resumen!$I$20</f>
        <v>0</v>
      </c>
      <c r="J16" s="16">
        <f>[13]Resumen!$J$20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[14]Resumen!$B$20</f>
        <v>0</v>
      </c>
      <c r="C17" s="15">
        <f>[14]Resumen!$C$20</f>
        <v>0</v>
      </c>
      <c r="D17" s="16">
        <f>[14]Resumen!$D$20</f>
        <v>0</v>
      </c>
      <c r="E17" s="14">
        <f>[14]Resumen!$E$20</f>
        <v>0</v>
      </c>
      <c r="F17" s="15">
        <f>[14]Resumen!$F$20</f>
        <v>0</v>
      </c>
      <c r="G17" s="17">
        <f>[14]Resumen!$G$20</f>
        <v>0</v>
      </c>
      <c r="H17" s="18">
        <f>[14]Resumen!$H$20</f>
        <v>0</v>
      </c>
      <c r="I17" s="15">
        <f>[14]Resumen!$I$20</f>
        <v>0</v>
      </c>
      <c r="J17" s="16">
        <f>[14]Resumen!$J$20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[15]Resumen!$B$20</f>
        <v>0</v>
      </c>
      <c r="C18" s="15">
        <f>[15]Resumen!$C$20</f>
        <v>0</v>
      </c>
      <c r="D18" s="16">
        <f>[15]Resumen!$D$20</f>
        <v>0</v>
      </c>
      <c r="E18" s="14">
        <f>[15]Resumen!$E$20</f>
        <v>0</v>
      </c>
      <c r="F18" s="15">
        <f>[15]Resumen!$F$20</f>
        <v>0</v>
      </c>
      <c r="G18" s="17">
        <f>[15]Resumen!$G$20</f>
        <v>0</v>
      </c>
      <c r="H18" s="18">
        <f>[15]Resumen!$H$20</f>
        <v>0</v>
      </c>
      <c r="I18" s="15">
        <f>[15]Resumen!$I$20</f>
        <v>0</v>
      </c>
      <c r="J18" s="16">
        <f>[15]Resumen!$J$20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[16]Resumen!$B$20</f>
        <v>0</v>
      </c>
      <c r="C19" s="15">
        <f>[16]Resumen!$C$20</f>
        <v>0</v>
      </c>
      <c r="D19" s="16">
        <f>[16]Resumen!$D$20</f>
        <v>0</v>
      </c>
      <c r="E19" s="14">
        <f>[16]Resumen!$E$20</f>
        <v>0</v>
      </c>
      <c r="F19" s="15">
        <f>[16]Resumen!$F$20</f>
        <v>0</v>
      </c>
      <c r="G19" s="17">
        <f>[16]Resumen!$G$20</f>
        <v>0</v>
      </c>
      <c r="H19" s="18">
        <f>[16]Resumen!$H$20</f>
        <v>0</v>
      </c>
      <c r="I19" s="15">
        <f>[16]Resumen!$I$20</f>
        <v>0</v>
      </c>
      <c r="J19" s="16">
        <f>[16]Resumen!$J$20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[17]Resumen!$B$20</f>
        <v>0</v>
      </c>
      <c r="C20" s="15">
        <f>[17]Resumen!$C$20</f>
        <v>0</v>
      </c>
      <c r="D20" s="16">
        <f>[17]Resumen!$D$20</f>
        <v>0</v>
      </c>
      <c r="E20" s="14">
        <f>[17]Resumen!$E$20</f>
        <v>0</v>
      </c>
      <c r="F20" s="15">
        <f>[17]Resumen!$F$20</f>
        <v>0</v>
      </c>
      <c r="G20" s="17">
        <f>[17]Resumen!$G$20</f>
        <v>0</v>
      </c>
      <c r="H20" s="18">
        <f>[17]Resumen!$H$20</f>
        <v>0</v>
      </c>
      <c r="I20" s="15">
        <f>[17]Resumen!$I$20</f>
        <v>0</v>
      </c>
      <c r="J20" s="16">
        <f>[17]Resumen!$J$20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[18]Resumen!$B$20</f>
        <v>0</v>
      </c>
      <c r="C21" s="15">
        <f>[18]Resumen!$C$20</f>
        <v>0</v>
      </c>
      <c r="D21" s="16">
        <f>[18]Resumen!$D$20</f>
        <v>0</v>
      </c>
      <c r="E21" s="14">
        <f>[18]Resumen!$E$20</f>
        <v>0</v>
      </c>
      <c r="F21" s="15">
        <f>[18]Resumen!$F$20</f>
        <v>0</v>
      </c>
      <c r="G21" s="17">
        <f>[18]Resumen!$G$20</f>
        <v>0</v>
      </c>
      <c r="H21" s="18">
        <f>[18]Resumen!$H$20</f>
        <v>0</v>
      </c>
      <c r="I21" s="15">
        <f>[18]Resumen!$I$20</f>
        <v>0</v>
      </c>
      <c r="J21" s="16">
        <f>[18]Resumen!$J$20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[19]Resumen!$B$20</f>
        <v>0</v>
      </c>
      <c r="C22" s="15">
        <f>[19]Resumen!$C$20</f>
        <v>0</v>
      </c>
      <c r="D22" s="16">
        <f>[19]Resumen!$D$20</f>
        <v>0</v>
      </c>
      <c r="E22" s="14">
        <f>[19]Resumen!$E$20</f>
        <v>0</v>
      </c>
      <c r="F22" s="15">
        <f>[19]Resumen!$F$20</f>
        <v>0</v>
      </c>
      <c r="G22" s="17">
        <f>[19]Resumen!$G$20</f>
        <v>0</v>
      </c>
      <c r="H22" s="18">
        <f>[19]Resumen!$H$20</f>
        <v>0</v>
      </c>
      <c r="I22" s="15">
        <f>[19]Resumen!$I$20</f>
        <v>0</v>
      </c>
      <c r="J22" s="16">
        <f>[19]Resumen!$J$20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[20]Resumen!$B$20</f>
        <v>0</v>
      </c>
      <c r="C23" s="15">
        <f>[20]Resumen!$C$20</f>
        <v>0</v>
      </c>
      <c r="D23" s="16">
        <f>[20]Resumen!$D$20</f>
        <v>0</v>
      </c>
      <c r="E23" s="14">
        <f>[20]Resumen!$E$20</f>
        <v>0</v>
      </c>
      <c r="F23" s="15">
        <f>[20]Resumen!$F$20</f>
        <v>0</v>
      </c>
      <c r="G23" s="17">
        <f>[20]Resumen!$G$20</f>
        <v>0</v>
      </c>
      <c r="H23" s="18">
        <f>[20]Resumen!$H$20</f>
        <v>0</v>
      </c>
      <c r="I23" s="15">
        <f>[20]Resumen!$I$20</f>
        <v>0</v>
      </c>
      <c r="J23" s="16">
        <f>[20]Resumen!$J$20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[21]Resumen!$B$20</f>
        <v>0</v>
      </c>
      <c r="C24" s="15">
        <f>[21]Resumen!$C$20</f>
        <v>0</v>
      </c>
      <c r="D24" s="16">
        <f>[21]Resumen!$D$20</f>
        <v>0</v>
      </c>
      <c r="E24" s="14">
        <f>[21]Resumen!$E$20</f>
        <v>0</v>
      </c>
      <c r="F24" s="15">
        <f>[21]Resumen!$F$20</f>
        <v>0</v>
      </c>
      <c r="G24" s="17">
        <f>[21]Resumen!$G$20</f>
        <v>0</v>
      </c>
      <c r="H24" s="18">
        <f>[21]Resumen!$H$20</f>
        <v>0</v>
      </c>
      <c r="I24" s="15">
        <f>[21]Resumen!$I$20</f>
        <v>0</v>
      </c>
      <c r="J24" s="16">
        <f>[21]Resumen!$J$20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[22]Resumen!$B$20</f>
        <v>0</v>
      </c>
      <c r="C25" s="15">
        <f>[22]Resumen!$C$20</f>
        <v>0</v>
      </c>
      <c r="D25" s="16">
        <f>[22]Resumen!$D$20</f>
        <v>0</v>
      </c>
      <c r="E25" s="14">
        <f>[22]Resumen!$E$20</f>
        <v>0</v>
      </c>
      <c r="F25" s="15">
        <f>[22]Resumen!$F$20</f>
        <v>0</v>
      </c>
      <c r="G25" s="17">
        <f>[22]Resumen!$G$20</f>
        <v>0</v>
      </c>
      <c r="H25" s="18">
        <f>[22]Resumen!$H$20</f>
        <v>0</v>
      </c>
      <c r="I25" s="15">
        <f>[22]Resumen!$I$20</f>
        <v>0</v>
      </c>
      <c r="J25" s="16">
        <f>[22]Resumen!$J$20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[23]Resumen!$B$20</f>
        <v>0</v>
      </c>
      <c r="C26" s="15">
        <f>[23]Resumen!$C$20</f>
        <v>0</v>
      </c>
      <c r="D26" s="16">
        <f>[23]Resumen!$D$20</f>
        <v>0</v>
      </c>
      <c r="E26" s="14">
        <f>[23]Resumen!$E$20</f>
        <v>0</v>
      </c>
      <c r="F26" s="15">
        <f>[23]Resumen!$F$20</f>
        <v>0</v>
      </c>
      <c r="G26" s="17">
        <f>[23]Resumen!$G$20</f>
        <v>0</v>
      </c>
      <c r="H26" s="18">
        <f>[23]Resumen!$H$20</f>
        <v>0</v>
      </c>
      <c r="I26" s="15">
        <f>[23]Resumen!$I$20</f>
        <v>0</v>
      </c>
      <c r="J26" s="16">
        <f>[23]Resumen!$J$20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[24]Resumen!$B$20</f>
        <v>0</v>
      </c>
      <c r="C27" s="15">
        <f>[24]Resumen!$C$20</f>
        <v>0</v>
      </c>
      <c r="D27" s="16">
        <f>[24]Resumen!$D$20</f>
        <v>0</v>
      </c>
      <c r="E27" s="14">
        <f>[24]Resumen!$E$20</f>
        <v>0</v>
      </c>
      <c r="F27" s="15">
        <f>[24]Resumen!$F$20</f>
        <v>0</v>
      </c>
      <c r="G27" s="17">
        <f>[24]Resumen!$G$20</f>
        <v>0</v>
      </c>
      <c r="H27" s="18">
        <f>[24]Resumen!$H$20</f>
        <v>0</v>
      </c>
      <c r="I27" s="15">
        <f>[24]Resumen!$I$20</f>
        <v>0</v>
      </c>
      <c r="J27" s="16">
        <f>[24]Resumen!$J$20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[25]Resumen!$B$20</f>
        <v>0</v>
      </c>
      <c r="C28" s="15">
        <f>[25]Resumen!$C$20</f>
        <v>0</v>
      </c>
      <c r="D28" s="16">
        <f>[25]Resumen!$D$20</f>
        <v>0</v>
      </c>
      <c r="E28" s="14">
        <f>[25]Resumen!$E$20</f>
        <v>0</v>
      </c>
      <c r="F28" s="15">
        <f>[25]Resumen!$F$20</f>
        <v>0</v>
      </c>
      <c r="G28" s="17">
        <f>[25]Resumen!$G$20</f>
        <v>0</v>
      </c>
      <c r="H28" s="18">
        <f>[25]Resumen!$H$20</f>
        <v>0</v>
      </c>
      <c r="I28" s="15">
        <f>[25]Resumen!$I$20</f>
        <v>0</v>
      </c>
      <c r="J28" s="16">
        <f>[25]Resumen!$J$20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[26]Resumen!$B$20</f>
        <v>0</v>
      </c>
      <c r="C29" s="15">
        <f>[26]Resumen!$C$20</f>
        <v>0</v>
      </c>
      <c r="D29" s="16">
        <f>[26]Resumen!$D$20</f>
        <v>0</v>
      </c>
      <c r="E29" s="14">
        <f>[26]Resumen!$E$20</f>
        <v>0</v>
      </c>
      <c r="F29" s="15">
        <f>[26]Resumen!$F$20</f>
        <v>0</v>
      </c>
      <c r="G29" s="17">
        <f>[26]Resumen!$G$20</f>
        <v>0</v>
      </c>
      <c r="H29" s="18">
        <f>[26]Resumen!$H$20</f>
        <v>0</v>
      </c>
      <c r="I29" s="15">
        <f>[26]Resumen!$I$20</f>
        <v>0</v>
      </c>
      <c r="J29" s="16">
        <f>[26]Resumen!$J$20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[27]Resumen!$B$20</f>
        <v>0</v>
      </c>
      <c r="C30" s="15">
        <f>[27]Resumen!$C$20</f>
        <v>0</v>
      </c>
      <c r="D30" s="16">
        <f>[27]Resumen!$D$20</f>
        <v>0</v>
      </c>
      <c r="E30" s="14">
        <f>[27]Resumen!$E$20</f>
        <v>0</v>
      </c>
      <c r="F30" s="15">
        <f>[27]Resumen!$F$20</f>
        <v>0</v>
      </c>
      <c r="G30" s="17">
        <f>[27]Resumen!$G$20</f>
        <v>0</v>
      </c>
      <c r="H30" s="18">
        <f>[27]Resumen!$H$20</f>
        <v>0</v>
      </c>
      <c r="I30" s="15">
        <f>[27]Resumen!$I$20</f>
        <v>0</v>
      </c>
      <c r="J30" s="16">
        <f>[27]Resumen!$J$20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[28]Resumen!$B$20</f>
        <v>0</v>
      </c>
      <c r="C31" s="15">
        <f>[28]Resumen!$C$20</f>
        <v>0</v>
      </c>
      <c r="D31" s="16">
        <f>[28]Resumen!$D$20</f>
        <v>0</v>
      </c>
      <c r="E31" s="14">
        <f>[28]Resumen!$E$20</f>
        <v>0</v>
      </c>
      <c r="F31" s="15">
        <f>[28]Resumen!$F$20</f>
        <v>0</v>
      </c>
      <c r="G31" s="17">
        <f>[28]Resumen!$G$20</f>
        <v>0</v>
      </c>
      <c r="H31" s="18">
        <f>[28]Resumen!$H$20</f>
        <v>0</v>
      </c>
      <c r="I31" s="15">
        <f>[28]Resumen!$I$20</f>
        <v>0</v>
      </c>
      <c r="J31" s="16">
        <f>[28]Resumen!$J$20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[29]Resumen!$B$20</f>
        <v>0</v>
      </c>
      <c r="C32" s="15">
        <f>[29]Resumen!$C$20</f>
        <v>0</v>
      </c>
      <c r="D32" s="16">
        <f>[29]Resumen!$D$20</f>
        <v>0</v>
      </c>
      <c r="E32" s="14">
        <f>[29]Resumen!$E$20</f>
        <v>0</v>
      </c>
      <c r="F32" s="15">
        <f>[29]Resumen!$F$20</f>
        <v>0</v>
      </c>
      <c r="G32" s="17">
        <f>[29]Resumen!$G$20</f>
        <v>0</v>
      </c>
      <c r="H32" s="18">
        <f>[29]Resumen!$H$20</f>
        <v>0</v>
      </c>
      <c r="I32" s="15">
        <f>[29]Resumen!$I$20</f>
        <v>0</v>
      </c>
      <c r="J32" s="16">
        <f>[29]Resumen!$J$20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[30]Resumen!$B$20</f>
        <v>0</v>
      </c>
      <c r="C33" s="15">
        <f>[30]Resumen!$C$20</f>
        <v>0</v>
      </c>
      <c r="D33" s="16">
        <f>[30]Resumen!$D$20</f>
        <v>0</v>
      </c>
      <c r="E33" s="14">
        <f>[30]Resumen!$E$20</f>
        <v>0</v>
      </c>
      <c r="F33" s="15">
        <f>[30]Resumen!$F$20</f>
        <v>0</v>
      </c>
      <c r="G33" s="17">
        <f>[30]Resumen!$G$20</f>
        <v>0</v>
      </c>
      <c r="H33" s="18">
        <f>[30]Resumen!$H$20</f>
        <v>0</v>
      </c>
      <c r="I33" s="15">
        <f>[30]Resumen!$I$20</f>
        <v>0</v>
      </c>
      <c r="J33" s="16">
        <f>[30]Resumen!$J$20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[31]Resumen!$B$20</f>
        <v>0</v>
      </c>
      <c r="C34" s="15">
        <f>[31]Resumen!$C$20</f>
        <v>0</v>
      </c>
      <c r="D34" s="16">
        <f>[31]Resumen!$D$20</f>
        <v>0</v>
      </c>
      <c r="E34" s="14">
        <f>[31]Resumen!$E$20</f>
        <v>0</v>
      </c>
      <c r="F34" s="15">
        <f>[31]Resumen!$F$20</f>
        <v>0</v>
      </c>
      <c r="G34" s="17">
        <f>[31]Resumen!$G$20</f>
        <v>0</v>
      </c>
      <c r="H34" s="18">
        <f>[31]Resumen!$H$20</f>
        <v>0</v>
      </c>
      <c r="I34" s="15">
        <f>[31]Resumen!$I$20</f>
        <v>0</v>
      </c>
      <c r="J34" s="16">
        <f>[31]Resumen!$J$20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[1]Resumen!$B$20</f>
        <v>0</v>
      </c>
      <c r="C35" s="15">
        <f>[1]Resumen!$C$20</f>
        <v>0</v>
      </c>
      <c r="D35" s="16">
        <f>[1]Resumen!$D$20</f>
        <v>0</v>
      </c>
      <c r="E35" s="14">
        <f>[1]Resumen!$E$20</f>
        <v>0</v>
      </c>
      <c r="F35" s="15">
        <f>[1]Resumen!$F$20</f>
        <v>0</v>
      </c>
      <c r="G35" s="17">
        <f>[1]Resumen!$G$20</f>
        <v>0</v>
      </c>
      <c r="H35" s="18">
        <f>[1]Resumen!$H$20</f>
        <v>0</v>
      </c>
      <c r="I35" s="15">
        <f>[1]Resumen!$I$20</f>
        <v>0</v>
      </c>
      <c r="J35" s="16">
        <f>[1]Resumen!$J$20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+[2]Resumen!$B$20</f>
        <v>0</v>
      </c>
      <c r="C36" s="22">
        <f>+[2]Resumen!$C$20</f>
        <v>0</v>
      </c>
      <c r="D36" s="23">
        <f>+[2]Resumen!$D$20</f>
        <v>0</v>
      </c>
      <c r="E36" s="21">
        <f>+[2]Resumen!$E$20</f>
        <v>0</v>
      </c>
      <c r="F36" s="22">
        <f>+[2]Resumen!$F$20</f>
        <v>0</v>
      </c>
      <c r="G36" s="24">
        <f>+[2]Resumen!$G$20</f>
        <v>0</v>
      </c>
      <c r="H36" s="25">
        <f>+[2]Resumen!$H$20</f>
        <v>0</v>
      </c>
      <c r="I36" s="22">
        <f>+[2]Resumen!$I$20</f>
        <v>0</v>
      </c>
      <c r="J36" s="23">
        <f>+[2]Resumen!$J$20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7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9.8554687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80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[3]Resumen!$B$21</f>
        <v>0</v>
      </c>
      <c r="C6" s="58">
        <f>[3]Resumen!$C$21</f>
        <v>0</v>
      </c>
      <c r="D6" s="54">
        <f>[3]Resumen!$D$21</f>
        <v>0</v>
      </c>
      <c r="E6" s="53">
        <f>[3]Resumen!$E$21</f>
        <v>0</v>
      </c>
      <c r="F6" s="58">
        <f>[3]Resumen!$F$21</f>
        <v>0</v>
      </c>
      <c r="G6" s="55">
        <f>[3]Resumen!$G$21</f>
        <v>0</v>
      </c>
      <c r="H6" s="61">
        <f>[3]Resumen!$H$21</f>
        <v>0</v>
      </c>
      <c r="I6" s="58">
        <f>[3]Resumen!$I$21</f>
        <v>0</v>
      </c>
      <c r="J6" s="54">
        <f>[3]Resumen!$J$21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[4]Resumen!$B$21</f>
        <v>0</v>
      </c>
      <c r="C7" s="15">
        <f>[4]Resumen!$C$21</f>
        <v>0</v>
      </c>
      <c r="D7" s="16">
        <f>[4]Resumen!$D$21</f>
        <v>0</v>
      </c>
      <c r="E7" s="14">
        <f>[4]Resumen!$E$21</f>
        <v>0</v>
      </c>
      <c r="F7" s="15">
        <f>[4]Resumen!$F$21</f>
        <v>0</v>
      </c>
      <c r="G7" s="17">
        <f>[4]Resumen!$G$21</f>
        <v>0</v>
      </c>
      <c r="H7" s="18">
        <f>[4]Resumen!$H$21</f>
        <v>0</v>
      </c>
      <c r="I7" s="15">
        <f>[4]Resumen!$I$21</f>
        <v>0</v>
      </c>
      <c r="J7" s="16">
        <f>[4]Resumen!$J$21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[5]Resumen!$B$21</f>
        <v>0</v>
      </c>
      <c r="C8" s="15">
        <f>[5]Resumen!$C$21</f>
        <v>0</v>
      </c>
      <c r="D8" s="16">
        <f>[5]Resumen!$D$21</f>
        <v>0</v>
      </c>
      <c r="E8" s="14">
        <f>[5]Resumen!$E$21</f>
        <v>0</v>
      </c>
      <c r="F8" s="15">
        <f>[5]Resumen!$F$21</f>
        <v>0</v>
      </c>
      <c r="G8" s="17">
        <f>[5]Resumen!$G$21</f>
        <v>0</v>
      </c>
      <c r="H8" s="18">
        <f>[5]Resumen!$H$21</f>
        <v>0</v>
      </c>
      <c r="I8" s="15">
        <f>[5]Resumen!$I$21</f>
        <v>0</v>
      </c>
      <c r="J8" s="16">
        <f>[5]Resumen!$J$21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[6]Resumen!$B$21</f>
        <v>0</v>
      </c>
      <c r="C9" s="15">
        <f>[6]Resumen!$C$21</f>
        <v>0</v>
      </c>
      <c r="D9" s="16">
        <f>[6]Resumen!$D$21</f>
        <v>0</v>
      </c>
      <c r="E9" s="14">
        <f>[6]Resumen!$E$21</f>
        <v>0</v>
      </c>
      <c r="F9" s="15">
        <f>[6]Resumen!$F$21</f>
        <v>0</v>
      </c>
      <c r="G9" s="17">
        <f>[6]Resumen!$G$21</f>
        <v>0</v>
      </c>
      <c r="H9" s="18">
        <f>[6]Resumen!$H$21</f>
        <v>0</v>
      </c>
      <c r="I9" s="15">
        <f>[6]Resumen!$I$21</f>
        <v>0</v>
      </c>
      <c r="J9" s="16">
        <f>[6]Resumen!$J$21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[7]Resumen!$B$21</f>
        <v>0</v>
      </c>
      <c r="C10" s="15">
        <f>[7]Resumen!$C$21</f>
        <v>0</v>
      </c>
      <c r="D10" s="16">
        <f>[7]Resumen!$D$21</f>
        <v>0</v>
      </c>
      <c r="E10" s="14">
        <f>[7]Resumen!$E$21</f>
        <v>0</v>
      </c>
      <c r="F10" s="15">
        <f>[7]Resumen!$F$21</f>
        <v>0</v>
      </c>
      <c r="G10" s="17">
        <f>[7]Resumen!$G$21</f>
        <v>0</v>
      </c>
      <c r="H10" s="18">
        <f>[7]Resumen!$H$21</f>
        <v>0</v>
      </c>
      <c r="I10" s="15">
        <f>[7]Resumen!$I$21</f>
        <v>0</v>
      </c>
      <c r="J10" s="16">
        <f>[7]Resumen!$J$21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[8]Resumen!$B$21</f>
        <v>0</v>
      </c>
      <c r="C11" s="15">
        <f>[8]Resumen!$C$21</f>
        <v>0</v>
      </c>
      <c r="D11" s="16">
        <f>[8]Resumen!$D$21</f>
        <v>0</v>
      </c>
      <c r="E11" s="14">
        <f>[8]Resumen!$E$21</f>
        <v>0</v>
      </c>
      <c r="F11" s="15">
        <f>[8]Resumen!$F$21</f>
        <v>0</v>
      </c>
      <c r="G11" s="17">
        <f>[8]Resumen!$G$21</f>
        <v>0</v>
      </c>
      <c r="H11" s="18">
        <f>[8]Resumen!$H$21</f>
        <v>0</v>
      </c>
      <c r="I11" s="15">
        <f>[8]Resumen!$I$21</f>
        <v>0</v>
      </c>
      <c r="J11" s="16">
        <f>[8]Resumen!$J$21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[9]Resumen!$B$21</f>
        <v>0</v>
      </c>
      <c r="C12" s="15">
        <f>[9]Resumen!$C$21</f>
        <v>0</v>
      </c>
      <c r="D12" s="16">
        <f>[9]Resumen!$D$21</f>
        <v>0</v>
      </c>
      <c r="E12" s="14">
        <f>[9]Resumen!$E$21</f>
        <v>0</v>
      </c>
      <c r="F12" s="15">
        <f>[9]Resumen!$F$21</f>
        <v>0</v>
      </c>
      <c r="G12" s="17">
        <f>[9]Resumen!$G$21</f>
        <v>0</v>
      </c>
      <c r="H12" s="18">
        <f>[9]Resumen!$H$21</f>
        <v>0</v>
      </c>
      <c r="I12" s="15">
        <f>[9]Resumen!$I$21</f>
        <v>0</v>
      </c>
      <c r="J12" s="16">
        <f>[9]Resumen!$J$21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[10]Resumen!$B$21</f>
        <v>0</v>
      </c>
      <c r="C13" s="15">
        <f>[10]Resumen!$C$21</f>
        <v>0</v>
      </c>
      <c r="D13" s="16">
        <f>[10]Resumen!$D$21</f>
        <v>0</v>
      </c>
      <c r="E13" s="14">
        <f>[10]Resumen!$E$21</f>
        <v>0</v>
      </c>
      <c r="F13" s="15">
        <f>[10]Resumen!$F$21</f>
        <v>0</v>
      </c>
      <c r="G13" s="17">
        <f>[10]Resumen!$G$21</f>
        <v>0</v>
      </c>
      <c r="H13" s="18">
        <f>[10]Resumen!$H$21</f>
        <v>0</v>
      </c>
      <c r="I13" s="15">
        <f>[10]Resumen!$I$21</f>
        <v>0</v>
      </c>
      <c r="J13" s="16">
        <f>[10]Resumen!$J$21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[11]Resumen!$B$21</f>
        <v>0</v>
      </c>
      <c r="C14" s="15">
        <f>[11]Resumen!$C$21</f>
        <v>0</v>
      </c>
      <c r="D14" s="16">
        <f>[11]Resumen!$D$21</f>
        <v>0</v>
      </c>
      <c r="E14" s="14">
        <f>[11]Resumen!$E$21</f>
        <v>0</v>
      </c>
      <c r="F14" s="15">
        <f>[11]Resumen!$F$21</f>
        <v>0</v>
      </c>
      <c r="G14" s="17">
        <f>[11]Resumen!$G$21</f>
        <v>0</v>
      </c>
      <c r="H14" s="18">
        <f>[11]Resumen!$H$21</f>
        <v>0</v>
      </c>
      <c r="I14" s="15">
        <f>[11]Resumen!$I$21</f>
        <v>0</v>
      </c>
      <c r="J14" s="16">
        <f>[11]Resumen!$J$21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[12]Resumen!$B$21</f>
        <v>0</v>
      </c>
      <c r="C15" s="15">
        <f>[12]Resumen!$C$21</f>
        <v>0</v>
      </c>
      <c r="D15" s="16">
        <f>[12]Resumen!$D$21</f>
        <v>0</v>
      </c>
      <c r="E15" s="14">
        <f>[12]Resumen!$E$21</f>
        <v>0</v>
      </c>
      <c r="F15" s="15">
        <f>[12]Resumen!$F$21</f>
        <v>0</v>
      </c>
      <c r="G15" s="17">
        <f>[12]Resumen!$G$21</f>
        <v>0</v>
      </c>
      <c r="H15" s="18">
        <f>[12]Resumen!$H$21</f>
        <v>0</v>
      </c>
      <c r="I15" s="15">
        <f>[12]Resumen!$I$21</f>
        <v>0</v>
      </c>
      <c r="J15" s="16">
        <f>[12]Resumen!$J$21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[13]Resumen!$B$21</f>
        <v>0</v>
      </c>
      <c r="C16" s="15">
        <f>[13]Resumen!$C$21</f>
        <v>0</v>
      </c>
      <c r="D16" s="16">
        <f>[13]Resumen!$D$21</f>
        <v>0</v>
      </c>
      <c r="E16" s="14">
        <f>[13]Resumen!$E$21</f>
        <v>0</v>
      </c>
      <c r="F16" s="15">
        <f>[13]Resumen!$F$21</f>
        <v>0</v>
      </c>
      <c r="G16" s="17">
        <f>[13]Resumen!$G$21</f>
        <v>0</v>
      </c>
      <c r="H16" s="18">
        <f>[13]Resumen!$H$21</f>
        <v>0</v>
      </c>
      <c r="I16" s="15">
        <f>[13]Resumen!$I$21</f>
        <v>0</v>
      </c>
      <c r="J16" s="16">
        <f>[13]Resumen!$J$21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[14]Resumen!$B$21</f>
        <v>0</v>
      </c>
      <c r="C17" s="15">
        <f>[14]Resumen!$C$21</f>
        <v>0</v>
      </c>
      <c r="D17" s="16">
        <f>[14]Resumen!$D$21</f>
        <v>0</v>
      </c>
      <c r="E17" s="14">
        <f>[14]Resumen!$E$21</f>
        <v>0</v>
      </c>
      <c r="F17" s="15">
        <f>[14]Resumen!$F$21</f>
        <v>0</v>
      </c>
      <c r="G17" s="17">
        <f>[14]Resumen!$G$21</f>
        <v>0</v>
      </c>
      <c r="H17" s="18">
        <f>[14]Resumen!$H$21</f>
        <v>0</v>
      </c>
      <c r="I17" s="15">
        <f>[14]Resumen!$I$21</f>
        <v>0</v>
      </c>
      <c r="J17" s="16">
        <f>[14]Resumen!$J$21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[15]Resumen!$B$21</f>
        <v>0</v>
      </c>
      <c r="C18" s="15">
        <f>[15]Resumen!$C$21</f>
        <v>0</v>
      </c>
      <c r="D18" s="16">
        <f>[15]Resumen!$D$21</f>
        <v>0</v>
      </c>
      <c r="E18" s="14">
        <f>[15]Resumen!$E$21</f>
        <v>0</v>
      </c>
      <c r="F18" s="15">
        <f>[15]Resumen!$F$21</f>
        <v>0</v>
      </c>
      <c r="G18" s="17">
        <f>[15]Resumen!$G$21</f>
        <v>0</v>
      </c>
      <c r="H18" s="18">
        <f>[15]Resumen!$H$21</f>
        <v>0</v>
      </c>
      <c r="I18" s="15">
        <f>[15]Resumen!$I$21</f>
        <v>0</v>
      </c>
      <c r="J18" s="16">
        <f>[15]Resumen!$J$21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[16]Resumen!$B$21</f>
        <v>0</v>
      </c>
      <c r="C19" s="15">
        <f>[16]Resumen!$C$21</f>
        <v>0</v>
      </c>
      <c r="D19" s="16">
        <f>[16]Resumen!$D$21</f>
        <v>0</v>
      </c>
      <c r="E19" s="14">
        <f>[16]Resumen!$E$21</f>
        <v>0</v>
      </c>
      <c r="F19" s="15">
        <f>[16]Resumen!$F$21</f>
        <v>0</v>
      </c>
      <c r="G19" s="17">
        <f>[16]Resumen!$G$21</f>
        <v>0</v>
      </c>
      <c r="H19" s="18">
        <f>[16]Resumen!$H$21</f>
        <v>0</v>
      </c>
      <c r="I19" s="15">
        <f>[16]Resumen!$I$21</f>
        <v>0</v>
      </c>
      <c r="J19" s="16">
        <f>[16]Resumen!$J$21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[17]Resumen!$B$21</f>
        <v>0</v>
      </c>
      <c r="C20" s="15">
        <f>[17]Resumen!$C$21</f>
        <v>0</v>
      </c>
      <c r="D20" s="16">
        <f>[17]Resumen!$D$21</f>
        <v>0</v>
      </c>
      <c r="E20" s="14">
        <f>[17]Resumen!$E$21</f>
        <v>0</v>
      </c>
      <c r="F20" s="15">
        <f>[17]Resumen!$F$21</f>
        <v>0</v>
      </c>
      <c r="G20" s="17">
        <f>[17]Resumen!$G$21</f>
        <v>0</v>
      </c>
      <c r="H20" s="18">
        <f>[17]Resumen!$H$21</f>
        <v>0</v>
      </c>
      <c r="I20" s="15">
        <f>[17]Resumen!$I$21</f>
        <v>0</v>
      </c>
      <c r="J20" s="16">
        <f>[17]Resumen!$J$21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[18]Resumen!$B$21</f>
        <v>0</v>
      </c>
      <c r="C21" s="15">
        <f>[18]Resumen!$C$21</f>
        <v>0</v>
      </c>
      <c r="D21" s="16">
        <f>[18]Resumen!$D$21</f>
        <v>0</v>
      </c>
      <c r="E21" s="14">
        <f>[18]Resumen!$E$21</f>
        <v>0</v>
      </c>
      <c r="F21" s="15">
        <f>[18]Resumen!$F$21</f>
        <v>0</v>
      </c>
      <c r="G21" s="17">
        <f>[18]Resumen!$G$21</f>
        <v>0</v>
      </c>
      <c r="H21" s="18">
        <f>[18]Resumen!$H$21</f>
        <v>0</v>
      </c>
      <c r="I21" s="15">
        <f>[18]Resumen!$I$21</f>
        <v>0</v>
      </c>
      <c r="J21" s="16">
        <f>[18]Resumen!$J$21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[19]Resumen!$B$21</f>
        <v>0</v>
      </c>
      <c r="C22" s="15">
        <f>[19]Resumen!$C$21</f>
        <v>0</v>
      </c>
      <c r="D22" s="16">
        <f>[19]Resumen!$D$21</f>
        <v>0</v>
      </c>
      <c r="E22" s="14">
        <f>[19]Resumen!$E$21</f>
        <v>0</v>
      </c>
      <c r="F22" s="15">
        <f>[19]Resumen!$F$21</f>
        <v>0</v>
      </c>
      <c r="G22" s="17">
        <f>[19]Resumen!$G$21</f>
        <v>0</v>
      </c>
      <c r="H22" s="18">
        <f>[19]Resumen!$H$21</f>
        <v>0</v>
      </c>
      <c r="I22" s="15">
        <f>[19]Resumen!$I$21</f>
        <v>0</v>
      </c>
      <c r="J22" s="16">
        <f>[19]Resumen!$J$21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[20]Resumen!$B$21</f>
        <v>0</v>
      </c>
      <c r="C23" s="15">
        <f>[20]Resumen!$C$21</f>
        <v>0</v>
      </c>
      <c r="D23" s="16">
        <f>[20]Resumen!$D$21</f>
        <v>0</v>
      </c>
      <c r="E23" s="14">
        <f>[20]Resumen!$E$21</f>
        <v>0</v>
      </c>
      <c r="F23" s="15">
        <f>[20]Resumen!$F$21</f>
        <v>0</v>
      </c>
      <c r="G23" s="17">
        <f>[20]Resumen!$G$21</f>
        <v>0</v>
      </c>
      <c r="H23" s="18">
        <f>[20]Resumen!$H$21</f>
        <v>0</v>
      </c>
      <c r="I23" s="15">
        <f>[20]Resumen!$I$21</f>
        <v>0</v>
      </c>
      <c r="J23" s="16">
        <f>[20]Resumen!$J$21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[21]Resumen!$B$21</f>
        <v>0</v>
      </c>
      <c r="C24" s="15">
        <f>[21]Resumen!$C$21</f>
        <v>0</v>
      </c>
      <c r="D24" s="16">
        <f>[21]Resumen!$D$21</f>
        <v>0</v>
      </c>
      <c r="E24" s="14">
        <f>[21]Resumen!$E$21</f>
        <v>0</v>
      </c>
      <c r="F24" s="15">
        <f>[21]Resumen!$F$21</f>
        <v>0</v>
      </c>
      <c r="G24" s="17">
        <f>[21]Resumen!$G$21</f>
        <v>0</v>
      </c>
      <c r="H24" s="18">
        <f>[21]Resumen!$H$21</f>
        <v>0</v>
      </c>
      <c r="I24" s="15">
        <f>[21]Resumen!$I$21</f>
        <v>0</v>
      </c>
      <c r="J24" s="16">
        <f>[21]Resumen!$J$21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[22]Resumen!$B$21</f>
        <v>0</v>
      </c>
      <c r="C25" s="15">
        <f>[22]Resumen!$C$21</f>
        <v>0</v>
      </c>
      <c r="D25" s="16">
        <f>[22]Resumen!$D$21</f>
        <v>0</v>
      </c>
      <c r="E25" s="14">
        <f>[22]Resumen!$E$21</f>
        <v>0</v>
      </c>
      <c r="F25" s="15">
        <f>[22]Resumen!$F$21</f>
        <v>0</v>
      </c>
      <c r="G25" s="17">
        <f>[22]Resumen!$G$21</f>
        <v>0</v>
      </c>
      <c r="H25" s="18">
        <f>[22]Resumen!$H$21</f>
        <v>0</v>
      </c>
      <c r="I25" s="15">
        <f>[22]Resumen!$I$21</f>
        <v>0</v>
      </c>
      <c r="J25" s="16">
        <f>[22]Resumen!$J$21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[23]Resumen!$B$21</f>
        <v>0</v>
      </c>
      <c r="C26" s="15">
        <f>[23]Resumen!$C$21</f>
        <v>0</v>
      </c>
      <c r="D26" s="16">
        <f>[23]Resumen!$D$21</f>
        <v>0</v>
      </c>
      <c r="E26" s="14">
        <f>[23]Resumen!$E$21</f>
        <v>0</v>
      </c>
      <c r="F26" s="15">
        <f>[23]Resumen!$F$21</f>
        <v>0</v>
      </c>
      <c r="G26" s="17">
        <f>[23]Resumen!$G$21</f>
        <v>0</v>
      </c>
      <c r="H26" s="18">
        <f>[23]Resumen!$H$21</f>
        <v>0</v>
      </c>
      <c r="I26" s="15">
        <f>[23]Resumen!$I$21</f>
        <v>0</v>
      </c>
      <c r="J26" s="16">
        <f>[23]Resumen!$J$21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[24]Resumen!$B$21</f>
        <v>0</v>
      </c>
      <c r="C27" s="15">
        <f>[24]Resumen!$C$21</f>
        <v>0</v>
      </c>
      <c r="D27" s="16">
        <f>[24]Resumen!$D$21</f>
        <v>0</v>
      </c>
      <c r="E27" s="14">
        <f>[24]Resumen!$E$21</f>
        <v>0</v>
      </c>
      <c r="F27" s="15">
        <f>[24]Resumen!$F$21</f>
        <v>0</v>
      </c>
      <c r="G27" s="17">
        <f>[24]Resumen!$G$21</f>
        <v>0</v>
      </c>
      <c r="H27" s="18">
        <f>[24]Resumen!$H$21</f>
        <v>0</v>
      </c>
      <c r="I27" s="15">
        <f>[24]Resumen!$I$21</f>
        <v>0</v>
      </c>
      <c r="J27" s="16">
        <f>[24]Resumen!$J$21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[25]Resumen!$B$21</f>
        <v>0</v>
      </c>
      <c r="C28" s="15">
        <f>[25]Resumen!$C$21</f>
        <v>0</v>
      </c>
      <c r="D28" s="16">
        <f>[25]Resumen!$D$21</f>
        <v>0</v>
      </c>
      <c r="E28" s="14">
        <f>[25]Resumen!$E$21</f>
        <v>0</v>
      </c>
      <c r="F28" s="15">
        <f>[25]Resumen!$F$21</f>
        <v>0</v>
      </c>
      <c r="G28" s="17">
        <f>[25]Resumen!$G$21</f>
        <v>0</v>
      </c>
      <c r="H28" s="18">
        <f>[25]Resumen!$H$21</f>
        <v>0</v>
      </c>
      <c r="I28" s="15">
        <f>[25]Resumen!$I$21</f>
        <v>0</v>
      </c>
      <c r="J28" s="16">
        <f>[25]Resumen!$J$21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[26]Resumen!$B$21</f>
        <v>0</v>
      </c>
      <c r="C29" s="15">
        <f>[26]Resumen!$C$21</f>
        <v>0</v>
      </c>
      <c r="D29" s="16">
        <f>[26]Resumen!$D$21</f>
        <v>0</v>
      </c>
      <c r="E29" s="14">
        <f>[26]Resumen!$E$21</f>
        <v>0</v>
      </c>
      <c r="F29" s="15">
        <f>[26]Resumen!$F$21</f>
        <v>0</v>
      </c>
      <c r="G29" s="17">
        <f>[26]Resumen!$G$21</f>
        <v>0</v>
      </c>
      <c r="H29" s="18">
        <f>[26]Resumen!$H$21</f>
        <v>0</v>
      </c>
      <c r="I29" s="15">
        <f>[26]Resumen!$I$21</f>
        <v>0</v>
      </c>
      <c r="J29" s="16">
        <f>[26]Resumen!$J$21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[27]Resumen!$B$21</f>
        <v>0</v>
      </c>
      <c r="C30" s="15">
        <f>[27]Resumen!$C$21</f>
        <v>0</v>
      </c>
      <c r="D30" s="16">
        <f>[27]Resumen!$D$21</f>
        <v>0</v>
      </c>
      <c r="E30" s="14">
        <f>[27]Resumen!$E$21</f>
        <v>0</v>
      </c>
      <c r="F30" s="15">
        <f>[27]Resumen!$F$21</f>
        <v>0</v>
      </c>
      <c r="G30" s="17">
        <f>[27]Resumen!$G$21</f>
        <v>0</v>
      </c>
      <c r="H30" s="18">
        <f>[27]Resumen!$H$21</f>
        <v>0</v>
      </c>
      <c r="I30" s="15">
        <f>[27]Resumen!$I$21</f>
        <v>0</v>
      </c>
      <c r="J30" s="16">
        <f>[27]Resumen!$J$21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[28]Resumen!$B$21</f>
        <v>0</v>
      </c>
      <c r="C31" s="15">
        <f>[28]Resumen!$C$21</f>
        <v>0</v>
      </c>
      <c r="D31" s="16">
        <f>[28]Resumen!$D$21</f>
        <v>0</v>
      </c>
      <c r="E31" s="14">
        <f>[28]Resumen!$E$21</f>
        <v>0</v>
      </c>
      <c r="F31" s="15">
        <f>[28]Resumen!$F$21</f>
        <v>0</v>
      </c>
      <c r="G31" s="17">
        <f>[28]Resumen!$G$21</f>
        <v>0</v>
      </c>
      <c r="H31" s="18">
        <f>[28]Resumen!$H$21</f>
        <v>0</v>
      </c>
      <c r="I31" s="15">
        <f>[28]Resumen!$I$21</f>
        <v>0</v>
      </c>
      <c r="J31" s="16">
        <f>[28]Resumen!$J$21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[29]Resumen!$B$21</f>
        <v>0</v>
      </c>
      <c r="C32" s="15">
        <f>[29]Resumen!$C$21</f>
        <v>0</v>
      </c>
      <c r="D32" s="16">
        <f>[29]Resumen!$D$21</f>
        <v>0</v>
      </c>
      <c r="E32" s="14">
        <f>[29]Resumen!$E$21</f>
        <v>0</v>
      </c>
      <c r="F32" s="15">
        <f>[29]Resumen!$F$21</f>
        <v>0</v>
      </c>
      <c r="G32" s="17">
        <f>[29]Resumen!$G$21</f>
        <v>0</v>
      </c>
      <c r="H32" s="18">
        <f>[29]Resumen!$H$21</f>
        <v>0</v>
      </c>
      <c r="I32" s="15">
        <f>[29]Resumen!$I$21</f>
        <v>0</v>
      </c>
      <c r="J32" s="16">
        <f>[29]Resumen!$J$21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[30]Resumen!$B$21</f>
        <v>0</v>
      </c>
      <c r="C33" s="15">
        <f>[30]Resumen!$C$21</f>
        <v>0</v>
      </c>
      <c r="D33" s="16">
        <f>[30]Resumen!$D$21</f>
        <v>0</v>
      </c>
      <c r="E33" s="14">
        <f>[30]Resumen!$E$21</f>
        <v>0</v>
      </c>
      <c r="F33" s="15">
        <f>[30]Resumen!$F$21</f>
        <v>0</v>
      </c>
      <c r="G33" s="17">
        <f>[30]Resumen!$G$21</f>
        <v>0</v>
      </c>
      <c r="H33" s="18">
        <f>[30]Resumen!$H$21</f>
        <v>0</v>
      </c>
      <c r="I33" s="15">
        <f>[30]Resumen!$I$21</f>
        <v>0</v>
      </c>
      <c r="J33" s="16">
        <f>[30]Resumen!$J$21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[31]Resumen!$B$21</f>
        <v>0</v>
      </c>
      <c r="C34" s="15">
        <f>[31]Resumen!$C$21</f>
        <v>0</v>
      </c>
      <c r="D34" s="16">
        <f>[31]Resumen!$D$21</f>
        <v>0</v>
      </c>
      <c r="E34" s="14">
        <f>[31]Resumen!$E$21</f>
        <v>0</v>
      </c>
      <c r="F34" s="15">
        <f>[31]Resumen!$F$21</f>
        <v>0</v>
      </c>
      <c r="G34" s="17">
        <f>[31]Resumen!$G$21</f>
        <v>0</v>
      </c>
      <c r="H34" s="18">
        <f>[31]Resumen!$H$21</f>
        <v>0</v>
      </c>
      <c r="I34" s="15">
        <f>[31]Resumen!$I$21</f>
        <v>0</v>
      </c>
      <c r="J34" s="16">
        <f>[31]Resumen!$J$21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[1]Resumen!$B$21</f>
        <v>0</v>
      </c>
      <c r="C35" s="15">
        <f>[1]Resumen!$C$21</f>
        <v>0</v>
      </c>
      <c r="D35" s="16">
        <f>[1]Resumen!$D$21</f>
        <v>0</v>
      </c>
      <c r="E35" s="14">
        <f>[1]Resumen!$E$21</f>
        <v>0</v>
      </c>
      <c r="F35" s="15">
        <f>[1]Resumen!$F$21</f>
        <v>0</v>
      </c>
      <c r="G35" s="17">
        <f>[1]Resumen!$G$21</f>
        <v>0</v>
      </c>
      <c r="H35" s="18">
        <f>[1]Resumen!$H$21</f>
        <v>0</v>
      </c>
      <c r="I35" s="15">
        <f>[1]Resumen!$I$21</f>
        <v>0</v>
      </c>
      <c r="J35" s="16">
        <f>[1]Resumen!$J$21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+[2]Resumen!$B$21</f>
        <v>0</v>
      </c>
      <c r="C36" s="22">
        <f>+[2]Resumen!$C$21</f>
        <v>0</v>
      </c>
      <c r="D36" s="23">
        <f>+[2]Resumen!$D$21</f>
        <v>0</v>
      </c>
      <c r="E36" s="21">
        <f>+[2]Resumen!$E$21</f>
        <v>0</v>
      </c>
      <c r="F36" s="22">
        <f>+[2]Resumen!$F$21</f>
        <v>0</v>
      </c>
      <c r="G36" s="24">
        <f>+[2]Resumen!$G$21</f>
        <v>0</v>
      </c>
      <c r="H36" s="25">
        <f>+[2]Resumen!$H$21</f>
        <v>0</v>
      </c>
      <c r="I36" s="22">
        <f>+[2]Resumen!$I$21</f>
        <v>0</v>
      </c>
      <c r="J36" s="23">
        <f>+[2]Resumen!$J$21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40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81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.75" thickBot="1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.75" thickBot="1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>
      <c r="A6" s="20" t="s">
        <v>49</v>
      </c>
      <c r="B6" s="53">
        <f>[3]Resumen!$B$22</f>
        <v>0</v>
      </c>
      <c r="C6" s="58">
        <f>[3]Resumen!$C$22</f>
        <v>0</v>
      </c>
      <c r="D6" s="54">
        <f>[3]Resumen!$D$22</f>
        <v>0</v>
      </c>
      <c r="E6" s="53">
        <f>[3]Resumen!$E$22</f>
        <v>0</v>
      </c>
      <c r="F6" s="58">
        <f>[3]Resumen!$F$22</f>
        <v>0</v>
      </c>
      <c r="G6" s="55">
        <f>[3]Resumen!$G$22</f>
        <v>0</v>
      </c>
      <c r="H6" s="61">
        <f>[3]Resumen!$H$22</f>
        <v>0</v>
      </c>
      <c r="I6" s="58">
        <f>[3]Resumen!$I$22</f>
        <v>0</v>
      </c>
      <c r="J6" s="54">
        <f>[3]Resumen!$J$22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>
      <c r="A7" s="13" t="s">
        <v>50</v>
      </c>
      <c r="B7" s="14">
        <f>[4]Resumen!$B$22</f>
        <v>0</v>
      </c>
      <c r="C7" s="15">
        <f>[4]Resumen!$C$22</f>
        <v>0</v>
      </c>
      <c r="D7" s="16">
        <f>[4]Resumen!$D$22</f>
        <v>0</v>
      </c>
      <c r="E7" s="14">
        <f>[4]Resumen!$E$22</f>
        <v>0</v>
      </c>
      <c r="F7" s="15">
        <f>[4]Resumen!$F$22</f>
        <v>0</v>
      </c>
      <c r="G7" s="17">
        <f>[4]Resumen!$G$22</f>
        <v>0</v>
      </c>
      <c r="H7" s="18">
        <f>[4]Resumen!$H$22</f>
        <v>0</v>
      </c>
      <c r="I7" s="15">
        <f>[4]Resumen!$I$22</f>
        <v>0</v>
      </c>
      <c r="J7" s="16">
        <f>[4]Resumen!$J$22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20" t="s">
        <v>51</v>
      </c>
      <c r="B8" s="14">
        <f>[5]Resumen!$B$22</f>
        <v>0</v>
      </c>
      <c r="C8" s="15">
        <f>[5]Resumen!$C$22</f>
        <v>0</v>
      </c>
      <c r="D8" s="16">
        <f>[5]Resumen!$D$22</f>
        <v>0</v>
      </c>
      <c r="E8" s="14">
        <f>[5]Resumen!$E$22</f>
        <v>0</v>
      </c>
      <c r="F8" s="15">
        <f>[5]Resumen!$F$22</f>
        <v>0</v>
      </c>
      <c r="G8" s="17">
        <f>[5]Resumen!$G$22</f>
        <v>0</v>
      </c>
      <c r="H8" s="18">
        <f>[5]Resumen!$H$22</f>
        <v>0</v>
      </c>
      <c r="I8" s="15">
        <f>[5]Resumen!$I$22</f>
        <v>0</v>
      </c>
      <c r="J8" s="16">
        <f>[5]Resumen!$J$22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13" t="s">
        <v>52</v>
      </c>
      <c r="B9" s="14">
        <f>[6]Resumen!$B$22</f>
        <v>0</v>
      </c>
      <c r="C9" s="15">
        <f>[6]Resumen!$C$22</f>
        <v>0</v>
      </c>
      <c r="D9" s="16">
        <f>[6]Resumen!$D$22</f>
        <v>0</v>
      </c>
      <c r="E9" s="14">
        <f>[6]Resumen!$E$22</f>
        <v>0</v>
      </c>
      <c r="F9" s="15">
        <f>[6]Resumen!$F$22</f>
        <v>0</v>
      </c>
      <c r="G9" s="17">
        <f>[6]Resumen!$G$22</f>
        <v>0</v>
      </c>
      <c r="H9" s="18">
        <f>[6]Resumen!$H$22</f>
        <v>0</v>
      </c>
      <c r="I9" s="15">
        <f>[6]Resumen!$I$22</f>
        <v>0</v>
      </c>
      <c r="J9" s="16">
        <f>[6]Resumen!$J$22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20" t="s">
        <v>53</v>
      </c>
      <c r="B10" s="14">
        <f>[7]Resumen!$B$22</f>
        <v>0</v>
      </c>
      <c r="C10" s="15">
        <f>[7]Resumen!$C$22</f>
        <v>0</v>
      </c>
      <c r="D10" s="16">
        <f>[7]Resumen!$D$22</f>
        <v>0</v>
      </c>
      <c r="E10" s="14">
        <f>[7]Resumen!$E$22</f>
        <v>0</v>
      </c>
      <c r="F10" s="15">
        <f>[7]Resumen!$F$22</f>
        <v>0</v>
      </c>
      <c r="G10" s="17">
        <f>[7]Resumen!$G$22</f>
        <v>0</v>
      </c>
      <c r="H10" s="18">
        <f>[7]Resumen!$H$22</f>
        <v>0</v>
      </c>
      <c r="I10" s="15">
        <f>[7]Resumen!$I$22</f>
        <v>0</v>
      </c>
      <c r="J10" s="16">
        <f>[7]Resumen!$J$22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13" t="s">
        <v>20</v>
      </c>
      <c r="B11" s="14">
        <f>[8]Resumen!$B$22</f>
        <v>0</v>
      </c>
      <c r="C11" s="15">
        <f>[8]Resumen!$C$22</f>
        <v>0</v>
      </c>
      <c r="D11" s="16">
        <f>[8]Resumen!$D$22</f>
        <v>0</v>
      </c>
      <c r="E11" s="14">
        <f>[8]Resumen!$E$22</f>
        <v>0</v>
      </c>
      <c r="F11" s="15">
        <f>[8]Resumen!$F$22</f>
        <v>0</v>
      </c>
      <c r="G11" s="17">
        <f>[8]Resumen!$G$22</f>
        <v>0</v>
      </c>
      <c r="H11" s="18">
        <f>[8]Resumen!$H$22</f>
        <v>0</v>
      </c>
      <c r="I11" s="15">
        <f>[8]Resumen!$I$22</f>
        <v>0</v>
      </c>
      <c r="J11" s="16">
        <f>[8]Resumen!$J$22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20" t="s">
        <v>21</v>
      </c>
      <c r="B12" s="14">
        <f>[9]Resumen!$B$22</f>
        <v>0</v>
      </c>
      <c r="C12" s="15">
        <f>[9]Resumen!$C$22</f>
        <v>0</v>
      </c>
      <c r="D12" s="16">
        <f>[9]Resumen!$D$22</f>
        <v>0</v>
      </c>
      <c r="E12" s="14">
        <f>[9]Resumen!$E$22</f>
        <v>0</v>
      </c>
      <c r="F12" s="15">
        <f>[9]Resumen!$F$22</f>
        <v>0</v>
      </c>
      <c r="G12" s="17">
        <f>[9]Resumen!$G$22</f>
        <v>0</v>
      </c>
      <c r="H12" s="18">
        <f>[9]Resumen!$H$22</f>
        <v>0</v>
      </c>
      <c r="I12" s="15">
        <f>[9]Resumen!$I$22</f>
        <v>0</v>
      </c>
      <c r="J12" s="16">
        <f>[9]Resumen!$J$22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13" t="s">
        <v>22</v>
      </c>
      <c r="B13" s="14">
        <f>[10]Resumen!$B$22</f>
        <v>0</v>
      </c>
      <c r="C13" s="15">
        <f>[10]Resumen!$C$22</f>
        <v>0</v>
      </c>
      <c r="D13" s="16">
        <f>[10]Resumen!$D$22</f>
        <v>0</v>
      </c>
      <c r="E13" s="14">
        <f>[10]Resumen!$E$22</f>
        <v>0</v>
      </c>
      <c r="F13" s="15">
        <f>[10]Resumen!$F$22</f>
        <v>0</v>
      </c>
      <c r="G13" s="17">
        <f>[10]Resumen!$G$22</f>
        <v>0</v>
      </c>
      <c r="H13" s="18">
        <f>[10]Resumen!$H$22</f>
        <v>0</v>
      </c>
      <c r="I13" s="15">
        <f>[10]Resumen!$I$22</f>
        <v>0</v>
      </c>
      <c r="J13" s="16">
        <f>[10]Resumen!$J$22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20" t="s">
        <v>23</v>
      </c>
      <c r="B14" s="14">
        <f>[11]Resumen!$B$22</f>
        <v>0</v>
      </c>
      <c r="C14" s="15">
        <f>[11]Resumen!$C$22</f>
        <v>0</v>
      </c>
      <c r="D14" s="16">
        <f>[11]Resumen!$D$22</f>
        <v>0</v>
      </c>
      <c r="E14" s="14">
        <f>[11]Resumen!$E$22</f>
        <v>0</v>
      </c>
      <c r="F14" s="15">
        <f>[11]Resumen!$F$22</f>
        <v>0</v>
      </c>
      <c r="G14" s="17">
        <f>[11]Resumen!$G$22</f>
        <v>0</v>
      </c>
      <c r="H14" s="18">
        <f>[11]Resumen!$H$22</f>
        <v>0</v>
      </c>
      <c r="I14" s="15">
        <f>[11]Resumen!$I$22</f>
        <v>0</v>
      </c>
      <c r="J14" s="16">
        <f>[11]Resumen!$J$22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13" t="s">
        <v>24</v>
      </c>
      <c r="B15" s="14">
        <f>[12]Resumen!$B$22</f>
        <v>0</v>
      </c>
      <c r="C15" s="15">
        <f>[12]Resumen!$C$22</f>
        <v>0</v>
      </c>
      <c r="D15" s="16">
        <f>[12]Resumen!$D$22</f>
        <v>0</v>
      </c>
      <c r="E15" s="14">
        <f>[12]Resumen!$E$22</f>
        <v>0</v>
      </c>
      <c r="F15" s="15">
        <f>[12]Resumen!$F$22</f>
        <v>0</v>
      </c>
      <c r="G15" s="17">
        <f>[12]Resumen!$G$22</f>
        <v>0</v>
      </c>
      <c r="H15" s="18">
        <f>[12]Resumen!$H$22</f>
        <v>0</v>
      </c>
      <c r="I15" s="15">
        <f>[12]Resumen!$I$22</f>
        <v>0</v>
      </c>
      <c r="J15" s="16">
        <f>[12]Resumen!$J$22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20" t="s">
        <v>25</v>
      </c>
      <c r="B16" s="14">
        <f>[13]Resumen!$B$22</f>
        <v>0</v>
      </c>
      <c r="C16" s="15">
        <f>[13]Resumen!$C$22</f>
        <v>0</v>
      </c>
      <c r="D16" s="16">
        <f>[13]Resumen!$D$22</f>
        <v>0</v>
      </c>
      <c r="E16" s="14">
        <f>[13]Resumen!$E$22</f>
        <v>0</v>
      </c>
      <c r="F16" s="15">
        <f>[13]Resumen!$F$22</f>
        <v>0</v>
      </c>
      <c r="G16" s="17">
        <f>[13]Resumen!$G$22</f>
        <v>0</v>
      </c>
      <c r="H16" s="18">
        <f>[13]Resumen!$H$22</f>
        <v>0</v>
      </c>
      <c r="I16" s="15">
        <f>[13]Resumen!$I$22</f>
        <v>0</v>
      </c>
      <c r="J16" s="16">
        <f>[13]Resumen!$J$22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13" t="s">
        <v>26</v>
      </c>
      <c r="B17" s="14">
        <f>[14]Resumen!$B$22</f>
        <v>0</v>
      </c>
      <c r="C17" s="15">
        <f>[14]Resumen!$C$22</f>
        <v>0</v>
      </c>
      <c r="D17" s="16">
        <f>[14]Resumen!$D$22</f>
        <v>0</v>
      </c>
      <c r="E17" s="14">
        <f>[14]Resumen!$E$22</f>
        <v>0</v>
      </c>
      <c r="F17" s="15">
        <f>[14]Resumen!$F$22</f>
        <v>0</v>
      </c>
      <c r="G17" s="17">
        <f>[14]Resumen!$G$22</f>
        <v>0</v>
      </c>
      <c r="H17" s="18">
        <f>[14]Resumen!$H$22</f>
        <v>0</v>
      </c>
      <c r="I17" s="15">
        <f>[14]Resumen!$I$22</f>
        <v>0</v>
      </c>
      <c r="J17" s="16">
        <f>[14]Resumen!$J$22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27</v>
      </c>
      <c r="B18" s="14">
        <f>[15]Resumen!$B$22</f>
        <v>0</v>
      </c>
      <c r="C18" s="15">
        <f>[15]Resumen!$C$22</f>
        <v>0</v>
      </c>
      <c r="D18" s="16">
        <f>[15]Resumen!$D$22</f>
        <v>0</v>
      </c>
      <c r="E18" s="14">
        <f>[15]Resumen!$E$22</f>
        <v>0</v>
      </c>
      <c r="F18" s="15">
        <f>[15]Resumen!$F$22</f>
        <v>0</v>
      </c>
      <c r="G18" s="17">
        <f>[15]Resumen!$G$22</f>
        <v>0</v>
      </c>
      <c r="H18" s="18">
        <f>[15]Resumen!$H$22</f>
        <v>0</v>
      </c>
      <c r="I18" s="15">
        <f>[15]Resumen!$I$22</f>
        <v>0</v>
      </c>
      <c r="J18" s="16">
        <f>[15]Resumen!$J$22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20" t="s">
        <v>28</v>
      </c>
      <c r="B19" s="14">
        <f>[16]Resumen!$B$22</f>
        <v>0</v>
      </c>
      <c r="C19" s="15">
        <f>[16]Resumen!$C$22</f>
        <v>0</v>
      </c>
      <c r="D19" s="16">
        <f>[16]Resumen!$D$22</f>
        <v>0</v>
      </c>
      <c r="E19" s="14">
        <f>[16]Resumen!$E$22</f>
        <v>0</v>
      </c>
      <c r="F19" s="15">
        <f>[16]Resumen!$F$22</f>
        <v>0</v>
      </c>
      <c r="G19" s="17">
        <f>[16]Resumen!$G$22</f>
        <v>0</v>
      </c>
      <c r="H19" s="18">
        <f>[16]Resumen!$H$22</f>
        <v>0</v>
      </c>
      <c r="I19" s="15">
        <f>[16]Resumen!$I$22</f>
        <v>0</v>
      </c>
      <c r="J19" s="16">
        <f>[16]Resumen!$J$22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13" t="s">
        <v>29</v>
      </c>
      <c r="B20" s="14">
        <f>[17]Resumen!$B$22</f>
        <v>0</v>
      </c>
      <c r="C20" s="15">
        <f>[17]Resumen!$C$22</f>
        <v>0</v>
      </c>
      <c r="D20" s="16">
        <f>[17]Resumen!$D$22</f>
        <v>0</v>
      </c>
      <c r="E20" s="14">
        <f>[17]Resumen!$E$22</f>
        <v>0</v>
      </c>
      <c r="F20" s="15">
        <f>[17]Resumen!$F$22</f>
        <v>0</v>
      </c>
      <c r="G20" s="17">
        <f>[17]Resumen!$G$22</f>
        <v>0</v>
      </c>
      <c r="H20" s="18">
        <f>[17]Resumen!$H$22</f>
        <v>0</v>
      </c>
      <c r="I20" s="15">
        <f>[17]Resumen!$I$22</f>
        <v>0</v>
      </c>
      <c r="J20" s="16">
        <f>[17]Resumen!$J$22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20" t="s">
        <v>30</v>
      </c>
      <c r="B21" s="14">
        <f>[18]Resumen!$B$22</f>
        <v>0</v>
      </c>
      <c r="C21" s="15">
        <f>[18]Resumen!$C$22</f>
        <v>0</v>
      </c>
      <c r="D21" s="16">
        <f>[18]Resumen!$D$22</f>
        <v>0</v>
      </c>
      <c r="E21" s="14">
        <f>[18]Resumen!$E$22</f>
        <v>0</v>
      </c>
      <c r="F21" s="15">
        <f>[18]Resumen!$F$22</f>
        <v>0</v>
      </c>
      <c r="G21" s="17">
        <f>[18]Resumen!$G$22</f>
        <v>0</v>
      </c>
      <c r="H21" s="18">
        <f>[18]Resumen!$H$22</f>
        <v>0</v>
      </c>
      <c r="I21" s="15">
        <f>[18]Resumen!$I$22</f>
        <v>0</v>
      </c>
      <c r="J21" s="16">
        <f>[18]Resumen!$J$22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13" t="s">
        <v>31</v>
      </c>
      <c r="B22" s="14">
        <f>[19]Resumen!$B$22</f>
        <v>0</v>
      </c>
      <c r="C22" s="15">
        <f>[19]Resumen!$C$22</f>
        <v>0</v>
      </c>
      <c r="D22" s="16">
        <f>[19]Resumen!$D$22</f>
        <v>0</v>
      </c>
      <c r="E22" s="14">
        <f>[19]Resumen!$E$22</f>
        <v>0</v>
      </c>
      <c r="F22" s="15">
        <f>[19]Resumen!$F$22</f>
        <v>0</v>
      </c>
      <c r="G22" s="17">
        <f>[19]Resumen!$G$22</f>
        <v>0</v>
      </c>
      <c r="H22" s="18">
        <f>[19]Resumen!$H$22</f>
        <v>0</v>
      </c>
      <c r="I22" s="15">
        <f>[19]Resumen!$I$22</f>
        <v>0</v>
      </c>
      <c r="J22" s="16">
        <f>[19]Resumen!$J$22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20" t="s">
        <v>32</v>
      </c>
      <c r="B23" s="14">
        <f>[20]Resumen!$B$22</f>
        <v>0</v>
      </c>
      <c r="C23" s="15">
        <f>[20]Resumen!$C$22</f>
        <v>0</v>
      </c>
      <c r="D23" s="16">
        <f>[20]Resumen!$D$22</f>
        <v>0</v>
      </c>
      <c r="E23" s="14">
        <f>[20]Resumen!$E$22</f>
        <v>0</v>
      </c>
      <c r="F23" s="15">
        <f>[20]Resumen!$F$22</f>
        <v>0</v>
      </c>
      <c r="G23" s="17">
        <f>[20]Resumen!$G$22</f>
        <v>0</v>
      </c>
      <c r="H23" s="18">
        <f>[20]Resumen!$H$22</f>
        <v>0</v>
      </c>
      <c r="I23" s="15">
        <f>[20]Resumen!$I$22</f>
        <v>0</v>
      </c>
      <c r="J23" s="16">
        <f>[20]Resumen!$J$22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13" t="s">
        <v>33</v>
      </c>
      <c r="B24" s="14">
        <f>[21]Resumen!$B$22</f>
        <v>0</v>
      </c>
      <c r="C24" s="15">
        <f>[21]Resumen!$C$22</f>
        <v>0</v>
      </c>
      <c r="D24" s="16">
        <f>[21]Resumen!$D$22</f>
        <v>0</v>
      </c>
      <c r="E24" s="14">
        <f>[21]Resumen!$E$22</f>
        <v>0</v>
      </c>
      <c r="F24" s="15">
        <f>[21]Resumen!$F$22</f>
        <v>0</v>
      </c>
      <c r="G24" s="17">
        <f>[21]Resumen!$G$22</f>
        <v>0</v>
      </c>
      <c r="H24" s="18">
        <f>[21]Resumen!$H$22</f>
        <v>0</v>
      </c>
      <c r="I24" s="15">
        <f>[21]Resumen!$I$22</f>
        <v>0</v>
      </c>
      <c r="J24" s="16">
        <f>[21]Resumen!$J$22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20" t="s">
        <v>34</v>
      </c>
      <c r="B25" s="14">
        <f>[22]Resumen!$B$22</f>
        <v>0</v>
      </c>
      <c r="C25" s="15">
        <f>[22]Resumen!$C$22</f>
        <v>0</v>
      </c>
      <c r="D25" s="16">
        <f>[22]Resumen!$D$22</f>
        <v>0</v>
      </c>
      <c r="E25" s="14">
        <f>[22]Resumen!$E$22</f>
        <v>0</v>
      </c>
      <c r="F25" s="15">
        <f>[22]Resumen!$F$22</f>
        <v>0</v>
      </c>
      <c r="G25" s="17">
        <f>[22]Resumen!$G$22</f>
        <v>0</v>
      </c>
      <c r="H25" s="18">
        <f>[22]Resumen!$H$22</f>
        <v>0</v>
      </c>
      <c r="I25" s="15">
        <f>[22]Resumen!$I$22</f>
        <v>0</v>
      </c>
      <c r="J25" s="16">
        <f>[22]Resumen!$J$22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13" t="s">
        <v>35</v>
      </c>
      <c r="B26" s="14">
        <f>[23]Resumen!$B$22</f>
        <v>0</v>
      </c>
      <c r="C26" s="15">
        <f>[23]Resumen!$C$22</f>
        <v>0</v>
      </c>
      <c r="D26" s="16">
        <f>[23]Resumen!$D$22</f>
        <v>0</v>
      </c>
      <c r="E26" s="14">
        <f>[23]Resumen!$E$22</f>
        <v>0</v>
      </c>
      <c r="F26" s="15">
        <f>[23]Resumen!$F$22</f>
        <v>0</v>
      </c>
      <c r="G26" s="17">
        <f>[23]Resumen!$G$22</f>
        <v>0</v>
      </c>
      <c r="H26" s="18">
        <f>[23]Resumen!$H$22</f>
        <v>0</v>
      </c>
      <c r="I26" s="15">
        <f>[23]Resumen!$I$22</f>
        <v>0</v>
      </c>
      <c r="J26" s="16">
        <f>[23]Resumen!$J$22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20" t="s">
        <v>36</v>
      </c>
      <c r="B27" s="14">
        <f>[24]Resumen!$B$22</f>
        <v>0</v>
      </c>
      <c r="C27" s="15">
        <f>[24]Resumen!$C$22</f>
        <v>0</v>
      </c>
      <c r="D27" s="16">
        <f>[24]Resumen!$D$22</f>
        <v>0</v>
      </c>
      <c r="E27" s="14">
        <f>[24]Resumen!$E$22</f>
        <v>0</v>
      </c>
      <c r="F27" s="15">
        <f>[24]Resumen!$F$22</f>
        <v>0</v>
      </c>
      <c r="G27" s="17">
        <f>[24]Resumen!$G$22</f>
        <v>0</v>
      </c>
      <c r="H27" s="18">
        <f>[24]Resumen!$H$22</f>
        <v>0</v>
      </c>
      <c r="I27" s="15">
        <f>[24]Resumen!$I$22</f>
        <v>0</v>
      </c>
      <c r="J27" s="16">
        <f>[24]Resumen!$J$22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13" t="s">
        <v>37</v>
      </c>
      <c r="B28" s="14">
        <f>[25]Resumen!$B$22</f>
        <v>0</v>
      </c>
      <c r="C28" s="15">
        <f>[25]Resumen!$C$22</f>
        <v>0</v>
      </c>
      <c r="D28" s="16">
        <f>[25]Resumen!$D$22</f>
        <v>0</v>
      </c>
      <c r="E28" s="14">
        <f>[25]Resumen!$E$22</f>
        <v>0</v>
      </c>
      <c r="F28" s="15">
        <f>[25]Resumen!$F$22</f>
        <v>0</v>
      </c>
      <c r="G28" s="17">
        <f>[25]Resumen!$G$22</f>
        <v>0</v>
      </c>
      <c r="H28" s="18">
        <f>[25]Resumen!$H$22</f>
        <v>0</v>
      </c>
      <c r="I28" s="15">
        <f>[25]Resumen!$I$22</f>
        <v>0</v>
      </c>
      <c r="J28" s="16">
        <f>[25]Resumen!$J$22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20" t="s">
        <v>38</v>
      </c>
      <c r="B29" s="14">
        <f>[26]Resumen!$B$22</f>
        <v>0</v>
      </c>
      <c r="C29" s="15">
        <f>[26]Resumen!$C$22</f>
        <v>0</v>
      </c>
      <c r="D29" s="16">
        <f>[26]Resumen!$D$22</f>
        <v>0</v>
      </c>
      <c r="E29" s="14">
        <f>[26]Resumen!$E$22</f>
        <v>0</v>
      </c>
      <c r="F29" s="15">
        <f>[26]Resumen!$F$22</f>
        <v>0</v>
      </c>
      <c r="G29" s="17">
        <f>[26]Resumen!$G$22</f>
        <v>0</v>
      </c>
      <c r="H29" s="18">
        <f>[26]Resumen!$H$22</f>
        <v>0</v>
      </c>
      <c r="I29" s="15">
        <f>[26]Resumen!$I$22</f>
        <v>0</v>
      </c>
      <c r="J29" s="16">
        <f>[26]Resumen!$J$22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13" t="s">
        <v>39</v>
      </c>
      <c r="B30" s="14">
        <f>[27]Resumen!$B$22</f>
        <v>0</v>
      </c>
      <c r="C30" s="15">
        <f>[27]Resumen!$C$22</f>
        <v>0</v>
      </c>
      <c r="D30" s="16">
        <f>[27]Resumen!$D$22</f>
        <v>0</v>
      </c>
      <c r="E30" s="14">
        <f>[27]Resumen!$E$22</f>
        <v>0</v>
      </c>
      <c r="F30" s="15">
        <f>[27]Resumen!$F$22</f>
        <v>0</v>
      </c>
      <c r="G30" s="17">
        <f>[27]Resumen!$G$22</f>
        <v>0</v>
      </c>
      <c r="H30" s="18">
        <f>[27]Resumen!$H$22</f>
        <v>0</v>
      </c>
      <c r="I30" s="15">
        <f>[27]Resumen!$I$22</f>
        <v>0</v>
      </c>
      <c r="J30" s="16">
        <f>[27]Resumen!$J$22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40</v>
      </c>
      <c r="B31" s="14">
        <f>[28]Resumen!$B$22</f>
        <v>0</v>
      </c>
      <c r="C31" s="15">
        <f>[28]Resumen!$C$22</f>
        <v>0</v>
      </c>
      <c r="D31" s="16">
        <f>[28]Resumen!$D$22</f>
        <v>0</v>
      </c>
      <c r="E31" s="14">
        <f>[28]Resumen!$E$22</f>
        <v>0</v>
      </c>
      <c r="F31" s="15">
        <f>[28]Resumen!$F$22</f>
        <v>0</v>
      </c>
      <c r="G31" s="17">
        <f>[28]Resumen!$G$22</f>
        <v>0</v>
      </c>
      <c r="H31" s="18">
        <f>[28]Resumen!$H$22</f>
        <v>0</v>
      </c>
      <c r="I31" s="15">
        <f>[28]Resumen!$I$22</f>
        <v>0</v>
      </c>
      <c r="J31" s="16">
        <f>[28]Resumen!$J$22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20" t="s">
        <v>41</v>
      </c>
      <c r="B32" s="14">
        <f>[29]Resumen!$B$22</f>
        <v>0</v>
      </c>
      <c r="C32" s="15">
        <f>[29]Resumen!$C$22</f>
        <v>0</v>
      </c>
      <c r="D32" s="16">
        <f>[29]Resumen!$D$22</f>
        <v>0</v>
      </c>
      <c r="E32" s="14">
        <f>[29]Resumen!$E$22</f>
        <v>0</v>
      </c>
      <c r="F32" s="15">
        <f>[29]Resumen!$F$22</f>
        <v>0</v>
      </c>
      <c r="G32" s="17">
        <f>[29]Resumen!$G$22</f>
        <v>0</v>
      </c>
      <c r="H32" s="18">
        <f>[29]Resumen!$H$22</f>
        <v>0</v>
      </c>
      <c r="I32" s="15">
        <f>[29]Resumen!$I$22</f>
        <v>0</v>
      </c>
      <c r="J32" s="16">
        <f>[29]Resumen!$J$22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13" t="s">
        <v>42</v>
      </c>
      <c r="B33" s="14">
        <f>[30]Resumen!$B$22</f>
        <v>0</v>
      </c>
      <c r="C33" s="15">
        <f>[30]Resumen!$C$22</f>
        <v>0</v>
      </c>
      <c r="D33" s="16">
        <f>[30]Resumen!$D$22</f>
        <v>0</v>
      </c>
      <c r="E33" s="14">
        <f>[30]Resumen!$E$22</f>
        <v>0</v>
      </c>
      <c r="F33" s="15">
        <f>[30]Resumen!$F$22</f>
        <v>0</v>
      </c>
      <c r="G33" s="17">
        <f>[30]Resumen!$G$22</f>
        <v>0</v>
      </c>
      <c r="H33" s="18">
        <f>[30]Resumen!$H$22</f>
        <v>0</v>
      </c>
      <c r="I33" s="15">
        <f>[30]Resumen!$I$22</f>
        <v>0</v>
      </c>
      <c r="J33" s="16">
        <f>[30]Resumen!$J$22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20" t="s">
        <v>43</v>
      </c>
      <c r="B34" s="14">
        <f>[31]Resumen!$B$22</f>
        <v>0</v>
      </c>
      <c r="C34" s="15">
        <f>[31]Resumen!$C$22</f>
        <v>0</v>
      </c>
      <c r="D34" s="16">
        <f>[31]Resumen!$D$22</f>
        <v>0</v>
      </c>
      <c r="E34" s="14">
        <f>[31]Resumen!$E$22</f>
        <v>0</v>
      </c>
      <c r="F34" s="15">
        <f>[31]Resumen!$F$22</f>
        <v>0</v>
      </c>
      <c r="G34" s="17">
        <f>[31]Resumen!$G$22</f>
        <v>0</v>
      </c>
      <c r="H34" s="18">
        <f>[31]Resumen!$H$22</f>
        <v>0</v>
      </c>
      <c r="I34" s="15">
        <f>[31]Resumen!$I$22</f>
        <v>0</v>
      </c>
      <c r="J34" s="16">
        <f>[31]Resumen!$J$22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13" t="s">
        <v>44</v>
      </c>
      <c r="B35" s="14">
        <f>[1]Resumen!$B$22</f>
        <v>0</v>
      </c>
      <c r="C35" s="15">
        <f>[1]Resumen!$C$22</f>
        <v>0</v>
      </c>
      <c r="D35" s="16">
        <f>[1]Resumen!$D$22</f>
        <v>0</v>
      </c>
      <c r="E35" s="14">
        <f>[1]Resumen!$E$22</f>
        <v>0</v>
      </c>
      <c r="F35" s="15">
        <f>[1]Resumen!$F$22</f>
        <v>0</v>
      </c>
      <c r="G35" s="17">
        <f>[1]Resumen!$G$22</f>
        <v>0</v>
      </c>
      <c r="H35" s="18">
        <f>[1]Resumen!$H$22</f>
        <v>0</v>
      </c>
      <c r="I35" s="15">
        <f>[1]Resumen!$I$22</f>
        <v>0</v>
      </c>
      <c r="J35" s="16">
        <f>[1]Resumen!$J$22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>
      <c r="A36" s="20" t="s">
        <v>45</v>
      </c>
      <c r="B36" s="21">
        <f>+[2]Resumen!$B$22</f>
        <v>0</v>
      </c>
      <c r="C36" s="22">
        <f>+[2]Resumen!$C$22</f>
        <v>0</v>
      </c>
      <c r="D36" s="23">
        <f>+[2]Resumen!$D$22</f>
        <v>0</v>
      </c>
      <c r="E36" s="21">
        <f>+[2]Resumen!$E$22</f>
        <v>0</v>
      </c>
      <c r="F36" s="22">
        <f>+[2]Resumen!$F$22</f>
        <v>0</v>
      </c>
      <c r="G36" s="24">
        <f>+[2]Resumen!$G$22</f>
        <v>0</v>
      </c>
      <c r="H36" s="25">
        <f>+[2]Resumen!$H$22</f>
        <v>0</v>
      </c>
      <c r="I36" s="22">
        <f>+[2]Resumen!$I$22</f>
        <v>0</v>
      </c>
      <c r="J36" s="23">
        <f>+[2]Resumen!$J$22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7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.75" thickBot="1"/>
    <row r="39" spans="1:15">
      <c r="J39" s="140" t="s">
        <v>75</v>
      </c>
      <c r="K39" s="141"/>
      <c r="L39" s="65">
        <f>COUNTIF(L6:L36,"&gt;0")*15000</f>
        <v>0</v>
      </c>
    </row>
    <row r="40" spans="1:15" ht="15.75" thickBot="1">
      <c r="J40" s="142" t="s">
        <v>76</v>
      </c>
      <c r="K40" s="143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61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[3]Vendedor21!$J$4</f>
        <v>0</v>
      </c>
      <c r="C5" s="81">
        <f>[3]Vendedor21!$K$4</f>
        <v>0</v>
      </c>
      <c r="D5" s="82">
        <f>[3]Vendedor21!$L$4</f>
        <v>0</v>
      </c>
      <c r="E5" s="14">
        <f>[3]Vendedor21!$J$5</f>
        <v>0</v>
      </c>
      <c r="F5" s="81">
        <f>[3]Vendedor21!$K$5</f>
        <v>0</v>
      </c>
      <c r="G5" s="85">
        <f>[3]Vendedor21!$L$5</f>
        <v>0</v>
      </c>
      <c r="H5" s="19">
        <f>[3]Vendedor21!$J$6</f>
        <v>0</v>
      </c>
      <c r="I5" s="15">
        <f>[3]Vendedor21!$K$6</f>
        <v>0</v>
      </c>
      <c r="J5" s="17">
        <f>[3]Vendedor21!$L$6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[4]Vendedor21!$J$4</f>
        <v>0</v>
      </c>
      <c r="C6" s="81">
        <f>[4]Vendedor21!$K$4</f>
        <v>0</v>
      </c>
      <c r="D6" s="82">
        <f>[4]Vendedor21!$L$4</f>
        <v>0</v>
      </c>
      <c r="E6" s="14">
        <f>[4]Vendedor21!$J$5</f>
        <v>0</v>
      </c>
      <c r="F6" s="81">
        <f>[4]Vendedor21!$K$5</f>
        <v>0</v>
      </c>
      <c r="G6" s="85">
        <f>[4]Vendedor21!$L$5</f>
        <v>0</v>
      </c>
      <c r="H6" s="19">
        <f>[4]Vendedor21!$J$6</f>
        <v>0</v>
      </c>
      <c r="I6" s="15">
        <f>[4]Vendedor21!$K$6</f>
        <v>0</v>
      </c>
      <c r="J6" s="17">
        <f>[4]Vendedor21!$L$6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[5]Vendedor21!$J$4</f>
        <v>0</v>
      </c>
      <c r="C7" s="81">
        <f>[5]Vendedor21!$K$4</f>
        <v>0</v>
      </c>
      <c r="D7" s="82">
        <f>[5]Vendedor21!$L$4</f>
        <v>0</v>
      </c>
      <c r="E7" s="14">
        <f>[5]Vendedor21!$J$5</f>
        <v>0</v>
      </c>
      <c r="F7" s="81">
        <f>[5]Vendedor21!$K$5</f>
        <v>0</v>
      </c>
      <c r="G7" s="85">
        <f>[5]Vendedor21!$L$5</f>
        <v>0</v>
      </c>
      <c r="H7" s="19">
        <f>[5]Vendedor21!$J$6</f>
        <v>0</v>
      </c>
      <c r="I7" s="15">
        <f>[5]Vendedor21!$K$6</f>
        <v>0</v>
      </c>
      <c r="J7" s="17">
        <f>[5]Vendedor21!$L$6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[6]Vendedor21!$J$4</f>
        <v>0</v>
      </c>
      <c r="C8" s="81">
        <f>[6]Vendedor21!$K$4</f>
        <v>0</v>
      </c>
      <c r="D8" s="82">
        <f>[6]Vendedor21!$L$4</f>
        <v>0</v>
      </c>
      <c r="E8" s="14">
        <f>[6]Vendedor21!$J$5</f>
        <v>0</v>
      </c>
      <c r="F8" s="81">
        <f>[6]Vendedor21!$K$5</f>
        <v>0</v>
      </c>
      <c r="G8" s="85">
        <f>[6]Vendedor21!$L$5</f>
        <v>0</v>
      </c>
      <c r="H8" s="19">
        <f>[6]Vendedor21!$J$6</f>
        <v>0</v>
      </c>
      <c r="I8" s="15">
        <f>[6]Vendedor21!$K$6</f>
        <v>0</v>
      </c>
      <c r="J8" s="17">
        <f>[6]Vendedor21!$L$6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[7]Vendedor21!$J$4</f>
        <v>0</v>
      </c>
      <c r="C9" s="81">
        <f>[7]Vendedor21!$K$4</f>
        <v>0</v>
      </c>
      <c r="D9" s="82">
        <f>[7]Vendedor21!$L$4</f>
        <v>0</v>
      </c>
      <c r="E9" s="14">
        <f>[7]Vendedor21!$J$5</f>
        <v>0</v>
      </c>
      <c r="F9" s="81">
        <f>[7]Vendedor21!$K$5</f>
        <v>0</v>
      </c>
      <c r="G9" s="85">
        <f>[7]Vendedor21!$L$5</f>
        <v>0</v>
      </c>
      <c r="H9" s="19">
        <f>[7]Vendedor21!$J$6</f>
        <v>0</v>
      </c>
      <c r="I9" s="15">
        <f>[7]Vendedor21!$K$6</f>
        <v>0</v>
      </c>
      <c r="J9" s="17">
        <f>[7]Vendedor21!$L$6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[8]Vendedor21!$J$4</f>
        <v>0</v>
      </c>
      <c r="C10" s="81">
        <f>[8]Vendedor21!$K$4</f>
        <v>0</v>
      </c>
      <c r="D10" s="82">
        <f>[8]Vendedor21!$L$4</f>
        <v>0</v>
      </c>
      <c r="E10" s="14">
        <f>[8]Vendedor21!$J$5</f>
        <v>0</v>
      </c>
      <c r="F10" s="81">
        <f>[8]Vendedor21!$K$5</f>
        <v>0</v>
      </c>
      <c r="G10" s="85">
        <f>[8]Vendedor21!$L$5</f>
        <v>0</v>
      </c>
      <c r="H10" s="19">
        <f>[8]Vendedor21!$J$6</f>
        <v>0</v>
      </c>
      <c r="I10" s="15">
        <f>[8]Vendedor21!$K$6</f>
        <v>0</v>
      </c>
      <c r="J10" s="17">
        <f>[8]Vendedor21!$L$6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[9]Vendedor21!$J$4</f>
        <v>0</v>
      </c>
      <c r="C11" s="81">
        <f>[9]Vendedor21!$K$4</f>
        <v>0</v>
      </c>
      <c r="D11" s="82">
        <f>[9]Vendedor21!$L$4</f>
        <v>0</v>
      </c>
      <c r="E11" s="14">
        <f>[9]Vendedor21!$J$5</f>
        <v>0</v>
      </c>
      <c r="F11" s="81">
        <f>[9]Vendedor21!$K$5</f>
        <v>0</v>
      </c>
      <c r="G11" s="85">
        <f>[9]Vendedor21!$L$5</f>
        <v>0</v>
      </c>
      <c r="H11" s="19">
        <f>[9]Vendedor21!$J$6</f>
        <v>0</v>
      </c>
      <c r="I11" s="15">
        <f>[9]Vendedor21!$K$6</f>
        <v>0</v>
      </c>
      <c r="J11" s="17">
        <f>[9]Vendedor21!$L$6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[10]Vendedor21!$J$4</f>
        <v>0</v>
      </c>
      <c r="C12" s="81">
        <f>[10]Vendedor21!$K$4</f>
        <v>0</v>
      </c>
      <c r="D12" s="82">
        <f>[10]Vendedor21!$L$4</f>
        <v>0</v>
      </c>
      <c r="E12" s="14">
        <f>[10]Vendedor21!$J$5</f>
        <v>0</v>
      </c>
      <c r="F12" s="81">
        <f>[10]Vendedor21!$K$5</f>
        <v>0</v>
      </c>
      <c r="G12" s="85">
        <f>[10]Vendedor21!$L$5</f>
        <v>0</v>
      </c>
      <c r="H12" s="19">
        <f>[10]Vendedor21!$J$6</f>
        <v>0</v>
      </c>
      <c r="I12" s="15">
        <f>[10]Vendedor21!$K$6</f>
        <v>0</v>
      </c>
      <c r="J12" s="17">
        <f>[10]Vendedor21!$L$6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[11]Vendedor21!$J$4</f>
        <v>0</v>
      </c>
      <c r="C13" s="81">
        <f>[11]Vendedor21!$K$4</f>
        <v>0</v>
      </c>
      <c r="D13" s="82">
        <f>[11]Vendedor21!$L$4</f>
        <v>0</v>
      </c>
      <c r="E13" s="14">
        <f>[11]Vendedor21!$J$5</f>
        <v>0</v>
      </c>
      <c r="F13" s="81">
        <f>[11]Vendedor21!$K$5</f>
        <v>0</v>
      </c>
      <c r="G13" s="85">
        <f>[11]Vendedor21!$L$5</f>
        <v>0</v>
      </c>
      <c r="H13" s="19">
        <f>[11]Vendedor21!$J$6</f>
        <v>0</v>
      </c>
      <c r="I13" s="15">
        <f>[11]Vendedor21!$K$6</f>
        <v>0</v>
      </c>
      <c r="J13" s="17">
        <f>[11]Vendedor21!$L$6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[12]Vendedor21!$J$4</f>
        <v>0</v>
      </c>
      <c r="C14" s="81">
        <f>[12]Vendedor21!$K$4</f>
        <v>0</v>
      </c>
      <c r="D14" s="82">
        <f>[12]Vendedor21!$L$4</f>
        <v>0</v>
      </c>
      <c r="E14" s="14">
        <f>[12]Vendedor21!$J$5</f>
        <v>0</v>
      </c>
      <c r="F14" s="81">
        <f>[12]Vendedor21!$K$5</f>
        <v>0</v>
      </c>
      <c r="G14" s="85">
        <f>[12]Vendedor21!$L$5</f>
        <v>0</v>
      </c>
      <c r="H14" s="19">
        <f>[12]Vendedor21!$J$6</f>
        <v>0</v>
      </c>
      <c r="I14" s="15">
        <f>[12]Vendedor21!$K$6</f>
        <v>0</v>
      </c>
      <c r="J14" s="17">
        <f>[12]Vendedor21!$L$6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[13]Vendedor21!$J$4</f>
        <v>0</v>
      </c>
      <c r="C15" s="81">
        <f>[13]Vendedor21!$K$4</f>
        <v>0</v>
      </c>
      <c r="D15" s="82">
        <f>[13]Vendedor21!$L$4</f>
        <v>0</v>
      </c>
      <c r="E15" s="14">
        <f>[13]Vendedor21!$J$5</f>
        <v>0</v>
      </c>
      <c r="F15" s="81">
        <f>[13]Vendedor21!$K$5</f>
        <v>0</v>
      </c>
      <c r="G15" s="85">
        <f>[13]Vendedor21!$L$5</f>
        <v>0</v>
      </c>
      <c r="H15" s="19">
        <f>[13]Vendedor21!$J$6</f>
        <v>0</v>
      </c>
      <c r="I15" s="15">
        <f>[13]Vendedor21!$K$6</f>
        <v>0</v>
      </c>
      <c r="J15" s="17">
        <f>[13]Vendedor21!$L$6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[14]Vendedor21!$J$4</f>
        <v>0</v>
      </c>
      <c r="C16" s="81">
        <f>[14]Vendedor21!$K$4</f>
        <v>0</v>
      </c>
      <c r="D16" s="82">
        <f>[14]Vendedor21!$L$4</f>
        <v>0</v>
      </c>
      <c r="E16" s="14">
        <f>[14]Vendedor21!$J$5</f>
        <v>0</v>
      </c>
      <c r="F16" s="81">
        <f>[14]Vendedor21!$K$5</f>
        <v>0</v>
      </c>
      <c r="G16" s="85">
        <f>[14]Vendedor21!$L$5</f>
        <v>0</v>
      </c>
      <c r="H16" s="19">
        <f>[14]Vendedor21!$J$6</f>
        <v>0</v>
      </c>
      <c r="I16" s="15">
        <f>[14]Vendedor21!$K$6</f>
        <v>0</v>
      </c>
      <c r="J16" s="17">
        <f>[14]Vendedor21!$L$6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[15]Vendedor21!$J$4</f>
        <v>0</v>
      </c>
      <c r="C17" s="81">
        <f>[15]Vendedor21!$K$4</f>
        <v>0</v>
      </c>
      <c r="D17" s="82">
        <f>[15]Vendedor21!$L$4</f>
        <v>0</v>
      </c>
      <c r="E17" s="14">
        <f>[15]Vendedor21!$J$5</f>
        <v>0</v>
      </c>
      <c r="F17" s="81">
        <f>[15]Vendedor21!$K$5</f>
        <v>0</v>
      </c>
      <c r="G17" s="85">
        <f>[15]Vendedor21!$L$5</f>
        <v>0</v>
      </c>
      <c r="H17" s="19">
        <f>[15]Vendedor21!$J$6</f>
        <v>0</v>
      </c>
      <c r="I17" s="15">
        <f>[15]Vendedor21!$K$6</f>
        <v>0</v>
      </c>
      <c r="J17" s="17">
        <f>[15]Vendedor21!$L$6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[16]Vendedor21!$J$4</f>
        <v>0</v>
      </c>
      <c r="C18" s="81">
        <f>[16]Vendedor21!$K$4</f>
        <v>0</v>
      </c>
      <c r="D18" s="82">
        <f>[16]Vendedor21!$L$4</f>
        <v>0</v>
      </c>
      <c r="E18" s="14">
        <f>[16]Vendedor21!$J$5</f>
        <v>0</v>
      </c>
      <c r="F18" s="81">
        <f>[16]Vendedor21!$K$5</f>
        <v>0</v>
      </c>
      <c r="G18" s="85">
        <f>[16]Vendedor21!$L$5</f>
        <v>0</v>
      </c>
      <c r="H18" s="19">
        <f>[16]Vendedor21!$J$6</f>
        <v>0</v>
      </c>
      <c r="I18" s="15">
        <f>[16]Vendedor21!$K$6</f>
        <v>0</v>
      </c>
      <c r="J18" s="17">
        <f>[16]Vendedor21!$L$6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[17]Vendedor21!$J$4</f>
        <v>0</v>
      </c>
      <c r="C19" s="81">
        <f>[17]Vendedor21!$K$4</f>
        <v>0</v>
      </c>
      <c r="D19" s="82">
        <f>[17]Vendedor21!$L$4</f>
        <v>0</v>
      </c>
      <c r="E19" s="14">
        <f>[17]Vendedor21!$J$5</f>
        <v>0</v>
      </c>
      <c r="F19" s="81">
        <f>[17]Vendedor21!$K$5</f>
        <v>0</v>
      </c>
      <c r="G19" s="85">
        <f>[17]Vendedor21!$L$5</f>
        <v>0</v>
      </c>
      <c r="H19" s="19">
        <f>[17]Vendedor21!$J$6</f>
        <v>0</v>
      </c>
      <c r="I19" s="15">
        <f>[17]Vendedor21!$K$6</f>
        <v>0</v>
      </c>
      <c r="J19" s="17">
        <f>[17]Vendedor21!$L$6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[18]Vendedor21!$J$4</f>
        <v>0</v>
      </c>
      <c r="C20" s="81">
        <f>[18]Vendedor21!$K$4</f>
        <v>0</v>
      </c>
      <c r="D20" s="82">
        <f>[18]Vendedor21!$L$4</f>
        <v>0</v>
      </c>
      <c r="E20" s="14">
        <f>[18]Vendedor21!$J$5</f>
        <v>0</v>
      </c>
      <c r="F20" s="81">
        <f>[18]Vendedor21!$K$5</f>
        <v>0</v>
      </c>
      <c r="G20" s="85">
        <f>[18]Vendedor21!$L$5</f>
        <v>0</v>
      </c>
      <c r="H20" s="19">
        <f>[18]Vendedor21!$J$6</f>
        <v>0</v>
      </c>
      <c r="I20" s="15">
        <f>[18]Vendedor21!$K$6</f>
        <v>0</v>
      </c>
      <c r="J20" s="17">
        <f>[18]Vendedor21!$L$6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[19]Vendedor21!$J$4</f>
        <v>0</v>
      </c>
      <c r="C21" s="81">
        <f>[19]Vendedor21!$K$4</f>
        <v>0</v>
      </c>
      <c r="D21" s="82">
        <f>[19]Vendedor21!$L$4</f>
        <v>0</v>
      </c>
      <c r="E21" s="14">
        <f>[19]Vendedor21!$J$5</f>
        <v>0</v>
      </c>
      <c r="F21" s="81">
        <f>[19]Vendedor21!$K$5</f>
        <v>0</v>
      </c>
      <c r="G21" s="85">
        <f>[19]Vendedor21!$L$5</f>
        <v>0</v>
      </c>
      <c r="H21" s="19">
        <f>[19]Vendedor21!$J$6</f>
        <v>0</v>
      </c>
      <c r="I21" s="15">
        <f>[19]Vendedor21!$K$6</f>
        <v>0</v>
      </c>
      <c r="J21" s="17">
        <f>[19]Vendedor21!$L$6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[20]Vendedor21!$J$4</f>
        <v>0</v>
      </c>
      <c r="C22" s="81">
        <f>[20]Vendedor21!$K$4</f>
        <v>0</v>
      </c>
      <c r="D22" s="82">
        <f>[20]Vendedor21!$L$4</f>
        <v>0</v>
      </c>
      <c r="E22" s="14">
        <f>[20]Vendedor21!$J$5</f>
        <v>0</v>
      </c>
      <c r="F22" s="81">
        <f>[20]Vendedor21!$K$5</f>
        <v>0</v>
      </c>
      <c r="G22" s="85">
        <f>[20]Vendedor21!$L$5</f>
        <v>0</v>
      </c>
      <c r="H22" s="19">
        <f>[20]Vendedor21!$J$6</f>
        <v>0</v>
      </c>
      <c r="I22" s="15">
        <f>[20]Vendedor21!$K$6</f>
        <v>0</v>
      </c>
      <c r="J22" s="17">
        <f>[20]Vendedor21!$L$6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[21]Vendedor21!$J$4</f>
        <v>0</v>
      </c>
      <c r="C23" s="81">
        <f>[21]Vendedor21!$K$4</f>
        <v>0</v>
      </c>
      <c r="D23" s="82">
        <f>[21]Vendedor21!$L$4</f>
        <v>0</v>
      </c>
      <c r="E23" s="14">
        <f>[21]Vendedor21!$J$5</f>
        <v>0</v>
      </c>
      <c r="F23" s="81">
        <f>[21]Vendedor21!$K$5</f>
        <v>0</v>
      </c>
      <c r="G23" s="85">
        <f>[21]Vendedor21!$L$5</f>
        <v>0</v>
      </c>
      <c r="H23" s="19">
        <f>[21]Vendedor21!$J$6</f>
        <v>0</v>
      </c>
      <c r="I23" s="15">
        <f>[21]Vendedor21!$K$6</f>
        <v>0</v>
      </c>
      <c r="J23" s="17">
        <f>[21]Vendedor21!$L$6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[22]Vendedor21!$J$4</f>
        <v>0</v>
      </c>
      <c r="C24" s="81">
        <f>[22]Vendedor21!$K$4</f>
        <v>0</v>
      </c>
      <c r="D24" s="82">
        <f>[22]Vendedor21!$L$4</f>
        <v>0</v>
      </c>
      <c r="E24" s="14">
        <f>[22]Vendedor21!$J$5</f>
        <v>0</v>
      </c>
      <c r="F24" s="81">
        <f>[22]Vendedor21!$K$5</f>
        <v>0</v>
      </c>
      <c r="G24" s="85">
        <f>[22]Vendedor21!$L$5</f>
        <v>0</v>
      </c>
      <c r="H24" s="19">
        <f>[22]Vendedor21!$J$6</f>
        <v>0</v>
      </c>
      <c r="I24" s="15">
        <f>[22]Vendedor21!$K$6</f>
        <v>0</v>
      </c>
      <c r="J24" s="17">
        <f>[22]Vendedor21!$L$6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[23]Vendedor21!$J$4</f>
        <v>0</v>
      </c>
      <c r="C25" s="81">
        <f>[23]Vendedor21!$K$4</f>
        <v>0</v>
      </c>
      <c r="D25" s="82">
        <f>[23]Vendedor21!$L$4</f>
        <v>0</v>
      </c>
      <c r="E25" s="14">
        <f>[23]Vendedor21!$J$5</f>
        <v>0</v>
      </c>
      <c r="F25" s="81">
        <f>[23]Vendedor21!$K$5</f>
        <v>0</v>
      </c>
      <c r="G25" s="85">
        <f>[23]Vendedor21!$L$5</f>
        <v>0</v>
      </c>
      <c r="H25" s="19">
        <f>[23]Vendedor21!$J$6</f>
        <v>0</v>
      </c>
      <c r="I25" s="15">
        <f>[23]Vendedor21!$K$6</f>
        <v>0</v>
      </c>
      <c r="J25" s="17">
        <f>[23]Vendedor21!$L$6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[24]Vendedor21!$J$4</f>
        <v>0</v>
      </c>
      <c r="C26" s="81">
        <f>[24]Vendedor21!$K$4</f>
        <v>0</v>
      </c>
      <c r="D26" s="82">
        <f>[24]Vendedor21!$L$4</f>
        <v>0</v>
      </c>
      <c r="E26" s="14">
        <f>[24]Vendedor21!$J$5</f>
        <v>0</v>
      </c>
      <c r="F26" s="81">
        <f>[24]Vendedor21!$K$5</f>
        <v>0</v>
      </c>
      <c r="G26" s="85">
        <f>[24]Vendedor21!$L$5</f>
        <v>0</v>
      </c>
      <c r="H26" s="19">
        <f>[24]Vendedor21!$J$6</f>
        <v>0</v>
      </c>
      <c r="I26" s="15">
        <f>[24]Vendedor21!$K$6</f>
        <v>0</v>
      </c>
      <c r="J26" s="17">
        <f>[24]Vendedor21!$L$6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[25]Vendedor21!$J$4</f>
        <v>0</v>
      </c>
      <c r="C27" s="81">
        <f>[25]Vendedor21!$K$4</f>
        <v>0</v>
      </c>
      <c r="D27" s="82">
        <f>[25]Vendedor21!$L$4</f>
        <v>0</v>
      </c>
      <c r="E27" s="14">
        <f>[25]Vendedor21!$J$5</f>
        <v>0</v>
      </c>
      <c r="F27" s="81">
        <f>[25]Vendedor21!$K$5</f>
        <v>0</v>
      </c>
      <c r="G27" s="85">
        <f>[25]Vendedor21!$L$5</f>
        <v>0</v>
      </c>
      <c r="H27" s="19">
        <f>[25]Vendedor21!$J$6</f>
        <v>0</v>
      </c>
      <c r="I27" s="15">
        <f>[25]Vendedor21!$K$6</f>
        <v>0</v>
      </c>
      <c r="J27" s="17">
        <f>[25]Vendedor21!$L$6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[26]Vendedor21!$J$4</f>
        <v>0</v>
      </c>
      <c r="C28" s="81">
        <f>[26]Vendedor21!$K$4</f>
        <v>0</v>
      </c>
      <c r="D28" s="82">
        <f>[26]Vendedor21!$L$4</f>
        <v>0</v>
      </c>
      <c r="E28" s="14">
        <f>[26]Vendedor21!$J$5</f>
        <v>0</v>
      </c>
      <c r="F28" s="81">
        <f>[26]Vendedor21!$K$5</f>
        <v>0</v>
      </c>
      <c r="G28" s="85">
        <f>[26]Vendedor21!$L$5</f>
        <v>0</v>
      </c>
      <c r="H28" s="19">
        <f>[26]Vendedor21!$J$6</f>
        <v>0</v>
      </c>
      <c r="I28" s="15">
        <f>[26]Vendedor21!$K$6</f>
        <v>0</v>
      </c>
      <c r="J28" s="17">
        <f>[26]Vendedor21!$L$6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[27]Vendedor21!$J$4</f>
        <v>0</v>
      </c>
      <c r="C29" s="81">
        <f>[27]Vendedor21!$K$4</f>
        <v>0</v>
      </c>
      <c r="D29" s="82">
        <f>[27]Vendedor21!$L$4</f>
        <v>0</v>
      </c>
      <c r="E29" s="14">
        <f>[27]Vendedor21!$J$5</f>
        <v>0</v>
      </c>
      <c r="F29" s="81">
        <f>[27]Vendedor21!$K$5</f>
        <v>0</v>
      </c>
      <c r="G29" s="85">
        <f>[27]Vendedor21!$L$5</f>
        <v>0</v>
      </c>
      <c r="H29" s="19">
        <f>[27]Vendedor21!$J$6</f>
        <v>0</v>
      </c>
      <c r="I29" s="15">
        <f>[27]Vendedor21!$K$6</f>
        <v>0</v>
      </c>
      <c r="J29" s="17">
        <f>[27]Vendedor21!$L$6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[28]Vendedor21!$J$4</f>
        <v>0</v>
      </c>
      <c r="C30" s="81">
        <f>[28]Vendedor21!$K$4</f>
        <v>0</v>
      </c>
      <c r="D30" s="82">
        <f>[28]Vendedor21!$L$4</f>
        <v>0</v>
      </c>
      <c r="E30" s="14">
        <f>[28]Vendedor21!$J$5</f>
        <v>0</v>
      </c>
      <c r="F30" s="81">
        <f>[28]Vendedor21!$K$5</f>
        <v>0</v>
      </c>
      <c r="G30" s="85">
        <f>[28]Vendedor21!$L$5</f>
        <v>0</v>
      </c>
      <c r="H30" s="19">
        <f>[28]Vendedor21!$J$6</f>
        <v>0</v>
      </c>
      <c r="I30" s="15">
        <f>[28]Vendedor21!$K$6</f>
        <v>0</v>
      </c>
      <c r="J30" s="17">
        <f>[28]Vendedor21!$L$6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[29]Vendedor21!$J$4</f>
        <v>0</v>
      </c>
      <c r="C31" s="81">
        <f>[29]Vendedor21!$K$4</f>
        <v>0</v>
      </c>
      <c r="D31" s="82">
        <f>[29]Vendedor21!$L$4</f>
        <v>0</v>
      </c>
      <c r="E31" s="14">
        <f>[29]Vendedor21!$J$5</f>
        <v>0</v>
      </c>
      <c r="F31" s="81">
        <f>[29]Vendedor21!$K$5</f>
        <v>0</v>
      </c>
      <c r="G31" s="85">
        <f>[29]Vendedor21!$L$5</f>
        <v>0</v>
      </c>
      <c r="H31" s="19">
        <f>[29]Vendedor21!$J$6</f>
        <v>0</v>
      </c>
      <c r="I31" s="15">
        <f>[29]Vendedor21!$K$6</f>
        <v>0</v>
      </c>
      <c r="J31" s="17">
        <f>[29]Vendedor21!$L$6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[30]Vendedor21!$J$4</f>
        <v>0</v>
      </c>
      <c r="C32" s="81">
        <f>[30]Vendedor21!$K$4</f>
        <v>0</v>
      </c>
      <c r="D32" s="82">
        <f>[30]Vendedor21!$L$4</f>
        <v>0</v>
      </c>
      <c r="E32" s="14">
        <f>[30]Vendedor21!$J$5</f>
        <v>0</v>
      </c>
      <c r="F32" s="81">
        <f>[30]Vendedor21!$K$5</f>
        <v>0</v>
      </c>
      <c r="G32" s="85">
        <f>[30]Vendedor21!$L$5</f>
        <v>0</v>
      </c>
      <c r="H32" s="19">
        <f>[30]Vendedor21!$J$6</f>
        <v>0</v>
      </c>
      <c r="I32" s="15">
        <f>[30]Vendedor21!$K$6</f>
        <v>0</v>
      </c>
      <c r="J32" s="17">
        <f>[30]Vendedor21!$L$6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[31]Vendedor21!$J$4</f>
        <v>0</v>
      </c>
      <c r="C33" s="81">
        <f>[31]Vendedor21!$K$4</f>
        <v>0</v>
      </c>
      <c r="D33" s="82">
        <f>[31]Vendedor21!$L$4</f>
        <v>0</v>
      </c>
      <c r="E33" s="14">
        <f>[31]Vendedor21!$J$5</f>
        <v>0</v>
      </c>
      <c r="F33" s="81">
        <f>[31]Vendedor21!$K$5</f>
        <v>0</v>
      </c>
      <c r="G33" s="85">
        <f>[31]Vendedor21!$L$5</f>
        <v>0</v>
      </c>
      <c r="H33" s="19">
        <f>[31]Vendedor21!$J$6</f>
        <v>0</v>
      </c>
      <c r="I33" s="15">
        <f>[31]Vendedor21!$K$6</f>
        <v>0</v>
      </c>
      <c r="J33" s="17">
        <f>[31]Vendedor21!$L$6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[1]Vendedor21!$J$4</f>
        <v>0</v>
      </c>
      <c r="C34" s="81">
        <f>[1]Vendedor21!$K$4</f>
        <v>0</v>
      </c>
      <c r="D34" s="82">
        <f>[1]Vendedor21!$L$4</f>
        <v>0</v>
      </c>
      <c r="E34" s="14">
        <f>[1]Vendedor21!$J$5</f>
        <v>0</v>
      </c>
      <c r="F34" s="81">
        <f>[1]Vendedor21!$K$5</f>
        <v>0</v>
      </c>
      <c r="G34" s="85">
        <f>[1]Vendedor21!$L$5</f>
        <v>0</v>
      </c>
      <c r="H34" s="19">
        <f>[1]Vendedor21!$J$6</f>
        <v>0</v>
      </c>
      <c r="I34" s="15">
        <f>[1]Vendedor21!$K$6</f>
        <v>0</v>
      </c>
      <c r="J34" s="17">
        <f>[1]Vendedor21!$L$6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[2]Vendedor21!$J$4</f>
        <v>0</v>
      </c>
      <c r="C35" s="83">
        <f>[2]Vendedor21!$K$4</f>
        <v>0</v>
      </c>
      <c r="D35" s="84">
        <f>[2]Vendedor21!$L$4</f>
        <v>0</v>
      </c>
      <c r="E35" s="21">
        <f>[2]Vendedor21!$J$5</f>
        <v>0</v>
      </c>
      <c r="F35" s="83">
        <f>[2]Vendedor21!$K$5</f>
        <v>0</v>
      </c>
      <c r="G35" s="86">
        <f>[2]Vendedor21!$L$5</f>
        <v>0</v>
      </c>
      <c r="H35" s="26">
        <f>[2]Vendedor21!$J$6</f>
        <v>0</v>
      </c>
      <c r="I35" s="22">
        <f>[2]Vendedor21!$K$6</f>
        <v>0</v>
      </c>
      <c r="J35" s="24">
        <f>[2]Vendedor21!$L$6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[3]Resumen!$B$24</f>
        <v>0</v>
      </c>
      <c r="C5" s="58">
        <f>[3]Resumen!$C$24</f>
        <v>0</v>
      </c>
      <c r="D5" s="54">
        <f>[3]Resumen!$D$24</f>
        <v>0</v>
      </c>
      <c r="E5" s="53">
        <f>[3]Resumen!$E$24</f>
        <v>0</v>
      </c>
      <c r="F5" s="58">
        <f>[3]Resumen!$F$24</f>
        <v>0</v>
      </c>
      <c r="G5" s="55">
        <f>[3]Resumen!$G$24</f>
        <v>0</v>
      </c>
      <c r="H5" s="61">
        <f>[3]Resumen!$H$24</f>
        <v>0</v>
      </c>
      <c r="I5" s="58">
        <f>[3]Resumen!$I$24</f>
        <v>0</v>
      </c>
      <c r="J5" s="54">
        <f>[3]Resumen!$J$24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[4]Resumen!$B$24</f>
        <v>0</v>
      </c>
      <c r="C6" s="15">
        <f>[4]Resumen!$C$24</f>
        <v>0</v>
      </c>
      <c r="D6" s="16">
        <f>[4]Resumen!$D$24</f>
        <v>0</v>
      </c>
      <c r="E6" s="14">
        <f>[4]Resumen!$E$24</f>
        <v>0</v>
      </c>
      <c r="F6" s="15">
        <f>[4]Resumen!$F$24</f>
        <v>0</v>
      </c>
      <c r="G6" s="17">
        <f>[4]Resumen!$G$24</f>
        <v>0</v>
      </c>
      <c r="H6" s="18">
        <f>[4]Resumen!$H$24</f>
        <v>0</v>
      </c>
      <c r="I6" s="15">
        <f>[4]Resumen!$I$24</f>
        <v>0</v>
      </c>
      <c r="J6" s="16">
        <f>[4]Resumen!$J$24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[5]Resumen!$B$24</f>
        <v>0</v>
      </c>
      <c r="C7" s="15">
        <f>[5]Resumen!$C$24</f>
        <v>0</v>
      </c>
      <c r="D7" s="16">
        <f>[5]Resumen!$D$24</f>
        <v>0</v>
      </c>
      <c r="E7" s="14">
        <f>[5]Resumen!$E$24</f>
        <v>0</v>
      </c>
      <c r="F7" s="15">
        <f>[5]Resumen!$F$24</f>
        <v>0</v>
      </c>
      <c r="G7" s="17">
        <f>[5]Resumen!$G$24</f>
        <v>0</v>
      </c>
      <c r="H7" s="18">
        <f>[5]Resumen!$H$24</f>
        <v>0</v>
      </c>
      <c r="I7" s="15">
        <f>[5]Resumen!$I$24</f>
        <v>0</v>
      </c>
      <c r="J7" s="16">
        <f>[5]Resumen!$J$24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[6]Resumen!$B$24</f>
        <v>0</v>
      </c>
      <c r="C8" s="15">
        <f>[6]Resumen!$C$24</f>
        <v>0</v>
      </c>
      <c r="D8" s="16">
        <f>[6]Resumen!$D$24</f>
        <v>0</v>
      </c>
      <c r="E8" s="14">
        <f>[6]Resumen!$E$24</f>
        <v>0</v>
      </c>
      <c r="F8" s="15">
        <f>[6]Resumen!$F$24</f>
        <v>0</v>
      </c>
      <c r="G8" s="17">
        <f>[6]Resumen!$G$24</f>
        <v>0</v>
      </c>
      <c r="H8" s="18">
        <f>[6]Resumen!$H$24</f>
        <v>0</v>
      </c>
      <c r="I8" s="15">
        <f>[6]Resumen!$I$24</f>
        <v>0</v>
      </c>
      <c r="J8" s="16">
        <f>[6]Resumen!$J$24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[7]Resumen!$B$24</f>
        <v>0</v>
      </c>
      <c r="C9" s="15">
        <f>[7]Resumen!$C$24</f>
        <v>0</v>
      </c>
      <c r="D9" s="16">
        <f>[7]Resumen!$D$24</f>
        <v>0</v>
      </c>
      <c r="E9" s="14">
        <f>[7]Resumen!$E$24</f>
        <v>0</v>
      </c>
      <c r="F9" s="15">
        <f>[7]Resumen!$F$24</f>
        <v>0</v>
      </c>
      <c r="G9" s="17">
        <f>[7]Resumen!$G$24</f>
        <v>0</v>
      </c>
      <c r="H9" s="18">
        <f>[7]Resumen!$H$24</f>
        <v>0</v>
      </c>
      <c r="I9" s="15">
        <f>[7]Resumen!$I$24</f>
        <v>0</v>
      </c>
      <c r="J9" s="16">
        <f>[7]Resumen!$J$24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[8]Resumen!$B$24</f>
        <v>0</v>
      </c>
      <c r="C10" s="15">
        <f>[8]Resumen!$C$24</f>
        <v>0</v>
      </c>
      <c r="D10" s="16">
        <f>[8]Resumen!$D$24</f>
        <v>0</v>
      </c>
      <c r="E10" s="14">
        <f>[8]Resumen!$E$24</f>
        <v>0</v>
      </c>
      <c r="F10" s="15">
        <f>[8]Resumen!$F$24</f>
        <v>0</v>
      </c>
      <c r="G10" s="17">
        <f>[8]Resumen!$G$24</f>
        <v>0</v>
      </c>
      <c r="H10" s="18">
        <f>[8]Resumen!$H$24</f>
        <v>0</v>
      </c>
      <c r="I10" s="15">
        <f>[8]Resumen!$I$24</f>
        <v>0</v>
      </c>
      <c r="J10" s="16">
        <f>[8]Resumen!$J$24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[9]Resumen!$B$24</f>
        <v>0</v>
      </c>
      <c r="C11" s="15">
        <f>[9]Resumen!$C$24</f>
        <v>0</v>
      </c>
      <c r="D11" s="16">
        <f>[9]Resumen!$D$24</f>
        <v>0</v>
      </c>
      <c r="E11" s="14">
        <f>[9]Resumen!$E$24</f>
        <v>0</v>
      </c>
      <c r="F11" s="15">
        <f>[9]Resumen!$F$24</f>
        <v>0</v>
      </c>
      <c r="G11" s="17">
        <f>[9]Resumen!$G$24</f>
        <v>0</v>
      </c>
      <c r="H11" s="18">
        <f>[9]Resumen!$H$24</f>
        <v>0</v>
      </c>
      <c r="I11" s="15">
        <f>[9]Resumen!$I$24</f>
        <v>0</v>
      </c>
      <c r="J11" s="16">
        <f>[9]Resumen!$J$24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[10]Resumen!$B$24</f>
        <v>0</v>
      </c>
      <c r="C12" s="15">
        <f>[10]Resumen!$C$24</f>
        <v>0</v>
      </c>
      <c r="D12" s="16">
        <f>[10]Resumen!$D$24</f>
        <v>0</v>
      </c>
      <c r="E12" s="14">
        <f>[10]Resumen!$E$24</f>
        <v>0</v>
      </c>
      <c r="F12" s="15">
        <f>[10]Resumen!$F$24</f>
        <v>0</v>
      </c>
      <c r="G12" s="17">
        <f>[10]Resumen!$G$24</f>
        <v>0</v>
      </c>
      <c r="H12" s="18">
        <f>[10]Resumen!$H$24</f>
        <v>0</v>
      </c>
      <c r="I12" s="15">
        <f>[10]Resumen!$I$24</f>
        <v>0</v>
      </c>
      <c r="J12" s="16">
        <f>[10]Resumen!$J$24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[11]Resumen!$B$24</f>
        <v>0</v>
      </c>
      <c r="C13" s="15">
        <f>[11]Resumen!$C$24</f>
        <v>0</v>
      </c>
      <c r="D13" s="16">
        <f>[11]Resumen!$D$24</f>
        <v>0</v>
      </c>
      <c r="E13" s="14">
        <f>[11]Resumen!$E$24</f>
        <v>0</v>
      </c>
      <c r="F13" s="15">
        <f>[11]Resumen!$F$24</f>
        <v>0</v>
      </c>
      <c r="G13" s="17">
        <f>[11]Resumen!$G$24</f>
        <v>0</v>
      </c>
      <c r="H13" s="18">
        <f>[11]Resumen!$H$24</f>
        <v>0</v>
      </c>
      <c r="I13" s="15">
        <f>[11]Resumen!$I$24</f>
        <v>0</v>
      </c>
      <c r="J13" s="16">
        <f>[11]Resumen!$J$24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[12]Resumen!$B$24</f>
        <v>0</v>
      </c>
      <c r="C14" s="15">
        <f>[12]Resumen!$C$24</f>
        <v>0</v>
      </c>
      <c r="D14" s="16">
        <f>[12]Resumen!$D$24</f>
        <v>0</v>
      </c>
      <c r="E14" s="14">
        <f>[12]Resumen!$E$24</f>
        <v>0</v>
      </c>
      <c r="F14" s="15">
        <f>[12]Resumen!$F$24</f>
        <v>0</v>
      </c>
      <c r="G14" s="17">
        <f>[12]Resumen!$G$24</f>
        <v>0</v>
      </c>
      <c r="H14" s="18">
        <f>[12]Resumen!$H$24</f>
        <v>0</v>
      </c>
      <c r="I14" s="15">
        <f>[12]Resumen!$I$24</f>
        <v>0</v>
      </c>
      <c r="J14" s="16">
        <f>[12]Resumen!$J$24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[13]Resumen!$B$24</f>
        <v>0</v>
      </c>
      <c r="C15" s="15">
        <f>[13]Resumen!$C$24</f>
        <v>0</v>
      </c>
      <c r="D15" s="16">
        <f>[13]Resumen!$D$24</f>
        <v>0</v>
      </c>
      <c r="E15" s="14">
        <f>[13]Resumen!$E$24</f>
        <v>0</v>
      </c>
      <c r="F15" s="15">
        <f>[13]Resumen!$F$24</f>
        <v>0</v>
      </c>
      <c r="G15" s="17">
        <f>[13]Resumen!$G$24</f>
        <v>0</v>
      </c>
      <c r="H15" s="18">
        <f>[13]Resumen!$H$24</f>
        <v>0</v>
      </c>
      <c r="I15" s="15">
        <f>[13]Resumen!$I$24</f>
        <v>0</v>
      </c>
      <c r="J15" s="16">
        <f>[13]Resumen!$J$24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[14]Resumen!$B$24</f>
        <v>0</v>
      </c>
      <c r="C16" s="15">
        <f>[14]Resumen!$C$24</f>
        <v>0</v>
      </c>
      <c r="D16" s="16">
        <f>[14]Resumen!$D$24</f>
        <v>0</v>
      </c>
      <c r="E16" s="14">
        <f>[14]Resumen!$E$24</f>
        <v>0</v>
      </c>
      <c r="F16" s="15">
        <f>[14]Resumen!$F$24</f>
        <v>0</v>
      </c>
      <c r="G16" s="17">
        <f>[14]Resumen!$G$24</f>
        <v>0</v>
      </c>
      <c r="H16" s="18">
        <f>[14]Resumen!$H$24</f>
        <v>0</v>
      </c>
      <c r="I16" s="15">
        <f>[14]Resumen!$I$24</f>
        <v>0</v>
      </c>
      <c r="J16" s="16">
        <f>[14]Resumen!$J$24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[15]Resumen!$B$24</f>
        <v>0</v>
      </c>
      <c r="C17" s="15">
        <f>[15]Resumen!$C$24</f>
        <v>0</v>
      </c>
      <c r="D17" s="16">
        <f>[15]Resumen!$D$24</f>
        <v>0</v>
      </c>
      <c r="E17" s="14">
        <f>[15]Resumen!$E$24</f>
        <v>0</v>
      </c>
      <c r="F17" s="15">
        <f>[15]Resumen!$F$24</f>
        <v>0</v>
      </c>
      <c r="G17" s="17">
        <f>[15]Resumen!$G$24</f>
        <v>0</v>
      </c>
      <c r="H17" s="18">
        <f>[15]Resumen!$H$24</f>
        <v>0</v>
      </c>
      <c r="I17" s="15">
        <f>[15]Resumen!$I$24</f>
        <v>0</v>
      </c>
      <c r="J17" s="16">
        <f>[15]Resumen!$J$24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[16]Resumen!$B$24</f>
        <v>0</v>
      </c>
      <c r="C18" s="15">
        <f>[16]Resumen!$C$24</f>
        <v>0</v>
      </c>
      <c r="D18" s="16">
        <f>[16]Resumen!$D$24</f>
        <v>0</v>
      </c>
      <c r="E18" s="14">
        <f>[16]Resumen!$E$24</f>
        <v>0</v>
      </c>
      <c r="F18" s="15">
        <f>[16]Resumen!$F$24</f>
        <v>0</v>
      </c>
      <c r="G18" s="17">
        <f>[16]Resumen!$G$24</f>
        <v>0</v>
      </c>
      <c r="H18" s="18">
        <f>[16]Resumen!$H$24</f>
        <v>0</v>
      </c>
      <c r="I18" s="15">
        <f>[16]Resumen!$I$24</f>
        <v>0</v>
      </c>
      <c r="J18" s="16">
        <f>[16]Resumen!$J$24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[17]Resumen!$B$24</f>
        <v>0</v>
      </c>
      <c r="C19" s="15">
        <f>[17]Resumen!$C$24</f>
        <v>0</v>
      </c>
      <c r="D19" s="16">
        <f>[17]Resumen!$D$24</f>
        <v>0</v>
      </c>
      <c r="E19" s="14">
        <f>[17]Resumen!$E$24</f>
        <v>0</v>
      </c>
      <c r="F19" s="15">
        <f>[17]Resumen!$F$24</f>
        <v>0</v>
      </c>
      <c r="G19" s="17">
        <f>[17]Resumen!$G$24</f>
        <v>0</v>
      </c>
      <c r="H19" s="18">
        <f>[17]Resumen!$H$24</f>
        <v>0</v>
      </c>
      <c r="I19" s="15">
        <f>[17]Resumen!$I$24</f>
        <v>0</v>
      </c>
      <c r="J19" s="16">
        <f>[17]Resumen!$J$24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[18]Resumen!$B$24</f>
        <v>0</v>
      </c>
      <c r="C20" s="15">
        <f>[18]Resumen!$C$24</f>
        <v>0</v>
      </c>
      <c r="D20" s="16">
        <f>[18]Resumen!$D$24</f>
        <v>0</v>
      </c>
      <c r="E20" s="14">
        <f>[18]Resumen!$E$24</f>
        <v>0</v>
      </c>
      <c r="F20" s="15">
        <f>[18]Resumen!$F$24</f>
        <v>0</v>
      </c>
      <c r="G20" s="17">
        <f>[18]Resumen!$G$24</f>
        <v>0</v>
      </c>
      <c r="H20" s="18">
        <f>[18]Resumen!$H$24</f>
        <v>0</v>
      </c>
      <c r="I20" s="15">
        <f>[18]Resumen!$I$24</f>
        <v>0</v>
      </c>
      <c r="J20" s="16">
        <f>[18]Resumen!$J$24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[19]Resumen!$B$24</f>
        <v>0</v>
      </c>
      <c r="C21" s="15">
        <f>[19]Resumen!$C$24</f>
        <v>0</v>
      </c>
      <c r="D21" s="16">
        <f>[19]Resumen!$D$24</f>
        <v>0</v>
      </c>
      <c r="E21" s="14">
        <f>[19]Resumen!$E$24</f>
        <v>0</v>
      </c>
      <c r="F21" s="15">
        <f>[19]Resumen!$F$24</f>
        <v>0</v>
      </c>
      <c r="G21" s="17">
        <f>[19]Resumen!$G$24</f>
        <v>0</v>
      </c>
      <c r="H21" s="18">
        <f>[19]Resumen!$H$24</f>
        <v>0</v>
      </c>
      <c r="I21" s="15">
        <f>[19]Resumen!$I$24</f>
        <v>0</v>
      </c>
      <c r="J21" s="16">
        <f>[19]Resumen!$J$24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[20]Resumen!$B$24</f>
        <v>0</v>
      </c>
      <c r="C22" s="15">
        <f>[20]Resumen!$C$24</f>
        <v>0</v>
      </c>
      <c r="D22" s="16">
        <f>[20]Resumen!$D$24</f>
        <v>0</v>
      </c>
      <c r="E22" s="14">
        <f>[20]Resumen!$E$24</f>
        <v>0</v>
      </c>
      <c r="F22" s="15">
        <f>[20]Resumen!$F$24</f>
        <v>0</v>
      </c>
      <c r="G22" s="17">
        <f>[20]Resumen!$G$24</f>
        <v>0</v>
      </c>
      <c r="H22" s="18">
        <f>[20]Resumen!$H$24</f>
        <v>0</v>
      </c>
      <c r="I22" s="15">
        <f>[20]Resumen!$I$24</f>
        <v>0</v>
      </c>
      <c r="J22" s="16">
        <f>[20]Resumen!$J$24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[21]Resumen!$B$24</f>
        <v>0</v>
      </c>
      <c r="C23" s="15">
        <f>[21]Resumen!$C$24</f>
        <v>0</v>
      </c>
      <c r="D23" s="16">
        <f>[21]Resumen!$D$24</f>
        <v>0</v>
      </c>
      <c r="E23" s="14">
        <f>[21]Resumen!$E$24</f>
        <v>0</v>
      </c>
      <c r="F23" s="15">
        <f>[21]Resumen!$F$24</f>
        <v>0</v>
      </c>
      <c r="G23" s="17">
        <f>[21]Resumen!$G$24</f>
        <v>0</v>
      </c>
      <c r="H23" s="18">
        <f>[21]Resumen!$H$24</f>
        <v>0</v>
      </c>
      <c r="I23" s="15">
        <f>[21]Resumen!$I$24</f>
        <v>0</v>
      </c>
      <c r="J23" s="16">
        <f>[21]Resumen!$J$24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[22]Resumen!$B$24</f>
        <v>0</v>
      </c>
      <c r="C24" s="15">
        <f>[22]Resumen!$C$24</f>
        <v>0</v>
      </c>
      <c r="D24" s="16">
        <f>[22]Resumen!$D$24</f>
        <v>0</v>
      </c>
      <c r="E24" s="14">
        <f>[22]Resumen!$E$24</f>
        <v>0</v>
      </c>
      <c r="F24" s="15">
        <f>[22]Resumen!$F$24</f>
        <v>0</v>
      </c>
      <c r="G24" s="17">
        <f>[22]Resumen!$G$24</f>
        <v>0</v>
      </c>
      <c r="H24" s="18">
        <f>[22]Resumen!$H$24</f>
        <v>0</v>
      </c>
      <c r="I24" s="15">
        <f>[22]Resumen!$I$24</f>
        <v>0</v>
      </c>
      <c r="J24" s="16">
        <f>[22]Resumen!$J$24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[23]Resumen!$B$24</f>
        <v>0</v>
      </c>
      <c r="C25" s="15">
        <f>[23]Resumen!$C$24</f>
        <v>0</v>
      </c>
      <c r="D25" s="16">
        <f>[23]Resumen!$D$24</f>
        <v>0</v>
      </c>
      <c r="E25" s="14">
        <f>[23]Resumen!$E$24</f>
        <v>0</v>
      </c>
      <c r="F25" s="15">
        <f>[23]Resumen!$F$24</f>
        <v>0</v>
      </c>
      <c r="G25" s="17">
        <f>[23]Resumen!$G$24</f>
        <v>0</v>
      </c>
      <c r="H25" s="18">
        <f>[23]Resumen!$H$24</f>
        <v>0</v>
      </c>
      <c r="I25" s="15">
        <f>[23]Resumen!$I$24</f>
        <v>0</v>
      </c>
      <c r="J25" s="16">
        <f>[23]Resumen!$J$24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[24]Resumen!$B$24</f>
        <v>0</v>
      </c>
      <c r="C26" s="15">
        <f>[24]Resumen!$C$24</f>
        <v>0</v>
      </c>
      <c r="D26" s="16">
        <f>[24]Resumen!$D$24</f>
        <v>0</v>
      </c>
      <c r="E26" s="14">
        <f>[24]Resumen!$E$24</f>
        <v>0</v>
      </c>
      <c r="F26" s="15">
        <f>[24]Resumen!$F$24</f>
        <v>0</v>
      </c>
      <c r="G26" s="17">
        <f>[24]Resumen!$G$24</f>
        <v>0</v>
      </c>
      <c r="H26" s="18">
        <f>[24]Resumen!$H$24</f>
        <v>0</v>
      </c>
      <c r="I26" s="15">
        <f>[24]Resumen!$I$24</f>
        <v>0</v>
      </c>
      <c r="J26" s="16">
        <f>[24]Resumen!$J$24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[25]Resumen!$B$24</f>
        <v>0</v>
      </c>
      <c r="C27" s="15">
        <f>[25]Resumen!$C$24</f>
        <v>0</v>
      </c>
      <c r="D27" s="16">
        <f>[25]Resumen!$D$24</f>
        <v>0</v>
      </c>
      <c r="E27" s="14">
        <f>[25]Resumen!$E$24</f>
        <v>0</v>
      </c>
      <c r="F27" s="15">
        <f>[25]Resumen!$F$24</f>
        <v>0</v>
      </c>
      <c r="G27" s="17">
        <f>[25]Resumen!$G$24</f>
        <v>0</v>
      </c>
      <c r="H27" s="18">
        <f>[25]Resumen!$H$24</f>
        <v>0</v>
      </c>
      <c r="I27" s="15">
        <f>[25]Resumen!$I$24</f>
        <v>0</v>
      </c>
      <c r="J27" s="16">
        <f>[25]Resumen!$J$24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[26]Resumen!$B$24</f>
        <v>0</v>
      </c>
      <c r="C28" s="15">
        <f>[26]Resumen!$C$24</f>
        <v>0</v>
      </c>
      <c r="D28" s="16">
        <f>[26]Resumen!$D$24</f>
        <v>0</v>
      </c>
      <c r="E28" s="14">
        <f>[26]Resumen!$E$24</f>
        <v>0</v>
      </c>
      <c r="F28" s="15">
        <f>[26]Resumen!$F$24</f>
        <v>0</v>
      </c>
      <c r="G28" s="17">
        <f>[26]Resumen!$G$24</f>
        <v>0</v>
      </c>
      <c r="H28" s="18">
        <f>[26]Resumen!$H$24</f>
        <v>0</v>
      </c>
      <c r="I28" s="15">
        <f>[26]Resumen!$I$24</f>
        <v>0</v>
      </c>
      <c r="J28" s="16">
        <f>[26]Resumen!$J$24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[27]Resumen!$B$24</f>
        <v>0</v>
      </c>
      <c r="C29" s="15">
        <f>[27]Resumen!$C$24</f>
        <v>0</v>
      </c>
      <c r="D29" s="16">
        <f>[27]Resumen!$D$24</f>
        <v>0</v>
      </c>
      <c r="E29" s="14">
        <f>[27]Resumen!$E$24</f>
        <v>0</v>
      </c>
      <c r="F29" s="15">
        <f>[27]Resumen!$F$24</f>
        <v>0</v>
      </c>
      <c r="G29" s="17">
        <f>[27]Resumen!$G$24</f>
        <v>0</v>
      </c>
      <c r="H29" s="18">
        <f>[27]Resumen!$H$24</f>
        <v>0</v>
      </c>
      <c r="I29" s="15">
        <f>[27]Resumen!$I$24</f>
        <v>0</v>
      </c>
      <c r="J29" s="16">
        <f>[27]Resumen!$J$24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[28]Resumen!$B$24</f>
        <v>0</v>
      </c>
      <c r="C30" s="15">
        <f>[28]Resumen!$C$24</f>
        <v>0</v>
      </c>
      <c r="D30" s="16">
        <f>[28]Resumen!$D$24</f>
        <v>0</v>
      </c>
      <c r="E30" s="14">
        <f>[28]Resumen!$E$24</f>
        <v>0</v>
      </c>
      <c r="F30" s="15">
        <f>[28]Resumen!$F$24</f>
        <v>0</v>
      </c>
      <c r="G30" s="17">
        <f>[28]Resumen!$G$24</f>
        <v>0</v>
      </c>
      <c r="H30" s="18">
        <f>[28]Resumen!$H$24</f>
        <v>0</v>
      </c>
      <c r="I30" s="15">
        <f>[28]Resumen!$I$24</f>
        <v>0</v>
      </c>
      <c r="J30" s="16">
        <f>[28]Resumen!$J$24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[29]Resumen!$B$24</f>
        <v>0</v>
      </c>
      <c r="C31" s="15">
        <f>[29]Resumen!$C$24</f>
        <v>0</v>
      </c>
      <c r="D31" s="16">
        <f>[29]Resumen!$D$24</f>
        <v>0</v>
      </c>
      <c r="E31" s="14">
        <f>[29]Resumen!$E$24</f>
        <v>0</v>
      </c>
      <c r="F31" s="15">
        <f>[29]Resumen!$F$24</f>
        <v>0</v>
      </c>
      <c r="G31" s="17">
        <f>[29]Resumen!$G$24</f>
        <v>0</v>
      </c>
      <c r="H31" s="18">
        <f>[29]Resumen!$H$24</f>
        <v>0</v>
      </c>
      <c r="I31" s="15">
        <f>[29]Resumen!$I$24</f>
        <v>0</v>
      </c>
      <c r="J31" s="16">
        <f>[29]Resumen!$J$24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[30]Resumen!$B$24</f>
        <v>0</v>
      </c>
      <c r="C32" s="15">
        <f>[30]Resumen!$C$24</f>
        <v>0</v>
      </c>
      <c r="D32" s="16">
        <f>[30]Resumen!$D$24</f>
        <v>0</v>
      </c>
      <c r="E32" s="14">
        <f>[30]Resumen!$E$24</f>
        <v>0</v>
      </c>
      <c r="F32" s="15">
        <f>[30]Resumen!$F$24</f>
        <v>0</v>
      </c>
      <c r="G32" s="17">
        <f>[30]Resumen!$G$24</f>
        <v>0</v>
      </c>
      <c r="H32" s="18">
        <f>[30]Resumen!$H$24</f>
        <v>0</v>
      </c>
      <c r="I32" s="15">
        <f>[30]Resumen!$I$24</f>
        <v>0</v>
      </c>
      <c r="J32" s="16">
        <f>[30]Resumen!$J$24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[31]Resumen!$B$24</f>
        <v>0</v>
      </c>
      <c r="C33" s="15">
        <f>[31]Resumen!$C$24</f>
        <v>0</v>
      </c>
      <c r="D33" s="16">
        <f>[31]Resumen!$D$24</f>
        <v>0</v>
      </c>
      <c r="E33" s="14">
        <f>[31]Resumen!$E$24</f>
        <v>0</v>
      </c>
      <c r="F33" s="15">
        <f>[31]Resumen!$F$24</f>
        <v>0</v>
      </c>
      <c r="G33" s="17">
        <f>[31]Resumen!$G$24</f>
        <v>0</v>
      </c>
      <c r="H33" s="18">
        <f>[31]Resumen!$H$24</f>
        <v>0</v>
      </c>
      <c r="I33" s="15">
        <f>[31]Resumen!$I$24</f>
        <v>0</v>
      </c>
      <c r="J33" s="16">
        <f>[31]Resumen!$J$24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[1]Resumen!$B$24</f>
        <v>0</v>
      </c>
      <c r="C34" s="15">
        <f>[1]Resumen!$C$24</f>
        <v>0</v>
      </c>
      <c r="D34" s="16">
        <f>[1]Resumen!$D$24</f>
        <v>0</v>
      </c>
      <c r="E34" s="14">
        <f>[1]Resumen!$E$24</f>
        <v>0</v>
      </c>
      <c r="F34" s="15">
        <f>[1]Resumen!$F$24</f>
        <v>0</v>
      </c>
      <c r="G34" s="17">
        <f>[1]Resumen!$G$24</f>
        <v>0</v>
      </c>
      <c r="H34" s="18">
        <f>[1]Resumen!$H$24</f>
        <v>0</v>
      </c>
      <c r="I34" s="15">
        <f>[1]Resumen!$I$24</f>
        <v>0</v>
      </c>
      <c r="J34" s="16">
        <f>[1]Resumen!$J$24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+[2]Resumen!$B$24</f>
        <v>0</v>
      </c>
      <c r="C35" s="22">
        <f>+[2]Resumen!$C$24</f>
        <v>0</v>
      </c>
      <c r="D35" s="23">
        <f>+[2]Resumen!$D$24</f>
        <v>0</v>
      </c>
      <c r="E35" s="21">
        <f>+[2]Resumen!$E$24</f>
        <v>0</v>
      </c>
      <c r="F35" s="22">
        <f>+[2]Resumen!$F$24</f>
        <v>0</v>
      </c>
      <c r="G35" s="24">
        <f>+[2]Resumen!$G$24</f>
        <v>0</v>
      </c>
      <c r="H35" s="25">
        <f>+[2]Resumen!$H$24</f>
        <v>0</v>
      </c>
      <c r="I35" s="22">
        <f>+[2]Resumen!$I$24</f>
        <v>0</v>
      </c>
      <c r="J35" s="23">
        <f>+[2]Resumen!$J$24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1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62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[3]Resumen!$B$25</f>
        <v>0</v>
      </c>
      <c r="C5" s="58">
        <f>[3]Resumen!$C$25</f>
        <v>0</v>
      </c>
      <c r="D5" s="54">
        <f>[3]Resumen!$D$25</f>
        <v>0</v>
      </c>
      <c r="E5" s="53">
        <f>[3]Resumen!$E$25</f>
        <v>0</v>
      </c>
      <c r="F5" s="58">
        <f>[3]Resumen!$F$25</f>
        <v>0</v>
      </c>
      <c r="G5" s="55">
        <f>[3]Resumen!$G$25</f>
        <v>0</v>
      </c>
      <c r="H5" s="61">
        <f>[3]Resumen!$H$25</f>
        <v>0</v>
      </c>
      <c r="I5" s="58">
        <f>[3]Resumen!$I$25</f>
        <v>0</v>
      </c>
      <c r="J5" s="54">
        <f>[3]Resumen!$J$25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[4]Resumen!$B$25</f>
        <v>0</v>
      </c>
      <c r="C6" s="15">
        <f>[4]Resumen!$C$25</f>
        <v>0</v>
      </c>
      <c r="D6" s="16">
        <f>[4]Resumen!$D$25</f>
        <v>0</v>
      </c>
      <c r="E6" s="14">
        <f>[4]Resumen!$E$25</f>
        <v>0</v>
      </c>
      <c r="F6" s="15">
        <f>[4]Resumen!$F$25</f>
        <v>0</v>
      </c>
      <c r="G6" s="17">
        <f>[4]Resumen!$G$25</f>
        <v>0</v>
      </c>
      <c r="H6" s="18">
        <f>[4]Resumen!$H$25</f>
        <v>0</v>
      </c>
      <c r="I6" s="15">
        <f>[4]Resumen!$I$25</f>
        <v>0</v>
      </c>
      <c r="J6" s="16">
        <f>[4]Resumen!$J$25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[5]Resumen!$B$25</f>
        <v>0</v>
      </c>
      <c r="C7" s="15">
        <f>[5]Resumen!$C$25</f>
        <v>0</v>
      </c>
      <c r="D7" s="16">
        <f>[5]Resumen!$D$25</f>
        <v>0</v>
      </c>
      <c r="E7" s="14">
        <f>[5]Resumen!$E$25</f>
        <v>0</v>
      </c>
      <c r="F7" s="15">
        <f>[5]Resumen!$F$25</f>
        <v>0</v>
      </c>
      <c r="G7" s="17">
        <f>[5]Resumen!$G$25</f>
        <v>0</v>
      </c>
      <c r="H7" s="18">
        <f>[5]Resumen!$H$25</f>
        <v>0</v>
      </c>
      <c r="I7" s="15">
        <f>[5]Resumen!$I$25</f>
        <v>0</v>
      </c>
      <c r="J7" s="16">
        <f>[5]Resumen!$J$25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[6]Resumen!$B$25</f>
        <v>0</v>
      </c>
      <c r="C8" s="15">
        <f>[6]Resumen!$C$25</f>
        <v>0</v>
      </c>
      <c r="D8" s="16">
        <f>[6]Resumen!$D$25</f>
        <v>0</v>
      </c>
      <c r="E8" s="14">
        <f>[6]Resumen!$E$25</f>
        <v>0</v>
      </c>
      <c r="F8" s="15">
        <f>[6]Resumen!$F$25</f>
        <v>0</v>
      </c>
      <c r="G8" s="17">
        <f>[6]Resumen!$G$25</f>
        <v>0</v>
      </c>
      <c r="H8" s="18">
        <f>[6]Resumen!$H$25</f>
        <v>0</v>
      </c>
      <c r="I8" s="15">
        <f>[6]Resumen!$I$25</f>
        <v>0</v>
      </c>
      <c r="J8" s="16">
        <f>[6]Resumen!$J$25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[7]Resumen!$B$25</f>
        <v>0</v>
      </c>
      <c r="C9" s="15">
        <f>[7]Resumen!$C$25</f>
        <v>0</v>
      </c>
      <c r="D9" s="16">
        <f>[7]Resumen!$D$25</f>
        <v>0</v>
      </c>
      <c r="E9" s="14">
        <f>[7]Resumen!$E$25</f>
        <v>0</v>
      </c>
      <c r="F9" s="15">
        <f>[7]Resumen!$F$25</f>
        <v>0</v>
      </c>
      <c r="G9" s="17">
        <f>[7]Resumen!$G$25</f>
        <v>0</v>
      </c>
      <c r="H9" s="18">
        <f>[7]Resumen!$H$25</f>
        <v>0</v>
      </c>
      <c r="I9" s="15">
        <f>[7]Resumen!$I$25</f>
        <v>0</v>
      </c>
      <c r="J9" s="16">
        <f>[7]Resumen!$J$25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[8]Resumen!$B$25</f>
        <v>0</v>
      </c>
      <c r="C10" s="15">
        <f>[8]Resumen!$C$25</f>
        <v>0</v>
      </c>
      <c r="D10" s="16">
        <f>[8]Resumen!$D$25</f>
        <v>0</v>
      </c>
      <c r="E10" s="14">
        <f>[8]Resumen!$E$25</f>
        <v>0</v>
      </c>
      <c r="F10" s="15">
        <f>[8]Resumen!$F$25</f>
        <v>0</v>
      </c>
      <c r="G10" s="17">
        <f>[8]Resumen!$G$25</f>
        <v>0</v>
      </c>
      <c r="H10" s="18">
        <f>[8]Resumen!$H$25</f>
        <v>0</v>
      </c>
      <c r="I10" s="15">
        <f>[8]Resumen!$I$25</f>
        <v>0</v>
      </c>
      <c r="J10" s="16">
        <f>[8]Resumen!$J$25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[9]Resumen!$B$25</f>
        <v>0</v>
      </c>
      <c r="C11" s="15">
        <f>[9]Resumen!$C$25</f>
        <v>0</v>
      </c>
      <c r="D11" s="16">
        <f>[9]Resumen!$D$25</f>
        <v>0</v>
      </c>
      <c r="E11" s="14">
        <f>[9]Resumen!$E$25</f>
        <v>0</v>
      </c>
      <c r="F11" s="15">
        <f>[9]Resumen!$F$25</f>
        <v>0</v>
      </c>
      <c r="G11" s="17">
        <f>[9]Resumen!$G$25</f>
        <v>0</v>
      </c>
      <c r="H11" s="18">
        <f>[9]Resumen!$H$25</f>
        <v>0</v>
      </c>
      <c r="I11" s="15">
        <f>[9]Resumen!$I$25</f>
        <v>0</v>
      </c>
      <c r="J11" s="16">
        <f>[9]Resumen!$J$25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[10]Resumen!$B$25</f>
        <v>0</v>
      </c>
      <c r="C12" s="15">
        <f>[10]Resumen!$C$25</f>
        <v>0</v>
      </c>
      <c r="D12" s="16">
        <f>[10]Resumen!$D$25</f>
        <v>0</v>
      </c>
      <c r="E12" s="14">
        <f>[10]Resumen!$E$25</f>
        <v>0</v>
      </c>
      <c r="F12" s="15">
        <f>[10]Resumen!$F$25</f>
        <v>0</v>
      </c>
      <c r="G12" s="17">
        <f>[10]Resumen!$G$25</f>
        <v>0</v>
      </c>
      <c r="H12" s="18">
        <f>[10]Resumen!$H$25</f>
        <v>0</v>
      </c>
      <c r="I12" s="15">
        <f>[10]Resumen!$I$25</f>
        <v>0</v>
      </c>
      <c r="J12" s="16">
        <f>[10]Resumen!$J$25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[11]Resumen!$B$25</f>
        <v>0</v>
      </c>
      <c r="C13" s="15">
        <f>[11]Resumen!$C$25</f>
        <v>0</v>
      </c>
      <c r="D13" s="16">
        <f>[11]Resumen!$D$25</f>
        <v>0</v>
      </c>
      <c r="E13" s="14">
        <f>[11]Resumen!$E$25</f>
        <v>0</v>
      </c>
      <c r="F13" s="15">
        <f>[11]Resumen!$F$25</f>
        <v>0</v>
      </c>
      <c r="G13" s="17">
        <f>[11]Resumen!$G$25</f>
        <v>0</v>
      </c>
      <c r="H13" s="18">
        <f>[11]Resumen!$H$25</f>
        <v>0</v>
      </c>
      <c r="I13" s="15">
        <f>[11]Resumen!$I$25</f>
        <v>0</v>
      </c>
      <c r="J13" s="16">
        <f>[11]Resumen!$J$25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[12]Resumen!$B$25</f>
        <v>0</v>
      </c>
      <c r="C14" s="15">
        <f>[12]Resumen!$C$25</f>
        <v>0</v>
      </c>
      <c r="D14" s="16">
        <f>[12]Resumen!$D$25</f>
        <v>0</v>
      </c>
      <c r="E14" s="14">
        <f>[12]Resumen!$E$25</f>
        <v>0</v>
      </c>
      <c r="F14" s="15">
        <f>[12]Resumen!$F$25</f>
        <v>0</v>
      </c>
      <c r="G14" s="17">
        <f>[12]Resumen!$G$25</f>
        <v>0</v>
      </c>
      <c r="H14" s="18">
        <f>[12]Resumen!$H$25</f>
        <v>0</v>
      </c>
      <c r="I14" s="15">
        <f>[12]Resumen!$I$25</f>
        <v>0</v>
      </c>
      <c r="J14" s="16">
        <f>[12]Resumen!$J$25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[13]Resumen!$B$25</f>
        <v>0</v>
      </c>
      <c r="C15" s="15">
        <f>[13]Resumen!$C$25</f>
        <v>0</v>
      </c>
      <c r="D15" s="16">
        <f>[13]Resumen!$D$25</f>
        <v>0</v>
      </c>
      <c r="E15" s="14">
        <f>[13]Resumen!$E$25</f>
        <v>0</v>
      </c>
      <c r="F15" s="15">
        <f>[13]Resumen!$F$25</f>
        <v>0</v>
      </c>
      <c r="G15" s="17">
        <f>[13]Resumen!$G$25</f>
        <v>0</v>
      </c>
      <c r="H15" s="18">
        <f>[13]Resumen!$H$25</f>
        <v>0</v>
      </c>
      <c r="I15" s="15">
        <f>[13]Resumen!$I$25</f>
        <v>0</v>
      </c>
      <c r="J15" s="16">
        <f>[13]Resumen!$J$25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[14]Resumen!$B$25</f>
        <v>0</v>
      </c>
      <c r="C16" s="15">
        <f>[14]Resumen!$C$25</f>
        <v>0</v>
      </c>
      <c r="D16" s="16">
        <f>[14]Resumen!$D$25</f>
        <v>0</v>
      </c>
      <c r="E16" s="14">
        <f>[14]Resumen!$E$25</f>
        <v>0</v>
      </c>
      <c r="F16" s="15">
        <f>[14]Resumen!$F$25</f>
        <v>0</v>
      </c>
      <c r="G16" s="17">
        <f>[14]Resumen!$G$25</f>
        <v>0</v>
      </c>
      <c r="H16" s="18">
        <f>[14]Resumen!$H$25</f>
        <v>0</v>
      </c>
      <c r="I16" s="15">
        <f>[14]Resumen!$I$25</f>
        <v>0</v>
      </c>
      <c r="J16" s="16">
        <f>[14]Resumen!$J$25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[15]Resumen!$B$25</f>
        <v>0</v>
      </c>
      <c r="C17" s="15">
        <f>[15]Resumen!$C$25</f>
        <v>0</v>
      </c>
      <c r="D17" s="16">
        <f>[15]Resumen!$D$25</f>
        <v>0</v>
      </c>
      <c r="E17" s="14">
        <f>[15]Resumen!$E$25</f>
        <v>0</v>
      </c>
      <c r="F17" s="15">
        <f>[15]Resumen!$F$25</f>
        <v>0</v>
      </c>
      <c r="G17" s="17">
        <f>[15]Resumen!$G$25</f>
        <v>0</v>
      </c>
      <c r="H17" s="18">
        <f>[15]Resumen!$H$25</f>
        <v>0</v>
      </c>
      <c r="I17" s="15">
        <f>[15]Resumen!$I$25</f>
        <v>0</v>
      </c>
      <c r="J17" s="16">
        <f>[15]Resumen!$J$25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[16]Resumen!$B$25</f>
        <v>0</v>
      </c>
      <c r="C18" s="15">
        <f>[16]Resumen!$C$25</f>
        <v>0</v>
      </c>
      <c r="D18" s="16">
        <f>[16]Resumen!$D$25</f>
        <v>0</v>
      </c>
      <c r="E18" s="14">
        <f>[16]Resumen!$E$25</f>
        <v>0</v>
      </c>
      <c r="F18" s="15">
        <f>[16]Resumen!$F$25</f>
        <v>0</v>
      </c>
      <c r="G18" s="17">
        <f>[16]Resumen!$G$25</f>
        <v>0</v>
      </c>
      <c r="H18" s="18">
        <f>[16]Resumen!$H$25</f>
        <v>0</v>
      </c>
      <c r="I18" s="15">
        <f>[16]Resumen!$I$25</f>
        <v>0</v>
      </c>
      <c r="J18" s="16">
        <f>[16]Resumen!$J$25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[17]Resumen!$B$25</f>
        <v>0</v>
      </c>
      <c r="C19" s="15">
        <f>[17]Resumen!$C$25</f>
        <v>0</v>
      </c>
      <c r="D19" s="16">
        <f>[17]Resumen!$D$25</f>
        <v>0</v>
      </c>
      <c r="E19" s="14">
        <f>[17]Resumen!$E$25</f>
        <v>0</v>
      </c>
      <c r="F19" s="15">
        <f>[17]Resumen!$F$25</f>
        <v>0</v>
      </c>
      <c r="G19" s="17">
        <f>[17]Resumen!$G$25</f>
        <v>0</v>
      </c>
      <c r="H19" s="18">
        <f>[17]Resumen!$H$25</f>
        <v>0</v>
      </c>
      <c r="I19" s="15">
        <f>[17]Resumen!$I$25</f>
        <v>0</v>
      </c>
      <c r="J19" s="16">
        <f>[17]Resumen!$J$25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[18]Resumen!$B$25</f>
        <v>0</v>
      </c>
      <c r="C20" s="15">
        <f>[18]Resumen!$C$25</f>
        <v>0</v>
      </c>
      <c r="D20" s="16">
        <f>[18]Resumen!$D$25</f>
        <v>0</v>
      </c>
      <c r="E20" s="14">
        <f>[18]Resumen!$E$25</f>
        <v>0</v>
      </c>
      <c r="F20" s="15">
        <f>[18]Resumen!$F$25</f>
        <v>0</v>
      </c>
      <c r="G20" s="17">
        <f>[18]Resumen!$G$25</f>
        <v>0</v>
      </c>
      <c r="H20" s="18">
        <f>[18]Resumen!$H$25</f>
        <v>0</v>
      </c>
      <c r="I20" s="15">
        <f>[18]Resumen!$I$25</f>
        <v>0</v>
      </c>
      <c r="J20" s="16">
        <f>[18]Resumen!$J$25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[19]Resumen!$B$25</f>
        <v>0</v>
      </c>
      <c r="C21" s="15">
        <f>[19]Resumen!$C$25</f>
        <v>0</v>
      </c>
      <c r="D21" s="16">
        <f>[19]Resumen!$D$25</f>
        <v>0</v>
      </c>
      <c r="E21" s="14">
        <f>[19]Resumen!$E$25</f>
        <v>0</v>
      </c>
      <c r="F21" s="15">
        <f>[19]Resumen!$F$25</f>
        <v>0</v>
      </c>
      <c r="G21" s="17">
        <f>[19]Resumen!$G$25</f>
        <v>0</v>
      </c>
      <c r="H21" s="18">
        <f>[19]Resumen!$H$25</f>
        <v>0</v>
      </c>
      <c r="I21" s="15">
        <f>[19]Resumen!$I$25</f>
        <v>0</v>
      </c>
      <c r="J21" s="16">
        <f>[19]Resumen!$J$25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[20]Resumen!$B$25</f>
        <v>0</v>
      </c>
      <c r="C22" s="15">
        <f>[20]Resumen!$C$25</f>
        <v>0</v>
      </c>
      <c r="D22" s="16">
        <f>[20]Resumen!$D$25</f>
        <v>0</v>
      </c>
      <c r="E22" s="14">
        <f>[20]Resumen!$E$25</f>
        <v>0</v>
      </c>
      <c r="F22" s="15">
        <f>[20]Resumen!$F$25</f>
        <v>0</v>
      </c>
      <c r="G22" s="17">
        <f>[20]Resumen!$G$25</f>
        <v>0</v>
      </c>
      <c r="H22" s="18">
        <f>[20]Resumen!$H$25</f>
        <v>0</v>
      </c>
      <c r="I22" s="15">
        <f>[20]Resumen!$I$25</f>
        <v>0</v>
      </c>
      <c r="J22" s="16">
        <f>[20]Resumen!$J$25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[21]Resumen!$B$25</f>
        <v>0</v>
      </c>
      <c r="C23" s="15">
        <f>[21]Resumen!$C$25</f>
        <v>0</v>
      </c>
      <c r="D23" s="16">
        <f>[21]Resumen!$D$25</f>
        <v>0</v>
      </c>
      <c r="E23" s="14">
        <f>[21]Resumen!$E$25</f>
        <v>0</v>
      </c>
      <c r="F23" s="15">
        <f>[21]Resumen!$F$25</f>
        <v>0</v>
      </c>
      <c r="G23" s="17">
        <f>[21]Resumen!$G$25</f>
        <v>0</v>
      </c>
      <c r="H23" s="18">
        <f>[21]Resumen!$H$25</f>
        <v>0</v>
      </c>
      <c r="I23" s="15">
        <f>[21]Resumen!$I$25</f>
        <v>0</v>
      </c>
      <c r="J23" s="16">
        <f>[21]Resumen!$J$25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[22]Resumen!$B$25</f>
        <v>0</v>
      </c>
      <c r="C24" s="15">
        <f>[22]Resumen!$C$25</f>
        <v>0</v>
      </c>
      <c r="D24" s="16">
        <f>[22]Resumen!$D$25</f>
        <v>0</v>
      </c>
      <c r="E24" s="14">
        <f>[22]Resumen!$E$25</f>
        <v>0</v>
      </c>
      <c r="F24" s="15">
        <f>[22]Resumen!$F$25</f>
        <v>0</v>
      </c>
      <c r="G24" s="17">
        <f>[22]Resumen!$G$25</f>
        <v>0</v>
      </c>
      <c r="H24" s="18">
        <f>[22]Resumen!$H$25</f>
        <v>0</v>
      </c>
      <c r="I24" s="15">
        <f>[22]Resumen!$I$25</f>
        <v>0</v>
      </c>
      <c r="J24" s="16">
        <f>[22]Resumen!$J$25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[23]Resumen!$B$25</f>
        <v>0</v>
      </c>
      <c r="C25" s="15">
        <f>[23]Resumen!$C$25</f>
        <v>0</v>
      </c>
      <c r="D25" s="16">
        <f>[23]Resumen!$D$25</f>
        <v>0</v>
      </c>
      <c r="E25" s="14">
        <f>[23]Resumen!$E$25</f>
        <v>0</v>
      </c>
      <c r="F25" s="15">
        <f>[23]Resumen!$F$25</f>
        <v>0</v>
      </c>
      <c r="G25" s="17">
        <f>[23]Resumen!$G$25</f>
        <v>0</v>
      </c>
      <c r="H25" s="18">
        <f>[23]Resumen!$H$25</f>
        <v>0</v>
      </c>
      <c r="I25" s="15">
        <f>[23]Resumen!$I$25</f>
        <v>0</v>
      </c>
      <c r="J25" s="16">
        <f>[23]Resumen!$J$25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[24]Resumen!$B$25</f>
        <v>0</v>
      </c>
      <c r="C26" s="15">
        <f>[24]Resumen!$C$25</f>
        <v>0</v>
      </c>
      <c r="D26" s="16">
        <f>[24]Resumen!$D$25</f>
        <v>0</v>
      </c>
      <c r="E26" s="14">
        <f>[24]Resumen!$E$25</f>
        <v>0</v>
      </c>
      <c r="F26" s="15">
        <f>[24]Resumen!$F$25</f>
        <v>0</v>
      </c>
      <c r="G26" s="17">
        <f>[24]Resumen!$G$25</f>
        <v>0</v>
      </c>
      <c r="H26" s="18">
        <f>[24]Resumen!$H$25</f>
        <v>0</v>
      </c>
      <c r="I26" s="15">
        <f>[24]Resumen!$I$25</f>
        <v>0</v>
      </c>
      <c r="J26" s="16">
        <f>[24]Resumen!$J$25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[25]Resumen!$B$25</f>
        <v>0</v>
      </c>
      <c r="C27" s="15">
        <f>[25]Resumen!$C$25</f>
        <v>0</v>
      </c>
      <c r="D27" s="16">
        <f>[25]Resumen!$D$25</f>
        <v>0</v>
      </c>
      <c r="E27" s="14">
        <f>[25]Resumen!$E$25</f>
        <v>0</v>
      </c>
      <c r="F27" s="15">
        <f>[25]Resumen!$F$25</f>
        <v>0</v>
      </c>
      <c r="G27" s="17">
        <f>[25]Resumen!$G$25</f>
        <v>0</v>
      </c>
      <c r="H27" s="18">
        <f>[25]Resumen!$H$25</f>
        <v>0</v>
      </c>
      <c r="I27" s="15">
        <f>[25]Resumen!$I$25</f>
        <v>0</v>
      </c>
      <c r="J27" s="16">
        <f>[25]Resumen!$J$25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[26]Resumen!$B$25</f>
        <v>0</v>
      </c>
      <c r="C28" s="15">
        <f>[26]Resumen!$C$25</f>
        <v>0</v>
      </c>
      <c r="D28" s="16">
        <f>[26]Resumen!$D$25</f>
        <v>0</v>
      </c>
      <c r="E28" s="14">
        <f>[26]Resumen!$E$25</f>
        <v>0</v>
      </c>
      <c r="F28" s="15">
        <f>[26]Resumen!$F$25</f>
        <v>0</v>
      </c>
      <c r="G28" s="17">
        <f>[26]Resumen!$G$25</f>
        <v>0</v>
      </c>
      <c r="H28" s="18">
        <f>[26]Resumen!$H$25</f>
        <v>0</v>
      </c>
      <c r="I28" s="15">
        <f>[26]Resumen!$I$25</f>
        <v>0</v>
      </c>
      <c r="J28" s="16">
        <f>[26]Resumen!$J$25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[27]Resumen!$B$25</f>
        <v>0</v>
      </c>
      <c r="C29" s="15">
        <f>[27]Resumen!$C$25</f>
        <v>0</v>
      </c>
      <c r="D29" s="16">
        <f>[27]Resumen!$D$25</f>
        <v>0</v>
      </c>
      <c r="E29" s="14">
        <f>[27]Resumen!$E$25</f>
        <v>0</v>
      </c>
      <c r="F29" s="15">
        <f>[27]Resumen!$F$25</f>
        <v>0</v>
      </c>
      <c r="G29" s="17">
        <f>[27]Resumen!$G$25</f>
        <v>0</v>
      </c>
      <c r="H29" s="18">
        <f>[27]Resumen!$H$25</f>
        <v>0</v>
      </c>
      <c r="I29" s="15">
        <f>[27]Resumen!$I$25</f>
        <v>0</v>
      </c>
      <c r="J29" s="16">
        <f>[27]Resumen!$J$25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[28]Resumen!$B$25</f>
        <v>0</v>
      </c>
      <c r="C30" s="15">
        <f>[28]Resumen!$C$25</f>
        <v>0</v>
      </c>
      <c r="D30" s="16">
        <f>[28]Resumen!$D$25</f>
        <v>0</v>
      </c>
      <c r="E30" s="14">
        <f>[28]Resumen!$E$25</f>
        <v>0</v>
      </c>
      <c r="F30" s="15">
        <f>[28]Resumen!$F$25</f>
        <v>0</v>
      </c>
      <c r="G30" s="17">
        <f>[28]Resumen!$G$25</f>
        <v>0</v>
      </c>
      <c r="H30" s="18">
        <f>[28]Resumen!$H$25</f>
        <v>0</v>
      </c>
      <c r="I30" s="15">
        <f>[28]Resumen!$I$25</f>
        <v>0</v>
      </c>
      <c r="J30" s="16">
        <f>[28]Resumen!$J$25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[29]Resumen!$B$25</f>
        <v>0</v>
      </c>
      <c r="C31" s="15">
        <f>[29]Resumen!$C$25</f>
        <v>0</v>
      </c>
      <c r="D31" s="16">
        <f>[29]Resumen!$D$25</f>
        <v>0</v>
      </c>
      <c r="E31" s="14">
        <f>[29]Resumen!$E$25</f>
        <v>0</v>
      </c>
      <c r="F31" s="15">
        <f>[29]Resumen!$F$25</f>
        <v>0</v>
      </c>
      <c r="G31" s="17">
        <f>[29]Resumen!$G$25</f>
        <v>0</v>
      </c>
      <c r="H31" s="18">
        <f>[29]Resumen!$H$25</f>
        <v>0</v>
      </c>
      <c r="I31" s="15">
        <f>[29]Resumen!$I$25</f>
        <v>0</v>
      </c>
      <c r="J31" s="16">
        <f>[29]Resumen!$J$25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[30]Resumen!$B$25</f>
        <v>0</v>
      </c>
      <c r="C32" s="15">
        <f>[30]Resumen!$C$25</f>
        <v>0</v>
      </c>
      <c r="D32" s="16">
        <f>[30]Resumen!$D$25</f>
        <v>0</v>
      </c>
      <c r="E32" s="14">
        <f>[30]Resumen!$E$25</f>
        <v>0</v>
      </c>
      <c r="F32" s="15">
        <f>[30]Resumen!$F$25</f>
        <v>0</v>
      </c>
      <c r="G32" s="17">
        <f>[30]Resumen!$G$25</f>
        <v>0</v>
      </c>
      <c r="H32" s="18">
        <f>[30]Resumen!$H$25</f>
        <v>0</v>
      </c>
      <c r="I32" s="15">
        <f>[30]Resumen!$I$25</f>
        <v>0</v>
      </c>
      <c r="J32" s="16">
        <f>[30]Resumen!$J$25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[31]Resumen!$B$25</f>
        <v>0</v>
      </c>
      <c r="C33" s="15">
        <f>[31]Resumen!$C$25</f>
        <v>0</v>
      </c>
      <c r="D33" s="16">
        <f>[31]Resumen!$D$25</f>
        <v>0</v>
      </c>
      <c r="E33" s="14">
        <f>[31]Resumen!$E$25</f>
        <v>0</v>
      </c>
      <c r="F33" s="15">
        <f>[31]Resumen!$F$25</f>
        <v>0</v>
      </c>
      <c r="G33" s="17">
        <f>[31]Resumen!$G$25</f>
        <v>0</v>
      </c>
      <c r="H33" s="18">
        <f>[31]Resumen!$H$25</f>
        <v>0</v>
      </c>
      <c r="I33" s="15">
        <f>[31]Resumen!$I$25</f>
        <v>0</v>
      </c>
      <c r="J33" s="16">
        <f>[31]Resumen!$J$25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[1]Resumen!$B$25</f>
        <v>0</v>
      </c>
      <c r="C34" s="15">
        <f>[1]Resumen!$C$25</f>
        <v>0</v>
      </c>
      <c r="D34" s="16">
        <f>[1]Resumen!$D$25</f>
        <v>0</v>
      </c>
      <c r="E34" s="14">
        <f>[1]Resumen!$E$25</f>
        <v>0</v>
      </c>
      <c r="F34" s="15">
        <f>[1]Resumen!$F$25</f>
        <v>0</v>
      </c>
      <c r="G34" s="17">
        <f>[1]Resumen!$G$25</f>
        <v>0</v>
      </c>
      <c r="H34" s="18">
        <f>[1]Resumen!$H$25</f>
        <v>0</v>
      </c>
      <c r="I34" s="15">
        <f>[1]Resumen!$I$25</f>
        <v>0</v>
      </c>
      <c r="J34" s="16">
        <f>[1]Resumen!$J$25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+[2]Resumen!$B$25</f>
        <v>0</v>
      </c>
      <c r="C35" s="22">
        <f>+[2]Resumen!$C$25</f>
        <v>0</v>
      </c>
      <c r="D35" s="23">
        <f>+[2]Resumen!$D$25</f>
        <v>0</v>
      </c>
      <c r="E35" s="21">
        <f>+[2]Resumen!$E$25</f>
        <v>0</v>
      </c>
      <c r="F35" s="22">
        <f>+[2]Resumen!$F$25</f>
        <v>0</v>
      </c>
      <c r="G35" s="24">
        <f>+[2]Resumen!$G$25</f>
        <v>0</v>
      </c>
      <c r="H35" s="25">
        <f>+[2]Resumen!$H$25</f>
        <v>0</v>
      </c>
      <c r="I35" s="22">
        <f>+[2]Resumen!$I$25</f>
        <v>0</v>
      </c>
      <c r="J35" s="23">
        <f>+[2]Resumen!$J$25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[3]Vendedor24!$J$4</f>
        <v>0</v>
      </c>
      <c r="C5" s="81">
        <f>[3]Vendedor24!$K$4</f>
        <v>0</v>
      </c>
      <c r="D5" s="82">
        <f>[3]Vendedor24!$L$4</f>
        <v>0</v>
      </c>
      <c r="E5" s="14">
        <f>[3]Vendedor24!$J$5</f>
        <v>0</v>
      </c>
      <c r="F5" s="81">
        <f>[3]Vendedor24!$K$5</f>
        <v>0</v>
      </c>
      <c r="G5" s="85">
        <f>[3]Vendedor24!$L$5</f>
        <v>0</v>
      </c>
      <c r="H5" s="19">
        <f>[3]Vendedor24!$J$6</f>
        <v>0</v>
      </c>
      <c r="I5" s="15">
        <f>[3]Vendedor24!$K$6</f>
        <v>0</v>
      </c>
      <c r="J5" s="17">
        <f>[3]Vendedor24!$L$6</f>
        <v>0</v>
      </c>
      <c r="K5" s="19">
        <f t="shared" ref="K5:K35" si="0">+B5+E5+H5</f>
        <v>0</v>
      </c>
      <c r="L5" s="15">
        <f>C5+F5+I5</f>
        <v>0</v>
      </c>
      <c r="M5" s="15">
        <f t="shared" ref="M5:M35" si="1">+D5+G5+J5</f>
        <v>0</v>
      </c>
      <c r="N5" s="15">
        <v>0</v>
      </c>
      <c r="O5" s="17">
        <f t="shared" ref="O5:O35" si="2">+K5-L5-M5+N5</f>
        <v>0</v>
      </c>
    </row>
    <row r="6" spans="1:15">
      <c r="A6" s="13" t="s">
        <v>50</v>
      </c>
      <c r="B6" s="14">
        <f>[4]Vendedor24!$J$4</f>
        <v>0</v>
      </c>
      <c r="C6" s="81">
        <f>[4]Vendedor24!$K$4</f>
        <v>0</v>
      </c>
      <c r="D6" s="82">
        <f>[4]Vendedor24!$L$4</f>
        <v>0</v>
      </c>
      <c r="E6" s="14">
        <f>[4]Vendedor24!$J$5</f>
        <v>0</v>
      </c>
      <c r="F6" s="81">
        <f>[4]Vendedor24!$K$5</f>
        <v>0</v>
      </c>
      <c r="G6" s="85">
        <f>[4]Vendedor24!$L$5</f>
        <v>0</v>
      </c>
      <c r="H6" s="19">
        <f>[4]Vendedor24!$J$6</f>
        <v>0</v>
      </c>
      <c r="I6" s="15">
        <f>[4]Vendedor24!$K$6</f>
        <v>0</v>
      </c>
      <c r="J6" s="17">
        <f>[4]Vendedor24!$L$6</f>
        <v>0</v>
      </c>
      <c r="K6" s="19">
        <f t="shared" si="0"/>
        <v>0</v>
      </c>
      <c r="L6" s="15">
        <f t="shared" ref="L6:L35" si="3">C6+F6+I6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[5]Vendedor24!$J$4</f>
        <v>0</v>
      </c>
      <c r="C7" s="81">
        <f>[5]Vendedor24!$K$4</f>
        <v>0</v>
      </c>
      <c r="D7" s="82">
        <f>[5]Vendedor24!$L$4</f>
        <v>0</v>
      </c>
      <c r="E7" s="14">
        <f>[5]Vendedor24!$J$5</f>
        <v>0</v>
      </c>
      <c r="F7" s="81">
        <f>[5]Vendedor24!$K$5</f>
        <v>0</v>
      </c>
      <c r="G7" s="85">
        <f>[5]Vendedor24!$L$5</f>
        <v>0</v>
      </c>
      <c r="H7" s="19">
        <f>[5]Vendedor24!$J$6</f>
        <v>0</v>
      </c>
      <c r="I7" s="15">
        <f>[5]Vendedor24!$K$6</f>
        <v>0</v>
      </c>
      <c r="J7" s="17">
        <f>[5]Vendedor24!$L$6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[6]Vendedor24!$J$4</f>
        <v>0</v>
      </c>
      <c r="C8" s="81">
        <f>[6]Vendedor24!$K$4</f>
        <v>0</v>
      </c>
      <c r="D8" s="82">
        <f>[6]Vendedor24!$L$4</f>
        <v>0</v>
      </c>
      <c r="E8" s="14">
        <f>[6]Vendedor24!$J$5</f>
        <v>0</v>
      </c>
      <c r="F8" s="81">
        <f>[6]Vendedor24!$K$5</f>
        <v>0</v>
      </c>
      <c r="G8" s="85">
        <f>[6]Vendedor24!$L$5</f>
        <v>0</v>
      </c>
      <c r="H8" s="19">
        <f>[6]Vendedor24!$J$6</f>
        <v>0</v>
      </c>
      <c r="I8" s="15">
        <f>[6]Vendedor24!$K$6</f>
        <v>0</v>
      </c>
      <c r="J8" s="17">
        <f>[6]Vendedor24!$L$6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[7]Vendedor24!$J$4</f>
        <v>0</v>
      </c>
      <c r="C9" s="81">
        <f>[7]Vendedor24!$K$4</f>
        <v>0</v>
      </c>
      <c r="D9" s="82">
        <f>[7]Vendedor24!$L$4</f>
        <v>0</v>
      </c>
      <c r="E9" s="14">
        <f>[7]Vendedor24!$J$5</f>
        <v>0</v>
      </c>
      <c r="F9" s="81">
        <f>[7]Vendedor24!$K$5</f>
        <v>0</v>
      </c>
      <c r="G9" s="85">
        <f>[7]Vendedor24!$L$5</f>
        <v>0</v>
      </c>
      <c r="H9" s="19">
        <f>[7]Vendedor24!$J$6</f>
        <v>0</v>
      </c>
      <c r="I9" s="15">
        <f>[7]Vendedor24!$K$6</f>
        <v>0</v>
      </c>
      <c r="J9" s="17">
        <f>[7]Vendedor24!$L$6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[8]Vendedor24!$J$4</f>
        <v>0</v>
      </c>
      <c r="C10" s="81">
        <f>[8]Vendedor24!$K$4</f>
        <v>0</v>
      </c>
      <c r="D10" s="82">
        <f>[8]Vendedor24!$L$4</f>
        <v>0</v>
      </c>
      <c r="E10" s="14">
        <f>[8]Vendedor24!$J$5</f>
        <v>0</v>
      </c>
      <c r="F10" s="81">
        <f>[8]Vendedor24!$K$5</f>
        <v>0</v>
      </c>
      <c r="G10" s="85">
        <f>[8]Vendedor24!$L$5</f>
        <v>0</v>
      </c>
      <c r="H10" s="19">
        <f>[8]Vendedor24!$J$6</f>
        <v>0</v>
      </c>
      <c r="I10" s="15">
        <f>[8]Vendedor24!$K$6</f>
        <v>0</v>
      </c>
      <c r="J10" s="17">
        <f>[8]Vendedor24!$L$6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[9]Vendedor24!$J$4</f>
        <v>0</v>
      </c>
      <c r="C11" s="81">
        <f>[9]Vendedor24!$K$4</f>
        <v>0</v>
      </c>
      <c r="D11" s="82">
        <f>[9]Vendedor24!$L$4</f>
        <v>0</v>
      </c>
      <c r="E11" s="14">
        <f>[9]Vendedor24!$J$5</f>
        <v>0</v>
      </c>
      <c r="F11" s="81">
        <f>[9]Vendedor24!$K$5</f>
        <v>0</v>
      </c>
      <c r="G11" s="85">
        <f>[9]Vendedor24!$L$5</f>
        <v>0</v>
      </c>
      <c r="H11" s="19">
        <f>[9]Vendedor24!$J$6</f>
        <v>0</v>
      </c>
      <c r="I11" s="15">
        <f>[9]Vendedor24!$K$6</f>
        <v>0</v>
      </c>
      <c r="J11" s="17">
        <f>[9]Vendedor24!$L$6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[10]Vendedor24!$J$4</f>
        <v>0</v>
      </c>
      <c r="C12" s="81">
        <f>[10]Vendedor24!$K$4</f>
        <v>0</v>
      </c>
      <c r="D12" s="82">
        <f>[10]Vendedor24!$L$4</f>
        <v>0</v>
      </c>
      <c r="E12" s="14">
        <f>[10]Vendedor24!$J$5</f>
        <v>0</v>
      </c>
      <c r="F12" s="81">
        <f>[10]Vendedor24!$K$5</f>
        <v>0</v>
      </c>
      <c r="G12" s="85">
        <f>[10]Vendedor24!$L$5</f>
        <v>0</v>
      </c>
      <c r="H12" s="19">
        <f>[10]Vendedor24!$J$6</f>
        <v>0</v>
      </c>
      <c r="I12" s="15">
        <f>[10]Vendedor24!$K$6</f>
        <v>0</v>
      </c>
      <c r="J12" s="17">
        <f>[10]Vendedor24!$L$6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[11]Vendedor24!$J$4</f>
        <v>0</v>
      </c>
      <c r="C13" s="81">
        <f>[11]Vendedor24!$K$4</f>
        <v>0</v>
      </c>
      <c r="D13" s="82">
        <f>[11]Vendedor24!$L$4</f>
        <v>0</v>
      </c>
      <c r="E13" s="14">
        <f>[11]Vendedor24!$J$5</f>
        <v>0</v>
      </c>
      <c r="F13" s="81">
        <f>[11]Vendedor24!$K$5</f>
        <v>0</v>
      </c>
      <c r="G13" s="85">
        <f>[11]Vendedor24!$L$5</f>
        <v>0</v>
      </c>
      <c r="H13" s="19">
        <f>[11]Vendedor24!$J$6</f>
        <v>0</v>
      </c>
      <c r="I13" s="15">
        <f>[11]Vendedor24!$K$6</f>
        <v>0</v>
      </c>
      <c r="J13" s="17">
        <f>[11]Vendedor24!$L$6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[12]Vendedor24!$J$4</f>
        <v>0</v>
      </c>
      <c r="C14" s="81">
        <f>[12]Vendedor24!$K$4</f>
        <v>0</v>
      </c>
      <c r="D14" s="82">
        <f>[12]Vendedor24!$L$4</f>
        <v>0</v>
      </c>
      <c r="E14" s="14">
        <f>[12]Vendedor24!$J$5</f>
        <v>0</v>
      </c>
      <c r="F14" s="81">
        <f>[12]Vendedor24!$K$5</f>
        <v>0</v>
      </c>
      <c r="G14" s="85">
        <f>[12]Vendedor24!$L$5</f>
        <v>0</v>
      </c>
      <c r="H14" s="19">
        <f>[12]Vendedor24!$J$6</f>
        <v>0</v>
      </c>
      <c r="I14" s="15">
        <f>[12]Vendedor24!$K$6</f>
        <v>0</v>
      </c>
      <c r="J14" s="17">
        <f>[12]Vendedor24!$L$6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[13]Vendedor24!$J$4</f>
        <v>0</v>
      </c>
      <c r="C15" s="81">
        <f>[13]Vendedor24!$K$4</f>
        <v>0</v>
      </c>
      <c r="D15" s="82">
        <f>[13]Vendedor24!$L$4</f>
        <v>0</v>
      </c>
      <c r="E15" s="14">
        <f>[13]Vendedor24!$J$5</f>
        <v>0</v>
      </c>
      <c r="F15" s="81">
        <f>[13]Vendedor24!$K$5</f>
        <v>0</v>
      </c>
      <c r="G15" s="85">
        <f>[13]Vendedor24!$L$5</f>
        <v>0</v>
      </c>
      <c r="H15" s="19">
        <f>[13]Vendedor24!$J$6</f>
        <v>0</v>
      </c>
      <c r="I15" s="15">
        <f>[13]Vendedor24!$K$6</f>
        <v>0</v>
      </c>
      <c r="J15" s="17">
        <f>[13]Vendedor24!$L$6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[14]Vendedor24!$J$4</f>
        <v>0</v>
      </c>
      <c r="C16" s="81">
        <f>[14]Vendedor24!$K$4</f>
        <v>0</v>
      </c>
      <c r="D16" s="82">
        <f>[14]Vendedor24!$L$4</f>
        <v>0</v>
      </c>
      <c r="E16" s="14">
        <f>[14]Vendedor24!$J$5</f>
        <v>0</v>
      </c>
      <c r="F16" s="81">
        <f>[14]Vendedor24!$K$5</f>
        <v>0</v>
      </c>
      <c r="G16" s="85">
        <f>[14]Vendedor24!$L$5</f>
        <v>0</v>
      </c>
      <c r="H16" s="19">
        <f>[14]Vendedor24!$J$6</f>
        <v>0</v>
      </c>
      <c r="I16" s="15">
        <f>[14]Vendedor24!$K$6</f>
        <v>0</v>
      </c>
      <c r="J16" s="17">
        <f>[14]Vendedor24!$L$6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[15]Vendedor24!$J$4</f>
        <v>0</v>
      </c>
      <c r="C17" s="81">
        <f>[15]Vendedor24!$K$4</f>
        <v>0</v>
      </c>
      <c r="D17" s="82">
        <f>[15]Vendedor24!$L$4</f>
        <v>0</v>
      </c>
      <c r="E17" s="14">
        <f>[15]Vendedor24!$J$5</f>
        <v>0</v>
      </c>
      <c r="F17" s="81">
        <f>[15]Vendedor24!$K$5</f>
        <v>0</v>
      </c>
      <c r="G17" s="85">
        <f>[15]Vendedor24!$L$5</f>
        <v>0</v>
      </c>
      <c r="H17" s="19">
        <f>[15]Vendedor24!$J$6</f>
        <v>0</v>
      </c>
      <c r="I17" s="15">
        <f>[15]Vendedor24!$K$6</f>
        <v>0</v>
      </c>
      <c r="J17" s="17">
        <f>[15]Vendedor24!$L$6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[16]Vendedor24!$J$4</f>
        <v>0</v>
      </c>
      <c r="C18" s="81">
        <f>[16]Vendedor24!$K$4</f>
        <v>0</v>
      </c>
      <c r="D18" s="82">
        <f>[16]Vendedor24!$L$4</f>
        <v>0</v>
      </c>
      <c r="E18" s="14">
        <f>[16]Vendedor24!$J$5</f>
        <v>0</v>
      </c>
      <c r="F18" s="81">
        <f>[16]Vendedor24!$K$5</f>
        <v>0</v>
      </c>
      <c r="G18" s="85">
        <f>[16]Vendedor24!$L$5</f>
        <v>0</v>
      </c>
      <c r="H18" s="19">
        <f>[16]Vendedor24!$J$6</f>
        <v>0</v>
      </c>
      <c r="I18" s="15">
        <f>[16]Vendedor24!$K$6</f>
        <v>0</v>
      </c>
      <c r="J18" s="17">
        <f>[16]Vendedor24!$L$6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[17]Vendedor24!$J$4</f>
        <v>0</v>
      </c>
      <c r="C19" s="81">
        <f>[17]Vendedor24!$K$4</f>
        <v>0</v>
      </c>
      <c r="D19" s="82">
        <f>[17]Vendedor24!$L$4</f>
        <v>0</v>
      </c>
      <c r="E19" s="14">
        <f>[17]Vendedor24!$J$5</f>
        <v>0</v>
      </c>
      <c r="F19" s="81">
        <f>[17]Vendedor24!$K$5</f>
        <v>0</v>
      </c>
      <c r="G19" s="85">
        <f>[17]Vendedor24!$L$5</f>
        <v>0</v>
      </c>
      <c r="H19" s="19">
        <f>[17]Vendedor24!$J$6</f>
        <v>0</v>
      </c>
      <c r="I19" s="15">
        <f>[17]Vendedor24!$K$6</f>
        <v>0</v>
      </c>
      <c r="J19" s="17">
        <f>[17]Vendedor24!$L$6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[18]Vendedor24!$J$4</f>
        <v>0</v>
      </c>
      <c r="C20" s="81">
        <f>[18]Vendedor24!$K$4</f>
        <v>0</v>
      </c>
      <c r="D20" s="82">
        <f>[18]Vendedor24!$L$4</f>
        <v>0</v>
      </c>
      <c r="E20" s="14">
        <f>[18]Vendedor24!$J$5</f>
        <v>0</v>
      </c>
      <c r="F20" s="81">
        <f>[18]Vendedor24!$K$5</f>
        <v>0</v>
      </c>
      <c r="G20" s="85">
        <f>[18]Vendedor24!$L$5</f>
        <v>0</v>
      </c>
      <c r="H20" s="19">
        <f>[18]Vendedor24!$J$6</f>
        <v>0</v>
      </c>
      <c r="I20" s="15">
        <f>[18]Vendedor24!$K$6</f>
        <v>0</v>
      </c>
      <c r="J20" s="17">
        <f>[18]Vendedor24!$L$6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[19]Vendedor24!$J$4</f>
        <v>0</v>
      </c>
      <c r="C21" s="81">
        <f>[19]Vendedor24!$K$4</f>
        <v>0</v>
      </c>
      <c r="D21" s="82">
        <f>[19]Vendedor24!$L$4</f>
        <v>0</v>
      </c>
      <c r="E21" s="14">
        <f>[19]Vendedor24!$J$5</f>
        <v>0</v>
      </c>
      <c r="F21" s="81">
        <f>[19]Vendedor24!$K$5</f>
        <v>0</v>
      </c>
      <c r="G21" s="85">
        <f>[19]Vendedor24!$L$5</f>
        <v>0</v>
      </c>
      <c r="H21" s="19">
        <f>[19]Vendedor24!$J$6</f>
        <v>0</v>
      </c>
      <c r="I21" s="15">
        <f>[19]Vendedor24!$K$6</f>
        <v>0</v>
      </c>
      <c r="J21" s="17">
        <f>[19]Vendedor24!$L$6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[20]Vendedor24!$J$4</f>
        <v>0</v>
      </c>
      <c r="C22" s="81">
        <f>[20]Vendedor24!$K$4</f>
        <v>0</v>
      </c>
      <c r="D22" s="82">
        <f>[20]Vendedor24!$L$4</f>
        <v>0</v>
      </c>
      <c r="E22" s="14">
        <f>[20]Vendedor24!$J$5</f>
        <v>0</v>
      </c>
      <c r="F22" s="81">
        <f>[20]Vendedor24!$K$5</f>
        <v>0</v>
      </c>
      <c r="G22" s="85">
        <f>[20]Vendedor24!$L$5</f>
        <v>0</v>
      </c>
      <c r="H22" s="19">
        <f>[20]Vendedor24!$J$6</f>
        <v>0</v>
      </c>
      <c r="I22" s="15">
        <f>[20]Vendedor24!$K$6</f>
        <v>0</v>
      </c>
      <c r="J22" s="17">
        <f>[20]Vendedor24!$L$6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[21]Vendedor24!$J$4</f>
        <v>-600</v>
      </c>
      <c r="C23" s="81">
        <f>[21]Vendedor24!$K$4</f>
        <v>-51000</v>
      </c>
      <c r="D23" s="82">
        <f>[21]Vendedor24!$L$4</f>
        <v>0</v>
      </c>
      <c r="E23" s="14">
        <f>[21]Vendedor24!$J$5</f>
        <v>0</v>
      </c>
      <c r="F23" s="81">
        <f>[21]Vendedor24!$K$5</f>
        <v>0</v>
      </c>
      <c r="G23" s="85">
        <f>[21]Vendedor24!$L$5</f>
        <v>0</v>
      </c>
      <c r="H23" s="19">
        <f>[21]Vendedor24!$J$6</f>
        <v>0</v>
      </c>
      <c r="I23" s="15">
        <f>[21]Vendedor24!$K$6</f>
        <v>0</v>
      </c>
      <c r="J23" s="17">
        <f>[21]Vendedor24!$L$6</f>
        <v>0</v>
      </c>
      <c r="K23" s="19">
        <f t="shared" si="0"/>
        <v>-600</v>
      </c>
      <c r="L23" s="15">
        <f t="shared" si="3"/>
        <v>-51000</v>
      </c>
      <c r="M23" s="15">
        <f t="shared" si="1"/>
        <v>0</v>
      </c>
      <c r="N23" s="15">
        <v>0</v>
      </c>
      <c r="O23" s="17">
        <f t="shared" si="2"/>
        <v>50400</v>
      </c>
    </row>
    <row r="24" spans="1:15">
      <c r="A24" s="20" t="s">
        <v>34</v>
      </c>
      <c r="B24" s="14">
        <f>[22]Vendedor24!$J$4</f>
        <v>0</v>
      </c>
      <c r="C24" s="81">
        <f>[22]Vendedor24!$K$4</f>
        <v>0</v>
      </c>
      <c r="D24" s="82">
        <f>[22]Vendedor24!$L$4</f>
        <v>0</v>
      </c>
      <c r="E24" s="14">
        <f>[22]Vendedor24!$J$5</f>
        <v>0</v>
      </c>
      <c r="F24" s="81">
        <f>[22]Vendedor24!$K$5</f>
        <v>0</v>
      </c>
      <c r="G24" s="85">
        <f>[22]Vendedor24!$L$5</f>
        <v>0</v>
      </c>
      <c r="H24" s="19">
        <f>[22]Vendedor24!$J$6</f>
        <v>0</v>
      </c>
      <c r="I24" s="15">
        <f>[22]Vendedor24!$K$6</f>
        <v>0</v>
      </c>
      <c r="J24" s="17">
        <f>[22]Vendedor24!$L$6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[23]Vendedor24!$J$4</f>
        <v>0</v>
      </c>
      <c r="C25" s="81">
        <f>[23]Vendedor24!$K$4</f>
        <v>0</v>
      </c>
      <c r="D25" s="82">
        <f>[23]Vendedor24!$L$4</f>
        <v>0</v>
      </c>
      <c r="E25" s="14">
        <f>[23]Vendedor24!$J$5</f>
        <v>0</v>
      </c>
      <c r="F25" s="81">
        <f>[23]Vendedor24!$K$5</f>
        <v>0</v>
      </c>
      <c r="G25" s="85">
        <f>[23]Vendedor24!$L$5</f>
        <v>0</v>
      </c>
      <c r="H25" s="19">
        <f>[23]Vendedor24!$J$6</f>
        <v>0</v>
      </c>
      <c r="I25" s="15">
        <f>[23]Vendedor24!$K$6</f>
        <v>0</v>
      </c>
      <c r="J25" s="17">
        <f>[23]Vendedor24!$L$6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[24]Vendedor24!$J$4</f>
        <v>0</v>
      </c>
      <c r="C26" s="81">
        <f>[24]Vendedor24!$K$4</f>
        <v>0</v>
      </c>
      <c r="D26" s="82">
        <f>[24]Vendedor24!$L$4</f>
        <v>0</v>
      </c>
      <c r="E26" s="14">
        <f>[24]Vendedor24!$J$5</f>
        <v>0</v>
      </c>
      <c r="F26" s="81">
        <f>[24]Vendedor24!$K$5</f>
        <v>0</v>
      </c>
      <c r="G26" s="85">
        <f>[24]Vendedor24!$L$5</f>
        <v>0</v>
      </c>
      <c r="H26" s="19">
        <f>[24]Vendedor24!$J$6</f>
        <v>0</v>
      </c>
      <c r="I26" s="15">
        <f>[24]Vendedor24!$K$6</f>
        <v>0</v>
      </c>
      <c r="J26" s="17">
        <f>[24]Vendedor24!$L$6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[25]Vendedor24!$J$4</f>
        <v>0</v>
      </c>
      <c r="C27" s="81">
        <f>[25]Vendedor24!$K$4</f>
        <v>0</v>
      </c>
      <c r="D27" s="82">
        <f>[25]Vendedor24!$L$4</f>
        <v>0</v>
      </c>
      <c r="E27" s="14">
        <f>[25]Vendedor24!$J$5</f>
        <v>0</v>
      </c>
      <c r="F27" s="81">
        <f>[25]Vendedor24!$K$5</f>
        <v>0</v>
      </c>
      <c r="G27" s="85">
        <f>[25]Vendedor24!$L$5</f>
        <v>0</v>
      </c>
      <c r="H27" s="19">
        <f>[25]Vendedor24!$J$6</f>
        <v>0</v>
      </c>
      <c r="I27" s="15">
        <f>[25]Vendedor24!$K$6</f>
        <v>0</v>
      </c>
      <c r="J27" s="17">
        <f>[25]Vendedor24!$L$6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[26]Vendedor24!$J$4</f>
        <v>0</v>
      </c>
      <c r="C28" s="81">
        <f>[26]Vendedor24!$K$4</f>
        <v>0</v>
      </c>
      <c r="D28" s="82">
        <f>[26]Vendedor24!$L$4</f>
        <v>0</v>
      </c>
      <c r="E28" s="14">
        <f>[26]Vendedor24!$J$5</f>
        <v>0</v>
      </c>
      <c r="F28" s="81">
        <f>[26]Vendedor24!$K$5</f>
        <v>0</v>
      </c>
      <c r="G28" s="85">
        <f>[26]Vendedor24!$L$5</f>
        <v>0</v>
      </c>
      <c r="H28" s="19">
        <f>[26]Vendedor24!$J$6</f>
        <v>0</v>
      </c>
      <c r="I28" s="15">
        <f>[26]Vendedor24!$K$6</f>
        <v>0</v>
      </c>
      <c r="J28" s="17">
        <f>[26]Vendedor24!$L$6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[27]Vendedor24!$J$4</f>
        <v>-12364</v>
      </c>
      <c r="C29" s="81">
        <f>[27]Vendedor24!$K$4</f>
        <v>-1050940</v>
      </c>
      <c r="D29" s="82">
        <f>[27]Vendedor24!$L$4</f>
        <v>0</v>
      </c>
      <c r="E29" s="14">
        <f>[27]Vendedor24!$J$5</f>
        <v>0</v>
      </c>
      <c r="F29" s="81">
        <f>[27]Vendedor24!$K$5</f>
        <v>0</v>
      </c>
      <c r="G29" s="85">
        <f>[27]Vendedor24!$L$5</f>
        <v>0</v>
      </c>
      <c r="H29" s="19">
        <f>[27]Vendedor24!$J$6</f>
        <v>0</v>
      </c>
      <c r="I29" s="15">
        <f>[27]Vendedor24!$K$6</f>
        <v>0</v>
      </c>
      <c r="J29" s="17">
        <f>[27]Vendedor24!$L$6</f>
        <v>0</v>
      </c>
      <c r="K29" s="19">
        <f t="shared" si="0"/>
        <v>-12364</v>
      </c>
      <c r="L29" s="15">
        <f t="shared" si="3"/>
        <v>-1050940</v>
      </c>
      <c r="M29" s="15">
        <f t="shared" si="1"/>
        <v>0</v>
      </c>
      <c r="N29" s="15">
        <v>0</v>
      </c>
      <c r="O29" s="17">
        <f t="shared" si="2"/>
        <v>1038576</v>
      </c>
    </row>
    <row r="30" spans="1:15">
      <c r="A30" s="20" t="s">
        <v>40</v>
      </c>
      <c r="B30" s="14">
        <f>[28]Vendedor24!$J$4</f>
        <v>0</v>
      </c>
      <c r="C30" s="81">
        <f>[28]Vendedor24!$K$4</f>
        <v>0</v>
      </c>
      <c r="D30" s="82">
        <f>[28]Vendedor24!$L$4</f>
        <v>0</v>
      </c>
      <c r="E30" s="14">
        <f>[28]Vendedor24!$J$5</f>
        <v>0</v>
      </c>
      <c r="F30" s="81">
        <f>[28]Vendedor24!$K$5</f>
        <v>0</v>
      </c>
      <c r="G30" s="85">
        <f>[28]Vendedor24!$L$5</f>
        <v>0</v>
      </c>
      <c r="H30" s="19">
        <f>[28]Vendedor24!$J$6</f>
        <v>0</v>
      </c>
      <c r="I30" s="15">
        <f>[28]Vendedor24!$K$6</f>
        <v>0</v>
      </c>
      <c r="J30" s="17">
        <f>[28]Vendedor24!$L$6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[29]Vendedor24!$J$4</f>
        <v>0</v>
      </c>
      <c r="C31" s="81">
        <f>[29]Vendedor24!$K$4</f>
        <v>0</v>
      </c>
      <c r="D31" s="82">
        <f>[29]Vendedor24!$L$4</f>
        <v>0</v>
      </c>
      <c r="E31" s="14">
        <f>[29]Vendedor24!$J$5</f>
        <v>0</v>
      </c>
      <c r="F31" s="81">
        <f>[29]Vendedor24!$K$5</f>
        <v>0</v>
      </c>
      <c r="G31" s="85">
        <f>[29]Vendedor24!$L$5</f>
        <v>0</v>
      </c>
      <c r="H31" s="19">
        <f>[29]Vendedor24!$J$6</f>
        <v>0</v>
      </c>
      <c r="I31" s="15">
        <f>[29]Vendedor24!$K$6</f>
        <v>0</v>
      </c>
      <c r="J31" s="17">
        <f>[29]Vendedor24!$L$6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[30]Vendedor24!$J$4</f>
        <v>0</v>
      </c>
      <c r="C32" s="81">
        <f>[30]Vendedor24!$K$4</f>
        <v>0</v>
      </c>
      <c r="D32" s="82">
        <f>[30]Vendedor24!$L$4</f>
        <v>0</v>
      </c>
      <c r="E32" s="14">
        <f>[30]Vendedor24!$J$5</f>
        <v>0</v>
      </c>
      <c r="F32" s="81">
        <f>[30]Vendedor24!$K$5</f>
        <v>0</v>
      </c>
      <c r="G32" s="85">
        <f>[30]Vendedor24!$L$5</f>
        <v>0</v>
      </c>
      <c r="H32" s="19">
        <f>[30]Vendedor24!$J$6</f>
        <v>0</v>
      </c>
      <c r="I32" s="15">
        <f>[30]Vendedor24!$K$6</f>
        <v>0</v>
      </c>
      <c r="J32" s="17">
        <f>[30]Vendedor24!$L$6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[31]Vendedor24!$J$4</f>
        <v>0</v>
      </c>
      <c r="C33" s="81">
        <f>[31]Vendedor24!$K$4</f>
        <v>0</v>
      </c>
      <c r="D33" s="82">
        <f>[31]Vendedor24!$L$4</f>
        <v>0</v>
      </c>
      <c r="E33" s="14">
        <f>[31]Vendedor24!$J$5</f>
        <v>0</v>
      </c>
      <c r="F33" s="81">
        <f>[31]Vendedor24!$K$5</f>
        <v>0</v>
      </c>
      <c r="G33" s="85">
        <f>[31]Vendedor24!$L$5</f>
        <v>0</v>
      </c>
      <c r="H33" s="19">
        <f>[31]Vendedor24!$J$6</f>
        <v>0</v>
      </c>
      <c r="I33" s="15">
        <f>[31]Vendedor24!$K$6</f>
        <v>0</v>
      </c>
      <c r="J33" s="17">
        <f>[31]Vendedor24!$L$6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[1]Vendedor24!$J$4</f>
        <v>0</v>
      </c>
      <c r="C34" s="81">
        <f>[1]Vendedor24!$K$4</f>
        <v>0</v>
      </c>
      <c r="D34" s="82">
        <f>[1]Vendedor24!$L$4</f>
        <v>0</v>
      </c>
      <c r="E34" s="14">
        <f>[1]Vendedor24!$J$5</f>
        <v>0</v>
      </c>
      <c r="F34" s="81">
        <f>[1]Vendedor24!$K$5</f>
        <v>0</v>
      </c>
      <c r="G34" s="85">
        <f>[1]Vendedor24!$L$5</f>
        <v>0</v>
      </c>
      <c r="H34" s="19">
        <f>[1]Vendedor24!$J$6</f>
        <v>0</v>
      </c>
      <c r="I34" s="15">
        <f>[1]Vendedor24!$K$6</f>
        <v>0</v>
      </c>
      <c r="J34" s="17">
        <f>[1]Vendedor24!$L$6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[2]Vendedor24!$J$4</f>
        <v>0</v>
      </c>
      <c r="C35" s="83">
        <f>[2]Vendedor24!$K$4</f>
        <v>0</v>
      </c>
      <c r="D35" s="84">
        <f>[2]Vendedor24!$L$4</f>
        <v>0</v>
      </c>
      <c r="E35" s="21">
        <f>[2]Vendedor24!$J$5</f>
        <v>0</v>
      </c>
      <c r="F35" s="83">
        <f>[2]Vendedor24!$K$5</f>
        <v>0</v>
      </c>
      <c r="G35" s="86">
        <f>[2]Vendedor24!$L$5</f>
        <v>0</v>
      </c>
      <c r="H35" s="26">
        <f>[2]Vendedor24!$J$6</f>
        <v>0</v>
      </c>
      <c r="I35" s="22">
        <f>[2]Vendedor24!$K$6</f>
        <v>0</v>
      </c>
      <c r="J35" s="24">
        <f>[2]Vendedor24!$L$6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-12964</v>
      </c>
      <c r="C36" s="28">
        <f t="shared" si="4"/>
        <v>-1101940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-12964</v>
      </c>
      <c r="L36" s="28">
        <f t="shared" si="4"/>
        <v>-1101940</v>
      </c>
      <c r="M36" s="28">
        <f t="shared" si="4"/>
        <v>0</v>
      </c>
      <c r="N36" s="32">
        <f t="shared" si="4"/>
        <v>0</v>
      </c>
      <c r="O36" s="33">
        <f t="shared" si="4"/>
        <v>1088976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8" sqref="B8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104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[3]Resumen!$B$27</f>
        <v>0</v>
      </c>
      <c r="C5" s="58">
        <f>[3]Resumen!$C$27</f>
        <v>0</v>
      </c>
      <c r="D5" s="54">
        <f>[3]Resumen!$D$27</f>
        <v>0</v>
      </c>
      <c r="E5" s="53">
        <f>[3]Resumen!$E$27</f>
        <v>0</v>
      </c>
      <c r="F5" s="58">
        <f>[3]Resumen!$F$27</f>
        <v>0</v>
      </c>
      <c r="G5" s="55">
        <f>[3]Resumen!$G$27</f>
        <v>0</v>
      </c>
      <c r="H5" s="61">
        <f>[3]Resumen!$H$27</f>
        <v>0</v>
      </c>
      <c r="I5" s="58">
        <f>[3]Resumen!$I$27</f>
        <v>0</v>
      </c>
      <c r="J5" s="54">
        <f>[3]Resumen!$J$27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[4]Resumen!$B$27</f>
        <v>0</v>
      </c>
      <c r="C6" s="15">
        <f>[4]Resumen!$C$27</f>
        <v>0</v>
      </c>
      <c r="D6" s="16">
        <f>[4]Resumen!$D$27</f>
        <v>0</v>
      </c>
      <c r="E6" s="14">
        <f>[4]Resumen!$E$27</f>
        <v>0</v>
      </c>
      <c r="F6" s="15">
        <f>[4]Resumen!$F$27</f>
        <v>0</v>
      </c>
      <c r="G6" s="17">
        <f>[4]Resumen!$G$27</f>
        <v>0</v>
      </c>
      <c r="H6" s="18">
        <f>[4]Resumen!$H$27</f>
        <v>0</v>
      </c>
      <c r="I6" s="15">
        <f>[4]Resumen!$I$27</f>
        <v>0</v>
      </c>
      <c r="J6" s="16">
        <f>[4]Resumen!$J$27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[5]Resumen!$B$27</f>
        <v>0</v>
      </c>
      <c r="C7" s="15">
        <f>[5]Resumen!$C$27</f>
        <v>0</v>
      </c>
      <c r="D7" s="16">
        <f>[5]Resumen!$D$27</f>
        <v>0</v>
      </c>
      <c r="E7" s="14">
        <f>[5]Resumen!$E$27</f>
        <v>0</v>
      </c>
      <c r="F7" s="15">
        <f>[5]Resumen!$F$27</f>
        <v>0</v>
      </c>
      <c r="G7" s="17">
        <f>[5]Resumen!$G$27</f>
        <v>0</v>
      </c>
      <c r="H7" s="18">
        <f>[5]Resumen!$H$27</f>
        <v>0</v>
      </c>
      <c r="I7" s="15">
        <f>[5]Resumen!$I$27</f>
        <v>0</v>
      </c>
      <c r="J7" s="16">
        <f>[5]Resumen!$J$27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[6]Resumen!$B$27</f>
        <v>0</v>
      </c>
      <c r="C8" s="15">
        <f>[6]Resumen!$C$27</f>
        <v>0</v>
      </c>
      <c r="D8" s="16">
        <f>[6]Resumen!$D$27</f>
        <v>0</v>
      </c>
      <c r="E8" s="14">
        <f>[6]Resumen!$E$27</f>
        <v>0</v>
      </c>
      <c r="F8" s="15">
        <f>[6]Resumen!$F$27</f>
        <v>0</v>
      </c>
      <c r="G8" s="17">
        <f>[6]Resumen!$G$27</f>
        <v>0</v>
      </c>
      <c r="H8" s="18">
        <f>[6]Resumen!$H$27</f>
        <v>0</v>
      </c>
      <c r="I8" s="15">
        <f>[6]Resumen!$I$27</f>
        <v>0</v>
      </c>
      <c r="J8" s="16">
        <f>[6]Resumen!$J$27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[7]Resumen!$B$27</f>
        <v>0</v>
      </c>
      <c r="C9" s="15">
        <f>[7]Resumen!$C$27</f>
        <v>0</v>
      </c>
      <c r="D9" s="16">
        <f>[7]Resumen!$D$27</f>
        <v>0</v>
      </c>
      <c r="E9" s="14">
        <f>[7]Resumen!$E$27</f>
        <v>0</v>
      </c>
      <c r="F9" s="15">
        <f>[7]Resumen!$F$27</f>
        <v>0</v>
      </c>
      <c r="G9" s="17">
        <f>[7]Resumen!$G$27</f>
        <v>0</v>
      </c>
      <c r="H9" s="18">
        <f>[7]Resumen!$H$27</f>
        <v>0</v>
      </c>
      <c r="I9" s="15">
        <f>[7]Resumen!$I$27</f>
        <v>0</v>
      </c>
      <c r="J9" s="16">
        <f>[7]Resumen!$J$27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[8]Resumen!$B$27</f>
        <v>0</v>
      </c>
      <c r="C10" s="15">
        <f>[8]Resumen!$C$27</f>
        <v>0</v>
      </c>
      <c r="D10" s="16">
        <f>[8]Resumen!$D$27</f>
        <v>0</v>
      </c>
      <c r="E10" s="14">
        <f>[8]Resumen!$E$27</f>
        <v>0</v>
      </c>
      <c r="F10" s="15">
        <f>[8]Resumen!$F$27</f>
        <v>0</v>
      </c>
      <c r="G10" s="17">
        <f>[8]Resumen!$G$27</f>
        <v>0</v>
      </c>
      <c r="H10" s="18">
        <f>[8]Resumen!$H$27</f>
        <v>0</v>
      </c>
      <c r="I10" s="15">
        <f>[8]Resumen!$I$27</f>
        <v>0</v>
      </c>
      <c r="J10" s="16">
        <f>[8]Resumen!$J$27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[9]Resumen!$B$27</f>
        <v>0</v>
      </c>
      <c r="C11" s="15">
        <f>[9]Resumen!$C$27</f>
        <v>0</v>
      </c>
      <c r="D11" s="16">
        <f>[9]Resumen!$D$27</f>
        <v>0</v>
      </c>
      <c r="E11" s="14">
        <f>[9]Resumen!$E$27</f>
        <v>0</v>
      </c>
      <c r="F11" s="15">
        <f>[9]Resumen!$F$27</f>
        <v>0</v>
      </c>
      <c r="G11" s="17">
        <f>[9]Resumen!$G$27</f>
        <v>0</v>
      </c>
      <c r="H11" s="18">
        <f>[9]Resumen!$H$27</f>
        <v>0</v>
      </c>
      <c r="I11" s="15">
        <f>[9]Resumen!$I$27</f>
        <v>0</v>
      </c>
      <c r="J11" s="16">
        <f>[9]Resumen!$J$27</f>
        <v>0</v>
      </c>
      <c r="K11" s="19">
        <f t="shared" si="0"/>
        <v>0</v>
      </c>
      <c r="L11" s="15">
        <f>IFERROR(MROUND(C11+F11+I11,50),MROUND(C11+F11+I11,-50))</f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[10]Resumen!$B$27</f>
        <v>0</v>
      </c>
      <c r="C12" s="15">
        <f>[10]Resumen!$C$27</f>
        <v>0</v>
      </c>
      <c r="D12" s="16">
        <f>[10]Resumen!$D$27</f>
        <v>0</v>
      </c>
      <c r="E12" s="14">
        <f>[10]Resumen!$E$27</f>
        <v>0</v>
      </c>
      <c r="F12" s="15">
        <f>[10]Resumen!$F$27</f>
        <v>0</v>
      </c>
      <c r="G12" s="17">
        <f>[10]Resumen!$G$27</f>
        <v>0</v>
      </c>
      <c r="H12" s="18">
        <f>[10]Resumen!$H$27</f>
        <v>0</v>
      </c>
      <c r="I12" s="15">
        <f>[10]Resumen!$I$27</f>
        <v>0</v>
      </c>
      <c r="J12" s="16">
        <f>[10]Resumen!$J$27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[11]Resumen!$B$27</f>
        <v>0</v>
      </c>
      <c r="C13" s="15">
        <f>[11]Resumen!$C$27</f>
        <v>0</v>
      </c>
      <c r="D13" s="16">
        <f>[11]Resumen!$D$27</f>
        <v>0</v>
      </c>
      <c r="E13" s="14">
        <f>[11]Resumen!$E$27</f>
        <v>0</v>
      </c>
      <c r="F13" s="15">
        <f>[11]Resumen!$F$27</f>
        <v>0</v>
      </c>
      <c r="G13" s="17">
        <f>[11]Resumen!$G$27</f>
        <v>0</v>
      </c>
      <c r="H13" s="18">
        <f>[11]Resumen!$H$27</f>
        <v>0</v>
      </c>
      <c r="I13" s="15">
        <f>[11]Resumen!$I$27</f>
        <v>0</v>
      </c>
      <c r="J13" s="16">
        <f>[11]Resumen!$J$27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[12]Resumen!$B$27</f>
        <v>0</v>
      </c>
      <c r="C14" s="15">
        <f>[12]Resumen!$C$27</f>
        <v>0</v>
      </c>
      <c r="D14" s="16">
        <f>[12]Resumen!$D$27</f>
        <v>0</v>
      </c>
      <c r="E14" s="14">
        <f>[12]Resumen!$E$27</f>
        <v>0</v>
      </c>
      <c r="F14" s="15">
        <f>[12]Resumen!$F$27</f>
        <v>0</v>
      </c>
      <c r="G14" s="17">
        <f>[12]Resumen!$G$27</f>
        <v>0</v>
      </c>
      <c r="H14" s="18">
        <f>[12]Resumen!$H$27</f>
        <v>0</v>
      </c>
      <c r="I14" s="15">
        <f>[12]Resumen!$I$27</f>
        <v>0</v>
      </c>
      <c r="J14" s="16">
        <f>[12]Resumen!$J$27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[13]Resumen!$B$27</f>
        <v>0</v>
      </c>
      <c r="C15" s="15">
        <f>[13]Resumen!$C$27</f>
        <v>0</v>
      </c>
      <c r="D15" s="16">
        <f>[13]Resumen!$D$27</f>
        <v>0</v>
      </c>
      <c r="E15" s="14">
        <f>[13]Resumen!$E$27</f>
        <v>0</v>
      </c>
      <c r="F15" s="15">
        <f>[13]Resumen!$F$27</f>
        <v>0</v>
      </c>
      <c r="G15" s="17">
        <f>[13]Resumen!$G$27</f>
        <v>0</v>
      </c>
      <c r="H15" s="18">
        <f>[13]Resumen!$H$27</f>
        <v>0</v>
      </c>
      <c r="I15" s="15">
        <f>[13]Resumen!$I$27</f>
        <v>0</v>
      </c>
      <c r="J15" s="16">
        <f>[13]Resumen!$J$27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[14]Resumen!$B$27</f>
        <v>0</v>
      </c>
      <c r="C16" s="15">
        <f>[14]Resumen!$C$27</f>
        <v>0</v>
      </c>
      <c r="D16" s="16">
        <f>[14]Resumen!$D$27</f>
        <v>0</v>
      </c>
      <c r="E16" s="14">
        <f>[14]Resumen!$E$27</f>
        <v>0</v>
      </c>
      <c r="F16" s="15">
        <f>[14]Resumen!$F$27</f>
        <v>0</v>
      </c>
      <c r="G16" s="17">
        <f>[14]Resumen!$G$27</f>
        <v>0</v>
      </c>
      <c r="H16" s="18">
        <f>[14]Resumen!$H$27</f>
        <v>0</v>
      </c>
      <c r="I16" s="15">
        <f>[14]Resumen!$I$27</f>
        <v>0</v>
      </c>
      <c r="J16" s="16">
        <f>[14]Resumen!$J$27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[15]Resumen!$B$27</f>
        <v>0</v>
      </c>
      <c r="C17" s="15">
        <f>[15]Resumen!$C$27</f>
        <v>0</v>
      </c>
      <c r="D17" s="16">
        <f>[15]Resumen!$D$27</f>
        <v>0</v>
      </c>
      <c r="E17" s="14">
        <f>[15]Resumen!$E$27</f>
        <v>0</v>
      </c>
      <c r="F17" s="15">
        <f>[15]Resumen!$F$27</f>
        <v>0</v>
      </c>
      <c r="G17" s="17">
        <f>[15]Resumen!$G$27</f>
        <v>0</v>
      </c>
      <c r="H17" s="18">
        <f>[15]Resumen!$H$27</f>
        <v>0</v>
      </c>
      <c r="I17" s="15">
        <f>[15]Resumen!$I$27</f>
        <v>0</v>
      </c>
      <c r="J17" s="16">
        <f>[15]Resumen!$J$27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[16]Resumen!$B$27</f>
        <v>0</v>
      </c>
      <c r="C18" s="15">
        <f>[16]Resumen!$C$27</f>
        <v>0</v>
      </c>
      <c r="D18" s="16">
        <f>[16]Resumen!$D$27</f>
        <v>0</v>
      </c>
      <c r="E18" s="14">
        <f>[16]Resumen!$E$27</f>
        <v>0</v>
      </c>
      <c r="F18" s="15">
        <f>[16]Resumen!$F$27</f>
        <v>0</v>
      </c>
      <c r="G18" s="17">
        <f>[16]Resumen!$G$27</f>
        <v>0</v>
      </c>
      <c r="H18" s="18">
        <f>[16]Resumen!$H$27</f>
        <v>0</v>
      </c>
      <c r="I18" s="15">
        <f>[16]Resumen!$I$27</f>
        <v>0</v>
      </c>
      <c r="J18" s="16">
        <f>[16]Resumen!$J$27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[17]Resumen!$B$27</f>
        <v>0</v>
      </c>
      <c r="C19" s="15">
        <f>[17]Resumen!$C$27</f>
        <v>0</v>
      </c>
      <c r="D19" s="16">
        <f>[17]Resumen!$D$27</f>
        <v>0</v>
      </c>
      <c r="E19" s="14">
        <f>[17]Resumen!$E$27</f>
        <v>0</v>
      </c>
      <c r="F19" s="15">
        <f>[17]Resumen!$F$27</f>
        <v>0</v>
      </c>
      <c r="G19" s="17">
        <f>[17]Resumen!$G$27</f>
        <v>0</v>
      </c>
      <c r="H19" s="18">
        <f>[17]Resumen!$H$27</f>
        <v>0</v>
      </c>
      <c r="I19" s="15">
        <f>[17]Resumen!$I$27</f>
        <v>0</v>
      </c>
      <c r="J19" s="16">
        <f>[17]Resumen!$J$27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[18]Resumen!$B$27</f>
        <v>0</v>
      </c>
      <c r="C20" s="15">
        <f>[18]Resumen!$C$27</f>
        <v>0</v>
      </c>
      <c r="D20" s="16">
        <f>[18]Resumen!$D$27</f>
        <v>0</v>
      </c>
      <c r="E20" s="14">
        <f>[18]Resumen!$E$27</f>
        <v>0</v>
      </c>
      <c r="F20" s="15">
        <f>[18]Resumen!$F$27</f>
        <v>0</v>
      </c>
      <c r="G20" s="17">
        <f>[18]Resumen!$G$27</f>
        <v>0</v>
      </c>
      <c r="H20" s="18">
        <f>[18]Resumen!$H$27</f>
        <v>0</v>
      </c>
      <c r="I20" s="15">
        <f>[18]Resumen!$I$27</f>
        <v>0</v>
      </c>
      <c r="J20" s="16">
        <f>[18]Resumen!$J$27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[19]Resumen!$B$27</f>
        <v>0</v>
      </c>
      <c r="C21" s="15">
        <f>[19]Resumen!$C$27</f>
        <v>0</v>
      </c>
      <c r="D21" s="16">
        <f>[19]Resumen!$D$27</f>
        <v>0</v>
      </c>
      <c r="E21" s="14">
        <f>[19]Resumen!$E$27</f>
        <v>0</v>
      </c>
      <c r="F21" s="15">
        <f>[19]Resumen!$F$27</f>
        <v>0</v>
      </c>
      <c r="G21" s="17">
        <f>[19]Resumen!$G$27</f>
        <v>0</v>
      </c>
      <c r="H21" s="18">
        <f>[19]Resumen!$H$27</f>
        <v>0</v>
      </c>
      <c r="I21" s="15">
        <f>[19]Resumen!$I$27</f>
        <v>0</v>
      </c>
      <c r="J21" s="16">
        <f>[19]Resumen!$J$27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[20]Resumen!$B$27</f>
        <v>0</v>
      </c>
      <c r="C22" s="15">
        <f>[20]Resumen!$C$27</f>
        <v>0</v>
      </c>
      <c r="D22" s="16">
        <f>[20]Resumen!$D$27</f>
        <v>0</v>
      </c>
      <c r="E22" s="14">
        <f>[20]Resumen!$E$27</f>
        <v>0</v>
      </c>
      <c r="F22" s="15">
        <f>[20]Resumen!$F$27</f>
        <v>0</v>
      </c>
      <c r="G22" s="17">
        <f>[20]Resumen!$G$27</f>
        <v>0</v>
      </c>
      <c r="H22" s="18">
        <f>[20]Resumen!$H$27</f>
        <v>0</v>
      </c>
      <c r="I22" s="15">
        <f>[20]Resumen!$I$27</f>
        <v>0</v>
      </c>
      <c r="J22" s="16">
        <f>[20]Resumen!$J$27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[21]Resumen!$B$27</f>
        <v>0</v>
      </c>
      <c r="C23" s="15">
        <f>[21]Resumen!$C$27</f>
        <v>0</v>
      </c>
      <c r="D23" s="16">
        <f>[21]Resumen!$D$27</f>
        <v>0</v>
      </c>
      <c r="E23" s="14">
        <f>[21]Resumen!$E$27</f>
        <v>0</v>
      </c>
      <c r="F23" s="15">
        <f>[21]Resumen!$F$27</f>
        <v>0</v>
      </c>
      <c r="G23" s="17">
        <f>[21]Resumen!$G$27</f>
        <v>0</v>
      </c>
      <c r="H23" s="18">
        <f>[21]Resumen!$H$27</f>
        <v>0</v>
      </c>
      <c r="I23" s="15">
        <f>[21]Resumen!$I$27</f>
        <v>0</v>
      </c>
      <c r="J23" s="16">
        <f>[21]Resumen!$J$27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[22]Resumen!$B$27</f>
        <v>0</v>
      </c>
      <c r="C24" s="15">
        <f>[22]Resumen!$C$27</f>
        <v>0</v>
      </c>
      <c r="D24" s="16">
        <f>[22]Resumen!$D$27</f>
        <v>0</v>
      </c>
      <c r="E24" s="14">
        <f>[22]Resumen!$E$27</f>
        <v>0</v>
      </c>
      <c r="F24" s="15">
        <f>[22]Resumen!$F$27</f>
        <v>0</v>
      </c>
      <c r="G24" s="17">
        <f>[22]Resumen!$G$27</f>
        <v>0</v>
      </c>
      <c r="H24" s="18">
        <f>[22]Resumen!$H$27</f>
        <v>0</v>
      </c>
      <c r="I24" s="15">
        <f>[22]Resumen!$I$27</f>
        <v>0</v>
      </c>
      <c r="J24" s="16">
        <f>[22]Resumen!$J$27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[23]Resumen!$B$27</f>
        <v>0</v>
      </c>
      <c r="C25" s="15">
        <f>[23]Resumen!$C$27</f>
        <v>0</v>
      </c>
      <c r="D25" s="16">
        <f>[23]Resumen!$D$27</f>
        <v>0</v>
      </c>
      <c r="E25" s="14">
        <f>[23]Resumen!$E$27</f>
        <v>0</v>
      </c>
      <c r="F25" s="15">
        <f>[23]Resumen!$F$27</f>
        <v>0</v>
      </c>
      <c r="G25" s="17">
        <f>[23]Resumen!$G$27</f>
        <v>0</v>
      </c>
      <c r="H25" s="18">
        <f>[23]Resumen!$H$27</f>
        <v>0</v>
      </c>
      <c r="I25" s="15">
        <f>[23]Resumen!$I$27</f>
        <v>0</v>
      </c>
      <c r="J25" s="16">
        <f>[23]Resumen!$J$27</f>
        <v>0</v>
      </c>
      <c r="K25" s="19">
        <f t="shared" si="0"/>
        <v>0</v>
      </c>
      <c r="L25" s="15">
        <f>IFERROR(MROUND(C25+F25+I25,50),MROUND(C25+F25+I25,-50))</f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[24]Resumen!$B$27</f>
        <v>0</v>
      </c>
      <c r="C26" s="15">
        <f>[24]Resumen!$C$27</f>
        <v>0</v>
      </c>
      <c r="D26" s="16">
        <f>[24]Resumen!$D$27</f>
        <v>0</v>
      </c>
      <c r="E26" s="14">
        <f>[24]Resumen!$E$27</f>
        <v>0</v>
      </c>
      <c r="F26" s="15">
        <f>[24]Resumen!$F$27</f>
        <v>0</v>
      </c>
      <c r="G26" s="17">
        <f>[24]Resumen!$G$27</f>
        <v>0</v>
      </c>
      <c r="H26" s="18">
        <f>[24]Resumen!$H$27</f>
        <v>0</v>
      </c>
      <c r="I26" s="15">
        <f>[24]Resumen!$I$27</f>
        <v>0</v>
      </c>
      <c r="J26" s="16">
        <f>[24]Resumen!$J$27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[25]Resumen!$B$27</f>
        <v>0</v>
      </c>
      <c r="C27" s="15">
        <f>[25]Resumen!$C$27</f>
        <v>0</v>
      </c>
      <c r="D27" s="16">
        <f>[25]Resumen!$D$27</f>
        <v>0</v>
      </c>
      <c r="E27" s="14">
        <f>[25]Resumen!$E$27</f>
        <v>0</v>
      </c>
      <c r="F27" s="15">
        <f>[25]Resumen!$F$27</f>
        <v>0</v>
      </c>
      <c r="G27" s="17">
        <f>[25]Resumen!$G$27</f>
        <v>0</v>
      </c>
      <c r="H27" s="18">
        <f>[25]Resumen!$H$27</f>
        <v>0</v>
      </c>
      <c r="I27" s="15">
        <f>[25]Resumen!$I$27</f>
        <v>0</v>
      </c>
      <c r="J27" s="16">
        <f>[25]Resumen!$J$27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[26]Resumen!$B$27</f>
        <v>0</v>
      </c>
      <c r="C28" s="15">
        <f>[26]Resumen!$C$27</f>
        <v>0</v>
      </c>
      <c r="D28" s="16">
        <f>[26]Resumen!$D$27</f>
        <v>0</v>
      </c>
      <c r="E28" s="14">
        <f>[26]Resumen!$E$27</f>
        <v>0</v>
      </c>
      <c r="F28" s="15">
        <f>[26]Resumen!$F$27</f>
        <v>0</v>
      </c>
      <c r="G28" s="17">
        <f>[26]Resumen!$G$27</f>
        <v>0</v>
      </c>
      <c r="H28" s="18">
        <f>[26]Resumen!$H$27</f>
        <v>0</v>
      </c>
      <c r="I28" s="15">
        <f>[26]Resumen!$I$27</f>
        <v>0</v>
      </c>
      <c r="J28" s="16">
        <f>[26]Resumen!$J$27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[27]Resumen!$B$27</f>
        <v>0</v>
      </c>
      <c r="C29" s="15">
        <f>[27]Resumen!$C$27</f>
        <v>0</v>
      </c>
      <c r="D29" s="16">
        <f>[27]Resumen!$D$27</f>
        <v>0</v>
      </c>
      <c r="E29" s="14">
        <f>[27]Resumen!$E$27</f>
        <v>0</v>
      </c>
      <c r="F29" s="15">
        <f>[27]Resumen!$F$27</f>
        <v>0</v>
      </c>
      <c r="G29" s="17">
        <f>[27]Resumen!$G$27</f>
        <v>0</v>
      </c>
      <c r="H29" s="18">
        <f>[27]Resumen!$H$27</f>
        <v>0</v>
      </c>
      <c r="I29" s="15">
        <f>[27]Resumen!$I$27</f>
        <v>0</v>
      </c>
      <c r="J29" s="16">
        <f>[27]Resumen!$J$27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[28]Resumen!$B$27</f>
        <v>0</v>
      </c>
      <c r="C30" s="15">
        <f>[28]Resumen!$C$27</f>
        <v>0</v>
      </c>
      <c r="D30" s="16">
        <f>[28]Resumen!$D$27</f>
        <v>0</v>
      </c>
      <c r="E30" s="14">
        <f>[28]Resumen!$E$27</f>
        <v>0</v>
      </c>
      <c r="F30" s="15">
        <f>[28]Resumen!$F$27</f>
        <v>0</v>
      </c>
      <c r="G30" s="17">
        <f>[28]Resumen!$G$27</f>
        <v>0</v>
      </c>
      <c r="H30" s="18">
        <f>[28]Resumen!$H$27</f>
        <v>0</v>
      </c>
      <c r="I30" s="15">
        <f>[28]Resumen!$I$27</f>
        <v>0</v>
      </c>
      <c r="J30" s="16">
        <f>[28]Resumen!$J$27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[29]Resumen!$B$27</f>
        <v>0</v>
      </c>
      <c r="C31" s="15">
        <f>[29]Resumen!$C$27</f>
        <v>0</v>
      </c>
      <c r="D31" s="16">
        <f>[29]Resumen!$D$27</f>
        <v>0</v>
      </c>
      <c r="E31" s="14">
        <f>[29]Resumen!$E$27</f>
        <v>0</v>
      </c>
      <c r="F31" s="15">
        <f>[29]Resumen!$F$27</f>
        <v>0</v>
      </c>
      <c r="G31" s="17">
        <f>[29]Resumen!$G$27</f>
        <v>0</v>
      </c>
      <c r="H31" s="18">
        <f>[29]Resumen!$H$27</f>
        <v>0</v>
      </c>
      <c r="I31" s="15">
        <f>[29]Resumen!$I$27</f>
        <v>0</v>
      </c>
      <c r="J31" s="16">
        <f>[29]Resumen!$J$27</f>
        <v>0</v>
      </c>
      <c r="K31" s="19">
        <f t="shared" si="0"/>
        <v>0</v>
      </c>
      <c r="L31" s="15">
        <f>IFERROR(MROUND(C31+F31+I31,50),MROUND(C31+F31+I31,-50))</f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[30]Resumen!$B$27</f>
        <v>0</v>
      </c>
      <c r="C32" s="15">
        <f>[30]Resumen!$C$27</f>
        <v>0</v>
      </c>
      <c r="D32" s="16">
        <f>[30]Resumen!$D$27</f>
        <v>0</v>
      </c>
      <c r="E32" s="14">
        <f>[30]Resumen!$E$27</f>
        <v>0</v>
      </c>
      <c r="F32" s="15">
        <f>[30]Resumen!$F$27</f>
        <v>0</v>
      </c>
      <c r="G32" s="17">
        <f>[30]Resumen!$G$27</f>
        <v>0</v>
      </c>
      <c r="H32" s="18">
        <f>[30]Resumen!$H$27</f>
        <v>0</v>
      </c>
      <c r="I32" s="15">
        <f>[30]Resumen!$I$27</f>
        <v>0</v>
      </c>
      <c r="J32" s="16">
        <f>[30]Resumen!$J$27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[31]Resumen!$B$27</f>
        <v>0</v>
      </c>
      <c r="C33" s="15">
        <f>[31]Resumen!$C$27</f>
        <v>0</v>
      </c>
      <c r="D33" s="16">
        <f>[31]Resumen!$D$27</f>
        <v>0</v>
      </c>
      <c r="E33" s="14">
        <f>[31]Resumen!$E$27</f>
        <v>0</v>
      </c>
      <c r="F33" s="15">
        <f>[31]Resumen!$F$27</f>
        <v>0</v>
      </c>
      <c r="G33" s="17">
        <f>[31]Resumen!$G$27</f>
        <v>0</v>
      </c>
      <c r="H33" s="18">
        <f>[31]Resumen!$H$27</f>
        <v>0</v>
      </c>
      <c r="I33" s="15">
        <f>[31]Resumen!$I$27</f>
        <v>0</v>
      </c>
      <c r="J33" s="16">
        <f>[31]Resumen!$J$27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[1]Resumen!$B$27</f>
        <v>0</v>
      </c>
      <c r="C34" s="15">
        <f>[1]Resumen!$C$27</f>
        <v>0</v>
      </c>
      <c r="D34" s="16">
        <f>[1]Resumen!$D$27</f>
        <v>0</v>
      </c>
      <c r="E34" s="14">
        <f>[1]Resumen!$E$27</f>
        <v>0</v>
      </c>
      <c r="F34" s="15">
        <f>[1]Resumen!$F$27</f>
        <v>0</v>
      </c>
      <c r="G34" s="17">
        <f>[1]Resumen!$G$27</f>
        <v>0</v>
      </c>
      <c r="H34" s="18">
        <f>[1]Resumen!$H$27</f>
        <v>0</v>
      </c>
      <c r="I34" s="15">
        <f>[1]Resumen!$I$27</f>
        <v>0</v>
      </c>
      <c r="J34" s="16">
        <f>[1]Resumen!$J$27</f>
        <v>0</v>
      </c>
      <c r="K34" s="19">
        <f t="shared" si="0"/>
        <v>0</v>
      </c>
      <c r="L34" s="15">
        <f>IFERROR(MROUND(C34+F34+I34,50),MROUND(C34+F34+I34,-50))</f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+[2]Resumen!$B$27</f>
        <v>0</v>
      </c>
      <c r="C35" s="22">
        <f>+[2]Resumen!$C$27</f>
        <v>0</v>
      </c>
      <c r="D35" s="23">
        <f>+[2]Resumen!$D$27</f>
        <v>0</v>
      </c>
      <c r="E35" s="21">
        <f>+[2]Resumen!$E$27</f>
        <v>0</v>
      </c>
      <c r="F35" s="22">
        <f>+[2]Resumen!$F$27</f>
        <v>0</v>
      </c>
      <c r="G35" s="24">
        <f>+[2]Resumen!$G$27</f>
        <v>0</v>
      </c>
      <c r="H35" s="25">
        <f>+[2]Resumen!$H$27</f>
        <v>0</v>
      </c>
      <c r="I35" s="22">
        <f>+[2]Resumen!$I$27</f>
        <v>0</v>
      </c>
      <c r="J35" s="23">
        <f>+[2]Resumen!$J$27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5" sqref="B5:O35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104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14">
        <f>[3]Vendedor26!$J$4</f>
        <v>0</v>
      </c>
      <c r="C5" s="81">
        <f>[3]Vendedor26!$K$4</f>
        <v>0</v>
      </c>
      <c r="D5" s="82">
        <f>[3]Vendedor26!$L$4</f>
        <v>0</v>
      </c>
      <c r="E5" s="14">
        <f>[3]Vendedor26!$J$5</f>
        <v>0</v>
      </c>
      <c r="F5" s="81">
        <f>[3]Vendedor26!$K$5</f>
        <v>0</v>
      </c>
      <c r="G5" s="85">
        <f>[3]Vendedor26!$L$5</f>
        <v>0</v>
      </c>
      <c r="H5" s="19">
        <f>[3]Vendedor26!$J$6</f>
        <v>0</v>
      </c>
      <c r="I5" s="15">
        <f>[3]Vendedor26!$K$6</f>
        <v>0</v>
      </c>
      <c r="J5" s="17">
        <f>[3]Vendedor26!$L$6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>
      <c r="A6" s="13" t="s">
        <v>50</v>
      </c>
      <c r="B6" s="14">
        <f>[4]Vendedor26!$J$4</f>
        <v>0</v>
      </c>
      <c r="C6" s="81">
        <f>[4]Vendedor26!$K$4</f>
        <v>0</v>
      </c>
      <c r="D6" s="82">
        <f>[4]Vendedor26!$L$4</f>
        <v>0</v>
      </c>
      <c r="E6" s="14">
        <f>[4]Vendedor26!$J$5</f>
        <v>0</v>
      </c>
      <c r="F6" s="81">
        <f>[4]Vendedor26!$K$5</f>
        <v>0</v>
      </c>
      <c r="G6" s="85">
        <f>[4]Vendedor26!$L$5</f>
        <v>0</v>
      </c>
      <c r="H6" s="19">
        <f>[4]Vendedor26!$J$6</f>
        <v>0</v>
      </c>
      <c r="I6" s="15">
        <f>[4]Vendedor26!$K$6</f>
        <v>0</v>
      </c>
      <c r="J6" s="17">
        <f>[4]Vendedor26!$L$6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[5]Vendedor26!$J$4</f>
        <v>0</v>
      </c>
      <c r="C7" s="81">
        <f>[5]Vendedor26!$K$4</f>
        <v>0</v>
      </c>
      <c r="D7" s="82">
        <f>[5]Vendedor26!$L$4</f>
        <v>0</v>
      </c>
      <c r="E7" s="14">
        <f>[5]Vendedor26!$J$5</f>
        <v>0</v>
      </c>
      <c r="F7" s="81">
        <f>[5]Vendedor26!$K$5</f>
        <v>0</v>
      </c>
      <c r="G7" s="85">
        <f>[5]Vendedor26!$L$5</f>
        <v>0</v>
      </c>
      <c r="H7" s="19">
        <f>[5]Vendedor26!$J$6</f>
        <v>0</v>
      </c>
      <c r="I7" s="15">
        <f>[5]Vendedor26!$K$6</f>
        <v>0</v>
      </c>
      <c r="J7" s="17">
        <f>[5]Vendedor26!$L$6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[6]Vendedor26!$J$4</f>
        <v>0</v>
      </c>
      <c r="C8" s="81">
        <f>[6]Vendedor26!$K$4</f>
        <v>0</v>
      </c>
      <c r="D8" s="82">
        <f>[6]Vendedor26!$L$4</f>
        <v>0</v>
      </c>
      <c r="E8" s="14">
        <f>[6]Vendedor26!$J$5</f>
        <v>0</v>
      </c>
      <c r="F8" s="81">
        <f>[6]Vendedor26!$K$5</f>
        <v>0</v>
      </c>
      <c r="G8" s="85">
        <f>[6]Vendedor26!$L$5</f>
        <v>0</v>
      </c>
      <c r="H8" s="19">
        <f>[6]Vendedor26!$J$6</f>
        <v>0</v>
      </c>
      <c r="I8" s="15">
        <f>[6]Vendedor26!$K$6</f>
        <v>0</v>
      </c>
      <c r="J8" s="17">
        <f>[6]Vendedor26!$L$6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[7]Vendedor26!$J$4</f>
        <v>0</v>
      </c>
      <c r="C9" s="81">
        <f>[7]Vendedor26!$K$4</f>
        <v>0</v>
      </c>
      <c r="D9" s="82">
        <f>[7]Vendedor26!$L$4</f>
        <v>0</v>
      </c>
      <c r="E9" s="14">
        <f>[7]Vendedor26!$J$5</f>
        <v>0</v>
      </c>
      <c r="F9" s="81">
        <f>[7]Vendedor26!$K$5</f>
        <v>0</v>
      </c>
      <c r="G9" s="85">
        <f>[7]Vendedor26!$L$5</f>
        <v>0</v>
      </c>
      <c r="H9" s="19">
        <f>[7]Vendedor26!$J$6</f>
        <v>0</v>
      </c>
      <c r="I9" s="15">
        <f>[7]Vendedor26!$K$6</f>
        <v>0</v>
      </c>
      <c r="J9" s="17">
        <f>[7]Vendedor26!$L$6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[8]Vendedor26!$J$4</f>
        <v>0</v>
      </c>
      <c r="C10" s="81">
        <f>[8]Vendedor26!$K$4</f>
        <v>0</v>
      </c>
      <c r="D10" s="82">
        <f>[8]Vendedor26!$L$4</f>
        <v>0</v>
      </c>
      <c r="E10" s="14">
        <f>[8]Vendedor26!$J$5</f>
        <v>0</v>
      </c>
      <c r="F10" s="81">
        <f>[8]Vendedor26!$K$5</f>
        <v>0</v>
      </c>
      <c r="G10" s="85">
        <f>[8]Vendedor26!$L$5</f>
        <v>0</v>
      </c>
      <c r="H10" s="19">
        <f>[8]Vendedor26!$J$6</f>
        <v>0</v>
      </c>
      <c r="I10" s="15">
        <f>[8]Vendedor26!$K$6</f>
        <v>0</v>
      </c>
      <c r="J10" s="17">
        <f>[8]Vendedor26!$L$6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[9]Vendedor26!$J$4</f>
        <v>0</v>
      </c>
      <c r="C11" s="81">
        <f>[9]Vendedor26!$K$4</f>
        <v>0</v>
      </c>
      <c r="D11" s="82">
        <f>[9]Vendedor26!$L$4</f>
        <v>0</v>
      </c>
      <c r="E11" s="14">
        <f>[9]Vendedor26!$J$5</f>
        <v>0</v>
      </c>
      <c r="F11" s="81">
        <f>[9]Vendedor26!$K$5</f>
        <v>0</v>
      </c>
      <c r="G11" s="85">
        <f>[9]Vendedor26!$L$5</f>
        <v>0</v>
      </c>
      <c r="H11" s="19">
        <f>[9]Vendedor26!$J$6</f>
        <v>0</v>
      </c>
      <c r="I11" s="15">
        <f>[9]Vendedor26!$K$6</f>
        <v>0</v>
      </c>
      <c r="J11" s="17">
        <f>[9]Vendedor26!$L$6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[10]Vendedor26!$J$4</f>
        <v>0</v>
      </c>
      <c r="C12" s="81">
        <f>[10]Vendedor26!$K$4</f>
        <v>0</v>
      </c>
      <c r="D12" s="82">
        <f>[10]Vendedor26!$L$4</f>
        <v>0</v>
      </c>
      <c r="E12" s="14">
        <f>[10]Vendedor26!$J$5</f>
        <v>0</v>
      </c>
      <c r="F12" s="81">
        <f>[10]Vendedor26!$K$5</f>
        <v>0</v>
      </c>
      <c r="G12" s="85">
        <f>[10]Vendedor26!$L$5</f>
        <v>0</v>
      </c>
      <c r="H12" s="19">
        <f>[10]Vendedor26!$J$6</f>
        <v>0</v>
      </c>
      <c r="I12" s="15">
        <f>[10]Vendedor26!$K$6</f>
        <v>0</v>
      </c>
      <c r="J12" s="17">
        <f>[10]Vendedor26!$L$6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[11]Vendedor26!$J$4</f>
        <v>0</v>
      </c>
      <c r="C13" s="81">
        <f>[11]Vendedor26!$K$4</f>
        <v>0</v>
      </c>
      <c r="D13" s="82">
        <f>[11]Vendedor26!$L$4</f>
        <v>0</v>
      </c>
      <c r="E13" s="14">
        <f>[11]Vendedor26!$J$5</f>
        <v>0</v>
      </c>
      <c r="F13" s="81">
        <f>[11]Vendedor26!$K$5</f>
        <v>0</v>
      </c>
      <c r="G13" s="85">
        <f>[11]Vendedor26!$L$5</f>
        <v>0</v>
      </c>
      <c r="H13" s="19">
        <f>[11]Vendedor26!$J$6</f>
        <v>0</v>
      </c>
      <c r="I13" s="15">
        <f>[11]Vendedor26!$K$6</f>
        <v>0</v>
      </c>
      <c r="J13" s="17">
        <f>[11]Vendedor26!$L$6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[12]Vendedor26!$J$4</f>
        <v>0</v>
      </c>
      <c r="C14" s="81">
        <f>[12]Vendedor26!$K$4</f>
        <v>0</v>
      </c>
      <c r="D14" s="82">
        <f>[12]Vendedor26!$L$4</f>
        <v>0</v>
      </c>
      <c r="E14" s="14">
        <f>[12]Vendedor26!$J$5</f>
        <v>0</v>
      </c>
      <c r="F14" s="81">
        <f>[12]Vendedor26!$K$5</f>
        <v>0</v>
      </c>
      <c r="G14" s="85">
        <f>[12]Vendedor26!$L$5</f>
        <v>0</v>
      </c>
      <c r="H14" s="19">
        <f>[12]Vendedor26!$J$6</f>
        <v>0</v>
      </c>
      <c r="I14" s="15">
        <f>[12]Vendedor26!$K$6</f>
        <v>0</v>
      </c>
      <c r="J14" s="17">
        <f>[12]Vendedor26!$L$6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[13]Vendedor26!$J$4</f>
        <v>0</v>
      </c>
      <c r="C15" s="81">
        <f>[13]Vendedor26!$K$4</f>
        <v>0</v>
      </c>
      <c r="D15" s="82">
        <f>[13]Vendedor26!$L$4</f>
        <v>0</v>
      </c>
      <c r="E15" s="14">
        <f>[13]Vendedor26!$J$5</f>
        <v>0</v>
      </c>
      <c r="F15" s="81">
        <f>[13]Vendedor26!$K$5</f>
        <v>0</v>
      </c>
      <c r="G15" s="85">
        <f>[13]Vendedor26!$L$5</f>
        <v>0</v>
      </c>
      <c r="H15" s="19">
        <f>[13]Vendedor26!$J$6</f>
        <v>0</v>
      </c>
      <c r="I15" s="15">
        <f>[13]Vendedor26!$K$6</f>
        <v>0</v>
      </c>
      <c r="J15" s="17">
        <f>[13]Vendedor26!$L$6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[14]Vendedor26!$J$4</f>
        <v>0</v>
      </c>
      <c r="C16" s="81">
        <f>[14]Vendedor26!$K$4</f>
        <v>0</v>
      </c>
      <c r="D16" s="82">
        <f>[14]Vendedor26!$L$4</f>
        <v>0</v>
      </c>
      <c r="E16" s="14">
        <f>[14]Vendedor26!$J$5</f>
        <v>0</v>
      </c>
      <c r="F16" s="81">
        <f>[14]Vendedor26!$K$5</f>
        <v>0</v>
      </c>
      <c r="G16" s="85">
        <f>[14]Vendedor26!$L$5</f>
        <v>0</v>
      </c>
      <c r="H16" s="19">
        <f>[14]Vendedor26!$J$6</f>
        <v>0</v>
      </c>
      <c r="I16" s="15">
        <f>[14]Vendedor26!$K$6</f>
        <v>0</v>
      </c>
      <c r="J16" s="17">
        <f>[14]Vendedor26!$L$6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[15]Vendedor26!$J$4</f>
        <v>0</v>
      </c>
      <c r="C17" s="81">
        <f>[15]Vendedor26!$K$4</f>
        <v>0</v>
      </c>
      <c r="D17" s="82">
        <f>[15]Vendedor26!$L$4</f>
        <v>0</v>
      </c>
      <c r="E17" s="14">
        <f>[15]Vendedor26!$J$5</f>
        <v>0</v>
      </c>
      <c r="F17" s="81">
        <f>[15]Vendedor26!$K$5</f>
        <v>0</v>
      </c>
      <c r="G17" s="85">
        <f>[15]Vendedor26!$L$5</f>
        <v>0</v>
      </c>
      <c r="H17" s="19">
        <f>[15]Vendedor26!$J$6</f>
        <v>0</v>
      </c>
      <c r="I17" s="15">
        <f>[15]Vendedor26!$K$6</f>
        <v>0</v>
      </c>
      <c r="J17" s="17">
        <f>[15]Vendedor26!$L$6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[16]Vendedor26!$J$4</f>
        <v>0</v>
      </c>
      <c r="C18" s="81">
        <f>[16]Vendedor26!$K$4</f>
        <v>0</v>
      </c>
      <c r="D18" s="82">
        <f>[16]Vendedor26!$L$4</f>
        <v>0</v>
      </c>
      <c r="E18" s="14">
        <f>[16]Vendedor26!$J$5</f>
        <v>0</v>
      </c>
      <c r="F18" s="81">
        <f>[16]Vendedor26!$K$5</f>
        <v>0</v>
      </c>
      <c r="G18" s="85">
        <f>[16]Vendedor26!$L$5</f>
        <v>0</v>
      </c>
      <c r="H18" s="19">
        <f>[16]Vendedor26!$J$6</f>
        <v>0</v>
      </c>
      <c r="I18" s="15">
        <f>[16]Vendedor26!$K$6</f>
        <v>0</v>
      </c>
      <c r="J18" s="17">
        <f>[16]Vendedor26!$L$6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[17]Vendedor26!$J$4</f>
        <v>0</v>
      </c>
      <c r="C19" s="81">
        <f>[17]Vendedor26!$K$4</f>
        <v>0</v>
      </c>
      <c r="D19" s="82">
        <f>[17]Vendedor26!$L$4</f>
        <v>0</v>
      </c>
      <c r="E19" s="14">
        <f>[17]Vendedor26!$J$5</f>
        <v>0</v>
      </c>
      <c r="F19" s="81">
        <f>[17]Vendedor26!$K$5</f>
        <v>0</v>
      </c>
      <c r="G19" s="85">
        <f>[17]Vendedor26!$L$5</f>
        <v>0</v>
      </c>
      <c r="H19" s="19">
        <f>[17]Vendedor26!$J$6</f>
        <v>0</v>
      </c>
      <c r="I19" s="15">
        <f>[17]Vendedor26!$K$6</f>
        <v>0</v>
      </c>
      <c r="J19" s="17">
        <f>[17]Vendedor26!$L$6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[18]Vendedor26!$J$4</f>
        <v>0</v>
      </c>
      <c r="C20" s="81">
        <f>[18]Vendedor26!$K$4</f>
        <v>0</v>
      </c>
      <c r="D20" s="82">
        <f>[18]Vendedor26!$L$4</f>
        <v>0</v>
      </c>
      <c r="E20" s="14">
        <f>[18]Vendedor26!$J$5</f>
        <v>0</v>
      </c>
      <c r="F20" s="81">
        <f>[18]Vendedor26!$K$5</f>
        <v>0</v>
      </c>
      <c r="G20" s="85">
        <f>[18]Vendedor26!$L$5</f>
        <v>0</v>
      </c>
      <c r="H20" s="19">
        <f>[18]Vendedor26!$J$6</f>
        <v>0</v>
      </c>
      <c r="I20" s="15">
        <f>[18]Vendedor26!$K$6</f>
        <v>0</v>
      </c>
      <c r="J20" s="17">
        <f>[18]Vendedor26!$L$6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[19]Vendedor26!$J$4</f>
        <v>0</v>
      </c>
      <c r="C21" s="81">
        <f>[19]Vendedor26!$K$4</f>
        <v>0</v>
      </c>
      <c r="D21" s="82">
        <f>[19]Vendedor26!$L$4</f>
        <v>0</v>
      </c>
      <c r="E21" s="14">
        <f>[19]Vendedor26!$J$5</f>
        <v>0</v>
      </c>
      <c r="F21" s="81">
        <f>[19]Vendedor26!$K$5</f>
        <v>0</v>
      </c>
      <c r="G21" s="85">
        <f>[19]Vendedor26!$L$5</f>
        <v>0</v>
      </c>
      <c r="H21" s="19">
        <f>[19]Vendedor26!$J$6</f>
        <v>0</v>
      </c>
      <c r="I21" s="15">
        <f>[19]Vendedor26!$K$6</f>
        <v>0</v>
      </c>
      <c r="J21" s="17">
        <f>[19]Vendedor26!$L$6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[20]Vendedor26!$J$4</f>
        <v>0</v>
      </c>
      <c r="C22" s="81">
        <f>[20]Vendedor26!$K$4</f>
        <v>0</v>
      </c>
      <c r="D22" s="82">
        <f>[20]Vendedor26!$L$4</f>
        <v>0</v>
      </c>
      <c r="E22" s="14">
        <f>[20]Vendedor26!$J$5</f>
        <v>0</v>
      </c>
      <c r="F22" s="81">
        <f>[20]Vendedor26!$K$5</f>
        <v>0</v>
      </c>
      <c r="G22" s="85">
        <f>[20]Vendedor26!$L$5</f>
        <v>0</v>
      </c>
      <c r="H22" s="19">
        <f>[20]Vendedor26!$J$6</f>
        <v>0</v>
      </c>
      <c r="I22" s="15">
        <f>[20]Vendedor26!$K$6</f>
        <v>0</v>
      </c>
      <c r="J22" s="17">
        <f>[20]Vendedor26!$L$6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[21]Vendedor26!$J$4</f>
        <v>0</v>
      </c>
      <c r="C23" s="81">
        <f>[21]Vendedor26!$K$4</f>
        <v>0</v>
      </c>
      <c r="D23" s="82">
        <f>[21]Vendedor26!$L$4</f>
        <v>0</v>
      </c>
      <c r="E23" s="14">
        <f>[21]Vendedor26!$J$5</f>
        <v>0</v>
      </c>
      <c r="F23" s="81">
        <f>[21]Vendedor26!$K$5</f>
        <v>0</v>
      </c>
      <c r="G23" s="85">
        <f>[21]Vendedor26!$L$5</f>
        <v>0</v>
      </c>
      <c r="H23" s="19">
        <f>[21]Vendedor26!$J$6</f>
        <v>0</v>
      </c>
      <c r="I23" s="15">
        <f>[21]Vendedor26!$K$6</f>
        <v>0</v>
      </c>
      <c r="J23" s="17">
        <f>[21]Vendedor26!$L$6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[22]Vendedor26!$J$4</f>
        <v>0</v>
      </c>
      <c r="C24" s="81">
        <f>[22]Vendedor26!$K$4</f>
        <v>0</v>
      </c>
      <c r="D24" s="82">
        <f>[22]Vendedor26!$L$4</f>
        <v>0</v>
      </c>
      <c r="E24" s="14">
        <f>[22]Vendedor26!$J$5</f>
        <v>0</v>
      </c>
      <c r="F24" s="81">
        <f>[22]Vendedor26!$K$5</f>
        <v>0</v>
      </c>
      <c r="G24" s="85">
        <f>[22]Vendedor26!$L$5</f>
        <v>0</v>
      </c>
      <c r="H24" s="19">
        <f>[22]Vendedor26!$J$6</f>
        <v>0</v>
      </c>
      <c r="I24" s="15">
        <f>[22]Vendedor26!$K$6</f>
        <v>0</v>
      </c>
      <c r="J24" s="17">
        <f>[22]Vendedor26!$L$6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[23]Vendedor26!$J$4</f>
        <v>0</v>
      </c>
      <c r="C25" s="81">
        <f>[23]Vendedor26!$K$4</f>
        <v>0</v>
      </c>
      <c r="D25" s="82">
        <f>[23]Vendedor26!$L$4</f>
        <v>0</v>
      </c>
      <c r="E25" s="14">
        <f>[23]Vendedor26!$J$5</f>
        <v>0</v>
      </c>
      <c r="F25" s="81">
        <f>[23]Vendedor26!$K$5</f>
        <v>0</v>
      </c>
      <c r="G25" s="85">
        <f>[23]Vendedor26!$L$5</f>
        <v>0</v>
      </c>
      <c r="H25" s="19">
        <f>[23]Vendedor26!$J$6</f>
        <v>0</v>
      </c>
      <c r="I25" s="15">
        <f>[23]Vendedor26!$K$6</f>
        <v>0</v>
      </c>
      <c r="J25" s="17">
        <f>[23]Vendedor26!$L$6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[24]Vendedor26!$J$4</f>
        <v>0</v>
      </c>
      <c r="C26" s="81">
        <f>[24]Vendedor26!$K$4</f>
        <v>0</v>
      </c>
      <c r="D26" s="82">
        <f>[24]Vendedor26!$L$4</f>
        <v>0</v>
      </c>
      <c r="E26" s="14">
        <f>[24]Vendedor26!$J$5</f>
        <v>0</v>
      </c>
      <c r="F26" s="81">
        <f>[24]Vendedor26!$K$5</f>
        <v>0</v>
      </c>
      <c r="G26" s="85">
        <f>[24]Vendedor26!$L$5</f>
        <v>0</v>
      </c>
      <c r="H26" s="19">
        <f>[24]Vendedor26!$J$6</f>
        <v>0</v>
      </c>
      <c r="I26" s="15">
        <f>[24]Vendedor26!$K$6</f>
        <v>0</v>
      </c>
      <c r="J26" s="17">
        <f>[24]Vendedor26!$L$6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[25]Vendedor26!$J$4</f>
        <v>0</v>
      </c>
      <c r="C27" s="81">
        <f>[25]Vendedor26!$K$4</f>
        <v>0</v>
      </c>
      <c r="D27" s="82">
        <f>[25]Vendedor26!$L$4</f>
        <v>0</v>
      </c>
      <c r="E27" s="14">
        <f>[25]Vendedor26!$J$5</f>
        <v>0</v>
      </c>
      <c r="F27" s="81">
        <f>[25]Vendedor26!$K$5</f>
        <v>0</v>
      </c>
      <c r="G27" s="85">
        <f>[25]Vendedor26!$L$5</f>
        <v>0</v>
      </c>
      <c r="H27" s="19">
        <f>[25]Vendedor26!$J$6</f>
        <v>0</v>
      </c>
      <c r="I27" s="15">
        <f>[25]Vendedor26!$K$6</f>
        <v>0</v>
      </c>
      <c r="J27" s="17">
        <f>[25]Vendedor26!$L$6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[26]Vendedor26!$J$4</f>
        <v>0</v>
      </c>
      <c r="C28" s="81">
        <f>[26]Vendedor26!$K$4</f>
        <v>0</v>
      </c>
      <c r="D28" s="82">
        <f>[26]Vendedor26!$L$4</f>
        <v>0</v>
      </c>
      <c r="E28" s="14">
        <f>[26]Vendedor26!$J$5</f>
        <v>0</v>
      </c>
      <c r="F28" s="81">
        <f>[26]Vendedor26!$K$5</f>
        <v>0</v>
      </c>
      <c r="G28" s="85">
        <f>[26]Vendedor26!$L$5</f>
        <v>0</v>
      </c>
      <c r="H28" s="19">
        <f>[26]Vendedor26!$J$6</f>
        <v>0</v>
      </c>
      <c r="I28" s="15">
        <f>[26]Vendedor26!$K$6</f>
        <v>0</v>
      </c>
      <c r="J28" s="17">
        <f>[26]Vendedor26!$L$6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[27]Vendedor26!$J$4</f>
        <v>0</v>
      </c>
      <c r="C29" s="81">
        <f>[27]Vendedor26!$K$4</f>
        <v>0</v>
      </c>
      <c r="D29" s="82">
        <f>[27]Vendedor26!$L$4</f>
        <v>0</v>
      </c>
      <c r="E29" s="14">
        <f>[27]Vendedor26!$J$5</f>
        <v>0</v>
      </c>
      <c r="F29" s="81">
        <f>[27]Vendedor26!$K$5</f>
        <v>0</v>
      </c>
      <c r="G29" s="85">
        <f>[27]Vendedor26!$L$5</f>
        <v>0</v>
      </c>
      <c r="H29" s="19">
        <f>[27]Vendedor26!$J$6</f>
        <v>0</v>
      </c>
      <c r="I29" s="15">
        <f>[27]Vendedor26!$K$6</f>
        <v>0</v>
      </c>
      <c r="J29" s="17">
        <f>[27]Vendedor26!$L$6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[28]Vendedor26!$J$4</f>
        <v>0</v>
      </c>
      <c r="C30" s="81">
        <f>[28]Vendedor26!$K$4</f>
        <v>0</v>
      </c>
      <c r="D30" s="82">
        <f>[28]Vendedor26!$L$4</f>
        <v>0</v>
      </c>
      <c r="E30" s="14">
        <f>[28]Vendedor26!$J$5</f>
        <v>0</v>
      </c>
      <c r="F30" s="81">
        <f>[28]Vendedor26!$K$5</f>
        <v>0</v>
      </c>
      <c r="G30" s="85">
        <f>[28]Vendedor26!$L$5</f>
        <v>0</v>
      </c>
      <c r="H30" s="19">
        <f>[28]Vendedor26!$J$6</f>
        <v>0</v>
      </c>
      <c r="I30" s="15">
        <f>[28]Vendedor26!$K$6</f>
        <v>0</v>
      </c>
      <c r="J30" s="17">
        <f>[28]Vendedor26!$L$6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[29]Vendedor26!$J$4</f>
        <v>0</v>
      </c>
      <c r="C31" s="81">
        <f>[29]Vendedor26!$K$4</f>
        <v>0</v>
      </c>
      <c r="D31" s="82">
        <f>[29]Vendedor26!$L$4</f>
        <v>0</v>
      </c>
      <c r="E31" s="14">
        <f>[29]Vendedor26!$J$5</f>
        <v>0</v>
      </c>
      <c r="F31" s="81">
        <f>[29]Vendedor26!$K$5</f>
        <v>0</v>
      </c>
      <c r="G31" s="85">
        <f>[29]Vendedor26!$L$5</f>
        <v>0</v>
      </c>
      <c r="H31" s="19">
        <f>[29]Vendedor26!$J$6</f>
        <v>0</v>
      </c>
      <c r="I31" s="15">
        <f>[29]Vendedor26!$K$6</f>
        <v>0</v>
      </c>
      <c r="J31" s="17">
        <f>[29]Vendedor26!$L$6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[30]Vendedor26!$J$4</f>
        <v>0</v>
      </c>
      <c r="C32" s="81">
        <f>[30]Vendedor26!$K$4</f>
        <v>0</v>
      </c>
      <c r="D32" s="82">
        <f>[30]Vendedor26!$L$4</f>
        <v>0</v>
      </c>
      <c r="E32" s="14">
        <f>[30]Vendedor26!$J$5</f>
        <v>0</v>
      </c>
      <c r="F32" s="81">
        <f>[30]Vendedor26!$K$5</f>
        <v>0</v>
      </c>
      <c r="G32" s="85">
        <f>[30]Vendedor26!$L$5</f>
        <v>0</v>
      </c>
      <c r="H32" s="19">
        <f>[30]Vendedor26!$J$6</f>
        <v>0</v>
      </c>
      <c r="I32" s="15">
        <f>[30]Vendedor26!$K$6</f>
        <v>0</v>
      </c>
      <c r="J32" s="17">
        <f>[30]Vendedor26!$L$6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[31]Vendedor26!$J$4</f>
        <v>0</v>
      </c>
      <c r="C33" s="81">
        <f>[31]Vendedor26!$K$4</f>
        <v>0</v>
      </c>
      <c r="D33" s="82">
        <f>[31]Vendedor26!$L$4</f>
        <v>0</v>
      </c>
      <c r="E33" s="14">
        <f>[31]Vendedor26!$J$5</f>
        <v>0</v>
      </c>
      <c r="F33" s="81">
        <f>[31]Vendedor26!$K$5</f>
        <v>0</v>
      </c>
      <c r="G33" s="85">
        <f>[31]Vendedor26!$L$5</f>
        <v>0</v>
      </c>
      <c r="H33" s="19">
        <f>[31]Vendedor26!$J$6</f>
        <v>0</v>
      </c>
      <c r="I33" s="15">
        <f>[31]Vendedor26!$K$6</f>
        <v>0</v>
      </c>
      <c r="J33" s="17">
        <f>[31]Vendedor26!$L$6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[1]Vendedor26!$J$4</f>
        <v>0</v>
      </c>
      <c r="C34" s="81">
        <f>[1]Vendedor26!$K$4</f>
        <v>0</v>
      </c>
      <c r="D34" s="82">
        <f>[1]Vendedor26!$L$4</f>
        <v>0</v>
      </c>
      <c r="E34" s="14">
        <f>[1]Vendedor26!$J$5</f>
        <v>0</v>
      </c>
      <c r="F34" s="81">
        <f>[1]Vendedor26!$K$5</f>
        <v>0</v>
      </c>
      <c r="G34" s="85">
        <f>[1]Vendedor26!$L$5</f>
        <v>0</v>
      </c>
      <c r="H34" s="19">
        <f>[1]Vendedor26!$J$6</f>
        <v>0</v>
      </c>
      <c r="I34" s="15">
        <f>[1]Vendedor26!$K$6</f>
        <v>0</v>
      </c>
      <c r="J34" s="17">
        <f>[1]Vendedor26!$L$6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[2]Vendedor26!$J$4</f>
        <v>0</v>
      </c>
      <c r="C35" s="83">
        <f>[2]Vendedor26!$K$4</f>
        <v>0</v>
      </c>
      <c r="D35" s="84">
        <f>[2]Vendedor26!$L$4</f>
        <v>0</v>
      </c>
      <c r="E35" s="21">
        <f>[2]Vendedor26!$J$5</f>
        <v>0</v>
      </c>
      <c r="F35" s="83">
        <f>[2]Vendedor26!$K$5</f>
        <v>0</v>
      </c>
      <c r="G35" s="86">
        <f>[2]Vendedor26!$L$5</f>
        <v>0</v>
      </c>
      <c r="H35" s="26">
        <f>[2]Vendedor26!$J$6</f>
        <v>0</v>
      </c>
      <c r="I35" s="22">
        <f>[2]Vendedor26!$K$6</f>
        <v>0</v>
      </c>
      <c r="J35" s="24">
        <f>[2]Vendedor26!$L$6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1" width="11.42578125" style="1"/>
    <col min="12" max="12" width="11.85546875" style="1" customWidth="1"/>
    <col min="13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70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[3]Resumen!$B$29</f>
        <v>0</v>
      </c>
      <c r="C5" s="58">
        <f>[3]Resumen!$C$29</f>
        <v>0</v>
      </c>
      <c r="D5" s="54">
        <f>[3]Resumen!$D$29</f>
        <v>0</v>
      </c>
      <c r="E5" s="53">
        <f>[3]Resumen!$E$29</f>
        <v>0</v>
      </c>
      <c r="F5" s="58">
        <f>[3]Resumen!$F$29</f>
        <v>0</v>
      </c>
      <c r="G5" s="55">
        <f>[3]Resumen!$G$29</f>
        <v>0</v>
      </c>
      <c r="H5" s="61">
        <f>[3]Resumen!$H$29</f>
        <v>0</v>
      </c>
      <c r="I5" s="58">
        <f>[3]Resumen!$I$29</f>
        <v>0</v>
      </c>
      <c r="J5" s="54">
        <f>[3]Resumen!$J$29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[4]Resumen!$B$29</f>
        <v>0</v>
      </c>
      <c r="C6" s="15">
        <f>[4]Resumen!$C$29</f>
        <v>0</v>
      </c>
      <c r="D6" s="16">
        <f>[4]Resumen!$D$29</f>
        <v>0</v>
      </c>
      <c r="E6" s="14">
        <f>[4]Resumen!$E$29</f>
        <v>0</v>
      </c>
      <c r="F6" s="15">
        <f>[4]Resumen!$F$29</f>
        <v>0</v>
      </c>
      <c r="G6" s="17">
        <f>[4]Resumen!$G$29</f>
        <v>0</v>
      </c>
      <c r="H6" s="18">
        <f>[4]Resumen!$H$29</f>
        <v>0</v>
      </c>
      <c r="I6" s="15">
        <f>[4]Resumen!$I$29</f>
        <v>0</v>
      </c>
      <c r="J6" s="16">
        <f>[4]Resumen!$J$29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[5]Resumen!$B$29</f>
        <v>0</v>
      </c>
      <c r="C7" s="15">
        <f>[5]Resumen!$C$29</f>
        <v>0</v>
      </c>
      <c r="D7" s="16">
        <f>[5]Resumen!$D$29</f>
        <v>0</v>
      </c>
      <c r="E7" s="14">
        <f>[5]Resumen!$E$29</f>
        <v>0</v>
      </c>
      <c r="F7" s="15">
        <f>[5]Resumen!$F$29</f>
        <v>0</v>
      </c>
      <c r="G7" s="17">
        <f>[5]Resumen!$G$29</f>
        <v>0</v>
      </c>
      <c r="H7" s="18">
        <f>[5]Resumen!$H$29</f>
        <v>0</v>
      </c>
      <c r="I7" s="15">
        <f>[5]Resumen!$I$29</f>
        <v>0</v>
      </c>
      <c r="J7" s="16">
        <f>[5]Resumen!$J$29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[6]Resumen!$B$29</f>
        <v>0</v>
      </c>
      <c r="C8" s="15">
        <f>[6]Resumen!$C$29</f>
        <v>0</v>
      </c>
      <c r="D8" s="16">
        <f>[6]Resumen!$D$29</f>
        <v>0</v>
      </c>
      <c r="E8" s="14">
        <f>[6]Resumen!$E$29</f>
        <v>0</v>
      </c>
      <c r="F8" s="15">
        <f>[6]Resumen!$F$29</f>
        <v>0</v>
      </c>
      <c r="G8" s="17">
        <f>[6]Resumen!$G$29</f>
        <v>0</v>
      </c>
      <c r="H8" s="18">
        <f>[6]Resumen!$H$29</f>
        <v>0</v>
      </c>
      <c r="I8" s="15">
        <f>[6]Resumen!$I$29</f>
        <v>0</v>
      </c>
      <c r="J8" s="16">
        <f>[6]Resumen!$J$29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[7]Resumen!$B$29</f>
        <v>0</v>
      </c>
      <c r="C9" s="15">
        <f>[7]Resumen!$C$29</f>
        <v>0</v>
      </c>
      <c r="D9" s="16">
        <f>[7]Resumen!$D$29</f>
        <v>0</v>
      </c>
      <c r="E9" s="14">
        <f>[7]Resumen!$E$29</f>
        <v>0</v>
      </c>
      <c r="F9" s="15">
        <f>[7]Resumen!$F$29</f>
        <v>0</v>
      </c>
      <c r="G9" s="17">
        <f>[7]Resumen!$G$29</f>
        <v>0</v>
      </c>
      <c r="H9" s="18">
        <f>[7]Resumen!$H$29</f>
        <v>0</v>
      </c>
      <c r="I9" s="15">
        <f>[7]Resumen!$I$29</f>
        <v>0</v>
      </c>
      <c r="J9" s="16">
        <f>[7]Resumen!$J$29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[8]Resumen!$B$29</f>
        <v>0</v>
      </c>
      <c r="C10" s="15">
        <f>[8]Resumen!$C$29</f>
        <v>0</v>
      </c>
      <c r="D10" s="16">
        <f>[8]Resumen!$D$29</f>
        <v>0</v>
      </c>
      <c r="E10" s="14">
        <f>[8]Resumen!$E$29</f>
        <v>0</v>
      </c>
      <c r="F10" s="15">
        <f>[8]Resumen!$F$29</f>
        <v>0</v>
      </c>
      <c r="G10" s="17">
        <f>[8]Resumen!$G$29</f>
        <v>0</v>
      </c>
      <c r="H10" s="18">
        <f>[8]Resumen!$H$29</f>
        <v>0</v>
      </c>
      <c r="I10" s="15">
        <f>[8]Resumen!$I$29</f>
        <v>0</v>
      </c>
      <c r="J10" s="16">
        <f>[8]Resumen!$J$29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[9]Resumen!$B$29</f>
        <v>0</v>
      </c>
      <c r="C11" s="15">
        <f>[9]Resumen!$C$29</f>
        <v>0</v>
      </c>
      <c r="D11" s="16">
        <f>[9]Resumen!$D$29</f>
        <v>0</v>
      </c>
      <c r="E11" s="14">
        <f>[9]Resumen!$E$29</f>
        <v>0</v>
      </c>
      <c r="F11" s="15">
        <f>[9]Resumen!$F$29</f>
        <v>0</v>
      </c>
      <c r="G11" s="17">
        <f>[9]Resumen!$G$29</f>
        <v>0</v>
      </c>
      <c r="H11" s="18">
        <f>[9]Resumen!$H$29</f>
        <v>0</v>
      </c>
      <c r="I11" s="15">
        <f>[9]Resumen!$I$29</f>
        <v>0</v>
      </c>
      <c r="J11" s="16">
        <f>[9]Resumen!$J$29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[10]Resumen!$B$29</f>
        <v>0</v>
      </c>
      <c r="C12" s="15">
        <f>[10]Resumen!$C$29</f>
        <v>0</v>
      </c>
      <c r="D12" s="16">
        <f>[10]Resumen!$D$29</f>
        <v>0</v>
      </c>
      <c r="E12" s="14">
        <f>[10]Resumen!$E$29</f>
        <v>0</v>
      </c>
      <c r="F12" s="15">
        <f>[10]Resumen!$F$29</f>
        <v>0</v>
      </c>
      <c r="G12" s="17">
        <f>[10]Resumen!$G$29</f>
        <v>0</v>
      </c>
      <c r="H12" s="18">
        <f>[10]Resumen!$H$29</f>
        <v>0</v>
      </c>
      <c r="I12" s="15">
        <f>[10]Resumen!$I$29</f>
        <v>0</v>
      </c>
      <c r="J12" s="16">
        <f>[10]Resumen!$J$29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[11]Resumen!$B$29</f>
        <v>0</v>
      </c>
      <c r="C13" s="15">
        <f>[11]Resumen!$C$29</f>
        <v>0</v>
      </c>
      <c r="D13" s="16">
        <f>[11]Resumen!$D$29</f>
        <v>0</v>
      </c>
      <c r="E13" s="14">
        <f>[11]Resumen!$E$29</f>
        <v>0</v>
      </c>
      <c r="F13" s="15">
        <f>[11]Resumen!$F$29</f>
        <v>0</v>
      </c>
      <c r="G13" s="17">
        <f>[11]Resumen!$G$29</f>
        <v>0</v>
      </c>
      <c r="H13" s="18">
        <f>[11]Resumen!$H$29</f>
        <v>0</v>
      </c>
      <c r="I13" s="15">
        <f>[11]Resumen!$I$29</f>
        <v>0</v>
      </c>
      <c r="J13" s="16">
        <f>[11]Resumen!$J$29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[12]Resumen!$B$29</f>
        <v>0</v>
      </c>
      <c r="C14" s="15">
        <f>[12]Resumen!$C$29</f>
        <v>0</v>
      </c>
      <c r="D14" s="16">
        <f>[12]Resumen!$D$29</f>
        <v>0</v>
      </c>
      <c r="E14" s="14">
        <f>[12]Resumen!$E$29</f>
        <v>0</v>
      </c>
      <c r="F14" s="15">
        <f>[12]Resumen!$F$29</f>
        <v>0</v>
      </c>
      <c r="G14" s="17">
        <f>[12]Resumen!$G$29</f>
        <v>0</v>
      </c>
      <c r="H14" s="18">
        <f>[12]Resumen!$H$29</f>
        <v>0</v>
      </c>
      <c r="I14" s="15">
        <f>[12]Resumen!$I$29</f>
        <v>0</v>
      </c>
      <c r="J14" s="16">
        <f>[12]Resumen!$J$29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[13]Resumen!$B$29</f>
        <v>0</v>
      </c>
      <c r="C15" s="15">
        <f>[13]Resumen!$C$29</f>
        <v>0</v>
      </c>
      <c r="D15" s="16">
        <f>[13]Resumen!$D$29</f>
        <v>0</v>
      </c>
      <c r="E15" s="14">
        <f>[13]Resumen!$E$29</f>
        <v>0</v>
      </c>
      <c r="F15" s="15">
        <f>[13]Resumen!$F$29</f>
        <v>0</v>
      </c>
      <c r="G15" s="17">
        <f>[13]Resumen!$G$29</f>
        <v>0</v>
      </c>
      <c r="H15" s="18">
        <f>[13]Resumen!$H$29</f>
        <v>0</v>
      </c>
      <c r="I15" s="15">
        <f>[13]Resumen!$I$29</f>
        <v>0</v>
      </c>
      <c r="J15" s="16">
        <f>[13]Resumen!$J$29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[14]Resumen!$B$29</f>
        <v>0</v>
      </c>
      <c r="C16" s="15">
        <f>[14]Resumen!$C$29</f>
        <v>0</v>
      </c>
      <c r="D16" s="16">
        <f>[14]Resumen!$D$29</f>
        <v>0</v>
      </c>
      <c r="E16" s="14">
        <f>[14]Resumen!$E$29</f>
        <v>0</v>
      </c>
      <c r="F16" s="15">
        <f>[14]Resumen!$F$29</f>
        <v>0</v>
      </c>
      <c r="G16" s="17">
        <f>[14]Resumen!$G$29</f>
        <v>0</v>
      </c>
      <c r="H16" s="18">
        <f>[14]Resumen!$H$29</f>
        <v>0</v>
      </c>
      <c r="I16" s="15">
        <f>[14]Resumen!$I$29</f>
        <v>0</v>
      </c>
      <c r="J16" s="16">
        <f>[14]Resumen!$J$29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[15]Resumen!$B$29</f>
        <v>0</v>
      </c>
      <c r="C17" s="15">
        <f>[15]Resumen!$C$29</f>
        <v>0</v>
      </c>
      <c r="D17" s="16">
        <f>[15]Resumen!$D$29</f>
        <v>0</v>
      </c>
      <c r="E17" s="14">
        <f>[15]Resumen!$E$29</f>
        <v>0</v>
      </c>
      <c r="F17" s="15">
        <f>[15]Resumen!$F$29</f>
        <v>0</v>
      </c>
      <c r="G17" s="17">
        <f>[15]Resumen!$G$29</f>
        <v>0</v>
      </c>
      <c r="H17" s="18">
        <f>[15]Resumen!$H$29</f>
        <v>0</v>
      </c>
      <c r="I17" s="15">
        <f>[15]Resumen!$I$29</f>
        <v>0</v>
      </c>
      <c r="J17" s="16">
        <f>[15]Resumen!$J$29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[16]Resumen!$B$29</f>
        <v>0</v>
      </c>
      <c r="C18" s="15">
        <f>[16]Resumen!$C$29</f>
        <v>0</v>
      </c>
      <c r="D18" s="16">
        <f>[16]Resumen!$D$29</f>
        <v>0</v>
      </c>
      <c r="E18" s="14">
        <f>[16]Resumen!$E$29</f>
        <v>0</v>
      </c>
      <c r="F18" s="15">
        <f>[16]Resumen!$F$29</f>
        <v>0</v>
      </c>
      <c r="G18" s="17">
        <f>[16]Resumen!$G$29</f>
        <v>0</v>
      </c>
      <c r="H18" s="18">
        <f>[16]Resumen!$H$29</f>
        <v>0</v>
      </c>
      <c r="I18" s="15">
        <f>[16]Resumen!$I$29</f>
        <v>0</v>
      </c>
      <c r="J18" s="16">
        <f>[16]Resumen!$J$29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[17]Resumen!$B$29</f>
        <v>0</v>
      </c>
      <c r="C19" s="15">
        <f>[17]Resumen!$C$29</f>
        <v>0</v>
      </c>
      <c r="D19" s="16">
        <f>[17]Resumen!$D$29</f>
        <v>0</v>
      </c>
      <c r="E19" s="14">
        <f>[17]Resumen!$E$29</f>
        <v>0</v>
      </c>
      <c r="F19" s="15">
        <f>[17]Resumen!$F$29</f>
        <v>0</v>
      </c>
      <c r="G19" s="17">
        <f>[17]Resumen!$G$29</f>
        <v>0</v>
      </c>
      <c r="H19" s="18">
        <f>[17]Resumen!$H$29</f>
        <v>0</v>
      </c>
      <c r="I19" s="15">
        <f>[17]Resumen!$I$29</f>
        <v>0</v>
      </c>
      <c r="J19" s="16">
        <f>[17]Resumen!$J$29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[18]Resumen!$B$29</f>
        <v>0</v>
      </c>
      <c r="C20" s="15">
        <f>[18]Resumen!$C$29</f>
        <v>0</v>
      </c>
      <c r="D20" s="16">
        <f>[18]Resumen!$D$29</f>
        <v>0</v>
      </c>
      <c r="E20" s="14">
        <f>[18]Resumen!$E$29</f>
        <v>0</v>
      </c>
      <c r="F20" s="15">
        <f>[18]Resumen!$F$29</f>
        <v>0</v>
      </c>
      <c r="G20" s="17">
        <f>[18]Resumen!$G$29</f>
        <v>0</v>
      </c>
      <c r="H20" s="18">
        <f>[18]Resumen!$H$29</f>
        <v>0</v>
      </c>
      <c r="I20" s="15">
        <f>[18]Resumen!$I$29</f>
        <v>0</v>
      </c>
      <c r="J20" s="16">
        <f>[18]Resumen!$J$29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[19]Resumen!$B$29</f>
        <v>0</v>
      </c>
      <c r="C21" s="15">
        <f>[19]Resumen!$C$29</f>
        <v>0</v>
      </c>
      <c r="D21" s="16">
        <f>[19]Resumen!$D$29</f>
        <v>0</v>
      </c>
      <c r="E21" s="14">
        <f>[19]Resumen!$E$29</f>
        <v>0</v>
      </c>
      <c r="F21" s="15">
        <f>[19]Resumen!$F$29</f>
        <v>0</v>
      </c>
      <c r="G21" s="17">
        <f>[19]Resumen!$G$29</f>
        <v>0</v>
      </c>
      <c r="H21" s="18">
        <f>[19]Resumen!$H$29</f>
        <v>0</v>
      </c>
      <c r="I21" s="15">
        <f>[19]Resumen!$I$29</f>
        <v>0</v>
      </c>
      <c r="J21" s="16">
        <f>[19]Resumen!$J$29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[20]Resumen!$B$29</f>
        <v>0</v>
      </c>
      <c r="C22" s="15">
        <f>[20]Resumen!$C$29</f>
        <v>0</v>
      </c>
      <c r="D22" s="16">
        <f>[20]Resumen!$D$29</f>
        <v>0</v>
      </c>
      <c r="E22" s="14">
        <f>[20]Resumen!$E$29</f>
        <v>0</v>
      </c>
      <c r="F22" s="15">
        <f>[20]Resumen!$F$29</f>
        <v>0</v>
      </c>
      <c r="G22" s="17">
        <f>[20]Resumen!$G$29</f>
        <v>0</v>
      </c>
      <c r="H22" s="18">
        <f>[20]Resumen!$H$29</f>
        <v>0</v>
      </c>
      <c r="I22" s="15">
        <f>[20]Resumen!$I$29</f>
        <v>0</v>
      </c>
      <c r="J22" s="16">
        <f>[20]Resumen!$J$29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[21]Resumen!$B$29</f>
        <v>0</v>
      </c>
      <c r="C23" s="15">
        <f>[21]Resumen!$C$29</f>
        <v>0</v>
      </c>
      <c r="D23" s="16">
        <f>[21]Resumen!$D$29</f>
        <v>0</v>
      </c>
      <c r="E23" s="14">
        <f>[21]Resumen!$E$29</f>
        <v>0</v>
      </c>
      <c r="F23" s="15">
        <f>[21]Resumen!$F$29</f>
        <v>0</v>
      </c>
      <c r="G23" s="17">
        <f>[21]Resumen!$G$29</f>
        <v>0</v>
      </c>
      <c r="H23" s="18">
        <f>[21]Resumen!$H$29</f>
        <v>0</v>
      </c>
      <c r="I23" s="15">
        <f>[21]Resumen!$I$29</f>
        <v>0</v>
      </c>
      <c r="J23" s="16">
        <f>[21]Resumen!$J$29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[22]Resumen!$B$29</f>
        <v>0</v>
      </c>
      <c r="C24" s="15">
        <f>[22]Resumen!$C$29</f>
        <v>0</v>
      </c>
      <c r="D24" s="16">
        <f>[22]Resumen!$D$29</f>
        <v>0</v>
      </c>
      <c r="E24" s="14">
        <f>[22]Resumen!$E$29</f>
        <v>0</v>
      </c>
      <c r="F24" s="15">
        <f>[22]Resumen!$F$29</f>
        <v>0</v>
      </c>
      <c r="G24" s="17">
        <f>[22]Resumen!$G$29</f>
        <v>0</v>
      </c>
      <c r="H24" s="18">
        <f>[22]Resumen!$H$29</f>
        <v>0</v>
      </c>
      <c r="I24" s="15">
        <f>[22]Resumen!$I$29</f>
        <v>0</v>
      </c>
      <c r="J24" s="16">
        <f>[22]Resumen!$J$29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[23]Resumen!$B$29</f>
        <v>0</v>
      </c>
      <c r="C25" s="15">
        <f>[23]Resumen!$C$29</f>
        <v>0</v>
      </c>
      <c r="D25" s="16">
        <f>[23]Resumen!$D$29</f>
        <v>0</v>
      </c>
      <c r="E25" s="14">
        <f>[23]Resumen!$E$29</f>
        <v>0</v>
      </c>
      <c r="F25" s="15">
        <f>[23]Resumen!$F$29</f>
        <v>0</v>
      </c>
      <c r="G25" s="17">
        <f>[23]Resumen!$G$29</f>
        <v>0</v>
      </c>
      <c r="H25" s="18">
        <f>[23]Resumen!$H$29</f>
        <v>0</v>
      </c>
      <c r="I25" s="15">
        <f>[23]Resumen!$I$29</f>
        <v>0</v>
      </c>
      <c r="J25" s="16">
        <f>[23]Resumen!$J$29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[24]Resumen!$B$29</f>
        <v>0</v>
      </c>
      <c r="C26" s="15">
        <f>[24]Resumen!$C$29</f>
        <v>0</v>
      </c>
      <c r="D26" s="16">
        <f>[24]Resumen!$D$29</f>
        <v>0</v>
      </c>
      <c r="E26" s="14">
        <f>[24]Resumen!$E$29</f>
        <v>0</v>
      </c>
      <c r="F26" s="15">
        <f>[24]Resumen!$F$29</f>
        <v>0</v>
      </c>
      <c r="G26" s="17">
        <f>[24]Resumen!$G$29</f>
        <v>0</v>
      </c>
      <c r="H26" s="18">
        <f>[24]Resumen!$H$29</f>
        <v>0</v>
      </c>
      <c r="I26" s="15">
        <f>[24]Resumen!$I$29</f>
        <v>0</v>
      </c>
      <c r="J26" s="16">
        <f>[24]Resumen!$J$29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[25]Resumen!$B$29</f>
        <v>0</v>
      </c>
      <c r="C27" s="15">
        <f>[25]Resumen!$C$29</f>
        <v>0</v>
      </c>
      <c r="D27" s="16">
        <f>[25]Resumen!$D$29</f>
        <v>0</v>
      </c>
      <c r="E27" s="14">
        <f>[25]Resumen!$E$29</f>
        <v>0</v>
      </c>
      <c r="F27" s="15">
        <f>[25]Resumen!$F$29</f>
        <v>0</v>
      </c>
      <c r="G27" s="17">
        <f>[25]Resumen!$G$29</f>
        <v>0</v>
      </c>
      <c r="H27" s="18">
        <f>[25]Resumen!$H$29</f>
        <v>0</v>
      </c>
      <c r="I27" s="15">
        <f>[25]Resumen!$I$29</f>
        <v>0</v>
      </c>
      <c r="J27" s="16">
        <f>[25]Resumen!$J$29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[26]Resumen!$B$29</f>
        <v>0</v>
      </c>
      <c r="C28" s="15">
        <f>[26]Resumen!$C$29</f>
        <v>0</v>
      </c>
      <c r="D28" s="16">
        <f>[26]Resumen!$D$29</f>
        <v>0</v>
      </c>
      <c r="E28" s="14">
        <f>[26]Resumen!$E$29</f>
        <v>0</v>
      </c>
      <c r="F28" s="15">
        <f>[26]Resumen!$F$29</f>
        <v>0</v>
      </c>
      <c r="G28" s="17">
        <f>[26]Resumen!$G$29</f>
        <v>0</v>
      </c>
      <c r="H28" s="18">
        <f>[26]Resumen!$H$29</f>
        <v>0</v>
      </c>
      <c r="I28" s="15">
        <f>[26]Resumen!$I$29</f>
        <v>0</v>
      </c>
      <c r="J28" s="16">
        <f>[26]Resumen!$J$29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[27]Resumen!$B$29</f>
        <v>0</v>
      </c>
      <c r="C29" s="15">
        <f>[27]Resumen!$C$29</f>
        <v>0</v>
      </c>
      <c r="D29" s="16">
        <f>[27]Resumen!$D$29</f>
        <v>0</v>
      </c>
      <c r="E29" s="14">
        <f>[27]Resumen!$E$29</f>
        <v>0</v>
      </c>
      <c r="F29" s="15">
        <f>[27]Resumen!$F$29</f>
        <v>0</v>
      </c>
      <c r="G29" s="17">
        <f>[27]Resumen!$G$29</f>
        <v>0</v>
      </c>
      <c r="H29" s="18">
        <f>[27]Resumen!$H$29</f>
        <v>0</v>
      </c>
      <c r="I29" s="15">
        <f>[27]Resumen!$I$29</f>
        <v>0</v>
      </c>
      <c r="J29" s="16">
        <f>[27]Resumen!$J$29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[28]Resumen!$B$29</f>
        <v>0</v>
      </c>
      <c r="C30" s="15">
        <f>[28]Resumen!$C$29</f>
        <v>0</v>
      </c>
      <c r="D30" s="16">
        <f>[28]Resumen!$D$29</f>
        <v>0</v>
      </c>
      <c r="E30" s="14">
        <f>[28]Resumen!$E$29</f>
        <v>0</v>
      </c>
      <c r="F30" s="15">
        <f>[28]Resumen!$F$29</f>
        <v>0</v>
      </c>
      <c r="G30" s="17">
        <f>[28]Resumen!$G$29</f>
        <v>0</v>
      </c>
      <c r="H30" s="18">
        <f>[28]Resumen!$H$29</f>
        <v>0</v>
      </c>
      <c r="I30" s="15">
        <f>[28]Resumen!$I$29</f>
        <v>0</v>
      </c>
      <c r="J30" s="16">
        <f>[28]Resumen!$J$29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[29]Resumen!$B$29</f>
        <v>0</v>
      </c>
      <c r="C31" s="15">
        <f>[29]Resumen!$C$29</f>
        <v>0</v>
      </c>
      <c r="D31" s="16">
        <f>[29]Resumen!$D$29</f>
        <v>0</v>
      </c>
      <c r="E31" s="14">
        <f>[29]Resumen!$E$29</f>
        <v>0</v>
      </c>
      <c r="F31" s="15">
        <f>[29]Resumen!$F$29</f>
        <v>0</v>
      </c>
      <c r="G31" s="17">
        <f>[29]Resumen!$G$29</f>
        <v>0</v>
      </c>
      <c r="H31" s="18">
        <f>[29]Resumen!$H$29</f>
        <v>0</v>
      </c>
      <c r="I31" s="15">
        <f>[29]Resumen!$I$29</f>
        <v>0</v>
      </c>
      <c r="J31" s="16">
        <f>[29]Resumen!$J$29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[30]Resumen!$B$29</f>
        <v>0</v>
      </c>
      <c r="C32" s="15">
        <f>[30]Resumen!$C$29</f>
        <v>0</v>
      </c>
      <c r="D32" s="16">
        <f>[30]Resumen!$D$29</f>
        <v>0</v>
      </c>
      <c r="E32" s="14">
        <f>[30]Resumen!$E$29</f>
        <v>0</v>
      </c>
      <c r="F32" s="15">
        <f>[30]Resumen!$F$29</f>
        <v>0</v>
      </c>
      <c r="G32" s="17">
        <f>[30]Resumen!$G$29</f>
        <v>0</v>
      </c>
      <c r="H32" s="18">
        <f>[30]Resumen!$H$29</f>
        <v>0</v>
      </c>
      <c r="I32" s="15">
        <f>[30]Resumen!$I$29</f>
        <v>0</v>
      </c>
      <c r="J32" s="16">
        <f>[30]Resumen!$J$29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[31]Resumen!$B$29</f>
        <v>0</v>
      </c>
      <c r="C33" s="15">
        <f>[31]Resumen!$C$29</f>
        <v>0</v>
      </c>
      <c r="D33" s="16">
        <f>[31]Resumen!$D$29</f>
        <v>0</v>
      </c>
      <c r="E33" s="14">
        <f>[31]Resumen!$E$29</f>
        <v>0</v>
      </c>
      <c r="F33" s="15">
        <f>[31]Resumen!$F$29</f>
        <v>0</v>
      </c>
      <c r="G33" s="17">
        <f>[31]Resumen!$G$29</f>
        <v>0</v>
      </c>
      <c r="H33" s="18">
        <f>[31]Resumen!$H$29</f>
        <v>0</v>
      </c>
      <c r="I33" s="15">
        <f>[31]Resumen!$I$29</f>
        <v>0</v>
      </c>
      <c r="J33" s="16">
        <f>[31]Resumen!$J$29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[1]Resumen!$B$29</f>
        <v>0</v>
      </c>
      <c r="C34" s="15">
        <f>[1]Resumen!$C$29</f>
        <v>0</v>
      </c>
      <c r="D34" s="16">
        <f>[1]Resumen!$D$29</f>
        <v>0</v>
      </c>
      <c r="E34" s="14">
        <f>[1]Resumen!$E$29</f>
        <v>0</v>
      </c>
      <c r="F34" s="15">
        <f>[1]Resumen!$F$29</f>
        <v>0</v>
      </c>
      <c r="G34" s="17">
        <f>[1]Resumen!$G$29</f>
        <v>0</v>
      </c>
      <c r="H34" s="18">
        <f>[1]Resumen!$H$29</f>
        <v>0</v>
      </c>
      <c r="I34" s="15">
        <f>[1]Resumen!$I$29</f>
        <v>0</v>
      </c>
      <c r="J34" s="16">
        <f>[1]Resumen!$J$29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+[2]Resumen!$B$29</f>
        <v>0</v>
      </c>
      <c r="C35" s="22">
        <f>+[2]Resumen!$C$29</f>
        <v>0</v>
      </c>
      <c r="D35" s="23">
        <f>+[2]Resumen!$D$29</f>
        <v>0</v>
      </c>
      <c r="E35" s="21">
        <f>+[2]Resumen!$E$29</f>
        <v>0</v>
      </c>
      <c r="F35" s="22">
        <f>+[2]Resumen!$F$29</f>
        <v>0</v>
      </c>
      <c r="G35" s="24">
        <f>+[2]Resumen!$G$29</f>
        <v>0</v>
      </c>
      <c r="H35" s="25">
        <f>+[2]Resumen!$H$29</f>
        <v>0</v>
      </c>
      <c r="I35" s="22">
        <f>+[2]Resumen!$I$29</f>
        <v>0</v>
      </c>
      <c r="J35" s="23">
        <f>+[2]Resumen!$J$29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73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[3]Resumen!$B$30</f>
        <v>0</v>
      </c>
      <c r="C5" s="58">
        <f>[3]Resumen!$C$30</f>
        <v>0</v>
      </c>
      <c r="D5" s="54">
        <f>[3]Resumen!$D$30</f>
        <v>0</v>
      </c>
      <c r="E5" s="53">
        <f>[3]Resumen!$E$30</f>
        <v>0</v>
      </c>
      <c r="F5" s="58">
        <f>[3]Resumen!$F$30</f>
        <v>0</v>
      </c>
      <c r="G5" s="55">
        <f>[3]Resumen!$G$30</f>
        <v>0</v>
      </c>
      <c r="H5" s="61">
        <f>[3]Resumen!$H$30</f>
        <v>0</v>
      </c>
      <c r="I5" s="58">
        <f>[3]Resumen!$I$30</f>
        <v>0</v>
      </c>
      <c r="J5" s="54">
        <f>[3]Resumen!$J$30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[4]Resumen!$B$30</f>
        <v>0</v>
      </c>
      <c r="C6" s="15">
        <f>[4]Resumen!$C$30</f>
        <v>0</v>
      </c>
      <c r="D6" s="16">
        <f>[4]Resumen!$D$30</f>
        <v>0</v>
      </c>
      <c r="E6" s="14">
        <f>[4]Resumen!$E$30</f>
        <v>0</v>
      </c>
      <c r="F6" s="15">
        <f>[4]Resumen!$F$30</f>
        <v>0</v>
      </c>
      <c r="G6" s="17">
        <f>[4]Resumen!$G$30</f>
        <v>0</v>
      </c>
      <c r="H6" s="18">
        <f>[4]Resumen!$H$30</f>
        <v>0</v>
      </c>
      <c r="I6" s="15">
        <f>[4]Resumen!$I$30</f>
        <v>0</v>
      </c>
      <c r="J6" s="16">
        <f>[4]Resumen!$J$30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[5]Resumen!$B$30</f>
        <v>0</v>
      </c>
      <c r="C7" s="15">
        <f>[5]Resumen!$C$30</f>
        <v>0</v>
      </c>
      <c r="D7" s="16">
        <f>[5]Resumen!$D$30</f>
        <v>0</v>
      </c>
      <c r="E7" s="14">
        <f>[5]Resumen!$E$30</f>
        <v>0</v>
      </c>
      <c r="F7" s="15">
        <f>[5]Resumen!$F$30</f>
        <v>0</v>
      </c>
      <c r="G7" s="17">
        <f>[5]Resumen!$G$30</f>
        <v>0</v>
      </c>
      <c r="H7" s="18">
        <f>[5]Resumen!$H$30</f>
        <v>0</v>
      </c>
      <c r="I7" s="15">
        <f>[5]Resumen!$I$30</f>
        <v>0</v>
      </c>
      <c r="J7" s="16">
        <f>[5]Resumen!$J$30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[6]Resumen!$B$30</f>
        <v>0</v>
      </c>
      <c r="C8" s="15">
        <f>[6]Resumen!$C$30</f>
        <v>0</v>
      </c>
      <c r="D8" s="16">
        <f>[6]Resumen!$D$30</f>
        <v>0</v>
      </c>
      <c r="E8" s="14">
        <f>[6]Resumen!$E$30</f>
        <v>0</v>
      </c>
      <c r="F8" s="15">
        <f>[6]Resumen!$F$30</f>
        <v>0</v>
      </c>
      <c r="G8" s="17">
        <f>[6]Resumen!$G$30</f>
        <v>0</v>
      </c>
      <c r="H8" s="18">
        <f>[6]Resumen!$H$30</f>
        <v>0</v>
      </c>
      <c r="I8" s="15">
        <f>[6]Resumen!$I$30</f>
        <v>0</v>
      </c>
      <c r="J8" s="16">
        <f>[6]Resumen!$J$30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[7]Resumen!$B$30</f>
        <v>0</v>
      </c>
      <c r="C9" s="15">
        <f>[7]Resumen!$C$30</f>
        <v>0</v>
      </c>
      <c r="D9" s="16">
        <f>[7]Resumen!$D$30</f>
        <v>0</v>
      </c>
      <c r="E9" s="14">
        <f>[7]Resumen!$E$30</f>
        <v>0</v>
      </c>
      <c r="F9" s="15">
        <f>[7]Resumen!$F$30</f>
        <v>0</v>
      </c>
      <c r="G9" s="17">
        <f>[7]Resumen!$G$30</f>
        <v>0</v>
      </c>
      <c r="H9" s="18">
        <f>[7]Resumen!$H$30</f>
        <v>0</v>
      </c>
      <c r="I9" s="15">
        <f>[7]Resumen!$I$30</f>
        <v>0</v>
      </c>
      <c r="J9" s="16">
        <f>[7]Resumen!$J$30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[8]Resumen!$B$30</f>
        <v>0</v>
      </c>
      <c r="C10" s="15">
        <f>[8]Resumen!$C$30</f>
        <v>0</v>
      </c>
      <c r="D10" s="16">
        <f>[8]Resumen!$D$30</f>
        <v>0</v>
      </c>
      <c r="E10" s="14">
        <f>[8]Resumen!$E$30</f>
        <v>0</v>
      </c>
      <c r="F10" s="15">
        <f>[8]Resumen!$F$30</f>
        <v>0</v>
      </c>
      <c r="G10" s="17">
        <f>[8]Resumen!$G$30</f>
        <v>0</v>
      </c>
      <c r="H10" s="18">
        <f>[8]Resumen!$H$30</f>
        <v>0</v>
      </c>
      <c r="I10" s="15">
        <f>[8]Resumen!$I$30</f>
        <v>0</v>
      </c>
      <c r="J10" s="16">
        <f>[8]Resumen!$J$30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[9]Resumen!$B$30</f>
        <v>0</v>
      </c>
      <c r="C11" s="15">
        <f>[9]Resumen!$C$30</f>
        <v>0</v>
      </c>
      <c r="D11" s="16">
        <f>[9]Resumen!$D$30</f>
        <v>0</v>
      </c>
      <c r="E11" s="14">
        <f>[9]Resumen!$E$30</f>
        <v>0</v>
      </c>
      <c r="F11" s="15">
        <f>[9]Resumen!$F$30</f>
        <v>0</v>
      </c>
      <c r="G11" s="17">
        <f>[9]Resumen!$G$30</f>
        <v>0</v>
      </c>
      <c r="H11" s="18">
        <f>[9]Resumen!$H$30</f>
        <v>0</v>
      </c>
      <c r="I11" s="15">
        <f>[9]Resumen!$I$30</f>
        <v>0</v>
      </c>
      <c r="J11" s="16">
        <f>[9]Resumen!$J$30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[10]Resumen!$B$30</f>
        <v>0</v>
      </c>
      <c r="C12" s="15">
        <f>[10]Resumen!$C$30</f>
        <v>0</v>
      </c>
      <c r="D12" s="16">
        <f>[10]Resumen!$D$30</f>
        <v>0</v>
      </c>
      <c r="E12" s="14">
        <f>[10]Resumen!$E$30</f>
        <v>0</v>
      </c>
      <c r="F12" s="15">
        <f>[10]Resumen!$F$30</f>
        <v>0</v>
      </c>
      <c r="G12" s="17">
        <f>[10]Resumen!$G$30</f>
        <v>0</v>
      </c>
      <c r="H12" s="18">
        <f>[10]Resumen!$H$30</f>
        <v>0</v>
      </c>
      <c r="I12" s="15">
        <f>[10]Resumen!$I$30</f>
        <v>0</v>
      </c>
      <c r="J12" s="16">
        <f>[10]Resumen!$J$30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[11]Resumen!$B$30</f>
        <v>0</v>
      </c>
      <c r="C13" s="15">
        <f>[11]Resumen!$C$30</f>
        <v>0</v>
      </c>
      <c r="D13" s="16">
        <f>[11]Resumen!$D$30</f>
        <v>0</v>
      </c>
      <c r="E13" s="14">
        <f>[11]Resumen!$E$30</f>
        <v>0</v>
      </c>
      <c r="F13" s="15">
        <f>[11]Resumen!$F$30</f>
        <v>0</v>
      </c>
      <c r="G13" s="17">
        <f>[11]Resumen!$G$30</f>
        <v>0</v>
      </c>
      <c r="H13" s="18">
        <f>[11]Resumen!$H$30</f>
        <v>0</v>
      </c>
      <c r="I13" s="15">
        <f>[11]Resumen!$I$30</f>
        <v>0</v>
      </c>
      <c r="J13" s="16">
        <f>[11]Resumen!$J$30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[12]Resumen!$B$30</f>
        <v>0</v>
      </c>
      <c r="C14" s="15">
        <f>[12]Resumen!$C$30</f>
        <v>0</v>
      </c>
      <c r="D14" s="16">
        <f>[12]Resumen!$D$30</f>
        <v>0</v>
      </c>
      <c r="E14" s="14">
        <f>[12]Resumen!$E$30</f>
        <v>0</v>
      </c>
      <c r="F14" s="15">
        <f>[12]Resumen!$F$30</f>
        <v>0</v>
      </c>
      <c r="G14" s="17">
        <f>[12]Resumen!$G$30</f>
        <v>0</v>
      </c>
      <c r="H14" s="18">
        <f>[12]Resumen!$H$30</f>
        <v>0</v>
      </c>
      <c r="I14" s="15">
        <f>[12]Resumen!$I$30</f>
        <v>0</v>
      </c>
      <c r="J14" s="16">
        <f>[12]Resumen!$J$30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[13]Resumen!$B$30</f>
        <v>0</v>
      </c>
      <c r="C15" s="15">
        <f>[13]Resumen!$C$30</f>
        <v>0</v>
      </c>
      <c r="D15" s="16">
        <f>[13]Resumen!$D$30</f>
        <v>0</v>
      </c>
      <c r="E15" s="14">
        <f>[13]Resumen!$E$30</f>
        <v>0</v>
      </c>
      <c r="F15" s="15">
        <f>[13]Resumen!$F$30</f>
        <v>0</v>
      </c>
      <c r="G15" s="17">
        <f>[13]Resumen!$G$30</f>
        <v>0</v>
      </c>
      <c r="H15" s="18">
        <f>[13]Resumen!$H$30</f>
        <v>0</v>
      </c>
      <c r="I15" s="15">
        <f>[13]Resumen!$I$30</f>
        <v>0</v>
      </c>
      <c r="J15" s="16">
        <f>[13]Resumen!$J$30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[14]Resumen!$B$30</f>
        <v>0</v>
      </c>
      <c r="C16" s="15">
        <f>[14]Resumen!$C$30</f>
        <v>0</v>
      </c>
      <c r="D16" s="16">
        <f>[14]Resumen!$D$30</f>
        <v>0</v>
      </c>
      <c r="E16" s="14">
        <f>[14]Resumen!$E$30</f>
        <v>0</v>
      </c>
      <c r="F16" s="15">
        <f>[14]Resumen!$F$30</f>
        <v>0</v>
      </c>
      <c r="G16" s="17">
        <f>[14]Resumen!$G$30</f>
        <v>0</v>
      </c>
      <c r="H16" s="18">
        <f>[14]Resumen!$H$30</f>
        <v>0</v>
      </c>
      <c r="I16" s="15">
        <f>[14]Resumen!$I$30</f>
        <v>0</v>
      </c>
      <c r="J16" s="16">
        <f>[14]Resumen!$J$30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[15]Resumen!$B$30</f>
        <v>0</v>
      </c>
      <c r="C17" s="15">
        <f>[15]Resumen!$C$30</f>
        <v>0</v>
      </c>
      <c r="D17" s="16">
        <f>[15]Resumen!$D$30</f>
        <v>0</v>
      </c>
      <c r="E17" s="14">
        <f>[15]Resumen!$E$30</f>
        <v>0</v>
      </c>
      <c r="F17" s="15">
        <f>[15]Resumen!$F$30</f>
        <v>0</v>
      </c>
      <c r="G17" s="17">
        <f>[15]Resumen!$G$30</f>
        <v>0</v>
      </c>
      <c r="H17" s="18">
        <f>[15]Resumen!$H$30</f>
        <v>0</v>
      </c>
      <c r="I17" s="15">
        <f>[15]Resumen!$I$30</f>
        <v>0</v>
      </c>
      <c r="J17" s="16">
        <f>[15]Resumen!$J$30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[16]Resumen!$B$30</f>
        <v>0</v>
      </c>
      <c r="C18" s="15">
        <f>[16]Resumen!$C$30</f>
        <v>0</v>
      </c>
      <c r="D18" s="16">
        <f>[16]Resumen!$D$30</f>
        <v>0</v>
      </c>
      <c r="E18" s="14">
        <f>[16]Resumen!$E$30</f>
        <v>0</v>
      </c>
      <c r="F18" s="15">
        <f>[16]Resumen!$F$30</f>
        <v>0</v>
      </c>
      <c r="G18" s="17">
        <f>[16]Resumen!$G$30</f>
        <v>0</v>
      </c>
      <c r="H18" s="18">
        <f>[16]Resumen!$H$30</f>
        <v>0</v>
      </c>
      <c r="I18" s="15">
        <f>[16]Resumen!$I$30</f>
        <v>0</v>
      </c>
      <c r="J18" s="16">
        <f>[16]Resumen!$J$30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[17]Resumen!$B$30</f>
        <v>0</v>
      </c>
      <c r="C19" s="15">
        <f>[17]Resumen!$C$30</f>
        <v>0</v>
      </c>
      <c r="D19" s="16">
        <f>[17]Resumen!$D$30</f>
        <v>0</v>
      </c>
      <c r="E19" s="14">
        <f>[17]Resumen!$E$30</f>
        <v>0</v>
      </c>
      <c r="F19" s="15">
        <f>[17]Resumen!$F$30</f>
        <v>0</v>
      </c>
      <c r="G19" s="17">
        <f>[17]Resumen!$G$30</f>
        <v>0</v>
      </c>
      <c r="H19" s="18">
        <f>[17]Resumen!$H$30</f>
        <v>0</v>
      </c>
      <c r="I19" s="15">
        <f>[17]Resumen!$I$30</f>
        <v>0</v>
      </c>
      <c r="J19" s="16">
        <f>[17]Resumen!$J$30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[18]Resumen!$B$30</f>
        <v>0</v>
      </c>
      <c r="C20" s="15">
        <f>[18]Resumen!$C$30</f>
        <v>0</v>
      </c>
      <c r="D20" s="16">
        <f>[18]Resumen!$D$30</f>
        <v>0</v>
      </c>
      <c r="E20" s="14">
        <f>[18]Resumen!$E$30</f>
        <v>0</v>
      </c>
      <c r="F20" s="15">
        <f>[18]Resumen!$F$30</f>
        <v>0</v>
      </c>
      <c r="G20" s="17">
        <f>[18]Resumen!$G$30</f>
        <v>0</v>
      </c>
      <c r="H20" s="18">
        <f>[18]Resumen!$H$30</f>
        <v>0</v>
      </c>
      <c r="I20" s="15">
        <f>[18]Resumen!$I$30</f>
        <v>0</v>
      </c>
      <c r="J20" s="16">
        <f>[18]Resumen!$J$30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[19]Resumen!$B$30</f>
        <v>0</v>
      </c>
      <c r="C21" s="15">
        <f>[19]Resumen!$C$30</f>
        <v>0</v>
      </c>
      <c r="D21" s="16">
        <f>[19]Resumen!$D$30</f>
        <v>0</v>
      </c>
      <c r="E21" s="14">
        <f>[19]Resumen!$E$30</f>
        <v>0</v>
      </c>
      <c r="F21" s="15">
        <f>[19]Resumen!$F$30</f>
        <v>0</v>
      </c>
      <c r="G21" s="17">
        <f>[19]Resumen!$G$30</f>
        <v>0</v>
      </c>
      <c r="H21" s="18">
        <f>[19]Resumen!$H$30</f>
        <v>0</v>
      </c>
      <c r="I21" s="15">
        <f>[19]Resumen!$I$30</f>
        <v>0</v>
      </c>
      <c r="J21" s="16">
        <f>[19]Resumen!$J$30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[20]Resumen!$B$30</f>
        <v>0</v>
      </c>
      <c r="C22" s="15">
        <f>[20]Resumen!$C$30</f>
        <v>0</v>
      </c>
      <c r="D22" s="16">
        <f>[20]Resumen!$D$30</f>
        <v>0</v>
      </c>
      <c r="E22" s="14">
        <f>[20]Resumen!$E$30</f>
        <v>0</v>
      </c>
      <c r="F22" s="15">
        <f>[20]Resumen!$F$30</f>
        <v>0</v>
      </c>
      <c r="G22" s="17">
        <f>[20]Resumen!$G$30</f>
        <v>0</v>
      </c>
      <c r="H22" s="18">
        <f>[20]Resumen!$H$30</f>
        <v>0</v>
      </c>
      <c r="I22" s="15">
        <f>[20]Resumen!$I$30</f>
        <v>0</v>
      </c>
      <c r="J22" s="16">
        <f>[20]Resumen!$J$30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[21]Resumen!$B$30</f>
        <v>0</v>
      </c>
      <c r="C23" s="15">
        <f>[21]Resumen!$C$30</f>
        <v>0</v>
      </c>
      <c r="D23" s="16">
        <f>[21]Resumen!$D$30</f>
        <v>0</v>
      </c>
      <c r="E23" s="14">
        <f>[21]Resumen!$E$30</f>
        <v>0</v>
      </c>
      <c r="F23" s="15">
        <f>[21]Resumen!$F$30</f>
        <v>0</v>
      </c>
      <c r="G23" s="17">
        <f>[21]Resumen!$G$30</f>
        <v>0</v>
      </c>
      <c r="H23" s="18">
        <f>[21]Resumen!$H$30</f>
        <v>0</v>
      </c>
      <c r="I23" s="15">
        <f>[21]Resumen!$I$30</f>
        <v>0</v>
      </c>
      <c r="J23" s="16">
        <f>[21]Resumen!$J$30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[22]Resumen!$B$30</f>
        <v>0</v>
      </c>
      <c r="C24" s="15">
        <f>[22]Resumen!$C$30</f>
        <v>0</v>
      </c>
      <c r="D24" s="16">
        <f>[22]Resumen!$D$30</f>
        <v>0</v>
      </c>
      <c r="E24" s="14">
        <f>[22]Resumen!$E$30</f>
        <v>0</v>
      </c>
      <c r="F24" s="15">
        <f>[22]Resumen!$F$30</f>
        <v>0</v>
      </c>
      <c r="G24" s="17">
        <f>[22]Resumen!$G$30</f>
        <v>0</v>
      </c>
      <c r="H24" s="18">
        <f>[22]Resumen!$H$30</f>
        <v>0</v>
      </c>
      <c r="I24" s="15">
        <f>[22]Resumen!$I$30</f>
        <v>0</v>
      </c>
      <c r="J24" s="16">
        <f>[22]Resumen!$J$30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[23]Resumen!$B$30</f>
        <v>0</v>
      </c>
      <c r="C25" s="15">
        <f>[23]Resumen!$C$30</f>
        <v>0</v>
      </c>
      <c r="D25" s="16">
        <f>[23]Resumen!$D$30</f>
        <v>0</v>
      </c>
      <c r="E25" s="14">
        <f>[23]Resumen!$E$30</f>
        <v>0</v>
      </c>
      <c r="F25" s="15">
        <f>[23]Resumen!$F$30</f>
        <v>0</v>
      </c>
      <c r="G25" s="17">
        <f>[23]Resumen!$G$30</f>
        <v>0</v>
      </c>
      <c r="H25" s="18">
        <f>[23]Resumen!$H$30</f>
        <v>0</v>
      </c>
      <c r="I25" s="15">
        <f>[23]Resumen!$I$30</f>
        <v>0</v>
      </c>
      <c r="J25" s="16">
        <f>[23]Resumen!$J$30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[24]Resumen!$B$30</f>
        <v>0</v>
      </c>
      <c r="C26" s="15">
        <f>[24]Resumen!$C$30</f>
        <v>0</v>
      </c>
      <c r="D26" s="16">
        <f>[24]Resumen!$D$30</f>
        <v>0</v>
      </c>
      <c r="E26" s="14">
        <f>[24]Resumen!$E$30</f>
        <v>0</v>
      </c>
      <c r="F26" s="15">
        <f>[24]Resumen!$F$30</f>
        <v>0</v>
      </c>
      <c r="G26" s="17">
        <f>[24]Resumen!$G$30</f>
        <v>0</v>
      </c>
      <c r="H26" s="18">
        <f>[24]Resumen!$H$30</f>
        <v>0</v>
      </c>
      <c r="I26" s="15">
        <f>[24]Resumen!$I$30</f>
        <v>0</v>
      </c>
      <c r="J26" s="16">
        <f>[24]Resumen!$J$30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[25]Resumen!$B$30</f>
        <v>0</v>
      </c>
      <c r="C27" s="15">
        <f>[25]Resumen!$C$30</f>
        <v>0</v>
      </c>
      <c r="D27" s="16">
        <f>[25]Resumen!$D$30</f>
        <v>0</v>
      </c>
      <c r="E27" s="14">
        <f>[25]Resumen!$E$30</f>
        <v>0</v>
      </c>
      <c r="F27" s="15">
        <f>[25]Resumen!$F$30</f>
        <v>0</v>
      </c>
      <c r="G27" s="17">
        <f>[25]Resumen!$G$30</f>
        <v>0</v>
      </c>
      <c r="H27" s="18">
        <f>[25]Resumen!$H$30</f>
        <v>0</v>
      </c>
      <c r="I27" s="15">
        <f>[25]Resumen!$I$30</f>
        <v>0</v>
      </c>
      <c r="J27" s="16">
        <f>[25]Resumen!$J$30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[26]Resumen!$B$30</f>
        <v>0</v>
      </c>
      <c r="C28" s="15">
        <f>[26]Resumen!$C$30</f>
        <v>0</v>
      </c>
      <c r="D28" s="16">
        <f>[26]Resumen!$D$30</f>
        <v>0</v>
      </c>
      <c r="E28" s="14">
        <f>[26]Resumen!$E$30</f>
        <v>0</v>
      </c>
      <c r="F28" s="15">
        <f>[26]Resumen!$F$30</f>
        <v>0</v>
      </c>
      <c r="G28" s="17">
        <f>[26]Resumen!$G$30</f>
        <v>0</v>
      </c>
      <c r="H28" s="18">
        <f>[26]Resumen!$H$30</f>
        <v>0</v>
      </c>
      <c r="I28" s="15">
        <f>[26]Resumen!$I$30</f>
        <v>0</v>
      </c>
      <c r="J28" s="16">
        <f>[26]Resumen!$J$30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[27]Resumen!$B$30</f>
        <v>0</v>
      </c>
      <c r="C29" s="15">
        <f>[27]Resumen!$C$30</f>
        <v>0</v>
      </c>
      <c r="D29" s="16">
        <f>[27]Resumen!$D$30</f>
        <v>0</v>
      </c>
      <c r="E29" s="14">
        <f>[27]Resumen!$E$30</f>
        <v>0</v>
      </c>
      <c r="F29" s="15">
        <f>[27]Resumen!$F$30</f>
        <v>0</v>
      </c>
      <c r="G29" s="17">
        <f>[27]Resumen!$G$30</f>
        <v>0</v>
      </c>
      <c r="H29" s="18">
        <f>[27]Resumen!$H$30</f>
        <v>0</v>
      </c>
      <c r="I29" s="15">
        <f>[27]Resumen!$I$30</f>
        <v>0</v>
      </c>
      <c r="J29" s="16">
        <f>[27]Resumen!$J$30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[28]Resumen!$B$30</f>
        <v>0</v>
      </c>
      <c r="C30" s="15">
        <f>[28]Resumen!$C$30</f>
        <v>0</v>
      </c>
      <c r="D30" s="16">
        <f>[28]Resumen!$D$30</f>
        <v>0</v>
      </c>
      <c r="E30" s="14">
        <f>[28]Resumen!$E$30</f>
        <v>0</v>
      </c>
      <c r="F30" s="15">
        <f>[28]Resumen!$F$30</f>
        <v>0</v>
      </c>
      <c r="G30" s="17">
        <f>[28]Resumen!$G$30</f>
        <v>0</v>
      </c>
      <c r="H30" s="18">
        <f>[28]Resumen!$H$30</f>
        <v>0</v>
      </c>
      <c r="I30" s="15">
        <f>[28]Resumen!$I$30</f>
        <v>0</v>
      </c>
      <c r="J30" s="16">
        <f>[28]Resumen!$J$30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[29]Resumen!$B$30</f>
        <v>0</v>
      </c>
      <c r="C31" s="15">
        <f>[29]Resumen!$C$30</f>
        <v>0</v>
      </c>
      <c r="D31" s="16">
        <f>[29]Resumen!$D$30</f>
        <v>0</v>
      </c>
      <c r="E31" s="14">
        <f>[29]Resumen!$E$30</f>
        <v>0</v>
      </c>
      <c r="F31" s="15">
        <f>[29]Resumen!$F$30</f>
        <v>0</v>
      </c>
      <c r="G31" s="17">
        <f>[29]Resumen!$G$30</f>
        <v>0</v>
      </c>
      <c r="H31" s="18">
        <f>[29]Resumen!$H$30</f>
        <v>0</v>
      </c>
      <c r="I31" s="15">
        <f>[29]Resumen!$I$30</f>
        <v>0</v>
      </c>
      <c r="J31" s="16">
        <f>[29]Resumen!$J$30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[30]Resumen!$B$30</f>
        <v>0</v>
      </c>
      <c r="C32" s="15">
        <f>[30]Resumen!$C$30</f>
        <v>0</v>
      </c>
      <c r="D32" s="16">
        <f>[30]Resumen!$D$30</f>
        <v>0</v>
      </c>
      <c r="E32" s="14">
        <f>[30]Resumen!$E$30</f>
        <v>0</v>
      </c>
      <c r="F32" s="15">
        <f>[30]Resumen!$F$30</f>
        <v>0</v>
      </c>
      <c r="G32" s="17">
        <f>[30]Resumen!$G$30</f>
        <v>0</v>
      </c>
      <c r="H32" s="18">
        <f>[30]Resumen!$H$30</f>
        <v>0</v>
      </c>
      <c r="I32" s="15">
        <f>[30]Resumen!$I$30</f>
        <v>0</v>
      </c>
      <c r="J32" s="16">
        <f>[30]Resumen!$J$30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[31]Resumen!$B$30</f>
        <v>0</v>
      </c>
      <c r="C33" s="15">
        <f>[31]Resumen!$C$30</f>
        <v>0</v>
      </c>
      <c r="D33" s="16">
        <f>[31]Resumen!$D$30</f>
        <v>0</v>
      </c>
      <c r="E33" s="14">
        <f>[31]Resumen!$E$30</f>
        <v>0</v>
      </c>
      <c r="F33" s="15">
        <f>[31]Resumen!$F$30</f>
        <v>0</v>
      </c>
      <c r="G33" s="17">
        <f>[31]Resumen!$G$30</f>
        <v>0</v>
      </c>
      <c r="H33" s="18">
        <f>[31]Resumen!$H$30</f>
        <v>0</v>
      </c>
      <c r="I33" s="15">
        <f>[31]Resumen!$I$30</f>
        <v>0</v>
      </c>
      <c r="J33" s="16">
        <f>[31]Resumen!$J$30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[1]Resumen!$B$30</f>
        <v>0</v>
      </c>
      <c r="C34" s="15">
        <f>[1]Resumen!$C$30</f>
        <v>0</v>
      </c>
      <c r="D34" s="16">
        <f>[1]Resumen!$D$30</f>
        <v>0</v>
      </c>
      <c r="E34" s="14">
        <f>[1]Resumen!$E$30</f>
        <v>0</v>
      </c>
      <c r="F34" s="15">
        <f>[1]Resumen!$F$30</f>
        <v>0</v>
      </c>
      <c r="G34" s="17">
        <f>[1]Resumen!$G$30</f>
        <v>0</v>
      </c>
      <c r="H34" s="18">
        <f>[1]Resumen!$H$30</f>
        <v>0</v>
      </c>
      <c r="I34" s="15">
        <f>[1]Resumen!$I$30</f>
        <v>0</v>
      </c>
      <c r="J34" s="16">
        <f>[1]Resumen!$J$30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+[2]Resumen!$B$30</f>
        <v>0</v>
      </c>
      <c r="C35" s="22">
        <f>+[2]Resumen!$C$30</f>
        <v>0</v>
      </c>
      <c r="D35" s="23">
        <f>+[2]Resumen!$D$30</f>
        <v>0</v>
      </c>
      <c r="E35" s="21">
        <f>+[2]Resumen!$E$30</f>
        <v>0</v>
      </c>
      <c r="F35" s="22">
        <f>+[2]Resumen!$F$30</f>
        <v>0</v>
      </c>
      <c r="G35" s="24">
        <f>+[2]Resumen!$G$30</f>
        <v>0</v>
      </c>
      <c r="H35" s="25">
        <f>+[2]Resumen!$H$30</f>
        <v>0</v>
      </c>
      <c r="I35" s="22">
        <f>+[2]Resumen!$I$30</f>
        <v>0</v>
      </c>
      <c r="J35" s="23">
        <f>+[2]Resumen!$J$30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66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[3]Resumen!$B$31</f>
        <v>0</v>
      </c>
      <c r="C5" s="58">
        <f>[3]Resumen!$C$31</f>
        <v>0</v>
      </c>
      <c r="D5" s="54">
        <f>[3]Resumen!$D$31</f>
        <v>0</v>
      </c>
      <c r="E5" s="53">
        <f>[3]Resumen!$E$31</f>
        <v>0</v>
      </c>
      <c r="F5" s="58">
        <f>[3]Resumen!$F$31</f>
        <v>0</v>
      </c>
      <c r="G5" s="55">
        <f>[3]Resumen!$G$31</f>
        <v>0</v>
      </c>
      <c r="H5" s="61">
        <f>[3]Resumen!$H$31</f>
        <v>0</v>
      </c>
      <c r="I5" s="58">
        <f>[3]Resumen!$I$31</f>
        <v>0</v>
      </c>
      <c r="J5" s="54">
        <f>[3]Resumen!$J$31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[4]Resumen!$B$31</f>
        <v>0</v>
      </c>
      <c r="C6" s="15">
        <f>[4]Resumen!$C$31</f>
        <v>0</v>
      </c>
      <c r="D6" s="16">
        <f>[4]Resumen!$D$31</f>
        <v>0</v>
      </c>
      <c r="E6" s="14">
        <f>[4]Resumen!$E$31</f>
        <v>0</v>
      </c>
      <c r="F6" s="15">
        <f>[4]Resumen!$F$31</f>
        <v>0</v>
      </c>
      <c r="G6" s="17">
        <f>[4]Resumen!$G$31</f>
        <v>0</v>
      </c>
      <c r="H6" s="18">
        <f>[4]Resumen!$H$31</f>
        <v>0</v>
      </c>
      <c r="I6" s="15">
        <f>[4]Resumen!$I$31</f>
        <v>0</v>
      </c>
      <c r="J6" s="16">
        <f>[4]Resumen!$J$31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[5]Resumen!$B$31</f>
        <v>0</v>
      </c>
      <c r="C7" s="15">
        <f>[5]Resumen!$C$31</f>
        <v>0</v>
      </c>
      <c r="D7" s="16">
        <f>[5]Resumen!$D$31</f>
        <v>0</v>
      </c>
      <c r="E7" s="14">
        <f>[5]Resumen!$E$31</f>
        <v>0</v>
      </c>
      <c r="F7" s="15">
        <f>[5]Resumen!$F$31</f>
        <v>0</v>
      </c>
      <c r="G7" s="17">
        <f>[5]Resumen!$G$31</f>
        <v>0</v>
      </c>
      <c r="H7" s="18">
        <f>[5]Resumen!$H$31</f>
        <v>0</v>
      </c>
      <c r="I7" s="15">
        <f>[5]Resumen!$I$31</f>
        <v>0</v>
      </c>
      <c r="J7" s="16">
        <f>[5]Resumen!$J$31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[6]Resumen!$B$31</f>
        <v>0</v>
      </c>
      <c r="C8" s="15">
        <f>[6]Resumen!$C$31</f>
        <v>0</v>
      </c>
      <c r="D8" s="16">
        <f>[6]Resumen!$D$31</f>
        <v>0</v>
      </c>
      <c r="E8" s="14">
        <f>[6]Resumen!$E$31</f>
        <v>0</v>
      </c>
      <c r="F8" s="15">
        <f>[6]Resumen!$F$31</f>
        <v>0</v>
      </c>
      <c r="G8" s="17">
        <f>[6]Resumen!$G$31</f>
        <v>0</v>
      </c>
      <c r="H8" s="18">
        <f>[6]Resumen!$H$31</f>
        <v>0</v>
      </c>
      <c r="I8" s="15">
        <f>[6]Resumen!$I$31</f>
        <v>0</v>
      </c>
      <c r="J8" s="16">
        <f>[6]Resumen!$J$31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[7]Resumen!$B$31</f>
        <v>0</v>
      </c>
      <c r="C9" s="15">
        <f>[7]Resumen!$C$31</f>
        <v>0</v>
      </c>
      <c r="D9" s="16">
        <f>[7]Resumen!$D$31</f>
        <v>0</v>
      </c>
      <c r="E9" s="14">
        <f>[7]Resumen!$E$31</f>
        <v>0</v>
      </c>
      <c r="F9" s="15">
        <f>[7]Resumen!$F$31</f>
        <v>0</v>
      </c>
      <c r="G9" s="17">
        <f>[7]Resumen!$G$31</f>
        <v>0</v>
      </c>
      <c r="H9" s="18">
        <f>[7]Resumen!$H$31</f>
        <v>0</v>
      </c>
      <c r="I9" s="15">
        <f>[7]Resumen!$I$31</f>
        <v>0</v>
      </c>
      <c r="J9" s="16">
        <f>[7]Resumen!$J$31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[8]Resumen!$B$31</f>
        <v>0</v>
      </c>
      <c r="C10" s="15">
        <f>[8]Resumen!$C$31</f>
        <v>0</v>
      </c>
      <c r="D10" s="16">
        <f>[8]Resumen!$D$31</f>
        <v>0</v>
      </c>
      <c r="E10" s="14">
        <f>[8]Resumen!$E$31</f>
        <v>0</v>
      </c>
      <c r="F10" s="15">
        <f>[8]Resumen!$F$31</f>
        <v>0</v>
      </c>
      <c r="G10" s="17">
        <f>[8]Resumen!$G$31</f>
        <v>0</v>
      </c>
      <c r="H10" s="18">
        <f>[8]Resumen!$H$31</f>
        <v>0</v>
      </c>
      <c r="I10" s="15">
        <f>[8]Resumen!$I$31</f>
        <v>0</v>
      </c>
      <c r="J10" s="16">
        <f>[8]Resumen!$J$31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[9]Resumen!$B$31</f>
        <v>0</v>
      </c>
      <c r="C11" s="15">
        <f>[9]Resumen!$C$31</f>
        <v>0</v>
      </c>
      <c r="D11" s="16">
        <f>[9]Resumen!$D$31</f>
        <v>0</v>
      </c>
      <c r="E11" s="14">
        <f>[9]Resumen!$E$31</f>
        <v>0</v>
      </c>
      <c r="F11" s="15">
        <f>[9]Resumen!$F$31</f>
        <v>0</v>
      </c>
      <c r="G11" s="17">
        <f>[9]Resumen!$G$31</f>
        <v>0</v>
      </c>
      <c r="H11" s="18">
        <f>[9]Resumen!$H$31</f>
        <v>0</v>
      </c>
      <c r="I11" s="15">
        <f>[9]Resumen!$I$31</f>
        <v>0</v>
      </c>
      <c r="J11" s="16">
        <f>[9]Resumen!$J$31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[10]Resumen!$B$31</f>
        <v>0</v>
      </c>
      <c r="C12" s="15">
        <f>[10]Resumen!$C$31</f>
        <v>0</v>
      </c>
      <c r="D12" s="16">
        <f>[10]Resumen!$D$31</f>
        <v>0</v>
      </c>
      <c r="E12" s="14">
        <f>[10]Resumen!$E$31</f>
        <v>0</v>
      </c>
      <c r="F12" s="15">
        <f>[10]Resumen!$F$31</f>
        <v>0</v>
      </c>
      <c r="G12" s="17">
        <f>[10]Resumen!$G$31</f>
        <v>0</v>
      </c>
      <c r="H12" s="18">
        <f>[10]Resumen!$H$31</f>
        <v>0</v>
      </c>
      <c r="I12" s="15">
        <f>[10]Resumen!$I$31</f>
        <v>0</v>
      </c>
      <c r="J12" s="16">
        <f>[10]Resumen!$J$31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[11]Resumen!$B$31</f>
        <v>0</v>
      </c>
      <c r="C13" s="15">
        <f>[11]Resumen!$C$31</f>
        <v>0</v>
      </c>
      <c r="D13" s="16">
        <f>[11]Resumen!$D$31</f>
        <v>0</v>
      </c>
      <c r="E13" s="14">
        <f>[11]Resumen!$E$31</f>
        <v>0</v>
      </c>
      <c r="F13" s="15">
        <f>[11]Resumen!$F$31</f>
        <v>0</v>
      </c>
      <c r="G13" s="17">
        <f>[11]Resumen!$G$31</f>
        <v>0</v>
      </c>
      <c r="H13" s="18">
        <f>[11]Resumen!$H$31</f>
        <v>0</v>
      </c>
      <c r="I13" s="15">
        <f>[11]Resumen!$I$31</f>
        <v>0</v>
      </c>
      <c r="J13" s="16">
        <f>[11]Resumen!$J$31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[12]Resumen!$B$31</f>
        <v>0</v>
      </c>
      <c r="C14" s="15">
        <f>[12]Resumen!$C$31</f>
        <v>0</v>
      </c>
      <c r="D14" s="16">
        <f>[12]Resumen!$D$31</f>
        <v>0</v>
      </c>
      <c r="E14" s="14">
        <f>[12]Resumen!$E$31</f>
        <v>0</v>
      </c>
      <c r="F14" s="15">
        <f>[12]Resumen!$F$31</f>
        <v>0</v>
      </c>
      <c r="G14" s="17">
        <f>[12]Resumen!$G$31</f>
        <v>0</v>
      </c>
      <c r="H14" s="18">
        <f>[12]Resumen!$H$31</f>
        <v>0</v>
      </c>
      <c r="I14" s="15">
        <f>[12]Resumen!$I$31</f>
        <v>0</v>
      </c>
      <c r="J14" s="16">
        <f>[12]Resumen!$J$31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[13]Resumen!$B$31</f>
        <v>0</v>
      </c>
      <c r="C15" s="15">
        <f>[13]Resumen!$C$31</f>
        <v>0</v>
      </c>
      <c r="D15" s="16">
        <f>[13]Resumen!$D$31</f>
        <v>0</v>
      </c>
      <c r="E15" s="14">
        <f>[13]Resumen!$E$31</f>
        <v>0</v>
      </c>
      <c r="F15" s="15">
        <f>[13]Resumen!$F$31</f>
        <v>0</v>
      </c>
      <c r="G15" s="17">
        <f>[13]Resumen!$G$31</f>
        <v>0</v>
      </c>
      <c r="H15" s="18">
        <f>[13]Resumen!$H$31</f>
        <v>0</v>
      </c>
      <c r="I15" s="15">
        <f>[13]Resumen!$I$31</f>
        <v>0</v>
      </c>
      <c r="J15" s="16">
        <f>[13]Resumen!$J$31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[14]Resumen!$B$31</f>
        <v>0</v>
      </c>
      <c r="C16" s="15">
        <f>[14]Resumen!$C$31</f>
        <v>0</v>
      </c>
      <c r="D16" s="16">
        <f>[14]Resumen!$D$31</f>
        <v>0</v>
      </c>
      <c r="E16" s="14">
        <f>[14]Resumen!$E$31</f>
        <v>0</v>
      </c>
      <c r="F16" s="15">
        <f>[14]Resumen!$F$31</f>
        <v>0</v>
      </c>
      <c r="G16" s="17">
        <f>[14]Resumen!$G$31</f>
        <v>0</v>
      </c>
      <c r="H16" s="18">
        <f>[14]Resumen!$H$31</f>
        <v>0</v>
      </c>
      <c r="I16" s="15">
        <f>[14]Resumen!$I$31</f>
        <v>0</v>
      </c>
      <c r="J16" s="16">
        <f>[14]Resumen!$J$31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[15]Resumen!$B$31</f>
        <v>0</v>
      </c>
      <c r="C17" s="15">
        <f>[15]Resumen!$C$31</f>
        <v>0</v>
      </c>
      <c r="D17" s="16">
        <f>[15]Resumen!$D$31</f>
        <v>0</v>
      </c>
      <c r="E17" s="14">
        <f>[15]Resumen!$E$31</f>
        <v>0</v>
      </c>
      <c r="F17" s="15">
        <f>[15]Resumen!$F$31</f>
        <v>0</v>
      </c>
      <c r="G17" s="17">
        <f>[15]Resumen!$G$31</f>
        <v>0</v>
      </c>
      <c r="H17" s="18">
        <f>[15]Resumen!$H$31</f>
        <v>0</v>
      </c>
      <c r="I17" s="15">
        <f>[15]Resumen!$I$31</f>
        <v>0</v>
      </c>
      <c r="J17" s="16">
        <f>[15]Resumen!$J$31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[16]Resumen!$B$31</f>
        <v>0</v>
      </c>
      <c r="C18" s="15">
        <f>[16]Resumen!$C$31</f>
        <v>0</v>
      </c>
      <c r="D18" s="16">
        <f>[16]Resumen!$D$31</f>
        <v>0</v>
      </c>
      <c r="E18" s="14">
        <f>[16]Resumen!$E$31</f>
        <v>0</v>
      </c>
      <c r="F18" s="15">
        <f>[16]Resumen!$F$31</f>
        <v>0</v>
      </c>
      <c r="G18" s="17">
        <f>[16]Resumen!$G$31</f>
        <v>0</v>
      </c>
      <c r="H18" s="18">
        <f>[16]Resumen!$H$31</f>
        <v>0</v>
      </c>
      <c r="I18" s="15">
        <f>[16]Resumen!$I$31</f>
        <v>0</v>
      </c>
      <c r="J18" s="16">
        <f>[16]Resumen!$J$31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[17]Resumen!$B$31</f>
        <v>0</v>
      </c>
      <c r="C19" s="15">
        <f>[17]Resumen!$C$31</f>
        <v>0</v>
      </c>
      <c r="D19" s="16">
        <f>[17]Resumen!$D$31</f>
        <v>0</v>
      </c>
      <c r="E19" s="14">
        <f>[17]Resumen!$E$31</f>
        <v>0</v>
      </c>
      <c r="F19" s="15">
        <f>[17]Resumen!$F$31</f>
        <v>0</v>
      </c>
      <c r="G19" s="17">
        <f>[17]Resumen!$G$31</f>
        <v>0</v>
      </c>
      <c r="H19" s="18">
        <f>[17]Resumen!$H$31</f>
        <v>0</v>
      </c>
      <c r="I19" s="15">
        <f>[17]Resumen!$I$31</f>
        <v>0</v>
      </c>
      <c r="J19" s="16">
        <f>[17]Resumen!$J$31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[18]Resumen!$B$31</f>
        <v>0</v>
      </c>
      <c r="C20" s="15">
        <f>[18]Resumen!$C$31</f>
        <v>0</v>
      </c>
      <c r="D20" s="16">
        <f>[18]Resumen!$D$31</f>
        <v>0</v>
      </c>
      <c r="E20" s="14">
        <f>[18]Resumen!$E$31</f>
        <v>0</v>
      </c>
      <c r="F20" s="15">
        <f>[18]Resumen!$F$31</f>
        <v>0</v>
      </c>
      <c r="G20" s="17">
        <f>[18]Resumen!$G$31</f>
        <v>0</v>
      </c>
      <c r="H20" s="18">
        <f>[18]Resumen!$H$31</f>
        <v>0</v>
      </c>
      <c r="I20" s="15">
        <f>[18]Resumen!$I$31</f>
        <v>0</v>
      </c>
      <c r="J20" s="16">
        <f>[18]Resumen!$J$31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[19]Resumen!$B$31</f>
        <v>0</v>
      </c>
      <c r="C21" s="15">
        <f>[19]Resumen!$C$31</f>
        <v>0</v>
      </c>
      <c r="D21" s="16">
        <f>[19]Resumen!$D$31</f>
        <v>0</v>
      </c>
      <c r="E21" s="14">
        <f>[19]Resumen!$E$31</f>
        <v>0</v>
      </c>
      <c r="F21" s="15">
        <f>[19]Resumen!$F$31</f>
        <v>0</v>
      </c>
      <c r="G21" s="17">
        <f>[19]Resumen!$G$31</f>
        <v>0</v>
      </c>
      <c r="H21" s="18">
        <f>[19]Resumen!$H$31</f>
        <v>0</v>
      </c>
      <c r="I21" s="15">
        <f>[19]Resumen!$I$31</f>
        <v>0</v>
      </c>
      <c r="J21" s="16">
        <f>[19]Resumen!$J$31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[20]Resumen!$B$31</f>
        <v>0</v>
      </c>
      <c r="C22" s="15">
        <f>[20]Resumen!$C$31</f>
        <v>0</v>
      </c>
      <c r="D22" s="16">
        <f>[20]Resumen!$D$31</f>
        <v>0</v>
      </c>
      <c r="E22" s="14">
        <f>[20]Resumen!$E$31</f>
        <v>0</v>
      </c>
      <c r="F22" s="15">
        <f>[20]Resumen!$F$31</f>
        <v>0</v>
      </c>
      <c r="G22" s="17">
        <f>[20]Resumen!$G$31</f>
        <v>0</v>
      </c>
      <c r="H22" s="18">
        <f>[20]Resumen!$H$31</f>
        <v>0</v>
      </c>
      <c r="I22" s="15">
        <f>[20]Resumen!$I$31</f>
        <v>0</v>
      </c>
      <c r="J22" s="16">
        <f>[20]Resumen!$J$31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[21]Resumen!$B$31</f>
        <v>0</v>
      </c>
      <c r="C23" s="15">
        <f>[21]Resumen!$C$31</f>
        <v>0</v>
      </c>
      <c r="D23" s="16">
        <f>[21]Resumen!$D$31</f>
        <v>0</v>
      </c>
      <c r="E23" s="14">
        <f>[21]Resumen!$E$31</f>
        <v>0</v>
      </c>
      <c r="F23" s="15">
        <f>[21]Resumen!$F$31</f>
        <v>0</v>
      </c>
      <c r="G23" s="17">
        <f>[21]Resumen!$G$31</f>
        <v>0</v>
      </c>
      <c r="H23" s="18">
        <f>[21]Resumen!$H$31</f>
        <v>0</v>
      </c>
      <c r="I23" s="15">
        <f>[21]Resumen!$I$31</f>
        <v>0</v>
      </c>
      <c r="J23" s="16">
        <f>[21]Resumen!$J$31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[22]Resumen!$B$31</f>
        <v>0</v>
      </c>
      <c r="C24" s="15">
        <f>[22]Resumen!$C$31</f>
        <v>0</v>
      </c>
      <c r="D24" s="16">
        <f>[22]Resumen!$D$31</f>
        <v>0</v>
      </c>
      <c r="E24" s="14">
        <f>[22]Resumen!$E$31</f>
        <v>0</v>
      </c>
      <c r="F24" s="15">
        <f>[22]Resumen!$F$31</f>
        <v>0</v>
      </c>
      <c r="G24" s="17">
        <f>[22]Resumen!$G$31</f>
        <v>0</v>
      </c>
      <c r="H24" s="18">
        <f>[22]Resumen!$H$31</f>
        <v>0</v>
      </c>
      <c r="I24" s="15">
        <f>[22]Resumen!$I$31</f>
        <v>0</v>
      </c>
      <c r="J24" s="16">
        <f>[22]Resumen!$J$31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[23]Resumen!$B$31</f>
        <v>0</v>
      </c>
      <c r="C25" s="15">
        <f>[23]Resumen!$C$31</f>
        <v>0</v>
      </c>
      <c r="D25" s="16">
        <f>[23]Resumen!$D$31</f>
        <v>0</v>
      </c>
      <c r="E25" s="14">
        <f>[23]Resumen!$E$31</f>
        <v>0</v>
      </c>
      <c r="F25" s="15">
        <f>[23]Resumen!$F$31</f>
        <v>0</v>
      </c>
      <c r="G25" s="17">
        <f>[23]Resumen!$G$31</f>
        <v>0</v>
      </c>
      <c r="H25" s="18">
        <f>[23]Resumen!$H$31</f>
        <v>0</v>
      </c>
      <c r="I25" s="15">
        <f>[23]Resumen!$I$31</f>
        <v>0</v>
      </c>
      <c r="J25" s="16">
        <f>[23]Resumen!$J$31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[24]Resumen!$B$31</f>
        <v>0</v>
      </c>
      <c r="C26" s="15">
        <f>[24]Resumen!$C$31</f>
        <v>0</v>
      </c>
      <c r="D26" s="16">
        <f>[24]Resumen!$D$31</f>
        <v>0</v>
      </c>
      <c r="E26" s="14">
        <f>[24]Resumen!$E$31</f>
        <v>0</v>
      </c>
      <c r="F26" s="15">
        <f>[24]Resumen!$F$31</f>
        <v>0</v>
      </c>
      <c r="G26" s="17">
        <f>[24]Resumen!$G$31</f>
        <v>0</v>
      </c>
      <c r="H26" s="18">
        <f>[24]Resumen!$H$31</f>
        <v>0</v>
      </c>
      <c r="I26" s="15">
        <f>[24]Resumen!$I$31</f>
        <v>0</v>
      </c>
      <c r="J26" s="16">
        <f>[24]Resumen!$J$31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[25]Resumen!$B$31</f>
        <v>0</v>
      </c>
      <c r="C27" s="15">
        <f>[25]Resumen!$C$31</f>
        <v>0</v>
      </c>
      <c r="D27" s="16">
        <f>[25]Resumen!$D$31</f>
        <v>0</v>
      </c>
      <c r="E27" s="14">
        <f>[25]Resumen!$E$31</f>
        <v>0</v>
      </c>
      <c r="F27" s="15">
        <f>[25]Resumen!$F$31</f>
        <v>0</v>
      </c>
      <c r="G27" s="17">
        <f>[25]Resumen!$G$31</f>
        <v>0</v>
      </c>
      <c r="H27" s="18">
        <f>[25]Resumen!$H$31</f>
        <v>0</v>
      </c>
      <c r="I27" s="15">
        <f>[25]Resumen!$I$31</f>
        <v>0</v>
      </c>
      <c r="J27" s="16">
        <f>[25]Resumen!$J$31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[26]Resumen!$B$31</f>
        <v>0</v>
      </c>
      <c r="C28" s="15">
        <f>[26]Resumen!$C$31</f>
        <v>0</v>
      </c>
      <c r="D28" s="16">
        <f>[26]Resumen!$D$31</f>
        <v>0</v>
      </c>
      <c r="E28" s="14">
        <f>[26]Resumen!$E$31</f>
        <v>0</v>
      </c>
      <c r="F28" s="15">
        <f>[26]Resumen!$F$31</f>
        <v>0</v>
      </c>
      <c r="G28" s="17">
        <f>[26]Resumen!$G$31</f>
        <v>0</v>
      </c>
      <c r="H28" s="18">
        <f>[26]Resumen!$H$31</f>
        <v>0</v>
      </c>
      <c r="I28" s="15">
        <f>[26]Resumen!$I$31</f>
        <v>0</v>
      </c>
      <c r="J28" s="16">
        <f>[26]Resumen!$J$31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[27]Resumen!$B$31</f>
        <v>0</v>
      </c>
      <c r="C29" s="15">
        <f>[27]Resumen!$C$31</f>
        <v>0</v>
      </c>
      <c r="D29" s="16">
        <f>[27]Resumen!$D$31</f>
        <v>0</v>
      </c>
      <c r="E29" s="14">
        <f>[27]Resumen!$E$31</f>
        <v>0</v>
      </c>
      <c r="F29" s="15">
        <f>[27]Resumen!$F$31</f>
        <v>0</v>
      </c>
      <c r="G29" s="17">
        <f>[27]Resumen!$G$31</f>
        <v>0</v>
      </c>
      <c r="H29" s="18">
        <f>[27]Resumen!$H$31</f>
        <v>0</v>
      </c>
      <c r="I29" s="15">
        <f>[27]Resumen!$I$31</f>
        <v>0</v>
      </c>
      <c r="J29" s="16">
        <f>[27]Resumen!$J$31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[28]Resumen!$B$31</f>
        <v>0</v>
      </c>
      <c r="C30" s="15">
        <f>[28]Resumen!$C$31</f>
        <v>0</v>
      </c>
      <c r="D30" s="16">
        <f>[28]Resumen!$D$31</f>
        <v>0</v>
      </c>
      <c r="E30" s="14">
        <f>[28]Resumen!$E$31</f>
        <v>0</v>
      </c>
      <c r="F30" s="15">
        <f>[28]Resumen!$F$31</f>
        <v>0</v>
      </c>
      <c r="G30" s="17">
        <f>[28]Resumen!$G$31</f>
        <v>0</v>
      </c>
      <c r="H30" s="18">
        <f>[28]Resumen!$H$31</f>
        <v>0</v>
      </c>
      <c r="I30" s="15">
        <f>[28]Resumen!$I$31</f>
        <v>0</v>
      </c>
      <c r="J30" s="16">
        <f>[28]Resumen!$J$31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[29]Resumen!$B$31</f>
        <v>0</v>
      </c>
      <c r="C31" s="15">
        <f>[29]Resumen!$C$31</f>
        <v>0</v>
      </c>
      <c r="D31" s="16">
        <f>[29]Resumen!$D$31</f>
        <v>0</v>
      </c>
      <c r="E31" s="14">
        <f>[29]Resumen!$E$31</f>
        <v>0</v>
      </c>
      <c r="F31" s="15">
        <f>[29]Resumen!$F$31</f>
        <v>0</v>
      </c>
      <c r="G31" s="17">
        <f>[29]Resumen!$G$31</f>
        <v>0</v>
      </c>
      <c r="H31" s="18">
        <f>[29]Resumen!$H$31</f>
        <v>0</v>
      </c>
      <c r="I31" s="15">
        <f>[29]Resumen!$I$31</f>
        <v>0</v>
      </c>
      <c r="J31" s="16">
        <f>[29]Resumen!$J$31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[30]Resumen!$B$31</f>
        <v>0</v>
      </c>
      <c r="C32" s="15">
        <f>[30]Resumen!$C$31</f>
        <v>0</v>
      </c>
      <c r="D32" s="16">
        <f>[30]Resumen!$D$31</f>
        <v>0</v>
      </c>
      <c r="E32" s="14">
        <f>[30]Resumen!$E$31</f>
        <v>0</v>
      </c>
      <c r="F32" s="15">
        <f>[30]Resumen!$F$31</f>
        <v>0</v>
      </c>
      <c r="G32" s="17">
        <f>[30]Resumen!$G$31</f>
        <v>0</v>
      </c>
      <c r="H32" s="18">
        <f>[30]Resumen!$H$31</f>
        <v>0</v>
      </c>
      <c r="I32" s="15">
        <f>[30]Resumen!$I$31</f>
        <v>0</v>
      </c>
      <c r="J32" s="16">
        <f>[30]Resumen!$J$31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[31]Resumen!$B$31</f>
        <v>0</v>
      </c>
      <c r="C33" s="15">
        <f>[31]Resumen!$C$31</f>
        <v>0</v>
      </c>
      <c r="D33" s="16">
        <f>[31]Resumen!$D$31</f>
        <v>0</v>
      </c>
      <c r="E33" s="14">
        <f>[31]Resumen!$E$31</f>
        <v>0</v>
      </c>
      <c r="F33" s="15">
        <f>[31]Resumen!$F$31</f>
        <v>0</v>
      </c>
      <c r="G33" s="17">
        <f>[31]Resumen!$G$31</f>
        <v>0</v>
      </c>
      <c r="H33" s="18">
        <f>[31]Resumen!$H$31</f>
        <v>0</v>
      </c>
      <c r="I33" s="15">
        <f>[31]Resumen!$I$31</f>
        <v>0</v>
      </c>
      <c r="J33" s="16">
        <f>[31]Resumen!$J$31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[1]Resumen!$B$31</f>
        <v>0</v>
      </c>
      <c r="C34" s="15">
        <f>[1]Resumen!$C$31</f>
        <v>0</v>
      </c>
      <c r="D34" s="16">
        <f>[1]Resumen!$D$31</f>
        <v>0</v>
      </c>
      <c r="E34" s="14">
        <f>[1]Resumen!$E$31</f>
        <v>0</v>
      </c>
      <c r="F34" s="15">
        <f>[1]Resumen!$F$31</f>
        <v>0</v>
      </c>
      <c r="G34" s="17">
        <f>[1]Resumen!$G$31</f>
        <v>0</v>
      </c>
      <c r="H34" s="18">
        <f>[1]Resumen!$H$31</f>
        <v>0</v>
      </c>
      <c r="I34" s="15">
        <f>[1]Resumen!$I$31</f>
        <v>0</v>
      </c>
      <c r="J34" s="16">
        <f>[1]Resumen!$J$31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+[2]Resumen!$B$31</f>
        <v>0</v>
      </c>
      <c r="C35" s="22">
        <f>+[2]Resumen!$C$31</f>
        <v>0</v>
      </c>
      <c r="D35" s="23">
        <f>+[2]Resumen!$D$31</f>
        <v>0</v>
      </c>
      <c r="E35" s="21">
        <f>+[2]Resumen!$E$31</f>
        <v>0</v>
      </c>
      <c r="F35" s="22">
        <f>+[2]Resumen!$F$31</f>
        <v>0</v>
      </c>
      <c r="G35" s="24">
        <f>+[2]Resumen!$G$31</f>
        <v>0</v>
      </c>
      <c r="H35" s="25">
        <f>+[2]Resumen!$H$31</f>
        <v>0</v>
      </c>
      <c r="I35" s="22">
        <f>+[2]Resumen!$I$31</f>
        <v>0</v>
      </c>
      <c r="J35" s="23">
        <f>+[2]Resumen!$J$31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60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[3]Resumen!$B$32</f>
        <v>0</v>
      </c>
      <c r="C5" s="58">
        <f>[3]Resumen!$C$32</f>
        <v>0</v>
      </c>
      <c r="D5" s="54">
        <f>[3]Resumen!$D$32</f>
        <v>0</v>
      </c>
      <c r="E5" s="53">
        <f>[3]Resumen!$E$32</f>
        <v>0</v>
      </c>
      <c r="F5" s="58">
        <f>[3]Resumen!$F$32</f>
        <v>0</v>
      </c>
      <c r="G5" s="55">
        <f>[3]Resumen!$G$32</f>
        <v>0</v>
      </c>
      <c r="H5" s="61">
        <f>[3]Resumen!$H$32</f>
        <v>0</v>
      </c>
      <c r="I5" s="58">
        <f>[3]Resumen!$I$32</f>
        <v>0</v>
      </c>
      <c r="J5" s="54">
        <f>[3]Resumen!$J$32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[4]Resumen!$B$32</f>
        <v>0</v>
      </c>
      <c r="C6" s="15">
        <f>[4]Resumen!$C$32</f>
        <v>0</v>
      </c>
      <c r="D6" s="16">
        <f>[4]Resumen!$D$32</f>
        <v>0</v>
      </c>
      <c r="E6" s="14">
        <f>[4]Resumen!$E$32</f>
        <v>0</v>
      </c>
      <c r="F6" s="15">
        <f>[4]Resumen!$F$32</f>
        <v>0</v>
      </c>
      <c r="G6" s="17">
        <f>[4]Resumen!$G$32</f>
        <v>0</v>
      </c>
      <c r="H6" s="18">
        <f>[4]Resumen!$H$32</f>
        <v>0</v>
      </c>
      <c r="I6" s="15">
        <f>[4]Resumen!$I$32</f>
        <v>0</v>
      </c>
      <c r="J6" s="16">
        <f>[4]Resumen!$J$32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[5]Resumen!$B$32</f>
        <v>0</v>
      </c>
      <c r="C7" s="15">
        <f>[5]Resumen!$C$32</f>
        <v>0</v>
      </c>
      <c r="D7" s="16">
        <f>[5]Resumen!$D$32</f>
        <v>0</v>
      </c>
      <c r="E7" s="14">
        <f>[5]Resumen!$E$32</f>
        <v>0</v>
      </c>
      <c r="F7" s="15">
        <f>[5]Resumen!$F$32</f>
        <v>0</v>
      </c>
      <c r="G7" s="17">
        <f>[5]Resumen!$G$32</f>
        <v>0</v>
      </c>
      <c r="H7" s="18">
        <f>[5]Resumen!$H$32</f>
        <v>0</v>
      </c>
      <c r="I7" s="15">
        <f>[5]Resumen!$I$32</f>
        <v>0</v>
      </c>
      <c r="J7" s="16">
        <f>[5]Resumen!$J$32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[6]Resumen!$B$32</f>
        <v>0</v>
      </c>
      <c r="C8" s="15">
        <f>[6]Resumen!$C$32</f>
        <v>0</v>
      </c>
      <c r="D8" s="16">
        <f>[6]Resumen!$D$32</f>
        <v>0</v>
      </c>
      <c r="E8" s="14">
        <f>[6]Resumen!$E$32</f>
        <v>0</v>
      </c>
      <c r="F8" s="15">
        <f>[6]Resumen!$F$32</f>
        <v>0</v>
      </c>
      <c r="G8" s="17">
        <f>[6]Resumen!$G$32</f>
        <v>0</v>
      </c>
      <c r="H8" s="18">
        <f>[6]Resumen!$H$32</f>
        <v>0</v>
      </c>
      <c r="I8" s="15">
        <f>[6]Resumen!$I$32</f>
        <v>0</v>
      </c>
      <c r="J8" s="16">
        <f>[6]Resumen!$J$32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[7]Resumen!$B$32</f>
        <v>0</v>
      </c>
      <c r="C9" s="15">
        <f>[7]Resumen!$C$32</f>
        <v>0</v>
      </c>
      <c r="D9" s="16">
        <f>[7]Resumen!$D$32</f>
        <v>0</v>
      </c>
      <c r="E9" s="14">
        <f>[7]Resumen!$E$32</f>
        <v>0</v>
      </c>
      <c r="F9" s="15">
        <f>[7]Resumen!$F$32</f>
        <v>0</v>
      </c>
      <c r="G9" s="17">
        <f>[7]Resumen!$G$32</f>
        <v>0</v>
      </c>
      <c r="H9" s="18">
        <f>[7]Resumen!$H$32</f>
        <v>0</v>
      </c>
      <c r="I9" s="15">
        <f>[7]Resumen!$I$32</f>
        <v>0</v>
      </c>
      <c r="J9" s="16">
        <f>[7]Resumen!$J$32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[8]Resumen!$B$32</f>
        <v>0</v>
      </c>
      <c r="C10" s="15">
        <f>[8]Resumen!$C$32</f>
        <v>0</v>
      </c>
      <c r="D10" s="16">
        <f>[8]Resumen!$D$32</f>
        <v>0</v>
      </c>
      <c r="E10" s="14">
        <f>[8]Resumen!$E$32</f>
        <v>0</v>
      </c>
      <c r="F10" s="15">
        <f>[8]Resumen!$F$32</f>
        <v>0</v>
      </c>
      <c r="G10" s="17">
        <f>[8]Resumen!$G$32</f>
        <v>0</v>
      </c>
      <c r="H10" s="18">
        <f>[8]Resumen!$H$32</f>
        <v>0</v>
      </c>
      <c r="I10" s="15">
        <f>[8]Resumen!$I$32</f>
        <v>0</v>
      </c>
      <c r="J10" s="16">
        <f>[8]Resumen!$J$32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[9]Resumen!$B$32</f>
        <v>0</v>
      </c>
      <c r="C11" s="15">
        <f>[9]Resumen!$C$32</f>
        <v>0</v>
      </c>
      <c r="D11" s="16">
        <f>[9]Resumen!$D$32</f>
        <v>0</v>
      </c>
      <c r="E11" s="14">
        <f>[9]Resumen!$E$32</f>
        <v>0</v>
      </c>
      <c r="F11" s="15">
        <f>[9]Resumen!$F$32</f>
        <v>0</v>
      </c>
      <c r="G11" s="17">
        <f>[9]Resumen!$G$32</f>
        <v>0</v>
      </c>
      <c r="H11" s="18">
        <f>[9]Resumen!$H$32</f>
        <v>0</v>
      </c>
      <c r="I11" s="15">
        <f>[9]Resumen!$I$32</f>
        <v>0</v>
      </c>
      <c r="J11" s="16">
        <f>[9]Resumen!$J$32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[10]Resumen!$B$32</f>
        <v>0</v>
      </c>
      <c r="C12" s="15">
        <f>[10]Resumen!$C$32</f>
        <v>0</v>
      </c>
      <c r="D12" s="16">
        <f>[10]Resumen!$D$32</f>
        <v>0</v>
      </c>
      <c r="E12" s="14">
        <f>[10]Resumen!$E$32</f>
        <v>0</v>
      </c>
      <c r="F12" s="15">
        <f>[10]Resumen!$F$32</f>
        <v>0</v>
      </c>
      <c r="G12" s="17">
        <f>[10]Resumen!$G$32</f>
        <v>0</v>
      </c>
      <c r="H12" s="18">
        <f>[10]Resumen!$H$32</f>
        <v>0</v>
      </c>
      <c r="I12" s="15">
        <f>[10]Resumen!$I$32</f>
        <v>0</v>
      </c>
      <c r="J12" s="16">
        <f>[10]Resumen!$J$32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[11]Resumen!$B$32</f>
        <v>0</v>
      </c>
      <c r="C13" s="15">
        <f>[11]Resumen!$C$32</f>
        <v>0</v>
      </c>
      <c r="D13" s="16">
        <f>[11]Resumen!$D$32</f>
        <v>0</v>
      </c>
      <c r="E13" s="14">
        <f>[11]Resumen!$E$32</f>
        <v>0</v>
      </c>
      <c r="F13" s="15">
        <f>[11]Resumen!$F$32</f>
        <v>0</v>
      </c>
      <c r="G13" s="17">
        <f>[11]Resumen!$G$32</f>
        <v>0</v>
      </c>
      <c r="H13" s="18">
        <f>[11]Resumen!$H$32</f>
        <v>0</v>
      </c>
      <c r="I13" s="15">
        <f>[11]Resumen!$I$32</f>
        <v>0</v>
      </c>
      <c r="J13" s="16">
        <f>[11]Resumen!$J$32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[12]Resumen!$B$32</f>
        <v>0</v>
      </c>
      <c r="C14" s="15">
        <f>[12]Resumen!$C$32</f>
        <v>0</v>
      </c>
      <c r="D14" s="16">
        <f>[12]Resumen!$D$32</f>
        <v>0</v>
      </c>
      <c r="E14" s="14">
        <f>[12]Resumen!$E$32</f>
        <v>0</v>
      </c>
      <c r="F14" s="15">
        <f>[12]Resumen!$F$32</f>
        <v>0</v>
      </c>
      <c r="G14" s="17">
        <f>[12]Resumen!$G$32</f>
        <v>0</v>
      </c>
      <c r="H14" s="18">
        <f>[12]Resumen!$H$32</f>
        <v>0</v>
      </c>
      <c r="I14" s="15">
        <f>[12]Resumen!$I$32</f>
        <v>0</v>
      </c>
      <c r="J14" s="16">
        <f>[12]Resumen!$J$32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[13]Resumen!$B$32</f>
        <v>0</v>
      </c>
      <c r="C15" s="15">
        <f>[13]Resumen!$C$32</f>
        <v>0</v>
      </c>
      <c r="D15" s="16">
        <f>[13]Resumen!$D$32</f>
        <v>0</v>
      </c>
      <c r="E15" s="14">
        <f>[13]Resumen!$E$32</f>
        <v>0</v>
      </c>
      <c r="F15" s="15">
        <f>[13]Resumen!$F$32</f>
        <v>0</v>
      </c>
      <c r="G15" s="17">
        <f>[13]Resumen!$G$32</f>
        <v>0</v>
      </c>
      <c r="H15" s="18">
        <f>[13]Resumen!$H$32</f>
        <v>0</v>
      </c>
      <c r="I15" s="15">
        <f>[13]Resumen!$I$32</f>
        <v>0</v>
      </c>
      <c r="J15" s="16">
        <f>[13]Resumen!$J$32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[14]Resumen!$B$32</f>
        <v>0</v>
      </c>
      <c r="C16" s="15">
        <f>[14]Resumen!$C$32</f>
        <v>0</v>
      </c>
      <c r="D16" s="16">
        <f>[14]Resumen!$D$32</f>
        <v>0</v>
      </c>
      <c r="E16" s="14">
        <f>[14]Resumen!$E$32</f>
        <v>0</v>
      </c>
      <c r="F16" s="15">
        <f>[14]Resumen!$F$32</f>
        <v>0</v>
      </c>
      <c r="G16" s="17">
        <f>[14]Resumen!$G$32</f>
        <v>0</v>
      </c>
      <c r="H16" s="18">
        <f>[14]Resumen!$H$32</f>
        <v>0</v>
      </c>
      <c r="I16" s="15">
        <f>[14]Resumen!$I$32</f>
        <v>0</v>
      </c>
      <c r="J16" s="16">
        <f>[14]Resumen!$J$32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[15]Resumen!$B$32</f>
        <v>0</v>
      </c>
      <c r="C17" s="15">
        <f>[15]Resumen!$C$32</f>
        <v>0</v>
      </c>
      <c r="D17" s="16">
        <f>[15]Resumen!$D$32</f>
        <v>0</v>
      </c>
      <c r="E17" s="14">
        <f>[15]Resumen!$E$32</f>
        <v>0</v>
      </c>
      <c r="F17" s="15">
        <f>[15]Resumen!$F$32</f>
        <v>0</v>
      </c>
      <c r="G17" s="17">
        <f>[15]Resumen!$G$32</f>
        <v>0</v>
      </c>
      <c r="H17" s="18">
        <f>[15]Resumen!$H$32</f>
        <v>0</v>
      </c>
      <c r="I17" s="15">
        <f>[15]Resumen!$I$32</f>
        <v>0</v>
      </c>
      <c r="J17" s="16">
        <f>[15]Resumen!$J$32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[16]Resumen!$B$32</f>
        <v>0</v>
      </c>
      <c r="C18" s="15">
        <f>[16]Resumen!$C$32</f>
        <v>0</v>
      </c>
      <c r="D18" s="16">
        <f>[16]Resumen!$D$32</f>
        <v>0</v>
      </c>
      <c r="E18" s="14">
        <f>[16]Resumen!$E$32</f>
        <v>0</v>
      </c>
      <c r="F18" s="15">
        <f>[16]Resumen!$F$32</f>
        <v>0</v>
      </c>
      <c r="G18" s="17">
        <f>[16]Resumen!$G$32</f>
        <v>0</v>
      </c>
      <c r="H18" s="18">
        <f>[16]Resumen!$H$32</f>
        <v>0</v>
      </c>
      <c r="I18" s="15">
        <f>[16]Resumen!$I$32</f>
        <v>0</v>
      </c>
      <c r="J18" s="16">
        <f>[16]Resumen!$J$32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[17]Resumen!$B$32</f>
        <v>0</v>
      </c>
      <c r="C19" s="15">
        <f>[17]Resumen!$C$32</f>
        <v>0</v>
      </c>
      <c r="D19" s="16">
        <f>[17]Resumen!$D$32</f>
        <v>0</v>
      </c>
      <c r="E19" s="14">
        <f>[17]Resumen!$E$32</f>
        <v>0</v>
      </c>
      <c r="F19" s="15">
        <f>[17]Resumen!$F$32</f>
        <v>0</v>
      </c>
      <c r="G19" s="17">
        <f>[17]Resumen!$G$32</f>
        <v>0</v>
      </c>
      <c r="H19" s="18">
        <f>[17]Resumen!$H$32</f>
        <v>0</v>
      </c>
      <c r="I19" s="15">
        <f>[17]Resumen!$I$32</f>
        <v>0</v>
      </c>
      <c r="J19" s="16">
        <f>[17]Resumen!$J$32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[18]Resumen!$B$32</f>
        <v>0</v>
      </c>
      <c r="C20" s="15">
        <f>[18]Resumen!$C$32</f>
        <v>0</v>
      </c>
      <c r="D20" s="16">
        <f>[18]Resumen!$D$32</f>
        <v>0</v>
      </c>
      <c r="E20" s="14">
        <f>[18]Resumen!$E$32</f>
        <v>0</v>
      </c>
      <c r="F20" s="15">
        <f>[18]Resumen!$F$32</f>
        <v>0</v>
      </c>
      <c r="G20" s="17">
        <f>[18]Resumen!$G$32</f>
        <v>0</v>
      </c>
      <c r="H20" s="18">
        <f>[18]Resumen!$H$32</f>
        <v>0</v>
      </c>
      <c r="I20" s="15">
        <f>[18]Resumen!$I$32</f>
        <v>0</v>
      </c>
      <c r="J20" s="16">
        <f>[18]Resumen!$J$32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[19]Resumen!$B$32</f>
        <v>0</v>
      </c>
      <c r="C21" s="15">
        <f>[19]Resumen!$C$32</f>
        <v>0</v>
      </c>
      <c r="D21" s="16">
        <f>[19]Resumen!$D$32</f>
        <v>0</v>
      </c>
      <c r="E21" s="14">
        <f>[19]Resumen!$E$32</f>
        <v>0</v>
      </c>
      <c r="F21" s="15">
        <f>[19]Resumen!$F$32</f>
        <v>0</v>
      </c>
      <c r="G21" s="17">
        <f>[19]Resumen!$G$32</f>
        <v>0</v>
      </c>
      <c r="H21" s="18">
        <f>[19]Resumen!$H$32</f>
        <v>0</v>
      </c>
      <c r="I21" s="15">
        <f>[19]Resumen!$I$32</f>
        <v>0</v>
      </c>
      <c r="J21" s="16">
        <f>[19]Resumen!$J$32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[20]Resumen!$B$32</f>
        <v>0</v>
      </c>
      <c r="C22" s="15">
        <f>[20]Resumen!$C$32</f>
        <v>0</v>
      </c>
      <c r="D22" s="16">
        <f>[20]Resumen!$D$32</f>
        <v>0</v>
      </c>
      <c r="E22" s="14">
        <f>[20]Resumen!$E$32</f>
        <v>0</v>
      </c>
      <c r="F22" s="15">
        <f>[20]Resumen!$F$32</f>
        <v>0</v>
      </c>
      <c r="G22" s="17">
        <f>[20]Resumen!$G$32</f>
        <v>0</v>
      </c>
      <c r="H22" s="18">
        <f>[20]Resumen!$H$32</f>
        <v>0</v>
      </c>
      <c r="I22" s="15">
        <f>[20]Resumen!$I$32</f>
        <v>0</v>
      </c>
      <c r="J22" s="16">
        <f>[20]Resumen!$J$32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[21]Resumen!$B$32</f>
        <v>0</v>
      </c>
      <c r="C23" s="15">
        <f>[21]Resumen!$C$32</f>
        <v>0</v>
      </c>
      <c r="D23" s="16">
        <f>[21]Resumen!$D$32</f>
        <v>0</v>
      </c>
      <c r="E23" s="14">
        <f>[21]Resumen!$E$32</f>
        <v>0</v>
      </c>
      <c r="F23" s="15">
        <f>[21]Resumen!$F$32</f>
        <v>0</v>
      </c>
      <c r="G23" s="17">
        <f>[21]Resumen!$G$32</f>
        <v>0</v>
      </c>
      <c r="H23" s="18">
        <f>[21]Resumen!$H$32</f>
        <v>0</v>
      </c>
      <c r="I23" s="15">
        <f>[21]Resumen!$I$32</f>
        <v>0</v>
      </c>
      <c r="J23" s="16">
        <f>[21]Resumen!$J$32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[22]Resumen!$B$32</f>
        <v>0</v>
      </c>
      <c r="C24" s="15">
        <f>[22]Resumen!$C$32</f>
        <v>0</v>
      </c>
      <c r="D24" s="16">
        <f>[22]Resumen!$D$32</f>
        <v>0</v>
      </c>
      <c r="E24" s="14">
        <f>[22]Resumen!$E$32</f>
        <v>0</v>
      </c>
      <c r="F24" s="15">
        <f>[22]Resumen!$F$32</f>
        <v>0</v>
      </c>
      <c r="G24" s="17">
        <f>[22]Resumen!$G$32</f>
        <v>0</v>
      </c>
      <c r="H24" s="18">
        <f>[22]Resumen!$H$32</f>
        <v>0</v>
      </c>
      <c r="I24" s="15">
        <f>[22]Resumen!$I$32</f>
        <v>0</v>
      </c>
      <c r="J24" s="16">
        <f>[22]Resumen!$J$32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[23]Resumen!$B$32</f>
        <v>0</v>
      </c>
      <c r="C25" s="15">
        <f>[23]Resumen!$C$32</f>
        <v>0</v>
      </c>
      <c r="D25" s="16">
        <f>[23]Resumen!$D$32</f>
        <v>0</v>
      </c>
      <c r="E25" s="14">
        <f>[23]Resumen!$E$32</f>
        <v>0</v>
      </c>
      <c r="F25" s="15">
        <f>[23]Resumen!$F$32</f>
        <v>0</v>
      </c>
      <c r="G25" s="17">
        <f>[23]Resumen!$G$32</f>
        <v>0</v>
      </c>
      <c r="H25" s="18">
        <f>[23]Resumen!$H$32</f>
        <v>0</v>
      </c>
      <c r="I25" s="15">
        <f>[23]Resumen!$I$32</f>
        <v>0</v>
      </c>
      <c r="J25" s="16">
        <f>[23]Resumen!$J$32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[24]Resumen!$B$32</f>
        <v>0</v>
      </c>
      <c r="C26" s="15">
        <f>[24]Resumen!$C$32</f>
        <v>0</v>
      </c>
      <c r="D26" s="16">
        <f>[24]Resumen!$D$32</f>
        <v>0</v>
      </c>
      <c r="E26" s="14">
        <f>[24]Resumen!$E$32</f>
        <v>0</v>
      </c>
      <c r="F26" s="15">
        <f>[24]Resumen!$F$32</f>
        <v>0</v>
      </c>
      <c r="G26" s="17">
        <f>[24]Resumen!$G$32</f>
        <v>0</v>
      </c>
      <c r="H26" s="18">
        <f>[24]Resumen!$H$32</f>
        <v>0</v>
      </c>
      <c r="I26" s="15">
        <f>[24]Resumen!$I$32</f>
        <v>0</v>
      </c>
      <c r="J26" s="16">
        <f>[24]Resumen!$J$32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[25]Resumen!$B$32</f>
        <v>0</v>
      </c>
      <c r="C27" s="15">
        <f>[25]Resumen!$C$32</f>
        <v>0</v>
      </c>
      <c r="D27" s="16">
        <f>[25]Resumen!$D$32</f>
        <v>0</v>
      </c>
      <c r="E27" s="14">
        <f>[25]Resumen!$E$32</f>
        <v>0</v>
      </c>
      <c r="F27" s="15">
        <f>[25]Resumen!$F$32</f>
        <v>0</v>
      </c>
      <c r="G27" s="17">
        <f>[25]Resumen!$G$32</f>
        <v>0</v>
      </c>
      <c r="H27" s="18">
        <f>[25]Resumen!$H$32</f>
        <v>0</v>
      </c>
      <c r="I27" s="15">
        <f>[25]Resumen!$I$32</f>
        <v>0</v>
      </c>
      <c r="J27" s="16">
        <f>[25]Resumen!$J$32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[26]Resumen!$B$32</f>
        <v>0</v>
      </c>
      <c r="C28" s="15">
        <f>[26]Resumen!$C$32</f>
        <v>0</v>
      </c>
      <c r="D28" s="16">
        <f>[26]Resumen!$D$32</f>
        <v>0</v>
      </c>
      <c r="E28" s="14">
        <f>[26]Resumen!$E$32</f>
        <v>0</v>
      </c>
      <c r="F28" s="15">
        <f>[26]Resumen!$F$32</f>
        <v>0</v>
      </c>
      <c r="G28" s="17">
        <f>[26]Resumen!$G$32</f>
        <v>0</v>
      </c>
      <c r="H28" s="18">
        <f>[26]Resumen!$H$32</f>
        <v>0</v>
      </c>
      <c r="I28" s="15">
        <f>[26]Resumen!$I$32</f>
        <v>0</v>
      </c>
      <c r="J28" s="16">
        <f>[26]Resumen!$J$32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[27]Resumen!$B$32</f>
        <v>0</v>
      </c>
      <c r="C29" s="15">
        <f>[27]Resumen!$C$32</f>
        <v>0</v>
      </c>
      <c r="D29" s="16">
        <f>[27]Resumen!$D$32</f>
        <v>0</v>
      </c>
      <c r="E29" s="14">
        <f>[27]Resumen!$E$32</f>
        <v>0</v>
      </c>
      <c r="F29" s="15">
        <f>[27]Resumen!$F$32</f>
        <v>0</v>
      </c>
      <c r="G29" s="17">
        <f>[27]Resumen!$G$32</f>
        <v>0</v>
      </c>
      <c r="H29" s="18">
        <f>[27]Resumen!$H$32</f>
        <v>0</v>
      </c>
      <c r="I29" s="15">
        <f>[27]Resumen!$I$32</f>
        <v>0</v>
      </c>
      <c r="J29" s="16">
        <f>[27]Resumen!$J$32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[28]Resumen!$B$32</f>
        <v>0</v>
      </c>
      <c r="C30" s="15">
        <f>[28]Resumen!$C$32</f>
        <v>0</v>
      </c>
      <c r="D30" s="16">
        <f>[28]Resumen!$D$32</f>
        <v>0</v>
      </c>
      <c r="E30" s="14">
        <f>[28]Resumen!$E$32</f>
        <v>0</v>
      </c>
      <c r="F30" s="15">
        <f>[28]Resumen!$F$32</f>
        <v>0</v>
      </c>
      <c r="G30" s="17">
        <f>[28]Resumen!$G$32</f>
        <v>0</v>
      </c>
      <c r="H30" s="18">
        <f>[28]Resumen!$H$32</f>
        <v>0</v>
      </c>
      <c r="I30" s="15">
        <f>[28]Resumen!$I$32</f>
        <v>0</v>
      </c>
      <c r="J30" s="16">
        <f>[28]Resumen!$J$32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[29]Resumen!$B$32</f>
        <v>0</v>
      </c>
      <c r="C31" s="15">
        <f>[29]Resumen!$C$32</f>
        <v>0</v>
      </c>
      <c r="D31" s="16">
        <f>[29]Resumen!$D$32</f>
        <v>0</v>
      </c>
      <c r="E31" s="14">
        <f>[29]Resumen!$E$32</f>
        <v>0</v>
      </c>
      <c r="F31" s="15">
        <f>[29]Resumen!$F$32</f>
        <v>0</v>
      </c>
      <c r="G31" s="17">
        <f>[29]Resumen!$G$32</f>
        <v>0</v>
      </c>
      <c r="H31" s="18">
        <f>[29]Resumen!$H$32</f>
        <v>0</v>
      </c>
      <c r="I31" s="15">
        <f>[29]Resumen!$I$32</f>
        <v>0</v>
      </c>
      <c r="J31" s="16">
        <f>[29]Resumen!$J$32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[30]Resumen!$B$32</f>
        <v>0</v>
      </c>
      <c r="C32" s="15">
        <f>[30]Resumen!$C$32</f>
        <v>0</v>
      </c>
      <c r="D32" s="16">
        <f>[30]Resumen!$D$32</f>
        <v>0</v>
      </c>
      <c r="E32" s="14">
        <f>[30]Resumen!$E$32</f>
        <v>0</v>
      </c>
      <c r="F32" s="15">
        <f>[30]Resumen!$F$32</f>
        <v>0</v>
      </c>
      <c r="G32" s="17">
        <f>[30]Resumen!$G$32</f>
        <v>0</v>
      </c>
      <c r="H32" s="18">
        <f>[30]Resumen!$H$32</f>
        <v>0</v>
      </c>
      <c r="I32" s="15">
        <f>[30]Resumen!$I$32</f>
        <v>0</v>
      </c>
      <c r="J32" s="16">
        <f>[30]Resumen!$J$32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[31]Resumen!$B$32</f>
        <v>0</v>
      </c>
      <c r="C33" s="15">
        <f>[31]Resumen!$C$32</f>
        <v>0</v>
      </c>
      <c r="D33" s="16">
        <f>[31]Resumen!$D$32</f>
        <v>0</v>
      </c>
      <c r="E33" s="14">
        <f>[31]Resumen!$E$32</f>
        <v>0</v>
      </c>
      <c r="F33" s="15">
        <f>[31]Resumen!$F$32</f>
        <v>0</v>
      </c>
      <c r="G33" s="17">
        <f>[31]Resumen!$G$32</f>
        <v>0</v>
      </c>
      <c r="H33" s="18">
        <f>[31]Resumen!$H$32</f>
        <v>0</v>
      </c>
      <c r="I33" s="15">
        <f>[31]Resumen!$I$32</f>
        <v>0</v>
      </c>
      <c r="J33" s="16">
        <f>[31]Resumen!$J$32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[1]Resumen!$B$32</f>
        <v>0</v>
      </c>
      <c r="C34" s="15">
        <f>[1]Resumen!$C$32</f>
        <v>0</v>
      </c>
      <c r="D34" s="16">
        <f>[1]Resumen!$D$32</f>
        <v>0</v>
      </c>
      <c r="E34" s="14">
        <f>[1]Resumen!$E$32</f>
        <v>0</v>
      </c>
      <c r="F34" s="15">
        <f>[1]Resumen!$F$32</f>
        <v>0</v>
      </c>
      <c r="G34" s="17">
        <f>[1]Resumen!$G$32</f>
        <v>0</v>
      </c>
      <c r="H34" s="18">
        <f>[1]Resumen!$H$32</f>
        <v>0</v>
      </c>
      <c r="I34" s="15">
        <f>[1]Resumen!$I$32</f>
        <v>0</v>
      </c>
      <c r="J34" s="16">
        <f>[1]Resumen!$J$32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+[2]Resumen!$B$32</f>
        <v>0</v>
      </c>
      <c r="C35" s="22">
        <f>+[2]Resumen!$C$32</f>
        <v>0</v>
      </c>
      <c r="D35" s="23">
        <f>+[2]Resumen!$D$32</f>
        <v>0</v>
      </c>
      <c r="E35" s="21">
        <f>+[2]Resumen!$E$32</f>
        <v>0</v>
      </c>
      <c r="F35" s="22">
        <f>+[2]Resumen!$F$32</f>
        <v>0</v>
      </c>
      <c r="G35" s="24">
        <f>+[2]Resumen!$G$32</f>
        <v>0</v>
      </c>
      <c r="H35" s="25">
        <f>+[2]Resumen!$H$32</f>
        <v>0</v>
      </c>
      <c r="I35" s="22">
        <f>+[2]Resumen!$I$32</f>
        <v>0</v>
      </c>
      <c r="J35" s="23">
        <f>+[2]Resumen!$J$32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1406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63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[3]Resumen!$B$33</f>
        <v>0</v>
      </c>
      <c r="C5" s="58">
        <f>[3]Resumen!$C$33</f>
        <v>0</v>
      </c>
      <c r="D5" s="54">
        <f>[3]Resumen!$D$33</f>
        <v>0</v>
      </c>
      <c r="E5" s="53">
        <f>[3]Resumen!$E$33</f>
        <v>0</v>
      </c>
      <c r="F5" s="58">
        <f>[3]Resumen!$F$33</f>
        <v>0</v>
      </c>
      <c r="G5" s="55">
        <f>[3]Resumen!$G$33</f>
        <v>0</v>
      </c>
      <c r="H5" s="61">
        <f>[3]Resumen!$H$33</f>
        <v>0</v>
      </c>
      <c r="I5" s="58">
        <f>[3]Resumen!$I$33</f>
        <v>0</v>
      </c>
      <c r="J5" s="54">
        <f>[3]Resumen!$J$33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[4]Resumen!$B$33</f>
        <v>0</v>
      </c>
      <c r="C6" s="15">
        <f>[4]Resumen!$C$33</f>
        <v>0</v>
      </c>
      <c r="D6" s="16">
        <f>[4]Resumen!$D$33</f>
        <v>0</v>
      </c>
      <c r="E6" s="14">
        <f>[4]Resumen!$E$33</f>
        <v>0</v>
      </c>
      <c r="F6" s="15">
        <f>[4]Resumen!$F$33</f>
        <v>0</v>
      </c>
      <c r="G6" s="17">
        <f>[4]Resumen!$G$33</f>
        <v>0</v>
      </c>
      <c r="H6" s="18">
        <f>[4]Resumen!$H$33</f>
        <v>0</v>
      </c>
      <c r="I6" s="15">
        <f>[4]Resumen!$I$33</f>
        <v>0</v>
      </c>
      <c r="J6" s="16">
        <f>[4]Resumen!$J$33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[5]Resumen!$B$33</f>
        <v>0</v>
      </c>
      <c r="C7" s="15">
        <f>[5]Resumen!$C$33</f>
        <v>0</v>
      </c>
      <c r="D7" s="16">
        <f>[5]Resumen!$D$33</f>
        <v>0</v>
      </c>
      <c r="E7" s="14">
        <f>[5]Resumen!$E$33</f>
        <v>0</v>
      </c>
      <c r="F7" s="15">
        <f>[5]Resumen!$F$33</f>
        <v>0</v>
      </c>
      <c r="G7" s="17">
        <f>[5]Resumen!$G$33</f>
        <v>0</v>
      </c>
      <c r="H7" s="18">
        <f>[5]Resumen!$H$33</f>
        <v>0</v>
      </c>
      <c r="I7" s="15">
        <f>[5]Resumen!$I$33</f>
        <v>0</v>
      </c>
      <c r="J7" s="16">
        <f>[5]Resumen!$J$33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[6]Resumen!$B$33</f>
        <v>0</v>
      </c>
      <c r="C8" s="15">
        <f>[6]Resumen!$C$33</f>
        <v>0</v>
      </c>
      <c r="D8" s="16">
        <f>[6]Resumen!$D$33</f>
        <v>0</v>
      </c>
      <c r="E8" s="14">
        <f>[6]Resumen!$E$33</f>
        <v>0</v>
      </c>
      <c r="F8" s="15">
        <f>[6]Resumen!$F$33</f>
        <v>0</v>
      </c>
      <c r="G8" s="17">
        <f>[6]Resumen!$G$33</f>
        <v>0</v>
      </c>
      <c r="H8" s="18">
        <f>[6]Resumen!$H$33</f>
        <v>0</v>
      </c>
      <c r="I8" s="15">
        <f>[6]Resumen!$I$33</f>
        <v>0</v>
      </c>
      <c r="J8" s="16">
        <f>[6]Resumen!$J$33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[7]Resumen!$B$33</f>
        <v>0</v>
      </c>
      <c r="C9" s="15">
        <f>[7]Resumen!$C$33</f>
        <v>0</v>
      </c>
      <c r="D9" s="16">
        <f>[7]Resumen!$D$33</f>
        <v>0</v>
      </c>
      <c r="E9" s="14">
        <f>[7]Resumen!$E$33</f>
        <v>0</v>
      </c>
      <c r="F9" s="15">
        <f>[7]Resumen!$F$33</f>
        <v>0</v>
      </c>
      <c r="G9" s="17">
        <f>[7]Resumen!$G$33</f>
        <v>0</v>
      </c>
      <c r="H9" s="18">
        <f>[7]Resumen!$H$33</f>
        <v>0</v>
      </c>
      <c r="I9" s="15">
        <f>[7]Resumen!$I$33</f>
        <v>0</v>
      </c>
      <c r="J9" s="16">
        <f>[7]Resumen!$J$33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[8]Resumen!$B$33</f>
        <v>0</v>
      </c>
      <c r="C10" s="15">
        <f>[8]Resumen!$C$33</f>
        <v>0</v>
      </c>
      <c r="D10" s="16">
        <f>[8]Resumen!$D$33</f>
        <v>0</v>
      </c>
      <c r="E10" s="14">
        <f>[8]Resumen!$E$33</f>
        <v>0</v>
      </c>
      <c r="F10" s="15">
        <f>[8]Resumen!$F$33</f>
        <v>0</v>
      </c>
      <c r="G10" s="17">
        <f>[8]Resumen!$G$33</f>
        <v>0</v>
      </c>
      <c r="H10" s="18">
        <f>[8]Resumen!$H$33</f>
        <v>0</v>
      </c>
      <c r="I10" s="15">
        <f>[8]Resumen!$I$33</f>
        <v>0</v>
      </c>
      <c r="J10" s="16">
        <f>[8]Resumen!$J$33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[9]Resumen!$B$33</f>
        <v>0</v>
      </c>
      <c r="C11" s="15">
        <f>[9]Resumen!$C$33</f>
        <v>0</v>
      </c>
      <c r="D11" s="16">
        <f>[9]Resumen!$D$33</f>
        <v>0</v>
      </c>
      <c r="E11" s="14">
        <f>[9]Resumen!$E$33</f>
        <v>0</v>
      </c>
      <c r="F11" s="15">
        <f>[9]Resumen!$F$33</f>
        <v>0</v>
      </c>
      <c r="G11" s="17">
        <f>[9]Resumen!$G$33</f>
        <v>0</v>
      </c>
      <c r="H11" s="18">
        <f>[9]Resumen!$H$33</f>
        <v>0</v>
      </c>
      <c r="I11" s="15">
        <f>[9]Resumen!$I$33</f>
        <v>0</v>
      </c>
      <c r="J11" s="16">
        <f>[9]Resumen!$J$33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[10]Resumen!$B$33</f>
        <v>0</v>
      </c>
      <c r="C12" s="15">
        <f>[10]Resumen!$C$33</f>
        <v>0</v>
      </c>
      <c r="D12" s="16">
        <f>[10]Resumen!$D$33</f>
        <v>0</v>
      </c>
      <c r="E12" s="14">
        <f>[10]Resumen!$E$33</f>
        <v>0</v>
      </c>
      <c r="F12" s="15">
        <f>[10]Resumen!$F$33</f>
        <v>0</v>
      </c>
      <c r="G12" s="17">
        <f>[10]Resumen!$G$33</f>
        <v>0</v>
      </c>
      <c r="H12" s="18">
        <f>[10]Resumen!$H$33</f>
        <v>0</v>
      </c>
      <c r="I12" s="15">
        <f>[10]Resumen!$I$33</f>
        <v>0</v>
      </c>
      <c r="J12" s="16">
        <f>[10]Resumen!$J$33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[11]Resumen!$B$33</f>
        <v>0</v>
      </c>
      <c r="C13" s="15">
        <f>[11]Resumen!$C$33</f>
        <v>0</v>
      </c>
      <c r="D13" s="16">
        <f>[11]Resumen!$D$33</f>
        <v>0</v>
      </c>
      <c r="E13" s="14">
        <f>[11]Resumen!$E$33</f>
        <v>0</v>
      </c>
      <c r="F13" s="15">
        <f>[11]Resumen!$F$33</f>
        <v>0</v>
      </c>
      <c r="G13" s="17">
        <f>[11]Resumen!$G$33</f>
        <v>0</v>
      </c>
      <c r="H13" s="18">
        <f>[11]Resumen!$H$33</f>
        <v>0</v>
      </c>
      <c r="I13" s="15">
        <f>[11]Resumen!$I$33</f>
        <v>0</v>
      </c>
      <c r="J13" s="16">
        <f>[11]Resumen!$J$33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[12]Resumen!$B$33</f>
        <v>0</v>
      </c>
      <c r="C14" s="15">
        <f>[12]Resumen!$C$33</f>
        <v>0</v>
      </c>
      <c r="D14" s="16">
        <f>[12]Resumen!$D$33</f>
        <v>0</v>
      </c>
      <c r="E14" s="14">
        <f>[12]Resumen!$E$33</f>
        <v>0</v>
      </c>
      <c r="F14" s="15">
        <f>[12]Resumen!$F$33</f>
        <v>0</v>
      </c>
      <c r="G14" s="17">
        <f>[12]Resumen!$G$33</f>
        <v>0</v>
      </c>
      <c r="H14" s="18">
        <f>[12]Resumen!$H$33</f>
        <v>0</v>
      </c>
      <c r="I14" s="15">
        <f>[12]Resumen!$I$33</f>
        <v>0</v>
      </c>
      <c r="J14" s="16">
        <f>[12]Resumen!$J$33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[13]Resumen!$B$33</f>
        <v>0</v>
      </c>
      <c r="C15" s="15">
        <f>[13]Resumen!$C$33</f>
        <v>0</v>
      </c>
      <c r="D15" s="16">
        <f>[13]Resumen!$D$33</f>
        <v>0</v>
      </c>
      <c r="E15" s="14">
        <f>[13]Resumen!$E$33</f>
        <v>0</v>
      </c>
      <c r="F15" s="15">
        <f>[13]Resumen!$F$33</f>
        <v>0</v>
      </c>
      <c r="G15" s="17">
        <f>[13]Resumen!$G$33</f>
        <v>0</v>
      </c>
      <c r="H15" s="18">
        <f>[13]Resumen!$H$33</f>
        <v>0</v>
      </c>
      <c r="I15" s="15">
        <f>[13]Resumen!$I$33</f>
        <v>0</v>
      </c>
      <c r="J15" s="16">
        <f>[13]Resumen!$J$33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[14]Resumen!$B$33</f>
        <v>0</v>
      </c>
      <c r="C16" s="15">
        <f>[14]Resumen!$C$33</f>
        <v>0</v>
      </c>
      <c r="D16" s="16">
        <f>[14]Resumen!$D$33</f>
        <v>0</v>
      </c>
      <c r="E16" s="14">
        <f>[14]Resumen!$E$33</f>
        <v>0</v>
      </c>
      <c r="F16" s="15">
        <f>[14]Resumen!$F$33</f>
        <v>0</v>
      </c>
      <c r="G16" s="17">
        <f>[14]Resumen!$G$33</f>
        <v>0</v>
      </c>
      <c r="H16" s="18">
        <f>[14]Resumen!$H$33</f>
        <v>0</v>
      </c>
      <c r="I16" s="15">
        <f>[14]Resumen!$I$33</f>
        <v>0</v>
      </c>
      <c r="J16" s="16">
        <f>[14]Resumen!$J$33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[15]Resumen!$B$33</f>
        <v>0</v>
      </c>
      <c r="C17" s="15">
        <f>[15]Resumen!$C$33</f>
        <v>0</v>
      </c>
      <c r="D17" s="16">
        <f>[15]Resumen!$D$33</f>
        <v>0</v>
      </c>
      <c r="E17" s="14">
        <f>[15]Resumen!$E$33</f>
        <v>0</v>
      </c>
      <c r="F17" s="15">
        <f>[15]Resumen!$F$33</f>
        <v>0</v>
      </c>
      <c r="G17" s="17">
        <f>[15]Resumen!$G$33</f>
        <v>0</v>
      </c>
      <c r="H17" s="18">
        <f>[15]Resumen!$H$33</f>
        <v>0</v>
      </c>
      <c r="I17" s="15">
        <f>[15]Resumen!$I$33</f>
        <v>0</v>
      </c>
      <c r="J17" s="16">
        <f>[15]Resumen!$J$33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[16]Resumen!$B$33</f>
        <v>0</v>
      </c>
      <c r="C18" s="15">
        <f>[16]Resumen!$C$33</f>
        <v>0</v>
      </c>
      <c r="D18" s="16">
        <f>[16]Resumen!$D$33</f>
        <v>0</v>
      </c>
      <c r="E18" s="14">
        <f>[16]Resumen!$E$33</f>
        <v>0</v>
      </c>
      <c r="F18" s="15">
        <f>[16]Resumen!$F$33</f>
        <v>0</v>
      </c>
      <c r="G18" s="17">
        <f>[16]Resumen!$G$33</f>
        <v>0</v>
      </c>
      <c r="H18" s="18">
        <f>[16]Resumen!$H$33</f>
        <v>0</v>
      </c>
      <c r="I18" s="15">
        <f>[16]Resumen!$I$33</f>
        <v>0</v>
      </c>
      <c r="J18" s="16">
        <f>[16]Resumen!$J$33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[17]Resumen!$B$33</f>
        <v>0</v>
      </c>
      <c r="C19" s="15">
        <f>[17]Resumen!$C$33</f>
        <v>0</v>
      </c>
      <c r="D19" s="16">
        <f>[17]Resumen!$D$33</f>
        <v>0</v>
      </c>
      <c r="E19" s="14">
        <f>[17]Resumen!$E$33</f>
        <v>0</v>
      </c>
      <c r="F19" s="15">
        <f>[17]Resumen!$F$33</f>
        <v>0</v>
      </c>
      <c r="G19" s="17">
        <f>[17]Resumen!$G$33</f>
        <v>0</v>
      </c>
      <c r="H19" s="18">
        <f>[17]Resumen!$H$33</f>
        <v>0</v>
      </c>
      <c r="I19" s="15">
        <f>[17]Resumen!$I$33</f>
        <v>0</v>
      </c>
      <c r="J19" s="16">
        <f>[17]Resumen!$J$33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[18]Resumen!$B$33</f>
        <v>0</v>
      </c>
      <c r="C20" s="15">
        <f>[18]Resumen!$C$33</f>
        <v>0</v>
      </c>
      <c r="D20" s="16">
        <f>[18]Resumen!$D$33</f>
        <v>0</v>
      </c>
      <c r="E20" s="14">
        <f>[18]Resumen!$E$33</f>
        <v>0</v>
      </c>
      <c r="F20" s="15">
        <f>[18]Resumen!$F$33</f>
        <v>0</v>
      </c>
      <c r="G20" s="17">
        <f>[18]Resumen!$G$33</f>
        <v>0</v>
      </c>
      <c r="H20" s="18">
        <f>[18]Resumen!$H$33</f>
        <v>0</v>
      </c>
      <c r="I20" s="15">
        <f>[18]Resumen!$I$33</f>
        <v>0</v>
      </c>
      <c r="J20" s="16">
        <f>[18]Resumen!$J$33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[19]Resumen!$B$33</f>
        <v>0</v>
      </c>
      <c r="C21" s="15">
        <f>[19]Resumen!$C$33</f>
        <v>0</v>
      </c>
      <c r="D21" s="16">
        <f>[19]Resumen!$D$33</f>
        <v>0</v>
      </c>
      <c r="E21" s="14">
        <f>[19]Resumen!$E$33</f>
        <v>0</v>
      </c>
      <c r="F21" s="15">
        <f>[19]Resumen!$F$33</f>
        <v>0</v>
      </c>
      <c r="G21" s="17">
        <f>[19]Resumen!$G$33</f>
        <v>0</v>
      </c>
      <c r="H21" s="18">
        <f>[19]Resumen!$H$33</f>
        <v>0</v>
      </c>
      <c r="I21" s="15">
        <f>[19]Resumen!$I$33</f>
        <v>0</v>
      </c>
      <c r="J21" s="16">
        <f>[19]Resumen!$J$33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[20]Resumen!$B$33</f>
        <v>0</v>
      </c>
      <c r="C22" s="15">
        <f>[20]Resumen!$C$33</f>
        <v>0</v>
      </c>
      <c r="D22" s="16">
        <f>[20]Resumen!$D$33</f>
        <v>0</v>
      </c>
      <c r="E22" s="14">
        <f>[20]Resumen!$E$33</f>
        <v>0</v>
      </c>
      <c r="F22" s="15">
        <f>[20]Resumen!$F$33</f>
        <v>0</v>
      </c>
      <c r="G22" s="17">
        <f>[20]Resumen!$G$33</f>
        <v>0</v>
      </c>
      <c r="H22" s="18">
        <f>[20]Resumen!$H$33</f>
        <v>0</v>
      </c>
      <c r="I22" s="15">
        <f>[20]Resumen!$I$33</f>
        <v>0</v>
      </c>
      <c r="J22" s="16">
        <f>[20]Resumen!$J$33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[21]Resumen!$B$33</f>
        <v>0</v>
      </c>
      <c r="C23" s="15">
        <f>[21]Resumen!$C$33</f>
        <v>0</v>
      </c>
      <c r="D23" s="16">
        <f>[21]Resumen!$D$33</f>
        <v>0</v>
      </c>
      <c r="E23" s="14">
        <f>[21]Resumen!$E$33</f>
        <v>0</v>
      </c>
      <c r="F23" s="15">
        <f>[21]Resumen!$F$33</f>
        <v>0</v>
      </c>
      <c r="G23" s="17">
        <f>[21]Resumen!$G$33</f>
        <v>0</v>
      </c>
      <c r="H23" s="18">
        <f>[21]Resumen!$H$33</f>
        <v>0</v>
      </c>
      <c r="I23" s="15">
        <f>[21]Resumen!$I$33</f>
        <v>0</v>
      </c>
      <c r="J23" s="16">
        <f>[21]Resumen!$J$33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[22]Resumen!$B$33</f>
        <v>0</v>
      </c>
      <c r="C24" s="15">
        <f>[22]Resumen!$C$33</f>
        <v>0</v>
      </c>
      <c r="D24" s="16">
        <f>[22]Resumen!$D$33</f>
        <v>0</v>
      </c>
      <c r="E24" s="14">
        <f>[22]Resumen!$E$33</f>
        <v>0</v>
      </c>
      <c r="F24" s="15">
        <f>[22]Resumen!$F$33</f>
        <v>0</v>
      </c>
      <c r="G24" s="17">
        <f>[22]Resumen!$G$33</f>
        <v>0</v>
      </c>
      <c r="H24" s="18">
        <f>[22]Resumen!$H$33</f>
        <v>0</v>
      </c>
      <c r="I24" s="15">
        <f>[22]Resumen!$I$33</f>
        <v>0</v>
      </c>
      <c r="J24" s="16">
        <f>[22]Resumen!$J$33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[23]Resumen!$B$33</f>
        <v>0</v>
      </c>
      <c r="C25" s="15">
        <f>[23]Resumen!$C$33</f>
        <v>0</v>
      </c>
      <c r="D25" s="16">
        <f>[23]Resumen!$D$33</f>
        <v>0</v>
      </c>
      <c r="E25" s="14">
        <f>[23]Resumen!$E$33</f>
        <v>0</v>
      </c>
      <c r="F25" s="15">
        <f>[23]Resumen!$F$33</f>
        <v>0</v>
      </c>
      <c r="G25" s="17">
        <f>[23]Resumen!$G$33</f>
        <v>0</v>
      </c>
      <c r="H25" s="18">
        <f>[23]Resumen!$H$33</f>
        <v>0</v>
      </c>
      <c r="I25" s="15">
        <f>[23]Resumen!$I$33</f>
        <v>0</v>
      </c>
      <c r="J25" s="16">
        <f>[23]Resumen!$J$33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[24]Resumen!$B$33</f>
        <v>0</v>
      </c>
      <c r="C26" s="15">
        <f>[24]Resumen!$C$33</f>
        <v>0</v>
      </c>
      <c r="D26" s="16">
        <f>[24]Resumen!$D$33</f>
        <v>0</v>
      </c>
      <c r="E26" s="14">
        <f>[24]Resumen!$E$33</f>
        <v>0</v>
      </c>
      <c r="F26" s="15">
        <f>[24]Resumen!$F$33</f>
        <v>0</v>
      </c>
      <c r="G26" s="17">
        <f>[24]Resumen!$G$33</f>
        <v>0</v>
      </c>
      <c r="H26" s="18">
        <f>[24]Resumen!$H$33</f>
        <v>0</v>
      </c>
      <c r="I26" s="15">
        <f>[24]Resumen!$I$33</f>
        <v>0</v>
      </c>
      <c r="J26" s="16">
        <f>[24]Resumen!$J$33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[25]Resumen!$B$33</f>
        <v>0</v>
      </c>
      <c r="C27" s="15">
        <f>[25]Resumen!$C$33</f>
        <v>0</v>
      </c>
      <c r="D27" s="16">
        <f>[25]Resumen!$D$33</f>
        <v>0</v>
      </c>
      <c r="E27" s="14">
        <f>[25]Resumen!$E$33</f>
        <v>0</v>
      </c>
      <c r="F27" s="15">
        <f>[25]Resumen!$F$33</f>
        <v>0</v>
      </c>
      <c r="G27" s="17">
        <f>[25]Resumen!$G$33</f>
        <v>0</v>
      </c>
      <c r="H27" s="18">
        <f>[25]Resumen!$H$33</f>
        <v>0</v>
      </c>
      <c r="I27" s="15">
        <f>[25]Resumen!$I$33</f>
        <v>0</v>
      </c>
      <c r="J27" s="16">
        <f>[25]Resumen!$J$33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[26]Resumen!$B$33</f>
        <v>0</v>
      </c>
      <c r="C28" s="15">
        <f>[26]Resumen!$C$33</f>
        <v>0</v>
      </c>
      <c r="D28" s="16">
        <f>[26]Resumen!$D$33</f>
        <v>0</v>
      </c>
      <c r="E28" s="14">
        <f>[26]Resumen!$E$33</f>
        <v>0</v>
      </c>
      <c r="F28" s="15">
        <f>[26]Resumen!$F$33</f>
        <v>0</v>
      </c>
      <c r="G28" s="17">
        <f>[26]Resumen!$G$33</f>
        <v>0</v>
      </c>
      <c r="H28" s="18">
        <f>[26]Resumen!$H$33</f>
        <v>0</v>
      </c>
      <c r="I28" s="15">
        <f>[26]Resumen!$I$33</f>
        <v>0</v>
      </c>
      <c r="J28" s="16">
        <f>[26]Resumen!$J$33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[27]Resumen!$B$33</f>
        <v>0</v>
      </c>
      <c r="C29" s="15">
        <f>[27]Resumen!$C$33</f>
        <v>0</v>
      </c>
      <c r="D29" s="16">
        <f>[27]Resumen!$D$33</f>
        <v>0</v>
      </c>
      <c r="E29" s="14">
        <f>[27]Resumen!$E$33</f>
        <v>0</v>
      </c>
      <c r="F29" s="15">
        <f>[27]Resumen!$F$33</f>
        <v>0</v>
      </c>
      <c r="G29" s="17">
        <f>[27]Resumen!$G$33</f>
        <v>0</v>
      </c>
      <c r="H29" s="18">
        <f>[27]Resumen!$H$33</f>
        <v>0</v>
      </c>
      <c r="I29" s="15">
        <f>[27]Resumen!$I$33</f>
        <v>0</v>
      </c>
      <c r="J29" s="16">
        <f>[27]Resumen!$J$33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[28]Resumen!$B$33</f>
        <v>0</v>
      </c>
      <c r="C30" s="15">
        <f>[28]Resumen!$C$33</f>
        <v>0</v>
      </c>
      <c r="D30" s="16">
        <f>[28]Resumen!$D$33</f>
        <v>0</v>
      </c>
      <c r="E30" s="14">
        <f>[28]Resumen!$E$33</f>
        <v>0</v>
      </c>
      <c r="F30" s="15">
        <f>[28]Resumen!$F$33</f>
        <v>0</v>
      </c>
      <c r="G30" s="17">
        <f>[28]Resumen!$G$33</f>
        <v>0</v>
      </c>
      <c r="H30" s="18">
        <f>[28]Resumen!$H$33</f>
        <v>0</v>
      </c>
      <c r="I30" s="15">
        <f>[28]Resumen!$I$33</f>
        <v>0</v>
      </c>
      <c r="J30" s="16">
        <f>[28]Resumen!$J$33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[29]Resumen!$B$33</f>
        <v>0</v>
      </c>
      <c r="C31" s="15">
        <f>[29]Resumen!$C$33</f>
        <v>0</v>
      </c>
      <c r="D31" s="16">
        <f>[29]Resumen!$D$33</f>
        <v>0</v>
      </c>
      <c r="E31" s="14">
        <f>[29]Resumen!$E$33</f>
        <v>0</v>
      </c>
      <c r="F31" s="15">
        <f>[29]Resumen!$F$33</f>
        <v>0</v>
      </c>
      <c r="G31" s="17">
        <f>[29]Resumen!$G$33</f>
        <v>0</v>
      </c>
      <c r="H31" s="18">
        <f>[29]Resumen!$H$33</f>
        <v>0</v>
      </c>
      <c r="I31" s="15">
        <f>[29]Resumen!$I$33</f>
        <v>0</v>
      </c>
      <c r="J31" s="16">
        <f>[29]Resumen!$J$33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[30]Resumen!$B$33</f>
        <v>0</v>
      </c>
      <c r="C32" s="15">
        <f>[30]Resumen!$C$33</f>
        <v>0</v>
      </c>
      <c r="D32" s="16">
        <f>[30]Resumen!$D$33</f>
        <v>0</v>
      </c>
      <c r="E32" s="14">
        <f>[30]Resumen!$E$33</f>
        <v>0</v>
      </c>
      <c r="F32" s="15">
        <f>[30]Resumen!$F$33</f>
        <v>0</v>
      </c>
      <c r="G32" s="17">
        <f>[30]Resumen!$G$33</f>
        <v>0</v>
      </c>
      <c r="H32" s="18">
        <f>[30]Resumen!$H$33</f>
        <v>0</v>
      </c>
      <c r="I32" s="15">
        <f>[30]Resumen!$I$33</f>
        <v>0</v>
      </c>
      <c r="J32" s="16">
        <f>[30]Resumen!$J$33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[31]Resumen!$B$33</f>
        <v>0</v>
      </c>
      <c r="C33" s="15">
        <f>[31]Resumen!$C$33</f>
        <v>0</v>
      </c>
      <c r="D33" s="16">
        <f>[31]Resumen!$D$33</f>
        <v>0</v>
      </c>
      <c r="E33" s="14">
        <f>[31]Resumen!$E$33</f>
        <v>0</v>
      </c>
      <c r="F33" s="15">
        <f>[31]Resumen!$F$33</f>
        <v>0</v>
      </c>
      <c r="G33" s="17">
        <f>[31]Resumen!$G$33</f>
        <v>0</v>
      </c>
      <c r="H33" s="18">
        <f>[31]Resumen!$H$33</f>
        <v>0</v>
      </c>
      <c r="I33" s="15">
        <f>[31]Resumen!$I$33</f>
        <v>0</v>
      </c>
      <c r="J33" s="16">
        <f>[31]Resumen!$J$33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[1]Resumen!$B$33</f>
        <v>0</v>
      </c>
      <c r="C34" s="15">
        <f>[1]Resumen!$C$33</f>
        <v>0</v>
      </c>
      <c r="D34" s="16">
        <f>[1]Resumen!$D$33</f>
        <v>0</v>
      </c>
      <c r="E34" s="14">
        <f>[1]Resumen!$E$33</f>
        <v>0</v>
      </c>
      <c r="F34" s="15">
        <f>[1]Resumen!$F$33</f>
        <v>0</v>
      </c>
      <c r="G34" s="17">
        <f>[1]Resumen!$G$33</f>
        <v>0</v>
      </c>
      <c r="H34" s="18">
        <f>[1]Resumen!$H$33</f>
        <v>0</v>
      </c>
      <c r="I34" s="15">
        <f>[1]Resumen!$I$33</f>
        <v>0</v>
      </c>
      <c r="J34" s="16">
        <f>[1]Resumen!$J$33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+[2]Resumen!$B$33</f>
        <v>0</v>
      </c>
      <c r="C35" s="22">
        <f>+[2]Resumen!$C$33</f>
        <v>0</v>
      </c>
      <c r="D35" s="23">
        <f>+[2]Resumen!$D$33</f>
        <v>0</v>
      </c>
      <c r="E35" s="21">
        <f>+[2]Resumen!$E$33</f>
        <v>0</v>
      </c>
      <c r="F35" s="22">
        <f>+[2]Resumen!$F$33</f>
        <v>0</v>
      </c>
      <c r="G35" s="24">
        <f>+[2]Resumen!$G$33</f>
        <v>0</v>
      </c>
      <c r="H35" s="25">
        <f>+[2]Resumen!$H$33</f>
        <v>0</v>
      </c>
      <c r="I35" s="22">
        <f>+[2]Resumen!$I$33</f>
        <v>0</v>
      </c>
      <c r="J35" s="23">
        <f>+[2]Resumen!$J$33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7">
      <c r="I1" s="134" t="s">
        <v>0</v>
      </c>
      <c r="J1" s="134"/>
      <c r="K1" s="134"/>
      <c r="L1" s="134"/>
      <c r="M1" s="134"/>
      <c r="N1" s="134"/>
    </row>
    <row r="2" spans="1:17" ht="18.75">
      <c r="A2" s="2" t="s">
        <v>1</v>
      </c>
      <c r="B2" s="135" t="s">
        <v>64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>
      <c r="A5" s="20" t="s">
        <v>49</v>
      </c>
      <c r="B5" s="53">
        <f>[3]Resumen!$B$34</f>
        <v>0</v>
      </c>
      <c r="C5" s="58">
        <f>[3]Resumen!$C$34</f>
        <v>0</v>
      </c>
      <c r="D5" s="54">
        <f>[3]Resumen!$D$34</f>
        <v>0</v>
      </c>
      <c r="E5" s="53">
        <f>[3]Resumen!$E$34</f>
        <v>0</v>
      </c>
      <c r="F5" s="58">
        <f>[3]Resumen!$F$34</f>
        <v>0</v>
      </c>
      <c r="G5" s="55">
        <f>[3]Resumen!$G$34</f>
        <v>0</v>
      </c>
      <c r="H5" s="61">
        <f>[3]Resumen!$H$34</f>
        <v>0</v>
      </c>
      <c r="I5" s="58">
        <f>[3]Resumen!$I$34</f>
        <v>0</v>
      </c>
      <c r="J5" s="54">
        <f>[3]Resumen!$J$34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>
      <c r="A6" s="13" t="s">
        <v>50</v>
      </c>
      <c r="B6" s="14">
        <f>[4]Resumen!$B$34</f>
        <v>0</v>
      </c>
      <c r="C6" s="15">
        <f>[4]Resumen!$C$34</f>
        <v>0</v>
      </c>
      <c r="D6" s="16">
        <f>[4]Resumen!$D$34</f>
        <v>0</v>
      </c>
      <c r="E6" s="14">
        <f>[4]Resumen!$E$34</f>
        <v>0</v>
      </c>
      <c r="F6" s="15">
        <f>[4]Resumen!$F$34</f>
        <v>0</v>
      </c>
      <c r="G6" s="17">
        <f>[4]Resumen!$G$34</f>
        <v>0</v>
      </c>
      <c r="H6" s="18">
        <f>[4]Resumen!$H$34</f>
        <v>0</v>
      </c>
      <c r="I6" s="15">
        <f>[4]Resumen!$I$34</f>
        <v>0</v>
      </c>
      <c r="J6" s="16">
        <f>[4]Resumen!$J$34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>
      <c r="A7" s="20" t="s">
        <v>51</v>
      </c>
      <c r="B7" s="14">
        <f>[5]Resumen!$B$34</f>
        <v>0</v>
      </c>
      <c r="C7" s="15">
        <f>[5]Resumen!$C$34</f>
        <v>0</v>
      </c>
      <c r="D7" s="16">
        <f>[5]Resumen!$D$34</f>
        <v>0</v>
      </c>
      <c r="E7" s="14">
        <f>[5]Resumen!$E$34</f>
        <v>0</v>
      </c>
      <c r="F7" s="15">
        <f>[5]Resumen!$F$34</f>
        <v>0</v>
      </c>
      <c r="G7" s="17">
        <f>[5]Resumen!$G$34</f>
        <v>0</v>
      </c>
      <c r="H7" s="18">
        <f>[5]Resumen!$H$34</f>
        <v>0</v>
      </c>
      <c r="I7" s="15">
        <f>[5]Resumen!$I$34</f>
        <v>0</v>
      </c>
      <c r="J7" s="16">
        <f>[5]Resumen!$J$34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>
      <c r="A8" s="13" t="s">
        <v>52</v>
      </c>
      <c r="B8" s="14">
        <f>[6]Resumen!$B$34</f>
        <v>0</v>
      </c>
      <c r="C8" s="15">
        <f>[6]Resumen!$C$34</f>
        <v>0</v>
      </c>
      <c r="D8" s="16">
        <f>[6]Resumen!$D$34</f>
        <v>0</v>
      </c>
      <c r="E8" s="14">
        <f>[6]Resumen!$E$34</f>
        <v>0</v>
      </c>
      <c r="F8" s="15">
        <f>[6]Resumen!$F$34</f>
        <v>0</v>
      </c>
      <c r="G8" s="17">
        <f>[6]Resumen!$G$34</f>
        <v>0</v>
      </c>
      <c r="H8" s="18">
        <f>[6]Resumen!$H$34</f>
        <v>0</v>
      </c>
      <c r="I8" s="15">
        <f>[6]Resumen!$I$34</f>
        <v>0</v>
      </c>
      <c r="J8" s="16">
        <f>[6]Resumen!$J$34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>
      <c r="A9" s="20" t="s">
        <v>53</v>
      </c>
      <c r="B9" s="14">
        <f>[7]Resumen!$B$34</f>
        <v>0</v>
      </c>
      <c r="C9" s="15">
        <f>[7]Resumen!$C$34</f>
        <v>0</v>
      </c>
      <c r="D9" s="16">
        <f>[7]Resumen!$D$34</f>
        <v>0</v>
      </c>
      <c r="E9" s="14">
        <f>[7]Resumen!$E$34</f>
        <v>0</v>
      </c>
      <c r="F9" s="15">
        <f>[7]Resumen!$F$34</f>
        <v>0</v>
      </c>
      <c r="G9" s="17">
        <f>[7]Resumen!$G$34</f>
        <v>0</v>
      </c>
      <c r="H9" s="18">
        <f>[7]Resumen!$H$34</f>
        <v>0</v>
      </c>
      <c r="I9" s="15">
        <f>[7]Resumen!$I$34</f>
        <v>0</v>
      </c>
      <c r="J9" s="16">
        <f>[7]Resumen!$J$34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>
      <c r="A10" s="13" t="s">
        <v>20</v>
      </c>
      <c r="B10" s="14">
        <f>[8]Resumen!$B$34</f>
        <v>0</v>
      </c>
      <c r="C10" s="15">
        <f>[8]Resumen!$C$34</f>
        <v>0</v>
      </c>
      <c r="D10" s="16">
        <f>[8]Resumen!$D$34</f>
        <v>0</v>
      </c>
      <c r="E10" s="14">
        <f>[8]Resumen!$E$34</f>
        <v>0</v>
      </c>
      <c r="F10" s="15">
        <f>[8]Resumen!$F$34</f>
        <v>0</v>
      </c>
      <c r="G10" s="17">
        <f>[8]Resumen!$G$34</f>
        <v>0</v>
      </c>
      <c r="H10" s="18">
        <f>[8]Resumen!$H$34</f>
        <v>0</v>
      </c>
      <c r="I10" s="15">
        <f>[8]Resumen!$I$34</f>
        <v>0</v>
      </c>
      <c r="J10" s="16">
        <f>[8]Resumen!$J$34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>
      <c r="A11" s="20" t="s">
        <v>21</v>
      </c>
      <c r="B11" s="14">
        <f>[9]Resumen!$B$34</f>
        <v>0</v>
      </c>
      <c r="C11" s="15">
        <f>[9]Resumen!$C$34</f>
        <v>0</v>
      </c>
      <c r="D11" s="16">
        <f>[9]Resumen!$D$34</f>
        <v>0</v>
      </c>
      <c r="E11" s="14">
        <f>[9]Resumen!$E$34</f>
        <v>0</v>
      </c>
      <c r="F11" s="15">
        <f>[9]Resumen!$F$34</f>
        <v>0</v>
      </c>
      <c r="G11" s="17">
        <f>[9]Resumen!$G$34</f>
        <v>0</v>
      </c>
      <c r="H11" s="18">
        <f>[9]Resumen!$H$34</f>
        <v>0</v>
      </c>
      <c r="I11" s="15">
        <f>[9]Resumen!$I$34</f>
        <v>0</v>
      </c>
      <c r="J11" s="16">
        <f>[9]Resumen!$J$34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>
      <c r="A12" s="13" t="s">
        <v>22</v>
      </c>
      <c r="B12" s="14">
        <f>[10]Resumen!$B$34</f>
        <v>0</v>
      </c>
      <c r="C12" s="15">
        <f>[10]Resumen!$C$34</f>
        <v>0</v>
      </c>
      <c r="D12" s="16">
        <f>[10]Resumen!$D$34</f>
        <v>0</v>
      </c>
      <c r="E12" s="14">
        <f>[10]Resumen!$E$34</f>
        <v>0</v>
      </c>
      <c r="F12" s="15">
        <f>[10]Resumen!$F$34</f>
        <v>0</v>
      </c>
      <c r="G12" s="17">
        <f>[10]Resumen!$G$34</f>
        <v>0</v>
      </c>
      <c r="H12" s="18">
        <f>[10]Resumen!$H$34</f>
        <v>0</v>
      </c>
      <c r="I12" s="15">
        <f>[10]Resumen!$I$34</f>
        <v>0</v>
      </c>
      <c r="J12" s="16">
        <f>[10]Resumen!$J$34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>
      <c r="A13" s="20" t="s">
        <v>23</v>
      </c>
      <c r="B13" s="14">
        <f>[11]Resumen!$B$34</f>
        <v>0</v>
      </c>
      <c r="C13" s="15">
        <f>[11]Resumen!$C$34</f>
        <v>0</v>
      </c>
      <c r="D13" s="16">
        <f>[11]Resumen!$D$34</f>
        <v>0</v>
      </c>
      <c r="E13" s="14">
        <f>[11]Resumen!$E$34</f>
        <v>0</v>
      </c>
      <c r="F13" s="15">
        <f>[11]Resumen!$F$34</f>
        <v>0</v>
      </c>
      <c r="G13" s="17">
        <f>[11]Resumen!$G$34</f>
        <v>0</v>
      </c>
      <c r="H13" s="18">
        <f>[11]Resumen!$H$34</f>
        <v>0</v>
      </c>
      <c r="I13" s="15">
        <f>[11]Resumen!$I$34</f>
        <v>0</v>
      </c>
      <c r="J13" s="16">
        <f>[11]Resumen!$J$34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>
      <c r="A14" s="13" t="s">
        <v>24</v>
      </c>
      <c r="B14" s="14">
        <f>[12]Resumen!$B$34</f>
        <v>0</v>
      </c>
      <c r="C14" s="15">
        <f>[12]Resumen!$C$34</f>
        <v>0</v>
      </c>
      <c r="D14" s="16">
        <f>[12]Resumen!$D$34</f>
        <v>0</v>
      </c>
      <c r="E14" s="14">
        <f>[12]Resumen!$E$34</f>
        <v>0</v>
      </c>
      <c r="F14" s="15">
        <f>[12]Resumen!$F$34</f>
        <v>0</v>
      </c>
      <c r="G14" s="17">
        <f>[12]Resumen!$G$34</f>
        <v>0</v>
      </c>
      <c r="H14" s="18">
        <f>[12]Resumen!$H$34</f>
        <v>0</v>
      </c>
      <c r="I14" s="15">
        <f>[12]Resumen!$I$34</f>
        <v>0</v>
      </c>
      <c r="J14" s="16">
        <f>[12]Resumen!$J$34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>
      <c r="A15" s="20" t="s">
        <v>25</v>
      </c>
      <c r="B15" s="14">
        <f>[13]Resumen!$B$34</f>
        <v>0</v>
      </c>
      <c r="C15" s="15">
        <f>[13]Resumen!$C$34</f>
        <v>0</v>
      </c>
      <c r="D15" s="16">
        <f>[13]Resumen!$D$34</f>
        <v>0</v>
      </c>
      <c r="E15" s="14">
        <f>[13]Resumen!$E$34</f>
        <v>0</v>
      </c>
      <c r="F15" s="15">
        <f>[13]Resumen!$F$34</f>
        <v>0</v>
      </c>
      <c r="G15" s="17">
        <f>[13]Resumen!$G$34</f>
        <v>0</v>
      </c>
      <c r="H15" s="18">
        <f>[13]Resumen!$H$34</f>
        <v>0</v>
      </c>
      <c r="I15" s="15">
        <f>[13]Resumen!$I$34</f>
        <v>0</v>
      </c>
      <c r="J15" s="16">
        <f>[13]Resumen!$J$34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>
      <c r="A16" s="13" t="s">
        <v>26</v>
      </c>
      <c r="B16" s="14">
        <f>[14]Resumen!$B$34</f>
        <v>0</v>
      </c>
      <c r="C16" s="15">
        <f>[14]Resumen!$C$34</f>
        <v>0</v>
      </c>
      <c r="D16" s="16">
        <f>[14]Resumen!$D$34</f>
        <v>0</v>
      </c>
      <c r="E16" s="14">
        <f>[14]Resumen!$E$34</f>
        <v>0</v>
      </c>
      <c r="F16" s="15">
        <f>[14]Resumen!$F$34</f>
        <v>0</v>
      </c>
      <c r="G16" s="17">
        <f>[14]Resumen!$G$34</f>
        <v>0</v>
      </c>
      <c r="H16" s="18">
        <f>[14]Resumen!$H$34</f>
        <v>0</v>
      </c>
      <c r="I16" s="15">
        <f>[14]Resumen!$I$34</f>
        <v>0</v>
      </c>
      <c r="J16" s="16">
        <f>[14]Resumen!$J$34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[15]Resumen!$B$34</f>
        <v>0</v>
      </c>
      <c r="C17" s="15">
        <f>[15]Resumen!$C$34</f>
        <v>0</v>
      </c>
      <c r="D17" s="16">
        <f>[15]Resumen!$D$34</f>
        <v>0</v>
      </c>
      <c r="E17" s="14">
        <f>[15]Resumen!$E$34</f>
        <v>0</v>
      </c>
      <c r="F17" s="15">
        <f>[15]Resumen!$F$34</f>
        <v>0</v>
      </c>
      <c r="G17" s="17">
        <f>[15]Resumen!$G$34</f>
        <v>0</v>
      </c>
      <c r="H17" s="18">
        <f>[15]Resumen!$H$34</f>
        <v>0</v>
      </c>
      <c r="I17" s="15">
        <f>[15]Resumen!$I$34</f>
        <v>0</v>
      </c>
      <c r="J17" s="16">
        <f>[15]Resumen!$J$34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[16]Resumen!$B$34</f>
        <v>0</v>
      </c>
      <c r="C18" s="15">
        <f>[16]Resumen!$C$34</f>
        <v>0</v>
      </c>
      <c r="D18" s="16">
        <f>[16]Resumen!$D$34</f>
        <v>0</v>
      </c>
      <c r="E18" s="14">
        <f>[16]Resumen!$E$34</f>
        <v>0</v>
      </c>
      <c r="F18" s="15">
        <f>[16]Resumen!$F$34</f>
        <v>0</v>
      </c>
      <c r="G18" s="17">
        <f>[16]Resumen!$G$34</f>
        <v>0</v>
      </c>
      <c r="H18" s="18">
        <f>[16]Resumen!$H$34</f>
        <v>0</v>
      </c>
      <c r="I18" s="15">
        <f>[16]Resumen!$I$34</f>
        <v>0</v>
      </c>
      <c r="J18" s="16">
        <f>[16]Resumen!$J$34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[17]Resumen!$B$34</f>
        <v>0</v>
      </c>
      <c r="C19" s="15">
        <f>[17]Resumen!$C$34</f>
        <v>0</v>
      </c>
      <c r="D19" s="16">
        <f>[17]Resumen!$D$34</f>
        <v>0</v>
      </c>
      <c r="E19" s="14">
        <f>[17]Resumen!$E$34</f>
        <v>0</v>
      </c>
      <c r="F19" s="15">
        <f>[17]Resumen!$F$34</f>
        <v>0</v>
      </c>
      <c r="G19" s="17">
        <f>[17]Resumen!$G$34</f>
        <v>0</v>
      </c>
      <c r="H19" s="18">
        <f>[17]Resumen!$H$34</f>
        <v>0</v>
      </c>
      <c r="I19" s="15">
        <f>[17]Resumen!$I$34</f>
        <v>0</v>
      </c>
      <c r="J19" s="16">
        <f>[17]Resumen!$J$34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[18]Resumen!$B$34</f>
        <v>0</v>
      </c>
      <c r="C20" s="15">
        <f>[18]Resumen!$C$34</f>
        <v>0</v>
      </c>
      <c r="D20" s="16">
        <f>[18]Resumen!$D$34</f>
        <v>0</v>
      </c>
      <c r="E20" s="14">
        <f>[18]Resumen!$E$34</f>
        <v>0</v>
      </c>
      <c r="F20" s="15">
        <f>[18]Resumen!$F$34</f>
        <v>0</v>
      </c>
      <c r="G20" s="17">
        <f>[18]Resumen!$G$34</f>
        <v>0</v>
      </c>
      <c r="H20" s="18">
        <f>[18]Resumen!$H$34</f>
        <v>0</v>
      </c>
      <c r="I20" s="15">
        <f>[18]Resumen!$I$34</f>
        <v>0</v>
      </c>
      <c r="J20" s="16">
        <f>[18]Resumen!$J$34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[19]Resumen!$B$34</f>
        <v>0</v>
      </c>
      <c r="C21" s="15">
        <f>[19]Resumen!$C$34</f>
        <v>0</v>
      </c>
      <c r="D21" s="16">
        <f>[19]Resumen!$D$34</f>
        <v>0</v>
      </c>
      <c r="E21" s="14">
        <f>[19]Resumen!$E$34</f>
        <v>0</v>
      </c>
      <c r="F21" s="15">
        <f>[19]Resumen!$F$34</f>
        <v>0</v>
      </c>
      <c r="G21" s="17">
        <f>[19]Resumen!$G$34</f>
        <v>0</v>
      </c>
      <c r="H21" s="18">
        <f>[19]Resumen!$H$34</f>
        <v>0</v>
      </c>
      <c r="I21" s="15">
        <f>[19]Resumen!$I$34</f>
        <v>0</v>
      </c>
      <c r="J21" s="16">
        <f>[19]Resumen!$J$34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[20]Resumen!$B$34</f>
        <v>0</v>
      </c>
      <c r="C22" s="15">
        <f>[20]Resumen!$C$34</f>
        <v>0</v>
      </c>
      <c r="D22" s="16">
        <f>[20]Resumen!$D$34</f>
        <v>0</v>
      </c>
      <c r="E22" s="14">
        <f>[20]Resumen!$E$34</f>
        <v>0</v>
      </c>
      <c r="F22" s="15">
        <f>[20]Resumen!$F$34</f>
        <v>0</v>
      </c>
      <c r="G22" s="17">
        <f>[20]Resumen!$G$34</f>
        <v>0</v>
      </c>
      <c r="H22" s="18">
        <f>[20]Resumen!$H$34</f>
        <v>0</v>
      </c>
      <c r="I22" s="15">
        <f>[20]Resumen!$I$34</f>
        <v>0</v>
      </c>
      <c r="J22" s="16">
        <f>[20]Resumen!$J$34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[21]Resumen!$B$34</f>
        <v>0</v>
      </c>
      <c r="C23" s="15">
        <f>[21]Resumen!$C$34</f>
        <v>0</v>
      </c>
      <c r="D23" s="16">
        <f>[21]Resumen!$D$34</f>
        <v>0</v>
      </c>
      <c r="E23" s="14">
        <f>[21]Resumen!$E$34</f>
        <v>0</v>
      </c>
      <c r="F23" s="15">
        <f>[21]Resumen!$F$34</f>
        <v>0</v>
      </c>
      <c r="G23" s="17">
        <f>[21]Resumen!$G$34</f>
        <v>0</v>
      </c>
      <c r="H23" s="18">
        <f>[21]Resumen!$H$34</f>
        <v>0</v>
      </c>
      <c r="I23" s="15">
        <f>[21]Resumen!$I$34</f>
        <v>0</v>
      </c>
      <c r="J23" s="16">
        <f>[21]Resumen!$J$34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[22]Resumen!$B$34</f>
        <v>0</v>
      </c>
      <c r="C24" s="15">
        <f>[22]Resumen!$C$34</f>
        <v>0</v>
      </c>
      <c r="D24" s="16">
        <f>[22]Resumen!$D$34</f>
        <v>0</v>
      </c>
      <c r="E24" s="14">
        <f>[22]Resumen!$E$34</f>
        <v>0</v>
      </c>
      <c r="F24" s="15">
        <f>[22]Resumen!$F$34</f>
        <v>0</v>
      </c>
      <c r="G24" s="17">
        <f>[22]Resumen!$G$34</f>
        <v>0</v>
      </c>
      <c r="H24" s="18">
        <f>[22]Resumen!$H$34</f>
        <v>0</v>
      </c>
      <c r="I24" s="15">
        <f>[22]Resumen!$I$34</f>
        <v>0</v>
      </c>
      <c r="J24" s="16">
        <f>[22]Resumen!$J$34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[23]Resumen!$B$34</f>
        <v>0</v>
      </c>
      <c r="C25" s="15">
        <f>[23]Resumen!$C$34</f>
        <v>0</v>
      </c>
      <c r="D25" s="16">
        <f>[23]Resumen!$D$34</f>
        <v>0</v>
      </c>
      <c r="E25" s="14">
        <f>[23]Resumen!$E$34</f>
        <v>0</v>
      </c>
      <c r="F25" s="15">
        <f>[23]Resumen!$F$34</f>
        <v>0</v>
      </c>
      <c r="G25" s="17">
        <f>[23]Resumen!$G$34</f>
        <v>0</v>
      </c>
      <c r="H25" s="18">
        <f>[23]Resumen!$H$34</f>
        <v>0</v>
      </c>
      <c r="I25" s="15">
        <f>[23]Resumen!$I$34</f>
        <v>0</v>
      </c>
      <c r="J25" s="16">
        <f>[23]Resumen!$J$34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[24]Resumen!$B$34</f>
        <v>0</v>
      </c>
      <c r="C26" s="15">
        <f>[24]Resumen!$C$34</f>
        <v>0</v>
      </c>
      <c r="D26" s="16">
        <f>[24]Resumen!$D$34</f>
        <v>0</v>
      </c>
      <c r="E26" s="14">
        <f>[24]Resumen!$E$34</f>
        <v>0</v>
      </c>
      <c r="F26" s="15">
        <f>[24]Resumen!$F$34</f>
        <v>0</v>
      </c>
      <c r="G26" s="17">
        <f>[24]Resumen!$G$34</f>
        <v>0</v>
      </c>
      <c r="H26" s="18">
        <f>[24]Resumen!$H$34</f>
        <v>0</v>
      </c>
      <c r="I26" s="15">
        <f>[24]Resumen!$I$34</f>
        <v>0</v>
      </c>
      <c r="J26" s="16">
        <f>[24]Resumen!$J$34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[25]Resumen!$B$34</f>
        <v>0</v>
      </c>
      <c r="C27" s="15">
        <f>[25]Resumen!$C$34</f>
        <v>0</v>
      </c>
      <c r="D27" s="16">
        <f>[25]Resumen!$D$34</f>
        <v>0</v>
      </c>
      <c r="E27" s="14">
        <f>[25]Resumen!$E$34</f>
        <v>0</v>
      </c>
      <c r="F27" s="15">
        <f>[25]Resumen!$F$34</f>
        <v>0</v>
      </c>
      <c r="G27" s="17">
        <f>[25]Resumen!$G$34</f>
        <v>0</v>
      </c>
      <c r="H27" s="18">
        <f>[25]Resumen!$H$34</f>
        <v>0</v>
      </c>
      <c r="I27" s="15">
        <f>[25]Resumen!$I$34</f>
        <v>0</v>
      </c>
      <c r="J27" s="16">
        <f>[25]Resumen!$J$34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[26]Resumen!$B$34</f>
        <v>0</v>
      </c>
      <c r="C28" s="15">
        <f>[26]Resumen!$C$34</f>
        <v>0</v>
      </c>
      <c r="D28" s="16">
        <f>[26]Resumen!$D$34</f>
        <v>0</v>
      </c>
      <c r="E28" s="14">
        <f>[26]Resumen!$E$34</f>
        <v>0</v>
      </c>
      <c r="F28" s="15">
        <f>[26]Resumen!$F$34</f>
        <v>0</v>
      </c>
      <c r="G28" s="17">
        <f>[26]Resumen!$G$34</f>
        <v>0</v>
      </c>
      <c r="H28" s="18">
        <f>[26]Resumen!$H$34</f>
        <v>0</v>
      </c>
      <c r="I28" s="15">
        <f>[26]Resumen!$I$34</f>
        <v>0</v>
      </c>
      <c r="J28" s="16">
        <f>[26]Resumen!$J$34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[27]Resumen!$B$34</f>
        <v>0</v>
      </c>
      <c r="C29" s="15">
        <f>[27]Resumen!$C$34</f>
        <v>0</v>
      </c>
      <c r="D29" s="16">
        <f>[27]Resumen!$D$34</f>
        <v>0</v>
      </c>
      <c r="E29" s="14">
        <f>[27]Resumen!$E$34</f>
        <v>0</v>
      </c>
      <c r="F29" s="15">
        <f>[27]Resumen!$F$34</f>
        <v>0</v>
      </c>
      <c r="G29" s="17">
        <f>[27]Resumen!$G$34</f>
        <v>0</v>
      </c>
      <c r="H29" s="18">
        <f>[27]Resumen!$H$34</f>
        <v>0</v>
      </c>
      <c r="I29" s="15">
        <f>[27]Resumen!$I$34</f>
        <v>0</v>
      </c>
      <c r="J29" s="16">
        <f>[27]Resumen!$J$34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[28]Resumen!$B$34</f>
        <v>0</v>
      </c>
      <c r="C30" s="15">
        <f>[28]Resumen!$C$34</f>
        <v>0</v>
      </c>
      <c r="D30" s="16">
        <f>[28]Resumen!$D$34</f>
        <v>0</v>
      </c>
      <c r="E30" s="14">
        <f>[28]Resumen!$E$34</f>
        <v>0</v>
      </c>
      <c r="F30" s="15">
        <f>[28]Resumen!$F$34</f>
        <v>0</v>
      </c>
      <c r="G30" s="17">
        <f>[28]Resumen!$G$34</f>
        <v>0</v>
      </c>
      <c r="H30" s="18">
        <f>[28]Resumen!$H$34</f>
        <v>0</v>
      </c>
      <c r="I30" s="15">
        <f>[28]Resumen!$I$34</f>
        <v>0</v>
      </c>
      <c r="J30" s="16">
        <f>[28]Resumen!$J$34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[29]Resumen!$B$34</f>
        <v>0</v>
      </c>
      <c r="C31" s="15">
        <f>[29]Resumen!$C$34</f>
        <v>0</v>
      </c>
      <c r="D31" s="16">
        <f>[29]Resumen!$D$34</f>
        <v>0</v>
      </c>
      <c r="E31" s="14">
        <f>[29]Resumen!$E$34</f>
        <v>0</v>
      </c>
      <c r="F31" s="15">
        <f>[29]Resumen!$F$34</f>
        <v>0</v>
      </c>
      <c r="G31" s="17">
        <f>[29]Resumen!$G$34</f>
        <v>0</v>
      </c>
      <c r="H31" s="18">
        <f>[29]Resumen!$H$34</f>
        <v>0</v>
      </c>
      <c r="I31" s="15">
        <f>[29]Resumen!$I$34</f>
        <v>0</v>
      </c>
      <c r="J31" s="16">
        <f>[29]Resumen!$J$34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[30]Resumen!$B$34</f>
        <v>0</v>
      </c>
      <c r="C32" s="15">
        <f>[30]Resumen!$C$34</f>
        <v>0</v>
      </c>
      <c r="D32" s="16">
        <f>[30]Resumen!$D$34</f>
        <v>0</v>
      </c>
      <c r="E32" s="14">
        <f>[30]Resumen!$E$34</f>
        <v>0</v>
      </c>
      <c r="F32" s="15">
        <f>[30]Resumen!$F$34</f>
        <v>0</v>
      </c>
      <c r="G32" s="17">
        <f>[30]Resumen!$G$34</f>
        <v>0</v>
      </c>
      <c r="H32" s="18">
        <f>[30]Resumen!$H$34</f>
        <v>0</v>
      </c>
      <c r="I32" s="15">
        <f>[30]Resumen!$I$34</f>
        <v>0</v>
      </c>
      <c r="J32" s="16">
        <f>[30]Resumen!$J$34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[31]Resumen!$B$34</f>
        <v>0</v>
      </c>
      <c r="C33" s="15">
        <f>[31]Resumen!$C$34</f>
        <v>0</v>
      </c>
      <c r="D33" s="16">
        <f>[31]Resumen!$D$34</f>
        <v>0</v>
      </c>
      <c r="E33" s="14">
        <f>[31]Resumen!$E$34</f>
        <v>0</v>
      </c>
      <c r="F33" s="15">
        <f>[31]Resumen!$F$34</f>
        <v>0</v>
      </c>
      <c r="G33" s="17">
        <f>[31]Resumen!$G$34</f>
        <v>0</v>
      </c>
      <c r="H33" s="18">
        <f>[31]Resumen!$H$34</f>
        <v>0</v>
      </c>
      <c r="I33" s="15">
        <f>[31]Resumen!$I$34</f>
        <v>0</v>
      </c>
      <c r="J33" s="16">
        <f>[31]Resumen!$J$34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[1]Resumen!$B$34</f>
        <v>0</v>
      </c>
      <c r="C34" s="15">
        <f>[1]Resumen!$C$34</f>
        <v>0</v>
      </c>
      <c r="D34" s="16">
        <f>[1]Resumen!$D$34</f>
        <v>0</v>
      </c>
      <c r="E34" s="14">
        <f>[1]Resumen!$E$34</f>
        <v>0</v>
      </c>
      <c r="F34" s="15">
        <f>[1]Resumen!$F$34</f>
        <v>0</v>
      </c>
      <c r="G34" s="17">
        <f>[1]Resumen!$G$34</f>
        <v>0</v>
      </c>
      <c r="H34" s="18">
        <f>[1]Resumen!$H$34</f>
        <v>0</v>
      </c>
      <c r="I34" s="15">
        <f>[1]Resumen!$I$34</f>
        <v>0</v>
      </c>
      <c r="J34" s="16">
        <f>[1]Resumen!$J$34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+[2]Resumen!$B$34</f>
        <v>0</v>
      </c>
      <c r="C35" s="22">
        <f>+[2]Resumen!$C$34</f>
        <v>0</v>
      </c>
      <c r="D35" s="23">
        <f>+[2]Resumen!$D$34</f>
        <v>0</v>
      </c>
      <c r="E35" s="21">
        <f>+[2]Resumen!$E$34</f>
        <v>0</v>
      </c>
      <c r="F35" s="22">
        <f>+[2]Resumen!$F$34</f>
        <v>0</v>
      </c>
      <c r="G35" s="24">
        <f>+[2]Resumen!$G$34</f>
        <v>0</v>
      </c>
      <c r="H35" s="25">
        <f>+[2]Resumen!$H$34</f>
        <v>0</v>
      </c>
      <c r="I35" s="22">
        <f>+[2]Resumen!$I$34</f>
        <v>0</v>
      </c>
      <c r="J35" s="23">
        <f>+[2]Resumen!$J$34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8554687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71</v>
      </c>
      <c r="C2" s="135"/>
      <c r="D2" s="135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[3]Resumen!$B$35</f>
        <v>0</v>
      </c>
      <c r="C5" s="58">
        <f>[3]Resumen!$C$35</f>
        <v>0</v>
      </c>
      <c r="D5" s="54">
        <f>[3]Resumen!$D$35</f>
        <v>0</v>
      </c>
      <c r="E5" s="53">
        <f>[3]Resumen!$E$35</f>
        <v>0</v>
      </c>
      <c r="F5" s="58">
        <f>[3]Resumen!$F$35</f>
        <v>0</v>
      </c>
      <c r="G5" s="55">
        <f>[3]Resumen!$G$35</f>
        <v>0</v>
      </c>
      <c r="H5" s="61">
        <f>[3]Resumen!$H$35</f>
        <v>0</v>
      </c>
      <c r="I5" s="58">
        <f>[3]Resumen!$I$35</f>
        <v>0</v>
      </c>
      <c r="J5" s="54">
        <f>[3]Resumen!$J$35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[4]Resumen!$B$35</f>
        <v>0</v>
      </c>
      <c r="C6" s="15">
        <f>[4]Resumen!$C$35</f>
        <v>0</v>
      </c>
      <c r="D6" s="16">
        <f>[4]Resumen!$D$35</f>
        <v>0</v>
      </c>
      <c r="E6" s="14">
        <f>[4]Resumen!$E$35</f>
        <v>0</v>
      </c>
      <c r="F6" s="15">
        <f>[4]Resumen!$F$35</f>
        <v>0</v>
      </c>
      <c r="G6" s="17">
        <f>[4]Resumen!$G$35</f>
        <v>0</v>
      </c>
      <c r="H6" s="18">
        <f>[4]Resumen!$H$35</f>
        <v>0</v>
      </c>
      <c r="I6" s="15">
        <f>[4]Resumen!$I$35</f>
        <v>0</v>
      </c>
      <c r="J6" s="16">
        <f>[4]Resumen!$J$35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[5]Resumen!$B$35</f>
        <v>0</v>
      </c>
      <c r="C7" s="15">
        <f>[5]Resumen!$C$35</f>
        <v>0</v>
      </c>
      <c r="D7" s="16">
        <f>[5]Resumen!$D$35</f>
        <v>0</v>
      </c>
      <c r="E7" s="14">
        <f>[5]Resumen!$E$35</f>
        <v>0</v>
      </c>
      <c r="F7" s="15">
        <f>[5]Resumen!$F$35</f>
        <v>0</v>
      </c>
      <c r="G7" s="17">
        <f>[5]Resumen!$G$35</f>
        <v>0</v>
      </c>
      <c r="H7" s="18">
        <f>[5]Resumen!$H$35</f>
        <v>0</v>
      </c>
      <c r="I7" s="15">
        <f>[5]Resumen!$I$35</f>
        <v>0</v>
      </c>
      <c r="J7" s="16">
        <f>[5]Resumen!$J$35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[6]Resumen!$B$35</f>
        <v>0</v>
      </c>
      <c r="C8" s="15">
        <f>[6]Resumen!$C$35</f>
        <v>0</v>
      </c>
      <c r="D8" s="16">
        <f>[6]Resumen!$D$35</f>
        <v>0</v>
      </c>
      <c r="E8" s="14">
        <f>[6]Resumen!$E$35</f>
        <v>0</v>
      </c>
      <c r="F8" s="15">
        <f>[6]Resumen!$F$35</f>
        <v>0</v>
      </c>
      <c r="G8" s="17">
        <f>[6]Resumen!$G$35</f>
        <v>0</v>
      </c>
      <c r="H8" s="18">
        <f>[6]Resumen!$H$35</f>
        <v>0</v>
      </c>
      <c r="I8" s="15">
        <f>[6]Resumen!$I$35</f>
        <v>0</v>
      </c>
      <c r="J8" s="16">
        <f>[6]Resumen!$J$35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[7]Resumen!$B$35</f>
        <v>0</v>
      </c>
      <c r="C9" s="15">
        <f>[7]Resumen!$C$35</f>
        <v>0</v>
      </c>
      <c r="D9" s="16">
        <f>[7]Resumen!$D$35</f>
        <v>0</v>
      </c>
      <c r="E9" s="14">
        <f>[7]Resumen!$E$35</f>
        <v>0</v>
      </c>
      <c r="F9" s="15">
        <f>[7]Resumen!$F$35</f>
        <v>0</v>
      </c>
      <c r="G9" s="17">
        <f>[7]Resumen!$G$35</f>
        <v>0</v>
      </c>
      <c r="H9" s="18">
        <f>[7]Resumen!$H$35</f>
        <v>0</v>
      </c>
      <c r="I9" s="15">
        <f>[7]Resumen!$I$35</f>
        <v>0</v>
      </c>
      <c r="J9" s="16">
        <f>[7]Resumen!$J$35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[8]Resumen!$B$35</f>
        <v>0</v>
      </c>
      <c r="C10" s="15">
        <f>[8]Resumen!$C$35</f>
        <v>0</v>
      </c>
      <c r="D10" s="16">
        <f>[8]Resumen!$D$35</f>
        <v>0</v>
      </c>
      <c r="E10" s="14">
        <f>[8]Resumen!$E$35</f>
        <v>0</v>
      </c>
      <c r="F10" s="15">
        <f>[8]Resumen!$F$35</f>
        <v>0</v>
      </c>
      <c r="G10" s="17">
        <f>[8]Resumen!$G$35</f>
        <v>0</v>
      </c>
      <c r="H10" s="18">
        <f>[8]Resumen!$H$35</f>
        <v>0</v>
      </c>
      <c r="I10" s="15">
        <f>[8]Resumen!$I$35</f>
        <v>0</v>
      </c>
      <c r="J10" s="16">
        <f>[8]Resumen!$J$35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[9]Resumen!$B$35</f>
        <v>0</v>
      </c>
      <c r="C11" s="15">
        <f>[9]Resumen!$C$35</f>
        <v>0</v>
      </c>
      <c r="D11" s="16">
        <f>[9]Resumen!$D$35</f>
        <v>0</v>
      </c>
      <c r="E11" s="14">
        <f>[9]Resumen!$E$35</f>
        <v>0</v>
      </c>
      <c r="F11" s="15">
        <f>[9]Resumen!$F$35</f>
        <v>0</v>
      </c>
      <c r="G11" s="17">
        <f>[9]Resumen!$G$35</f>
        <v>0</v>
      </c>
      <c r="H11" s="18">
        <f>[9]Resumen!$H$35</f>
        <v>0</v>
      </c>
      <c r="I11" s="15">
        <f>[9]Resumen!$I$35</f>
        <v>0</v>
      </c>
      <c r="J11" s="16">
        <f>[9]Resumen!$J$35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[10]Resumen!$B$35</f>
        <v>0</v>
      </c>
      <c r="C12" s="15">
        <f>[10]Resumen!$C$35</f>
        <v>0</v>
      </c>
      <c r="D12" s="16">
        <f>[10]Resumen!$D$35</f>
        <v>0</v>
      </c>
      <c r="E12" s="14">
        <f>[10]Resumen!$E$35</f>
        <v>0</v>
      </c>
      <c r="F12" s="15">
        <f>[10]Resumen!$F$35</f>
        <v>0</v>
      </c>
      <c r="G12" s="17">
        <f>[10]Resumen!$G$35</f>
        <v>0</v>
      </c>
      <c r="H12" s="18">
        <f>[10]Resumen!$H$35</f>
        <v>0</v>
      </c>
      <c r="I12" s="15">
        <f>[10]Resumen!$I$35</f>
        <v>0</v>
      </c>
      <c r="J12" s="16">
        <f>[10]Resumen!$J$35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[11]Resumen!$B$35</f>
        <v>0</v>
      </c>
      <c r="C13" s="15">
        <f>[11]Resumen!$C$35</f>
        <v>0</v>
      </c>
      <c r="D13" s="16">
        <f>[11]Resumen!$D$35</f>
        <v>0</v>
      </c>
      <c r="E13" s="14">
        <f>[11]Resumen!$E$35</f>
        <v>0</v>
      </c>
      <c r="F13" s="15">
        <f>[11]Resumen!$F$35</f>
        <v>0</v>
      </c>
      <c r="G13" s="17">
        <f>[11]Resumen!$G$35</f>
        <v>0</v>
      </c>
      <c r="H13" s="18">
        <f>[11]Resumen!$H$35</f>
        <v>0</v>
      </c>
      <c r="I13" s="15">
        <f>[11]Resumen!$I$35</f>
        <v>0</v>
      </c>
      <c r="J13" s="16">
        <f>[11]Resumen!$J$35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[12]Resumen!$B$35</f>
        <v>0</v>
      </c>
      <c r="C14" s="15">
        <f>[12]Resumen!$C$35</f>
        <v>0</v>
      </c>
      <c r="D14" s="16">
        <f>[12]Resumen!$D$35</f>
        <v>0</v>
      </c>
      <c r="E14" s="14">
        <f>[12]Resumen!$E$35</f>
        <v>0</v>
      </c>
      <c r="F14" s="15">
        <f>[12]Resumen!$F$35</f>
        <v>0</v>
      </c>
      <c r="G14" s="17">
        <f>[12]Resumen!$G$35</f>
        <v>0</v>
      </c>
      <c r="H14" s="18">
        <f>[12]Resumen!$H$35</f>
        <v>0</v>
      </c>
      <c r="I14" s="15">
        <f>[12]Resumen!$I$35</f>
        <v>0</v>
      </c>
      <c r="J14" s="16">
        <f>[12]Resumen!$J$35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[13]Resumen!$B$35</f>
        <v>0</v>
      </c>
      <c r="C15" s="15">
        <f>[13]Resumen!$C$35</f>
        <v>0</v>
      </c>
      <c r="D15" s="16">
        <f>[13]Resumen!$D$35</f>
        <v>0</v>
      </c>
      <c r="E15" s="14">
        <f>[13]Resumen!$E$35</f>
        <v>0</v>
      </c>
      <c r="F15" s="15">
        <f>[13]Resumen!$F$35</f>
        <v>0</v>
      </c>
      <c r="G15" s="17">
        <f>[13]Resumen!$G$35</f>
        <v>0</v>
      </c>
      <c r="H15" s="18">
        <f>[13]Resumen!$H$35</f>
        <v>0</v>
      </c>
      <c r="I15" s="15">
        <f>[13]Resumen!$I$35</f>
        <v>0</v>
      </c>
      <c r="J15" s="16">
        <f>[13]Resumen!$J$35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[14]Resumen!$B$35</f>
        <v>0</v>
      </c>
      <c r="C16" s="15">
        <f>[14]Resumen!$C$35</f>
        <v>0</v>
      </c>
      <c r="D16" s="16">
        <f>[14]Resumen!$D$35</f>
        <v>0</v>
      </c>
      <c r="E16" s="14">
        <f>[14]Resumen!$E$35</f>
        <v>0</v>
      </c>
      <c r="F16" s="15">
        <f>[14]Resumen!$F$35</f>
        <v>0</v>
      </c>
      <c r="G16" s="17">
        <f>[14]Resumen!$G$35</f>
        <v>0</v>
      </c>
      <c r="H16" s="18">
        <f>[14]Resumen!$H$35</f>
        <v>0</v>
      </c>
      <c r="I16" s="15">
        <f>[14]Resumen!$I$35</f>
        <v>0</v>
      </c>
      <c r="J16" s="16">
        <f>[14]Resumen!$J$35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[15]Resumen!$B$35</f>
        <v>0</v>
      </c>
      <c r="C17" s="15">
        <f>[15]Resumen!$C$35</f>
        <v>0</v>
      </c>
      <c r="D17" s="16">
        <f>[15]Resumen!$D$35</f>
        <v>0</v>
      </c>
      <c r="E17" s="14">
        <f>[15]Resumen!$E$35</f>
        <v>0</v>
      </c>
      <c r="F17" s="15">
        <f>[15]Resumen!$F$35</f>
        <v>0</v>
      </c>
      <c r="G17" s="17">
        <f>[15]Resumen!$G$35</f>
        <v>0</v>
      </c>
      <c r="H17" s="18">
        <f>[15]Resumen!$H$35</f>
        <v>0</v>
      </c>
      <c r="I17" s="15">
        <f>[15]Resumen!$I$35</f>
        <v>0</v>
      </c>
      <c r="J17" s="16">
        <f>[15]Resumen!$J$35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[16]Resumen!$B$35</f>
        <v>0</v>
      </c>
      <c r="C18" s="15">
        <f>[16]Resumen!$C$35</f>
        <v>0</v>
      </c>
      <c r="D18" s="16">
        <f>[16]Resumen!$D$35</f>
        <v>0</v>
      </c>
      <c r="E18" s="14">
        <f>[16]Resumen!$E$35</f>
        <v>0</v>
      </c>
      <c r="F18" s="15">
        <f>[16]Resumen!$F$35</f>
        <v>0</v>
      </c>
      <c r="G18" s="17">
        <f>[16]Resumen!$G$35</f>
        <v>0</v>
      </c>
      <c r="H18" s="18">
        <f>[16]Resumen!$H$35</f>
        <v>0</v>
      </c>
      <c r="I18" s="15">
        <f>[16]Resumen!$I$35</f>
        <v>0</v>
      </c>
      <c r="J18" s="16">
        <f>[16]Resumen!$J$35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[17]Resumen!$B$35</f>
        <v>0</v>
      </c>
      <c r="C19" s="15">
        <f>[17]Resumen!$C$35</f>
        <v>0</v>
      </c>
      <c r="D19" s="16">
        <f>[17]Resumen!$D$35</f>
        <v>0</v>
      </c>
      <c r="E19" s="14">
        <f>[17]Resumen!$E$35</f>
        <v>0</v>
      </c>
      <c r="F19" s="15">
        <f>[17]Resumen!$F$35</f>
        <v>0</v>
      </c>
      <c r="G19" s="17">
        <f>[17]Resumen!$G$35</f>
        <v>0</v>
      </c>
      <c r="H19" s="18">
        <f>[17]Resumen!$H$35</f>
        <v>0</v>
      </c>
      <c r="I19" s="15">
        <f>[17]Resumen!$I$35</f>
        <v>0</v>
      </c>
      <c r="J19" s="16">
        <f>[17]Resumen!$J$35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[18]Resumen!$B$35</f>
        <v>0</v>
      </c>
      <c r="C20" s="15">
        <f>[18]Resumen!$C$35</f>
        <v>0</v>
      </c>
      <c r="D20" s="16">
        <f>[18]Resumen!$D$35</f>
        <v>0</v>
      </c>
      <c r="E20" s="14">
        <f>[18]Resumen!$E$35</f>
        <v>0</v>
      </c>
      <c r="F20" s="15">
        <f>[18]Resumen!$F$35</f>
        <v>0</v>
      </c>
      <c r="G20" s="17">
        <f>[18]Resumen!$G$35</f>
        <v>0</v>
      </c>
      <c r="H20" s="18">
        <f>[18]Resumen!$H$35</f>
        <v>0</v>
      </c>
      <c r="I20" s="15">
        <f>[18]Resumen!$I$35</f>
        <v>0</v>
      </c>
      <c r="J20" s="16">
        <f>[18]Resumen!$J$35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[19]Resumen!$B$35</f>
        <v>0</v>
      </c>
      <c r="C21" s="15">
        <f>[19]Resumen!$C$35</f>
        <v>0</v>
      </c>
      <c r="D21" s="16">
        <f>[19]Resumen!$D$35</f>
        <v>0</v>
      </c>
      <c r="E21" s="14">
        <f>[19]Resumen!$E$35</f>
        <v>0</v>
      </c>
      <c r="F21" s="15">
        <f>[19]Resumen!$F$35</f>
        <v>0</v>
      </c>
      <c r="G21" s="17">
        <f>[19]Resumen!$G$35</f>
        <v>0</v>
      </c>
      <c r="H21" s="18">
        <f>[19]Resumen!$H$35</f>
        <v>0</v>
      </c>
      <c r="I21" s="15">
        <f>[19]Resumen!$I$35</f>
        <v>0</v>
      </c>
      <c r="J21" s="16">
        <f>[19]Resumen!$J$35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[20]Resumen!$B$35</f>
        <v>0</v>
      </c>
      <c r="C22" s="15">
        <f>[20]Resumen!$C$35</f>
        <v>0</v>
      </c>
      <c r="D22" s="16">
        <f>[20]Resumen!$D$35</f>
        <v>0</v>
      </c>
      <c r="E22" s="14">
        <f>[20]Resumen!$E$35</f>
        <v>0</v>
      </c>
      <c r="F22" s="15">
        <f>[20]Resumen!$F$35</f>
        <v>0</v>
      </c>
      <c r="G22" s="17">
        <f>[20]Resumen!$G$35</f>
        <v>0</v>
      </c>
      <c r="H22" s="18">
        <f>[20]Resumen!$H$35</f>
        <v>0</v>
      </c>
      <c r="I22" s="15">
        <f>[20]Resumen!$I$35</f>
        <v>0</v>
      </c>
      <c r="J22" s="16">
        <f>[20]Resumen!$J$35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[21]Resumen!$B$35</f>
        <v>0</v>
      </c>
      <c r="C23" s="15">
        <f>[21]Resumen!$C$35</f>
        <v>0</v>
      </c>
      <c r="D23" s="16">
        <f>[21]Resumen!$D$35</f>
        <v>0</v>
      </c>
      <c r="E23" s="14">
        <f>[21]Resumen!$E$35</f>
        <v>0</v>
      </c>
      <c r="F23" s="15">
        <f>[21]Resumen!$F$35</f>
        <v>0</v>
      </c>
      <c r="G23" s="17">
        <f>[21]Resumen!$G$35</f>
        <v>0</v>
      </c>
      <c r="H23" s="18">
        <f>[21]Resumen!$H$35</f>
        <v>0</v>
      </c>
      <c r="I23" s="15">
        <f>[21]Resumen!$I$35</f>
        <v>0</v>
      </c>
      <c r="J23" s="16">
        <f>[21]Resumen!$J$35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[22]Resumen!$B$35</f>
        <v>0</v>
      </c>
      <c r="C24" s="15">
        <f>[22]Resumen!$C$35</f>
        <v>0</v>
      </c>
      <c r="D24" s="16">
        <f>[22]Resumen!$D$35</f>
        <v>0</v>
      </c>
      <c r="E24" s="14">
        <f>[22]Resumen!$E$35</f>
        <v>0</v>
      </c>
      <c r="F24" s="15">
        <f>[22]Resumen!$F$35</f>
        <v>0</v>
      </c>
      <c r="G24" s="17">
        <f>[22]Resumen!$G$35</f>
        <v>0</v>
      </c>
      <c r="H24" s="18">
        <f>[22]Resumen!$H$35</f>
        <v>0</v>
      </c>
      <c r="I24" s="15">
        <f>[22]Resumen!$I$35</f>
        <v>0</v>
      </c>
      <c r="J24" s="16">
        <f>[22]Resumen!$J$35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[23]Resumen!$B$35</f>
        <v>0</v>
      </c>
      <c r="C25" s="15">
        <f>[23]Resumen!$C$35</f>
        <v>0</v>
      </c>
      <c r="D25" s="16">
        <f>[23]Resumen!$D$35</f>
        <v>0</v>
      </c>
      <c r="E25" s="14">
        <f>[23]Resumen!$E$35</f>
        <v>0</v>
      </c>
      <c r="F25" s="15">
        <f>[23]Resumen!$F$35</f>
        <v>0</v>
      </c>
      <c r="G25" s="17">
        <f>[23]Resumen!$G$35</f>
        <v>0</v>
      </c>
      <c r="H25" s="18">
        <f>[23]Resumen!$H$35</f>
        <v>0</v>
      </c>
      <c r="I25" s="15">
        <f>[23]Resumen!$I$35</f>
        <v>0</v>
      </c>
      <c r="J25" s="16">
        <f>[23]Resumen!$J$35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[24]Resumen!$B$35</f>
        <v>0</v>
      </c>
      <c r="C26" s="15">
        <f>[24]Resumen!$C$35</f>
        <v>0</v>
      </c>
      <c r="D26" s="16">
        <f>[24]Resumen!$D$35</f>
        <v>0</v>
      </c>
      <c r="E26" s="14">
        <f>[24]Resumen!$E$35</f>
        <v>0</v>
      </c>
      <c r="F26" s="15">
        <f>[24]Resumen!$F$35</f>
        <v>0</v>
      </c>
      <c r="G26" s="17">
        <f>[24]Resumen!$G$35</f>
        <v>0</v>
      </c>
      <c r="H26" s="18">
        <f>[24]Resumen!$H$35</f>
        <v>0</v>
      </c>
      <c r="I26" s="15">
        <f>[24]Resumen!$I$35</f>
        <v>0</v>
      </c>
      <c r="J26" s="16">
        <f>[24]Resumen!$J$35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[25]Resumen!$B$35</f>
        <v>0</v>
      </c>
      <c r="C27" s="15">
        <f>[25]Resumen!$C$35</f>
        <v>0</v>
      </c>
      <c r="D27" s="16">
        <f>[25]Resumen!$D$35</f>
        <v>0</v>
      </c>
      <c r="E27" s="14">
        <f>[25]Resumen!$E$35</f>
        <v>0</v>
      </c>
      <c r="F27" s="15">
        <f>[25]Resumen!$F$35</f>
        <v>0</v>
      </c>
      <c r="G27" s="17">
        <f>[25]Resumen!$G$35</f>
        <v>0</v>
      </c>
      <c r="H27" s="18">
        <f>[25]Resumen!$H$35</f>
        <v>0</v>
      </c>
      <c r="I27" s="15">
        <f>[25]Resumen!$I$35</f>
        <v>0</v>
      </c>
      <c r="J27" s="16">
        <f>[25]Resumen!$J$35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[26]Resumen!$B$35</f>
        <v>0</v>
      </c>
      <c r="C28" s="15">
        <f>[26]Resumen!$C$35</f>
        <v>0</v>
      </c>
      <c r="D28" s="16">
        <f>[26]Resumen!$D$35</f>
        <v>0</v>
      </c>
      <c r="E28" s="14">
        <f>[26]Resumen!$E$35</f>
        <v>0</v>
      </c>
      <c r="F28" s="15">
        <f>[26]Resumen!$F$35</f>
        <v>0</v>
      </c>
      <c r="G28" s="17">
        <f>[26]Resumen!$G$35</f>
        <v>0</v>
      </c>
      <c r="H28" s="18">
        <f>[26]Resumen!$H$35</f>
        <v>0</v>
      </c>
      <c r="I28" s="15">
        <f>[26]Resumen!$I$35</f>
        <v>0</v>
      </c>
      <c r="J28" s="16">
        <f>[26]Resumen!$J$35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[27]Resumen!$B$35</f>
        <v>0</v>
      </c>
      <c r="C29" s="15">
        <f>[27]Resumen!$C$35</f>
        <v>0</v>
      </c>
      <c r="D29" s="16">
        <f>[27]Resumen!$D$35</f>
        <v>0</v>
      </c>
      <c r="E29" s="14">
        <f>[27]Resumen!$E$35</f>
        <v>0</v>
      </c>
      <c r="F29" s="15">
        <f>[27]Resumen!$F$35</f>
        <v>0</v>
      </c>
      <c r="G29" s="17">
        <f>[27]Resumen!$G$35</f>
        <v>0</v>
      </c>
      <c r="H29" s="18">
        <f>[27]Resumen!$H$35</f>
        <v>0</v>
      </c>
      <c r="I29" s="15">
        <f>[27]Resumen!$I$35</f>
        <v>0</v>
      </c>
      <c r="J29" s="16">
        <f>[27]Resumen!$J$35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[28]Resumen!$B$35</f>
        <v>0</v>
      </c>
      <c r="C30" s="15">
        <f>[28]Resumen!$C$35</f>
        <v>0</v>
      </c>
      <c r="D30" s="16">
        <f>[28]Resumen!$D$35</f>
        <v>0</v>
      </c>
      <c r="E30" s="14">
        <f>[28]Resumen!$E$35</f>
        <v>0</v>
      </c>
      <c r="F30" s="15">
        <f>[28]Resumen!$F$35</f>
        <v>0</v>
      </c>
      <c r="G30" s="17">
        <f>[28]Resumen!$G$35</f>
        <v>0</v>
      </c>
      <c r="H30" s="18">
        <f>[28]Resumen!$H$35</f>
        <v>0</v>
      </c>
      <c r="I30" s="15">
        <f>[28]Resumen!$I$35</f>
        <v>0</v>
      </c>
      <c r="J30" s="16">
        <f>[28]Resumen!$J$35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[29]Resumen!$B$35</f>
        <v>0</v>
      </c>
      <c r="C31" s="15">
        <f>[29]Resumen!$C$35</f>
        <v>0</v>
      </c>
      <c r="D31" s="16">
        <f>[29]Resumen!$D$35</f>
        <v>0</v>
      </c>
      <c r="E31" s="14">
        <f>[29]Resumen!$E$35</f>
        <v>0</v>
      </c>
      <c r="F31" s="15">
        <f>[29]Resumen!$F$35</f>
        <v>0</v>
      </c>
      <c r="G31" s="17">
        <f>[29]Resumen!$G$35</f>
        <v>0</v>
      </c>
      <c r="H31" s="18">
        <f>[29]Resumen!$H$35</f>
        <v>0</v>
      </c>
      <c r="I31" s="15">
        <f>[29]Resumen!$I$35</f>
        <v>0</v>
      </c>
      <c r="J31" s="16">
        <f>[29]Resumen!$J$35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[30]Resumen!$B$35</f>
        <v>0</v>
      </c>
      <c r="C32" s="15">
        <f>[30]Resumen!$C$35</f>
        <v>0</v>
      </c>
      <c r="D32" s="16">
        <f>[30]Resumen!$D$35</f>
        <v>0</v>
      </c>
      <c r="E32" s="14">
        <f>[30]Resumen!$E$35</f>
        <v>0</v>
      </c>
      <c r="F32" s="15">
        <f>[30]Resumen!$F$35</f>
        <v>0</v>
      </c>
      <c r="G32" s="17">
        <f>[30]Resumen!$G$35</f>
        <v>0</v>
      </c>
      <c r="H32" s="18">
        <f>[30]Resumen!$H$35</f>
        <v>0</v>
      </c>
      <c r="I32" s="15">
        <f>[30]Resumen!$I$35</f>
        <v>0</v>
      </c>
      <c r="J32" s="16">
        <f>[30]Resumen!$J$35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[31]Resumen!$B$35</f>
        <v>0</v>
      </c>
      <c r="C33" s="15">
        <f>[31]Resumen!$C$35</f>
        <v>0</v>
      </c>
      <c r="D33" s="16">
        <f>[31]Resumen!$D$35</f>
        <v>0</v>
      </c>
      <c r="E33" s="14">
        <f>[31]Resumen!$E$35</f>
        <v>0</v>
      </c>
      <c r="F33" s="15">
        <f>[31]Resumen!$F$35</f>
        <v>0</v>
      </c>
      <c r="G33" s="17">
        <f>[31]Resumen!$G$35</f>
        <v>0</v>
      </c>
      <c r="H33" s="18">
        <f>[31]Resumen!$H$35</f>
        <v>0</v>
      </c>
      <c r="I33" s="15">
        <f>[31]Resumen!$I$35</f>
        <v>0</v>
      </c>
      <c r="J33" s="16">
        <f>[31]Resumen!$J$35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[1]Resumen!$B$35</f>
        <v>0</v>
      </c>
      <c r="C34" s="15">
        <f>[1]Resumen!$C$35</f>
        <v>0</v>
      </c>
      <c r="D34" s="16">
        <f>[1]Resumen!$D$35</f>
        <v>0</v>
      </c>
      <c r="E34" s="14">
        <f>[1]Resumen!$E$35</f>
        <v>0</v>
      </c>
      <c r="F34" s="15">
        <f>[1]Resumen!$F$35</f>
        <v>0</v>
      </c>
      <c r="G34" s="17">
        <f>[1]Resumen!$G$35</f>
        <v>0</v>
      </c>
      <c r="H34" s="18">
        <f>[1]Resumen!$H$35</f>
        <v>0</v>
      </c>
      <c r="I34" s="15">
        <f>[1]Resumen!$I$35</f>
        <v>0</v>
      </c>
      <c r="J34" s="16">
        <f>[1]Resumen!$J$35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+[2]Resumen!$B$35</f>
        <v>0</v>
      </c>
      <c r="C35" s="22">
        <f>+[2]Resumen!$C$35</f>
        <v>0</v>
      </c>
      <c r="D35" s="23">
        <f>+[2]Resumen!$D$35</f>
        <v>0</v>
      </c>
      <c r="E35" s="21">
        <f>+[2]Resumen!$E$35</f>
        <v>0</v>
      </c>
      <c r="F35" s="22">
        <f>+[2]Resumen!$F$35</f>
        <v>0</v>
      </c>
      <c r="G35" s="24">
        <f>+[2]Resumen!$G$35</f>
        <v>0</v>
      </c>
      <c r="H35" s="25">
        <f>+[2]Resumen!$H$35</f>
        <v>0</v>
      </c>
      <c r="I35" s="22">
        <f>+[2]Resumen!$I$35</f>
        <v>0</v>
      </c>
      <c r="J35" s="23">
        <f>+[2]Resumen!$J$35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72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[3]Resumen!$B$36</f>
        <v>0</v>
      </c>
      <c r="C5" s="58">
        <f>[3]Resumen!$C$36</f>
        <v>0</v>
      </c>
      <c r="D5" s="54">
        <f>[3]Resumen!$D$36</f>
        <v>0</v>
      </c>
      <c r="E5" s="53">
        <f>[3]Resumen!$E$36</f>
        <v>0</v>
      </c>
      <c r="F5" s="58">
        <f>[3]Resumen!$F$36</f>
        <v>0</v>
      </c>
      <c r="G5" s="55">
        <f>[3]Resumen!$G$36</f>
        <v>0</v>
      </c>
      <c r="H5" s="61">
        <f>[3]Resumen!$H$36</f>
        <v>0</v>
      </c>
      <c r="I5" s="58">
        <f>[3]Resumen!$I$36</f>
        <v>0</v>
      </c>
      <c r="J5" s="54">
        <f>[3]Resumen!$J$36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[4]Resumen!$B$36</f>
        <v>0</v>
      </c>
      <c r="C6" s="15">
        <f>[4]Resumen!$C$36</f>
        <v>0</v>
      </c>
      <c r="D6" s="16">
        <f>[4]Resumen!$D$36</f>
        <v>0</v>
      </c>
      <c r="E6" s="14">
        <f>[4]Resumen!$E$36</f>
        <v>0</v>
      </c>
      <c r="F6" s="15">
        <f>[4]Resumen!$F$36</f>
        <v>0</v>
      </c>
      <c r="G6" s="17">
        <f>[4]Resumen!$G$36</f>
        <v>0</v>
      </c>
      <c r="H6" s="18">
        <f>[4]Resumen!$H$36</f>
        <v>0</v>
      </c>
      <c r="I6" s="15">
        <f>[4]Resumen!$I$36</f>
        <v>0</v>
      </c>
      <c r="J6" s="16">
        <f>[4]Resumen!$J$36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[5]Resumen!$B$36</f>
        <v>0</v>
      </c>
      <c r="C7" s="15">
        <f>[5]Resumen!$C$36</f>
        <v>0</v>
      </c>
      <c r="D7" s="16">
        <f>[5]Resumen!$D$36</f>
        <v>0</v>
      </c>
      <c r="E7" s="14">
        <f>[5]Resumen!$E$36</f>
        <v>0</v>
      </c>
      <c r="F7" s="15">
        <f>[5]Resumen!$F$36</f>
        <v>0</v>
      </c>
      <c r="G7" s="17">
        <f>[5]Resumen!$G$36</f>
        <v>0</v>
      </c>
      <c r="H7" s="18">
        <f>[5]Resumen!$H$36</f>
        <v>0</v>
      </c>
      <c r="I7" s="15">
        <f>[5]Resumen!$I$36</f>
        <v>0</v>
      </c>
      <c r="J7" s="16">
        <f>[5]Resumen!$J$36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[6]Resumen!$B$36</f>
        <v>0</v>
      </c>
      <c r="C8" s="15">
        <f>[6]Resumen!$C$36</f>
        <v>0</v>
      </c>
      <c r="D8" s="16">
        <f>[6]Resumen!$D$36</f>
        <v>0</v>
      </c>
      <c r="E8" s="14">
        <f>[6]Resumen!$E$36</f>
        <v>0</v>
      </c>
      <c r="F8" s="15">
        <f>[6]Resumen!$F$36</f>
        <v>0</v>
      </c>
      <c r="G8" s="17">
        <f>[6]Resumen!$G$36</f>
        <v>0</v>
      </c>
      <c r="H8" s="18">
        <f>[6]Resumen!$H$36</f>
        <v>0</v>
      </c>
      <c r="I8" s="15">
        <f>[6]Resumen!$I$36</f>
        <v>0</v>
      </c>
      <c r="J8" s="16">
        <f>[6]Resumen!$J$36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[7]Resumen!$B$36</f>
        <v>0</v>
      </c>
      <c r="C9" s="15">
        <f>[7]Resumen!$C$36</f>
        <v>0</v>
      </c>
      <c r="D9" s="16">
        <f>[7]Resumen!$D$36</f>
        <v>0</v>
      </c>
      <c r="E9" s="14">
        <f>[7]Resumen!$E$36</f>
        <v>0</v>
      </c>
      <c r="F9" s="15">
        <f>[7]Resumen!$F$36</f>
        <v>0</v>
      </c>
      <c r="G9" s="17">
        <f>[7]Resumen!$G$36</f>
        <v>0</v>
      </c>
      <c r="H9" s="18">
        <f>[7]Resumen!$H$36</f>
        <v>0</v>
      </c>
      <c r="I9" s="15">
        <f>[7]Resumen!$I$36</f>
        <v>0</v>
      </c>
      <c r="J9" s="16">
        <f>[7]Resumen!$J$36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[8]Resumen!$B$36</f>
        <v>0</v>
      </c>
      <c r="C10" s="15">
        <f>[8]Resumen!$C$36</f>
        <v>0</v>
      </c>
      <c r="D10" s="16">
        <f>[8]Resumen!$D$36</f>
        <v>0</v>
      </c>
      <c r="E10" s="14">
        <f>[8]Resumen!$E$36</f>
        <v>0</v>
      </c>
      <c r="F10" s="15">
        <f>[8]Resumen!$F$36</f>
        <v>0</v>
      </c>
      <c r="G10" s="17">
        <f>[8]Resumen!$G$36</f>
        <v>0</v>
      </c>
      <c r="H10" s="18">
        <f>[8]Resumen!$H$36</f>
        <v>0</v>
      </c>
      <c r="I10" s="15">
        <f>[8]Resumen!$I$36</f>
        <v>0</v>
      </c>
      <c r="J10" s="16">
        <f>[8]Resumen!$J$36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[9]Resumen!$B$36</f>
        <v>0</v>
      </c>
      <c r="C11" s="15">
        <f>[9]Resumen!$C$36</f>
        <v>0</v>
      </c>
      <c r="D11" s="16">
        <f>[9]Resumen!$D$36</f>
        <v>0</v>
      </c>
      <c r="E11" s="14">
        <f>[9]Resumen!$E$36</f>
        <v>0</v>
      </c>
      <c r="F11" s="15">
        <f>[9]Resumen!$F$36</f>
        <v>0</v>
      </c>
      <c r="G11" s="17">
        <f>[9]Resumen!$G$36</f>
        <v>0</v>
      </c>
      <c r="H11" s="18">
        <f>[9]Resumen!$H$36</f>
        <v>0</v>
      </c>
      <c r="I11" s="15">
        <f>[9]Resumen!$I$36</f>
        <v>0</v>
      </c>
      <c r="J11" s="16">
        <f>[9]Resumen!$J$36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[10]Resumen!$B$36</f>
        <v>0</v>
      </c>
      <c r="C12" s="15">
        <f>[10]Resumen!$C$36</f>
        <v>0</v>
      </c>
      <c r="D12" s="16">
        <f>[10]Resumen!$D$36</f>
        <v>0</v>
      </c>
      <c r="E12" s="14">
        <f>[10]Resumen!$E$36</f>
        <v>0</v>
      </c>
      <c r="F12" s="15">
        <f>[10]Resumen!$F$36</f>
        <v>0</v>
      </c>
      <c r="G12" s="17">
        <f>[10]Resumen!$G$36</f>
        <v>0</v>
      </c>
      <c r="H12" s="18">
        <f>[10]Resumen!$H$36</f>
        <v>0</v>
      </c>
      <c r="I12" s="15">
        <f>[10]Resumen!$I$36</f>
        <v>0</v>
      </c>
      <c r="J12" s="16">
        <f>[10]Resumen!$J$36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[11]Resumen!$B$36</f>
        <v>0</v>
      </c>
      <c r="C13" s="15">
        <f>[11]Resumen!$C$36</f>
        <v>0</v>
      </c>
      <c r="D13" s="16">
        <f>[11]Resumen!$D$36</f>
        <v>0</v>
      </c>
      <c r="E13" s="14">
        <f>[11]Resumen!$E$36</f>
        <v>0</v>
      </c>
      <c r="F13" s="15">
        <f>[11]Resumen!$F$36</f>
        <v>0</v>
      </c>
      <c r="G13" s="17">
        <f>[11]Resumen!$G$36</f>
        <v>0</v>
      </c>
      <c r="H13" s="18">
        <f>[11]Resumen!$H$36</f>
        <v>0</v>
      </c>
      <c r="I13" s="15">
        <f>[11]Resumen!$I$36</f>
        <v>0</v>
      </c>
      <c r="J13" s="16">
        <f>[11]Resumen!$J$36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[12]Resumen!$B$36</f>
        <v>0</v>
      </c>
      <c r="C14" s="15">
        <f>[12]Resumen!$C$36</f>
        <v>0</v>
      </c>
      <c r="D14" s="16">
        <f>[12]Resumen!$D$36</f>
        <v>0</v>
      </c>
      <c r="E14" s="14">
        <f>[12]Resumen!$E$36</f>
        <v>0</v>
      </c>
      <c r="F14" s="15">
        <f>[12]Resumen!$F$36</f>
        <v>0</v>
      </c>
      <c r="G14" s="17">
        <f>[12]Resumen!$G$36</f>
        <v>0</v>
      </c>
      <c r="H14" s="18">
        <f>[12]Resumen!$H$36</f>
        <v>0</v>
      </c>
      <c r="I14" s="15">
        <f>[12]Resumen!$I$36</f>
        <v>0</v>
      </c>
      <c r="J14" s="16">
        <f>[12]Resumen!$J$36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[13]Resumen!$B$36</f>
        <v>0</v>
      </c>
      <c r="C15" s="15">
        <f>[13]Resumen!$C$36</f>
        <v>0</v>
      </c>
      <c r="D15" s="16">
        <f>[13]Resumen!$D$36</f>
        <v>0</v>
      </c>
      <c r="E15" s="14">
        <f>[13]Resumen!$E$36</f>
        <v>0</v>
      </c>
      <c r="F15" s="15">
        <f>[13]Resumen!$F$36</f>
        <v>0</v>
      </c>
      <c r="G15" s="17">
        <f>[13]Resumen!$G$36</f>
        <v>0</v>
      </c>
      <c r="H15" s="18">
        <f>[13]Resumen!$H$36</f>
        <v>0</v>
      </c>
      <c r="I15" s="15">
        <f>[13]Resumen!$I$36</f>
        <v>0</v>
      </c>
      <c r="J15" s="16">
        <f>[13]Resumen!$J$36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[14]Resumen!$B$36</f>
        <v>0</v>
      </c>
      <c r="C16" s="15">
        <f>[14]Resumen!$C$36</f>
        <v>0</v>
      </c>
      <c r="D16" s="16">
        <f>[14]Resumen!$D$36</f>
        <v>0</v>
      </c>
      <c r="E16" s="14">
        <f>[14]Resumen!$E$36</f>
        <v>0</v>
      </c>
      <c r="F16" s="15">
        <f>[14]Resumen!$F$36</f>
        <v>0</v>
      </c>
      <c r="G16" s="17">
        <f>[14]Resumen!$G$36</f>
        <v>0</v>
      </c>
      <c r="H16" s="18">
        <f>[14]Resumen!$H$36</f>
        <v>0</v>
      </c>
      <c r="I16" s="15">
        <f>[14]Resumen!$I$36</f>
        <v>0</v>
      </c>
      <c r="J16" s="16">
        <f>[14]Resumen!$J$36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[15]Resumen!$B$36</f>
        <v>0</v>
      </c>
      <c r="C17" s="15">
        <f>[15]Resumen!$C$36</f>
        <v>0</v>
      </c>
      <c r="D17" s="16">
        <f>[15]Resumen!$D$36</f>
        <v>0</v>
      </c>
      <c r="E17" s="14">
        <f>[15]Resumen!$E$36</f>
        <v>0</v>
      </c>
      <c r="F17" s="15">
        <f>[15]Resumen!$F$36</f>
        <v>0</v>
      </c>
      <c r="G17" s="17">
        <f>[15]Resumen!$G$36</f>
        <v>0</v>
      </c>
      <c r="H17" s="18">
        <f>[15]Resumen!$H$36</f>
        <v>0</v>
      </c>
      <c r="I17" s="15">
        <f>[15]Resumen!$I$36</f>
        <v>0</v>
      </c>
      <c r="J17" s="16">
        <f>[15]Resumen!$J$36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[16]Resumen!$B$36</f>
        <v>0</v>
      </c>
      <c r="C18" s="15">
        <f>[16]Resumen!$C$36</f>
        <v>0</v>
      </c>
      <c r="D18" s="16">
        <f>[16]Resumen!$D$36</f>
        <v>0</v>
      </c>
      <c r="E18" s="14">
        <f>[16]Resumen!$E$36</f>
        <v>0</v>
      </c>
      <c r="F18" s="15">
        <f>[16]Resumen!$F$36</f>
        <v>0</v>
      </c>
      <c r="G18" s="17">
        <f>[16]Resumen!$G$36</f>
        <v>0</v>
      </c>
      <c r="H18" s="18">
        <f>[16]Resumen!$H$36</f>
        <v>0</v>
      </c>
      <c r="I18" s="15">
        <f>[16]Resumen!$I$36</f>
        <v>0</v>
      </c>
      <c r="J18" s="16">
        <f>[16]Resumen!$J$36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[17]Resumen!$B$36</f>
        <v>0</v>
      </c>
      <c r="C19" s="15">
        <f>[17]Resumen!$C$36</f>
        <v>0</v>
      </c>
      <c r="D19" s="16">
        <f>[17]Resumen!$D$36</f>
        <v>0</v>
      </c>
      <c r="E19" s="14">
        <f>[17]Resumen!$E$36</f>
        <v>0</v>
      </c>
      <c r="F19" s="15">
        <f>[17]Resumen!$F$36</f>
        <v>0</v>
      </c>
      <c r="G19" s="17">
        <f>[17]Resumen!$G$36</f>
        <v>0</v>
      </c>
      <c r="H19" s="18">
        <f>[17]Resumen!$H$36</f>
        <v>0</v>
      </c>
      <c r="I19" s="15">
        <f>[17]Resumen!$I$36</f>
        <v>0</v>
      </c>
      <c r="J19" s="16">
        <f>[17]Resumen!$J$36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[18]Resumen!$B$36</f>
        <v>0</v>
      </c>
      <c r="C20" s="15">
        <f>[18]Resumen!$C$36</f>
        <v>0</v>
      </c>
      <c r="D20" s="16">
        <f>[18]Resumen!$D$36</f>
        <v>0</v>
      </c>
      <c r="E20" s="14">
        <f>[18]Resumen!$E$36</f>
        <v>0</v>
      </c>
      <c r="F20" s="15">
        <f>[18]Resumen!$F$36</f>
        <v>0</v>
      </c>
      <c r="G20" s="17">
        <f>[18]Resumen!$G$36</f>
        <v>0</v>
      </c>
      <c r="H20" s="18">
        <f>[18]Resumen!$H$36</f>
        <v>0</v>
      </c>
      <c r="I20" s="15">
        <f>[18]Resumen!$I$36</f>
        <v>0</v>
      </c>
      <c r="J20" s="16">
        <f>[18]Resumen!$J$36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[19]Resumen!$B$36</f>
        <v>0</v>
      </c>
      <c r="C21" s="15">
        <f>[19]Resumen!$C$36</f>
        <v>0</v>
      </c>
      <c r="D21" s="16">
        <f>[19]Resumen!$D$36</f>
        <v>0</v>
      </c>
      <c r="E21" s="14">
        <f>[19]Resumen!$E$36</f>
        <v>0</v>
      </c>
      <c r="F21" s="15">
        <f>[19]Resumen!$F$36</f>
        <v>0</v>
      </c>
      <c r="G21" s="17">
        <f>[19]Resumen!$G$36</f>
        <v>0</v>
      </c>
      <c r="H21" s="18">
        <f>[19]Resumen!$H$36</f>
        <v>0</v>
      </c>
      <c r="I21" s="15">
        <f>[19]Resumen!$I$36</f>
        <v>0</v>
      </c>
      <c r="J21" s="16">
        <f>[19]Resumen!$J$36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[20]Resumen!$B$36</f>
        <v>0</v>
      </c>
      <c r="C22" s="15">
        <f>[20]Resumen!$C$36</f>
        <v>0</v>
      </c>
      <c r="D22" s="16">
        <f>[20]Resumen!$D$36</f>
        <v>0</v>
      </c>
      <c r="E22" s="14">
        <f>[20]Resumen!$E$36</f>
        <v>0</v>
      </c>
      <c r="F22" s="15">
        <f>[20]Resumen!$F$36</f>
        <v>0</v>
      </c>
      <c r="G22" s="17">
        <f>[20]Resumen!$G$36</f>
        <v>0</v>
      </c>
      <c r="H22" s="18">
        <f>[20]Resumen!$H$36</f>
        <v>0</v>
      </c>
      <c r="I22" s="15">
        <f>[20]Resumen!$I$36</f>
        <v>0</v>
      </c>
      <c r="J22" s="16">
        <f>[20]Resumen!$J$36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[21]Resumen!$B$36</f>
        <v>0</v>
      </c>
      <c r="C23" s="15">
        <f>[21]Resumen!$C$36</f>
        <v>0</v>
      </c>
      <c r="D23" s="16">
        <f>[21]Resumen!$D$36</f>
        <v>0</v>
      </c>
      <c r="E23" s="14">
        <f>[21]Resumen!$E$36</f>
        <v>0</v>
      </c>
      <c r="F23" s="15">
        <f>[21]Resumen!$F$36</f>
        <v>0</v>
      </c>
      <c r="G23" s="17">
        <f>[21]Resumen!$G$36</f>
        <v>0</v>
      </c>
      <c r="H23" s="18">
        <f>[21]Resumen!$H$36</f>
        <v>0</v>
      </c>
      <c r="I23" s="15">
        <f>[21]Resumen!$I$36</f>
        <v>0</v>
      </c>
      <c r="J23" s="16">
        <f>[21]Resumen!$J$36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[22]Resumen!$B$36</f>
        <v>0</v>
      </c>
      <c r="C24" s="15">
        <f>[22]Resumen!$C$36</f>
        <v>0</v>
      </c>
      <c r="D24" s="16">
        <f>[22]Resumen!$D$36</f>
        <v>0</v>
      </c>
      <c r="E24" s="14">
        <f>[22]Resumen!$E$36</f>
        <v>0</v>
      </c>
      <c r="F24" s="15">
        <f>[22]Resumen!$F$36</f>
        <v>0</v>
      </c>
      <c r="G24" s="17">
        <f>[22]Resumen!$G$36</f>
        <v>0</v>
      </c>
      <c r="H24" s="18">
        <f>[22]Resumen!$H$36</f>
        <v>0</v>
      </c>
      <c r="I24" s="15">
        <f>[22]Resumen!$I$36</f>
        <v>0</v>
      </c>
      <c r="J24" s="16">
        <f>[22]Resumen!$J$36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[23]Resumen!$B$36</f>
        <v>0</v>
      </c>
      <c r="C25" s="15">
        <f>[23]Resumen!$C$36</f>
        <v>0</v>
      </c>
      <c r="D25" s="16">
        <f>[23]Resumen!$D$36</f>
        <v>0</v>
      </c>
      <c r="E25" s="14">
        <f>[23]Resumen!$E$36</f>
        <v>0</v>
      </c>
      <c r="F25" s="15">
        <f>[23]Resumen!$F$36</f>
        <v>0</v>
      </c>
      <c r="G25" s="17">
        <f>[23]Resumen!$G$36</f>
        <v>0</v>
      </c>
      <c r="H25" s="18">
        <f>[23]Resumen!$H$36</f>
        <v>0</v>
      </c>
      <c r="I25" s="15">
        <f>[23]Resumen!$I$36</f>
        <v>0</v>
      </c>
      <c r="J25" s="16">
        <f>[23]Resumen!$J$36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[24]Resumen!$B$36</f>
        <v>0</v>
      </c>
      <c r="C26" s="15">
        <f>[24]Resumen!$C$36</f>
        <v>0</v>
      </c>
      <c r="D26" s="16">
        <f>[24]Resumen!$D$36</f>
        <v>0</v>
      </c>
      <c r="E26" s="14">
        <f>[24]Resumen!$E$36</f>
        <v>0</v>
      </c>
      <c r="F26" s="15">
        <f>[24]Resumen!$F$36</f>
        <v>0</v>
      </c>
      <c r="G26" s="17">
        <f>[24]Resumen!$G$36</f>
        <v>0</v>
      </c>
      <c r="H26" s="18">
        <f>[24]Resumen!$H$36</f>
        <v>0</v>
      </c>
      <c r="I26" s="15">
        <f>[24]Resumen!$I$36</f>
        <v>0</v>
      </c>
      <c r="J26" s="16">
        <f>[24]Resumen!$J$36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[25]Resumen!$B$36</f>
        <v>0</v>
      </c>
      <c r="C27" s="15">
        <f>[25]Resumen!$C$36</f>
        <v>0</v>
      </c>
      <c r="D27" s="16">
        <f>[25]Resumen!$D$36</f>
        <v>0</v>
      </c>
      <c r="E27" s="14">
        <f>[25]Resumen!$E$36</f>
        <v>0</v>
      </c>
      <c r="F27" s="15">
        <f>[25]Resumen!$F$36</f>
        <v>0</v>
      </c>
      <c r="G27" s="17">
        <f>[25]Resumen!$G$36</f>
        <v>0</v>
      </c>
      <c r="H27" s="18">
        <f>[25]Resumen!$H$36</f>
        <v>0</v>
      </c>
      <c r="I27" s="15">
        <f>[25]Resumen!$I$36</f>
        <v>0</v>
      </c>
      <c r="J27" s="16">
        <f>[25]Resumen!$J$36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[26]Resumen!$B$36</f>
        <v>0</v>
      </c>
      <c r="C28" s="15">
        <f>[26]Resumen!$C$36</f>
        <v>0</v>
      </c>
      <c r="D28" s="16">
        <f>[26]Resumen!$D$36</f>
        <v>0</v>
      </c>
      <c r="E28" s="14">
        <f>[26]Resumen!$E$36</f>
        <v>0</v>
      </c>
      <c r="F28" s="15">
        <f>[26]Resumen!$F$36</f>
        <v>0</v>
      </c>
      <c r="G28" s="17">
        <f>[26]Resumen!$G$36</f>
        <v>0</v>
      </c>
      <c r="H28" s="18">
        <f>[26]Resumen!$H$36</f>
        <v>0</v>
      </c>
      <c r="I28" s="15">
        <f>[26]Resumen!$I$36</f>
        <v>0</v>
      </c>
      <c r="J28" s="16">
        <f>[26]Resumen!$J$36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[27]Resumen!$B$36</f>
        <v>0</v>
      </c>
      <c r="C29" s="15">
        <f>[27]Resumen!$C$36</f>
        <v>0</v>
      </c>
      <c r="D29" s="16">
        <f>[27]Resumen!$D$36</f>
        <v>0</v>
      </c>
      <c r="E29" s="14">
        <f>[27]Resumen!$E$36</f>
        <v>0</v>
      </c>
      <c r="F29" s="15">
        <f>[27]Resumen!$F$36</f>
        <v>0</v>
      </c>
      <c r="G29" s="17">
        <f>[27]Resumen!$G$36</f>
        <v>0</v>
      </c>
      <c r="H29" s="18">
        <f>[27]Resumen!$H$36</f>
        <v>0</v>
      </c>
      <c r="I29" s="15">
        <f>[27]Resumen!$I$36</f>
        <v>0</v>
      </c>
      <c r="J29" s="16">
        <f>[27]Resumen!$J$36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[28]Resumen!$B$36</f>
        <v>0</v>
      </c>
      <c r="C30" s="15">
        <f>[28]Resumen!$C$36</f>
        <v>0</v>
      </c>
      <c r="D30" s="16">
        <f>[28]Resumen!$D$36</f>
        <v>0</v>
      </c>
      <c r="E30" s="14">
        <f>[28]Resumen!$E$36</f>
        <v>0</v>
      </c>
      <c r="F30" s="15">
        <f>[28]Resumen!$F$36</f>
        <v>0</v>
      </c>
      <c r="G30" s="17">
        <f>[28]Resumen!$G$36</f>
        <v>0</v>
      </c>
      <c r="H30" s="18">
        <f>[28]Resumen!$H$36</f>
        <v>0</v>
      </c>
      <c r="I30" s="15">
        <f>[28]Resumen!$I$36</f>
        <v>0</v>
      </c>
      <c r="J30" s="16">
        <f>[28]Resumen!$J$36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[29]Resumen!$B$36</f>
        <v>0</v>
      </c>
      <c r="C31" s="15">
        <f>[29]Resumen!$C$36</f>
        <v>0</v>
      </c>
      <c r="D31" s="16">
        <f>[29]Resumen!$D$36</f>
        <v>0</v>
      </c>
      <c r="E31" s="14">
        <f>[29]Resumen!$E$36</f>
        <v>0</v>
      </c>
      <c r="F31" s="15">
        <f>[29]Resumen!$F$36</f>
        <v>0</v>
      </c>
      <c r="G31" s="17">
        <f>[29]Resumen!$G$36</f>
        <v>0</v>
      </c>
      <c r="H31" s="18">
        <f>[29]Resumen!$H$36</f>
        <v>0</v>
      </c>
      <c r="I31" s="15">
        <f>[29]Resumen!$I$36</f>
        <v>0</v>
      </c>
      <c r="J31" s="16">
        <f>[29]Resumen!$J$36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[30]Resumen!$B$36</f>
        <v>0</v>
      </c>
      <c r="C32" s="15">
        <f>[30]Resumen!$C$36</f>
        <v>0</v>
      </c>
      <c r="D32" s="16">
        <f>[30]Resumen!$D$36</f>
        <v>0</v>
      </c>
      <c r="E32" s="14">
        <f>[30]Resumen!$E$36</f>
        <v>0</v>
      </c>
      <c r="F32" s="15">
        <f>[30]Resumen!$F$36</f>
        <v>0</v>
      </c>
      <c r="G32" s="17">
        <f>[30]Resumen!$G$36</f>
        <v>0</v>
      </c>
      <c r="H32" s="18">
        <f>[30]Resumen!$H$36</f>
        <v>0</v>
      </c>
      <c r="I32" s="15">
        <f>[30]Resumen!$I$36</f>
        <v>0</v>
      </c>
      <c r="J32" s="16">
        <f>[30]Resumen!$J$36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[31]Resumen!$B$36</f>
        <v>0</v>
      </c>
      <c r="C33" s="15">
        <f>[31]Resumen!$C$36</f>
        <v>0</v>
      </c>
      <c r="D33" s="16">
        <f>[31]Resumen!$D$36</f>
        <v>0</v>
      </c>
      <c r="E33" s="14">
        <f>[31]Resumen!$E$36</f>
        <v>0</v>
      </c>
      <c r="F33" s="15">
        <f>[31]Resumen!$F$36</f>
        <v>0</v>
      </c>
      <c r="G33" s="17">
        <f>[31]Resumen!$G$36</f>
        <v>0</v>
      </c>
      <c r="H33" s="18">
        <f>[31]Resumen!$H$36</f>
        <v>0</v>
      </c>
      <c r="I33" s="15">
        <f>[31]Resumen!$I$36</f>
        <v>0</v>
      </c>
      <c r="J33" s="16">
        <f>[31]Resumen!$J$36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[1]Resumen!$B$36</f>
        <v>0</v>
      </c>
      <c r="C34" s="15">
        <f>[1]Resumen!$C$36</f>
        <v>0</v>
      </c>
      <c r="D34" s="16">
        <f>[1]Resumen!$D$36</f>
        <v>0</v>
      </c>
      <c r="E34" s="14">
        <f>[1]Resumen!$E$36</f>
        <v>0</v>
      </c>
      <c r="F34" s="15">
        <f>[1]Resumen!$F$36</f>
        <v>0</v>
      </c>
      <c r="G34" s="17">
        <f>[1]Resumen!$G$36</f>
        <v>0</v>
      </c>
      <c r="H34" s="18">
        <f>[1]Resumen!$H$36</f>
        <v>0</v>
      </c>
      <c r="I34" s="15">
        <f>[1]Resumen!$I$36</f>
        <v>0</v>
      </c>
      <c r="J34" s="16">
        <f>[1]Resumen!$J$36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+[2]Resumen!$B$36</f>
        <v>0</v>
      </c>
      <c r="C35" s="22">
        <f>+[2]Resumen!$C$36</f>
        <v>0</v>
      </c>
      <c r="D35" s="23">
        <f>+[2]Resumen!$D$36</f>
        <v>0</v>
      </c>
      <c r="E35" s="21">
        <f>+[2]Resumen!$E$36</f>
        <v>0</v>
      </c>
      <c r="F35" s="22">
        <f>+[2]Resumen!$F$36</f>
        <v>0</v>
      </c>
      <c r="G35" s="24">
        <f>+[2]Resumen!$G$36</f>
        <v>0</v>
      </c>
      <c r="H35" s="25">
        <f>+[2]Resumen!$H$36</f>
        <v>0</v>
      </c>
      <c r="I35" s="22">
        <f>+[2]Resumen!$I$36</f>
        <v>0</v>
      </c>
      <c r="J35" s="23">
        <f>+[2]Resumen!$J$36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2" width="10.5703125" style="1" customWidth="1"/>
    <col min="3" max="3" width="9.85546875" style="1" customWidth="1"/>
    <col min="4" max="4" width="11.140625" style="1" customWidth="1"/>
    <col min="5" max="5" width="11.85546875" style="1" customWidth="1"/>
    <col min="6" max="6" width="10.85546875" style="1" customWidth="1"/>
    <col min="7" max="11" width="11.85546875" style="1" customWidth="1"/>
    <col min="12" max="12" width="10.85546875" style="1" customWidth="1"/>
    <col min="13" max="13" width="11.85546875" style="1" customWidth="1"/>
    <col min="14" max="14" width="10.85546875" style="1" customWidth="1"/>
    <col min="15" max="15" width="12.5703125" style="1" customWidth="1"/>
    <col min="16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58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30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[3]Resumen!$B$37</f>
        <v>0</v>
      </c>
      <c r="C5" s="58">
        <f>[3]Resumen!$C$37</f>
        <v>0</v>
      </c>
      <c r="D5" s="54">
        <f>[3]Resumen!$D$37</f>
        <v>0</v>
      </c>
      <c r="E5" s="53">
        <f>[3]Resumen!$E$37</f>
        <v>0</v>
      </c>
      <c r="F5" s="58">
        <f>[3]Resumen!$F$37</f>
        <v>0</v>
      </c>
      <c r="G5" s="55">
        <f>[3]Resumen!$G$37</f>
        <v>0</v>
      </c>
      <c r="H5" s="61">
        <f>[3]Resumen!$H$37</f>
        <v>0</v>
      </c>
      <c r="I5" s="58">
        <f>[3]Resumen!$I$37</f>
        <v>0</v>
      </c>
      <c r="J5" s="54">
        <f>[3]Resumen!$J$37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>
      <c r="A6" s="13" t="s">
        <v>50</v>
      </c>
      <c r="B6" s="14">
        <f>[4]Resumen!$B$37</f>
        <v>0</v>
      </c>
      <c r="C6" s="15">
        <f>[4]Resumen!$C$37</f>
        <v>0</v>
      </c>
      <c r="D6" s="16">
        <f>[4]Resumen!$D$37</f>
        <v>0</v>
      </c>
      <c r="E6" s="14">
        <f>[4]Resumen!$E$37</f>
        <v>0</v>
      </c>
      <c r="F6" s="15">
        <f>[4]Resumen!$F$37</f>
        <v>0</v>
      </c>
      <c r="G6" s="17">
        <f>[4]Resumen!$G$37</f>
        <v>0</v>
      </c>
      <c r="H6" s="18">
        <f>[4]Resumen!$H$37</f>
        <v>0</v>
      </c>
      <c r="I6" s="15">
        <f>[4]Resumen!$I$37</f>
        <v>0</v>
      </c>
      <c r="J6" s="16">
        <f>[4]Resumen!$J$37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>
      <c r="A7" s="20" t="s">
        <v>51</v>
      </c>
      <c r="B7" s="14">
        <f>[5]Resumen!$B$37</f>
        <v>0</v>
      </c>
      <c r="C7" s="15">
        <f>[5]Resumen!$C$37</f>
        <v>0</v>
      </c>
      <c r="D7" s="16">
        <f>[5]Resumen!$D$37</f>
        <v>0</v>
      </c>
      <c r="E7" s="14">
        <f>[5]Resumen!$E$37</f>
        <v>0</v>
      </c>
      <c r="F7" s="15">
        <f>[5]Resumen!$F$37</f>
        <v>0</v>
      </c>
      <c r="G7" s="17">
        <f>[5]Resumen!$G$37</f>
        <v>0</v>
      </c>
      <c r="H7" s="18">
        <f>[5]Resumen!$H$37</f>
        <v>0</v>
      </c>
      <c r="I7" s="15">
        <f>[5]Resumen!$I$37</f>
        <v>0</v>
      </c>
      <c r="J7" s="16">
        <f>[5]Resumen!$J$37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>
      <c r="A8" s="13" t="s">
        <v>52</v>
      </c>
      <c r="B8" s="14">
        <f>[6]Resumen!$B$37</f>
        <v>0</v>
      </c>
      <c r="C8" s="15">
        <f>[6]Resumen!$C$37</f>
        <v>0</v>
      </c>
      <c r="D8" s="16">
        <f>[6]Resumen!$D$37</f>
        <v>0</v>
      </c>
      <c r="E8" s="14">
        <f>[6]Resumen!$E$37</f>
        <v>0</v>
      </c>
      <c r="F8" s="15">
        <f>[6]Resumen!$F$37</f>
        <v>0</v>
      </c>
      <c r="G8" s="17">
        <f>[6]Resumen!$G$37</f>
        <v>0</v>
      </c>
      <c r="H8" s="18">
        <f>[6]Resumen!$H$37</f>
        <v>0</v>
      </c>
      <c r="I8" s="15">
        <f>[6]Resumen!$I$37</f>
        <v>0</v>
      </c>
      <c r="J8" s="16">
        <f>[6]Resumen!$J$37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>
      <c r="A9" s="20" t="s">
        <v>53</v>
      </c>
      <c r="B9" s="14">
        <f>[7]Resumen!$B$37</f>
        <v>0</v>
      </c>
      <c r="C9" s="15">
        <f>[7]Resumen!$C$37</f>
        <v>0</v>
      </c>
      <c r="D9" s="16">
        <f>[7]Resumen!$D$37</f>
        <v>0</v>
      </c>
      <c r="E9" s="14">
        <f>[7]Resumen!$E$37</f>
        <v>0</v>
      </c>
      <c r="F9" s="15">
        <f>[7]Resumen!$F$37</f>
        <v>0</v>
      </c>
      <c r="G9" s="17">
        <f>[7]Resumen!$G$37</f>
        <v>0</v>
      </c>
      <c r="H9" s="18">
        <f>[7]Resumen!$H$37</f>
        <v>0</v>
      </c>
      <c r="I9" s="15">
        <f>[7]Resumen!$I$37</f>
        <v>0</v>
      </c>
      <c r="J9" s="16">
        <f>[7]Resumen!$J$37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>
      <c r="A10" s="13" t="s">
        <v>20</v>
      </c>
      <c r="B10" s="14">
        <f>[8]Resumen!$B$37</f>
        <v>0</v>
      </c>
      <c r="C10" s="15">
        <f>[8]Resumen!$C$37</f>
        <v>0</v>
      </c>
      <c r="D10" s="16">
        <f>[8]Resumen!$D$37</f>
        <v>0</v>
      </c>
      <c r="E10" s="14">
        <f>[8]Resumen!$E$37</f>
        <v>0</v>
      </c>
      <c r="F10" s="15">
        <f>[8]Resumen!$F$37</f>
        <v>0</v>
      </c>
      <c r="G10" s="17">
        <f>[8]Resumen!$G$37</f>
        <v>0</v>
      </c>
      <c r="H10" s="18">
        <f>[8]Resumen!$H$37</f>
        <v>0</v>
      </c>
      <c r="I10" s="15">
        <f>[8]Resumen!$I$37</f>
        <v>0</v>
      </c>
      <c r="J10" s="16">
        <f>[8]Resumen!$J$37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>
      <c r="A11" s="20" t="s">
        <v>21</v>
      </c>
      <c r="B11" s="14">
        <f>[9]Resumen!$B$37</f>
        <v>0</v>
      </c>
      <c r="C11" s="15">
        <f>[9]Resumen!$C$37</f>
        <v>0</v>
      </c>
      <c r="D11" s="16">
        <f>[9]Resumen!$D$37</f>
        <v>0</v>
      </c>
      <c r="E11" s="14">
        <f>[9]Resumen!$E$37</f>
        <v>0</v>
      </c>
      <c r="F11" s="15">
        <f>[9]Resumen!$F$37</f>
        <v>0</v>
      </c>
      <c r="G11" s="17">
        <f>[9]Resumen!$G$37</f>
        <v>0</v>
      </c>
      <c r="H11" s="18">
        <f>[9]Resumen!$H$37</f>
        <v>0</v>
      </c>
      <c r="I11" s="15">
        <f>[9]Resumen!$I$37</f>
        <v>0</v>
      </c>
      <c r="J11" s="16">
        <f>[9]Resumen!$J$37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>
      <c r="A12" s="13" t="s">
        <v>22</v>
      </c>
      <c r="B12" s="14">
        <f>[10]Resumen!$B$37</f>
        <v>0</v>
      </c>
      <c r="C12" s="15">
        <f>[10]Resumen!$C$37</f>
        <v>0</v>
      </c>
      <c r="D12" s="16">
        <f>[10]Resumen!$D$37</f>
        <v>0</v>
      </c>
      <c r="E12" s="14">
        <f>[10]Resumen!$E$37</f>
        <v>0</v>
      </c>
      <c r="F12" s="15">
        <f>[10]Resumen!$F$37</f>
        <v>0</v>
      </c>
      <c r="G12" s="17">
        <f>[10]Resumen!$G$37</f>
        <v>0</v>
      </c>
      <c r="H12" s="18">
        <f>[10]Resumen!$H$37</f>
        <v>0</v>
      </c>
      <c r="I12" s="15">
        <f>[10]Resumen!$I$37</f>
        <v>0</v>
      </c>
      <c r="J12" s="16">
        <f>[10]Resumen!$J$37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>
      <c r="A13" s="20" t="s">
        <v>23</v>
      </c>
      <c r="B13" s="14">
        <f>[11]Resumen!$B$37</f>
        <v>0</v>
      </c>
      <c r="C13" s="15">
        <f>[11]Resumen!$C$37</f>
        <v>0</v>
      </c>
      <c r="D13" s="16">
        <f>[11]Resumen!$D$37</f>
        <v>0</v>
      </c>
      <c r="E13" s="14">
        <f>[11]Resumen!$E$37</f>
        <v>0</v>
      </c>
      <c r="F13" s="15">
        <f>[11]Resumen!$F$37</f>
        <v>0</v>
      </c>
      <c r="G13" s="17">
        <f>[11]Resumen!$G$37</f>
        <v>0</v>
      </c>
      <c r="H13" s="18">
        <f>[11]Resumen!$H$37</f>
        <v>0</v>
      </c>
      <c r="I13" s="15">
        <f>[11]Resumen!$I$37</f>
        <v>0</v>
      </c>
      <c r="J13" s="16">
        <f>[11]Resumen!$J$37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>
      <c r="A14" s="13" t="s">
        <v>24</v>
      </c>
      <c r="B14" s="14">
        <f>[12]Resumen!$B$37</f>
        <v>0</v>
      </c>
      <c r="C14" s="15">
        <f>[12]Resumen!$C$37</f>
        <v>0</v>
      </c>
      <c r="D14" s="16">
        <f>[12]Resumen!$D$37</f>
        <v>0</v>
      </c>
      <c r="E14" s="14">
        <f>[12]Resumen!$E$37</f>
        <v>0</v>
      </c>
      <c r="F14" s="15">
        <f>[12]Resumen!$F$37</f>
        <v>0</v>
      </c>
      <c r="G14" s="17">
        <f>[12]Resumen!$G$37</f>
        <v>0</v>
      </c>
      <c r="H14" s="18">
        <f>[12]Resumen!$H$37</f>
        <v>0</v>
      </c>
      <c r="I14" s="15">
        <f>[12]Resumen!$I$37</f>
        <v>0</v>
      </c>
      <c r="J14" s="16">
        <f>[12]Resumen!$J$37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>
      <c r="A15" s="20" t="s">
        <v>25</v>
      </c>
      <c r="B15" s="14">
        <f>[13]Resumen!$B$37</f>
        <v>0</v>
      </c>
      <c r="C15" s="15">
        <f>[13]Resumen!$C$37</f>
        <v>0</v>
      </c>
      <c r="D15" s="16">
        <f>[13]Resumen!$D$37</f>
        <v>0</v>
      </c>
      <c r="E15" s="14">
        <f>[13]Resumen!$E$37</f>
        <v>0</v>
      </c>
      <c r="F15" s="15">
        <f>[13]Resumen!$F$37</f>
        <v>0</v>
      </c>
      <c r="G15" s="17">
        <f>[13]Resumen!$G$37</f>
        <v>0</v>
      </c>
      <c r="H15" s="18">
        <f>[13]Resumen!$H$37</f>
        <v>0</v>
      </c>
      <c r="I15" s="15">
        <f>[13]Resumen!$I$37</f>
        <v>0</v>
      </c>
      <c r="J15" s="16">
        <f>[13]Resumen!$J$37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>
      <c r="A16" s="13" t="s">
        <v>26</v>
      </c>
      <c r="B16" s="14">
        <f>[14]Resumen!$B$37</f>
        <v>0</v>
      </c>
      <c r="C16" s="15">
        <f>[14]Resumen!$C$37</f>
        <v>0</v>
      </c>
      <c r="D16" s="16">
        <f>[14]Resumen!$D$37</f>
        <v>0</v>
      </c>
      <c r="E16" s="14">
        <f>[14]Resumen!$E$37</f>
        <v>0</v>
      </c>
      <c r="F16" s="15">
        <f>[14]Resumen!$F$37</f>
        <v>0</v>
      </c>
      <c r="G16" s="17">
        <f>[14]Resumen!$G$37</f>
        <v>0</v>
      </c>
      <c r="H16" s="18">
        <f>[14]Resumen!$H$37</f>
        <v>0</v>
      </c>
      <c r="I16" s="15">
        <f>[14]Resumen!$I$37</f>
        <v>0</v>
      </c>
      <c r="J16" s="16">
        <f>[14]Resumen!$J$37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>
      <c r="A17" s="20" t="s">
        <v>27</v>
      </c>
      <c r="B17" s="14">
        <f>[15]Resumen!$B$37</f>
        <v>0</v>
      </c>
      <c r="C17" s="15">
        <f>[15]Resumen!$C$37</f>
        <v>0</v>
      </c>
      <c r="D17" s="16">
        <f>[15]Resumen!$D$37</f>
        <v>0</v>
      </c>
      <c r="E17" s="14">
        <f>[15]Resumen!$E$37</f>
        <v>0</v>
      </c>
      <c r="F17" s="15">
        <f>[15]Resumen!$F$37</f>
        <v>0</v>
      </c>
      <c r="G17" s="17">
        <f>[15]Resumen!$G$37</f>
        <v>0</v>
      </c>
      <c r="H17" s="18">
        <f>[15]Resumen!$H$37</f>
        <v>0</v>
      </c>
      <c r="I17" s="15">
        <f>[15]Resumen!$I$37</f>
        <v>0</v>
      </c>
      <c r="J17" s="16">
        <f>[15]Resumen!$J$37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>
      <c r="A18" s="20" t="s">
        <v>28</v>
      </c>
      <c r="B18" s="14">
        <f>[16]Resumen!$B$37</f>
        <v>0</v>
      </c>
      <c r="C18" s="15">
        <f>[16]Resumen!$C$37</f>
        <v>0</v>
      </c>
      <c r="D18" s="16">
        <f>[16]Resumen!$D$37</f>
        <v>0</v>
      </c>
      <c r="E18" s="14">
        <f>[16]Resumen!$E$37</f>
        <v>0</v>
      </c>
      <c r="F18" s="15">
        <f>[16]Resumen!$F$37</f>
        <v>0</v>
      </c>
      <c r="G18" s="17">
        <f>[16]Resumen!$G$37</f>
        <v>0</v>
      </c>
      <c r="H18" s="18">
        <f>[16]Resumen!$H$37</f>
        <v>0</v>
      </c>
      <c r="I18" s="15">
        <f>[16]Resumen!$I$37</f>
        <v>0</v>
      </c>
      <c r="J18" s="16">
        <f>[16]Resumen!$J$37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>
      <c r="A19" s="13" t="s">
        <v>29</v>
      </c>
      <c r="B19" s="14">
        <f>[17]Resumen!$B$37</f>
        <v>0</v>
      </c>
      <c r="C19" s="15">
        <f>[17]Resumen!$C$37</f>
        <v>0</v>
      </c>
      <c r="D19" s="16">
        <f>[17]Resumen!$D$37</f>
        <v>0</v>
      </c>
      <c r="E19" s="14">
        <f>[17]Resumen!$E$37</f>
        <v>0</v>
      </c>
      <c r="F19" s="15">
        <f>[17]Resumen!$F$37</f>
        <v>0</v>
      </c>
      <c r="G19" s="17">
        <f>[17]Resumen!$G$37</f>
        <v>0</v>
      </c>
      <c r="H19" s="18">
        <f>[17]Resumen!$H$37</f>
        <v>0</v>
      </c>
      <c r="I19" s="15">
        <f>[17]Resumen!$I$37</f>
        <v>0</v>
      </c>
      <c r="J19" s="16">
        <f>[17]Resumen!$J$37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>
      <c r="A20" s="20" t="s">
        <v>30</v>
      </c>
      <c r="B20" s="14">
        <f>[18]Resumen!$B$37</f>
        <v>0</v>
      </c>
      <c r="C20" s="15">
        <f>[18]Resumen!$C$37</f>
        <v>0</v>
      </c>
      <c r="D20" s="16">
        <f>[18]Resumen!$D$37</f>
        <v>0</v>
      </c>
      <c r="E20" s="14">
        <f>[18]Resumen!$E$37</f>
        <v>0</v>
      </c>
      <c r="F20" s="15">
        <f>[18]Resumen!$F$37</f>
        <v>0</v>
      </c>
      <c r="G20" s="17">
        <f>[18]Resumen!$G$37</f>
        <v>0</v>
      </c>
      <c r="H20" s="18">
        <f>[18]Resumen!$H$37</f>
        <v>0</v>
      </c>
      <c r="I20" s="15">
        <f>[18]Resumen!$I$37</f>
        <v>0</v>
      </c>
      <c r="J20" s="16">
        <f>[18]Resumen!$J$37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>
      <c r="A21" s="13" t="s">
        <v>31</v>
      </c>
      <c r="B21" s="14">
        <f>[19]Resumen!$B$37</f>
        <v>0</v>
      </c>
      <c r="C21" s="15">
        <f>[19]Resumen!$C$37</f>
        <v>0</v>
      </c>
      <c r="D21" s="16">
        <f>[19]Resumen!$D$37</f>
        <v>0</v>
      </c>
      <c r="E21" s="14">
        <f>[19]Resumen!$E$37</f>
        <v>0</v>
      </c>
      <c r="F21" s="15">
        <f>[19]Resumen!$F$37</f>
        <v>0</v>
      </c>
      <c r="G21" s="17">
        <f>[19]Resumen!$G$37</f>
        <v>0</v>
      </c>
      <c r="H21" s="18">
        <f>[19]Resumen!$H$37</f>
        <v>0</v>
      </c>
      <c r="I21" s="15">
        <f>[19]Resumen!$I$37</f>
        <v>0</v>
      </c>
      <c r="J21" s="16">
        <f>[19]Resumen!$J$37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>
      <c r="A22" s="20" t="s">
        <v>32</v>
      </c>
      <c r="B22" s="14">
        <f>[20]Resumen!$B$37</f>
        <v>0</v>
      </c>
      <c r="C22" s="15">
        <f>[20]Resumen!$C$37</f>
        <v>0</v>
      </c>
      <c r="D22" s="16">
        <f>[20]Resumen!$D$37</f>
        <v>0</v>
      </c>
      <c r="E22" s="14">
        <f>[20]Resumen!$E$37</f>
        <v>0</v>
      </c>
      <c r="F22" s="15">
        <f>[20]Resumen!$F$37</f>
        <v>0</v>
      </c>
      <c r="G22" s="17">
        <f>[20]Resumen!$G$37</f>
        <v>0</v>
      </c>
      <c r="H22" s="18">
        <f>[20]Resumen!$H$37</f>
        <v>0</v>
      </c>
      <c r="I22" s="15">
        <f>[20]Resumen!$I$37</f>
        <v>0</v>
      </c>
      <c r="J22" s="16">
        <f>[20]Resumen!$J$37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>
      <c r="A23" s="13" t="s">
        <v>33</v>
      </c>
      <c r="B23" s="14">
        <f>[21]Resumen!$B$37</f>
        <v>0</v>
      </c>
      <c r="C23" s="15">
        <f>[21]Resumen!$C$37</f>
        <v>0</v>
      </c>
      <c r="D23" s="16">
        <f>[21]Resumen!$D$37</f>
        <v>0</v>
      </c>
      <c r="E23" s="14">
        <f>[21]Resumen!$E$37</f>
        <v>0</v>
      </c>
      <c r="F23" s="15">
        <f>[21]Resumen!$F$37</f>
        <v>0</v>
      </c>
      <c r="G23" s="17">
        <f>[21]Resumen!$G$37</f>
        <v>0</v>
      </c>
      <c r="H23" s="18">
        <f>[21]Resumen!$H$37</f>
        <v>0</v>
      </c>
      <c r="I23" s="15">
        <f>[21]Resumen!$I$37</f>
        <v>0</v>
      </c>
      <c r="J23" s="16">
        <f>[21]Resumen!$J$37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>
      <c r="A24" s="20" t="s">
        <v>34</v>
      </c>
      <c r="B24" s="14">
        <f>[22]Resumen!$B$37</f>
        <v>0</v>
      </c>
      <c r="C24" s="15">
        <f>[22]Resumen!$C$37</f>
        <v>0</v>
      </c>
      <c r="D24" s="16">
        <f>[22]Resumen!$D$37</f>
        <v>0</v>
      </c>
      <c r="E24" s="14">
        <f>[22]Resumen!$E$37</f>
        <v>0</v>
      </c>
      <c r="F24" s="15">
        <f>[22]Resumen!$F$37</f>
        <v>0</v>
      </c>
      <c r="G24" s="17">
        <f>[22]Resumen!$G$37</f>
        <v>0</v>
      </c>
      <c r="H24" s="18">
        <f>[22]Resumen!$H$37</f>
        <v>0</v>
      </c>
      <c r="I24" s="15">
        <f>[22]Resumen!$I$37</f>
        <v>0</v>
      </c>
      <c r="J24" s="16">
        <f>[22]Resumen!$J$37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>
      <c r="A25" s="13" t="s">
        <v>35</v>
      </c>
      <c r="B25" s="14">
        <f>[23]Resumen!$B$37</f>
        <v>0</v>
      </c>
      <c r="C25" s="15">
        <f>[23]Resumen!$C$37</f>
        <v>0</v>
      </c>
      <c r="D25" s="16">
        <f>[23]Resumen!$D$37</f>
        <v>0</v>
      </c>
      <c r="E25" s="14">
        <f>[23]Resumen!$E$37</f>
        <v>0</v>
      </c>
      <c r="F25" s="15">
        <f>[23]Resumen!$F$37</f>
        <v>0</v>
      </c>
      <c r="G25" s="17">
        <f>[23]Resumen!$G$37</f>
        <v>0</v>
      </c>
      <c r="H25" s="18">
        <f>[23]Resumen!$H$37</f>
        <v>0</v>
      </c>
      <c r="I25" s="15">
        <f>[23]Resumen!$I$37</f>
        <v>0</v>
      </c>
      <c r="J25" s="16">
        <f>[23]Resumen!$J$37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>
      <c r="A26" s="20" t="s">
        <v>36</v>
      </c>
      <c r="B26" s="14">
        <f>[24]Resumen!$B$37</f>
        <v>0</v>
      </c>
      <c r="C26" s="15">
        <f>[24]Resumen!$C$37</f>
        <v>0</v>
      </c>
      <c r="D26" s="16">
        <f>[24]Resumen!$D$37</f>
        <v>0</v>
      </c>
      <c r="E26" s="14">
        <f>[24]Resumen!$E$37</f>
        <v>0</v>
      </c>
      <c r="F26" s="15">
        <f>[24]Resumen!$F$37</f>
        <v>0</v>
      </c>
      <c r="G26" s="17">
        <f>[24]Resumen!$G$37</f>
        <v>0</v>
      </c>
      <c r="H26" s="18">
        <f>[24]Resumen!$H$37</f>
        <v>0</v>
      </c>
      <c r="I26" s="15">
        <f>[24]Resumen!$I$37</f>
        <v>0</v>
      </c>
      <c r="J26" s="16">
        <f>[24]Resumen!$J$37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>
      <c r="A27" s="13" t="s">
        <v>37</v>
      </c>
      <c r="B27" s="14">
        <f>[25]Resumen!$B$37</f>
        <v>0</v>
      </c>
      <c r="C27" s="15">
        <f>[25]Resumen!$C$37</f>
        <v>0</v>
      </c>
      <c r="D27" s="16">
        <f>[25]Resumen!$D$37</f>
        <v>0</v>
      </c>
      <c r="E27" s="14">
        <f>[25]Resumen!$E$37</f>
        <v>0</v>
      </c>
      <c r="F27" s="15">
        <f>[25]Resumen!$F$37</f>
        <v>0</v>
      </c>
      <c r="G27" s="17">
        <f>[25]Resumen!$G$37</f>
        <v>0</v>
      </c>
      <c r="H27" s="18">
        <f>[25]Resumen!$H$37</f>
        <v>0</v>
      </c>
      <c r="I27" s="15">
        <f>[25]Resumen!$I$37</f>
        <v>0</v>
      </c>
      <c r="J27" s="16">
        <f>[25]Resumen!$J$37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>
      <c r="A28" s="20" t="s">
        <v>38</v>
      </c>
      <c r="B28" s="14">
        <f>[26]Resumen!$B$37</f>
        <v>0</v>
      </c>
      <c r="C28" s="15">
        <f>[26]Resumen!$C$37</f>
        <v>0</v>
      </c>
      <c r="D28" s="16">
        <f>[26]Resumen!$D$37</f>
        <v>0</v>
      </c>
      <c r="E28" s="14">
        <f>[26]Resumen!$E$37</f>
        <v>0</v>
      </c>
      <c r="F28" s="15">
        <f>[26]Resumen!$F$37</f>
        <v>0</v>
      </c>
      <c r="G28" s="17">
        <f>[26]Resumen!$G$37</f>
        <v>0</v>
      </c>
      <c r="H28" s="18">
        <f>[26]Resumen!$H$37</f>
        <v>0</v>
      </c>
      <c r="I28" s="15">
        <f>[26]Resumen!$I$37</f>
        <v>0</v>
      </c>
      <c r="J28" s="16">
        <f>[26]Resumen!$J$37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>
      <c r="A29" s="13" t="s">
        <v>39</v>
      </c>
      <c r="B29" s="14">
        <f>[27]Resumen!$B$37</f>
        <v>0</v>
      </c>
      <c r="C29" s="15">
        <f>[27]Resumen!$C$37</f>
        <v>0</v>
      </c>
      <c r="D29" s="16">
        <f>[27]Resumen!$D$37</f>
        <v>0</v>
      </c>
      <c r="E29" s="14">
        <f>[27]Resumen!$E$37</f>
        <v>0</v>
      </c>
      <c r="F29" s="15">
        <f>[27]Resumen!$F$37</f>
        <v>0</v>
      </c>
      <c r="G29" s="17">
        <f>[27]Resumen!$G$37</f>
        <v>0</v>
      </c>
      <c r="H29" s="18">
        <f>[27]Resumen!$H$37</f>
        <v>0</v>
      </c>
      <c r="I29" s="15">
        <f>[27]Resumen!$I$37</f>
        <v>0</v>
      </c>
      <c r="J29" s="16">
        <f>[27]Resumen!$J$37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>
      <c r="A30" s="20" t="s">
        <v>40</v>
      </c>
      <c r="B30" s="14">
        <f>[28]Resumen!$B$37</f>
        <v>0</v>
      </c>
      <c r="C30" s="15">
        <f>[28]Resumen!$C$37</f>
        <v>0</v>
      </c>
      <c r="D30" s="16">
        <f>[28]Resumen!$D$37</f>
        <v>0</v>
      </c>
      <c r="E30" s="14">
        <f>[28]Resumen!$E$37</f>
        <v>0</v>
      </c>
      <c r="F30" s="15">
        <f>[28]Resumen!$F$37</f>
        <v>0</v>
      </c>
      <c r="G30" s="17">
        <f>[28]Resumen!$G$37</f>
        <v>0</v>
      </c>
      <c r="H30" s="18">
        <f>[28]Resumen!$H$37</f>
        <v>0</v>
      </c>
      <c r="I30" s="15">
        <f>[28]Resumen!$I$37</f>
        <v>0</v>
      </c>
      <c r="J30" s="16">
        <f>[28]Resumen!$J$37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>
      <c r="A31" s="20" t="s">
        <v>41</v>
      </c>
      <c r="B31" s="14">
        <f>[29]Resumen!$B$37</f>
        <v>0</v>
      </c>
      <c r="C31" s="15">
        <f>[29]Resumen!$C$37</f>
        <v>0</v>
      </c>
      <c r="D31" s="16">
        <f>[29]Resumen!$D$37</f>
        <v>0</v>
      </c>
      <c r="E31" s="14">
        <f>[29]Resumen!$E$37</f>
        <v>0</v>
      </c>
      <c r="F31" s="15">
        <f>[29]Resumen!$F$37</f>
        <v>0</v>
      </c>
      <c r="G31" s="17">
        <f>[29]Resumen!$G$37</f>
        <v>0</v>
      </c>
      <c r="H31" s="18">
        <f>[29]Resumen!$H$37</f>
        <v>0</v>
      </c>
      <c r="I31" s="15">
        <f>[29]Resumen!$I$37</f>
        <v>0</v>
      </c>
      <c r="J31" s="16">
        <f>[29]Resumen!$J$37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>
      <c r="A32" s="13" t="s">
        <v>42</v>
      </c>
      <c r="B32" s="14">
        <f>[30]Resumen!$B$37</f>
        <v>0</v>
      </c>
      <c r="C32" s="15">
        <f>[30]Resumen!$C$37</f>
        <v>0</v>
      </c>
      <c r="D32" s="16">
        <f>[30]Resumen!$D$37</f>
        <v>0</v>
      </c>
      <c r="E32" s="14">
        <f>[30]Resumen!$E$37</f>
        <v>0</v>
      </c>
      <c r="F32" s="15">
        <f>[30]Resumen!$F$37</f>
        <v>0</v>
      </c>
      <c r="G32" s="17">
        <f>[30]Resumen!$G$37</f>
        <v>0</v>
      </c>
      <c r="H32" s="18">
        <f>[30]Resumen!$H$37</f>
        <v>0</v>
      </c>
      <c r="I32" s="15">
        <f>[30]Resumen!$I$37</f>
        <v>0</v>
      </c>
      <c r="J32" s="16">
        <f>[30]Resumen!$J$37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>
      <c r="A33" s="20" t="s">
        <v>43</v>
      </c>
      <c r="B33" s="14">
        <f>[31]Resumen!$B$37</f>
        <v>0</v>
      </c>
      <c r="C33" s="15">
        <f>[31]Resumen!$C$37</f>
        <v>0</v>
      </c>
      <c r="D33" s="16">
        <f>[31]Resumen!$D$37</f>
        <v>0</v>
      </c>
      <c r="E33" s="14">
        <f>[31]Resumen!$E$37</f>
        <v>0</v>
      </c>
      <c r="F33" s="15">
        <f>[31]Resumen!$F$37</f>
        <v>0</v>
      </c>
      <c r="G33" s="17">
        <f>[31]Resumen!$G$37</f>
        <v>0</v>
      </c>
      <c r="H33" s="18">
        <f>[31]Resumen!$H$37</f>
        <v>0</v>
      </c>
      <c r="I33" s="15">
        <f>[31]Resumen!$I$37</f>
        <v>0</v>
      </c>
      <c r="J33" s="16">
        <f>[31]Resumen!$J$37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>
      <c r="A34" s="13" t="s">
        <v>44</v>
      </c>
      <c r="B34" s="14">
        <f>[1]Resumen!$B$37</f>
        <v>0</v>
      </c>
      <c r="C34" s="15">
        <f>[1]Resumen!$C$37</f>
        <v>0</v>
      </c>
      <c r="D34" s="16">
        <f>[1]Resumen!$D$37</f>
        <v>0</v>
      </c>
      <c r="E34" s="14">
        <f>[1]Resumen!$E$37</f>
        <v>0</v>
      </c>
      <c r="F34" s="15">
        <f>[1]Resumen!$F$37</f>
        <v>0</v>
      </c>
      <c r="G34" s="17">
        <f>[1]Resumen!$G$37</f>
        <v>0</v>
      </c>
      <c r="H34" s="18">
        <f>[1]Resumen!$H$37</f>
        <v>0</v>
      </c>
      <c r="I34" s="15">
        <f>[1]Resumen!$I$37</f>
        <v>0</v>
      </c>
      <c r="J34" s="16">
        <f>[1]Resumen!$J$37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>
      <c r="A35" s="20" t="s">
        <v>45</v>
      </c>
      <c r="B35" s="21">
        <f>+[2]Resumen!$B$37</f>
        <v>0</v>
      </c>
      <c r="C35" s="22">
        <f>+[2]Resumen!$C$37</f>
        <v>0</v>
      </c>
      <c r="D35" s="23">
        <f>+[2]Resumen!$D$37</f>
        <v>0</v>
      </c>
      <c r="E35" s="21">
        <f>+[2]Resumen!$E$37</f>
        <v>0</v>
      </c>
      <c r="F35" s="22">
        <f>+[2]Resumen!$F$37</f>
        <v>0</v>
      </c>
      <c r="G35" s="24">
        <f>+[2]Resumen!$G$37</f>
        <v>0</v>
      </c>
      <c r="H35" s="25">
        <f>+[2]Resumen!$H$37</f>
        <v>0</v>
      </c>
      <c r="I35" s="22">
        <f>+[2]Resumen!$I$37</f>
        <v>0</v>
      </c>
      <c r="J35" s="23">
        <f>+[2]Resumen!$J$37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8.8554687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65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[3]Resumen!$B$38</f>
        <v>0</v>
      </c>
      <c r="C5" s="58">
        <f>[3]Resumen!$C$38</f>
        <v>0</v>
      </c>
      <c r="D5" s="54">
        <f>[3]Resumen!$D$38</f>
        <v>0</v>
      </c>
      <c r="E5" s="53">
        <f>[3]Resumen!$E$38</f>
        <v>0</v>
      </c>
      <c r="F5" s="58">
        <f>[3]Resumen!$F$38</f>
        <v>0</v>
      </c>
      <c r="G5" s="55">
        <f>[3]Resumen!$G$38</f>
        <v>0</v>
      </c>
      <c r="H5" s="61">
        <f>[3]Resumen!$H$38</f>
        <v>0</v>
      </c>
      <c r="I5" s="58">
        <f>[3]Resumen!$I$38</f>
        <v>0</v>
      </c>
      <c r="J5" s="54">
        <f>[3]Resumen!$J$38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[4]Resumen!$B$38</f>
        <v>0</v>
      </c>
      <c r="C6" s="15">
        <f>[4]Resumen!$C$38</f>
        <v>0</v>
      </c>
      <c r="D6" s="16">
        <f>[4]Resumen!$D$38</f>
        <v>0</v>
      </c>
      <c r="E6" s="14">
        <f>[4]Resumen!$E$38</f>
        <v>0</v>
      </c>
      <c r="F6" s="15">
        <f>[4]Resumen!$F$38</f>
        <v>0</v>
      </c>
      <c r="G6" s="17">
        <f>[4]Resumen!$G$38</f>
        <v>0</v>
      </c>
      <c r="H6" s="18">
        <f>[4]Resumen!$H$38</f>
        <v>0</v>
      </c>
      <c r="I6" s="15">
        <f>[4]Resumen!$I$38</f>
        <v>0</v>
      </c>
      <c r="J6" s="16">
        <f>[4]Resumen!$J$38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[5]Resumen!$B$38</f>
        <v>0</v>
      </c>
      <c r="C7" s="15">
        <f>[5]Resumen!$C$38</f>
        <v>0</v>
      </c>
      <c r="D7" s="16">
        <f>[5]Resumen!$D$38</f>
        <v>0</v>
      </c>
      <c r="E7" s="14">
        <f>[5]Resumen!$E$38</f>
        <v>0</v>
      </c>
      <c r="F7" s="15">
        <f>[5]Resumen!$F$38</f>
        <v>0</v>
      </c>
      <c r="G7" s="17">
        <f>[5]Resumen!$G$38</f>
        <v>0</v>
      </c>
      <c r="H7" s="18">
        <f>[5]Resumen!$H$38</f>
        <v>0</v>
      </c>
      <c r="I7" s="15">
        <f>[5]Resumen!$I$38</f>
        <v>0</v>
      </c>
      <c r="J7" s="16">
        <f>[5]Resumen!$J$38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[6]Resumen!$B$38</f>
        <v>0</v>
      </c>
      <c r="C8" s="15">
        <f>[6]Resumen!$C$38</f>
        <v>0</v>
      </c>
      <c r="D8" s="16">
        <f>[6]Resumen!$D$38</f>
        <v>0</v>
      </c>
      <c r="E8" s="14">
        <f>[6]Resumen!$E$38</f>
        <v>0</v>
      </c>
      <c r="F8" s="15">
        <f>[6]Resumen!$F$38</f>
        <v>0</v>
      </c>
      <c r="G8" s="17">
        <f>[6]Resumen!$G$38</f>
        <v>0</v>
      </c>
      <c r="H8" s="18">
        <f>[6]Resumen!$H$38</f>
        <v>0</v>
      </c>
      <c r="I8" s="15">
        <f>[6]Resumen!$I$38</f>
        <v>0</v>
      </c>
      <c r="J8" s="16">
        <f>[6]Resumen!$J$38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[7]Resumen!$B$38</f>
        <v>0</v>
      </c>
      <c r="C9" s="15">
        <f>[7]Resumen!$C$38</f>
        <v>0</v>
      </c>
      <c r="D9" s="16">
        <f>[7]Resumen!$D$38</f>
        <v>0</v>
      </c>
      <c r="E9" s="14">
        <f>[7]Resumen!$E$38</f>
        <v>0</v>
      </c>
      <c r="F9" s="15">
        <f>[7]Resumen!$F$38</f>
        <v>0</v>
      </c>
      <c r="G9" s="17">
        <f>[7]Resumen!$G$38</f>
        <v>0</v>
      </c>
      <c r="H9" s="18">
        <f>[7]Resumen!$H$38</f>
        <v>0</v>
      </c>
      <c r="I9" s="15">
        <f>[7]Resumen!$I$38</f>
        <v>0</v>
      </c>
      <c r="J9" s="16">
        <f>[7]Resumen!$J$38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[8]Resumen!$B$38</f>
        <v>0</v>
      </c>
      <c r="C10" s="15">
        <f>[8]Resumen!$C$38</f>
        <v>0</v>
      </c>
      <c r="D10" s="16">
        <f>[8]Resumen!$D$38</f>
        <v>0</v>
      </c>
      <c r="E10" s="14">
        <f>[8]Resumen!$E$38</f>
        <v>0</v>
      </c>
      <c r="F10" s="15">
        <f>[8]Resumen!$F$38</f>
        <v>0</v>
      </c>
      <c r="G10" s="17">
        <f>[8]Resumen!$G$38</f>
        <v>0</v>
      </c>
      <c r="H10" s="18">
        <f>[8]Resumen!$H$38</f>
        <v>0</v>
      </c>
      <c r="I10" s="15">
        <f>[8]Resumen!$I$38</f>
        <v>0</v>
      </c>
      <c r="J10" s="16">
        <f>[8]Resumen!$J$38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[9]Resumen!$B$38</f>
        <v>0</v>
      </c>
      <c r="C11" s="15">
        <f>[9]Resumen!$C$38</f>
        <v>0</v>
      </c>
      <c r="D11" s="16">
        <f>[9]Resumen!$D$38</f>
        <v>0</v>
      </c>
      <c r="E11" s="14">
        <f>[9]Resumen!$E$38</f>
        <v>0</v>
      </c>
      <c r="F11" s="15">
        <f>[9]Resumen!$F$38</f>
        <v>0</v>
      </c>
      <c r="G11" s="17">
        <f>[9]Resumen!$G$38</f>
        <v>0</v>
      </c>
      <c r="H11" s="18">
        <f>[9]Resumen!$H$38</f>
        <v>0</v>
      </c>
      <c r="I11" s="15">
        <f>[9]Resumen!$I$38</f>
        <v>0</v>
      </c>
      <c r="J11" s="16">
        <f>[9]Resumen!$J$38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[10]Resumen!$B$38</f>
        <v>0</v>
      </c>
      <c r="C12" s="15">
        <f>[10]Resumen!$C$38</f>
        <v>0</v>
      </c>
      <c r="D12" s="16">
        <f>[10]Resumen!$D$38</f>
        <v>0</v>
      </c>
      <c r="E12" s="14">
        <f>[10]Resumen!$E$38</f>
        <v>0</v>
      </c>
      <c r="F12" s="15">
        <f>[10]Resumen!$F$38</f>
        <v>0</v>
      </c>
      <c r="G12" s="17">
        <f>[10]Resumen!$G$38</f>
        <v>0</v>
      </c>
      <c r="H12" s="18">
        <f>[10]Resumen!$H$38</f>
        <v>0</v>
      </c>
      <c r="I12" s="15">
        <f>[10]Resumen!$I$38</f>
        <v>0</v>
      </c>
      <c r="J12" s="16">
        <f>[10]Resumen!$J$38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[11]Resumen!$B$38</f>
        <v>0</v>
      </c>
      <c r="C13" s="15">
        <f>[11]Resumen!$C$38</f>
        <v>0</v>
      </c>
      <c r="D13" s="16">
        <f>[11]Resumen!$D$38</f>
        <v>0</v>
      </c>
      <c r="E13" s="14">
        <f>[11]Resumen!$E$38</f>
        <v>0</v>
      </c>
      <c r="F13" s="15">
        <f>[11]Resumen!$F$38</f>
        <v>0</v>
      </c>
      <c r="G13" s="17">
        <f>[11]Resumen!$G$38</f>
        <v>0</v>
      </c>
      <c r="H13" s="18">
        <f>[11]Resumen!$H$38</f>
        <v>0</v>
      </c>
      <c r="I13" s="15">
        <f>[11]Resumen!$I$38</f>
        <v>0</v>
      </c>
      <c r="J13" s="16">
        <f>[11]Resumen!$J$38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[12]Resumen!$B$38</f>
        <v>0</v>
      </c>
      <c r="C14" s="15">
        <f>[12]Resumen!$C$38</f>
        <v>0</v>
      </c>
      <c r="D14" s="16">
        <f>[12]Resumen!$D$38</f>
        <v>0</v>
      </c>
      <c r="E14" s="14">
        <f>[12]Resumen!$E$38</f>
        <v>0</v>
      </c>
      <c r="F14" s="15">
        <f>[12]Resumen!$F$38</f>
        <v>0</v>
      </c>
      <c r="G14" s="17">
        <f>[12]Resumen!$G$38</f>
        <v>0</v>
      </c>
      <c r="H14" s="18">
        <f>[12]Resumen!$H$38</f>
        <v>0</v>
      </c>
      <c r="I14" s="15">
        <f>[12]Resumen!$I$38</f>
        <v>0</v>
      </c>
      <c r="J14" s="16">
        <f>[12]Resumen!$J$38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[13]Resumen!$B$38</f>
        <v>0</v>
      </c>
      <c r="C15" s="15">
        <f>[13]Resumen!$C$38</f>
        <v>0</v>
      </c>
      <c r="D15" s="16">
        <f>[13]Resumen!$D$38</f>
        <v>0</v>
      </c>
      <c r="E15" s="14">
        <f>[13]Resumen!$E$38</f>
        <v>0</v>
      </c>
      <c r="F15" s="15">
        <f>[13]Resumen!$F$38</f>
        <v>0</v>
      </c>
      <c r="G15" s="17">
        <f>[13]Resumen!$G$38</f>
        <v>0</v>
      </c>
      <c r="H15" s="18">
        <f>[13]Resumen!$H$38</f>
        <v>0</v>
      </c>
      <c r="I15" s="15">
        <f>[13]Resumen!$I$38</f>
        <v>0</v>
      </c>
      <c r="J15" s="16">
        <f>[13]Resumen!$J$38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[14]Resumen!$B$38</f>
        <v>0</v>
      </c>
      <c r="C16" s="15">
        <f>[14]Resumen!$C$38</f>
        <v>0</v>
      </c>
      <c r="D16" s="16">
        <f>[14]Resumen!$D$38</f>
        <v>0</v>
      </c>
      <c r="E16" s="14">
        <f>[14]Resumen!$E$38</f>
        <v>0</v>
      </c>
      <c r="F16" s="15">
        <f>[14]Resumen!$F$38</f>
        <v>0</v>
      </c>
      <c r="G16" s="17">
        <f>[14]Resumen!$G$38</f>
        <v>0</v>
      </c>
      <c r="H16" s="18">
        <f>[14]Resumen!$H$38</f>
        <v>0</v>
      </c>
      <c r="I16" s="15">
        <f>[14]Resumen!$I$38</f>
        <v>0</v>
      </c>
      <c r="J16" s="16">
        <f>[14]Resumen!$J$38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[15]Resumen!$B$38</f>
        <v>0</v>
      </c>
      <c r="C17" s="15">
        <f>[15]Resumen!$C$38</f>
        <v>0</v>
      </c>
      <c r="D17" s="16">
        <f>[15]Resumen!$D$38</f>
        <v>0</v>
      </c>
      <c r="E17" s="14">
        <f>[15]Resumen!$E$38</f>
        <v>0</v>
      </c>
      <c r="F17" s="15">
        <f>[15]Resumen!$F$38</f>
        <v>0</v>
      </c>
      <c r="G17" s="17">
        <f>[15]Resumen!$G$38</f>
        <v>0</v>
      </c>
      <c r="H17" s="18">
        <f>[15]Resumen!$H$38</f>
        <v>0</v>
      </c>
      <c r="I17" s="15">
        <f>[15]Resumen!$I$38</f>
        <v>0</v>
      </c>
      <c r="J17" s="16">
        <f>[15]Resumen!$J$38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[16]Resumen!$B$38</f>
        <v>0</v>
      </c>
      <c r="C18" s="15">
        <f>[16]Resumen!$C$38</f>
        <v>0</v>
      </c>
      <c r="D18" s="16">
        <f>[16]Resumen!$D$38</f>
        <v>0</v>
      </c>
      <c r="E18" s="14">
        <f>[16]Resumen!$E$38</f>
        <v>0</v>
      </c>
      <c r="F18" s="15">
        <f>[16]Resumen!$F$38</f>
        <v>0</v>
      </c>
      <c r="G18" s="17">
        <f>[16]Resumen!$G$38</f>
        <v>0</v>
      </c>
      <c r="H18" s="18">
        <f>[16]Resumen!$H$38</f>
        <v>0</v>
      </c>
      <c r="I18" s="15">
        <f>[16]Resumen!$I$38</f>
        <v>0</v>
      </c>
      <c r="J18" s="16">
        <f>[16]Resumen!$J$38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[17]Resumen!$B$38</f>
        <v>0</v>
      </c>
      <c r="C19" s="15">
        <f>[17]Resumen!$C$38</f>
        <v>0</v>
      </c>
      <c r="D19" s="16">
        <f>[17]Resumen!$D$38</f>
        <v>0</v>
      </c>
      <c r="E19" s="14">
        <f>[17]Resumen!$E$38</f>
        <v>0</v>
      </c>
      <c r="F19" s="15">
        <f>[17]Resumen!$F$38</f>
        <v>0</v>
      </c>
      <c r="G19" s="17">
        <f>[17]Resumen!$G$38</f>
        <v>0</v>
      </c>
      <c r="H19" s="18">
        <f>[17]Resumen!$H$38</f>
        <v>0</v>
      </c>
      <c r="I19" s="15">
        <f>[17]Resumen!$I$38</f>
        <v>0</v>
      </c>
      <c r="J19" s="16">
        <f>[17]Resumen!$J$38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[18]Resumen!$B$38</f>
        <v>0</v>
      </c>
      <c r="C20" s="15">
        <f>[18]Resumen!$C$38</f>
        <v>0</v>
      </c>
      <c r="D20" s="16">
        <f>[18]Resumen!$D$38</f>
        <v>0</v>
      </c>
      <c r="E20" s="14">
        <f>[18]Resumen!$E$38</f>
        <v>0</v>
      </c>
      <c r="F20" s="15">
        <f>[18]Resumen!$F$38</f>
        <v>0</v>
      </c>
      <c r="G20" s="17">
        <f>[18]Resumen!$G$38</f>
        <v>0</v>
      </c>
      <c r="H20" s="18">
        <f>[18]Resumen!$H$38</f>
        <v>0</v>
      </c>
      <c r="I20" s="15">
        <f>[18]Resumen!$I$38</f>
        <v>0</v>
      </c>
      <c r="J20" s="16">
        <f>[18]Resumen!$J$38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[19]Resumen!$B$38</f>
        <v>0</v>
      </c>
      <c r="C21" s="15">
        <f>[19]Resumen!$C$38</f>
        <v>0</v>
      </c>
      <c r="D21" s="16">
        <f>[19]Resumen!$D$38</f>
        <v>0</v>
      </c>
      <c r="E21" s="14">
        <f>[19]Resumen!$E$38</f>
        <v>0</v>
      </c>
      <c r="F21" s="15">
        <f>[19]Resumen!$F$38</f>
        <v>0</v>
      </c>
      <c r="G21" s="17">
        <f>[19]Resumen!$G$38</f>
        <v>0</v>
      </c>
      <c r="H21" s="18">
        <f>[19]Resumen!$H$38</f>
        <v>0</v>
      </c>
      <c r="I21" s="15">
        <f>[19]Resumen!$I$38</f>
        <v>0</v>
      </c>
      <c r="J21" s="16">
        <f>[19]Resumen!$J$38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[20]Resumen!$B$38</f>
        <v>0</v>
      </c>
      <c r="C22" s="15">
        <f>[20]Resumen!$C$38</f>
        <v>0</v>
      </c>
      <c r="D22" s="16">
        <f>[20]Resumen!$D$38</f>
        <v>0</v>
      </c>
      <c r="E22" s="14">
        <f>[20]Resumen!$E$38</f>
        <v>0</v>
      </c>
      <c r="F22" s="15">
        <f>[20]Resumen!$F$38</f>
        <v>0</v>
      </c>
      <c r="G22" s="17">
        <f>[20]Resumen!$G$38</f>
        <v>0</v>
      </c>
      <c r="H22" s="18">
        <f>[20]Resumen!$H$38</f>
        <v>0</v>
      </c>
      <c r="I22" s="15">
        <f>[20]Resumen!$I$38</f>
        <v>0</v>
      </c>
      <c r="J22" s="16">
        <f>[20]Resumen!$J$38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[21]Resumen!$B$38</f>
        <v>0</v>
      </c>
      <c r="C23" s="15">
        <f>[21]Resumen!$C$38</f>
        <v>0</v>
      </c>
      <c r="D23" s="16">
        <f>[21]Resumen!$D$38</f>
        <v>0</v>
      </c>
      <c r="E23" s="14">
        <f>[21]Resumen!$E$38</f>
        <v>0</v>
      </c>
      <c r="F23" s="15">
        <f>[21]Resumen!$F$38</f>
        <v>0</v>
      </c>
      <c r="G23" s="17">
        <f>[21]Resumen!$G$38</f>
        <v>0</v>
      </c>
      <c r="H23" s="18">
        <f>[21]Resumen!$H$38</f>
        <v>0</v>
      </c>
      <c r="I23" s="15">
        <f>[21]Resumen!$I$38</f>
        <v>0</v>
      </c>
      <c r="J23" s="16">
        <f>[21]Resumen!$J$38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[22]Resumen!$B$38</f>
        <v>0</v>
      </c>
      <c r="C24" s="15">
        <f>[22]Resumen!$C$38</f>
        <v>0</v>
      </c>
      <c r="D24" s="16">
        <f>[22]Resumen!$D$38</f>
        <v>0</v>
      </c>
      <c r="E24" s="14">
        <f>[22]Resumen!$E$38</f>
        <v>0</v>
      </c>
      <c r="F24" s="15">
        <f>[22]Resumen!$F$38</f>
        <v>0</v>
      </c>
      <c r="G24" s="17">
        <f>[22]Resumen!$G$38</f>
        <v>0</v>
      </c>
      <c r="H24" s="18">
        <f>[22]Resumen!$H$38</f>
        <v>0</v>
      </c>
      <c r="I24" s="15">
        <f>[22]Resumen!$I$38</f>
        <v>0</v>
      </c>
      <c r="J24" s="16">
        <f>[22]Resumen!$J$38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[23]Resumen!$B$38</f>
        <v>0</v>
      </c>
      <c r="C25" s="15">
        <f>[23]Resumen!$C$38</f>
        <v>0</v>
      </c>
      <c r="D25" s="16">
        <f>[23]Resumen!$D$38</f>
        <v>0</v>
      </c>
      <c r="E25" s="14">
        <f>[23]Resumen!$E$38</f>
        <v>0</v>
      </c>
      <c r="F25" s="15">
        <f>[23]Resumen!$F$38</f>
        <v>0</v>
      </c>
      <c r="G25" s="17">
        <f>[23]Resumen!$G$38</f>
        <v>0</v>
      </c>
      <c r="H25" s="18">
        <f>[23]Resumen!$H$38</f>
        <v>0</v>
      </c>
      <c r="I25" s="15">
        <f>[23]Resumen!$I$38</f>
        <v>0</v>
      </c>
      <c r="J25" s="16">
        <f>[23]Resumen!$J$38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[24]Resumen!$B$38</f>
        <v>0</v>
      </c>
      <c r="C26" s="15">
        <f>[24]Resumen!$C$38</f>
        <v>0</v>
      </c>
      <c r="D26" s="16">
        <f>[24]Resumen!$D$38</f>
        <v>0</v>
      </c>
      <c r="E26" s="14">
        <f>[24]Resumen!$E$38</f>
        <v>0</v>
      </c>
      <c r="F26" s="15">
        <f>[24]Resumen!$F$38</f>
        <v>0</v>
      </c>
      <c r="G26" s="17">
        <f>[24]Resumen!$G$38</f>
        <v>0</v>
      </c>
      <c r="H26" s="18">
        <f>[24]Resumen!$H$38</f>
        <v>0</v>
      </c>
      <c r="I26" s="15">
        <f>[24]Resumen!$I$38</f>
        <v>0</v>
      </c>
      <c r="J26" s="16">
        <f>[24]Resumen!$J$38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[25]Resumen!$B$38</f>
        <v>0</v>
      </c>
      <c r="C27" s="15">
        <f>[25]Resumen!$C$38</f>
        <v>0</v>
      </c>
      <c r="D27" s="16">
        <f>[25]Resumen!$D$38</f>
        <v>0</v>
      </c>
      <c r="E27" s="14">
        <f>[25]Resumen!$E$38</f>
        <v>0</v>
      </c>
      <c r="F27" s="15">
        <f>[25]Resumen!$F$38</f>
        <v>0</v>
      </c>
      <c r="G27" s="17">
        <f>[25]Resumen!$G$38</f>
        <v>0</v>
      </c>
      <c r="H27" s="18">
        <f>[25]Resumen!$H$38</f>
        <v>0</v>
      </c>
      <c r="I27" s="15">
        <f>[25]Resumen!$I$38</f>
        <v>0</v>
      </c>
      <c r="J27" s="16">
        <f>[25]Resumen!$J$38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[26]Resumen!$B$38</f>
        <v>0</v>
      </c>
      <c r="C28" s="15">
        <f>[26]Resumen!$C$38</f>
        <v>0</v>
      </c>
      <c r="D28" s="16">
        <f>[26]Resumen!$D$38</f>
        <v>0</v>
      </c>
      <c r="E28" s="14">
        <f>[26]Resumen!$E$38</f>
        <v>0</v>
      </c>
      <c r="F28" s="15">
        <f>[26]Resumen!$F$38</f>
        <v>0</v>
      </c>
      <c r="G28" s="17">
        <f>[26]Resumen!$G$38</f>
        <v>0</v>
      </c>
      <c r="H28" s="18">
        <f>[26]Resumen!$H$38</f>
        <v>0</v>
      </c>
      <c r="I28" s="15">
        <f>[26]Resumen!$I$38</f>
        <v>0</v>
      </c>
      <c r="J28" s="16">
        <f>[26]Resumen!$J$38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[27]Resumen!$B$38</f>
        <v>0</v>
      </c>
      <c r="C29" s="15">
        <f>[27]Resumen!$C$38</f>
        <v>0</v>
      </c>
      <c r="D29" s="16">
        <f>[27]Resumen!$D$38</f>
        <v>0</v>
      </c>
      <c r="E29" s="14">
        <f>[27]Resumen!$E$38</f>
        <v>0</v>
      </c>
      <c r="F29" s="15">
        <f>[27]Resumen!$F$38</f>
        <v>0</v>
      </c>
      <c r="G29" s="17">
        <f>[27]Resumen!$G$38</f>
        <v>0</v>
      </c>
      <c r="H29" s="18">
        <f>[27]Resumen!$H$38</f>
        <v>0</v>
      </c>
      <c r="I29" s="15">
        <f>[27]Resumen!$I$38</f>
        <v>0</v>
      </c>
      <c r="J29" s="16">
        <f>[27]Resumen!$J$38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[28]Resumen!$B$38</f>
        <v>0</v>
      </c>
      <c r="C30" s="15">
        <f>[28]Resumen!$C$38</f>
        <v>0</v>
      </c>
      <c r="D30" s="16">
        <f>[28]Resumen!$D$38</f>
        <v>0</v>
      </c>
      <c r="E30" s="14">
        <f>[28]Resumen!$E$38</f>
        <v>0</v>
      </c>
      <c r="F30" s="15">
        <f>[28]Resumen!$F$38</f>
        <v>0</v>
      </c>
      <c r="G30" s="17">
        <f>[28]Resumen!$G$38</f>
        <v>0</v>
      </c>
      <c r="H30" s="18">
        <f>[28]Resumen!$H$38</f>
        <v>0</v>
      </c>
      <c r="I30" s="15">
        <f>[28]Resumen!$I$38</f>
        <v>0</v>
      </c>
      <c r="J30" s="16">
        <f>[28]Resumen!$J$38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[29]Resumen!$B$38</f>
        <v>0</v>
      </c>
      <c r="C31" s="15">
        <f>[29]Resumen!$C$38</f>
        <v>0</v>
      </c>
      <c r="D31" s="16">
        <f>[29]Resumen!$D$38</f>
        <v>0</v>
      </c>
      <c r="E31" s="14">
        <f>[29]Resumen!$E$38</f>
        <v>0</v>
      </c>
      <c r="F31" s="15">
        <f>[29]Resumen!$F$38</f>
        <v>0</v>
      </c>
      <c r="G31" s="17">
        <f>[29]Resumen!$G$38</f>
        <v>0</v>
      </c>
      <c r="H31" s="18">
        <f>[29]Resumen!$H$38</f>
        <v>0</v>
      </c>
      <c r="I31" s="15">
        <f>[29]Resumen!$I$38</f>
        <v>0</v>
      </c>
      <c r="J31" s="16">
        <f>[29]Resumen!$J$38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[30]Resumen!$B$38</f>
        <v>0</v>
      </c>
      <c r="C32" s="15">
        <f>[30]Resumen!$C$38</f>
        <v>0</v>
      </c>
      <c r="D32" s="16">
        <f>[30]Resumen!$D$38</f>
        <v>0</v>
      </c>
      <c r="E32" s="14">
        <f>[30]Resumen!$E$38</f>
        <v>0</v>
      </c>
      <c r="F32" s="15">
        <f>[30]Resumen!$F$38</f>
        <v>0</v>
      </c>
      <c r="G32" s="17">
        <f>[30]Resumen!$G$38</f>
        <v>0</v>
      </c>
      <c r="H32" s="18">
        <f>[30]Resumen!$H$38</f>
        <v>0</v>
      </c>
      <c r="I32" s="15">
        <f>[30]Resumen!$I$38</f>
        <v>0</v>
      </c>
      <c r="J32" s="16">
        <f>[30]Resumen!$J$38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[31]Resumen!$B$38</f>
        <v>0</v>
      </c>
      <c r="C33" s="15">
        <f>[31]Resumen!$C$38</f>
        <v>0</v>
      </c>
      <c r="D33" s="16">
        <f>[31]Resumen!$D$38</f>
        <v>0</v>
      </c>
      <c r="E33" s="14">
        <f>[31]Resumen!$E$38</f>
        <v>0</v>
      </c>
      <c r="F33" s="15">
        <f>[31]Resumen!$F$38</f>
        <v>0</v>
      </c>
      <c r="G33" s="17">
        <f>[31]Resumen!$G$38</f>
        <v>0</v>
      </c>
      <c r="H33" s="18">
        <f>[31]Resumen!$H$38</f>
        <v>0</v>
      </c>
      <c r="I33" s="15">
        <f>[31]Resumen!$I$38</f>
        <v>0</v>
      </c>
      <c r="J33" s="16">
        <f>[31]Resumen!$J$38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[1]Resumen!$B$38</f>
        <v>0</v>
      </c>
      <c r="C34" s="15">
        <f>[1]Resumen!$C$38</f>
        <v>0</v>
      </c>
      <c r="D34" s="16">
        <f>[1]Resumen!$D$38</f>
        <v>0</v>
      </c>
      <c r="E34" s="14">
        <f>[1]Resumen!$E$38</f>
        <v>0</v>
      </c>
      <c r="F34" s="15">
        <f>[1]Resumen!$F$38</f>
        <v>0</v>
      </c>
      <c r="G34" s="17">
        <f>[1]Resumen!$G$38</f>
        <v>0</v>
      </c>
      <c r="H34" s="18">
        <f>[1]Resumen!$H$38</f>
        <v>0</v>
      </c>
      <c r="I34" s="15">
        <f>[1]Resumen!$I$38</f>
        <v>0</v>
      </c>
      <c r="J34" s="16">
        <f>[1]Resumen!$J$38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+[2]Resumen!$B$38</f>
        <v>0</v>
      </c>
      <c r="C35" s="22">
        <f>+[2]Resumen!$C$38</f>
        <v>0</v>
      </c>
      <c r="D35" s="23">
        <f>+[2]Resumen!$D$38</f>
        <v>0</v>
      </c>
      <c r="E35" s="21">
        <f>+[2]Resumen!$E$38</f>
        <v>0</v>
      </c>
      <c r="F35" s="22">
        <f>+[2]Resumen!$F$38</f>
        <v>0</v>
      </c>
      <c r="G35" s="24">
        <f>+[2]Resumen!$G$38</f>
        <v>0</v>
      </c>
      <c r="H35" s="25">
        <f>+[2]Resumen!$H$38</f>
        <v>0</v>
      </c>
      <c r="I35" s="22">
        <f>+[2]Resumen!$I$38</f>
        <v>0</v>
      </c>
      <c r="J35" s="23">
        <f>+[2]Resumen!$J$38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57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[3]Resumen!$B$39</f>
        <v>0</v>
      </c>
      <c r="C5" s="58">
        <f>[3]Resumen!$C$39</f>
        <v>0</v>
      </c>
      <c r="D5" s="54">
        <f>[3]Resumen!$D$39</f>
        <v>0</v>
      </c>
      <c r="E5" s="53">
        <f>[3]Resumen!$E$39</f>
        <v>0</v>
      </c>
      <c r="F5" s="58">
        <f>[3]Resumen!$F$39</f>
        <v>0</v>
      </c>
      <c r="G5" s="55">
        <f>[3]Resumen!$G$39</f>
        <v>0</v>
      </c>
      <c r="H5" s="61">
        <f>[3]Resumen!$H$39</f>
        <v>0</v>
      </c>
      <c r="I5" s="58">
        <f>[3]Resumen!$I$39</f>
        <v>0</v>
      </c>
      <c r="J5" s="54">
        <f>[3]Resumen!$J$39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[4]Resumen!$B$39</f>
        <v>0</v>
      </c>
      <c r="C6" s="15">
        <f>[4]Resumen!$C$39</f>
        <v>0</v>
      </c>
      <c r="D6" s="16">
        <f>[4]Resumen!$D$39</f>
        <v>0</v>
      </c>
      <c r="E6" s="14">
        <f>[4]Resumen!$E$39</f>
        <v>0</v>
      </c>
      <c r="F6" s="15">
        <f>[4]Resumen!$F$39</f>
        <v>0</v>
      </c>
      <c r="G6" s="17">
        <f>[4]Resumen!$G$39</f>
        <v>0</v>
      </c>
      <c r="H6" s="18">
        <f>[4]Resumen!$H$39</f>
        <v>0</v>
      </c>
      <c r="I6" s="15">
        <f>[4]Resumen!$I$39</f>
        <v>0</v>
      </c>
      <c r="J6" s="16">
        <f>[4]Resumen!$J$39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[5]Resumen!$B$39</f>
        <v>0</v>
      </c>
      <c r="C7" s="15">
        <f>[5]Resumen!$C$39</f>
        <v>0</v>
      </c>
      <c r="D7" s="16">
        <f>[5]Resumen!$D$39</f>
        <v>0</v>
      </c>
      <c r="E7" s="14">
        <f>[5]Resumen!$E$39</f>
        <v>0</v>
      </c>
      <c r="F7" s="15">
        <f>[5]Resumen!$F$39</f>
        <v>0</v>
      </c>
      <c r="G7" s="17">
        <f>[5]Resumen!$G$39</f>
        <v>0</v>
      </c>
      <c r="H7" s="18">
        <f>[5]Resumen!$H$39</f>
        <v>0</v>
      </c>
      <c r="I7" s="15">
        <f>[5]Resumen!$I$39</f>
        <v>0</v>
      </c>
      <c r="J7" s="16">
        <f>[5]Resumen!$J$39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[6]Resumen!$B$39</f>
        <v>0</v>
      </c>
      <c r="C8" s="15">
        <f>[6]Resumen!$C$39</f>
        <v>0</v>
      </c>
      <c r="D8" s="16">
        <f>[6]Resumen!$D$39</f>
        <v>0</v>
      </c>
      <c r="E8" s="14">
        <f>[6]Resumen!$E$39</f>
        <v>0</v>
      </c>
      <c r="F8" s="15">
        <f>[6]Resumen!$F$39</f>
        <v>0</v>
      </c>
      <c r="G8" s="17">
        <f>[6]Resumen!$G$39</f>
        <v>0</v>
      </c>
      <c r="H8" s="18">
        <f>[6]Resumen!$H$39</f>
        <v>0</v>
      </c>
      <c r="I8" s="15">
        <f>[6]Resumen!$I$39</f>
        <v>0</v>
      </c>
      <c r="J8" s="16">
        <f>[6]Resumen!$J$39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[7]Resumen!$B$39</f>
        <v>0</v>
      </c>
      <c r="C9" s="15">
        <f>[7]Resumen!$C$39</f>
        <v>0</v>
      </c>
      <c r="D9" s="16">
        <f>[7]Resumen!$D$39</f>
        <v>0</v>
      </c>
      <c r="E9" s="14">
        <f>[7]Resumen!$E$39</f>
        <v>0</v>
      </c>
      <c r="F9" s="15">
        <f>[7]Resumen!$F$39</f>
        <v>0</v>
      </c>
      <c r="G9" s="17">
        <f>[7]Resumen!$G$39</f>
        <v>0</v>
      </c>
      <c r="H9" s="18">
        <f>[7]Resumen!$H$39</f>
        <v>0</v>
      </c>
      <c r="I9" s="15">
        <f>[7]Resumen!$I$39</f>
        <v>0</v>
      </c>
      <c r="J9" s="16">
        <f>[7]Resumen!$J$39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[8]Resumen!$B$39</f>
        <v>0</v>
      </c>
      <c r="C10" s="15">
        <f>[8]Resumen!$C$39</f>
        <v>0</v>
      </c>
      <c r="D10" s="16">
        <f>[8]Resumen!$D$39</f>
        <v>0</v>
      </c>
      <c r="E10" s="14">
        <f>[8]Resumen!$E$39</f>
        <v>0</v>
      </c>
      <c r="F10" s="15">
        <f>[8]Resumen!$F$39</f>
        <v>0</v>
      </c>
      <c r="G10" s="17">
        <f>[8]Resumen!$G$39</f>
        <v>0</v>
      </c>
      <c r="H10" s="18">
        <f>[8]Resumen!$H$39</f>
        <v>0</v>
      </c>
      <c r="I10" s="15">
        <f>[8]Resumen!$I$39</f>
        <v>0</v>
      </c>
      <c r="J10" s="16">
        <f>[8]Resumen!$J$39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[9]Resumen!$B$39</f>
        <v>0</v>
      </c>
      <c r="C11" s="15">
        <f>[9]Resumen!$C$39</f>
        <v>0</v>
      </c>
      <c r="D11" s="16">
        <f>[9]Resumen!$D$39</f>
        <v>0</v>
      </c>
      <c r="E11" s="14">
        <f>[9]Resumen!$E$39</f>
        <v>0</v>
      </c>
      <c r="F11" s="15">
        <f>[9]Resumen!$F$39</f>
        <v>0</v>
      </c>
      <c r="G11" s="17">
        <f>[9]Resumen!$G$39</f>
        <v>0</v>
      </c>
      <c r="H11" s="18">
        <f>[9]Resumen!$H$39</f>
        <v>0</v>
      </c>
      <c r="I11" s="15">
        <f>[9]Resumen!$I$39</f>
        <v>0</v>
      </c>
      <c r="J11" s="16">
        <f>[9]Resumen!$J$39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[10]Resumen!$B$39</f>
        <v>0</v>
      </c>
      <c r="C12" s="15">
        <f>[10]Resumen!$C$39</f>
        <v>0</v>
      </c>
      <c r="D12" s="16">
        <f>[10]Resumen!$D$39</f>
        <v>0</v>
      </c>
      <c r="E12" s="14">
        <f>[10]Resumen!$E$39</f>
        <v>0</v>
      </c>
      <c r="F12" s="15">
        <f>[10]Resumen!$F$39</f>
        <v>0</v>
      </c>
      <c r="G12" s="17">
        <f>[10]Resumen!$G$39</f>
        <v>0</v>
      </c>
      <c r="H12" s="18">
        <f>[10]Resumen!$H$39</f>
        <v>0</v>
      </c>
      <c r="I12" s="15">
        <f>[10]Resumen!$I$39</f>
        <v>0</v>
      </c>
      <c r="J12" s="16">
        <f>[10]Resumen!$J$39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[11]Resumen!$B$39</f>
        <v>0</v>
      </c>
      <c r="C13" s="15">
        <f>[11]Resumen!$C$39</f>
        <v>0</v>
      </c>
      <c r="D13" s="16">
        <f>[11]Resumen!$D$39</f>
        <v>0</v>
      </c>
      <c r="E13" s="14">
        <f>[11]Resumen!$E$39</f>
        <v>0</v>
      </c>
      <c r="F13" s="15">
        <f>[11]Resumen!$F$39</f>
        <v>0</v>
      </c>
      <c r="G13" s="17">
        <f>[11]Resumen!$G$39</f>
        <v>0</v>
      </c>
      <c r="H13" s="18">
        <f>[11]Resumen!$H$39</f>
        <v>0</v>
      </c>
      <c r="I13" s="15">
        <f>[11]Resumen!$I$39</f>
        <v>0</v>
      </c>
      <c r="J13" s="16">
        <f>[11]Resumen!$J$39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[12]Resumen!$B$39</f>
        <v>0</v>
      </c>
      <c r="C14" s="15">
        <f>[12]Resumen!$C$39</f>
        <v>0</v>
      </c>
      <c r="D14" s="16">
        <f>[12]Resumen!$D$39</f>
        <v>0</v>
      </c>
      <c r="E14" s="14">
        <f>[12]Resumen!$E$39</f>
        <v>0</v>
      </c>
      <c r="F14" s="15">
        <f>[12]Resumen!$F$39</f>
        <v>0</v>
      </c>
      <c r="G14" s="17">
        <f>[12]Resumen!$G$39</f>
        <v>0</v>
      </c>
      <c r="H14" s="18">
        <f>[12]Resumen!$H$39</f>
        <v>0</v>
      </c>
      <c r="I14" s="15">
        <f>[12]Resumen!$I$39</f>
        <v>0</v>
      </c>
      <c r="J14" s="16">
        <f>[12]Resumen!$J$39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[13]Resumen!$B$39</f>
        <v>0</v>
      </c>
      <c r="C15" s="15">
        <f>[13]Resumen!$C$39</f>
        <v>0</v>
      </c>
      <c r="D15" s="16">
        <f>[13]Resumen!$D$39</f>
        <v>0</v>
      </c>
      <c r="E15" s="14">
        <f>[13]Resumen!$E$39</f>
        <v>0</v>
      </c>
      <c r="F15" s="15">
        <f>[13]Resumen!$F$39</f>
        <v>0</v>
      </c>
      <c r="G15" s="17">
        <f>[13]Resumen!$G$39</f>
        <v>0</v>
      </c>
      <c r="H15" s="18">
        <f>[13]Resumen!$H$39</f>
        <v>0</v>
      </c>
      <c r="I15" s="15">
        <f>[13]Resumen!$I$39</f>
        <v>0</v>
      </c>
      <c r="J15" s="16">
        <f>[13]Resumen!$J$39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[14]Resumen!$B$39</f>
        <v>0</v>
      </c>
      <c r="C16" s="15">
        <f>[14]Resumen!$C$39</f>
        <v>0</v>
      </c>
      <c r="D16" s="16">
        <f>[14]Resumen!$D$39</f>
        <v>0</v>
      </c>
      <c r="E16" s="14">
        <f>[14]Resumen!$E$39</f>
        <v>0</v>
      </c>
      <c r="F16" s="15">
        <f>[14]Resumen!$F$39</f>
        <v>0</v>
      </c>
      <c r="G16" s="17">
        <f>[14]Resumen!$G$39</f>
        <v>0</v>
      </c>
      <c r="H16" s="18">
        <f>[14]Resumen!$H$39</f>
        <v>0</v>
      </c>
      <c r="I16" s="15">
        <f>[14]Resumen!$I$39</f>
        <v>0</v>
      </c>
      <c r="J16" s="16">
        <f>[14]Resumen!$J$39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[15]Resumen!$B$39</f>
        <v>0</v>
      </c>
      <c r="C17" s="15">
        <f>[15]Resumen!$C$39</f>
        <v>0</v>
      </c>
      <c r="D17" s="16">
        <f>[15]Resumen!$D$39</f>
        <v>0</v>
      </c>
      <c r="E17" s="14">
        <f>[15]Resumen!$E$39</f>
        <v>0</v>
      </c>
      <c r="F17" s="15">
        <f>[15]Resumen!$F$39</f>
        <v>0</v>
      </c>
      <c r="G17" s="17">
        <f>[15]Resumen!$G$39</f>
        <v>0</v>
      </c>
      <c r="H17" s="18">
        <f>[15]Resumen!$H$39</f>
        <v>0</v>
      </c>
      <c r="I17" s="15">
        <f>[15]Resumen!$I$39</f>
        <v>0</v>
      </c>
      <c r="J17" s="16">
        <f>[15]Resumen!$J$39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[16]Resumen!$B$39</f>
        <v>0</v>
      </c>
      <c r="C18" s="15">
        <f>[16]Resumen!$C$39</f>
        <v>0</v>
      </c>
      <c r="D18" s="16">
        <f>[16]Resumen!$D$39</f>
        <v>0</v>
      </c>
      <c r="E18" s="14">
        <f>[16]Resumen!$E$39</f>
        <v>0</v>
      </c>
      <c r="F18" s="15">
        <f>[16]Resumen!$F$39</f>
        <v>0</v>
      </c>
      <c r="G18" s="17">
        <f>[16]Resumen!$G$39</f>
        <v>0</v>
      </c>
      <c r="H18" s="18">
        <f>[16]Resumen!$H$39</f>
        <v>0</v>
      </c>
      <c r="I18" s="15">
        <f>[16]Resumen!$I$39</f>
        <v>0</v>
      </c>
      <c r="J18" s="16">
        <f>[16]Resumen!$J$39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[17]Resumen!$B$39</f>
        <v>0</v>
      </c>
      <c r="C19" s="15">
        <f>[17]Resumen!$C$39</f>
        <v>0</v>
      </c>
      <c r="D19" s="16">
        <f>[17]Resumen!$D$39</f>
        <v>0</v>
      </c>
      <c r="E19" s="14">
        <f>[17]Resumen!$E$39</f>
        <v>0</v>
      </c>
      <c r="F19" s="15">
        <f>[17]Resumen!$F$39</f>
        <v>0</v>
      </c>
      <c r="G19" s="17">
        <f>[17]Resumen!$G$39</f>
        <v>0</v>
      </c>
      <c r="H19" s="18">
        <f>[17]Resumen!$H$39</f>
        <v>0</v>
      </c>
      <c r="I19" s="15">
        <f>[17]Resumen!$I$39</f>
        <v>0</v>
      </c>
      <c r="J19" s="16">
        <f>[17]Resumen!$J$39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[18]Resumen!$B$39</f>
        <v>0</v>
      </c>
      <c r="C20" s="15">
        <f>[18]Resumen!$C$39</f>
        <v>0</v>
      </c>
      <c r="D20" s="16">
        <f>[18]Resumen!$D$39</f>
        <v>0</v>
      </c>
      <c r="E20" s="14">
        <f>[18]Resumen!$E$39</f>
        <v>0</v>
      </c>
      <c r="F20" s="15">
        <f>[18]Resumen!$F$39</f>
        <v>0</v>
      </c>
      <c r="G20" s="17">
        <f>[18]Resumen!$G$39</f>
        <v>0</v>
      </c>
      <c r="H20" s="18">
        <f>[18]Resumen!$H$39</f>
        <v>0</v>
      </c>
      <c r="I20" s="15">
        <f>[18]Resumen!$I$39</f>
        <v>0</v>
      </c>
      <c r="J20" s="16">
        <f>[18]Resumen!$J$39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[19]Resumen!$B$39</f>
        <v>0</v>
      </c>
      <c r="C21" s="15">
        <f>[19]Resumen!$C$39</f>
        <v>0</v>
      </c>
      <c r="D21" s="16">
        <f>[19]Resumen!$D$39</f>
        <v>0</v>
      </c>
      <c r="E21" s="14">
        <f>[19]Resumen!$E$39</f>
        <v>0</v>
      </c>
      <c r="F21" s="15">
        <f>[19]Resumen!$F$39</f>
        <v>0</v>
      </c>
      <c r="G21" s="17">
        <f>[19]Resumen!$G$39</f>
        <v>0</v>
      </c>
      <c r="H21" s="18">
        <f>[19]Resumen!$H$39</f>
        <v>0</v>
      </c>
      <c r="I21" s="15">
        <f>[19]Resumen!$I$39</f>
        <v>0</v>
      </c>
      <c r="J21" s="16">
        <f>[19]Resumen!$J$39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[20]Resumen!$B$39</f>
        <v>0</v>
      </c>
      <c r="C22" s="15">
        <f>[20]Resumen!$C$39</f>
        <v>0</v>
      </c>
      <c r="D22" s="16">
        <f>[20]Resumen!$D$39</f>
        <v>0</v>
      </c>
      <c r="E22" s="14">
        <f>[20]Resumen!$E$39</f>
        <v>0</v>
      </c>
      <c r="F22" s="15">
        <f>[20]Resumen!$F$39</f>
        <v>0</v>
      </c>
      <c r="G22" s="17">
        <f>[20]Resumen!$G$39</f>
        <v>0</v>
      </c>
      <c r="H22" s="18">
        <f>[20]Resumen!$H$39</f>
        <v>0</v>
      </c>
      <c r="I22" s="15">
        <f>[20]Resumen!$I$39</f>
        <v>0</v>
      </c>
      <c r="J22" s="16">
        <f>[20]Resumen!$J$39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[21]Resumen!$B$39</f>
        <v>0</v>
      </c>
      <c r="C23" s="15">
        <f>[21]Resumen!$C$39</f>
        <v>0</v>
      </c>
      <c r="D23" s="16">
        <f>[21]Resumen!$D$39</f>
        <v>0</v>
      </c>
      <c r="E23" s="14">
        <f>[21]Resumen!$E$39</f>
        <v>0</v>
      </c>
      <c r="F23" s="15">
        <f>[21]Resumen!$F$39</f>
        <v>0</v>
      </c>
      <c r="G23" s="17">
        <f>[21]Resumen!$G$39</f>
        <v>0</v>
      </c>
      <c r="H23" s="18">
        <f>[21]Resumen!$H$39</f>
        <v>0</v>
      </c>
      <c r="I23" s="15">
        <f>[21]Resumen!$I$39</f>
        <v>0</v>
      </c>
      <c r="J23" s="16">
        <f>[21]Resumen!$J$39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[22]Resumen!$B$39</f>
        <v>0</v>
      </c>
      <c r="C24" s="15">
        <f>[22]Resumen!$C$39</f>
        <v>0</v>
      </c>
      <c r="D24" s="16">
        <f>[22]Resumen!$D$39</f>
        <v>0</v>
      </c>
      <c r="E24" s="14">
        <f>[22]Resumen!$E$39</f>
        <v>0</v>
      </c>
      <c r="F24" s="15">
        <f>[22]Resumen!$F$39</f>
        <v>0</v>
      </c>
      <c r="G24" s="17">
        <f>[22]Resumen!$G$39</f>
        <v>0</v>
      </c>
      <c r="H24" s="18">
        <f>[22]Resumen!$H$39</f>
        <v>0</v>
      </c>
      <c r="I24" s="15">
        <f>[22]Resumen!$I$39</f>
        <v>0</v>
      </c>
      <c r="J24" s="16">
        <f>[22]Resumen!$J$39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[23]Resumen!$B$39</f>
        <v>0</v>
      </c>
      <c r="C25" s="15">
        <f>[23]Resumen!$C$39</f>
        <v>0</v>
      </c>
      <c r="D25" s="16">
        <f>[23]Resumen!$D$39</f>
        <v>0</v>
      </c>
      <c r="E25" s="14">
        <f>[23]Resumen!$E$39</f>
        <v>0</v>
      </c>
      <c r="F25" s="15">
        <f>[23]Resumen!$F$39</f>
        <v>0</v>
      </c>
      <c r="G25" s="17">
        <f>[23]Resumen!$G$39</f>
        <v>0</v>
      </c>
      <c r="H25" s="18">
        <f>[23]Resumen!$H$39</f>
        <v>0</v>
      </c>
      <c r="I25" s="15">
        <f>[23]Resumen!$I$39</f>
        <v>0</v>
      </c>
      <c r="J25" s="16">
        <f>[23]Resumen!$J$39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[24]Resumen!$B$39</f>
        <v>0</v>
      </c>
      <c r="C26" s="15">
        <f>[24]Resumen!$C$39</f>
        <v>0</v>
      </c>
      <c r="D26" s="16">
        <f>[24]Resumen!$D$39</f>
        <v>0</v>
      </c>
      <c r="E26" s="14">
        <f>[24]Resumen!$E$39</f>
        <v>0</v>
      </c>
      <c r="F26" s="15">
        <f>[24]Resumen!$F$39</f>
        <v>0</v>
      </c>
      <c r="G26" s="17">
        <f>[24]Resumen!$G$39</f>
        <v>0</v>
      </c>
      <c r="H26" s="18">
        <f>[24]Resumen!$H$39</f>
        <v>0</v>
      </c>
      <c r="I26" s="15">
        <f>[24]Resumen!$I$39</f>
        <v>0</v>
      </c>
      <c r="J26" s="16">
        <f>[24]Resumen!$J$39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[25]Resumen!$B$39</f>
        <v>0</v>
      </c>
      <c r="C27" s="15">
        <f>[25]Resumen!$C$39</f>
        <v>0</v>
      </c>
      <c r="D27" s="16">
        <f>[25]Resumen!$D$39</f>
        <v>0</v>
      </c>
      <c r="E27" s="14">
        <f>[25]Resumen!$E$39</f>
        <v>0</v>
      </c>
      <c r="F27" s="15">
        <f>[25]Resumen!$F$39</f>
        <v>0</v>
      </c>
      <c r="G27" s="17">
        <f>[25]Resumen!$G$39</f>
        <v>0</v>
      </c>
      <c r="H27" s="18">
        <f>[25]Resumen!$H$39</f>
        <v>0</v>
      </c>
      <c r="I27" s="15">
        <f>[25]Resumen!$I$39</f>
        <v>0</v>
      </c>
      <c r="J27" s="16">
        <f>[25]Resumen!$J$39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[26]Resumen!$B$39</f>
        <v>0</v>
      </c>
      <c r="C28" s="15">
        <f>[26]Resumen!$C$39</f>
        <v>0</v>
      </c>
      <c r="D28" s="16">
        <f>[26]Resumen!$D$39</f>
        <v>0</v>
      </c>
      <c r="E28" s="14">
        <f>[26]Resumen!$E$39</f>
        <v>0</v>
      </c>
      <c r="F28" s="15">
        <f>[26]Resumen!$F$39</f>
        <v>0</v>
      </c>
      <c r="G28" s="17">
        <f>[26]Resumen!$G$39</f>
        <v>0</v>
      </c>
      <c r="H28" s="18">
        <f>[26]Resumen!$H$39</f>
        <v>0</v>
      </c>
      <c r="I28" s="15">
        <f>[26]Resumen!$I$39</f>
        <v>0</v>
      </c>
      <c r="J28" s="16">
        <f>[26]Resumen!$J$39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[27]Resumen!$B$39</f>
        <v>0</v>
      </c>
      <c r="C29" s="15">
        <f>[27]Resumen!$C$39</f>
        <v>0</v>
      </c>
      <c r="D29" s="16">
        <f>[27]Resumen!$D$39</f>
        <v>0</v>
      </c>
      <c r="E29" s="14">
        <f>[27]Resumen!$E$39</f>
        <v>0</v>
      </c>
      <c r="F29" s="15">
        <f>[27]Resumen!$F$39</f>
        <v>0</v>
      </c>
      <c r="G29" s="17">
        <f>[27]Resumen!$G$39</f>
        <v>0</v>
      </c>
      <c r="H29" s="18">
        <f>[27]Resumen!$H$39</f>
        <v>0</v>
      </c>
      <c r="I29" s="15">
        <f>[27]Resumen!$I$39</f>
        <v>0</v>
      </c>
      <c r="J29" s="16">
        <f>[27]Resumen!$J$39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[28]Resumen!$B$39</f>
        <v>0</v>
      </c>
      <c r="C30" s="15">
        <f>[28]Resumen!$C$39</f>
        <v>0</v>
      </c>
      <c r="D30" s="16">
        <f>[28]Resumen!$D$39</f>
        <v>0</v>
      </c>
      <c r="E30" s="14">
        <f>[28]Resumen!$E$39</f>
        <v>0</v>
      </c>
      <c r="F30" s="15">
        <f>[28]Resumen!$F$39</f>
        <v>0</v>
      </c>
      <c r="G30" s="17">
        <f>[28]Resumen!$G$39</f>
        <v>0</v>
      </c>
      <c r="H30" s="18">
        <f>[28]Resumen!$H$39</f>
        <v>0</v>
      </c>
      <c r="I30" s="15">
        <f>[28]Resumen!$I$39</f>
        <v>0</v>
      </c>
      <c r="J30" s="16">
        <f>[28]Resumen!$J$39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[29]Resumen!$B$39</f>
        <v>0</v>
      </c>
      <c r="C31" s="15">
        <f>[29]Resumen!$C$39</f>
        <v>0</v>
      </c>
      <c r="D31" s="16">
        <f>[29]Resumen!$D$39</f>
        <v>0</v>
      </c>
      <c r="E31" s="14">
        <f>[29]Resumen!$E$39</f>
        <v>0</v>
      </c>
      <c r="F31" s="15">
        <f>[29]Resumen!$F$39</f>
        <v>0</v>
      </c>
      <c r="G31" s="17">
        <f>[29]Resumen!$G$39</f>
        <v>0</v>
      </c>
      <c r="H31" s="18">
        <f>[29]Resumen!$H$39</f>
        <v>0</v>
      </c>
      <c r="I31" s="15">
        <f>[29]Resumen!$I$39</f>
        <v>0</v>
      </c>
      <c r="J31" s="16">
        <f>[29]Resumen!$J$39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[30]Resumen!$B$39</f>
        <v>0</v>
      </c>
      <c r="C32" s="15">
        <f>[30]Resumen!$C$39</f>
        <v>0</v>
      </c>
      <c r="D32" s="16">
        <f>[30]Resumen!$D$39</f>
        <v>0</v>
      </c>
      <c r="E32" s="14">
        <f>[30]Resumen!$E$39</f>
        <v>0</v>
      </c>
      <c r="F32" s="15">
        <f>[30]Resumen!$F$39</f>
        <v>0</v>
      </c>
      <c r="G32" s="17">
        <f>[30]Resumen!$G$39</f>
        <v>0</v>
      </c>
      <c r="H32" s="18">
        <f>[30]Resumen!$H$39</f>
        <v>0</v>
      </c>
      <c r="I32" s="15">
        <f>[30]Resumen!$I$39</f>
        <v>0</v>
      </c>
      <c r="J32" s="16">
        <f>[30]Resumen!$J$39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[31]Resumen!$B$39</f>
        <v>0</v>
      </c>
      <c r="C33" s="15">
        <f>[31]Resumen!$C$39</f>
        <v>0</v>
      </c>
      <c r="D33" s="16">
        <f>[31]Resumen!$D$39</f>
        <v>0</v>
      </c>
      <c r="E33" s="14">
        <f>[31]Resumen!$E$39</f>
        <v>0</v>
      </c>
      <c r="F33" s="15">
        <f>[31]Resumen!$F$39</f>
        <v>0</v>
      </c>
      <c r="G33" s="17">
        <f>[31]Resumen!$G$39</f>
        <v>0</v>
      </c>
      <c r="H33" s="18">
        <f>[31]Resumen!$H$39</f>
        <v>0</v>
      </c>
      <c r="I33" s="15">
        <f>[31]Resumen!$I$39</f>
        <v>0</v>
      </c>
      <c r="J33" s="16">
        <f>[31]Resumen!$J$39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[1]Resumen!$B$39</f>
        <v>0</v>
      </c>
      <c r="C34" s="15">
        <f>[1]Resumen!$C$39</f>
        <v>0</v>
      </c>
      <c r="D34" s="16">
        <f>[1]Resumen!$D$39</f>
        <v>0</v>
      </c>
      <c r="E34" s="14">
        <f>[1]Resumen!$E$39</f>
        <v>0</v>
      </c>
      <c r="F34" s="15">
        <f>[1]Resumen!$F$39</f>
        <v>0</v>
      </c>
      <c r="G34" s="17">
        <f>[1]Resumen!$G$39</f>
        <v>0</v>
      </c>
      <c r="H34" s="18">
        <f>[1]Resumen!$H$39</f>
        <v>0</v>
      </c>
      <c r="I34" s="15">
        <f>[1]Resumen!$I$39</f>
        <v>0</v>
      </c>
      <c r="J34" s="16">
        <f>[1]Resumen!$J$39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+[2]Resumen!$B$39</f>
        <v>0</v>
      </c>
      <c r="C35" s="22">
        <f>+[2]Resumen!$C$39</f>
        <v>0</v>
      </c>
      <c r="D35" s="23">
        <f>+[2]Resumen!$D$39</f>
        <v>0</v>
      </c>
      <c r="E35" s="21">
        <f>+[2]Resumen!$E$39</f>
        <v>0</v>
      </c>
      <c r="F35" s="22">
        <f>+[2]Resumen!$F$39</f>
        <v>0</v>
      </c>
      <c r="G35" s="24">
        <f>+[2]Resumen!$G$39</f>
        <v>0</v>
      </c>
      <c r="H35" s="25">
        <f>+[2]Resumen!$H$39</f>
        <v>0</v>
      </c>
      <c r="I35" s="22">
        <f>+[2]Resumen!$I$39</f>
        <v>0</v>
      </c>
      <c r="J35" s="23">
        <f>+[2]Resumen!$J$39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>
      <selection activeCell="J3" sqref="J3"/>
    </sheetView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5703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67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[3]Resumen!$B$40</f>
        <v>0</v>
      </c>
      <c r="C5" s="58">
        <f>[3]Resumen!$C$40</f>
        <v>0</v>
      </c>
      <c r="D5" s="54">
        <f>[3]Resumen!$D$40</f>
        <v>0</v>
      </c>
      <c r="E5" s="53">
        <f>[3]Resumen!$E$40</f>
        <v>0</v>
      </c>
      <c r="F5" s="58">
        <f>[3]Resumen!$F$40</f>
        <v>0</v>
      </c>
      <c r="G5" s="55">
        <f>[3]Resumen!$G$40</f>
        <v>0</v>
      </c>
      <c r="H5" s="61">
        <f>[3]Resumen!$H$40</f>
        <v>0</v>
      </c>
      <c r="I5" s="58">
        <f>[3]Resumen!$I$40</f>
        <v>0</v>
      </c>
      <c r="J5" s="54">
        <f>[3]Resumen!$J$40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[4]Resumen!$B$40</f>
        <v>0</v>
      </c>
      <c r="C6" s="15">
        <f>[4]Resumen!$C$40</f>
        <v>0</v>
      </c>
      <c r="D6" s="16">
        <f>[4]Resumen!$D$40</f>
        <v>0</v>
      </c>
      <c r="E6" s="14">
        <f>[4]Resumen!$E$40</f>
        <v>0</v>
      </c>
      <c r="F6" s="15">
        <f>[4]Resumen!$F$40</f>
        <v>0</v>
      </c>
      <c r="G6" s="17">
        <f>[4]Resumen!$G$40</f>
        <v>0</v>
      </c>
      <c r="H6" s="18">
        <f>[4]Resumen!$H$40</f>
        <v>0</v>
      </c>
      <c r="I6" s="15">
        <f>[4]Resumen!$I$40</f>
        <v>0</v>
      </c>
      <c r="J6" s="16">
        <f>[4]Resumen!$J$40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[5]Resumen!$B$40</f>
        <v>0</v>
      </c>
      <c r="C7" s="15">
        <f>[5]Resumen!$C$40</f>
        <v>0</v>
      </c>
      <c r="D7" s="16">
        <f>[5]Resumen!$D$40</f>
        <v>0</v>
      </c>
      <c r="E7" s="14">
        <f>[5]Resumen!$E$40</f>
        <v>0</v>
      </c>
      <c r="F7" s="15">
        <f>[5]Resumen!$F$40</f>
        <v>0</v>
      </c>
      <c r="G7" s="17">
        <f>[5]Resumen!$G$40</f>
        <v>0</v>
      </c>
      <c r="H7" s="18">
        <f>[5]Resumen!$H$40</f>
        <v>0</v>
      </c>
      <c r="I7" s="15">
        <f>[5]Resumen!$I$40</f>
        <v>0</v>
      </c>
      <c r="J7" s="16">
        <f>[5]Resumen!$J$40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[6]Resumen!$B$40</f>
        <v>0</v>
      </c>
      <c r="C8" s="15">
        <f>[6]Resumen!$C$40</f>
        <v>0</v>
      </c>
      <c r="D8" s="16">
        <f>[6]Resumen!$D$40</f>
        <v>0</v>
      </c>
      <c r="E8" s="14">
        <f>[6]Resumen!$E$40</f>
        <v>0</v>
      </c>
      <c r="F8" s="15">
        <f>[6]Resumen!$F$40</f>
        <v>0</v>
      </c>
      <c r="G8" s="17">
        <f>[6]Resumen!$G$40</f>
        <v>0</v>
      </c>
      <c r="H8" s="18">
        <f>[6]Resumen!$H$40</f>
        <v>0</v>
      </c>
      <c r="I8" s="15">
        <f>[6]Resumen!$I$40</f>
        <v>0</v>
      </c>
      <c r="J8" s="16">
        <f>[6]Resumen!$J$40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[7]Resumen!$B$40</f>
        <v>0</v>
      </c>
      <c r="C9" s="15">
        <f>[7]Resumen!$C$40</f>
        <v>0</v>
      </c>
      <c r="D9" s="16">
        <f>[7]Resumen!$D$40</f>
        <v>0</v>
      </c>
      <c r="E9" s="14">
        <f>[7]Resumen!$E$40</f>
        <v>0</v>
      </c>
      <c r="F9" s="15">
        <f>[7]Resumen!$F$40</f>
        <v>0</v>
      </c>
      <c r="G9" s="17">
        <f>[7]Resumen!$G$40</f>
        <v>0</v>
      </c>
      <c r="H9" s="18">
        <f>[7]Resumen!$H$40</f>
        <v>0</v>
      </c>
      <c r="I9" s="15">
        <f>[7]Resumen!$I$40</f>
        <v>0</v>
      </c>
      <c r="J9" s="16">
        <f>[7]Resumen!$J$40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[8]Resumen!$B$40</f>
        <v>0</v>
      </c>
      <c r="C10" s="15">
        <f>[8]Resumen!$C$40</f>
        <v>0</v>
      </c>
      <c r="D10" s="16">
        <f>[8]Resumen!$D$40</f>
        <v>0</v>
      </c>
      <c r="E10" s="14">
        <f>[8]Resumen!$E$40</f>
        <v>0</v>
      </c>
      <c r="F10" s="15">
        <f>[8]Resumen!$F$40</f>
        <v>0</v>
      </c>
      <c r="G10" s="17">
        <f>[8]Resumen!$G$40</f>
        <v>0</v>
      </c>
      <c r="H10" s="18">
        <f>[8]Resumen!$H$40</f>
        <v>0</v>
      </c>
      <c r="I10" s="15">
        <f>[8]Resumen!$I$40</f>
        <v>0</v>
      </c>
      <c r="J10" s="16">
        <f>[8]Resumen!$J$40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[9]Resumen!$B$40</f>
        <v>0</v>
      </c>
      <c r="C11" s="15">
        <f>[9]Resumen!$C$40</f>
        <v>0</v>
      </c>
      <c r="D11" s="16">
        <f>[9]Resumen!$D$40</f>
        <v>0</v>
      </c>
      <c r="E11" s="14">
        <f>[9]Resumen!$E$40</f>
        <v>0</v>
      </c>
      <c r="F11" s="15">
        <f>[9]Resumen!$F$40</f>
        <v>0</v>
      </c>
      <c r="G11" s="17">
        <f>[9]Resumen!$G$40</f>
        <v>0</v>
      </c>
      <c r="H11" s="18">
        <f>[9]Resumen!$H$40</f>
        <v>0</v>
      </c>
      <c r="I11" s="15">
        <f>[9]Resumen!$I$40</f>
        <v>0</v>
      </c>
      <c r="J11" s="16">
        <f>[9]Resumen!$J$40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[10]Resumen!$B$40</f>
        <v>0</v>
      </c>
      <c r="C12" s="15">
        <f>[10]Resumen!$C$40</f>
        <v>0</v>
      </c>
      <c r="D12" s="16">
        <f>[10]Resumen!$D$40</f>
        <v>0</v>
      </c>
      <c r="E12" s="14">
        <f>[10]Resumen!$E$40</f>
        <v>0</v>
      </c>
      <c r="F12" s="15">
        <f>[10]Resumen!$F$40</f>
        <v>0</v>
      </c>
      <c r="G12" s="17">
        <f>[10]Resumen!$G$40</f>
        <v>0</v>
      </c>
      <c r="H12" s="18">
        <f>[10]Resumen!$H$40</f>
        <v>0</v>
      </c>
      <c r="I12" s="15">
        <f>[10]Resumen!$I$40</f>
        <v>0</v>
      </c>
      <c r="J12" s="16">
        <f>[10]Resumen!$J$40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[11]Resumen!$B$40</f>
        <v>0</v>
      </c>
      <c r="C13" s="15">
        <f>[11]Resumen!$C$40</f>
        <v>0</v>
      </c>
      <c r="D13" s="16">
        <f>[11]Resumen!$D$40</f>
        <v>0</v>
      </c>
      <c r="E13" s="14">
        <f>[11]Resumen!$E$40</f>
        <v>0</v>
      </c>
      <c r="F13" s="15">
        <f>[11]Resumen!$F$40</f>
        <v>0</v>
      </c>
      <c r="G13" s="17">
        <f>[11]Resumen!$G$40</f>
        <v>0</v>
      </c>
      <c r="H13" s="18">
        <f>[11]Resumen!$H$40</f>
        <v>0</v>
      </c>
      <c r="I13" s="15">
        <f>[11]Resumen!$I$40</f>
        <v>0</v>
      </c>
      <c r="J13" s="16">
        <f>[11]Resumen!$J$40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[12]Resumen!$B$40</f>
        <v>0</v>
      </c>
      <c r="C14" s="15">
        <f>[12]Resumen!$C$40</f>
        <v>0</v>
      </c>
      <c r="D14" s="16">
        <f>[12]Resumen!$D$40</f>
        <v>0</v>
      </c>
      <c r="E14" s="14">
        <f>[12]Resumen!$E$40</f>
        <v>0</v>
      </c>
      <c r="F14" s="15">
        <f>[12]Resumen!$F$40</f>
        <v>0</v>
      </c>
      <c r="G14" s="17">
        <f>[12]Resumen!$G$40</f>
        <v>0</v>
      </c>
      <c r="H14" s="18">
        <f>[12]Resumen!$H$40</f>
        <v>0</v>
      </c>
      <c r="I14" s="15">
        <f>[12]Resumen!$I$40</f>
        <v>0</v>
      </c>
      <c r="J14" s="16">
        <f>[12]Resumen!$J$40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[13]Resumen!$B$40</f>
        <v>0</v>
      </c>
      <c r="C15" s="15">
        <f>[13]Resumen!$C$40</f>
        <v>0</v>
      </c>
      <c r="D15" s="16">
        <f>[13]Resumen!$D$40</f>
        <v>0</v>
      </c>
      <c r="E15" s="14">
        <f>[13]Resumen!$E$40</f>
        <v>0</v>
      </c>
      <c r="F15" s="15">
        <f>[13]Resumen!$F$40</f>
        <v>0</v>
      </c>
      <c r="G15" s="17">
        <f>[13]Resumen!$G$40</f>
        <v>0</v>
      </c>
      <c r="H15" s="18">
        <f>[13]Resumen!$H$40</f>
        <v>0</v>
      </c>
      <c r="I15" s="15">
        <f>[13]Resumen!$I$40</f>
        <v>0</v>
      </c>
      <c r="J15" s="16">
        <f>[13]Resumen!$J$40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[14]Resumen!$B$40</f>
        <v>0</v>
      </c>
      <c r="C16" s="15">
        <f>[14]Resumen!$C$40</f>
        <v>0</v>
      </c>
      <c r="D16" s="16">
        <f>[14]Resumen!$D$40</f>
        <v>0</v>
      </c>
      <c r="E16" s="14">
        <f>[14]Resumen!$E$40</f>
        <v>0</v>
      </c>
      <c r="F16" s="15">
        <f>[14]Resumen!$F$40</f>
        <v>0</v>
      </c>
      <c r="G16" s="17">
        <f>[14]Resumen!$G$40</f>
        <v>0</v>
      </c>
      <c r="H16" s="18">
        <f>[14]Resumen!$H$40</f>
        <v>0</v>
      </c>
      <c r="I16" s="15">
        <f>[14]Resumen!$I$40</f>
        <v>0</v>
      </c>
      <c r="J16" s="16">
        <f>[14]Resumen!$J$40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[15]Resumen!$B$40</f>
        <v>0</v>
      </c>
      <c r="C17" s="15">
        <f>[15]Resumen!$C$40</f>
        <v>0</v>
      </c>
      <c r="D17" s="16">
        <f>[15]Resumen!$D$40</f>
        <v>0</v>
      </c>
      <c r="E17" s="14">
        <f>[15]Resumen!$E$40</f>
        <v>0</v>
      </c>
      <c r="F17" s="15">
        <f>[15]Resumen!$F$40</f>
        <v>0</v>
      </c>
      <c r="G17" s="17">
        <f>[15]Resumen!$G$40</f>
        <v>0</v>
      </c>
      <c r="H17" s="18">
        <f>[15]Resumen!$H$40</f>
        <v>0</v>
      </c>
      <c r="I17" s="15">
        <f>[15]Resumen!$I$40</f>
        <v>0</v>
      </c>
      <c r="J17" s="16">
        <f>[15]Resumen!$J$40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[16]Resumen!$B$40</f>
        <v>0</v>
      </c>
      <c r="C18" s="15">
        <f>[16]Resumen!$C$40</f>
        <v>0</v>
      </c>
      <c r="D18" s="16">
        <f>[16]Resumen!$D$40</f>
        <v>0</v>
      </c>
      <c r="E18" s="14">
        <f>[16]Resumen!$E$40</f>
        <v>0</v>
      </c>
      <c r="F18" s="15">
        <f>[16]Resumen!$F$40</f>
        <v>0</v>
      </c>
      <c r="G18" s="17">
        <f>[16]Resumen!$G$40</f>
        <v>0</v>
      </c>
      <c r="H18" s="18">
        <f>[16]Resumen!$H$40</f>
        <v>0</v>
      </c>
      <c r="I18" s="15">
        <f>[16]Resumen!$I$40</f>
        <v>0</v>
      </c>
      <c r="J18" s="16">
        <f>[16]Resumen!$J$40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[17]Resumen!$B$40</f>
        <v>0</v>
      </c>
      <c r="C19" s="15">
        <f>[17]Resumen!$C$40</f>
        <v>0</v>
      </c>
      <c r="D19" s="16">
        <f>[17]Resumen!$D$40</f>
        <v>0</v>
      </c>
      <c r="E19" s="14">
        <f>[17]Resumen!$E$40</f>
        <v>0</v>
      </c>
      <c r="F19" s="15">
        <f>[17]Resumen!$F$40</f>
        <v>0</v>
      </c>
      <c r="G19" s="17">
        <f>[17]Resumen!$G$40</f>
        <v>0</v>
      </c>
      <c r="H19" s="18">
        <f>[17]Resumen!$H$40</f>
        <v>0</v>
      </c>
      <c r="I19" s="15">
        <f>[17]Resumen!$I$40</f>
        <v>0</v>
      </c>
      <c r="J19" s="16">
        <f>[17]Resumen!$J$40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[18]Resumen!$B$40</f>
        <v>0</v>
      </c>
      <c r="C20" s="15">
        <f>[18]Resumen!$C$40</f>
        <v>0</v>
      </c>
      <c r="D20" s="16">
        <f>[18]Resumen!$D$40</f>
        <v>0</v>
      </c>
      <c r="E20" s="14">
        <f>[18]Resumen!$E$40</f>
        <v>0</v>
      </c>
      <c r="F20" s="15">
        <f>[18]Resumen!$F$40</f>
        <v>0</v>
      </c>
      <c r="G20" s="17">
        <f>[18]Resumen!$G$40</f>
        <v>0</v>
      </c>
      <c r="H20" s="18">
        <f>[18]Resumen!$H$40</f>
        <v>0</v>
      </c>
      <c r="I20" s="15">
        <f>[18]Resumen!$I$40</f>
        <v>0</v>
      </c>
      <c r="J20" s="16">
        <f>[18]Resumen!$J$40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[19]Resumen!$B$40</f>
        <v>0</v>
      </c>
      <c r="C21" s="15">
        <f>[19]Resumen!$C$40</f>
        <v>0</v>
      </c>
      <c r="D21" s="16">
        <f>[19]Resumen!$D$40</f>
        <v>0</v>
      </c>
      <c r="E21" s="14">
        <f>[19]Resumen!$E$40</f>
        <v>0</v>
      </c>
      <c r="F21" s="15">
        <f>[19]Resumen!$F$40</f>
        <v>0</v>
      </c>
      <c r="G21" s="17">
        <f>[19]Resumen!$G$40</f>
        <v>0</v>
      </c>
      <c r="H21" s="18">
        <f>[19]Resumen!$H$40</f>
        <v>0</v>
      </c>
      <c r="I21" s="15">
        <f>[19]Resumen!$I$40</f>
        <v>0</v>
      </c>
      <c r="J21" s="16">
        <f>[19]Resumen!$J$40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[20]Resumen!$B$40</f>
        <v>0</v>
      </c>
      <c r="C22" s="15">
        <f>[20]Resumen!$C$40</f>
        <v>0</v>
      </c>
      <c r="D22" s="16">
        <f>[20]Resumen!$D$40</f>
        <v>0</v>
      </c>
      <c r="E22" s="14">
        <f>[20]Resumen!$E$40</f>
        <v>0</v>
      </c>
      <c r="F22" s="15">
        <f>[20]Resumen!$F$40</f>
        <v>0</v>
      </c>
      <c r="G22" s="17">
        <f>[20]Resumen!$G$40</f>
        <v>0</v>
      </c>
      <c r="H22" s="18">
        <f>[20]Resumen!$H$40</f>
        <v>0</v>
      </c>
      <c r="I22" s="15">
        <f>[20]Resumen!$I$40</f>
        <v>0</v>
      </c>
      <c r="J22" s="16">
        <f>[20]Resumen!$J$40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[21]Resumen!$B$40</f>
        <v>0</v>
      </c>
      <c r="C23" s="15">
        <f>[21]Resumen!$C$40</f>
        <v>0</v>
      </c>
      <c r="D23" s="16">
        <f>[21]Resumen!$D$40</f>
        <v>0</v>
      </c>
      <c r="E23" s="14">
        <f>[21]Resumen!$E$40</f>
        <v>0</v>
      </c>
      <c r="F23" s="15">
        <f>[21]Resumen!$F$40</f>
        <v>0</v>
      </c>
      <c r="G23" s="17">
        <f>[21]Resumen!$G$40</f>
        <v>0</v>
      </c>
      <c r="H23" s="18">
        <f>[21]Resumen!$H$40</f>
        <v>0</v>
      </c>
      <c r="I23" s="15">
        <f>[21]Resumen!$I$40</f>
        <v>0</v>
      </c>
      <c r="J23" s="16">
        <f>[21]Resumen!$J$40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[22]Resumen!$B$40</f>
        <v>0</v>
      </c>
      <c r="C24" s="15">
        <f>[22]Resumen!$C$40</f>
        <v>0</v>
      </c>
      <c r="D24" s="16">
        <f>[22]Resumen!$D$40</f>
        <v>0</v>
      </c>
      <c r="E24" s="14">
        <f>[22]Resumen!$E$40</f>
        <v>0</v>
      </c>
      <c r="F24" s="15">
        <f>[22]Resumen!$F$40</f>
        <v>0</v>
      </c>
      <c r="G24" s="17">
        <f>[22]Resumen!$G$40</f>
        <v>0</v>
      </c>
      <c r="H24" s="18">
        <f>[22]Resumen!$H$40</f>
        <v>0</v>
      </c>
      <c r="I24" s="15">
        <f>[22]Resumen!$I$40</f>
        <v>0</v>
      </c>
      <c r="J24" s="16">
        <f>[22]Resumen!$J$40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[23]Resumen!$B$40</f>
        <v>0</v>
      </c>
      <c r="C25" s="15">
        <f>[23]Resumen!$C$40</f>
        <v>0</v>
      </c>
      <c r="D25" s="16">
        <f>[23]Resumen!$D$40</f>
        <v>0</v>
      </c>
      <c r="E25" s="14">
        <f>[23]Resumen!$E$40</f>
        <v>0</v>
      </c>
      <c r="F25" s="15">
        <f>[23]Resumen!$F$40</f>
        <v>0</v>
      </c>
      <c r="G25" s="17">
        <f>[23]Resumen!$G$40</f>
        <v>0</v>
      </c>
      <c r="H25" s="18">
        <f>[23]Resumen!$H$40</f>
        <v>0</v>
      </c>
      <c r="I25" s="15">
        <f>[23]Resumen!$I$40</f>
        <v>0</v>
      </c>
      <c r="J25" s="16">
        <f>[23]Resumen!$J$40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[24]Resumen!$B$40</f>
        <v>0</v>
      </c>
      <c r="C26" s="15">
        <f>[24]Resumen!$C$40</f>
        <v>0</v>
      </c>
      <c r="D26" s="16">
        <f>[24]Resumen!$D$40</f>
        <v>0</v>
      </c>
      <c r="E26" s="14">
        <f>[24]Resumen!$E$40</f>
        <v>0</v>
      </c>
      <c r="F26" s="15">
        <f>[24]Resumen!$F$40</f>
        <v>0</v>
      </c>
      <c r="G26" s="17">
        <f>[24]Resumen!$G$40</f>
        <v>0</v>
      </c>
      <c r="H26" s="18">
        <f>[24]Resumen!$H$40</f>
        <v>0</v>
      </c>
      <c r="I26" s="15">
        <f>[24]Resumen!$I$40</f>
        <v>0</v>
      </c>
      <c r="J26" s="16">
        <f>[24]Resumen!$J$40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[25]Resumen!$B$40</f>
        <v>0</v>
      </c>
      <c r="C27" s="15">
        <f>[25]Resumen!$C$40</f>
        <v>0</v>
      </c>
      <c r="D27" s="16">
        <f>[25]Resumen!$D$40</f>
        <v>0</v>
      </c>
      <c r="E27" s="14">
        <f>[25]Resumen!$E$40</f>
        <v>0</v>
      </c>
      <c r="F27" s="15">
        <f>[25]Resumen!$F$40</f>
        <v>0</v>
      </c>
      <c r="G27" s="17">
        <f>[25]Resumen!$G$40</f>
        <v>0</v>
      </c>
      <c r="H27" s="18">
        <f>[25]Resumen!$H$40</f>
        <v>0</v>
      </c>
      <c r="I27" s="15">
        <f>[25]Resumen!$I$40</f>
        <v>0</v>
      </c>
      <c r="J27" s="16">
        <f>[25]Resumen!$J$40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[26]Resumen!$B$40</f>
        <v>0</v>
      </c>
      <c r="C28" s="15">
        <f>[26]Resumen!$C$40</f>
        <v>0</v>
      </c>
      <c r="D28" s="16">
        <f>[26]Resumen!$D$40</f>
        <v>0</v>
      </c>
      <c r="E28" s="14">
        <f>[26]Resumen!$E$40</f>
        <v>0</v>
      </c>
      <c r="F28" s="15">
        <f>[26]Resumen!$F$40</f>
        <v>0</v>
      </c>
      <c r="G28" s="17">
        <f>[26]Resumen!$G$40</f>
        <v>0</v>
      </c>
      <c r="H28" s="18">
        <f>[26]Resumen!$H$40</f>
        <v>0</v>
      </c>
      <c r="I28" s="15">
        <f>[26]Resumen!$I$40</f>
        <v>0</v>
      </c>
      <c r="J28" s="16">
        <f>[26]Resumen!$J$40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[27]Resumen!$B$40</f>
        <v>0</v>
      </c>
      <c r="C29" s="15">
        <f>[27]Resumen!$C$40</f>
        <v>0</v>
      </c>
      <c r="D29" s="16">
        <f>[27]Resumen!$D$40</f>
        <v>0</v>
      </c>
      <c r="E29" s="14">
        <f>[27]Resumen!$E$40</f>
        <v>0</v>
      </c>
      <c r="F29" s="15">
        <f>[27]Resumen!$F$40</f>
        <v>0</v>
      </c>
      <c r="G29" s="17">
        <f>[27]Resumen!$G$40</f>
        <v>0</v>
      </c>
      <c r="H29" s="18">
        <f>[27]Resumen!$H$40</f>
        <v>0</v>
      </c>
      <c r="I29" s="15">
        <f>[27]Resumen!$I$40</f>
        <v>0</v>
      </c>
      <c r="J29" s="16">
        <f>[27]Resumen!$J$40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[28]Resumen!$B$40</f>
        <v>0</v>
      </c>
      <c r="C30" s="15">
        <f>[28]Resumen!$C$40</f>
        <v>0</v>
      </c>
      <c r="D30" s="16">
        <f>[28]Resumen!$D$40</f>
        <v>0</v>
      </c>
      <c r="E30" s="14">
        <f>[28]Resumen!$E$40</f>
        <v>0</v>
      </c>
      <c r="F30" s="15">
        <f>[28]Resumen!$F$40</f>
        <v>0</v>
      </c>
      <c r="G30" s="17">
        <f>[28]Resumen!$G$40</f>
        <v>0</v>
      </c>
      <c r="H30" s="18">
        <f>[28]Resumen!$H$40</f>
        <v>0</v>
      </c>
      <c r="I30" s="15">
        <f>[28]Resumen!$I$40</f>
        <v>0</v>
      </c>
      <c r="J30" s="16">
        <f>[28]Resumen!$J$40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[29]Resumen!$B$40</f>
        <v>0</v>
      </c>
      <c r="C31" s="15">
        <f>[29]Resumen!$C$40</f>
        <v>0</v>
      </c>
      <c r="D31" s="16">
        <f>[29]Resumen!$D$40</f>
        <v>0</v>
      </c>
      <c r="E31" s="14">
        <f>[29]Resumen!$E$40</f>
        <v>0</v>
      </c>
      <c r="F31" s="15">
        <f>[29]Resumen!$F$40</f>
        <v>0</v>
      </c>
      <c r="G31" s="17">
        <f>[29]Resumen!$G$40</f>
        <v>0</v>
      </c>
      <c r="H31" s="18">
        <f>[29]Resumen!$H$40</f>
        <v>0</v>
      </c>
      <c r="I31" s="15">
        <f>[29]Resumen!$I$40</f>
        <v>0</v>
      </c>
      <c r="J31" s="16">
        <f>[29]Resumen!$J$40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[30]Resumen!$B$40</f>
        <v>0</v>
      </c>
      <c r="C32" s="15">
        <f>[30]Resumen!$C$40</f>
        <v>0</v>
      </c>
      <c r="D32" s="16">
        <f>[30]Resumen!$D$40</f>
        <v>0</v>
      </c>
      <c r="E32" s="14">
        <f>[30]Resumen!$E$40</f>
        <v>0</v>
      </c>
      <c r="F32" s="15">
        <f>[30]Resumen!$F$40</f>
        <v>0</v>
      </c>
      <c r="G32" s="17">
        <f>[30]Resumen!$G$40</f>
        <v>0</v>
      </c>
      <c r="H32" s="18">
        <f>[30]Resumen!$H$40</f>
        <v>0</v>
      </c>
      <c r="I32" s="15">
        <f>[30]Resumen!$I$40</f>
        <v>0</v>
      </c>
      <c r="J32" s="16">
        <f>[30]Resumen!$J$40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[31]Resumen!$B$40</f>
        <v>0</v>
      </c>
      <c r="C33" s="15">
        <f>[31]Resumen!$C$40</f>
        <v>0</v>
      </c>
      <c r="D33" s="16">
        <f>[31]Resumen!$D$40</f>
        <v>0</v>
      </c>
      <c r="E33" s="14">
        <f>[31]Resumen!$E$40</f>
        <v>0</v>
      </c>
      <c r="F33" s="15">
        <f>[31]Resumen!$F$40</f>
        <v>0</v>
      </c>
      <c r="G33" s="17">
        <f>[31]Resumen!$G$40</f>
        <v>0</v>
      </c>
      <c r="H33" s="18">
        <f>[31]Resumen!$H$40</f>
        <v>0</v>
      </c>
      <c r="I33" s="15">
        <f>[31]Resumen!$I$40</f>
        <v>0</v>
      </c>
      <c r="J33" s="16">
        <f>[31]Resumen!$J$40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[1]Resumen!$B$40</f>
        <v>0</v>
      </c>
      <c r="C34" s="15">
        <f>[1]Resumen!$C$40</f>
        <v>0</v>
      </c>
      <c r="D34" s="16">
        <f>[1]Resumen!$D$40</f>
        <v>0</v>
      </c>
      <c r="E34" s="14">
        <f>[1]Resumen!$E$40</f>
        <v>0</v>
      </c>
      <c r="F34" s="15">
        <f>[1]Resumen!$F$40</f>
        <v>0</v>
      </c>
      <c r="G34" s="17">
        <f>[1]Resumen!$G$40</f>
        <v>0</v>
      </c>
      <c r="H34" s="18">
        <f>[1]Resumen!$H$40</f>
        <v>0</v>
      </c>
      <c r="I34" s="15">
        <f>[1]Resumen!$I$40</f>
        <v>0</v>
      </c>
      <c r="J34" s="16">
        <f>[1]Resumen!$J$40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+[2]Resumen!$B$40</f>
        <v>0</v>
      </c>
      <c r="C35" s="22">
        <f>+[2]Resumen!$C$40</f>
        <v>0</v>
      </c>
      <c r="D35" s="23">
        <f>+[2]Resumen!$D$40</f>
        <v>0</v>
      </c>
      <c r="E35" s="21">
        <f>+[2]Resumen!$E$40</f>
        <v>0</v>
      </c>
      <c r="F35" s="22">
        <f>+[2]Resumen!$F$40</f>
        <v>0</v>
      </c>
      <c r="G35" s="24">
        <f>+[2]Resumen!$G$40</f>
        <v>0</v>
      </c>
      <c r="H35" s="25">
        <f>+[2]Resumen!$H$40</f>
        <v>0</v>
      </c>
      <c r="I35" s="22">
        <f>+[2]Resumen!$I$40</f>
        <v>0</v>
      </c>
      <c r="J35" s="23">
        <f>+[2]Resumen!$J$40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3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59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[3]Resumen!$B$41</f>
        <v>0</v>
      </c>
      <c r="C5" s="58">
        <f>[3]Resumen!$C$41</f>
        <v>0</v>
      </c>
      <c r="D5" s="54">
        <f>[3]Resumen!$D$41</f>
        <v>0</v>
      </c>
      <c r="E5" s="53">
        <f>[3]Resumen!$E$41</f>
        <v>0</v>
      </c>
      <c r="F5" s="58">
        <f>[3]Resumen!$F$41</f>
        <v>0</v>
      </c>
      <c r="G5" s="55">
        <f>[3]Resumen!$G$41</f>
        <v>0</v>
      </c>
      <c r="H5" s="61">
        <f>[3]Resumen!$H$41</f>
        <v>0</v>
      </c>
      <c r="I5" s="58">
        <f>[3]Resumen!$I$41</f>
        <v>0</v>
      </c>
      <c r="J5" s="54">
        <f>[3]Resumen!$J$41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[4]Resumen!$B$41</f>
        <v>0</v>
      </c>
      <c r="C6" s="15">
        <f>[4]Resumen!$C$41</f>
        <v>0</v>
      </c>
      <c r="D6" s="16">
        <f>[4]Resumen!$D$41</f>
        <v>0</v>
      </c>
      <c r="E6" s="14">
        <f>[4]Resumen!$E$41</f>
        <v>0</v>
      </c>
      <c r="F6" s="15">
        <f>[4]Resumen!$F$41</f>
        <v>0</v>
      </c>
      <c r="G6" s="17">
        <f>[4]Resumen!$G$41</f>
        <v>0</v>
      </c>
      <c r="H6" s="18">
        <f>[4]Resumen!$H$41</f>
        <v>0</v>
      </c>
      <c r="I6" s="15">
        <f>[4]Resumen!$I$41</f>
        <v>0</v>
      </c>
      <c r="J6" s="16">
        <f>[4]Resumen!$J$41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[5]Resumen!$B$41</f>
        <v>0</v>
      </c>
      <c r="C7" s="15">
        <f>[5]Resumen!$C$41</f>
        <v>0</v>
      </c>
      <c r="D7" s="16">
        <f>[5]Resumen!$D$41</f>
        <v>0</v>
      </c>
      <c r="E7" s="14">
        <f>[5]Resumen!$E$41</f>
        <v>0</v>
      </c>
      <c r="F7" s="15">
        <f>[5]Resumen!$F$41</f>
        <v>0</v>
      </c>
      <c r="G7" s="17">
        <f>[5]Resumen!$G$41</f>
        <v>0</v>
      </c>
      <c r="H7" s="18">
        <f>[5]Resumen!$H$41</f>
        <v>0</v>
      </c>
      <c r="I7" s="15">
        <f>[5]Resumen!$I$41</f>
        <v>0</v>
      </c>
      <c r="J7" s="16">
        <f>[5]Resumen!$J$41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[6]Resumen!$B$41</f>
        <v>0</v>
      </c>
      <c r="C8" s="15">
        <f>[6]Resumen!$C$41</f>
        <v>0</v>
      </c>
      <c r="D8" s="16">
        <f>[6]Resumen!$D$41</f>
        <v>0</v>
      </c>
      <c r="E8" s="14">
        <f>[6]Resumen!$E$41</f>
        <v>0</v>
      </c>
      <c r="F8" s="15">
        <f>[6]Resumen!$F$41</f>
        <v>0</v>
      </c>
      <c r="G8" s="17">
        <f>[6]Resumen!$G$41</f>
        <v>0</v>
      </c>
      <c r="H8" s="18">
        <f>[6]Resumen!$H$41</f>
        <v>0</v>
      </c>
      <c r="I8" s="15">
        <f>[6]Resumen!$I$41</f>
        <v>0</v>
      </c>
      <c r="J8" s="16">
        <f>[6]Resumen!$J$41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[7]Resumen!$B$41</f>
        <v>0</v>
      </c>
      <c r="C9" s="15">
        <f>[7]Resumen!$C$41</f>
        <v>0</v>
      </c>
      <c r="D9" s="16">
        <f>[7]Resumen!$D$41</f>
        <v>0</v>
      </c>
      <c r="E9" s="14">
        <f>[7]Resumen!$E$41</f>
        <v>0</v>
      </c>
      <c r="F9" s="15">
        <f>[7]Resumen!$F$41</f>
        <v>0</v>
      </c>
      <c r="G9" s="17">
        <f>[7]Resumen!$G$41</f>
        <v>0</v>
      </c>
      <c r="H9" s="18">
        <f>[7]Resumen!$H$41</f>
        <v>0</v>
      </c>
      <c r="I9" s="15">
        <f>[7]Resumen!$I$41</f>
        <v>0</v>
      </c>
      <c r="J9" s="16">
        <f>[7]Resumen!$J$41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[8]Resumen!$B$41</f>
        <v>0</v>
      </c>
      <c r="C10" s="15">
        <f>[8]Resumen!$C$41</f>
        <v>0</v>
      </c>
      <c r="D10" s="16">
        <f>[8]Resumen!$D$41</f>
        <v>0</v>
      </c>
      <c r="E10" s="14">
        <f>[8]Resumen!$E$41</f>
        <v>0</v>
      </c>
      <c r="F10" s="15">
        <f>[8]Resumen!$F$41</f>
        <v>0</v>
      </c>
      <c r="G10" s="17">
        <f>[8]Resumen!$G$41</f>
        <v>0</v>
      </c>
      <c r="H10" s="18">
        <f>[8]Resumen!$H$41</f>
        <v>0</v>
      </c>
      <c r="I10" s="15">
        <f>[8]Resumen!$I$41</f>
        <v>0</v>
      </c>
      <c r="J10" s="16">
        <f>[8]Resumen!$J$41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[9]Resumen!$B$41</f>
        <v>0</v>
      </c>
      <c r="C11" s="15">
        <f>[9]Resumen!$C$41</f>
        <v>0</v>
      </c>
      <c r="D11" s="16">
        <f>[9]Resumen!$D$41</f>
        <v>0</v>
      </c>
      <c r="E11" s="14">
        <f>[9]Resumen!$E$41</f>
        <v>0</v>
      </c>
      <c r="F11" s="15">
        <f>[9]Resumen!$F$41</f>
        <v>0</v>
      </c>
      <c r="G11" s="17">
        <f>[9]Resumen!$G$41</f>
        <v>0</v>
      </c>
      <c r="H11" s="18">
        <f>[9]Resumen!$H$41</f>
        <v>0</v>
      </c>
      <c r="I11" s="15">
        <f>[9]Resumen!$I$41</f>
        <v>0</v>
      </c>
      <c r="J11" s="16">
        <f>[9]Resumen!$J$41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[10]Resumen!$B$41</f>
        <v>0</v>
      </c>
      <c r="C12" s="15">
        <f>[10]Resumen!$C$41</f>
        <v>0</v>
      </c>
      <c r="D12" s="16">
        <f>[10]Resumen!$D$41</f>
        <v>0</v>
      </c>
      <c r="E12" s="14">
        <f>[10]Resumen!$E$41</f>
        <v>0</v>
      </c>
      <c r="F12" s="15">
        <f>[10]Resumen!$F$41</f>
        <v>0</v>
      </c>
      <c r="G12" s="17">
        <f>[10]Resumen!$G$41</f>
        <v>0</v>
      </c>
      <c r="H12" s="18">
        <f>[10]Resumen!$H$41</f>
        <v>0</v>
      </c>
      <c r="I12" s="15">
        <f>[10]Resumen!$I$41</f>
        <v>0</v>
      </c>
      <c r="J12" s="16">
        <f>[10]Resumen!$J$41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[11]Resumen!$B$41</f>
        <v>0</v>
      </c>
      <c r="C13" s="15">
        <f>[11]Resumen!$C$41</f>
        <v>0</v>
      </c>
      <c r="D13" s="16">
        <f>[11]Resumen!$D$41</f>
        <v>0</v>
      </c>
      <c r="E13" s="14">
        <f>[11]Resumen!$E$41</f>
        <v>0</v>
      </c>
      <c r="F13" s="15">
        <f>[11]Resumen!$F$41</f>
        <v>0</v>
      </c>
      <c r="G13" s="17">
        <f>[11]Resumen!$G$41</f>
        <v>0</v>
      </c>
      <c r="H13" s="18">
        <f>[11]Resumen!$H$41</f>
        <v>0</v>
      </c>
      <c r="I13" s="15">
        <f>[11]Resumen!$I$41</f>
        <v>0</v>
      </c>
      <c r="J13" s="16">
        <f>[11]Resumen!$J$41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[12]Resumen!$B$41</f>
        <v>0</v>
      </c>
      <c r="C14" s="15">
        <f>[12]Resumen!$C$41</f>
        <v>0</v>
      </c>
      <c r="D14" s="16">
        <f>[12]Resumen!$D$41</f>
        <v>0</v>
      </c>
      <c r="E14" s="14">
        <f>[12]Resumen!$E$41</f>
        <v>0</v>
      </c>
      <c r="F14" s="15">
        <f>[12]Resumen!$F$41</f>
        <v>0</v>
      </c>
      <c r="G14" s="17">
        <f>[12]Resumen!$G$41</f>
        <v>0</v>
      </c>
      <c r="H14" s="18">
        <f>[12]Resumen!$H$41</f>
        <v>0</v>
      </c>
      <c r="I14" s="15">
        <f>[12]Resumen!$I$41</f>
        <v>0</v>
      </c>
      <c r="J14" s="16">
        <f>[12]Resumen!$J$41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[13]Resumen!$B$41</f>
        <v>0</v>
      </c>
      <c r="C15" s="15">
        <f>[13]Resumen!$C$41</f>
        <v>0</v>
      </c>
      <c r="D15" s="16">
        <f>[13]Resumen!$D$41</f>
        <v>0</v>
      </c>
      <c r="E15" s="14">
        <f>[13]Resumen!$E$41</f>
        <v>0</v>
      </c>
      <c r="F15" s="15">
        <f>[13]Resumen!$F$41</f>
        <v>0</v>
      </c>
      <c r="G15" s="17">
        <f>[13]Resumen!$G$41</f>
        <v>0</v>
      </c>
      <c r="H15" s="18">
        <f>[13]Resumen!$H$41</f>
        <v>0</v>
      </c>
      <c r="I15" s="15">
        <f>[13]Resumen!$I$41</f>
        <v>0</v>
      </c>
      <c r="J15" s="16">
        <f>[13]Resumen!$J$41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[14]Resumen!$B$41</f>
        <v>0</v>
      </c>
      <c r="C16" s="15">
        <f>[14]Resumen!$C$41</f>
        <v>0</v>
      </c>
      <c r="D16" s="16">
        <f>[14]Resumen!$D$41</f>
        <v>0</v>
      </c>
      <c r="E16" s="14">
        <f>[14]Resumen!$E$41</f>
        <v>0</v>
      </c>
      <c r="F16" s="15">
        <f>[14]Resumen!$F$41</f>
        <v>0</v>
      </c>
      <c r="G16" s="17">
        <f>[14]Resumen!$G$41</f>
        <v>0</v>
      </c>
      <c r="H16" s="18">
        <f>[14]Resumen!$H$41</f>
        <v>0</v>
      </c>
      <c r="I16" s="15">
        <f>[14]Resumen!$I$41</f>
        <v>0</v>
      </c>
      <c r="J16" s="16">
        <f>[14]Resumen!$J$41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[15]Resumen!$B$41</f>
        <v>0</v>
      </c>
      <c r="C17" s="15">
        <f>[15]Resumen!$C$41</f>
        <v>0</v>
      </c>
      <c r="D17" s="16">
        <f>[15]Resumen!$D$41</f>
        <v>0</v>
      </c>
      <c r="E17" s="14">
        <f>[15]Resumen!$E$41</f>
        <v>0</v>
      </c>
      <c r="F17" s="15">
        <f>[15]Resumen!$F$41</f>
        <v>0</v>
      </c>
      <c r="G17" s="17">
        <f>[15]Resumen!$G$41</f>
        <v>0</v>
      </c>
      <c r="H17" s="18">
        <f>[15]Resumen!$H$41</f>
        <v>0</v>
      </c>
      <c r="I17" s="15">
        <f>[15]Resumen!$I$41</f>
        <v>0</v>
      </c>
      <c r="J17" s="16">
        <f>[15]Resumen!$J$41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[16]Resumen!$B$41</f>
        <v>0</v>
      </c>
      <c r="C18" s="15">
        <f>[16]Resumen!$C$41</f>
        <v>0</v>
      </c>
      <c r="D18" s="16">
        <f>[16]Resumen!$D$41</f>
        <v>0</v>
      </c>
      <c r="E18" s="14">
        <f>[16]Resumen!$E$41</f>
        <v>0</v>
      </c>
      <c r="F18" s="15">
        <f>[16]Resumen!$F$41</f>
        <v>0</v>
      </c>
      <c r="G18" s="17">
        <f>[16]Resumen!$G$41</f>
        <v>0</v>
      </c>
      <c r="H18" s="18">
        <f>[16]Resumen!$H$41</f>
        <v>0</v>
      </c>
      <c r="I18" s="15">
        <f>[16]Resumen!$I$41</f>
        <v>0</v>
      </c>
      <c r="J18" s="16">
        <f>[16]Resumen!$J$41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[17]Resumen!$B$41</f>
        <v>0</v>
      </c>
      <c r="C19" s="15">
        <f>[17]Resumen!$C$41</f>
        <v>0</v>
      </c>
      <c r="D19" s="16">
        <f>[17]Resumen!$D$41</f>
        <v>0</v>
      </c>
      <c r="E19" s="14">
        <f>[17]Resumen!$E$41</f>
        <v>0</v>
      </c>
      <c r="F19" s="15">
        <f>[17]Resumen!$F$41</f>
        <v>0</v>
      </c>
      <c r="G19" s="17">
        <f>[17]Resumen!$G$41</f>
        <v>0</v>
      </c>
      <c r="H19" s="18">
        <f>[17]Resumen!$H$41</f>
        <v>0</v>
      </c>
      <c r="I19" s="15">
        <f>[17]Resumen!$I$41</f>
        <v>0</v>
      </c>
      <c r="J19" s="16">
        <f>[17]Resumen!$J$41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[18]Resumen!$B$41</f>
        <v>0</v>
      </c>
      <c r="C20" s="15">
        <f>[18]Resumen!$C$41</f>
        <v>0</v>
      </c>
      <c r="D20" s="16">
        <f>[18]Resumen!$D$41</f>
        <v>0</v>
      </c>
      <c r="E20" s="14">
        <f>[18]Resumen!$E$41</f>
        <v>0</v>
      </c>
      <c r="F20" s="15">
        <f>[18]Resumen!$F$41</f>
        <v>0</v>
      </c>
      <c r="G20" s="17">
        <f>[18]Resumen!$G$41</f>
        <v>0</v>
      </c>
      <c r="H20" s="18">
        <f>[18]Resumen!$H$41</f>
        <v>0</v>
      </c>
      <c r="I20" s="15">
        <f>[18]Resumen!$I$41</f>
        <v>0</v>
      </c>
      <c r="J20" s="16">
        <f>[18]Resumen!$J$41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[19]Resumen!$B$41</f>
        <v>0</v>
      </c>
      <c r="C21" s="15">
        <f>[19]Resumen!$C$41</f>
        <v>0</v>
      </c>
      <c r="D21" s="16">
        <f>[19]Resumen!$D$41</f>
        <v>0</v>
      </c>
      <c r="E21" s="14">
        <f>[19]Resumen!$E$41</f>
        <v>0</v>
      </c>
      <c r="F21" s="15">
        <f>[19]Resumen!$F$41</f>
        <v>0</v>
      </c>
      <c r="G21" s="17">
        <f>[19]Resumen!$G$41</f>
        <v>0</v>
      </c>
      <c r="H21" s="18">
        <f>[19]Resumen!$H$41</f>
        <v>0</v>
      </c>
      <c r="I21" s="15">
        <f>[19]Resumen!$I$41</f>
        <v>0</v>
      </c>
      <c r="J21" s="16">
        <f>[19]Resumen!$J$41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[20]Resumen!$B$41</f>
        <v>0</v>
      </c>
      <c r="C22" s="15">
        <f>[20]Resumen!$C$41</f>
        <v>0</v>
      </c>
      <c r="D22" s="16">
        <f>[20]Resumen!$D$41</f>
        <v>0</v>
      </c>
      <c r="E22" s="14">
        <f>[20]Resumen!$E$41</f>
        <v>0</v>
      </c>
      <c r="F22" s="15">
        <f>[20]Resumen!$F$41</f>
        <v>0</v>
      </c>
      <c r="G22" s="17">
        <f>[20]Resumen!$G$41</f>
        <v>0</v>
      </c>
      <c r="H22" s="18">
        <f>[20]Resumen!$H$41</f>
        <v>0</v>
      </c>
      <c r="I22" s="15">
        <f>[20]Resumen!$I$41</f>
        <v>0</v>
      </c>
      <c r="J22" s="16">
        <f>[20]Resumen!$J$41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[21]Resumen!$B$41</f>
        <v>0</v>
      </c>
      <c r="C23" s="15">
        <f>[21]Resumen!$C$41</f>
        <v>0</v>
      </c>
      <c r="D23" s="16">
        <f>[21]Resumen!$D$41</f>
        <v>0</v>
      </c>
      <c r="E23" s="14">
        <f>[21]Resumen!$E$41</f>
        <v>0</v>
      </c>
      <c r="F23" s="15">
        <f>[21]Resumen!$F$41</f>
        <v>0</v>
      </c>
      <c r="G23" s="17">
        <f>[21]Resumen!$G$41</f>
        <v>0</v>
      </c>
      <c r="H23" s="18">
        <f>[21]Resumen!$H$41</f>
        <v>0</v>
      </c>
      <c r="I23" s="15">
        <f>[21]Resumen!$I$41</f>
        <v>0</v>
      </c>
      <c r="J23" s="16">
        <f>[21]Resumen!$J$41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[22]Resumen!$B$41</f>
        <v>0</v>
      </c>
      <c r="C24" s="15">
        <f>[22]Resumen!$C$41</f>
        <v>0</v>
      </c>
      <c r="D24" s="16">
        <f>[22]Resumen!$D$41</f>
        <v>0</v>
      </c>
      <c r="E24" s="14">
        <f>[22]Resumen!$E$41</f>
        <v>0</v>
      </c>
      <c r="F24" s="15">
        <f>[22]Resumen!$F$41</f>
        <v>0</v>
      </c>
      <c r="G24" s="17">
        <f>[22]Resumen!$G$41</f>
        <v>0</v>
      </c>
      <c r="H24" s="18">
        <f>[22]Resumen!$H$41</f>
        <v>0</v>
      </c>
      <c r="I24" s="15">
        <f>[22]Resumen!$I$41</f>
        <v>0</v>
      </c>
      <c r="J24" s="16">
        <f>[22]Resumen!$J$41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[23]Resumen!$B$41</f>
        <v>0</v>
      </c>
      <c r="C25" s="15">
        <f>[23]Resumen!$C$41</f>
        <v>0</v>
      </c>
      <c r="D25" s="16">
        <f>[23]Resumen!$D$41</f>
        <v>0</v>
      </c>
      <c r="E25" s="14">
        <f>[23]Resumen!$E$41</f>
        <v>0</v>
      </c>
      <c r="F25" s="15">
        <f>[23]Resumen!$F$41</f>
        <v>0</v>
      </c>
      <c r="G25" s="17">
        <f>[23]Resumen!$G$41</f>
        <v>0</v>
      </c>
      <c r="H25" s="18">
        <f>[23]Resumen!$H$41</f>
        <v>0</v>
      </c>
      <c r="I25" s="15">
        <f>[23]Resumen!$I$41</f>
        <v>0</v>
      </c>
      <c r="J25" s="16">
        <f>[23]Resumen!$J$41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[24]Resumen!$B$41</f>
        <v>0</v>
      </c>
      <c r="C26" s="15">
        <f>[24]Resumen!$C$41</f>
        <v>0</v>
      </c>
      <c r="D26" s="16">
        <f>[24]Resumen!$D$41</f>
        <v>0</v>
      </c>
      <c r="E26" s="14">
        <f>[24]Resumen!$E$41</f>
        <v>0</v>
      </c>
      <c r="F26" s="15">
        <f>[24]Resumen!$F$41</f>
        <v>0</v>
      </c>
      <c r="G26" s="17">
        <f>[24]Resumen!$G$41</f>
        <v>0</v>
      </c>
      <c r="H26" s="18">
        <f>[24]Resumen!$H$41</f>
        <v>0</v>
      </c>
      <c r="I26" s="15">
        <f>[24]Resumen!$I$41</f>
        <v>0</v>
      </c>
      <c r="J26" s="16">
        <f>[24]Resumen!$J$41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[25]Resumen!$B$41</f>
        <v>0</v>
      </c>
      <c r="C27" s="15">
        <f>[25]Resumen!$C$41</f>
        <v>0</v>
      </c>
      <c r="D27" s="16">
        <f>[25]Resumen!$D$41</f>
        <v>0</v>
      </c>
      <c r="E27" s="14">
        <f>[25]Resumen!$E$41</f>
        <v>0</v>
      </c>
      <c r="F27" s="15">
        <f>[25]Resumen!$F$41</f>
        <v>0</v>
      </c>
      <c r="G27" s="17">
        <f>[25]Resumen!$G$41</f>
        <v>0</v>
      </c>
      <c r="H27" s="18">
        <f>[25]Resumen!$H$41</f>
        <v>0</v>
      </c>
      <c r="I27" s="15">
        <f>[25]Resumen!$I$41</f>
        <v>0</v>
      </c>
      <c r="J27" s="16">
        <f>[25]Resumen!$J$41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[26]Resumen!$B$41</f>
        <v>0</v>
      </c>
      <c r="C28" s="15">
        <f>[26]Resumen!$C$41</f>
        <v>0</v>
      </c>
      <c r="D28" s="16">
        <f>[26]Resumen!$D$41</f>
        <v>0</v>
      </c>
      <c r="E28" s="14">
        <f>[26]Resumen!$E$41</f>
        <v>0</v>
      </c>
      <c r="F28" s="15">
        <f>[26]Resumen!$F$41</f>
        <v>0</v>
      </c>
      <c r="G28" s="17">
        <f>[26]Resumen!$G$41</f>
        <v>0</v>
      </c>
      <c r="H28" s="18">
        <f>[26]Resumen!$H$41</f>
        <v>0</v>
      </c>
      <c r="I28" s="15">
        <f>[26]Resumen!$I$41</f>
        <v>0</v>
      </c>
      <c r="J28" s="16">
        <f>[26]Resumen!$J$41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[27]Resumen!$B$41</f>
        <v>0</v>
      </c>
      <c r="C29" s="15">
        <f>[27]Resumen!$C$41</f>
        <v>0</v>
      </c>
      <c r="D29" s="16">
        <f>[27]Resumen!$D$41</f>
        <v>0</v>
      </c>
      <c r="E29" s="14">
        <f>[27]Resumen!$E$41</f>
        <v>0</v>
      </c>
      <c r="F29" s="15">
        <f>[27]Resumen!$F$41</f>
        <v>0</v>
      </c>
      <c r="G29" s="17">
        <f>[27]Resumen!$G$41</f>
        <v>0</v>
      </c>
      <c r="H29" s="18">
        <f>[27]Resumen!$H$41</f>
        <v>0</v>
      </c>
      <c r="I29" s="15">
        <f>[27]Resumen!$I$41</f>
        <v>0</v>
      </c>
      <c r="J29" s="16">
        <f>[27]Resumen!$J$41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[28]Resumen!$B$41</f>
        <v>0</v>
      </c>
      <c r="C30" s="15">
        <f>[28]Resumen!$C$41</f>
        <v>0</v>
      </c>
      <c r="D30" s="16">
        <f>[28]Resumen!$D$41</f>
        <v>0</v>
      </c>
      <c r="E30" s="14">
        <f>[28]Resumen!$E$41</f>
        <v>0</v>
      </c>
      <c r="F30" s="15">
        <f>[28]Resumen!$F$41</f>
        <v>0</v>
      </c>
      <c r="G30" s="17">
        <f>[28]Resumen!$G$41</f>
        <v>0</v>
      </c>
      <c r="H30" s="18">
        <f>[28]Resumen!$H$41</f>
        <v>0</v>
      </c>
      <c r="I30" s="15">
        <f>[28]Resumen!$I$41</f>
        <v>0</v>
      </c>
      <c r="J30" s="16">
        <f>[28]Resumen!$J$41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[29]Resumen!$B$41</f>
        <v>0</v>
      </c>
      <c r="C31" s="15">
        <f>[29]Resumen!$C$41</f>
        <v>0</v>
      </c>
      <c r="D31" s="16">
        <f>[29]Resumen!$D$41</f>
        <v>0</v>
      </c>
      <c r="E31" s="14">
        <f>[29]Resumen!$E$41</f>
        <v>0</v>
      </c>
      <c r="F31" s="15">
        <f>[29]Resumen!$F$41</f>
        <v>0</v>
      </c>
      <c r="G31" s="17">
        <f>[29]Resumen!$G$41</f>
        <v>0</v>
      </c>
      <c r="H31" s="18">
        <f>[29]Resumen!$H$41</f>
        <v>0</v>
      </c>
      <c r="I31" s="15">
        <f>[29]Resumen!$I$41</f>
        <v>0</v>
      </c>
      <c r="J31" s="16">
        <f>[29]Resumen!$J$41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[30]Resumen!$B$41</f>
        <v>0</v>
      </c>
      <c r="C32" s="15">
        <f>[30]Resumen!$C$41</f>
        <v>0</v>
      </c>
      <c r="D32" s="16">
        <f>[30]Resumen!$D$41</f>
        <v>0</v>
      </c>
      <c r="E32" s="14">
        <f>[30]Resumen!$E$41</f>
        <v>0</v>
      </c>
      <c r="F32" s="15">
        <f>[30]Resumen!$F$41</f>
        <v>0</v>
      </c>
      <c r="G32" s="17">
        <f>[30]Resumen!$G$41</f>
        <v>0</v>
      </c>
      <c r="H32" s="18">
        <f>[30]Resumen!$H$41</f>
        <v>0</v>
      </c>
      <c r="I32" s="15">
        <f>[30]Resumen!$I$41</f>
        <v>0</v>
      </c>
      <c r="J32" s="16">
        <f>[30]Resumen!$J$41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[31]Resumen!$B$41</f>
        <v>0</v>
      </c>
      <c r="C33" s="15">
        <f>[31]Resumen!$C$41</f>
        <v>0</v>
      </c>
      <c r="D33" s="16">
        <f>[31]Resumen!$D$41</f>
        <v>0</v>
      </c>
      <c r="E33" s="14">
        <f>[31]Resumen!$E$41</f>
        <v>0</v>
      </c>
      <c r="F33" s="15">
        <f>[31]Resumen!$F$41</f>
        <v>0</v>
      </c>
      <c r="G33" s="17">
        <f>[31]Resumen!$G$41</f>
        <v>0</v>
      </c>
      <c r="H33" s="18">
        <f>[31]Resumen!$H$41</f>
        <v>0</v>
      </c>
      <c r="I33" s="15">
        <f>[31]Resumen!$I$41</f>
        <v>0</v>
      </c>
      <c r="J33" s="16">
        <f>[31]Resumen!$J$41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[1]Resumen!$B$41</f>
        <v>0</v>
      </c>
      <c r="C34" s="15">
        <f>[1]Resumen!$C$41</f>
        <v>0</v>
      </c>
      <c r="D34" s="16">
        <f>[1]Resumen!$D$41</f>
        <v>0</v>
      </c>
      <c r="E34" s="14">
        <f>[1]Resumen!$E$41</f>
        <v>0</v>
      </c>
      <c r="F34" s="15">
        <f>[1]Resumen!$F$41</f>
        <v>0</v>
      </c>
      <c r="G34" s="17">
        <f>[1]Resumen!$G$41</f>
        <v>0</v>
      </c>
      <c r="H34" s="18">
        <f>[1]Resumen!$H$41</f>
        <v>0</v>
      </c>
      <c r="I34" s="15">
        <f>[1]Resumen!$I$41</f>
        <v>0</v>
      </c>
      <c r="J34" s="16">
        <f>[1]Resumen!$J$41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+[2]Resumen!$B$41</f>
        <v>0</v>
      </c>
      <c r="C35" s="22">
        <f>+[2]Resumen!$C$41</f>
        <v>0</v>
      </c>
      <c r="D35" s="23">
        <f>+[2]Resumen!$D$41</f>
        <v>0</v>
      </c>
      <c r="E35" s="21">
        <f>+[2]Resumen!$E$41</f>
        <v>0</v>
      </c>
      <c r="F35" s="22">
        <f>+[2]Resumen!$F$41</f>
        <v>0</v>
      </c>
      <c r="G35" s="24">
        <f>+[2]Resumen!$G$41</f>
        <v>0</v>
      </c>
      <c r="H35" s="25">
        <f>+[2]Resumen!$H$41</f>
        <v>0</v>
      </c>
      <c r="I35" s="22">
        <f>+[2]Resumen!$I$41</f>
        <v>0</v>
      </c>
      <c r="J35" s="23">
        <f>+[2]Resumen!$J$41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6"/>
  <sheetViews>
    <sheetView showGridLines="0" zoomScale="90" zoomScaleNormal="90" workbookViewId="0"/>
  </sheetViews>
  <sheetFormatPr baseColWidth="10" defaultColWidth="11.42578125" defaultRowHeight="15"/>
  <cols>
    <col min="1" max="1" width="10.140625" style="1" customWidth="1"/>
    <col min="2" max="4" width="11.42578125" style="1"/>
    <col min="5" max="5" width="13.140625" style="1" customWidth="1"/>
    <col min="6" max="14" width="11.42578125" style="1"/>
    <col min="15" max="15" width="12.42578125" style="1" customWidth="1"/>
    <col min="16" max="16" width="4.85546875" style="1" customWidth="1"/>
    <col min="17" max="17" width="10" style="1" customWidth="1"/>
    <col min="18" max="18" width="6.140625" style="1" customWidth="1"/>
    <col min="19" max="1024" width="11.42578125" style="1"/>
  </cols>
  <sheetData>
    <row r="1" spans="1:15">
      <c r="I1" s="134" t="s">
        <v>0</v>
      </c>
      <c r="J1" s="134"/>
      <c r="K1" s="134"/>
      <c r="L1" s="134"/>
      <c r="M1" s="134"/>
      <c r="N1" s="134"/>
    </row>
    <row r="2" spans="1:15" ht="18.75">
      <c r="A2" s="2" t="s">
        <v>1</v>
      </c>
      <c r="B2" s="135" t="s">
        <v>68</v>
      </c>
      <c r="C2" s="135"/>
      <c r="D2" s="135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4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>
      <c r="A5" s="20" t="s">
        <v>49</v>
      </c>
      <c r="B5" s="53">
        <f>[3]Resumen!$B$42</f>
        <v>0</v>
      </c>
      <c r="C5" s="58">
        <f>[3]Resumen!$C$42</f>
        <v>0</v>
      </c>
      <c r="D5" s="54">
        <f>[3]Resumen!$D$42</f>
        <v>0</v>
      </c>
      <c r="E5" s="53">
        <f>[3]Resumen!$E$42</f>
        <v>0</v>
      </c>
      <c r="F5" s="58">
        <f>[3]Resumen!$F$42</f>
        <v>0</v>
      </c>
      <c r="G5" s="55">
        <f>[3]Resumen!$G$42</f>
        <v>0</v>
      </c>
      <c r="H5" s="61">
        <f>[3]Resumen!$H$42</f>
        <v>0</v>
      </c>
      <c r="I5" s="58">
        <f>[3]Resumen!$I$42</f>
        <v>0</v>
      </c>
      <c r="J5" s="54">
        <f>[3]Resumen!$J$42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>
      <c r="A6" s="13" t="s">
        <v>50</v>
      </c>
      <c r="B6" s="14">
        <f>[4]Resumen!$B$42</f>
        <v>0</v>
      </c>
      <c r="C6" s="15">
        <f>[4]Resumen!$C$42</f>
        <v>0</v>
      </c>
      <c r="D6" s="16">
        <f>[4]Resumen!$D$42</f>
        <v>0</v>
      </c>
      <c r="E6" s="14">
        <f>[4]Resumen!$E$42</f>
        <v>0</v>
      </c>
      <c r="F6" s="15">
        <f>[4]Resumen!$F$42</f>
        <v>0</v>
      </c>
      <c r="G6" s="17">
        <f>[4]Resumen!$G$42</f>
        <v>0</v>
      </c>
      <c r="H6" s="18">
        <f>[4]Resumen!$H$42</f>
        <v>0</v>
      </c>
      <c r="I6" s="15">
        <f>[4]Resumen!$I$42</f>
        <v>0</v>
      </c>
      <c r="J6" s="16">
        <f>[4]Resumen!$J$42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>
      <c r="A7" s="20" t="s">
        <v>51</v>
      </c>
      <c r="B7" s="14">
        <f>[5]Resumen!$B$42</f>
        <v>0</v>
      </c>
      <c r="C7" s="15">
        <f>[5]Resumen!$C$42</f>
        <v>0</v>
      </c>
      <c r="D7" s="16">
        <f>[5]Resumen!$D$42</f>
        <v>0</v>
      </c>
      <c r="E7" s="14">
        <f>[5]Resumen!$E$42</f>
        <v>0</v>
      </c>
      <c r="F7" s="15">
        <f>[5]Resumen!$F$42</f>
        <v>0</v>
      </c>
      <c r="G7" s="17">
        <f>[5]Resumen!$G$42</f>
        <v>0</v>
      </c>
      <c r="H7" s="18">
        <f>[5]Resumen!$H$42</f>
        <v>0</v>
      </c>
      <c r="I7" s="15">
        <f>[5]Resumen!$I$42</f>
        <v>0</v>
      </c>
      <c r="J7" s="16">
        <f>[5]Resumen!$J$42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>
      <c r="A8" s="13" t="s">
        <v>52</v>
      </c>
      <c r="B8" s="14">
        <f>[6]Resumen!$B$42</f>
        <v>0</v>
      </c>
      <c r="C8" s="15">
        <f>[6]Resumen!$C$42</f>
        <v>0</v>
      </c>
      <c r="D8" s="16">
        <f>[6]Resumen!$D$42</f>
        <v>0</v>
      </c>
      <c r="E8" s="14">
        <f>[6]Resumen!$E$42</f>
        <v>0</v>
      </c>
      <c r="F8" s="15">
        <f>[6]Resumen!$F$42</f>
        <v>0</v>
      </c>
      <c r="G8" s="17">
        <f>[6]Resumen!$G$42</f>
        <v>0</v>
      </c>
      <c r="H8" s="18">
        <f>[6]Resumen!$H$42</f>
        <v>0</v>
      </c>
      <c r="I8" s="15">
        <f>[6]Resumen!$I$42</f>
        <v>0</v>
      </c>
      <c r="J8" s="16">
        <f>[6]Resumen!$J$42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>
      <c r="A9" s="20" t="s">
        <v>53</v>
      </c>
      <c r="B9" s="14">
        <f>[7]Resumen!$B$42</f>
        <v>0</v>
      </c>
      <c r="C9" s="15">
        <f>[7]Resumen!$C$42</f>
        <v>0</v>
      </c>
      <c r="D9" s="16">
        <f>[7]Resumen!$D$42</f>
        <v>0</v>
      </c>
      <c r="E9" s="14">
        <f>[7]Resumen!$E$42</f>
        <v>0</v>
      </c>
      <c r="F9" s="15">
        <f>[7]Resumen!$F$42</f>
        <v>0</v>
      </c>
      <c r="G9" s="17">
        <f>[7]Resumen!$G$42</f>
        <v>0</v>
      </c>
      <c r="H9" s="18">
        <f>[7]Resumen!$H$42</f>
        <v>0</v>
      </c>
      <c r="I9" s="15">
        <f>[7]Resumen!$I$42</f>
        <v>0</v>
      </c>
      <c r="J9" s="16">
        <f>[7]Resumen!$J$42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>
      <c r="A10" s="13" t="s">
        <v>20</v>
      </c>
      <c r="B10" s="14">
        <f>[8]Resumen!$B$42</f>
        <v>0</v>
      </c>
      <c r="C10" s="15">
        <f>[8]Resumen!$C$42</f>
        <v>0</v>
      </c>
      <c r="D10" s="16">
        <f>[8]Resumen!$D$42</f>
        <v>0</v>
      </c>
      <c r="E10" s="14">
        <f>[8]Resumen!$E$42</f>
        <v>0</v>
      </c>
      <c r="F10" s="15">
        <f>[8]Resumen!$F$42</f>
        <v>0</v>
      </c>
      <c r="G10" s="17">
        <f>[8]Resumen!$G$42</f>
        <v>0</v>
      </c>
      <c r="H10" s="18">
        <f>[8]Resumen!$H$42</f>
        <v>0</v>
      </c>
      <c r="I10" s="15">
        <f>[8]Resumen!$I$42</f>
        <v>0</v>
      </c>
      <c r="J10" s="16">
        <f>[8]Resumen!$J$42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>
      <c r="A11" s="20" t="s">
        <v>21</v>
      </c>
      <c r="B11" s="14">
        <f>[9]Resumen!$B$42</f>
        <v>0</v>
      </c>
      <c r="C11" s="15">
        <f>[9]Resumen!$C$42</f>
        <v>0</v>
      </c>
      <c r="D11" s="16">
        <f>[9]Resumen!$D$42</f>
        <v>0</v>
      </c>
      <c r="E11" s="14">
        <f>[9]Resumen!$E$42</f>
        <v>0</v>
      </c>
      <c r="F11" s="15">
        <f>[9]Resumen!$F$42</f>
        <v>0</v>
      </c>
      <c r="G11" s="17">
        <f>[9]Resumen!$G$42</f>
        <v>0</v>
      </c>
      <c r="H11" s="18">
        <f>[9]Resumen!$H$42</f>
        <v>0</v>
      </c>
      <c r="I11" s="15">
        <f>[9]Resumen!$I$42</f>
        <v>0</v>
      </c>
      <c r="J11" s="16">
        <f>[9]Resumen!$J$42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>
      <c r="A12" s="13" t="s">
        <v>22</v>
      </c>
      <c r="B12" s="14">
        <f>[10]Resumen!$B$42</f>
        <v>0</v>
      </c>
      <c r="C12" s="15">
        <f>[10]Resumen!$C$42</f>
        <v>0</v>
      </c>
      <c r="D12" s="16">
        <f>[10]Resumen!$D$42</f>
        <v>0</v>
      </c>
      <c r="E12" s="14">
        <f>[10]Resumen!$E$42</f>
        <v>0</v>
      </c>
      <c r="F12" s="15">
        <f>[10]Resumen!$F$42</f>
        <v>0</v>
      </c>
      <c r="G12" s="17">
        <f>[10]Resumen!$G$42</f>
        <v>0</v>
      </c>
      <c r="H12" s="18">
        <f>[10]Resumen!$H$42</f>
        <v>0</v>
      </c>
      <c r="I12" s="15">
        <f>[10]Resumen!$I$42</f>
        <v>0</v>
      </c>
      <c r="J12" s="16">
        <f>[10]Resumen!$J$42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>
      <c r="A13" s="20" t="s">
        <v>23</v>
      </c>
      <c r="B13" s="14">
        <f>[11]Resumen!$B$42</f>
        <v>0</v>
      </c>
      <c r="C13" s="15">
        <f>[11]Resumen!$C$42</f>
        <v>0</v>
      </c>
      <c r="D13" s="16">
        <f>[11]Resumen!$D$42</f>
        <v>0</v>
      </c>
      <c r="E13" s="14">
        <f>[11]Resumen!$E$42</f>
        <v>0</v>
      </c>
      <c r="F13" s="15">
        <f>[11]Resumen!$F$42</f>
        <v>0</v>
      </c>
      <c r="G13" s="17">
        <f>[11]Resumen!$G$42</f>
        <v>0</v>
      </c>
      <c r="H13" s="18">
        <f>[11]Resumen!$H$42</f>
        <v>0</v>
      </c>
      <c r="I13" s="15">
        <f>[11]Resumen!$I$42</f>
        <v>0</v>
      </c>
      <c r="J13" s="16">
        <f>[11]Resumen!$J$42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>
      <c r="A14" s="13" t="s">
        <v>24</v>
      </c>
      <c r="B14" s="14">
        <f>[12]Resumen!$B$42</f>
        <v>0</v>
      </c>
      <c r="C14" s="15">
        <f>[12]Resumen!$C$42</f>
        <v>0</v>
      </c>
      <c r="D14" s="16">
        <f>[12]Resumen!$D$42</f>
        <v>0</v>
      </c>
      <c r="E14" s="14">
        <f>[12]Resumen!$E$42</f>
        <v>0</v>
      </c>
      <c r="F14" s="15">
        <f>[12]Resumen!$F$42</f>
        <v>0</v>
      </c>
      <c r="G14" s="17">
        <f>[12]Resumen!$G$42</f>
        <v>0</v>
      </c>
      <c r="H14" s="18">
        <f>[12]Resumen!$H$42</f>
        <v>0</v>
      </c>
      <c r="I14" s="15">
        <f>[12]Resumen!$I$42</f>
        <v>0</v>
      </c>
      <c r="J14" s="16">
        <f>[12]Resumen!$J$42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>
      <c r="A15" s="20" t="s">
        <v>25</v>
      </c>
      <c r="B15" s="14">
        <f>[13]Resumen!$B$42</f>
        <v>0</v>
      </c>
      <c r="C15" s="15">
        <f>[13]Resumen!$C$42</f>
        <v>0</v>
      </c>
      <c r="D15" s="16">
        <f>[13]Resumen!$D$42</f>
        <v>0</v>
      </c>
      <c r="E15" s="14">
        <f>[13]Resumen!$E$42</f>
        <v>0</v>
      </c>
      <c r="F15" s="15">
        <f>[13]Resumen!$F$42</f>
        <v>0</v>
      </c>
      <c r="G15" s="17">
        <f>[13]Resumen!$G$42</f>
        <v>0</v>
      </c>
      <c r="H15" s="18">
        <f>[13]Resumen!$H$42</f>
        <v>0</v>
      </c>
      <c r="I15" s="15">
        <f>[13]Resumen!$I$42</f>
        <v>0</v>
      </c>
      <c r="J15" s="16">
        <f>[13]Resumen!$J$42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>
      <c r="A16" s="13" t="s">
        <v>26</v>
      </c>
      <c r="B16" s="14">
        <f>[14]Resumen!$B$42</f>
        <v>0</v>
      </c>
      <c r="C16" s="15">
        <f>[14]Resumen!$C$42</f>
        <v>0</v>
      </c>
      <c r="D16" s="16">
        <f>[14]Resumen!$D$42</f>
        <v>0</v>
      </c>
      <c r="E16" s="14">
        <f>[14]Resumen!$E$42</f>
        <v>0</v>
      </c>
      <c r="F16" s="15">
        <f>[14]Resumen!$F$42</f>
        <v>0</v>
      </c>
      <c r="G16" s="17">
        <f>[14]Resumen!$G$42</f>
        <v>0</v>
      </c>
      <c r="H16" s="18">
        <f>[14]Resumen!$H$42</f>
        <v>0</v>
      </c>
      <c r="I16" s="15">
        <f>[14]Resumen!$I$42</f>
        <v>0</v>
      </c>
      <c r="J16" s="16">
        <f>[14]Resumen!$J$42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>
      <c r="A17" s="20" t="s">
        <v>27</v>
      </c>
      <c r="B17" s="14">
        <f>[15]Resumen!$B$42</f>
        <v>0</v>
      </c>
      <c r="C17" s="15">
        <f>[15]Resumen!$C$42</f>
        <v>0</v>
      </c>
      <c r="D17" s="16">
        <f>[15]Resumen!$D$42</f>
        <v>0</v>
      </c>
      <c r="E17" s="14">
        <f>[15]Resumen!$E$42</f>
        <v>0</v>
      </c>
      <c r="F17" s="15">
        <f>[15]Resumen!$F$42</f>
        <v>0</v>
      </c>
      <c r="G17" s="17">
        <f>[15]Resumen!$G$42</f>
        <v>0</v>
      </c>
      <c r="H17" s="18">
        <f>[15]Resumen!$H$42</f>
        <v>0</v>
      </c>
      <c r="I17" s="15">
        <f>[15]Resumen!$I$42</f>
        <v>0</v>
      </c>
      <c r="J17" s="16">
        <f>[15]Resumen!$J$42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>
      <c r="A18" s="20" t="s">
        <v>28</v>
      </c>
      <c r="B18" s="14">
        <f>[16]Resumen!$B$42</f>
        <v>0</v>
      </c>
      <c r="C18" s="15">
        <f>[16]Resumen!$C$42</f>
        <v>0</v>
      </c>
      <c r="D18" s="16">
        <f>[16]Resumen!$D$42</f>
        <v>0</v>
      </c>
      <c r="E18" s="14">
        <f>[16]Resumen!$E$42</f>
        <v>0</v>
      </c>
      <c r="F18" s="15">
        <f>[16]Resumen!$F$42</f>
        <v>0</v>
      </c>
      <c r="G18" s="17">
        <f>[16]Resumen!$G$42</f>
        <v>0</v>
      </c>
      <c r="H18" s="18">
        <f>[16]Resumen!$H$42</f>
        <v>0</v>
      </c>
      <c r="I18" s="15">
        <f>[16]Resumen!$I$42</f>
        <v>0</v>
      </c>
      <c r="J18" s="16">
        <f>[16]Resumen!$J$42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>
      <c r="A19" s="13" t="s">
        <v>29</v>
      </c>
      <c r="B19" s="14">
        <f>[17]Resumen!$B$42</f>
        <v>0</v>
      </c>
      <c r="C19" s="15">
        <f>[17]Resumen!$C$42</f>
        <v>0</v>
      </c>
      <c r="D19" s="16">
        <f>[17]Resumen!$D$42</f>
        <v>0</v>
      </c>
      <c r="E19" s="14">
        <f>[17]Resumen!$E$42</f>
        <v>0</v>
      </c>
      <c r="F19" s="15">
        <f>[17]Resumen!$F$42</f>
        <v>0</v>
      </c>
      <c r="G19" s="17">
        <f>[17]Resumen!$G$42</f>
        <v>0</v>
      </c>
      <c r="H19" s="18">
        <f>[17]Resumen!$H$42</f>
        <v>0</v>
      </c>
      <c r="I19" s="15">
        <f>[17]Resumen!$I$42</f>
        <v>0</v>
      </c>
      <c r="J19" s="16">
        <f>[17]Resumen!$J$42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>
      <c r="A20" s="20" t="s">
        <v>30</v>
      </c>
      <c r="B20" s="14">
        <f>[18]Resumen!$B$42</f>
        <v>0</v>
      </c>
      <c r="C20" s="15">
        <f>[18]Resumen!$C$42</f>
        <v>0</v>
      </c>
      <c r="D20" s="16">
        <f>[18]Resumen!$D$42</f>
        <v>0</v>
      </c>
      <c r="E20" s="14">
        <f>[18]Resumen!$E$42</f>
        <v>0</v>
      </c>
      <c r="F20" s="15">
        <f>[18]Resumen!$F$42</f>
        <v>0</v>
      </c>
      <c r="G20" s="17">
        <f>[18]Resumen!$G$42</f>
        <v>0</v>
      </c>
      <c r="H20" s="18">
        <f>[18]Resumen!$H$42</f>
        <v>0</v>
      </c>
      <c r="I20" s="15">
        <f>[18]Resumen!$I$42</f>
        <v>0</v>
      </c>
      <c r="J20" s="16">
        <f>[18]Resumen!$J$42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>
      <c r="A21" s="13" t="s">
        <v>31</v>
      </c>
      <c r="B21" s="14">
        <f>[19]Resumen!$B$42</f>
        <v>0</v>
      </c>
      <c r="C21" s="15">
        <f>[19]Resumen!$C$42</f>
        <v>0</v>
      </c>
      <c r="D21" s="16">
        <f>[19]Resumen!$D$42</f>
        <v>0</v>
      </c>
      <c r="E21" s="14">
        <f>[19]Resumen!$E$42</f>
        <v>0</v>
      </c>
      <c r="F21" s="15">
        <f>[19]Resumen!$F$42</f>
        <v>0</v>
      </c>
      <c r="G21" s="17">
        <f>[19]Resumen!$G$42</f>
        <v>0</v>
      </c>
      <c r="H21" s="18">
        <f>[19]Resumen!$H$42</f>
        <v>0</v>
      </c>
      <c r="I21" s="15">
        <f>[19]Resumen!$I$42</f>
        <v>0</v>
      </c>
      <c r="J21" s="16">
        <f>[19]Resumen!$J$42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>
      <c r="A22" s="20" t="s">
        <v>32</v>
      </c>
      <c r="B22" s="14">
        <f>[20]Resumen!$B$42</f>
        <v>0</v>
      </c>
      <c r="C22" s="15">
        <f>[20]Resumen!$C$42</f>
        <v>0</v>
      </c>
      <c r="D22" s="16">
        <f>[20]Resumen!$D$42</f>
        <v>0</v>
      </c>
      <c r="E22" s="14">
        <f>[20]Resumen!$E$42</f>
        <v>0</v>
      </c>
      <c r="F22" s="15">
        <f>[20]Resumen!$F$42</f>
        <v>0</v>
      </c>
      <c r="G22" s="17">
        <f>[20]Resumen!$G$42</f>
        <v>0</v>
      </c>
      <c r="H22" s="18">
        <f>[20]Resumen!$H$42</f>
        <v>0</v>
      </c>
      <c r="I22" s="15">
        <f>[20]Resumen!$I$42</f>
        <v>0</v>
      </c>
      <c r="J22" s="16">
        <f>[20]Resumen!$J$42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>
      <c r="A23" s="13" t="s">
        <v>33</v>
      </c>
      <c r="B23" s="14">
        <f>[21]Resumen!$B$42</f>
        <v>0</v>
      </c>
      <c r="C23" s="15">
        <f>[21]Resumen!$C$42</f>
        <v>0</v>
      </c>
      <c r="D23" s="16">
        <f>[21]Resumen!$D$42</f>
        <v>0</v>
      </c>
      <c r="E23" s="14">
        <f>[21]Resumen!$E$42</f>
        <v>0</v>
      </c>
      <c r="F23" s="15">
        <f>[21]Resumen!$F$42</f>
        <v>0</v>
      </c>
      <c r="G23" s="17">
        <f>[21]Resumen!$G$42</f>
        <v>0</v>
      </c>
      <c r="H23" s="18">
        <f>[21]Resumen!$H$42</f>
        <v>0</v>
      </c>
      <c r="I23" s="15">
        <f>[21]Resumen!$I$42</f>
        <v>0</v>
      </c>
      <c r="J23" s="16">
        <f>[21]Resumen!$J$42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>
      <c r="A24" s="20" t="s">
        <v>34</v>
      </c>
      <c r="B24" s="14">
        <f>[22]Resumen!$B$42</f>
        <v>0</v>
      </c>
      <c r="C24" s="15">
        <f>[22]Resumen!$C$42</f>
        <v>0</v>
      </c>
      <c r="D24" s="16">
        <f>[22]Resumen!$D$42</f>
        <v>0</v>
      </c>
      <c r="E24" s="14">
        <f>[22]Resumen!$E$42</f>
        <v>0</v>
      </c>
      <c r="F24" s="15">
        <f>[22]Resumen!$F$42</f>
        <v>0</v>
      </c>
      <c r="G24" s="17">
        <f>[22]Resumen!$G$42</f>
        <v>0</v>
      </c>
      <c r="H24" s="18">
        <f>[22]Resumen!$H$42</f>
        <v>0</v>
      </c>
      <c r="I24" s="15">
        <f>[22]Resumen!$I$42</f>
        <v>0</v>
      </c>
      <c r="J24" s="16">
        <f>[22]Resumen!$J$42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>
      <c r="A25" s="13" t="s">
        <v>35</v>
      </c>
      <c r="B25" s="14">
        <f>[23]Resumen!$B$42</f>
        <v>0</v>
      </c>
      <c r="C25" s="15">
        <f>[23]Resumen!$C$42</f>
        <v>0</v>
      </c>
      <c r="D25" s="16">
        <f>[23]Resumen!$D$42</f>
        <v>0</v>
      </c>
      <c r="E25" s="14">
        <f>[23]Resumen!$E$42</f>
        <v>0</v>
      </c>
      <c r="F25" s="15">
        <f>[23]Resumen!$F$42</f>
        <v>0</v>
      </c>
      <c r="G25" s="17">
        <f>[23]Resumen!$G$42</f>
        <v>0</v>
      </c>
      <c r="H25" s="18">
        <f>[23]Resumen!$H$42</f>
        <v>0</v>
      </c>
      <c r="I25" s="15">
        <f>[23]Resumen!$I$42</f>
        <v>0</v>
      </c>
      <c r="J25" s="16">
        <f>[23]Resumen!$J$42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>
      <c r="A26" s="20" t="s">
        <v>36</v>
      </c>
      <c r="B26" s="14">
        <f>[24]Resumen!$B$42</f>
        <v>0</v>
      </c>
      <c r="C26" s="15">
        <f>[24]Resumen!$C$42</f>
        <v>0</v>
      </c>
      <c r="D26" s="16">
        <f>[24]Resumen!$D$42</f>
        <v>0</v>
      </c>
      <c r="E26" s="14">
        <f>[24]Resumen!$E$42</f>
        <v>0</v>
      </c>
      <c r="F26" s="15">
        <f>[24]Resumen!$F$42</f>
        <v>0</v>
      </c>
      <c r="G26" s="17">
        <f>[24]Resumen!$G$42</f>
        <v>0</v>
      </c>
      <c r="H26" s="18">
        <f>[24]Resumen!$H$42</f>
        <v>0</v>
      </c>
      <c r="I26" s="15">
        <f>[24]Resumen!$I$42</f>
        <v>0</v>
      </c>
      <c r="J26" s="16">
        <f>[24]Resumen!$J$42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>
      <c r="A27" s="13" t="s">
        <v>37</v>
      </c>
      <c r="B27" s="14">
        <f>[25]Resumen!$B$42</f>
        <v>0</v>
      </c>
      <c r="C27" s="15">
        <f>[25]Resumen!$C$42</f>
        <v>0</v>
      </c>
      <c r="D27" s="16">
        <f>[25]Resumen!$D$42</f>
        <v>0</v>
      </c>
      <c r="E27" s="14">
        <f>[25]Resumen!$E$42</f>
        <v>0</v>
      </c>
      <c r="F27" s="15">
        <f>[25]Resumen!$F$42</f>
        <v>0</v>
      </c>
      <c r="G27" s="17">
        <f>[25]Resumen!$G$42</f>
        <v>0</v>
      </c>
      <c r="H27" s="18">
        <f>[25]Resumen!$H$42</f>
        <v>0</v>
      </c>
      <c r="I27" s="15">
        <f>[25]Resumen!$I$42</f>
        <v>0</v>
      </c>
      <c r="J27" s="16">
        <f>[25]Resumen!$J$42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>
      <c r="A28" s="20" t="s">
        <v>38</v>
      </c>
      <c r="B28" s="14">
        <f>[26]Resumen!$B$42</f>
        <v>0</v>
      </c>
      <c r="C28" s="15">
        <f>[26]Resumen!$C$42</f>
        <v>0</v>
      </c>
      <c r="D28" s="16">
        <f>[26]Resumen!$D$42</f>
        <v>0</v>
      </c>
      <c r="E28" s="14">
        <f>[26]Resumen!$E$42</f>
        <v>0</v>
      </c>
      <c r="F28" s="15">
        <f>[26]Resumen!$F$42</f>
        <v>0</v>
      </c>
      <c r="G28" s="17">
        <f>[26]Resumen!$G$42</f>
        <v>0</v>
      </c>
      <c r="H28" s="18">
        <f>[26]Resumen!$H$42</f>
        <v>0</v>
      </c>
      <c r="I28" s="15">
        <f>[26]Resumen!$I$42</f>
        <v>0</v>
      </c>
      <c r="J28" s="16">
        <f>[26]Resumen!$J$42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>
      <c r="A29" s="13" t="s">
        <v>39</v>
      </c>
      <c r="B29" s="14">
        <f>[27]Resumen!$B$42</f>
        <v>0</v>
      </c>
      <c r="C29" s="15">
        <f>[27]Resumen!$C$42</f>
        <v>0</v>
      </c>
      <c r="D29" s="16">
        <f>[27]Resumen!$D$42</f>
        <v>0</v>
      </c>
      <c r="E29" s="14">
        <f>[27]Resumen!$E$42</f>
        <v>0</v>
      </c>
      <c r="F29" s="15">
        <f>[27]Resumen!$F$42</f>
        <v>0</v>
      </c>
      <c r="G29" s="17">
        <f>[27]Resumen!$G$42</f>
        <v>0</v>
      </c>
      <c r="H29" s="18">
        <f>[27]Resumen!$H$42</f>
        <v>0</v>
      </c>
      <c r="I29" s="15">
        <f>[27]Resumen!$I$42</f>
        <v>0</v>
      </c>
      <c r="J29" s="16">
        <f>[27]Resumen!$J$42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>
      <c r="A30" s="20" t="s">
        <v>40</v>
      </c>
      <c r="B30" s="14">
        <f>[28]Resumen!$B$42</f>
        <v>0</v>
      </c>
      <c r="C30" s="15">
        <f>[28]Resumen!$C$42</f>
        <v>0</v>
      </c>
      <c r="D30" s="16">
        <f>[28]Resumen!$D$42</f>
        <v>0</v>
      </c>
      <c r="E30" s="14">
        <f>[28]Resumen!$E$42</f>
        <v>0</v>
      </c>
      <c r="F30" s="15">
        <f>[28]Resumen!$F$42</f>
        <v>0</v>
      </c>
      <c r="G30" s="17">
        <f>[28]Resumen!$G$42</f>
        <v>0</v>
      </c>
      <c r="H30" s="18">
        <f>[28]Resumen!$H$42</f>
        <v>0</v>
      </c>
      <c r="I30" s="15">
        <f>[28]Resumen!$I$42</f>
        <v>0</v>
      </c>
      <c r="J30" s="16">
        <f>[28]Resumen!$J$42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>
      <c r="A31" s="20" t="s">
        <v>41</v>
      </c>
      <c r="B31" s="14">
        <f>[29]Resumen!$B$42</f>
        <v>0</v>
      </c>
      <c r="C31" s="15">
        <f>[29]Resumen!$C$42</f>
        <v>0</v>
      </c>
      <c r="D31" s="16">
        <f>[29]Resumen!$D$42</f>
        <v>0</v>
      </c>
      <c r="E31" s="14">
        <f>[29]Resumen!$E$42</f>
        <v>0</v>
      </c>
      <c r="F31" s="15">
        <f>[29]Resumen!$F$42</f>
        <v>0</v>
      </c>
      <c r="G31" s="17">
        <f>[29]Resumen!$G$42</f>
        <v>0</v>
      </c>
      <c r="H31" s="18">
        <f>[29]Resumen!$H$42</f>
        <v>0</v>
      </c>
      <c r="I31" s="15">
        <f>[29]Resumen!$I$42</f>
        <v>0</v>
      </c>
      <c r="J31" s="16">
        <f>[29]Resumen!$J$42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>
      <c r="A32" s="13" t="s">
        <v>42</v>
      </c>
      <c r="B32" s="14">
        <f>[30]Resumen!$B$42</f>
        <v>0</v>
      </c>
      <c r="C32" s="15">
        <f>[30]Resumen!$C$42</f>
        <v>0</v>
      </c>
      <c r="D32" s="16">
        <f>[30]Resumen!$D$42</f>
        <v>0</v>
      </c>
      <c r="E32" s="14">
        <f>[30]Resumen!$E$42</f>
        <v>0</v>
      </c>
      <c r="F32" s="15">
        <f>[30]Resumen!$F$42</f>
        <v>0</v>
      </c>
      <c r="G32" s="17">
        <f>[30]Resumen!$G$42</f>
        <v>0</v>
      </c>
      <c r="H32" s="18">
        <f>[30]Resumen!$H$42</f>
        <v>0</v>
      </c>
      <c r="I32" s="15">
        <f>[30]Resumen!$I$42</f>
        <v>0</v>
      </c>
      <c r="J32" s="16">
        <f>[30]Resumen!$J$42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>
      <c r="A33" s="20" t="s">
        <v>43</v>
      </c>
      <c r="B33" s="14">
        <f>[31]Resumen!$B$42</f>
        <v>0</v>
      </c>
      <c r="C33" s="15">
        <f>[31]Resumen!$C$42</f>
        <v>0</v>
      </c>
      <c r="D33" s="16">
        <f>[31]Resumen!$D$42</f>
        <v>0</v>
      </c>
      <c r="E33" s="14">
        <f>[31]Resumen!$E$42</f>
        <v>0</v>
      </c>
      <c r="F33" s="15">
        <f>[31]Resumen!$F$42</f>
        <v>0</v>
      </c>
      <c r="G33" s="17">
        <f>[31]Resumen!$G$42</f>
        <v>0</v>
      </c>
      <c r="H33" s="18">
        <f>[31]Resumen!$H$42</f>
        <v>0</v>
      </c>
      <c r="I33" s="15">
        <f>[31]Resumen!$I$42</f>
        <v>0</v>
      </c>
      <c r="J33" s="16">
        <f>[31]Resumen!$J$42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>
      <c r="A34" s="13" t="s">
        <v>44</v>
      </c>
      <c r="B34" s="14">
        <f>[1]Resumen!$B$42</f>
        <v>0</v>
      </c>
      <c r="C34" s="15">
        <f>[1]Resumen!$C$42</f>
        <v>0</v>
      </c>
      <c r="D34" s="16">
        <f>[1]Resumen!$D$42</f>
        <v>0</v>
      </c>
      <c r="E34" s="14">
        <f>[1]Resumen!$E$42</f>
        <v>0</v>
      </c>
      <c r="F34" s="15">
        <f>[1]Resumen!$F$42</f>
        <v>0</v>
      </c>
      <c r="G34" s="17">
        <f>[1]Resumen!$G$42</f>
        <v>0</v>
      </c>
      <c r="H34" s="18">
        <f>[1]Resumen!$H$42</f>
        <v>0</v>
      </c>
      <c r="I34" s="15">
        <f>[1]Resumen!$I$42</f>
        <v>0</v>
      </c>
      <c r="J34" s="16">
        <f>[1]Resumen!$J$42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>
      <c r="A35" s="20" t="s">
        <v>45</v>
      </c>
      <c r="B35" s="21">
        <f>+[2]Resumen!$B$42</f>
        <v>0</v>
      </c>
      <c r="C35" s="22">
        <f>+[2]Resumen!$C$42</f>
        <v>0</v>
      </c>
      <c r="D35" s="23">
        <f>+[2]Resumen!$D$42</f>
        <v>0</v>
      </c>
      <c r="E35" s="21">
        <f>+[2]Resumen!$E$42</f>
        <v>0</v>
      </c>
      <c r="F35" s="22">
        <f>+[2]Resumen!$F$42</f>
        <v>0</v>
      </c>
      <c r="G35" s="24">
        <f>+[2]Resumen!$G$42</f>
        <v>0</v>
      </c>
      <c r="H35" s="25">
        <f>+[2]Resumen!$H$42</f>
        <v>0</v>
      </c>
      <c r="I35" s="22">
        <f>+[2]Resumen!$I$42</f>
        <v>0</v>
      </c>
      <c r="J35" s="23">
        <f>+[2]Resumen!$J$42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7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D35"/>
  <sheetViews>
    <sheetView workbookViewId="0">
      <selection activeCell="B5" sqref="B5"/>
    </sheetView>
  </sheetViews>
  <sheetFormatPr baseColWidth="10" defaultRowHeight="15"/>
  <cols>
    <col min="1" max="1" width="17.5703125" bestFit="1" customWidth="1"/>
    <col min="2" max="2" width="16.5703125" bestFit="1" customWidth="1"/>
    <col min="3" max="3" width="14.28515625" bestFit="1" customWidth="1"/>
    <col min="4" max="4" width="10" bestFit="1" customWidth="1"/>
    <col min="5" max="6" width="8.85546875" bestFit="1" customWidth="1"/>
    <col min="7" max="7" width="6.85546875" bestFit="1" customWidth="1"/>
    <col min="8" max="8" width="6" bestFit="1" customWidth="1"/>
    <col min="9" max="9" width="7.85546875" bestFit="1" customWidth="1"/>
    <col min="10" max="10" width="8.85546875" bestFit="1" customWidth="1"/>
    <col min="11" max="11" width="6" bestFit="1" customWidth="1"/>
    <col min="12" max="12" width="7.85546875" bestFit="1" customWidth="1"/>
    <col min="13" max="13" width="6" bestFit="1" customWidth="1"/>
    <col min="14" max="16" width="8.85546875" bestFit="1" customWidth="1"/>
    <col min="17" max="17" width="6.85546875" bestFit="1" customWidth="1"/>
    <col min="18" max="20" width="7.85546875" bestFit="1" customWidth="1"/>
    <col min="21" max="21" width="6" bestFit="1" customWidth="1"/>
    <col min="22" max="22" width="7.85546875" bestFit="1" customWidth="1"/>
    <col min="23" max="23" width="6" bestFit="1" customWidth="1"/>
    <col min="24" max="24" width="7.85546875" bestFit="1" customWidth="1"/>
    <col min="25" max="25" width="6.42578125" bestFit="1" customWidth="1"/>
    <col min="26" max="32" width="6" bestFit="1" customWidth="1"/>
    <col min="33" max="33" width="9.85546875" bestFit="1" customWidth="1"/>
    <col min="34" max="34" width="11.7109375" bestFit="1" customWidth="1"/>
  </cols>
  <sheetData>
    <row r="3" spans="1:4">
      <c r="A3" s="131" t="s">
        <v>117</v>
      </c>
      <c r="B3" t="s">
        <v>128</v>
      </c>
      <c r="C3" t="s">
        <v>129</v>
      </c>
      <c r="D3" t="s">
        <v>130</v>
      </c>
    </row>
    <row r="4" spans="1:4">
      <c r="A4" s="132" t="s">
        <v>119</v>
      </c>
      <c r="B4" s="133">
        <v>49176.5</v>
      </c>
      <c r="C4" s="133">
        <v>62535</v>
      </c>
      <c r="D4" s="133">
        <v>111711.5</v>
      </c>
    </row>
    <row r="5" spans="1:4">
      <c r="A5" s="132" t="s">
        <v>120</v>
      </c>
      <c r="B5" s="133">
        <v>45712</v>
      </c>
      <c r="C5" s="133">
        <v>19662.25</v>
      </c>
      <c r="D5" s="133">
        <v>65374.25</v>
      </c>
    </row>
    <row r="6" spans="1:4">
      <c r="A6" s="132" t="s">
        <v>122</v>
      </c>
      <c r="B6" s="133">
        <v>11002</v>
      </c>
      <c r="C6" s="133">
        <v>0</v>
      </c>
      <c r="D6" s="133">
        <v>11002</v>
      </c>
    </row>
    <row r="7" spans="1:4">
      <c r="A7" s="132" t="s">
        <v>121</v>
      </c>
      <c r="B7" s="133">
        <v>0</v>
      </c>
      <c r="C7" s="133">
        <v>0</v>
      </c>
      <c r="D7" s="133">
        <v>0</v>
      </c>
    </row>
    <row r="8" spans="1:4">
      <c r="A8" s="132" t="s">
        <v>123</v>
      </c>
      <c r="B8" s="133">
        <v>0</v>
      </c>
      <c r="C8" s="133">
        <v>0</v>
      </c>
      <c r="D8" s="133">
        <v>0</v>
      </c>
    </row>
    <row r="9" spans="1:4">
      <c r="A9" s="132" t="s">
        <v>124</v>
      </c>
      <c r="B9" s="133">
        <v>0</v>
      </c>
      <c r="C9" s="133">
        <v>0</v>
      </c>
      <c r="D9" s="133">
        <v>0</v>
      </c>
    </row>
    <row r="10" spans="1:4">
      <c r="A10" s="132" t="s">
        <v>125</v>
      </c>
      <c r="B10" s="133">
        <v>0</v>
      </c>
      <c r="C10" s="133">
        <v>0</v>
      </c>
      <c r="D10" s="133">
        <v>0</v>
      </c>
    </row>
    <row r="11" spans="1:4">
      <c r="A11" s="132" t="s">
        <v>126</v>
      </c>
      <c r="B11" s="133">
        <v>0</v>
      </c>
      <c r="C11" s="133">
        <v>0</v>
      </c>
      <c r="D11" s="133">
        <v>0</v>
      </c>
    </row>
    <row r="12" spans="1:4">
      <c r="A12" s="132" t="s">
        <v>127</v>
      </c>
      <c r="B12" s="133">
        <v>0</v>
      </c>
      <c r="C12" s="133">
        <v>0</v>
      </c>
      <c r="D12" s="133">
        <v>0</v>
      </c>
    </row>
    <row r="13" spans="1:4">
      <c r="A13" s="132" t="s">
        <v>24</v>
      </c>
      <c r="B13" s="133">
        <v>0</v>
      </c>
      <c r="C13" s="133">
        <v>0</v>
      </c>
      <c r="D13" s="133">
        <v>0</v>
      </c>
    </row>
    <row r="14" spans="1:4">
      <c r="A14" s="132" t="s">
        <v>25</v>
      </c>
      <c r="B14" s="133">
        <v>0</v>
      </c>
      <c r="C14" s="133">
        <v>0</v>
      </c>
      <c r="D14" s="133">
        <v>0</v>
      </c>
    </row>
    <row r="15" spans="1:4">
      <c r="A15" s="132" t="s">
        <v>26</v>
      </c>
      <c r="B15" s="133">
        <v>0</v>
      </c>
      <c r="C15" s="133">
        <v>0</v>
      </c>
      <c r="D15" s="133">
        <v>0</v>
      </c>
    </row>
    <row r="16" spans="1:4">
      <c r="A16" s="132" t="s">
        <v>27</v>
      </c>
      <c r="B16" s="133">
        <v>0</v>
      </c>
      <c r="C16" s="133">
        <v>0</v>
      </c>
      <c r="D16" s="133">
        <v>0</v>
      </c>
    </row>
    <row r="17" spans="1:4">
      <c r="A17" s="132" t="s">
        <v>28</v>
      </c>
      <c r="B17" s="133">
        <v>0</v>
      </c>
      <c r="C17" s="133">
        <v>0</v>
      </c>
      <c r="D17" s="133">
        <v>0</v>
      </c>
    </row>
    <row r="18" spans="1:4">
      <c r="A18" s="132" t="s">
        <v>29</v>
      </c>
      <c r="B18" s="133">
        <v>0</v>
      </c>
      <c r="C18" s="133">
        <v>0</v>
      </c>
      <c r="D18" s="133">
        <v>0</v>
      </c>
    </row>
    <row r="19" spans="1:4">
      <c r="A19" s="132" t="s">
        <v>30</v>
      </c>
      <c r="B19" s="133">
        <v>0</v>
      </c>
      <c r="C19" s="133">
        <v>0</v>
      </c>
      <c r="D19" s="133">
        <v>0</v>
      </c>
    </row>
    <row r="20" spans="1:4">
      <c r="A20" s="132" t="s">
        <v>31</v>
      </c>
      <c r="B20" s="133">
        <v>0</v>
      </c>
      <c r="C20" s="133">
        <v>0</v>
      </c>
      <c r="D20" s="133">
        <v>0</v>
      </c>
    </row>
    <row r="21" spans="1:4">
      <c r="A21" s="132" t="s">
        <v>32</v>
      </c>
      <c r="B21" s="133">
        <v>0</v>
      </c>
      <c r="C21" s="133">
        <v>0</v>
      </c>
      <c r="D21" s="133">
        <v>0</v>
      </c>
    </row>
    <row r="22" spans="1:4">
      <c r="A22" s="132" t="s">
        <v>33</v>
      </c>
      <c r="B22" s="133">
        <v>0</v>
      </c>
      <c r="C22" s="133">
        <v>0</v>
      </c>
      <c r="D22" s="133">
        <v>0</v>
      </c>
    </row>
    <row r="23" spans="1:4">
      <c r="A23" s="132" t="s">
        <v>34</v>
      </c>
      <c r="B23" s="133">
        <v>0</v>
      </c>
      <c r="C23" s="133">
        <v>0</v>
      </c>
      <c r="D23" s="133">
        <v>0</v>
      </c>
    </row>
    <row r="24" spans="1:4">
      <c r="A24" s="132" t="s">
        <v>35</v>
      </c>
      <c r="B24" s="133">
        <v>0</v>
      </c>
      <c r="C24" s="133">
        <v>0</v>
      </c>
      <c r="D24" s="133">
        <v>0</v>
      </c>
    </row>
    <row r="25" spans="1:4">
      <c r="A25" s="132" t="s">
        <v>36</v>
      </c>
      <c r="B25" s="133">
        <v>0</v>
      </c>
      <c r="C25" s="133">
        <v>0</v>
      </c>
      <c r="D25" s="133">
        <v>0</v>
      </c>
    </row>
    <row r="26" spans="1:4">
      <c r="A26" s="132" t="s">
        <v>37</v>
      </c>
      <c r="B26" s="133">
        <v>0</v>
      </c>
      <c r="C26" s="133">
        <v>0</v>
      </c>
      <c r="D26" s="133">
        <v>0</v>
      </c>
    </row>
    <row r="27" spans="1:4">
      <c r="A27" s="132" t="s">
        <v>38</v>
      </c>
      <c r="B27" s="133">
        <v>0</v>
      </c>
      <c r="C27" s="133">
        <v>0</v>
      </c>
      <c r="D27" s="133">
        <v>0</v>
      </c>
    </row>
    <row r="28" spans="1:4">
      <c r="A28" s="132" t="s">
        <v>39</v>
      </c>
      <c r="B28" s="133">
        <v>0</v>
      </c>
      <c r="C28" s="133">
        <v>0</v>
      </c>
      <c r="D28" s="133">
        <v>0</v>
      </c>
    </row>
    <row r="29" spans="1:4">
      <c r="A29" s="132" t="s">
        <v>40</v>
      </c>
      <c r="B29" s="133">
        <v>0</v>
      </c>
      <c r="C29" s="133">
        <v>0</v>
      </c>
      <c r="D29" s="133">
        <v>0</v>
      </c>
    </row>
    <row r="30" spans="1:4">
      <c r="A30" s="132" t="s">
        <v>41</v>
      </c>
      <c r="B30" s="133">
        <v>0</v>
      </c>
      <c r="C30" s="133">
        <v>0</v>
      </c>
      <c r="D30" s="133">
        <v>0</v>
      </c>
    </row>
    <row r="31" spans="1:4">
      <c r="A31" s="132" t="s">
        <v>42</v>
      </c>
      <c r="B31" s="133">
        <v>0</v>
      </c>
      <c r="C31" s="133">
        <v>0</v>
      </c>
      <c r="D31" s="133">
        <v>0</v>
      </c>
    </row>
    <row r="32" spans="1:4">
      <c r="A32" s="132" t="s">
        <v>43</v>
      </c>
      <c r="B32" s="133">
        <v>0</v>
      </c>
      <c r="C32" s="133">
        <v>0</v>
      </c>
      <c r="D32" s="133">
        <v>0</v>
      </c>
    </row>
    <row r="33" spans="1:4">
      <c r="A33" s="132" t="s">
        <v>44</v>
      </c>
      <c r="B33" s="133">
        <v>0</v>
      </c>
      <c r="C33" s="133">
        <v>0</v>
      </c>
      <c r="D33" s="133">
        <v>0</v>
      </c>
    </row>
    <row r="34" spans="1:4">
      <c r="A34" s="132" t="s">
        <v>45</v>
      </c>
      <c r="B34" s="133">
        <v>0</v>
      </c>
      <c r="C34" s="133">
        <v>0</v>
      </c>
      <c r="D34" s="133">
        <v>0</v>
      </c>
    </row>
    <row r="35" spans="1:4">
      <c r="A35" s="132" t="s">
        <v>118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L44"/>
  <sheetViews>
    <sheetView showGridLines="0" zoomScale="90" zoomScaleNormal="90" workbookViewId="0">
      <selection activeCell="G1" sqref="G1"/>
    </sheetView>
  </sheetViews>
  <sheetFormatPr baseColWidth="10" defaultColWidth="11.42578125" defaultRowHeight="15"/>
  <cols>
    <col min="1" max="1" width="10.140625" style="1" customWidth="1"/>
    <col min="2" max="2" width="15.85546875" style="1" bestFit="1" customWidth="1"/>
    <col min="3" max="4" width="14.7109375" style="1" bestFit="1" customWidth="1"/>
    <col min="5" max="6" width="14.5703125" style="1" customWidth="1"/>
    <col min="7" max="7" width="13.140625" style="1" bestFit="1" customWidth="1"/>
    <col min="8" max="8" width="14.7109375" style="1" bestFit="1" customWidth="1"/>
    <col min="9" max="9" width="14.7109375" style="1" customWidth="1"/>
    <col min="10" max="10" width="14.7109375" style="1" bestFit="1" customWidth="1"/>
    <col min="11" max="16" width="11.42578125" style="1"/>
    <col min="17" max="17" width="12.42578125" style="1" customWidth="1"/>
    <col min="18" max="18" width="4.85546875" style="1" customWidth="1"/>
    <col min="19" max="20" width="11.42578125" style="1" customWidth="1"/>
    <col min="21" max="1026" width="11.42578125" style="1"/>
  </cols>
  <sheetData>
    <row r="1" spans="1:17" ht="15.75" thickBot="1">
      <c r="K1" s="134" t="s">
        <v>0</v>
      </c>
      <c r="L1" s="134"/>
      <c r="M1" s="134"/>
      <c r="N1" s="134"/>
      <c r="O1" s="134"/>
      <c r="P1" s="134"/>
    </row>
    <row r="2" spans="1:17" ht="19.5" thickBot="1">
      <c r="A2" s="2" t="s">
        <v>1</v>
      </c>
      <c r="B2" s="135" t="s">
        <v>105</v>
      </c>
      <c r="C2" s="135"/>
      <c r="D2" s="135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.75" thickBot="1"/>
    <row r="4" spans="1:17" ht="38.25" thickBot="1">
      <c r="A4" s="123" t="s">
        <v>5</v>
      </c>
      <c r="B4" s="124" t="s">
        <v>15</v>
      </c>
      <c r="C4" s="125" t="s">
        <v>16</v>
      </c>
      <c r="D4" s="126" t="s">
        <v>106</v>
      </c>
      <c r="E4" s="126" t="s">
        <v>109</v>
      </c>
      <c r="F4" s="126" t="s">
        <v>111</v>
      </c>
      <c r="G4" s="126" t="s">
        <v>108</v>
      </c>
      <c r="H4" s="126" t="s">
        <v>110</v>
      </c>
      <c r="I4" s="126" t="s">
        <v>112</v>
      </c>
      <c r="J4" s="126" t="s">
        <v>107</v>
      </c>
      <c r="K4" s="92"/>
      <c r="L4" s="92"/>
      <c r="M4" s="92"/>
      <c r="N4" s="92"/>
      <c r="O4" s="92"/>
      <c r="P4" s="92"/>
      <c r="Q4" s="92"/>
    </row>
    <row r="5" spans="1:17" s="1" customFormat="1">
      <c r="A5" s="20" t="s">
        <v>119</v>
      </c>
      <c r="B5" s="99">
        <f>+'[3]Cta ALI'!$D$19</f>
        <v>572950</v>
      </c>
      <c r="C5" s="100">
        <f>+'[3]Cta ALI'!$E$19</f>
        <v>74483.5</v>
      </c>
      <c r="D5" s="101">
        <f>'[3]Cta ALI'!$F$19+'[3]Cta ALI'!$F$10</f>
        <v>47000</v>
      </c>
      <c r="E5" s="115">
        <f t="shared" ref="E5" si="0">+C5-D5</f>
        <v>27483.5</v>
      </c>
      <c r="F5" s="101">
        <f>+'[3]Cta ALI'!$G$11</f>
        <v>76937.5</v>
      </c>
      <c r="G5" s="101">
        <f>+'[3]Cta ALI'!$G$12</f>
        <v>20000</v>
      </c>
      <c r="H5" s="115">
        <f t="shared" ref="H5" si="1">+F5-G5</f>
        <v>56937.5</v>
      </c>
      <c r="I5" s="127">
        <f>+'[3]Cta ALI'!$G$22</f>
        <v>0</v>
      </c>
      <c r="J5" s="111">
        <f>+E5+H5+I5</f>
        <v>84421</v>
      </c>
      <c r="K5" s="93"/>
      <c r="L5" s="93"/>
      <c r="M5" s="93"/>
      <c r="N5" s="93"/>
      <c r="O5" s="93"/>
      <c r="P5" s="93"/>
      <c r="Q5" s="93"/>
    </row>
    <row r="6" spans="1:17" s="1" customFormat="1">
      <c r="A6" s="13" t="s">
        <v>120</v>
      </c>
      <c r="B6" s="102">
        <f>+'[4]Cta ALI'!$D$19</f>
        <v>413350</v>
      </c>
      <c r="C6" s="103">
        <f>+'[4]Cta ALI'!$E$19</f>
        <v>53735.5</v>
      </c>
      <c r="D6" s="104">
        <f>+'[4]Cta ALI'!$F$19</f>
        <v>30000</v>
      </c>
      <c r="E6" s="116">
        <f>+C6-D6</f>
        <v>23735.5</v>
      </c>
      <c r="F6" s="104">
        <f>+'[4]Cta ALI'!$G$11</f>
        <v>92997.5</v>
      </c>
      <c r="G6" s="104">
        <f>+'[4]Cta ALI'!$G$12</f>
        <v>35000</v>
      </c>
      <c r="H6" s="116">
        <f>+F6-G6</f>
        <v>57997.5</v>
      </c>
      <c r="I6" s="128">
        <f>+'[4]Cta ALI'!$G$22</f>
        <v>0</v>
      </c>
      <c r="J6" s="112">
        <f t="shared" ref="J6:J35" si="2">+E6+H6+I6</f>
        <v>81733</v>
      </c>
      <c r="K6" s="93"/>
      <c r="L6" s="93"/>
      <c r="M6" s="93"/>
      <c r="N6" s="93"/>
      <c r="O6" s="93"/>
      <c r="P6" s="93"/>
      <c r="Q6" s="93"/>
    </row>
    <row r="7" spans="1:17" s="1" customFormat="1">
      <c r="A7" s="20" t="s">
        <v>122</v>
      </c>
      <c r="B7" s="102">
        <f>+'[5]Cta ALI'!$D$19</f>
        <v>603200</v>
      </c>
      <c r="C7" s="103">
        <f>+'[5]Cta ALI'!$E$19</f>
        <v>78416</v>
      </c>
      <c r="D7" s="104">
        <f>+'[5]Cta ALI'!$F$19</f>
        <v>30000</v>
      </c>
      <c r="E7" s="116">
        <f t="shared" ref="E7:E35" si="3">+C7-D7</f>
        <v>48416</v>
      </c>
      <c r="F7" s="104">
        <f>+'[5]Cta ALI'!$G$11</f>
        <v>96631.5</v>
      </c>
      <c r="G7" s="104">
        <f>+'[5]Cta ALI'!$G$12</f>
        <v>35000</v>
      </c>
      <c r="H7" s="116">
        <f t="shared" ref="H7:H35" si="4">+F7-G7</f>
        <v>61631.5</v>
      </c>
      <c r="I7" s="128">
        <f>+'[5]Cta ALI'!$G$22</f>
        <v>0</v>
      </c>
      <c r="J7" s="112">
        <f t="shared" si="2"/>
        <v>110047.5</v>
      </c>
      <c r="K7" s="93"/>
      <c r="L7" s="93"/>
      <c r="M7" s="93"/>
      <c r="N7" s="93"/>
      <c r="O7" s="93"/>
      <c r="P7" s="93"/>
      <c r="Q7" s="93"/>
    </row>
    <row r="8" spans="1:17" s="1" customFormat="1">
      <c r="A8" s="13" t="s">
        <v>121</v>
      </c>
      <c r="B8" s="102">
        <f>+'[6]Cta ALI'!$D$19</f>
        <v>450550</v>
      </c>
      <c r="C8" s="103">
        <f>+'[6]Cta ALI'!$E$19</f>
        <v>58571.5</v>
      </c>
      <c r="D8" s="104">
        <f>+'[6]Cta ALI'!$F$19</f>
        <v>30000</v>
      </c>
      <c r="E8" s="116">
        <f t="shared" si="3"/>
        <v>28571.5</v>
      </c>
      <c r="F8" s="104">
        <f>+'[6]Cta ALI'!$G$11</f>
        <v>51867</v>
      </c>
      <c r="G8" s="104">
        <f>+'[6]Cta ALI'!$G$12</f>
        <v>35000</v>
      </c>
      <c r="H8" s="116">
        <f t="shared" si="4"/>
        <v>16867</v>
      </c>
      <c r="I8" s="128">
        <f>+'[6]Cta ALI'!$G$22</f>
        <v>0</v>
      </c>
      <c r="J8" s="112">
        <f t="shared" si="2"/>
        <v>45438.5</v>
      </c>
      <c r="K8" s="93"/>
      <c r="L8" s="93"/>
      <c r="M8" s="93"/>
      <c r="N8" s="93"/>
      <c r="O8" s="93"/>
      <c r="P8" s="93"/>
      <c r="Q8" s="93"/>
    </row>
    <row r="9" spans="1:17" s="1" customFormat="1">
      <c r="A9" s="20" t="s">
        <v>123</v>
      </c>
      <c r="B9" s="102">
        <f>+'[7]Cta ALI'!$D$19</f>
        <v>455100</v>
      </c>
      <c r="C9" s="103">
        <f>+'[7]Cta ALI'!$E$19</f>
        <v>59163</v>
      </c>
      <c r="D9" s="104">
        <f>+'[7]Cta ALI'!$F$19</f>
        <v>30000</v>
      </c>
      <c r="E9" s="116">
        <f t="shared" si="3"/>
        <v>29163</v>
      </c>
      <c r="F9" s="104">
        <f>+'[7]Cta ALI'!$G$11</f>
        <v>45107.5</v>
      </c>
      <c r="G9" s="104">
        <f>+'[7]Cta ALI'!$G$12</f>
        <v>35000</v>
      </c>
      <c r="H9" s="116">
        <f t="shared" si="4"/>
        <v>10107.5</v>
      </c>
      <c r="I9" s="128">
        <f>+'[7]Cta ALI'!$G$22</f>
        <v>0</v>
      </c>
      <c r="J9" s="112">
        <f t="shared" si="2"/>
        <v>39270.5</v>
      </c>
      <c r="K9" s="93"/>
      <c r="L9" s="93"/>
      <c r="M9" s="93"/>
      <c r="N9" s="93"/>
      <c r="O9" s="93"/>
      <c r="P9" s="93"/>
      <c r="Q9" s="93"/>
    </row>
    <row r="10" spans="1:17" s="1" customFormat="1">
      <c r="A10" s="13" t="s">
        <v>124</v>
      </c>
      <c r="B10" s="102">
        <f>+'[8]Cta ALI'!$D$19</f>
        <v>480050</v>
      </c>
      <c r="C10" s="103">
        <f>+'[8]Cta ALI'!$E$19</f>
        <v>62406.5</v>
      </c>
      <c r="D10" s="104">
        <f>+'[8]Cta ALI'!$F$19</f>
        <v>30000</v>
      </c>
      <c r="E10" s="116">
        <f t="shared" si="3"/>
        <v>32406.5</v>
      </c>
      <c r="F10" s="104">
        <f>+'[8]Cta ALI'!$G$11</f>
        <v>38714</v>
      </c>
      <c r="G10" s="104">
        <f>+'[8]Cta ALI'!$G$12</f>
        <v>20000</v>
      </c>
      <c r="H10" s="116">
        <f t="shared" si="4"/>
        <v>18714</v>
      </c>
      <c r="I10" s="128">
        <f>+'[8]Cta ALI'!$G$22</f>
        <v>0</v>
      </c>
      <c r="J10" s="112">
        <f t="shared" si="2"/>
        <v>51120.5</v>
      </c>
      <c r="K10" s="93"/>
      <c r="L10" s="93"/>
      <c r="M10" s="93"/>
      <c r="N10" s="93"/>
      <c r="O10" s="93"/>
      <c r="P10" s="93"/>
      <c r="Q10" s="93"/>
    </row>
    <row r="11" spans="1:17" s="1" customFormat="1">
      <c r="A11" s="20" t="s">
        <v>125</v>
      </c>
      <c r="B11" s="102">
        <f>+'[9]Cta ALI'!$D$19</f>
        <v>376900</v>
      </c>
      <c r="C11" s="103">
        <f>+'[9]Cta ALI'!$E$19</f>
        <v>48997</v>
      </c>
      <c r="D11" s="104">
        <f>+'[9]Cta ALI'!$F$19</f>
        <v>30000</v>
      </c>
      <c r="E11" s="116">
        <f t="shared" si="3"/>
        <v>18997</v>
      </c>
      <c r="F11" s="104">
        <f>+'[9]Cta ALI'!$G$11</f>
        <v>77592</v>
      </c>
      <c r="G11" s="104">
        <f>+'[9]Cta ALI'!$G$12</f>
        <v>15000</v>
      </c>
      <c r="H11" s="116">
        <f t="shared" si="4"/>
        <v>62592</v>
      </c>
      <c r="I11" s="128">
        <f>+'[9]Cta ALI'!$G$22</f>
        <v>0</v>
      </c>
      <c r="J11" s="112">
        <f t="shared" si="2"/>
        <v>81589</v>
      </c>
      <c r="K11" s="93"/>
      <c r="L11" s="93"/>
      <c r="M11" s="93"/>
      <c r="N11" s="93"/>
      <c r="O11" s="93"/>
      <c r="P11" s="93"/>
      <c r="Q11" s="93"/>
    </row>
    <row r="12" spans="1:17" s="1" customFormat="1">
      <c r="A12" s="13" t="s">
        <v>126</v>
      </c>
      <c r="B12" s="102">
        <f>+'[10]Cta ALI'!$D$19</f>
        <v>538400</v>
      </c>
      <c r="C12" s="103">
        <f>+'[10]Cta ALI'!$E$19</f>
        <v>69992</v>
      </c>
      <c r="D12" s="104">
        <f>+'[10]Cta ALI'!$F$19</f>
        <v>30000</v>
      </c>
      <c r="E12" s="116">
        <f t="shared" si="3"/>
        <v>39992</v>
      </c>
      <c r="F12" s="104">
        <f>+'[10]Cta ALI'!$G$11</f>
        <v>40885</v>
      </c>
      <c r="G12" s="104">
        <f>+'[10]Cta ALI'!$G$12</f>
        <v>15000</v>
      </c>
      <c r="H12" s="116">
        <f t="shared" si="4"/>
        <v>25885</v>
      </c>
      <c r="I12" s="128">
        <f>+'[10]Cta ALI'!$G$22</f>
        <v>0</v>
      </c>
      <c r="J12" s="112">
        <f t="shared" si="2"/>
        <v>65877</v>
      </c>
      <c r="K12" s="93"/>
      <c r="L12" s="93"/>
      <c r="M12" s="93"/>
      <c r="N12" s="93"/>
      <c r="O12" s="93"/>
      <c r="P12" s="93"/>
      <c r="Q12" s="93"/>
    </row>
    <row r="13" spans="1:17" s="1" customFormat="1">
      <c r="A13" s="20" t="s">
        <v>127</v>
      </c>
      <c r="B13" s="102">
        <f>+'[11]Cta ALI'!$D$19</f>
        <v>382150</v>
      </c>
      <c r="C13" s="103">
        <f>+'[11]Cta ALI'!$E$19</f>
        <v>49679.5</v>
      </c>
      <c r="D13" s="104">
        <f>+'[11]Cta ALI'!$F$19</f>
        <v>30000</v>
      </c>
      <c r="E13" s="116">
        <f t="shared" si="3"/>
        <v>19679.5</v>
      </c>
      <c r="F13" s="104">
        <f>+'[11]Cta ALI'!$G$11</f>
        <v>55904</v>
      </c>
      <c r="G13" s="104">
        <f>+'[11]Cta ALI'!$G$12</f>
        <v>35000</v>
      </c>
      <c r="H13" s="116">
        <f t="shared" si="4"/>
        <v>20904</v>
      </c>
      <c r="I13" s="128">
        <f>+'[11]Cta ALI'!$G$22</f>
        <v>0</v>
      </c>
      <c r="J13" s="112">
        <f t="shared" si="2"/>
        <v>40583.5</v>
      </c>
      <c r="K13" s="93"/>
      <c r="L13" s="93"/>
      <c r="M13" s="93"/>
      <c r="N13" s="93"/>
      <c r="O13" s="93"/>
      <c r="P13" s="93"/>
      <c r="Q13" s="93"/>
    </row>
    <row r="14" spans="1:17" s="1" customFormat="1">
      <c r="A14" s="13" t="s">
        <v>24</v>
      </c>
      <c r="B14" s="102">
        <f>+'[12]Cta ALI'!$D$19</f>
        <v>495850</v>
      </c>
      <c r="C14" s="103">
        <f>+'[12]Cta ALI'!$E$19</f>
        <v>64460.5</v>
      </c>
      <c r="D14" s="104">
        <f>+'[12]Cta ALI'!$F$19</f>
        <v>30000</v>
      </c>
      <c r="E14" s="116">
        <f t="shared" si="3"/>
        <v>34460.5</v>
      </c>
      <c r="F14" s="104">
        <f>+'[12]Cta ALI'!$G$11</f>
        <v>71253</v>
      </c>
      <c r="G14" s="104">
        <f>+'[12]Cta ALI'!$G$12</f>
        <v>35000</v>
      </c>
      <c r="H14" s="116">
        <f t="shared" si="4"/>
        <v>36253</v>
      </c>
      <c r="I14" s="128">
        <f>+'[12]Cta ALI'!$G$22</f>
        <v>0</v>
      </c>
      <c r="J14" s="112">
        <f t="shared" si="2"/>
        <v>70713.5</v>
      </c>
      <c r="K14" s="93"/>
      <c r="L14" s="93"/>
      <c r="M14" s="93"/>
      <c r="N14" s="93"/>
      <c r="O14" s="93"/>
      <c r="P14" s="93"/>
      <c r="Q14" s="93"/>
    </row>
    <row r="15" spans="1:17" s="1" customFormat="1">
      <c r="A15" s="20" t="s">
        <v>25</v>
      </c>
      <c r="B15" s="102">
        <f>+'[13]Cta ALI'!$D$19</f>
        <v>527250</v>
      </c>
      <c r="C15" s="103">
        <f>+'[13]Cta ALI'!$E$19</f>
        <v>68542.5</v>
      </c>
      <c r="D15" s="104">
        <f>+'[13]Cta ALI'!$F$19</f>
        <v>30000</v>
      </c>
      <c r="E15" s="116">
        <f t="shared" si="3"/>
        <v>38542.5</v>
      </c>
      <c r="F15" s="104">
        <f>+'[13]Cta ALI'!$G$11</f>
        <v>42828.5</v>
      </c>
      <c r="G15" s="104">
        <f>+'[13]Cta ALI'!$G$12</f>
        <v>35000</v>
      </c>
      <c r="H15" s="116">
        <f t="shared" si="4"/>
        <v>7828.5</v>
      </c>
      <c r="I15" s="128">
        <f>+'[13]Cta ALI'!$G$22</f>
        <v>0</v>
      </c>
      <c r="J15" s="112">
        <f t="shared" si="2"/>
        <v>46371</v>
      </c>
      <c r="K15" s="93"/>
      <c r="L15" s="93"/>
      <c r="M15" s="93"/>
      <c r="N15" s="93"/>
      <c r="O15" s="93"/>
      <c r="P15" s="93"/>
      <c r="Q15" s="93"/>
    </row>
    <row r="16" spans="1:17" s="1" customFormat="1">
      <c r="A16" s="13" t="s">
        <v>26</v>
      </c>
      <c r="B16" s="102">
        <f>+'[14]Cta ALI'!$D$19</f>
        <v>431850</v>
      </c>
      <c r="C16" s="103">
        <f>+'[14]Cta ALI'!$E$19</f>
        <v>56140.5</v>
      </c>
      <c r="D16" s="104">
        <f>+'[14]Cta ALI'!$F$19</f>
        <v>30000</v>
      </c>
      <c r="E16" s="116">
        <f t="shared" si="3"/>
        <v>26140.5</v>
      </c>
      <c r="F16" s="104">
        <f>+'[14]Cta ALI'!$G$11</f>
        <v>131480</v>
      </c>
      <c r="G16" s="104">
        <f>+'[14]Cta ALI'!$G$12</f>
        <v>35000</v>
      </c>
      <c r="H16" s="116">
        <f t="shared" si="4"/>
        <v>96480</v>
      </c>
      <c r="I16" s="128">
        <f>+'[14]Cta ALI'!$G$22</f>
        <v>0</v>
      </c>
      <c r="J16" s="112">
        <f t="shared" si="2"/>
        <v>122620.5</v>
      </c>
      <c r="K16" s="93"/>
      <c r="L16" s="93"/>
      <c r="M16" s="93"/>
      <c r="N16" s="93"/>
      <c r="O16" s="93"/>
      <c r="P16" s="93"/>
      <c r="Q16" s="93"/>
    </row>
    <row r="17" spans="1:17" s="1" customFormat="1">
      <c r="A17" s="20" t="s">
        <v>27</v>
      </c>
      <c r="B17" s="102">
        <f>+'[15]Cta ALI'!$D$19</f>
        <v>407800</v>
      </c>
      <c r="C17" s="103">
        <f>+'[15]Cta ALI'!$E$19</f>
        <v>53014</v>
      </c>
      <c r="D17" s="104">
        <f>+'[15]Cta ALI'!$F$19</f>
        <v>30000</v>
      </c>
      <c r="E17" s="116">
        <f t="shared" si="3"/>
        <v>23014</v>
      </c>
      <c r="F17" s="104">
        <f>+'[15]Cta ALI'!$G$11</f>
        <v>83690.5</v>
      </c>
      <c r="G17" s="104">
        <f>+'[15]Cta ALI'!$G$12</f>
        <v>35000</v>
      </c>
      <c r="H17" s="116">
        <f t="shared" si="4"/>
        <v>48690.5</v>
      </c>
      <c r="I17" s="128">
        <f>+'[15]Cta ALI'!$G$22</f>
        <v>0</v>
      </c>
      <c r="J17" s="112">
        <f t="shared" si="2"/>
        <v>71704.5</v>
      </c>
      <c r="K17" s="93"/>
      <c r="L17" s="93"/>
      <c r="M17" s="93"/>
      <c r="N17" s="93"/>
      <c r="O17" s="93"/>
      <c r="P17" s="93"/>
      <c r="Q17" s="93"/>
    </row>
    <row r="18" spans="1:17" s="1" customFormat="1">
      <c r="A18" s="20" t="s">
        <v>28</v>
      </c>
      <c r="B18" s="102">
        <f>+'[16]Cta ALI'!$D$19</f>
        <v>507600</v>
      </c>
      <c r="C18" s="103">
        <f>+'[16]Cta ALI'!$E$19</f>
        <v>65988</v>
      </c>
      <c r="D18" s="104">
        <f>+'[16]Cta ALI'!$F$19</f>
        <v>30000</v>
      </c>
      <c r="E18" s="116">
        <f t="shared" si="3"/>
        <v>35988</v>
      </c>
      <c r="F18" s="104">
        <f>+'[16]Cta ALI'!$G$11</f>
        <v>110536</v>
      </c>
      <c r="G18" s="104">
        <f>+'[16]Cta ALI'!$G$12</f>
        <v>20000</v>
      </c>
      <c r="H18" s="116">
        <f t="shared" si="4"/>
        <v>90536</v>
      </c>
      <c r="I18" s="128">
        <f>+'[16]Cta ALI'!$G$22</f>
        <v>0</v>
      </c>
      <c r="J18" s="112">
        <f t="shared" si="2"/>
        <v>126524</v>
      </c>
      <c r="K18" s="93"/>
      <c r="L18" s="93"/>
      <c r="M18" s="93"/>
      <c r="N18" s="93"/>
      <c r="O18" s="93"/>
      <c r="P18" s="93"/>
      <c r="Q18" s="93"/>
    </row>
    <row r="19" spans="1:17" s="1" customFormat="1">
      <c r="A19" s="13" t="s">
        <v>29</v>
      </c>
      <c r="B19" s="102">
        <f>+'[17]Cta ALI'!$D$19</f>
        <v>531800</v>
      </c>
      <c r="C19" s="103">
        <f>+'[17]Cta ALI'!$E$19</f>
        <v>69134</v>
      </c>
      <c r="D19" s="104">
        <f>+'[17]Cta ALI'!$F$19</f>
        <v>30000</v>
      </c>
      <c r="E19" s="116">
        <f t="shared" si="3"/>
        <v>39134</v>
      </c>
      <c r="F19" s="104">
        <f>+'[17]Cta ALI'!$G$11</f>
        <v>85522</v>
      </c>
      <c r="G19" s="104">
        <f>+'[17]Cta ALI'!$G$12</f>
        <v>0</v>
      </c>
      <c r="H19" s="116">
        <f t="shared" si="4"/>
        <v>85522</v>
      </c>
      <c r="I19" s="128">
        <f>+'[17]Cta ALI'!$G$22</f>
        <v>111314</v>
      </c>
      <c r="J19" s="112">
        <f t="shared" si="2"/>
        <v>235970</v>
      </c>
      <c r="K19" s="93"/>
      <c r="L19" s="93"/>
      <c r="M19" s="93"/>
      <c r="N19" s="93"/>
      <c r="O19" s="93"/>
      <c r="P19" s="93"/>
      <c r="Q19" s="93"/>
    </row>
    <row r="20" spans="1:17" s="1" customFormat="1">
      <c r="A20" s="20" t="s">
        <v>30</v>
      </c>
      <c r="B20" s="102">
        <f>+'[18]Cta ALI'!$D$19</f>
        <v>395550</v>
      </c>
      <c r="C20" s="105">
        <f>+'[18]Cta ALI'!$E$19</f>
        <v>51421.5</v>
      </c>
      <c r="D20" s="106">
        <f>+'[18]Cta ALI'!$F$19</f>
        <v>30000</v>
      </c>
      <c r="E20" s="117">
        <f t="shared" si="3"/>
        <v>21421.5</v>
      </c>
      <c r="F20" s="106">
        <f>+'[18]Cta ALI'!$G$11</f>
        <v>108544</v>
      </c>
      <c r="G20" s="106">
        <f>+'[18]Cta ALI'!$G$12</f>
        <v>35000</v>
      </c>
      <c r="H20" s="117">
        <f t="shared" si="4"/>
        <v>73544</v>
      </c>
      <c r="I20" s="129">
        <f>+'[18]Cta ALI'!$G$22</f>
        <v>-17600</v>
      </c>
      <c r="J20" s="113">
        <f t="shared" si="2"/>
        <v>77365.5</v>
      </c>
      <c r="K20" s="93"/>
      <c r="L20" s="93"/>
      <c r="M20" s="93"/>
      <c r="N20" s="93"/>
      <c r="O20" s="93"/>
      <c r="P20" s="93"/>
      <c r="Q20" s="93"/>
    </row>
    <row r="21" spans="1:17" s="1" customFormat="1">
      <c r="A21" s="13" t="s">
        <v>31</v>
      </c>
      <c r="B21" s="102">
        <f>+'[19]Cta ALI'!$D$19</f>
        <v>441000</v>
      </c>
      <c r="C21" s="105">
        <f>+'[19]Cta ALI'!$E$19</f>
        <v>57330</v>
      </c>
      <c r="D21" s="106">
        <f>+'[19]Cta ALI'!$F$19</f>
        <v>30000</v>
      </c>
      <c r="E21" s="117">
        <f t="shared" si="3"/>
        <v>27330</v>
      </c>
      <c r="F21" s="106">
        <f>+'[19]Cta ALI'!$G$11</f>
        <v>136937</v>
      </c>
      <c r="G21" s="106">
        <f>+'[19]Cta ALI'!$G$12</f>
        <v>35000</v>
      </c>
      <c r="H21" s="117">
        <f t="shared" si="4"/>
        <v>101937</v>
      </c>
      <c r="I21" s="129">
        <f>+'[19]Cta ALI'!$G$22</f>
        <v>0</v>
      </c>
      <c r="J21" s="113">
        <f t="shared" si="2"/>
        <v>129267</v>
      </c>
      <c r="K21" s="93"/>
      <c r="L21" s="93"/>
      <c r="M21" s="93"/>
      <c r="N21" s="93"/>
      <c r="O21" s="93"/>
      <c r="P21" s="93"/>
      <c r="Q21" s="93"/>
    </row>
    <row r="22" spans="1:17" s="1" customFormat="1">
      <c r="A22" s="20" t="s">
        <v>32</v>
      </c>
      <c r="B22" s="102">
        <f>+'[20]Cta ALI'!$D$19</f>
        <v>434200</v>
      </c>
      <c r="C22" s="105">
        <f>+'[20]Cta ALI'!$E$19</f>
        <v>56446</v>
      </c>
      <c r="D22" s="106">
        <f>+'[20]Cta ALI'!$F$19</f>
        <v>30000</v>
      </c>
      <c r="E22" s="117">
        <f t="shared" si="3"/>
        <v>26446</v>
      </c>
      <c r="F22" s="106">
        <f>+'[20]Cta ALI'!$G$11</f>
        <v>79133</v>
      </c>
      <c r="G22" s="106">
        <f>+'[20]Cta ALI'!$G$12</f>
        <v>35000</v>
      </c>
      <c r="H22" s="117">
        <f t="shared" si="4"/>
        <v>44133</v>
      </c>
      <c r="I22" s="129">
        <f>+'[20]Cta ALI'!$G$22</f>
        <v>0</v>
      </c>
      <c r="J22" s="113">
        <f t="shared" si="2"/>
        <v>70579</v>
      </c>
      <c r="K22" s="93"/>
      <c r="L22" s="93"/>
      <c r="M22" s="93"/>
      <c r="N22" s="93"/>
      <c r="O22" s="93"/>
      <c r="P22" s="93"/>
      <c r="Q22" s="93"/>
    </row>
    <row r="23" spans="1:17" s="1" customFormat="1">
      <c r="A23" s="13" t="s">
        <v>33</v>
      </c>
      <c r="B23" s="102">
        <f>+'[21]Cta ALI'!$D$19</f>
        <v>414650</v>
      </c>
      <c r="C23" s="105">
        <f>+'[21]Cta ALI'!$E$19</f>
        <v>53904.5</v>
      </c>
      <c r="D23" s="106">
        <f>+'[21]Cta ALI'!$F$19</f>
        <v>30000</v>
      </c>
      <c r="E23" s="117">
        <f t="shared" si="3"/>
        <v>23904.5</v>
      </c>
      <c r="F23" s="106">
        <f>+'[21]Cta ALI'!$G$11</f>
        <v>83713.5</v>
      </c>
      <c r="G23" s="106">
        <f>+'[21]Cta ALI'!$G$12</f>
        <v>35000</v>
      </c>
      <c r="H23" s="117">
        <f t="shared" si="4"/>
        <v>48713.5</v>
      </c>
      <c r="I23" s="129">
        <f>+'[21]Cta ALI'!$G$22</f>
        <v>0</v>
      </c>
      <c r="J23" s="113">
        <f t="shared" si="2"/>
        <v>72618</v>
      </c>
      <c r="K23" s="93"/>
      <c r="L23" s="93"/>
      <c r="M23" s="93"/>
      <c r="N23" s="93"/>
      <c r="O23" s="93"/>
      <c r="P23" s="93"/>
      <c r="Q23" s="93"/>
    </row>
    <row r="24" spans="1:17" s="1" customFormat="1">
      <c r="A24" s="20" t="s">
        <v>34</v>
      </c>
      <c r="B24" s="102">
        <f>+'[22]Cta ALI'!$D$19</f>
        <v>436600</v>
      </c>
      <c r="C24" s="105">
        <f>+'[22]Cta ALI'!$E$19</f>
        <v>56758</v>
      </c>
      <c r="D24" s="106">
        <f>+'[22]Cta ALI'!$F$19</f>
        <v>30000</v>
      </c>
      <c r="E24" s="117">
        <f t="shared" si="3"/>
        <v>26758</v>
      </c>
      <c r="F24" s="106">
        <f>+'[22]Cta ALI'!$G$11</f>
        <v>47314</v>
      </c>
      <c r="G24" s="106">
        <f>+'[22]Cta ALI'!$G$12</f>
        <v>35000</v>
      </c>
      <c r="H24" s="117">
        <f t="shared" si="4"/>
        <v>12314</v>
      </c>
      <c r="I24" s="129">
        <f>+'[22]Cta ALI'!$G$22</f>
        <v>0</v>
      </c>
      <c r="J24" s="113">
        <f t="shared" si="2"/>
        <v>39072</v>
      </c>
      <c r="K24" s="93"/>
      <c r="L24" s="93"/>
      <c r="M24" s="93"/>
      <c r="N24" s="93"/>
      <c r="O24" s="93"/>
      <c r="P24" s="93"/>
      <c r="Q24" s="93"/>
    </row>
    <row r="25" spans="1:17" s="1" customFormat="1">
      <c r="A25" s="13" t="s">
        <v>35</v>
      </c>
      <c r="B25" s="102">
        <f>+'[23]Cta ALI'!$D$19</f>
        <v>465250</v>
      </c>
      <c r="C25" s="105">
        <f>+'[23]Cta ALI'!$E$19</f>
        <v>60482.5</v>
      </c>
      <c r="D25" s="106">
        <f>+'[23]Cta ALI'!$F$19</f>
        <v>30000</v>
      </c>
      <c r="E25" s="117">
        <f t="shared" si="3"/>
        <v>30482.5</v>
      </c>
      <c r="F25" s="106">
        <f>+'[23]Cta ALI'!$G$11</f>
        <v>72857</v>
      </c>
      <c r="G25" s="106">
        <f>+'[23]Cta ALI'!$G$12</f>
        <v>20000</v>
      </c>
      <c r="H25" s="117">
        <f t="shared" si="4"/>
        <v>52857</v>
      </c>
      <c r="I25" s="129">
        <f>+'[23]Cta ALI'!$G$22</f>
        <v>0</v>
      </c>
      <c r="J25" s="113">
        <f t="shared" si="2"/>
        <v>83339.5</v>
      </c>
      <c r="K25" s="93"/>
      <c r="L25" s="93"/>
      <c r="M25" s="93"/>
      <c r="N25" s="93"/>
      <c r="O25" s="93"/>
      <c r="P25" s="93"/>
      <c r="Q25" s="93"/>
    </row>
    <row r="26" spans="1:17" s="1" customFormat="1">
      <c r="A26" s="20" t="s">
        <v>36</v>
      </c>
      <c r="B26" s="102">
        <f>+'[24]Cta ALI'!$D$19</f>
        <v>418300</v>
      </c>
      <c r="C26" s="105">
        <f>+'[24]Cta ALI'!$E$19</f>
        <v>54379</v>
      </c>
      <c r="D26" s="106">
        <f>+'[24]Cta ALI'!$F$19</f>
        <v>30000</v>
      </c>
      <c r="E26" s="117">
        <f t="shared" si="3"/>
        <v>24379</v>
      </c>
      <c r="F26" s="106">
        <f>+'[24]Cta ALI'!$G$11</f>
        <v>106555.5</v>
      </c>
      <c r="G26" s="106">
        <f>+'[24]Cta ALI'!$G$12</f>
        <v>15000</v>
      </c>
      <c r="H26" s="117">
        <f t="shared" si="4"/>
        <v>91555.5</v>
      </c>
      <c r="I26" s="129">
        <f>+'[24]Cta ALI'!$G$22</f>
        <v>0</v>
      </c>
      <c r="J26" s="113">
        <f t="shared" si="2"/>
        <v>115934.5</v>
      </c>
      <c r="K26" s="93"/>
      <c r="L26" s="93"/>
      <c r="M26" s="93"/>
      <c r="N26" s="93"/>
      <c r="O26" s="93"/>
      <c r="P26" s="93"/>
      <c r="Q26" s="93"/>
    </row>
    <row r="27" spans="1:17" s="1" customFormat="1">
      <c r="A27" s="13" t="s">
        <v>37</v>
      </c>
      <c r="B27" s="102">
        <f>+'[25]Cta ALI'!$D$19</f>
        <v>461100</v>
      </c>
      <c r="C27" s="105">
        <f>+'[25]Cta ALI'!$E$19</f>
        <v>59943</v>
      </c>
      <c r="D27" s="106">
        <f>+'[25]Cta ALI'!$F$19</f>
        <v>30000</v>
      </c>
      <c r="E27" s="117">
        <f t="shared" si="3"/>
        <v>29943</v>
      </c>
      <c r="F27" s="106">
        <f>+'[25]Cta ALI'!$G$11</f>
        <v>112231.5</v>
      </c>
      <c r="G27" s="106">
        <f>+'[25]Cta ALI'!$G$12</f>
        <v>35000</v>
      </c>
      <c r="H27" s="117">
        <f t="shared" si="4"/>
        <v>77231.5</v>
      </c>
      <c r="I27" s="129">
        <f>+'[25]Cta ALI'!$G$22</f>
        <v>-180858</v>
      </c>
      <c r="J27" s="113">
        <f t="shared" si="2"/>
        <v>-73683.5</v>
      </c>
      <c r="K27" s="93"/>
      <c r="L27" s="93"/>
      <c r="M27" s="93"/>
      <c r="N27" s="93"/>
      <c r="O27" s="93"/>
      <c r="P27" s="93"/>
      <c r="Q27" s="93"/>
    </row>
    <row r="28" spans="1:17" s="1" customFormat="1">
      <c r="A28" s="20" t="s">
        <v>38</v>
      </c>
      <c r="B28" s="102">
        <f>+'[26]Cta ALI'!$D$19</f>
        <v>410000</v>
      </c>
      <c r="C28" s="105">
        <f>+'[26]Cta ALI'!$E$19</f>
        <v>53300</v>
      </c>
      <c r="D28" s="106">
        <f>+'[26]Cta ALI'!$F$19</f>
        <v>30000</v>
      </c>
      <c r="E28" s="117">
        <f t="shared" si="3"/>
        <v>23300</v>
      </c>
      <c r="F28" s="106">
        <f>+'[26]Cta ALI'!$G$11</f>
        <v>52216</v>
      </c>
      <c r="G28" s="106">
        <f>+'[26]Cta ALI'!$G$12</f>
        <v>35000</v>
      </c>
      <c r="H28" s="117">
        <f t="shared" si="4"/>
        <v>17216</v>
      </c>
      <c r="I28" s="129">
        <f>+'[26]Cta ALI'!$G$22</f>
        <v>0</v>
      </c>
      <c r="J28" s="113">
        <f t="shared" si="2"/>
        <v>40516</v>
      </c>
      <c r="K28" s="93"/>
      <c r="L28" s="93"/>
      <c r="M28" s="93"/>
      <c r="N28" s="93"/>
      <c r="O28" s="93"/>
      <c r="P28" s="93"/>
      <c r="Q28" s="93"/>
    </row>
    <row r="29" spans="1:17" s="1" customFormat="1">
      <c r="A29" s="13" t="s">
        <v>39</v>
      </c>
      <c r="B29" s="102">
        <f>+'[27]Cta ALI'!$D$19</f>
        <v>525650</v>
      </c>
      <c r="C29" s="105">
        <f>+'[27]Cta ALI'!$E$19</f>
        <v>68334.5</v>
      </c>
      <c r="D29" s="106">
        <f>+'[27]Cta ALI'!$F$19</f>
        <v>30000</v>
      </c>
      <c r="E29" s="117">
        <f t="shared" si="3"/>
        <v>38334.5</v>
      </c>
      <c r="F29" s="106">
        <f>+'[27]Cta ALI'!$G$11</f>
        <v>63620.680000000168</v>
      </c>
      <c r="G29" s="106">
        <f>+'[27]Cta ALI'!$G$12</f>
        <v>35000</v>
      </c>
      <c r="H29" s="117">
        <f t="shared" si="4"/>
        <v>28620.680000000168</v>
      </c>
      <c r="I29" s="129">
        <f>+'[27]Cta ALI'!$G$22</f>
        <v>-1040059.68</v>
      </c>
      <c r="J29" s="113">
        <f t="shared" si="2"/>
        <v>-973104.49999999988</v>
      </c>
      <c r="K29" s="93"/>
      <c r="L29" s="93"/>
      <c r="M29" s="93"/>
      <c r="N29" s="93"/>
      <c r="O29" s="93"/>
      <c r="P29" s="93"/>
      <c r="Q29" s="93"/>
    </row>
    <row r="30" spans="1:17" s="1" customFormat="1">
      <c r="A30" s="20" t="s">
        <v>40</v>
      </c>
      <c r="B30" s="102">
        <f>+'[28]Cta ALI'!$D$19</f>
        <v>371000</v>
      </c>
      <c r="C30" s="105">
        <f>+'[28]Cta ALI'!$E$19</f>
        <v>48230</v>
      </c>
      <c r="D30" s="106">
        <f>+'[28]Cta ALI'!$F$19</f>
        <v>30000</v>
      </c>
      <c r="E30" s="117">
        <f t="shared" si="3"/>
        <v>18230</v>
      </c>
      <c r="F30" s="106">
        <f>+'[28]Cta ALI'!$G$11</f>
        <v>223559.5</v>
      </c>
      <c r="G30" s="106">
        <f>+'[28]Cta ALI'!$G$12</f>
        <v>35000</v>
      </c>
      <c r="H30" s="117">
        <f t="shared" si="4"/>
        <v>188559.5</v>
      </c>
      <c r="I30" s="129">
        <f>+'[28]Cta ALI'!$G$22</f>
        <v>11835</v>
      </c>
      <c r="J30" s="113">
        <f t="shared" si="2"/>
        <v>218624.5</v>
      </c>
      <c r="K30" s="93"/>
      <c r="L30" s="93"/>
      <c r="M30" s="93"/>
      <c r="N30" s="93"/>
      <c r="O30" s="93"/>
      <c r="P30" s="93"/>
      <c r="Q30" s="93"/>
    </row>
    <row r="31" spans="1:17" s="1" customFormat="1">
      <c r="A31" s="20" t="s">
        <v>41</v>
      </c>
      <c r="B31" s="102">
        <f>+'[29]Cta ALI'!$D$19</f>
        <v>457400</v>
      </c>
      <c r="C31" s="105">
        <f>+'[29]Cta ALI'!$E$19</f>
        <v>59462</v>
      </c>
      <c r="D31" s="106">
        <f>+'[29]Cta ALI'!$F$19</f>
        <v>30000</v>
      </c>
      <c r="E31" s="117">
        <f t="shared" si="3"/>
        <v>29462</v>
      </c>
      <c r="F31" s="106">
        <f>+'[29]Cta ALI'!$G$11</f>
        <v>111541.5</v>
      </c>
      <c r="G31" s="106">
        <f>+'[29]Cta ALI'!$G$12</f>
        <v>35000</v>
      </c>
      <c r="H31" s="117">
        <f t="shared" si="4"/>
        <v>76541.5</v>
      </c>
      <c r="I31" s="129">
        <f>+'[29]Cta ALI'!$G$22</f>
        <v>0</v>
      </c>
      <c r="J31" s="113">
        <f t="shared" si="2"/>
        <v>106003.5</v>
      </c>
      <c r="K31" s="93"/>
      <c r="L31" s="93"/>
      <c r="M31" s="93"/>
      <c r="N31" s="93"/>
      <c r="O31" s="93"/>
      <c r="P31" s="93"/>
      <c r="Q31" s="93"/>
    </row>
    <row r="32" spans="1:17" s="1" customFormat="1">
      <c r="A32" s="13" t="s">
        <v>42</v>
      </c>
      <c r="B32" s="102">
        <f>+'[30]Cta ALI'!$D$19</f>
        <v>368250</v>
      </c>
      <c r="C32" s="105">
        <f>+'[30]Cta ALI'!$E$19</f>
        <v>47872.5</v>
      </c>
      <c r="D32" s="106">
        <f>+'[30]Cta ALI'!$F$19</f>
        <v>30000</v>
      </c>
      <c r="E32" s="117">
        <f t="shared" si="3"/>
        <v>17872.5</v>
      </c>
      <c r="F32" s="106">
        <f>+'[30]Cta ALI'!$G$11</f>
        <v>50908</v>
      </c>
      <c r="G32" s="106">
        <f>+'[30]Cta ALI'!$G$12</f>
        <v>20000</v>
      </c>
      <c r="H32" s="117">
        <f t="shared" si="4"/>
        <v>30908</v>
      </c>
      <c r="I32" s="129">
        <f>+'[30]Cta ALI'!$G$22</f>
        <v>0</v>
      </c>
      <c r="J32" s="113">
        <f t="shared" si="2"/>
        <v>48780.5</v>
      </c>
      <c r="K32" s="93"/>
      <c r="L32" s="93"/>
      <c r="M32" s="93"/>
      <c r="N32" s="93"/>
      <c r="O32" s="93"/>
      <c r="P32" s="93"/>
      <c r="Q32" s="93"/>
    </row>
    <row r="33" spans="1:17" s="1" customFormat="1">
      <c r="A33" s="20" t="s">
        <v>43</v>
      </c>
      <c r="B33" s="102">
        <f>+'[31]Cta ALI'!$D$19</f>
        <v>394050</v>
      </c>
      <c r="C33" s="105">
        <f>+'[31]Cta ALI'!$E$19</f>
        <v>51226.5</v>
      </c>
      <c r="D33" s="106">
        <f>+'[31]Cta ALI'!$F$19</f>
        <v>30000</v>
      </c>
      <c r="E33" s="117">
        <f t="shared" si="3"/>
        <v>21226.5</v>
      </c>
      <c r="F33" s="106">
        <f>+'[31]Cta ALI'!$G$11</f>
        <v>71217.300000000047</v>
      </c>
      <c r="G33" s="106">
        <f>+'[31]Cta ALI'!$G$12</f>
        <v>15000</v>
      </c>
      <c r="H33" s="117">
        <f t="shared" si="4"/>
        <v>56217.300000000047</v>
      </c>
      <c r="I33" s="129">
        <f>+'[31]Cta ALI'!$G$22</f>
        <v>-253229.8</v>
      </c>
      <c r="J33" s="113">
        <f t="shared" si="2"/>
        <v>-175785.99999999994</v>
      </c>
      <c r="K33" s="93"/>
      <c r="L33" s="93"/>
      <c r="M33" s="93"/>
      <c r="N33" s="93"/>
      <c r="O33" s="93"/>
      <c r="P33" s="93"/>
      <c r="Q33" s="93"/>
    </row>
    <row r="34" spans="1:17" s="1" customFormat="1">
      <c r="A34" s="13" t="s">
        <v>44</v>
      </c>
      <c r="B34" s="102">
        <f>+'[1]Cta ALI'!$D$19</f>
        <v>404650</v>
      </c>
      <c r="C34" s="105">
        <f>+'[1]Cta ALI'!$E$19</f>
        <v>52604.5</v>
      </c>
      <c r="D34" s="106">
        <f>+'[1]Cta ALI'!$F$19</f>
        <v>30000</v>
      </c>
      <c r="E34" s="117">
        <f t="shared" si="3"/>
        <v>22604.5</v>
      </c>
      <c r="F34" s="106">
        <f>+'[1]Cta ALI'!$G$11</f>
        <v>37325.5</v>
      </c>
      <c r="G34" s="106">
        <f>+'[1]Cta ALI'!$G$12</f>
        <v>35000</v>
      </c>
      <c r="H34" s="117">
        <f t="shared" si="4"/>
        <v>2325.5</v>
      </c>
      <c r="I34" s="129">
        <f>+'[1]Cta ALI'!$G$22</f>
        <v>0</v>
      </c>
      <c r="J34" s="113">
        <f t="shared" si="2"/>
        <v>24930</v>
      </c>
      <c r="K34" s="93"/>
      <c r="L34" s="93"/>
      <c r="M34" s="93"/>
      <c r="N34" s="93"/>
      <c r="O34" s="93"/>
      <c r="P34" s="93"/>
      <c r="Q34" s="93"/>
    </row>
    <row r="35" spans="1:17" s="1" customFormat="1" ht="15.75" thickBot="1">
      <c r="A35" s="20" t="s">
        <v>45</v>
      </c>
      <c r="B35" s="107">
        <f>+'[2]Cta ALI'!$D$19</f>
        <v>606250</v>
      </c>
      <c r="C35" s="108">
        <f>+'[2]Cta ALI'!$E$19</f>
        <v>78812.5</v>
      </c>
      <c r="D35" s="109">
        <f>+'[2]Cta ALI'!$F$19</f>
        <v>30000</v>
      </c>
      <c r="E35" s="118">
        <f t="shared" si="3"/>
        <v>48812.5</v>
      </c>
      <c r="F35" s="109">
        <f>+'[2]Cta ALI'!$G$11</f>
        <v>78559</v>
      </c>
      <c r="G35" s="109">
        <f>+'[2]Cta ALI'!$G$12</f>
        <v>35000</v>
      </c>
      <c r="H35" s="118">
        <f t="shared" si="4"/>
        <v>43559</v>
      </c>
      <c r="I35" s="130">
        <f>+'[2]Cta ALI'!$G$22</f>
        <v>0</v>
      </c>
      <c r="J35" s="114">
        <f t="shared" si="2"/>
        <v>92371.5</v>
      </c>
      <c r="K35" s="93"/>
      <c r="L35" s="93"/>
      <c r="M35" s="93"/>
      <c r="N35" s="93"/>
      <c r="O35" s="93"/>
      <c r="P35" s="93"/>
      <c r="Q35" s="93"/>
    </row>
    <row r="36" spans="1:17" s="1" customFormat="1" ht="16.5" thickBot="1">
      <c r="A36" s="110" t="s">
        <v>46</v>
      </c>
      <c r="B36" s="119">
        <f>SUM(B5:B35)</f>
        <v>14178700</v>
      </c>
      <c r="C36" s="120">
        <f t="shared" ref="C36:D36" si="5">SUM(C5:C35)</f>
        <v>1843231</v>
      </c>
      <c r="D36" s="121">
        <f t="shared" si="5"/>
        <v>947000</v>
      </c>
      <c r="E36" s="122">
        <f t="shared" ref="E36" si="6">SUM(E5:E35)</f>
        <v>896231</v>
      </c>
      <c r="F36" s="121">
        <f t="shared" ref="F36" si="7">SUM(F5:F35)</f>
        <v>2538178.9800000004</v>
      </c>
      <c r="G36" s="121">
        <f t="shared" ref="G36:I36" si="8">SUM(G5:G35)</f>
        <v>895000</v>
      </c>
      <c r="H36" s="122">
        <f t="shared" ref="H36" si="9">SUM(H5:H35)</f>
        <v>1643178.9800000002</v>
      </c>
      <c r="I36" s="121">
        <f t="shared" si="8"/>
        <v>-1368598.4800000002</v>
      </c>
      <c r="J36" s="121">
        <f t="shared" ref="J36" si="10">SUM(J5:J35)</f>
        <v>1170811.5</v>
      </c>
      <c r="K36" s="94"/>
      <c r="L36" s="94"/>
      <c r="M36" s="94"/>
      <c r="N36" s="94"/>
      <c r="O36" s="94"/>
      <c r="P36" s="94"/>
      <c r="Q36" s="95"/>
    </row>
    <row r="37" spans="1:17" s="1" customFormat="1"/>
    <row r="38" spans="1:17" s="1" customFormat="1">
      <c r="L38" s="144"/>
      <c r="M38" s="144"/>
      <c r="N38" s="96"/>
    </row>
    <row r="39" spans="1:17" s="1" customFormat="1">
      <c r="B39" s="1">
        <f>+B36/16</f>
        <v>886168.75</v>
      </c>
      <c r="L39" s="144"/>
      <c r="M39" s="144"/>
      <c r="N39" s="97"/>
    </row>
    <row r="40" spans="1:17">
      <c r="L40" s="96"/>
      <c r="M40" s="96"/>
      <c r="N40" s="96"/>
    </row>
    <row r="41" spans="1:17" s="1" customFormat="1">
      <c r="L41" s="96"/>
      <c r="M41" s="96"/>
      <c r="N41" s="96"/>
    </row>
    <row r="42" spans="1:17" s="1" customFormat="1">
      <c r="L42" s="96"/>
      <c r="M42" s="96"/>
      <c r="N42" s="96"/>
    </row>
    <row r="43" spans="1:17" s="1" customFormat="1">
      <c r="L43" s="96"/>
      <c r="M43" s="96"/>
      <c r="N43" s="96"/>
    </row>
    <row r="44" spans="1:17" s="1" customFormat="1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44</vt:i4>
      </vt:variant>
      <vt:variant>
        <vt:lpstr>Gráficos</vt:lpstr>
      </vt:variant>
      <vt:variant>
        <vt:i4>1</vt:i4>
      </vt:variant>
    </vt:vector>
  </HeadingPairs>
  <TitlesOfParts>
    <vt:vector size="45" baseType="lpstr"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 Ventas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30</cp:revision>
  <cp:lastPrinted>2025-05-13T01:14:16Z</cp:lastPrinted>
  <dcterms:created xsi:type="dcterms:W3CDTF">2015-06-05T18:19:34Z</dcterms:created>
  <dcterms:modified xsi:type="dcterms:W3CDTF">2026-04-28T23:23:53Z</dcterms:modified>
  <dc:language>es-CR</dc:language>
</cp:coreProperties>
</file>
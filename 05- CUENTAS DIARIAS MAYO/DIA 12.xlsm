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a265beba3831e65/Importaciones/panaguanacastelj@gmail.com - Google Drive/05- CUANTAS DIARIAS MAYO/"/>
    </mc:Choice>
  </mc:AlternateContent>
  <xr:revisionPtr revIDLastSave="81" documentId="11_75EC1B13AC0468F9E14F71143107A97690BC9CA4" xr6:coauthVersionLast="47" xr6:coauthVersionMax="47" xr10:uidLastSave="{E35CDE5D-8274-4E8F-8567-B406AFAA7D29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Print_Area" localSheetId="5">HojaPrimera!$A$1:$N$43</definedName>
    <definedName name="_xlnm.Print_Area" localSheetId="29">Vendedor19!$A$1:$K$19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7" l="1"/>
  <c r="B2" i="6"/>
  <c r="B2" i="15"/>
  <c r="B2" i="14"/>
  <c r="B2" i="16"/>
  <c r="B2" i="21"/>
  <c r="B2" i="22"/>
  <c r="I5" i="69"/>
  <c r="K12" i="69"/>
  <c r="G10" i="62"/>
  <c r="J10" i="61"/>
  <c r="I10" i="61"/>
  <c r="G10" i="61"/>
  <c r="G10" i="60"/>
  <c r="G17" i="60"/>
  <c r="H18" i="60"/>
  <c r="G18" i="60"/>
  <c r="E10" i="64"/>
  <c r="C10" i="64"/>
  <c r="D10" i="65"/>
  <c r="C10" i="65"/>
  <c r="E10" i="62"/>
  <c r="C10" i="62"/>
  <c r="E10" i="61"/>
  <c r="D10" i="61"/>
  <c r="C10" i="61"/>
  <c r="E10" i="60"/>
  <c r="C17" i="60"/>
  <c r="D10" i="60"/>
  <c r="C10" i="60"/>
  <c r="F17" i="60"/>
  <c r="E17" i="60"/>
  <c r="E18" i="60"/>
  <c r="C18" i="60"/>
  <c r="D18" i="64" l="1"/>
  <c r="D12" i="65"/>
  <c r="D11" i="65"/>
  <c r="D18" i="61"/>
  <c r="D17" i="61"/>
  <c r="D9" i="61"/>
  <c r="C23" i="15"/>
  <c r="D23" i="15" s="1"/>
  <c r="C22" i="15"/>
  <c r="E16" i="71" s="1"/>
  <c r="C21" i="15"/>
  <c r="C16" i="71" s="1"/>
  <c r="H16" i="64"/>
  <c r="E23" i="15" s="1"/>
  <c r="D16" i="64"/>
  <c r="E21" i="15" s="1"/>
  <c r="B2" i="23"/>
  <c r="B2" i="25"/>
  <c r="D27" i="65"/>
  <c r="D26" i="65"/>
  <c r="D25" i="65"/>
  <c r="D24" i="65"/>
  <c r="D23" i="65"/>
  <c r="D22" i="65"/>
  <c r="D21" i="65"/>
  <c r="D20" i="65"/>
  <c r="D19" i="65"/>
  <c r="D16" i="65"/>
  <c r="D15" i="65"/>
  <c r="D14" i="65"/>
  <c r="D13" i="65"/>
  <c r="D9" i="65"/>
  <c r="D7" i="65"/>
  <c r="D6" i="65"/>
  <c r="D5" i="65"/>
  <c r="F14" i="19"/>
  <c r="F10" i="19"/>
  <c r="F6" i="19"/>
  <c r="F14" i="8"/>
  <c r="F10" i="8"/>
  <c r="F6" i="8"/>
  <c r="H12" i="69"/>
  <c r="H9" i="69"/>
  <c r="F23" i="15" l="1"/>
  <c r="H16" i="71"/>
  <c r="D22" i="15"/>
  <c r="G16" i="71"/>
  <c r="F21" i="15"/>
  <c r="D16" i="71"/>
  <c r="D21" i="15"/>
  <c r="K8" i="15" s="1"/>
  <c r="G23" i="15"/>
  <c r="J8" i="15"/>
  <c r="K15" i="15" l="1"/>
  <c r="G36" i="60"/>
  <c r="E36" i="60"/>
  <c r="G35" i="60"/>
  <c r="E35" i="60"/>
  <c r="C36" i="60"/>
  <c r="C35" i="60"/>
  <c r="G34" i="60"/>
  <c r="E34" i="60"/>
  <c r="C34" i="60"/>
  <c r="D27" i="62"/>
  <c r="D26" i="62"/>
  <c r="D25" i="62"/>
  <c r="D24" i="62"/>
  <c r="D23" i="62"/>
  <c r="D22" i="62"/>
  <c r="D21" i="62"/>
  <c r="D20" i="62"/>
  <c r="D19" i="62"/>
  <c r="D18" i="62"/>
  <c r="D17" i="62"/>
  <c r="D27" i="61"/>
  <c r="D26" i="61"/>
  <c r="D25" i="61"/>
  <c r="D24" i="61"/>
  <c r="D23" i="61"/>
  <c r="D22" i="61"/>
  <c r="D21" i="61"/>
  <c r="D20" i="61"/>
  <c r="D19" i="61"/>
  <c r="D16" i="61"/>
  <c r="D15" i="61"/>
  <c r="D14" i="61"/>
  <c r="D13" i="61"/>
  <c r="D12" i="61"/>
  <c r="D11" i="61"/>
  <c r="D7" i="61"/>
  <c r="D6" i="61"/>
  <c r="D4" i="61"/>
  <c r="D27" i="60"/>
  <c r="D26" i="60"/>
  <c r="D25" i="60"/>
  <c r="D24" i="60"/>
  <c r="D23" i="60"/>
  <c r="D22" i="60"/>
  <c r="D21" i="60"/>
  <c r="D20" i="60"/>
  <c r="D19" i="60"/>
  <c r="D18" i="60"/>
  <c r="D15" i="60"/>
  <c r="D12" i="60"/>
  <c r="D11" i="60"/>
  <c r="D35" i="60" s="1"/>
  <c r="D9" i="60"/>
  <c r="D7" i="60"/>
  <c r="F18" i="23"/>
  <c r="F14" i="23"/>
  <c r="F10" i="23"/>
  <c r="F6" i="23"/>
  <c r="F6" i="14"/>
  <c r="F10" i="14"/>
  <c r="F14" i="14"/>
  <c r="F18" i="14"/>
  <c r="H10" i="64"/>
  <c r="D10" i="64"/>
  <c r="F17" i="64"/>
  <c r="F8" i="65"/>
  <c r="F18" i="62"/>
  <c r="F10" i="62"/>
  <c r="D5" i="61"/>
  <c r="F18" i="61"/>
  <c r="D6" i="60"/>
  <c r="F18" i="60"/>
  <c r="F16" i="60"/>
  <c r="F15" i="60"/>
  <c r="F14" i="60"/>
  <c r="F12" i="60"/>
  <c r="F11" i="60"/>
  <c r="F9" i="60"/>
  <c r="F8" i="60"/>
  <c r="F7" i="60"/>
  <c r="F6" i="60"/>
  <c r="F5" i="60"/>
  <c r="F4" i="60"/>
  <c r="H16" i="60"/>
  <c r="H15" i="60"/>
  <c r="H14" i="60"/>
  <c r="H11" i="60"/>
  <c r="H9" i="60"/>
  <c r="H7" i="60"/>
  <c r="H6" i="60"/>
  <c r="H5" i="60"/>
  <c r="F18" i="21"/>
  <c r="F14" i="21"/>
  <c r="F10" i="21"/>
  <c r="F6" i="21"/>
  <c r="D17" i="64"/>
  <c r="F18" i="65"/>
  <c r="F16" i="65"/>
  <c r="F15" i="65"/>
  <c r="F14" i="65"/>
  <c r="F13" i="65"/>
  <c r="F12" i="65"/>
  <c r="D16" i="62"/>
  <c r="D15" i="62"/>
  <c r="D14" i="62"/>
  <c r="D13" i="62"/>
  <c r="D12" i="62"/>
  <c r="D11" i="62"/>
  <c r="D10" i="62"/>
  <c r="J15" i="61"/>
  <c r="J14" i="61"/>
  <c r="J12" i="61"/>
  <c r="J11" i="61"/>
  <c r="J9" i="61"/>
  <c r="J8" i="61"/>
  <c r="J7" i="61"/>
  <c r="F15" i="61"/>
  <c r="F14" i="61"/>
  <c r="F13" i="61"/>
  <c r="F12" i="61"/>
  <c r="F11" i="61"/>
  <c r="E9" i="16" s="1"/>
  <c r="F9" i="61"/>
  <c r="E7" i="16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8" i="61"/>
  <c r="F7" i="61"/>
  <c r="F6" i="61"/>
  <c r="F5" i="61"/>
  <c r="F4" i="61"/>
  <c r="E5" i="16"/>
  <c r="H34" i="60" l="1"/>
  <c r="F35" i="60"/>
  <c r="D36" i="60"/>
  <c r="F34" i="60"/>
  <c r="D34" i="60"/>
  <c r="J8" i="14"/>
  <c r="D21" i="14"/>
  <c r="C12" i="71"/>
  <c r="D22" i="14"/>
  <c r="K15" i="14" s="1"/>
  <c r="G12" i="71"/>
  <c r="E19" i="16"/>
  <c r="D4" i="65"/>
  <c r="D20" i="16"/>
  <c r="F17" i="62"/>
  <c r="E11" i="16"/>
  <c r="F10" i="65"/>
  <c r="F4" i="65"/>
  <c r="E17" i="16"/>
  <c r="E15" i="16"/>
  <c r="C20" i="15"/>
  <c r="E16" i="70" s="1"/>
  <c r="C19" i="15"/>
  <c r="D19" i="15" s="1"/>
  <c r="E20" i="15"/>
  <c r="F20" i="15" s="1"/>
  <c r="F11" i="65"/>
  <c r="E20" i="16" s="1"/>
  <c r="F20" i="16" s="1"/>
  <c r="H17" i="62"/>
  <c r="H16" i="62"/>
  <c r="H15" i="62"/>
  <c r="H14" i="62"/>
  <c r="H13" i="62"/>
  <c r="H12" i="62"/>
  <c r="H11" i="62"/>
  <c r="E16" i="16" s="1"/>
  <c r="H10" i="62"/>
  <c r="H16" i="61"/>
  <c r="H15" i="61"/>
  <c r="H14" i="61"/>
  <c r="H13" i="61"/>
  <c r="H12" i="61"/>
  <c r="H11" i="61"/>
  <c r="E13" i="16" s="1"/>
  <c r="H10" i="61"/>
  <c r="H35" i="60"/>
  <c r="G21" i="15" l="1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4" i="17"/>
  <c r="F10" i="17"/>
  <c r="F6" i="17"/>
  <c r="F18" i="7"/>
  <c r="F14" i="7"/>
  <c r="F10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36" i="60" s="1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C24" i="8"/>
  <c r="C17" i="72" s="1"/>
  <c r="C25" i="19"/>
  <c r="E18" i="72" s="1"/>
  <c r="C24" i="19"/>
  <c r="C25" i="8"/>
  <c r="C20" i="22"/>
  <c r="E8" i="70" s="1"/>
  <c r="C19" i="22"/>
  <c r="C18" i="72" l="1"/>
  <c r="J9" i="19"/>
  <c r="E17" i="72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36" i="60" s="1"/>
  <c r="H26" i="60"/>
  <c r="H25" i="60"/>
  <c r="H24" i="60"/>
  <c r="H23" i="60"/>
  <c r="H22" i="60"/>
  <c r="H21" i="60"/>
  <c r="H20" i="60"/>
  <c r="H19" i="60"/>
  <c r="G2" i="64" l="1"/>
  <c r="B23" i="15" s="1"/>
  <c r="C2" i="68"/>
  <c r="C2" i="73" s="1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7" i="23" l="1"/>
  <c r="K13" i="14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H29" i="73"/>
  <c r="I29" i="73" s="1"/>
  <c r="F28" i="73"/>
  <c r="H22" i="73"/>
  <c r="I22" i="73" s="1"/>
  <c r="H16" i="73"/>
  <c r="I16" i="73" s="1"/>
  <c r="H15" i="73"/>
  <c r="I15" i="73" s="1"/>
  <c r="H14" i="73"/>
  <c r="I14" i="73" s="1"/>
  <c r="H13" i="73"/>
  <c r="I13" i="73" s="1"/>
  <c r="H12" i="73"/>
  <c r="I12" i="73" s="1"/>
  <c r="H11" i="73"/>
  <c r="I11" i="73" s="1"/>
  <c r="H9" i="73"/>
  <c r="I9" i="73" s="1"/>
  <c r="H8" i="73"/>
  <c r="I8" i="73" s="1"/>
  <c r="H7" i="73"/>
  <c r="I7" i="73" s="1"/>
  <c r="H6" i="73"/>
  <c r="I6" i="73" s="1"/>
  <c r="H5" i="73"/>
  <c r="I5" i="73" s="1"/>
  <c r="H4" i="73"/>
  <c r="I4" i="73" s="1"/>
  <c r="F24" i="73"/>
  <c r="F20" i="73"/>
  <c r="F16" i="73"/>
  <c r="F15" i="73"/>
  <c r="F14" i="73"/>
  <c r="G14" i="73" s="1"/>
  <c r="L14" i="73" s="1"/>
  <c r="F13" i="73"/>
  <c r="F12" i="73"/>
  <c r="F11" i="73"/>
  <c r="F9" i="73"/>
  <c r="F8" i="73"/>
  <c r="G8" i="73" s="1"/>
  <c r="L8" i="73" s="1"/>
  <c r="F7" i="73"/>
  <c r="F6" i="73"/>
  <c r="F5" i="73"/>
  <c r="F4" i="73"/>
  <c r="D31" i="73"/>
  <c r="H31" i="73" s="1"/>
  <c r="I31" i="73" s="1"/>
  <c r="C31" i="73"/>
  <c r="F31" i="73" s="1"/>
  <c r="B31" i="73"/>
  <c r="D30" i="73"/>
  <c r="H30" i="73" s="1"/>
  <c r="I30" i="73" s="1"/>
  <c r="C30" i="73"/>
  <c r="F30" i="73" s="1"/>
  <c r="B30" i="73"/>
  <c r="D29" i="73"/>
  <c r="C29" i="73"/>
  <c r="F29" i="73" s="1"/>
  <c r="B29" i="73"/>
  <c r="D28" i="73"/>
  <c r="H28" i="73" s="1"/>
  <c r="I28" i="73" s="1"/>
  <c r="C28" i="73"/>
  <c r="B28" i="73"/>
  <c r="B27" i="73"/>
  <c r="D26" i="73"/>
  <c r="H26" i="73" s="1"/>
  <c r="I26" i="73" s="1"/>
  <c r="C26" i="73"/>
  <c r="F26" i="73" s="1"/>
  <c r="L26" i="73" s="1"/>
  <c r="B26" i="73"/>
  <c r="D25" i="73"/>
  <c r="H25" i="73" s="1"/>
  <c r="I25" i="73" s="1"/>
  <c r="C25" i="73"/>
  <c r="F25" i="73" s="1"/>
  <c r="B25" i="73"/>
  <c r="D24" i="73"/>
  <c r="H24" i="73" s="1"/>
  <c r="I24" i="73" s="1"/>
  <c r="C24" i="73"/>
  <c r="B24" i="73"/>
  <c r="D23" i="73"/>
  <c r="H23" i="73" s="1"/>
  <c r="I23" i="73" s="1"/>
  <c r="C23" i="73"/>
  <c r="F23" i="73" s="1"/>
  <c r="B23" i="73"/>
  <c r="D22" i="73"/>
  <c r="C22" i="73"/>
  <c r="F22" i="73" s="1"/>
  <c r="B22" i="73"/>
  <c r="D21" i="73"/>
  <c r="H21" i="73" s="1"/>
  <c r="I21" i="73" s="1"/>
  <c r="C21" i="73"/>
  <c r="F21" i="73" s="1"/>
  <c r="B21" i="73"/>
  <c r="D20" i="73"/>
  <c r="H20" i="73" s="1"/>
  <c r="I20" i="73" s="1"/>
  <c r="C20" i="73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7" i="73"/>
  <c r="L7" i="73" s="1"/>
  <c r="B7" i="73"/>
  <c r="B6" i="73"/>
  <c r="B5" i="73"/>
  <c r="G4" i="73"/>
  <c r="B4" i="73"/>
  <c r="H18" i="72"/>
  <c r="H17" i="72"/>
  <c r="F31" i="72"/>
  <c r="E31" i="72"/>
  <c r="D31" i="72"/>
  <c r="C31" i="72"/>
  <c r="B31" i="72"/>
  <c r="H30" i="72"/>
  <c r="F30" i="72"/>
  <c r="E30" i="72"/>
  <c r="D30" i="72"/>
  <c r="J30" i="72" s="1"/>
  <c r="K30" i="72" s="1"/>
  <c r="C30" i="72"/>
  <c r="B30" i="72"/>
  <c r="F29" i="72"/>
  <c r="E29" i="72"/>
  <c r="D29" i="72"/>
  <c r="J29" i="72" s="1"/>
  <c r="K29" i="72" s="1"/>
  <c r="C29" i="72"/>
  <c r="H29" i="72" s="1"/>
  <c r="I29" i="72" s="1"/>
  <c r="B29" i="72"/>
  <c r="F28" i="72"/>
  <c r="E28" i="72"/>
  <c r="D28" i="72"/>
  <c r="J28" i="72" s="1"/>
  <c r="K28" i="72" s="1"/>
  <c r="C28" i="72"/>
  <c r="B28" i="72"/>
  <c r="B27" i="72"/>
  <c r="F26" i="72"/>
  <c r="E26" i="72"/>
  <c r="D26" i="72"/>
  <c r="J26" i="72" s="1"/>
  <c r="K26" i="72" s="1"/>
  <c r="C26" i="72"/>
  <c r="H26" i="72" s="1"/>
  <c r="N26" i="72" s="1"/>
  <c r="B26" i="72"/>
  <c r="F25" i="72"/>
  <c r="E25" i="72"/>
  <c r="D25" i="72"/>
  <c r="J25" i="72" s="1"/>
  <c r="K25" i="72" s="1"/>
  <c r="C25" i="72"/>
  <c r="H25" i="72" s="1"/>
  <c r="B25" i="72"/>
  <c r="F24" i="72"/>
  <c r="E24" i="72"/>
  <c r="D24" i="72"/>
  <c r="J24" i="72" s="1"/>
  <c r="K24" i="72" s="1"/>
  <c r="C24" i="72"/>
  <c r="B24" i="72"/>
  <c r="F23" i="72"/>
  <c r="E23" i="72"/>
  <c r="D23" i="72"/>
  <c r="C23" i="72"/>
  <c r="H23" i="72" s="1"/>
  <c r="B23" i="72"/>
  <c r="F22" i="72"/>
  <c r="E22" i="72"/>
  <c r="D22" i="72"/>
  <c r="J22" i="72" s="1"/>
  <c r="K22" i="72" s="1"/>
  <c r="C22" i="72"/>
  <c r="H22" i="72" s="1"/>
  <c r="B22" i="72"/>
  <c r="F21" i="72"/>
  <c r="E21" i="72"/>
  <c r="H21" i="72" s="1"/>
  <c r="D21" i="72"/>
  <c r="C21" i="72"/>
  <c r="B21" i="72"/>
  <c r="J20" i="72"/>
  <c r="K20" i="72" s="1"/>
  <c r="F20" i="72"/>
  <c r="E20" i="72"/>
  <c r="D20" i="72"/>
  <c r="C20" i="72"/>
  <c r="H20" i="72" s="1"/>
  <c r="B20" i="72"/>
  <c r="B19" i="72"/>
  <c r="B18" i="72"/>
  <c r="B17" i="72"/>
  <c r="J16" i="72"/>
  <c r="K16" i="72" s="1"/>
  <c r="H16" i="72"/>
  <c r="I16" i="72" s="1"/>
  <c r="N16" i="72" s="1"/>
  <c r="B16" i="72"/>
  <c r="J15" i="72"/>
  <c r="K15" i="72" s="1"/>
  <c r="H15" i="72"/>
  <c r="I15" i="72" s="1"/>
  <c r="N15" i="72" s="1"/>
  <c r="B15" i="72"/>
  <c r="J14" i="72"/>
  <c r="K14" i="72" s="1"/>
  <c r="H14" i="72"/>
  <c r="I14" i="72" s="1"/>
  <c r="B14" i="72"/>
  <c r="J13" i="72"/>
  <c r="K13" i="72" s="1"/>
  <c r="H13" i="72"/>
  <c r="B13" i="72"/>
  <c r="J12" i="72"/>
  <c r="K12" i="72" s="1"/>
  <c r="H12" i="72"/>
  <c r="I12" i="72" s="1"/>
  <c r="N12" i="72" s="1"/>
  <c r="B12" i="72"/>
  <c r="J11" i="72"/>
  <c r="K11" i="72" s="1"/>
  <c r="H11" i="72"/>
  <c r="I11" i="72" s="1"/>
  <c r="N11" i="72" s="1"/>
  <c r="B10" i="72"/>
  <c r="J9" i="72"/>
  <c r="K9" i="72" s="1"/>
  <c r="H9" i="72"/>
  <c r="I9" i="72" s="1"/>
  <c r="N9" i="72" s="1"/>
  <c r="B9" i="72"/>
  <c r="J8" i="72"/>
  <c r="K8" i="72" s="1"/>
  <c r="I8" i="72"/>
  <c r="H8" i="72"/>
  <c r="J7" i="72"/>
  <c r="K7" i="72" s="1"/>
  <c r="H7" i="72"/>
  <c r="I7" i="72" s="1"/>
  <c r="B7" i="72"/>
  <c r="H6" i="72"/>
  <c r="J6" i="72"/>
  <c r="K6" i="72" s="1"/>
  <c r="B6" i="72"/>
  <c r="J5" i="72"/>
  <c r="K5" i="72" s="1"/>
  <c r="H5" i="72"/>
  <c r="B5" i="72"/>
  <c r="J4" i="72"/>
  <c r="K4" i="72" s="1"/>
  <c r="B4" i="72"/>
  <c r="H31" i="71"/>
  <c r="G31" i="71"/>
  <c r="F31" i="71"/>
  <c r="E31" i="71"/>
  <c r="D31" i="71"/>
  <c r="C31" i="71"/>
  <c r="B31" i="71"/>
  <c r="H30" i="71"/>
  <c r="G30" i="71"/>
  <c r="F30" i="71"/>
  <c r="E30" i="71"/>
  <c r="D30" i="71"/>
  <c r="C30" i="71"/>
  <c r="B30" i="71"/>
  <c r="H29" i="71"/>
  <c r="G29" i="71"/>
  <c r="F29" i="71"/>
  <c r="E29" i="71"/>
  <c r="D29" i="71"/>
  <c r="C29" i="7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B26" i="71"/>
  <c r="H25" i="71"/>
  <c r="G25" i="71"/>
  <c r="F25" i="71"/>
  <c r="E25" i="71"/>
  <c r="D25" i="71"/>
  <c r="C25" i="71"/>
  <c r="B25" i="71"/>
  <c r="H24" i="71"/>
  <c r="G24" i="71"/>
  <c r="F24" i="71"/>
  <c r="E24" i="71"/>
  <c r="D24" i="71"/>
  <c r="L24" i="71" s="1"/>
  <c r="M24" i="71" s="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J22" i="71" s="1"/>
  <c r="D22" i="71"/>
  <c r="L22" i="71" s="1"/>
  <c r="M22" i="71" s="1"/>
  <c r="C22" i="71"/>
  <c r="B22" i="71"/>
  <c r="H21" i="71"/>
  <c r="G21" i="71"/>
  <c r="F21" i="71"/>
  <c r="E21" i="71"/>
  <c r="D21" i="71"/>
  <c r="C21" i="71"/>
  <c r="B21" i="71"/>
  <c r="H20" i="71"/>
  <c r="G20" i="71"/>
  <c r="F20" i="71"/>
  <c r="E20" i="71"/>
  <c r="D20" i="71"/>
  <c r="C20" i="71"/>
  <c r="B20" i="71"/>
  <c r="B19" i="71"/>
  <c r="B18" i="71"/>
  <c r="B17" i="71"/>
  <c r="J16" i="71"/>
  <c r="B16" i="71"/>
  <c r="L15" i="71"/>
  <c r="M15" i="71" s="1"/>
  <c r="J15" i="71"/>
  <c r="B15" i="71"/>
  <c r="L14" i="71"/>
  <c r="M14" i="71" s="1"/>
  <c r="J14" i="71"/>
  <c r="B14" i="71"/>
  <c r="L13" i="71"/>
  <c r="M13" i="71" s="1"/>
  <c r="J13" i="71"/>
  <c r="B13" i="71"/>
  <c r="B12" i="71"/>
  <c r="J11" i="71"/>
  <c r="L11" i="71"/>
  <c r="M11" i="71" s="1"/>
  <c r="B10" i="71"/>
  <c r="L9" i="71"/>
  <c r="M9" i="71" s="1"/>
  <c r="J9" i="71"/>
  <c r="L8" i="71"/>
  <c r="M8" i="71" s="1"/>
  <c r="J8" i="71"/>
  <c r="L7" i="71"/>
  <c r="M7" i="71" s="1"/>
  <c r="J7" i="71"/>
  <c r="J6" i="71"/>
  <c r="L6" i="71"/>
  <c r="M6" i="71" s="1"/>
  <c r="B6" i="71"/>
  <c r="L5" i="71"/>
  <c r="M5" i="71" s="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H29" i="70"/>
  <c r="J15" i="70"/>
  <c r="K15" i="70" s="1"/>
  <c r="J14" i="70"/>
  <c r="K14" i="70" s="1"/>
  <c r="J13" i="70"/>
  <c r="K13" i="70" s="1"/>
  <c r="J11" i="70"/>
  <c r="K11" i="70" s="1"/>
  <c r="J7" i="70"/>
  <c r="K7" i="70" s="1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E25" i="29" s="1"/>
  <c r="F26" i="66"/>
  <c r="F25" i="66"/>
  <c r="F24" i="66"/>
  <c r="F23" i="66"/>
  <c r="F22" i="66"/>
  <c r="F21" i="66"/>
  <c r="F20" i="66"/>
  <c r="F19" i="66"/>
  <c r="F18" i="66"/>
  <c r="E25" i="19" s="1"/>
  <c r="F17" i="66"/>
  <c r="E25" i="8" s="1"/>
  <c r="F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E24" i="19" s="1"/>
  <c r="F24" i="19" s="1"/>
  <c r="D17" i="66"/>
  <c r="E24" i="8" s="1"/>
  <c r="F24" i="8" s="1"/>
  <c r="D16" i="66"/>
  <c r="I16" i="66" s="1"/>
  <c r="D15" i="66"/>
  <c r="D14" i="66"/>
  <c r="D13" i="66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F23" i="19" s="1"/>
  <c r="E23" i="8"/>
  <c r="F23" i="8" s="1"/>
  <c r="H15" i="64"/>
  <c r="H14" i="64"/>
  <c r="H13" i="64"/>
  <c r="H12" i="64"/>
  <c r="E23" i="14" s="1"/>
  <c r="F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E22" i="15" s="1"/>
  <c r="F15" i="64"/>
  <c r="F14" i="64"/>
  <c r="F13" i="64"/>
  <c r="F12" i="64"/>
  <c r="E22" i="14" s="1"/>
  <c r="F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K20" i="64" s="1"/>
  <c r="D19" i="64"/>
  <c r="K16" i="64"/>
  <c r="D15" i="64"/>
  <c r="K15" i="64" s="1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C26" i="19"/>
  <c r="D25" i="19"/>
  <c r="D24" i="19"/>
  <c r="C23" i="19"/>
  <c r="G18" i="71" s="1"/>
  <c r="C22" i="19"/>
  <c r="C21" i="19"/>
  <c r="C20" i="19"/>
  <c r="D20" i="19" s="1"/>
  <c r="C19" i="8"/>
  <c r="C26" i="8"/>
  <c r="D24" i="8"/>
  <c r="C23" i="8"/>
  <c r="D23" i="8" s="1"/>
  <c r="C22" i="8"/>
  <c r="C21" i="8"/>
  <c r="C20" i="8"/>
  <c r="D20" i="8" s="1"/>
  <c r="E19" i="8"/>
  <c r="F19" i="8" s="1"/>
  <c r="E26" i="21"/>
  <c r="F26" i="21" s="1"/>
  <c r="L10" i="21" s="1"/>
  <c r="C26" i="2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5" i="66"/>
  <c r="I14" i="66"/>
  <c r="I13" i="66"/>
  <c r="I12" i="66"/>
  <c r="I11" i="66"/>
  <c r="I9" i="66"/>
  <c r="I4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J31" i="70" s="1"/>
  <c r="C31" i="70"/>
  <c r="H31" i="70" s="1"/>
  <c r="B31" i="70"/>
  <c r="F30" i="70"/>
  <c r="E30" i="70"/>
  <c r="D30" i="70"/>
  <c r="J30" i="70" s="1"/>
  <c r="C30" i="70"/>
  <c r="H30" i="70" s="1"/>
  <c r="B30" i="70"/>
  <c r="F29" i="70"/>
  <c r="E29" i="70"/>
  <c r="D29" i="70"/>
  <c r="J29" i="70" s="1"/>
  <c r="C29" i="70"/>
  <c r="B29" i="70"/>
  <c r="F28" i="70"/>
  <c r="E28" i="70"/>
  <c r="D28" i="70"/>
  <c r="J28" i="70" s="1"/>
  <c r="C28" i="70"/>
  <c r="H28" i="70" s="1"/>
  <c r="B28" i="70"/>
  <c r="B27" i="70"/>
  <c r="F26" i="70"/>
  <c r="E26" i="70"/>
  <c r="D26" i="70"/>
  <c r="J26" i="70" s="1"/>
  <c r="K26" i="70" s="1"/>
  <c r="C26" i="70"/>
  <c r="B26" i="70"/>
  <c r="F25" i="70"/>
  <c r="E25" i="70"/>
  <c r="D25" i="70"/>
  <c r="C25" i="70"/>
  <c r="B25" i="70"/>
  <c r="F24" i="70"/>
  <c r="E24" i="70"/>
  <c r="D24" i="70"/>
  <c r="J24" i="70" s="1"/>
  <c r="K24" i="70" s="1"/>
  <c r="C24" i="70"/>
  <c r="H24" i="70" s="1"/>
  <c r="B24" i="70"/>
  <c r="F23" i="70"/>
  <c r="E23" i="70"/>
  <c r="D23" i="70"/>
  <c r="J23" i="70" s="1"/>
  <c r="K23" i="70" s="1"/>
  <c r="C23" i="70"/>
  <c r="H23" i="70" s="1"/>
  <c r="B23" i="70"/>
  <c r="F22" i="70"/>
  <c r="E22" i="70"/>
  <c r="D22" i="70"/>
  <c r="C22" i="70"/>
  <c r="B22" i="70"/>
  <c r="F21" i="70"/>
  <c r="E21" i="70"/>
  <c r="D21" i="70"/>
  <c r="C21" i="70"/>
  <c r="H21" i="70" s="1"/>
  <c r="B21" i="70"/>
  <c r="F20" i="70"/>
  <c r="E20" i="70"/>
  <c r="D20" i="70"/>
  <c r="J20" i="70" s="1"/>
  <c r="K20" i="70" s="1"/>
  <c r="C20" i="70"/>
  <c r="H20" i="70" s="1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F26" i="19" s="1"/>
  <c r="L10" i="19" s="1"/>
  <c r="B18" i="68"/>
  <c r="E26" i="8"/>
  <c r="F26" i="8" s="1"/>
  <c r="L10" i="8" s="1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H32" i="66" s="1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D29" i="66"/>
  <c r="C29" i="66"/>
  <c r="H29" i="66" s="1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F8" i="66"/>
  <c r="D8" i="66"/>
  <c r="I8" i="66" s="1"/>
  <c r="F7" i="66"/>
  <c r="D7" i="66"/>
  <c r="I7" i="66" s="1"/>
  <c r="F6" i="66"/>
  <c r="D6" i="66"/>
  <c r="I6" i="66" s="1"/>
  <c r="B6" i="66"/>
  <c r="F5" i="66"/>
  <c r="D5" i="66"/>
  <c r="I5" i="66" s="1"/>
  <c r="B5" i="66"/>
  <c r="F4" i="66"/>
  <c r="D4" i="66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F20" i="23" s="1"/>
  <c r="E19" i="23"/>
  <c r="F19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B4" i="65"/>
  <c r="H32" i="64"/>
  <c r="G32" i="64"/>
  <c r="F32" i="64"/>
  <c r="E32" i="64"/>
  <c r="D32" i="64"/>
  <c r="C32" i="64"/>
  <c r="B32" i="64"/>
  <c r="H31" i="64"/>
  <c r="G31" i="64"/>
  <c r="F31" i="64"/>
  <c r="E31" i="64"/>
  <c r="D31" i="64"/>
  <c r="C31" i="64"/>
  <c r="B31" i="64"/>
  <c r="H30" i="64"/>
  <c r="G30" i="64"/>
  <c r="F30" i="64"/>
  <c r="E30" i="64"/>
  <c r="D30" i="64"/>
  <c r="C30" i="64"/>
  <c r="B30" i="64"/>
  <c r="H29" i="64"/>
  <c r="G29" i="64"/>
  <c r="G33" i="64" s="1"/>
  <c r="F29" i="64"/>
  <c r="E29" i="64"/>
  <c r="D29" i="64"/>
  <c r="C29" i="64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J20" i="64"/>
  <c r="B20" i="64"/>
  <c r="J19" i="64"/>
  <c r="K19" i="64"/>
  <c r="B19" i="64"/>
  <c r="J18" i="64"/>
  <c r="E22" i="19"/>
  <c r="F22" i="19" s="1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K4" i="64"/>
  <c r="J4" i="64"/>
  <c r="H4" i="64"/>
  <c r="F4" i="64"/>
  <c r="D4" i="64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M8" i="61" s="1"/>
  <c r="H7" i="61"/>
  <c r="H6" i="61"/>
  <c r="H5" i="61"/>
  <c r="M5" i="61" s="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I25" i="72" l="1"/>
  <c r="N25" i="72" s="1"/>
  <c r="F25" i="29"/>
  <c r="F27" i="72"/>
  <c r="J32" i="64"/>
  <c r="L6" i="6"/>
  <c r="K20" i="19"/>
  <c r="K9" i="19"/>
  <c r="L21" i="71"/>
  <c r="M21" i="71" s="1"/>
  <c r="J31" i="71"/>
  <c r="D18" i="72"/>
  <c r="J31" i="64"/>
  <c r="E33" i="66"/>
  <c r="H22" i="70"/>
  <c r="J25" i="70"/>
  <c r="K25" i="70" s="1"/>
  <c r="L9" i="19"/>
  <c r="L20" i="71"/>
  <c r="M20" i="71" s="1"/>
  <c r="J30" i="71"/>
  <c r="K30" i="71" s="1"/>
  <c r="H24" i="72"/>
  <c r="H31" i="72"/>
  <c r="E27" i="72"/>
  <c r="L7" i="23"/>
  <c r="J22" i="70"/>
  <c r="K22" i="70" s="1"/>
  <c r="D26" i="21"/>
  <c r="J10" i="21"/>
  <c r="C17" i="73"/>
  <c r="F17" i="73" s="1"/>
  <c r="J10" i="8"/>
  <c r="D26" i="19"/>
  <c r="J10" i="19"/>
  <c r="J29" i="71"/>
  <c r="J21" i="72"/>
  <c r="K21" i="72" s="1"/>
  <c r="J31" i="72"/>
  <c r="K31" i="72" s="1"/>
  <c r="J29" i="64"/>
  <c r="J7" i="19"/>
  <c r="F25" i="19"/>
  <c r="F18" i="72"/>
  <c r="J26" i="71"/>
  <c r="L29" i="71"/>
  <c r="M29" i="71" s="1"/>
  <c r="J21" i="70"/>
  <c r="K21" i="70" s="1"/>
  <c r="F16" i="71"/>
  <c r="L16" i="71" s="1"/>
  <c r="M16" i="71" s="1"/>
  <c r="F22" i="15"/>
  <c r="L8" i="15" s="1"/>
  <c r="G22" i="15"/>
  <c r="L25" i="71"/>
  <c r="M25" i="71" s="1"/>
  <c r="J23" i="72"/>
  <c r="K23" i="72" s="1"/>
  <c r="K28" i="70"/>
  <c r="H28" i="72"/>
  <c r="D17" i="72"/>
  <c r="I21" i="72"/>
  <c r="N21" i="72" s="1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I5" i="65"/>
  <c r="D18" i="73"/>
  <c r="H18" i="73" s="1"/>
  <c r="I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N27" i="72" s="1"/>
  <c r="F24" i="29"/>
  <c r="L27" i="72" s="1"/>
  <c r="D27" i="72"/>
  <c r="J27" i="72" s="1"/>
  <c r="K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I27" i="73" s="1"/>
  <c r="F21" i="29"/>
  <c r="D27" i="71"/>
  <c r="C33" i="64"/>
  <c r="J30" i="64"/>
  <c r="F27" i="71"/>
  <c r="F22" i="29"/>
  <c r="F23" i="29"/>
  <c r="H27" i="71"/>
  <c r="E27" i="71"/>
  <c r="F19" i="29"/>
  <c r="D27" i="70"/>
  <c r="F27" i="70"/>
  <c r="F20" i="29"/>
  <c r="D19" i="29"/>
  <c r="D20" i="29"/>
  <c r="G13" i="14"/>
  <c r="M12" i="61"/>
  <c r="E33" i="64"/>
  <c r="J24" i="71"/>
  <c r="L26" i="71"/>
  <c r="M26" i="71" s="1"/>
  <c r="J28" i="71"/>
  <c r="K28" i="71" s="1"/>
  <c r="L30" i="71"/>
  <c r="M30" i="71" s="1"/>
  <c r="L31" i="71"/>
  <c r="M31" i="71" s="1"/>
  <c r="J23" i="71"/>
  <c r="J20" i="71"/>
  <c r="K20" i="71" s="1"/>
  <c r="J21" i="71"/>
  <c r="K21" i="71" s="1"/>
  <c r="L23" i="71"/>
  <c r="M23" i="71" s="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G25" i="21"/>
  <c r="F10" i="72"/>
  <c r="J18" i="72"/>
  <c r="K18" i="72" s="1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I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5" i="71"/>
  <c r="K29" i="71"/>
  <c r="K11" i="71"/>
  <c r="P11" i="71" s="1"/>
  <c r="K15" i="71"/>
  <c r="P15" i="71" s="1"/>
  <c r="K16" i="71"/>
  <c r="P16" i="71" s="1"/>
  <c r="K31" i="71"/>
  <c r="J4" i="71"/>
  <c r="L4" i="71"/>
  <c r="M4" i="71" s="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G23" i="8"/>
  <c r="F33" i="64"/>
  <c r="C33" i="66"/>
  <c r="H31" i="66"/>
  <c r="H33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L27" i="70" l="1"/>
  <c r="K21" i="19"/>
  <c r="K10" i="19"/>
  <c r="K20" i="21"/>
  <c r="K10" i="21"/>
  <c r="K21" i="8"/>
  <c r="K10" i="8"/>
  <c r="L27" i="71"/>
  <c r="M27" i="71" s="1"/>
  <c r="N27" i="71"/>
  <c r="F21" i="8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I10" i="73" s="1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K17" i="72" s="1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M25" i="52" s="1"/>
  <c r="C25" i="52"/>
  <c r="G24" i="52"/>
  <c r="F24" i="52"/>
  <c r="E24" i="52"/>
  <c r="D24" i="52"/>
  <c r="C24" i="52"/>
  <c r="G23" i="52"/>
  <c r="F23" i="52"/>
  <c r="E23" i="52"/>
  <c r="D23" i="52"/>
  <c r="C23" i="52"/>
  <c r="G22" i="52"/>
  <c r="F22" i="52"/>
  <c r="E22" i="52"/>
  <c r="D22" i="52"/>
  <c r="C22" i="52"/>
  <c r="G21" i="52"/>
  <c r="F21" i="52"/>
  <c r="E21" i="52"/>
  <c r="D21" i="52"/>
  <c r="C21" i="52"/>
  <c r="G20" i="52"/>
  <c r="F20" i="52"/>
  <c r="E20" i="52"/>
  <c r="D20" i="52"/>
  <c r="M20" i="52" s="1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F17" i="23" s="1"/>
  <c r="E16" i="23"/>
  <c r="F16" i="23" s="1"/>
  <c r="E15" i="23"/>
  <c r="F15" i="23" s="1"/>
  <c r="E13" i="23"/>
  <c r="F13" i="23" s="1"/>
  <c r="E12" i="23"/>
  <c r="F12" i="23" s="1"/>
  <c r="E11" i="23"/>
  <c r="F11" i="23" s="1"/>
  <c r="E9" i="23"/>
  <c r="F9" i="23" s="1"/>
  <c r="E8" i="23"/>
  <c r="F8" i="23" s="1"/>
  <c r="E7" i="23"/>
  <c r="F7" i="23" s="1"/>
  <c r="L4" i="23" s="1"/>
  <c r="E5" i="23"/>
  <c r="F5" i="23" s="1"/>
  <c r="L5" i="23" s="1"/>
  <c r="C17" i="23"/>
  <c r="C16" i="23"/>
  <c r="C15" i="23"/>
  <c r="C13" i="23"/>
  <c r="G9" i="59" s="1"/>
  <c r="C12" i="23"/>
  <c r="C11" i="23"/>
  <c r="C9" i="23"/>
  <c r="C8" i="23"/>
  <c r="J6" i="23" s="1"/>
  <c r="C7" i="23"/>
  <c r="J4" i="23" s="1"/>
  <c r="C5" i="23"/>
  <c r="J5" i="23" s="1"/>
  <c r="M22" i="52" l="1"/>
  <c r="L6" i="23"/>
  <c r="M24" i="52"/>
  <c r="M26" i="52"/>
  <c r="M23" i="52"/>
  <c r="F17" i="52"/>
  <c r="J5" i="19"/>
  <c r="C24" i="15"/>
  <c r="M21" i="52"/>
  <c r="N17" i="71"/>
  <c r="F5" i="15"/>
  <c r="E24" i="15"/>
  <c r="J6" i="15"/>
  <c r="J6" i="8"/>
  <c r="J6" i="19"/>
  <c r="J6" i="21"/>
  <c r="J4" i="8"/>
  <c r="J4" i="19"/>
  <c r="L5" i="8"/>
  <c r="J5" i="8"/>
  <c r="L5" i="19"/>
  <c r="J4" i="13"/>
  <c r="J4" i="15"/>
  <c r="J4" i="10"/>
  <c r="J4" i="24"/>
  <c r="J5" i="15"/>
  <c r="L18" i="70"/>
  <c r="L10" i="72"/>
  <c r="L32" i="72" s="1"/>
  <c r="E9" i="74" s="1"/>
  <c r="L9" i="21"/>
  <c r="L5" i="21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J19" i="70" s="1"/>
  <c r="K19" i="70" s="1"/>
  <c r="D19" i="71"/>
  <c r="L19" i="71" s="1"/>
  <c r="M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P17" i="7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L19" i="59" s="1"/>
  <c r="I19" i="59"/>
  <c r="D5" i="20"/>
  <c r="G5" i="20"/>
  <c r="H19" i="52"/>
  <c r="G12" i="20"/>
  <c r="D12" i="20"/>
  <c r="F19" i="52"/>
  <c r="G16" i="20"/>
  <c r="D16" i="20"/>
  <c r="D19" i="52"/>
  <c r="M19" i="52" s="1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D13" i="24"/>
  <c r="G13" i="24" s="1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I13" i="59"/>
  <c r="D17" i="24"/>
  <c r="G17" i="24" s="1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K5" i="8" s="1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K5" i="23" s="1"/>
  <c r="C9" i="58"/>
  <c r="D7" i="23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O26" i="59" s="1"/>
  <c r="N25" i="59"/>
  <c r="O25" i="59" s="1"/>
  <c r="L25" i="59"/>
  <c r="M25" i="59" s="1"/>
  <c r="L24" i="59"/>
  <c r="M24" i="59" s="1"/>
  <c r="N24" i="59"/>
  <c r="O24" i="59" s="1"/>
  <c r="L23" i="59"/>
  <c r="M23" i="59" s="1"/>
  <c r="N23" i="59"/>
  <c r="O23" i="59" s="1"/>
  <c r="L22" i="59"/>
  <c r="M22" i="59" s="1"/>
  <c r="N22" i="59"/>
  <c r="O22" i="59" s="1"/>
  <c r="L21" i="59"/>
  <c r="M21" i="59" s="1"/>
  <c r="N21" i="59"/>
  <c r="O21" i="59" s="1"/>
  <c r="N20" i="59"/>
  <c r="O20" i="59" s="1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L6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F16" i="17" s="1"/>
  <c r="E15" i="17"/>
  <c r="F15" i="17" s="1"/>
  <c r="E13" i="17"/>
  <c r="F13" i="17" s="1"/>
  <c r="E12" i="17"/>
  <c r="F12" i="17" s="1"/>
  <c r="E11" i="17"/>
  <c r="F11" i="17" s="1"/>
  <c r="E9" i="17"/>
  <c r="F9" i="17" s="1"/>
  <c r="E8" i="17"/>
  <c r="F8" i="17" s="1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F16" i="7" s="1"/>
  <c r="E15" i="7"/>
  <c r="F15" i="7" s="1"/>
  <c r="E13" i="7"/>
  <c r="F13" i="7" s="1"/>
  <c r="E12" i="7"/>
  <c r="F12" i="7" s="1"/>
  <c r="E11" i="7"/>
  <c r="F11" i="7" s="1"/>
  <c r="E9" i="7"/>
  <c r="F9" i="7" s="1"/>
  <c r="E8" i="7"/>
  <c r="F8" i="7" s="1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J31" i="61"/>
  <c r="I31" i="61"/>
  <c r="H31" i="61"/>
  <c r="G31" i="61"/>
  <c r="F31" i="61"/>
  <c r="E31" i="61"/>
  <c r="D31" i="61"/>
  <c r="C31" i="61"/>
  <c r="B31" i="61"/>
  <c r="J30" i="61"/>
  <c r="I30" i="61"/>
  <c r="H30" i="61"/>
  <c r="G30" i="61"/>
  <c r="F30" i="61"/>
  <c r="E30" i="61"/>
  <c r="D30" i="61"/>
  <c r="C30" i="61"/>
  <c r="B30" i="61"/>
  <c r="J29" i="61"/>
  <c r="I29" i="61"/>
  <c r="H29" i="61"/>
  <c r="G29" i="61"/>
  <c r="F29" i="61"/>
  <c r="E29" i="61"/>
  <c r="E32" i="61" s="1"/>
  <c r="D29" i="61"/>
  <c r="C29" i="61"/>
  <c r="B29" i="61"/>
  <c r="J28" i="61"/>
  <c r="J32" i="61" s="1"/>
  <c r="I28" i="61"/>
  <c r="H28" i="61"/>
  <c r="G28" i="61"/>
  <c r="G32" i="61" s="1"/>
  <c r="F28" i="61"/>
  <c r="E28" i="61"/>
  <c r="D28" i="61"/>
  <c r="C28" i="61"/>
  <c r="C32" i="61" s="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E32" i="60" s="1"/>
  <c r="D29" i="60"/>
  <c r="C29" i="60"/>
  <c r="B29" i="60"/>
  <c r="H28" i="60"/>
  <c r="H32" i="60" s="1"/>
  <c r="G28" i="60"/>
  <c r="F28" i="60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I32" i="61" l="1"/>
  <c r="F32" i="60"/>
  <c r="D32" i="61"/>
  <c r="K4" i="23"/>
  <c r="G32" i="60"/>
  <c r="F32" i="61"/>
  <c r="L6" i="25"/>
  <c r="H32" i="61"/>
  <c r="K6" i="23"/>
  <c r="K5" i="19"/>
  <c r="L5" i="15"/>
  <c r="D24" i="15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I19" i="73" s="1"/>
  <c r="D32" i="73"/>
  <c r="D33" i="73" s="1"/>
  <c r="J19" i="72"/>
  <c r="K19" i="72" s="1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G12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R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M7" i="52" s="1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G13" i="22"/>
  <c r="D13" i="22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H33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M4" i="52" l="1"/>
  <c r="M6" i="52"/>
  <c r="M5" i="52"/>
  <c r="K6" i="25"/>
  <c r="K6" i="22"/>
  <c r="I32" i="73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K5" i="58" l="1"/>
  <c r="K4" i="58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P6" i="58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P26" i="58" l="1"/>
  <c r="M13" i="58"/>
  <c r="K16" i="58"/>
  <c r="K29" i="58"/>
  <c r="P29" i="58" s="1"/>
  <c r="K23" i="58"/>
  <c r="K25" i="58"/>
  <c r="K31" i="58"/>
  <c r="P31" i="58" s="1"/>
  <c r="K22" i="58"/>
  <c r="K9" i="58"/>
  <c r="K28" i="58"/>
  <c r="P28" i="58" s="1"/>
  <c r="K21" i="58"/>
  <c r="K12" i="58"/>
  <c r="K10" i="58"/>
  <c r="K27" i="58"/>
  <c r="P27" i="58" s="1"/>
  <c r="K20" i="58"/>
  <c r="K17" i="58"/>
  <c r="K19" i="58"/>
  <c r="K24" i="58"/>
  <c r="K15" i="58"/>
  <c r="K30" i="58"/>
  <c r="P30" i="58" s="1"/>
  <c r="K14" i="58"/>
  <c r="K13" i="58"/>
  <c r="P24" i="58" l="1"/>
  <c r="P22" i="58"/>
  <c r="P25" i="58"/>
  <c r="P23" i="58"/>
  <c r="P20" i="58"/>
  <c r="P21" i="58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B26" i="52"/>
  <c r="J25" i="52"/>
  <c r="B25" i="52"/>
  <c r="B24" i="52"/>
  <c r="J22" i="52"/>
  <c r="J19" i="52"/>
  <c r="J16" i="52"/>
  <c r="B12" i="52"/>
  <c r="J10" i="52"/>
  <c r="J8" i="52"/>
  <c r="B5" i="52"/>
  <c r="B4" i="52"/>
  <c r="J24" i="52"/>
  <c r="J10" i="30"/>
  <c r="J11" i="30"/>
  <c r="J9" i="30"/>
  <c r="K26" i="52" l="1"/>
  <c r="C25" i="1" s="1"/>
  <c r="B25" i="1"/>
  <c r="K24" i="52"/>
  <c r="C23" i="1" s="1"/>
  <c r="B23" i="1"/>
  <c r="K22" i="52"/>
  <c r="C21" i="1" s="1"/>
  <c r="B21" i="1"/>
  <c r="K25" i="52"/>
  <c r="C24" i="1" s="1"/>
  <c r="B24" i="1"/>
  <c r="K19" i="52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20"/>
  <c r="J23" i="52"/>
  <c r="J27" i="52"/>
  <c r="J29" i="52"/>
  <c r="K29" i="52" s="1"/>
  <c r="J7" i="52"/>
  <c r="J9" i="52"/>
  <c r="J13" i="52"/>
  <c r="J17" i="52"/>
  <c r="J21" i="52"/>
  <c r="J6" i="52"/>
  <c r="J12" i="52"/>
  <c r="J5" i="52"/>
  <c r="J15" i="52"/>
  <c r="J20" i="52"/>
  <c r="J14" i="52"/>
  <c r="F16" i="2"/>
  <c r="F12" i="2"/>
  <c r="K5" i="52" l="1"/>
  <c r="C4" i="1" s="1"/>
  <c r="B4" i="1"/>
  <c r="K6" i="52"/>
  <c r="C5" i="1" s="1"/>
  <c r="B5" i="1"/>
  <c r="K4" i="52"/>
  <c r="C3" i="1" s="1"/>
  <c r="B3" i="1"/>
  <c r="F12" i="14"/>
  <c r="F12" i="15"/>
  <c r="F12" i="8"/>
  <c r="F12" i="19"/>
  <c r="K23" i="52"/>
  <c r="C22" i="1" s="1"/>
  <c r="B22" i="1"/>
  <c r="K20" i="52"/>
  <c r="C19" i="1" s="1"/>
  <c r="B19" i="1"/>
  <c r="K21" i="52"/>
  <c r="C20" i="1" s="1"/>
  <c r="B20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L6" i="15" l="1"/>
  <c r="F24" i="15"/>
  <c r="G24" i="15"/>
  <c r="F24" i="14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E37" i="70" s="1"/>
  <c r="D7" i="74" s="1"/>
  <c r="K32" i="70"/>
  <c r="F7" i="74" s="1"/>
  <c r="D38" i="70"/>
  <c r="D8" i="69" s="1"/>
  <c r="B8" i="69"/>
  <c r="I27" i="70"/>
  <c r="H32" i="70"/>
  <c r="H33" i="52"/>
  <c r="H34" i="52" s="1"/>
  <c r="G16" i="24"/>
  <c r="F16" i="10"/>
  <c r="G16" i="10" s="1"/>
  <c r="G12" i="24"/>
  <c r="G12" i="22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3" i="52" l="1"/>
  <c r="D22" i="1"/>
  <c r="Q20" i="52"/>
  <c r="D19" i="1"/>
  <c r="Q22" i="52"/>
  <c r="D21" i="1"/>
  <c r="I32" i="70"/>
  <c r="C7" i="74" s="1"/>
  <c r="C26" i="1"/>
  <c r="G16" i="22"/>
  <c r="F21" i="2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D33" i="52" s="1"/>
  <c r="D34" i="52" s="1"/>
  <c r="D39" i="52" s="1"/>
  <c r="D7" i="69" s="1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<sst xmlns="http://schemas.openxmlformats.org/spreadsheetml/2006/main" count="1292" uniqueCount="159">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</sst>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29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8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5" borderId="17" xfId="0" applyNumberFormat="1" applyFill="1" applyBorder="1"/>
    <xf numFmtId="2" fontId="0" fillId="25" borderId="19" xfId="0" applyNumberFormat="1" applyFill="1" applyBorder="1"/>
    <xf numFmtId="2" fontId="0" fillId="25" borderId="21" xfId="0" applyNumberFormat="1" applyFill="1" applyBorder="1"/>
    <xf numFmtId="2" fontId="0" fillId="25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5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5" borderId="18" xfId="0" applyNumberFormat="1" applyFill="1" applyBorder="1"/>
    <xf numFmtId="2" fontId="0" fillId="25" borderId="27" xfId="0" applyNumberFormat="1" applyFill="1" applyBorder="1"/>
    <xf numFmtId="2" fontId="0" fillId="25" borderId="22" xfId="0" applyNumberFormat="1" applyFill="1" applyBorder="1"/>
    <xf numFmtId="2" fontId="0" fillId="25" borderId="23" xfId="0" applyNumberFormat="1" applyFill="1" applyBorder="1"/>
    <xf numFmtId="2" fontId="0" fillId="25" borderId="2" xfId="0" applyNumberFormat="1" applyFill="1" applyBorder="1"/>
    <xf numFmtId="2" fontId="0" fillId="25" borderId="3" xfId="0" applyNumberFormat="1" applyFill="1" applyBorder="1"/>
    <xf numFmtId="2" fontId="0" fillId="25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6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7" borderId="23" xfId="2" applyNumberFormat="1" applyFont="1" applyFill="1" applyBorder="1"/>
    <xf numFmtId="166" fontId="21" fillId="28" borderId="55" xfId="0" applyNumberFormat="1" applyFont="1" applyFill="1" applyBorder="1"/>
    <xf numFmtId="0" fontId="1" fillId="0" borderId="0" xfId="0" applyFont="1" applyFill="1" applyAlignment="1">
      <alignment wrapText="1"/>
    </xf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158750</xdr:colOff>
      <xdr:row>34</xdr:row>
      <xdr:rowOff>74083</xdr:rowOff>
    </xdr:from>
    <xdr:to>
      <xdr:col>13</xdr:col>
      <xdr:colOff>604899</xdr:colOff>
      <xdr:row>36</xdr:row>
      <xdr:rowOff>159843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022167" y="4053416"/>
          <a:ext cx="213948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211667</xdr:colOff>
      <xdr:row>33</xdr:row>
      <xdr:rowOff>63501</xdr:rowOff>
    </xdr:from>
    <xdr:to>
      <xdr:col>13</xdr:col>
      <xdr:colOff>647233</xdr:colOff>
      <xdr:row>35</xdr:row>
      <xdr:rowOff>142206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8078611" y="3929945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179917</xdr:colOff>
      <xdr:row>32</xdr:row>
      <xdr:rowOff>116417</xdr:rowOff>
    </xdr:from>
    <xdr:to>
      <xdr:col>11</xdr:col>
      <xdr:colOff>629595</xdr:colOff>
      <xdr:row>34</xdr:row>
      <xdr:rowOff>170428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6286500" y="3757084"/>
          <a:ext cx="214301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2</xdr:row>
      <xdr:rowOff>0</xdr:rowOff>
    </xdr:from>
    <xdr:to>
      <xdr:col>13</xdr:col>
      <xdr:colOff>602357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9789584" y="38100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6</xdr:row>
      <xdr:rowOff>130528</xdr:rowOff>
    </xdr:from>
    <xdr:to>
      <xdr:col>13</xdr:col>
      <xdr:colOff>602357</xdr:colOff>
      <xdr:row>9</xdr:row>
      <xdr:rowOff>127995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9789584" y="1252361"/>
          <a:ext cx="1195023" cy="55838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2</xdr:row>
      <xdr:rowOff>21166</xdr:rowOff>
    </xdr:from>
    <xdr:to>
      <xdr:col>13</xdr:col>
      <xdr:colOff>616468</xdr:colOff>
      <xdr:row>5</xdr:row>
      <xdr:rowOff>22866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9771944" y="402166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6</xdr:row>
      <xdr:rowOff>134056</xdr:rowOff>
    </xdr:from>
    <xdr:to>
      <xdr:col>13</xdr:col>
      <xdr:colOff>616468</xdr:colOff>
      <xdr:row>9</xdr:row>
      <xdr:rowOff>135051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9771944" y="1262945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268111</xdr:colOff>
      <xdr:row>2</xdr:row>
      <xdr:rowOff>7055</xdr:rowOff>
    </xdr:from>
    <xdr:to>
      <xdr:col>13</xdr:col>
      <xdr:colOff>658802</xdr:colOff>
      <xdr:row>5</xdr:row>
      <xdr:rowOff>8755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9814278" y="38805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289277</xdr:colOff>
      <xdr:row>6</xdr:row>
      <xdr:rowOff>119945</xdr:rowOff>
    </xdr:from>
    <xdr:to>
      <xdr:col>13</xdr:col>
      <xdr:colOff>679968</xdr:colOff>
      <xdr:row>9</xdr:row>
      <xdr:rowOff>120940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9835444" y="1248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243417</xdr:colOff>
      <xdr:row>2</xdr:row>
      <xdr:rowOff>158750</xdr:rowOff>
    </xdr:from>
    <xdr:to>
      <xdr:col>13</xdr:col>
      <xdr:colOff>634106</xdr:colOff>
      <xdr:row>5</xdr:row>
      <xdr:rowOff>160450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9810750" y="53975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243418</xdr:colOff>
      <xdr:row>7</xdr:row>
      <xdr:rowOff>49389</xdr:rowOff>
    </xdr:from>
    <xdr:to>
      <xdr:col>13</xdr:col>
      <xdr:colOff>634106</xdr:colOff>
      <xdr:row>10</xdr:row>
      <xdr:rowOff>46855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9810751" y="1351139"/>
          <a:ext cx="1195022" cy="55838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317499</xdr:colOff>
      <xdr:row>3</xdr:row>
      <xdr:rowOff>162277</xdr:rowOff>
    </xdr:from>
    <xdr:to>
      <xdr:col>13</xdr:col>
      <xdr:colOff>708190</xdr:colOff>
      <xdr:row>6</xdr:row>
      <xdr:rowOff>171033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9849555" y="733777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331610</xdr:colOff>
      <xdr:row>7</xdr:row>
      <xdr:rowOff>169334</xdr:rowOff>
    </xdr:from>
    <xdr:to>
      <xdr:col>13</xdr:col>
      <xdr:colOff>722301</xdr:colOff>
      <xdr:row>10</xdr:row>
      <xdr:rowOff>170328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9863666" y="1481667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338666</xdr:colOff>
      <xdr:row>4</xdr:row>
      <xdr:rowOff>10583</xdr:rowOff>
    </xdr:from>
    <xdr:to>
      <xdr:col>13</xdr:col>
      <xdr:colOff>729357</xdr:colOff>
      <xdr:row>7</xdr:row>
      <xdr:rowOff>12283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10054166" y="762000"/>
          <a:ext cx="1195024" cy="5414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359833</xdr:colOff>
      <xdr:row>8</xdr:row>
      <xdr:rowOff>169334</xdr:rowOff>
    </xdr:from>
    <xdr:to>
      <xdr:col>13</xdr:col>
      <xdr:colOff>746113</xdr:colOff>
      <xdr:row>11</xdr:row>
      <xdr:rowOff>181793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075333" y="1640417"/>
          <a:ext cx="1190613" cy="56279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56445</xdr:colOff>
      <xdr:row>4</xdr:row>
      <xdr:rowOff>1</xdr:rowOff>
    </xdr:from>
    <xdr:to>
      <xdr:col>13</xdr:col>
      <xdr:colOff>729357</xdr:colOff>
      <xdr:row>7</xdr:row>
      <xdr:rowOff>1701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9419167" y="75494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77612</xdr:colOff>
      <xdr:row>9</xdr:row>
      <xdr:rowOff>21166</xdr:rowOff>
    </xdr:from>
    <xdr:to>
      <xdr:col>13</xdr:col>
      <xdr:colOff>750523</xdr:colOff>
      <xdr:row>12</xdr:row>
      <xdr:rowOff>29216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440334" y="1707444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183444</xdr:colOff>
      <xdr:row>4</xdr:row>
      <xdr:rowOff>0</xdr:rowOff>
    </xdr:from>
    <xdr:to>
      <xdr:col>13</xdr:col>
      <xdr:colOff>574135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9715500" y="754944"/>
          <a:ext cx="1187968" cy="55203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232833</xdr:colOff>
      <xdr:row>9</xdr:row>
      <xdr:rowOff>14111</xdr:rowOff>
    </xdr:from>
    <xdr:to>
      <xdr:col>13</xdr:col>
      <xdr:colOff>623523</xdr:colOff>
      <xdr:row>12</xdr:row>
      <xdr:rowOff>22161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9764889" y="1700389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222250</xdr:colOff>
      <xdr:row>2</xdr:row>
      <xdr:rowOff>169333</xdr:rowOff>
    </xdr:from>
    <xdr:to>
      <xdr:col>13</xdr:col>
      <xdr:colOff>612940</xdr:colOff>
      <xdr:row>5</xdr:row>
      <xdr:rowOff>167506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9673167" y="550333"/>
          <a:ext cx="1195023" cy="548506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222249</xdr:colOff>
      <xdr:row>7</xdr:row>
      <xdr:rowOff>186972</xdr:rowOff>
    </xdr:from>
    <xdr:to>
      <xdr:col>13</xdr:col>
      <xdr:colOff>612939</xdr:colOff>
      <xdr:row>10</xdr:row>
      <xdr:rowOff>177383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9673166" y="1478139"/>
          <a:ext cx="1195023" cy="561911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21167</xdr:colOff>
      <xdr:row>0</xdr:row>
      <xdr:rowOff>42333</xdr:rowOff>
    </xdr:from>
    <xdr:to>
      <xdr:col>10</xdr:col>
      <xdr:colOff>867834</xdr:colOff>
      <xdr:row>1</xdr:row>
      <xdr:rowOff>204612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7690556" y="42333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246945</xdr:colOff>
      <xdr:row>0</xdr:row>
      <xdr:rowOff>63499</xdr:rowOff>
    </xdr:from>
    <xdr:to>
      <xdr:col>12</xdr:col>
      <xdr:colOff>839612</xdr:colOff>
      <xdr:row>1</xdr:row>
      <xdr:rowOff>225778</xdr:rowOff>
    </xdr:to>
    <xdr:sp macro="" textlink="">
      <xdr:nvSpPr>
        <xdr:cNvPr id="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6DA005-933F-4CDA-96FF-27C5603693FC}"/>
            </a:ext>
          </a:extLst>
        </xdr:cNvPr>
        <xdr:cNvSpPr/>
      </xdr:nvSpPr>
      <xdr:spPr>
        <a:xfrm>
          <a:off x="9412112" y="634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49389</xdr:rowOff>
    </xdr:from>
    <xdr:to>
      <xdr:col>10</xdr:col>
      <xdr:colOff>846667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B16ADA-52BF-4044-AE4A-9F2257901B10}"/>
            </a:ext>
          </a:extLst>
        </xdr:cNvPr>
        <xdr:cNvSpPr/>
      </xdr:nvSpPr>
      <xdr:spPr>
        <a:xfrm>
          <a:off x="7669389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14111</xdr:colOff>
      <xdr:row>0</xdr:row>
      <xdr:rowOff>70556</xdr:rowOff>
    </xdr:from>
    <xdr:to>
      <xdr:col>8</xdr:col>
      <xdr:colOff>860777</xdr:colOff>
      <xdr:row>1</xdr:row>
      <xdr:rowOff>232835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1309C9-DF5B-45DE-B91E-BFB2F0690F92}"/>
            </a:ext>
          </a:extLst>
        </xdr:cNvPr>
        <xdr:cNvSpPr/>
      </xdr:nvSpPr>
      <xdr:spPr>
        <a:xfrm>
          <a:off x="5933722" y="70556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7055</xdr:colOff>
      <xdr:row>0</xdr:row>
      <xdr:rowOff>63500</xdr:rowOff>
    </xdr:from>
    <xdr:to>
      <xdr:col>10</xdr:col>
      <xdr:colOff>853722</xdr:colOff>
      <xdr:row>1</xdr:row>
      <xdr:rowOff>225779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C161F5-A423-45D6-AE40-3092DAC360F0}"/>
            </a:ext>
          </a:extLst>
        </xdr:cNvPr>
        <xdr:cNvSpPr/>
      </xdr:nvSpPr>
      <xdr:spPr>
        <a:xfrm>
          <a:off x="7676444" y="63500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232834</xdr:colOff>
      <xdr:row>0</xdr:row>
      <xdr:rowOff>49389</xdr:rowOff>
    </xdr:from>
    <xdr:to>
      <xdr:col>8</xdr:col>
      <xdr:colOff>825500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C55B0-AC01-4B8E-83E0-FC3A403918DA}"/>
            </a:ext>
          </a:extLst>
        </xdr:cNvPr>
        <xdr:cNvSpPr/>
      </xdr:nvSpPr>
      <xdr:spPr>
        <a:xfrm>
          <a:off x="5898445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70555</xdr:rowOff>
    </xdr:from>
    <xdr:to>
      <xdr:col>1</xdr:col>
      <xdr:colOff>1728611</xdr:colOff>
      <xdr:row>2</xdr:row>
      <xdr:rowOff>148166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9219A0-2E84-4DAD-8134-E2CE712B76FD}"/>
            </a:ext>
          </a:extLst>
        </xdr:cNvPr>
        <xdr:cNvSpPr/>
      </xdr:nvSpPr>
      <xdr:spPr>
        <a:xfrm>
          <a:off x="373944" y="2539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G32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81640625" style="1" customWidth="1"/>
    <col min="3" max="3" width="11.81640625" style="1" customWidth="1"/>
    <col min="4" max="4" width="12.453125" style="1" customWidth="1"/>
    <col min="5" max="5" width="3.54296875" style="1" customWidth="1"/>
    <col min="6" max="6" width="14" style="1" bestFit="1" customWidth="1"/>
    <col min="7" max="7" width="9.1796875" style="1"/>
  </cols>
  <sheetData>
    <row r="1" spans="1:7" ht="15" thickBot="1" x14ac:dyDescent="0.4"/>
    <row r="2" spans="1:7" s="257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G2" s="8"/>
    </row>
    <row r="3" spans="1:7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250050</v>
      </c>
      <c r="C3" s="9">
        <f>+HojaTICA!K4+HojaNICA!M4+HojaREVENTADO!K4+HojaPrimera!I4+HojaHonduras!K4+HojaDominicana!I4+HojaPANA!G4</f>
        <v>32500</v>
      </c>
      <c r="D3" s="9">
        <f>+HojaTICA!N4+HojaNICA!P4+HojaREVENTADO!O4+HojaPrimera!L4+HojaHonduras!N4+HojaDominicana!L4+HojaPANA!J4</f>
        <v>91000</v>
      </c>
      <c r="F3" s="10">
        <f t="shared" ref="F3:F27" si="0">+B3-C3-D3</f>
        <v>126550</v>
      </c>
    </row>
    <row r="4" spans="1:7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178150</v>
      </c>
      <c r="C4" s="9">
        <f>+HojaTICA!K5+HojaNICA!M5+HojaREVENTADO!K5+HojaPrimera!I5+HojaHonduras!K5+HojaDominicana!I5+HojaPANA!G5</f>
        <v>23200</v>
      </c>
      <c r="D4" s="9">
        <f>+HojaTICA!N5+HojaNICA!P5+HojaREVENTADO!O5+HojaPrimera!L5+HojaHonduras!N5+HojaDominicana!L5+HojaPANA!J5</f>
        <v>21250</v>
      </c>
      <c r="F4" s="14">
        <f t="shared" si="0"/>
        <v>133700</v>
      </c>
    </row>
    <row r="5" spans="1:7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</row>
    <row r="6" spans="1:7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</row>
    <row r="7" spans="1:7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279850</v>
      </c>
      <c r="C7" s="9">
        <f>+HojaTICA!K8+HojaNICA!M8+HojaREVENTADO!K8+HojaPrimera!I8+HojaHonduras!K8+HojaDominicana!I8+HojaPANA!G8</f>
        <v>33600</v>
      </c>
      <c r="D7" s="9">
        <f>+HojaTICA!N8+HojaNICA!P8+HojaREVENTADO!O8+HojaPrimera!L8+HojaHonduras!N8+HojaDominicana!L8+HojaPANA!J8</f>
        <v>181000</v>
      </c>
      <c r="F7" s="14">
        <f t="shared" si="0"/>
        <v>65250</v>
      </c>
    </row>
    <row r="8" spans="1:7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</row>
    <row r="9" spans="1:7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865500</v>
      </c>
      <c r="C9" s="9">
        <f>+HojaTICA!K10+HojaNICA!M10+HojaREVENTADO!K10+HojaPrimera!I10+HojaHonduras!K10+HojaDominicana!I10+HojaPANA!G10</f>
        <v>102445</v>
      </c>
      <c r="D9" s="9">
        <f>+HojaTICA!N10+HojaNICA!P10+HojaREVENTADO!O10+HojaPrimera!L10+HojaHonduras!N10+HojaDominicana!L10+HojaPANA!J10</f>
        <v>395250</v>
      </c>
      <c r="F9" s="14">
        <f t="shared" si="0"/>
        <v>367805</v>
      </c>
    </row>
    <row r="10" spans="1:7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27700</v>
      </c>
      <c r="C10" s="9">
        <f>+HojaTICA!K11+HojaNICA!M11+HojaREVENTADO!K11+HojaPrimera!I11+HojaHonduras!K11+HojaDominicana!I11+HojaPANA!G11</f>
        <v>3300</v>
      </c>
      <c r="D10" s="9">
        <f>+HojaTICA!N11+HojaNICA!P11+HojaREVENTADO!O11+HojaPrimera!L11+HojaHonduras!N11+HojaDominicana!L11+HojaPANA!J11</f>
        <v>0</v>
      </c>
      <c r="F10" s="14">
        <f t="shared" si="0"/>
        <v>24400</v>
      </c>
    </row>
    <row r="11" spans="1:7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98300</v>
      </c>
      <c r="C11" s="9">
        <f>+HojaTICA!K12+HojaNICA!M12+HojaREVENTADO!K12+HojaPrimera!I12+HojaHonduras!K12+HojaDominicana!I12+HojaPANA!G12</f>
        <v>11775</v>
      </c>
      <c r="D11" s="9">
        <f>+HojaTICA!N12+HojaNICA!P12+HojaREVENTADO!O12+HojaPrimera!L12+HojaHonduras!N12+HojaDominicana!L12+HojaPANA!J12</f>
        <v>12750</v>
      </c>
      <c r="F11" s="14">
        <f t="shared" si="0"/>
        <v>73775</v>
      </c>
    </row>
    <row r="12" spans="1:7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183500</v>
      </c>
      <c r="C12" s="9">
        <f>+HojaTICA!K13+HojaNICA!M13+HojaREVENTADO!K13+HojaPrimera!I13+HojaHonduras!K13+HojaDominicana!I13+HojaPANA!G13</f>
        <v>22050</v>
      </c>
      <c r="D12" s="9">
        <f>+HojaTICA!N13+HojaNICA!P13+HojaREVENTADO!O13+HojaPrimera!L13+HojaHonduras!N13+HojaDominicana!L13+HojaPANA!J13</f>
        <v>365000</v>
      </c>
      <c r="F12" s="14">
        <f t="shared" si="0"/>
        <v>-203550</v>
      </c>
    </row>
    <row r="13" spans="1:7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76100</v>
      </c>
      <c r="C13" s="9">
        <f>+HojaTICA!K14+HojaNICA!M14+HojaREVENTADO!K14+HojaPrimera!I14+HojaHonduras!K14+HojaDominicana!I14+HojaPANA!G14</f>
        <v>11400</v>
      </c>
      <c r="D13" s="9">
        <f>+HojaTICA!N14+HojaNICA!P14+HojaREVENTADO!O14+HojaPrimera!L14+HojaHonduras!N14+HojaDominicana!L14+HojaPANA!J14</f>
        <v>40000</v>
      </c>
      <c r="F13" s="14">
        <f t="shared" si="0"/>
        <v>24700</v>
      </c>
    </row>
    <row r="14" spans="1:7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</row>
    <row r="15" spans="1:7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102750</v>
      </c>
      <c r="C15" s="9">
        <f>+HojaTICA!K16+HojaNICA!M16+HojaREVENTADO!K16+HojaPrimera!I16+HojaHonduras!K16+HojaDominicana!I16+HojaPANA!G16</f>
        <v>12300</v>
      </c>
      <c r="D15" s="9">
        <f>+HojaTICA!N16+HojaNICA!P16+HojaREVENTADO!O16+HojaPrimera!L16+HojaHonduras!N16+HojaDominicana!L16+HojaPANA!J16</f>
        <v>57250</v>
      </c>
      <c r="F15" s="14">
        <f t="shared" si="0"/>
        <v>33200</v>
      </c>
    </row>
    <row r="16" spans="1:7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930800</v>
      </c>
      <c r="C16" s="9">
        <f>+HojaTICA!K17+HojaNICA!M17+HojaREVENTADO!K17+HojaPrimera!I17+HojaHonduras!K17+HojaDominicana!I17+HojaPANA!G17</f>
        <v>110710</v>
      </c>
      <c r="D16" s="9">
        <f>+HojaTICA!N17+HojaNICA!P17+HojaREVENTADO!O17+HojaPrimera!L17+HojaHonduras!N17+HojaDominicana!L17+HojaPANA!J17</f>
        <v>578000</v>
      </c>
      <c r="F16" s="14">
        <f t="shared" si="0"/>
        <v>242090</v>
      </c>
    </row>
    <row r="17" spans="1:6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398750</v>
      </c>
      <c r="C17" s="9">
        <f>+HojaTICA!K18+HojaNICA!M18+HojaREVENTADO!K18+HojaPrimera!I18+HojaHonduras!K18+HojaDominicana!I18+HojaPANA!G18</f>
        <v>46900</v>
      </c>
      <c r="D17" s="9">
        <f>+HojaTICA!N18+HojaNICA!P18+HojaREVENTADO!O18+HojaPrimera!L18+HojaHonduras!N18+HojaDominicana!L18+HojaPANA!J18</f>
        <v>68000</v>
      </c>
      <c r="F17" s="14">
        <f t="shared" si="0"/>
        <v>283850</v>
      </c>
    </row>
    <row r="18" spans="1:6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</row>
    <row r="19" spans="1:6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</row>
    <row r="20" spans="1:6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</row>
    <row r="21" spans="1:6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</row>
    <row r="22" spans="1:6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</row>
    <row r="23" spans="1:6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</row>
    <row r="24" spans="1:6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</row>
    <row r="25" spans="1:6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</row>
    <row r="26" spans="1:6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</row>
    <row r="27" spans="1:6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</row>
    <row r="28" spans="1:6" ht="16.5" customHeight="1" thickBot="1" x14ac:dyDescent="0.4">
      <c r="A28" s="16" t="s">
        <v>5</v>
      </c>
      <c r="B28" s="19">
        <f t="shared" ref="B28:D28" si="1">SUM(B3:B27)</f>
        <v>3391450</v>
      </c>
      <c r="C28" s="17">
        <f t="shared" si="1"/>
        <v>410180</v>
      </c>
      <c r="D28" s="18">
        <f t="shared" si="1"/>
        <v>1809500</v>
      </c>
      <c r="F28" s="20">
        <f>SUM(F3:F27)</f>
        <v>1171770</v>
      </c>
    </row>
    <row r="32" spans="1:6" ht="18" x14ac:dyDescent="0.4">
      <c r="B32" s="97"/>
      <c r="C32" s="97"/>
      <c r="D32" s="97"/>
      <c r="E32" s="97"/>
      <c r="F32" s="9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1000000}"/>
    <hyperlink ref="A6" location="Vendedor4!B5" display="#Vendedor4.B5" xr:uid="{00000000-0004-0000-0000-000002000000}"/>
    <hyperlink ref="A7" location="Vendedor5!B5" display="Vendedor5!B5" xr:uid="{00000000-0004-0000-0000-000003000000}"/>
    <hyperlink ref="A8" location="Vendedor6!B5" display="#Vendedor6.B5" xr:uid="{00000000-0004-0000-0000-000004000000}"/>
    <hyperlink ref="A9" location="Vendedor7!B5" display="#Vendedor7.B5" xr:uid="{00000000-0004-0000-0000-000005000000}"/>
    <hyperlink ref="A10" location="Vendedor8!B5" display="#Vendedor8.B5" xr:uid="{00000000-0004-0000-0000-000006000000}"/>
    <hyperlink ref="A11" location="Vendedor9!B5" display="Vendedor9!B5" xr:uid="{00000000-0004-0000-0000-000007000000}"/>
    <hyperlink ref="A12" location="Vendedor10!B5" display="#Vendedor10.B5" xr:uid="{00000000-0004-0000-0000-000008000000}"/>
    <hyperlink ref="A13" location="Vendedor11!B5" display="#Vendedor11.B5" xr:uid="{00000000-0004-0000-0000-000009000000}"/>
    <hyperlink ref="A14" location="Vendedor12!B5" display="#Vendedor12.B5" xr:uid="{00000000-0004-0000-0000-00000A000000}"/>
    <hyperlink ref="A15" location="Vendedor13!B5" display="#Vendedor13.B5" xr:uid="{00000000-0004-0000-0000-00000B000000}"/>
    <hyperlink ref="A16" location="Vendedor14!B5" display="#Vendedor14.B5" xr:uid="{00000000-0004-0000-0000-00000C000000}"/>
    <hyperlink ref="A17" location="Vendedor15!B5" display="#Vendedor15.B5" xr:uid="{00000000-0004-0000-0000-00000D000000}"/>
    <hyperlink ref="A18" location="Vendedor16!B5" display="#Vendedor16.B5" xr:uid="{00000000-0004-0000-0000-00000E000000}"/>
    <hyperlink ref="A19" location="Vendedor17!B5" display="#Vendedor17.B5" xr:uid="{00000000-0004-0000-0000-00000F000000}"/>
    <hyperlink ref="A20" location="Vendedor18!B5" display="#Vendedor18.B5" xr:uid="{00000000-0004-0000-0000-000010000000}"/>
    <hyperlink ref="A21" location="Vendedor19!B5" display="#Vendedor19.B5" xr:uid="{00000000-0004-0000-0000-000011000000}"/>
    <hyperlink ref="A22" location="Vendedor20!B5" display="#Vendedor20.B5" xr:uid="{00000000-0004-0000-0000-000012000000}"/>
    <hyperlink ref="A23" location="Vendedor21!B5" display="#Vendedor21.B5" xr:uid="{00000000-0004-0000-0000-000013000000}"/>
    <hyperlink ref="A24" location="Vendedor22!B5" display="#Vendedor22.B5" xr:uid="{00000000-0004-0000-0000-000014000000}"/>
    <hyperlink ref="A25" location="Vendedor23!B5" display="#Vendedor23.B5" xr:uid="{00000000-0004-0000-0000-000015000000}"/>
    <hyperlink ref="A26" location="Vendedor24!B5" display="#Vendedor24.B5" xr:uid="{00000000-0004-0000-0000-000016000000}"/>
    <hyperlink ref="A27" location="Vendedor25!B5" display="#Vendedor25.B5" xr:uid="{00000000-0004-0000-0000-000017000000}"/>
    <hyperlink ref="A4" location="Vendedor2!B5" display="Vendedor2!B5" xr:uid="{00000000-0004-0000-0000-000018000000}"/>
  </hyperlinks>
  <pageMargins left="0.7" right="0.7" top="0.75" bottom="0.75" header="0.51180555555555496" footer="0.51180555555555496"/>
  <pageSetup scale="95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6" sqref="C16"/>
    </sheetView>
  </sheetViews>
  <sheetFormatPr baseColWidth="10" defaultColWidth="11.453125" defaultRowHeight="14.5" x14ac:dyDescent="0.35"/>
  <cols>
    <col min="1" max="1" width="16.54296875" style="21" bestFit="1" customWidth="1"/>
    <col min="2" max="2" width="8.1796875" style="21" bestFit="1" customWidth="1"/>
    <col min="3" max="3" width="8.17968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3" t="s">
        <v>6</v>
      </c>
      <c r="B2" s="264"/>
      <c r="C2" s="264"/>
      <c r="D2" s="265"/>
      <c r="E2" s="265"/>
      <c r="F2" s="265"/>
      <c r="G2" s="117"/>
      <c r="I2" s="258" t="s">
        <v>7</v>
      </c>
      <c r="J2" s="258"/>
      <c r="K2" s="258"/>
    </row>
    <row r="3" spans="1:13" ht="15" thickBot="1" x14ac:dyDescent="0.4"/>
    <row r="4" spans="1:13" ht="15" thickBot="1" x14ac:dyDescent="0.4">
      <c r="A4" s="23" t="s">
        <v>8</v>
      </c>
      <c r="B4" s="125" t="s">
        <v>119</v>
      </c>
      <c r="C4" s="125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3">
        <v>29</v>
      </c>
      <c r="C5" s="132"/>
      <c r="D5" s="137"/>
      <c r="E5" s="30">
        <v>80</v>
      </c>
      <c r="F5" s="30">
        <v>85</v>
      </c>
      <c r="G5" s="30">
        <v>85</v>
      </c>
      <c r="I5" s="259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2"/>
      <c r="C6" s="132"/>
      <c r="D6" s="137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59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3">
        <v>40</v>
      </c>
      <c r="C7" s="132"/>
      <c r="D7" s="137"/>
      <c r="E7" s="30">
        <v>80</v>
      </c>
      <c r="F7" s="30">
        <v>85</v>
      </c>
      <c r="G7" s="30">
        <v>85</v>
      </c>
      <c r="I7" s="259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6" t="str">
        <f>D8</f>
        <v>Roja</v>
      </c>
      <c r="C8" s="136"/>
      <c r="D8" s="137" t="s">
        <v>65</v>
      </c>
      <c r="E8" s="30">
        <f>IF(D8=J$10,K$10,IF(D8=J$11,K$11,IF(D8=J$12,K$12,"")))</f>
        <v>200</v>
      </c>
      <c r="F8" s="30">
        <f>IF($D8=$J$10,$L$10,IF($D8=$J$11,$L$11,IF($D8=$J$12,$L$12,"")))</f>
        <v>200</v>
      </c>
      <c r="G8" s="30">
        <f>IF($D8=$J$10,$M$10,IF($D8=$J$11,$M$11,IF($D8=$J$12,$M$12,"")))</f>
        <v>200</v>
      </c>
      <c r="I8" s="259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3">
        <v>67</v>
      </c>
      <c r="C9" s="132"/>
      <c r="D9" s="137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2"/>
      <c r="C10" s="132"/>
      <c r="D10" s="137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0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3">
        <v>97</v>
      </c>
      <c r="C11" s="132"/>
      <c r="D11" s="137"/>
      <c r="E11" s="30">
        <v>80</v>
      </c>
      <c r="F11" s="30">
        <v>85</v>
      </c>
      <c r="G11" s="30">
        <v>85</v>
      </c>
      <c r="I11" s="261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6" t="str">
        <f>D12</f>
        <v>Blanca</v>
      </c>
      <c r="C12" s="136"/>
      <c r="D12" s="137" t="s">
        <v>17</v>
      </c>
      <c r="E12" s="30">
        <f>IF(D12=J$10,K$10,IF(D12=J$11,K$11,IF(D12=J$12,K$12,"")))</f>
        <v>0</v>
      </c>
      <c r="F12" s="30">
        <f>IF(D12=J$10,L$10,IF(D12=J$11,L$11,IF(D12=J$12,L$12,"")))</f>
        <v>0</v>
      </c>
      <c r="G12" s="30">
        <f>IF($D12=$J$10,$M$10,IF($D12=$J$11,$M$11,IF($D12=$J$12,$M$12,"")))</f>
        <v>0</v>
      </c>
      <c r="I12" s="262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2">
        <v>50</v>
      </c>
      <c r="C13" s="132"/>
      <c r="D13" s="137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2"/>
      <c r="C14" s="132"/>
      <c r="D14" s="137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3">
        <v>68</v>
      </c>
      <c r="C15" s="132"/>
      <c r="D15" s="137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6" t="str">
        <f>D16</f>
        <v>Blanca</v>
      </c>
      <c r="C16" s="136"/>
      <c r="D16" s="137" t="s">
        <v>17</v>
      </c>
      <c r="E16" s="30">
        <f>IF(D16=J$10,K$10,IF(D16=J$11,K$11,IF(D16=J$12,K$12,"")))</f>
        <v>0</v>
      </c>
      <c r="F16" s="30">
        <f>IF(D16=J$10,L$10,IF(D16=J$11,L$11,IF(D16=J$12,L$12,"")))</f>
        <v>0</v>
      </c>
      <c r="G16" s="30">
        <f>IF($D16=$J$10,$M$10,IF($D16=$J$11,$M$11,IF($D16=$J$12,$M$12,"")))</f>
        <v>0</v>
      </c>
    </row>
    <row r="17" spans="1:7" x14ac:dyDescent="0.35">
      <c r="A17" s="28" t="s">
        <v>52</v>
      </c>
      <c r="B17" s="163">
        <v>50</v>
      </c>
      <c r="C17" s="132"/>
      <c r="D17" s="137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2"/>
      <c r="C18" s="132"/>
      <c r="D18" s="137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3">
        <v>70</v>
      </c>
      <c r="C19" s="132">
        <v>64</v>
      </c>
      <c r="D19" s="137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3">
        <v>87</v>
      </c>
      <c r="C20" s="163">
        <v>60</v>
      </c>
      <c r="D20" s="166">
        <v>38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5">
        <v>48</v>
      </c>
      <c r="C21" s="164">
        <v>88</v>
      </c>
      <c r="D21" s="138"/>
      <c r="E21" s="30">
        <v>80</v>
      </c>
      <c r="F21" s="30">
        <v>85</v>
      </c>
      <c r="G21" s="30">
        <v>85</v>
      </c>
    </row>
    <row r="22" spans="1:7" ht="15" thickBot="1" x14ac:dyDescent="0.4">
      <c r="A22" s="102" t="s">
        <v>21</v>
      </c>
      <c r="B22" s="134"/>
      <c r="C22" s="134"/>
      <c r="D22" s="139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scale="86" orientation="landscape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6" x14ac:dyDescent="0.35">
      <c r="C2" s="267">
        <f>DigitaTICA!C2</f>
        <v>40</v>
      </c>
      <c r="D2" s="268"/>
      <c r="E2" s="267">
        <f>DigitaTICA!E2</f>
        <v>97</v>
      </c>
      <c r="F2" s="268"/>
      <c r="G2" s="267">
        <f>DigitaTICA!G2</f>
        <v>68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80">
        <f>IF(Vendedor1!$C$7="",0,Vendedor1!$C$7)</f>
        <v>47800</v>
      </c>
      <c r="D4" s="30">
        <f>IF(Vendedor1!$E$7="",0,Vendedor1!$E$7)</f>
        <v>100</v>
      </c>
      <c r="E4" s="180">
        <f>IF(Vendedor1!$C$11="",0,Vendedor1!$C$11)</f>
        <v>38750</v>
      </c>
      <c r="F4" s="30">
        <f>IF(Vendedor1!$E$11="",0,Vendedor1!$E$11)</f>
        <v>0</v>
      </c>
      <c r="G4" s="180">
        <f>IF(Vendedor1!$C$15="",0,Vendedor1!$C$15)</f>
        <v>114300</v>
      </c>
      <c r="H4" s="30">
        <f>IF(Vendedor1!$E$15="",0,Vendedor1!$E$15)</f>
        <v>500</v>
      </c>
      <c r="J4" s="42">
        <f t="shared" ref="J4:J7" si="0">+C4+E4+G4</f>
        <v>200850</v>
      </c>
      <c r="K4" s="41">
        <f>MROUND(J4*Vendedor1!J$9,50)</f>
        <v>26100</v>
      </c>
      <c r="L4" s="42">
        <f t="shared" ref="L4:L7" si="1">+D4+F4+H4</f>
        <v>600</v>
      </c>
      <c r="M4" s="42">
        <f t="shared" ref="M4:M7" si="2">+L4*85</f>
        <v>51000</v>
      </c>
      <c r="N4" s="42">
        <f>Vendedor1!$F$7+Vendedor1!$F$11+Vendedor1!$F$15</f>
        <v>51000</v>
      </c>
      <c r="P4" s="42">
        <f t="shared" ref="P4:P7" si="3">+J4-K4-N4</f>
        <v>123750</v>
      </c>
    </row>
    <row r="5" spans="1:16" x14ac:dyDescent="0.35">
      <c r="A5" s="41">
        <v>2</v>
      </c>
      <c r="B5" s="177" t="str">
        <f>Vendedor2!$B$2</f>
        <v>PUESTO 2</v>
      </c>
      <c r="C5" s="180">
        <f>IF(Vendedor2!$C$7="",0,Vendedor2!$C$7)</f>
        <v>34100</v>
      </c>
      <c r="D5" s="30">
        <f>IF(Vendedor2!$E$7="",0,Vendedor2!$E$7)</f>
        <v>250</v>
      </c>
      <c r="E5" s="180">
        <f>IF(Vendedor2!$C$11="",0,Vendedor2!$C$11)</f>
        <v>26200</v>
      </c>
      <c r="F5" s="30">
        <f>IF(Vendedor2!$E$11="",0,Vendedor2!$E$11)</f>
        <v>0</v>
      </c>
      <c r="G5" s="180">
        <f>IF(Vendedor2!$C$15="",0,Vendedor2!$C$15)</f>
        <v>78450</v>
      </c>
      <c r="H5" s="30">
        <f>IF(Vendedor2!$E$15="",0,Vendedor2!$E$15)</f>
        <v>0</v>
      </c>
      <c r="J5" s="42">
        <f t="shared" si="0"/>
        <v>138750</v>
      </c>
      <c r="K5" s="41">
        <f>MROUND(J5*Vendedor2!J$9,50)</f>
        <v>18050</v>
      </c>
      <c r="L5" s="42">
        <f t="shared" si="1"/>
        <v>250</v>
      </c>
      <c r="M5" s="42">
        <f t="shared" si="2"/>
        <v>21250</v>
      </c>
      <c r="N5" s="42">
        <f>Vendedor2!$F$7+Vendedor2!$F$11+Vendedor2!$F$15</f>
        <v>21250</v>
      </c>
      <c r="P5" s="42">
        <f t="shared" si="3"/>
        <v>99450</v>
      </c>
    </row>
    <row r="6" spans="1:16" x14ac:dyDescent="0.35">
      <c r="A6" s="41">
        <v>3</v>
      </c>
      <c r="B6" s="177" t="str">
        <f>Vendedor3!$B$2</f>
        <v>TABLET</v>
      </c>
      <c r="C6" s="180">
        <f>IF(Vendedor3!$C$7="",0,Vendedor3!$C$7)</f>
        <v>0</v>
      </c>
      <c r="D6" s="30">
        <f>IF(Vendedor3!$E$7="",0,Vendedor3!$E$7)</f>
        <v>0</v>
      </c>
      <c r="E6" s="180">
        <f>IF(Vendedor3!$C$11="",0,Vendedor3!$C$11)</f>
        <v>0</v>
      </c>
      <c r="F6" s="30">
        <f>IF(Vendedor3!$E$11="",0,Vendedor3!$E$11)</f>
        <v>0</v>
      </c>
      <c r="G6" s="180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7" t="str">
        <f>Vendedor4!$B$2</f>
        <v>Nuevo 2</v>
      </c>
      <c r="C7" s="180">
        <f>IF(Vendedor4!$C$7="",0,Vendedor4!$C$7)</f>
        <v>0</v>
      </c>
      <c r="D7" s="30">
        <f>IF(Vendedor4!$E$7="",0,Vendedor4!$E$7)</f>
        <v>0</v>
      </c>
      <c r="E7" s="180">
        <f>IF(Vendedor4!$C$11="",0,Vendedor4!$C$11)</f>
        <v>0</v>
      </c>
      <c r="F7" s="30">
        <f>IF(Vendedor4!$E$11="",0,Vendedor4!$E$11)</f>
        <v>0</v>
      </c>
      <c r="G7" s="180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7" t="str">
        <f>Vendedor5!$B$2</f>
        <v>YOYO</v>
      </c>
      <c r="C8" s="180">
        <f>IF(Vendedor5!$C$7="",0,Vendedor5!$C$7)</f>
        <v>49450</v>
      </c>
      <c r="D8" s="30">
        <f>IF(Vendedor5!$E$7="",0,Vendedor5!$E$7)</f>
        <v>900</v>
      </c>
      <c r="E8" s="180">
        <f>IF(Vendedor5!$C$11="",0,Vendedor5!$C$11)</f>
        <v>37850</v>
      </c>
      <c r="F8" s="30">
        <f>IF(Vendedor5!$E$11="",0,Vendedor5!$E$11)</f>
        <v>0</v>
      </c>
      <c r="G8" s="180">
        <f>IF(Vendedor5!$C$15="",0,Vendedor5!$C$15)</f>
        <v>43400</v>
      </c>
      <c r="H8" s="30">
        <f>IF(Vendedor5!$E$15="",0,Vendedor5!$E$15)</f>
        <v>100</v>
      </c>
      <c r="J8" s="42">
        <f t="shared" ref="J8" si="4">+C8+E8+G8</f>
        <v>130700</v>
      </c>
      <c r="K8" s="41">
        <f>MROUND(J8*Vendedor5!J$11,50)</f>
        <v>15700</v>
      </c>
      <c r="L8" s="42">
        <f t="shared" ref="L8" si="5">+D8+F8+H8</f>
        <v>1000</v>
      </c>
      <c r="M8" s="42">
        <f t="shared" ref="M8" si="6">+L8*85</f>
        <v>85000</v>
      </c>
      <c r="N8" s="42">
        <f>Vendedor5!$F$7+Vendedor5!$F$11+Vendedor5!$F$15</f>
        <v>85000</v>
      </c>
      <c r="P8" s="42">
        <f t="shared" ref="P8" si="7">+J8-K8-N8</f>
        <v>30000</v>
      </c>
    </row>
    <row r="9" spans="1:16" x14ac:dyDescent="0.35">
      <c r="A9" s="41">
        <v>6</v>
      </c>
      <c r="B9" s="178" t="str">
        <f>Vendedor6!$B$2</f>
        <v>MARTA ROSA</v>
      </c>
      <c r="C9" s="180">
        <f>IF(Vendedor6!$C$7="",0,Vendedor6!$C$7)</f>
        <v>0</v>
      </c>
      <c r="D9" s="30">
        <f>IF(Vendedor6!$E$7="",0,Vendedor6!$E$7)</f>
        <v>0</v>
      </c>
      <c r="E9" s="180">
        <f>IF(Vendedor6!$C$11="",0,Vendedor6!$C$11)</f>
        <v>0</v>
      </c>
      <c r="F9" s="30">
        <f>IF(Vendedor6!$E$11="",0,Vendedor6!$E$11)</f>
        <v>0</v>
      </c>
      <c r="G9" s="180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IF(Vendedor7!$C$7="",0,Vendedor7!$C$7)</f>
        <v>118650</v>
      </c>
      <c r="D10" s="30">
        <f>IF(Vendedor7!$E$7="",0,Vendedor7!$E$7)</f>
        <v>300</v>
      </c>
      <c r="E10" s="180">
        <f>IF(Vendedor7!$C$11="",0,Vendedor7!$C$11)</f>
        <v>114350</v>
      </c>
      <c r="F10" s="30">
        <f>IF(Vendedor7!$E$11="",0,Vendedor7!$E$11)</f>
        <v>100</v>
      </c>
      <c r="G10" s="180">
        <f>IF(Vendedor7!$C$15="",0,Vendedor7!$C$15)</f>
        <v>166850</v>
      </c>
      <c r="H10" s="30">
        <f>IF(Vendedor7!$E$15="",0,Vendedor7!$E$15)</f>
        <v>1250</v>
      </c>
      <c r="J10" s="42">
        <f t="shared" si="8"/>
        <v>399850</v>
      </c>
      <c r="K10" s="41">
        <f>MROUND(J10*Vendedor7!J$14,50)</f>
        <v>48000</v>
      </c>
      <c r="L10" s="42">
        <f t="shared" si="9"/>
        <v>1650</v>
      </c>
      <c r="M10" s="42">
        <f t="shared" si="10"/>
        <v>140250</v>
      </c>
      <c r="N10" s="42">
        <f>Vendedor7!$F$7+Vendedor7!$F$11+Vendedor7!$F$15</f>
        <v>140250</v>
      </c>
      <c r="P10" s="42">
        <f t="shared" si="11"/>
        <v>211600</v>
      </c>
    </row>
    <row r="11" spans="1:16" x14ac:dyDescent="0.35">
      <c r="A11" s="41">
        <v>8</v>
      </c>
      <c r="B11" s="178" t="str">
        <f>Vendedor8!$B$2</f>
        <v>ISA</v>
      </c>
      <c r="C11" s="180">
        <f>IF(Vendedor8!$C$7="",0,Vendedor8!$C$7)</f>
        <v>4000</v>
      </c>
      <c r="D11" s="30">
        <f>IF(Vendedor8!$E$7="",0,Vendedor8!$E$7)</f>
        <v>0</v>
      </c>
      <c r="E11" s="180">
        <f>IF(Vendedor8!$C$11="",0,Vendedor8!$C$11)</f>
        <v>0</v>
      </c>
      <c r="F11" s="30">
        <f>IF(Vendedor8!$E$11="",0,Vendedor8!$E$11)</f>
        <v>0</v>
      </c>
      <c r="G11" s="180">
        <f>IF(Vendedor8!$C$15="",0,Vendedor8!$C$15)</f>
        <v>23700</v>
      </c>
      <c r="H11" s="30">
        <f>IF(Vendedor8!$E$15="",0,Vendedor8!$E$15)</f>
        <v>0</v>
      </c>
      <c r="J11" s="42">
        <f t="shared" si="8"/>
        <v>27700</v>
      </c>
      <c r="K11" s="41">
        <f>MROUND(J11*Vendedor8!J$11,50)</f>
        <v>3300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24400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IF(Vendedor9!$C$7="",0,Vendedor9!$C$7)</f>
        <v>19400</v>
      </c>
      <c r="D12" s="30">
        <f>IF(Vendedor9!$E$7="",0,Vendedor9!$E$7)</f>
        <v>0</v>
      </c>
      <c r="E12" s="180">
        <f>IF(Vendedor9!$C$11="",0,Vendedor9!$C$11)</f>
        <v>10500</v>
      </c>
      <c r="F12" s="30">
        <f>IF(Vendedor9!$E$11="",0,Vendedor9!$E$11)</f>
        <v>0</v>
      </c>
      <c r="G12" s="180">
        <f>IF(Vendedor9!$C$15="",0,Vendedor9!$C$15)</f>
        <v>22900</v>
      </c>
      <c r="H12" s="30">
        <f>IF(Vendedor9!$E$15="",0,Vendedor9!$E$15)</f>
        <v>150</v>
      </c>
      <c r="J12" s="42">
        <f t="shared" si="8"/>
        <v>52800</v>
      </c>
      <c r="K12" s="41">
        <f>MROUND(J12*Vendedor9!J$11,50)</f>
        <v>6350</v>
      </c>
      <c r="L12" s="42">
        <f t="shared" si="9"/>
        <v>150</v>
      </c>
      <c r="M12" s="42">
        <f t="shared" si="10"/>
        <v>12750</v>
      </c>
      <c r="N12" s="42">
        <f>Vendedor9!$F$7+Vendedor9!$F$11+Vendedor9!$F$15</f>
        <v>12750</v>
      </c>
      <c r="P12" s="42">
        <f t="shared" si="11"/>
        <v>33700</v>
      </c>
    </row>
    <row r="13" spans="1:16" x14ac:dyDescent="0.35">
      <c r="A13" s="41">
        <v>10</v>
      </c>
      <c r="B13" s="178" t="str">
        <f>Vendedor10!$B$2</f>
        <v>MARIALIZ</v>
      </c>
      <c r="C13" s="180">
        <f>IF(Vendedor10!$C$7="",0,Vendedor10!$C$7)</f>
        <v>18300</v>
      </c>
      <c r="D13" s="30">
        <f>IF(Vendedor10!$E$7="",0,Vendedor10!$E$7)</f>
        <v>1000</v>
      </c>
      <c r="E13" s="180">
        <f>IF(Vendedor10!$C$11="",0,Vendedor10!$C$11)</f>
        <v>25400</v>
      </c>
      <c r="F13" s="30">
        <f>IF(Vendedor10!$E$11="",0,Vendedor10!$E$11)</f>
        <v>200</v>
      </c>
      <c r="G13" s="180">
        <f>IF(Vendedor10!$C$15="",0,Vendedor10!$C$15)</f>
        <v>66150</v>
      </c>
      <c r="H13" s="30">
        <f>IF(Vendedor10!$E$15="",0,Vendedor10!$E$15)</f>
        <v>3000</v>
      </c>
      <c r="J13" s="42">
        <f t="shared" si="8"/>
        <v>109850</v>
      </c>
      <c r="K13" s="41">
        <f>MROUND(J13*Vendedor10!J$9,50)</f>
        <v>13200</v>
      </c>
      <c r="L13" s="42">
        <f t="shared" si="9"/>
        <v>4200</v>
      </c>
      <c r="M13" s="42">
        <f t="shared" si="10"/>
        <v>357000</v>
      </c>
      <c r="N13" s="42">
        <f>Vendedor10!$F$7+Vendedor10!$F$11+Vendedor10!$F$15</f>
        <v>357000</v>
      </c>
      <c r="P13" s="42">
        <f t="shared" si="11"/>
        <v>-260350</v>
      </c>
    </row>
    <row r="14" spans="1:16" x14ac:dyDescent="0.35">
      <c r="A14" s="41">
        <v>11</v>
      </c>
      <c r="B14" s="178" t="str">
        <f>Vendedor11!$B$2</f>
        <v>CHARLY</v>
      </c>
      <c r="C14" s="180">
        <f>IF(Vendedor11!$C$7="",0,Vendedor11!$C$7)</f>
        <v>33400</v>
      </c>
      <c r="D14" s="30">
        <f>IF(Vendedor11!$E$7="",0,Vendedor11!$E$7)</f>
        <v>500</v>
      </c>
      <c r="E14" s="180">
        <f>IF(Vendedor11!$C$11="",0,Vendedor11!$C$11)</f>
        <v>11600</v>
      </c>
      <c r="F14" s="30">
        <f>IF(Vendedor11!$E$11="",0,Vendedor11!$E$11)</f>
        <v>0</v>
      </c>
      <c r="G14" s="180">
        <f>IF(Vendedor11!$C$15="",0,Vendedor11!$C$15)</f>
        <v>31100</v>
      </c>
      <c r="H14" s="30">
        <f>IF(Vendedor11!$E$15="",0,Vendedor11!$E$15)</f>
        <v>0</v>
      </c>
      <c r="J14" s="42">
        <f t="shared" si="8"/>
        <v>76100</v>
      </c>
      <c r="K14" s="41">
        <f>MROUND(J14*Vendedor11!J$9,50)</f>
        <v>11400</v>
      </c>
      <c r="L14" s="42">
        <f t="shared" si="9"/>
        <v>500</v>
      </c>
      <c r="M14" s="42">
        <f t="shared" si="10"/>
        <v>42500</v>
      </c>
      <c r="N14" s="42">
        <f>Vendedor11!$F$7+Vendedor11!$F$11+Vendedor11!$F$15</f>
        <v>40000</v>
      </c>
      <c r="P14" s="42">
        <f t="shared" si="11"/>
        <v>24700</v>
      </c>
    </row>
    <row r="15" spans="1:16" x14ac:dyDescent="0.35">
      <c r="A15" s="41">
        <v>12</v>
      </c>
      <c r="B15" s="178" t="str">
        <f>Vendedor12!$B$2</f>
        <v>LAURY</v>
      </c>
      <c r="C15" s="180">
        <f>IF(Vendedor12!$C$7="",0,Vendedor12!$C$7)</f>
        <v>0</v>
      </c>
      <c r="D15" s="30">
        <f>IF(Vendedor12!$E$7="",0,Vendedor12!$E$7)</f>
        <v>0</v>
      </c>
      <c r="E15" s="180">
        <f>IF(Vendedor12!$C$11="",0,Vendedor12!$C$11)</f>
        <v>0</v>
      </c>
      <c r="F15" s="30">
        <f>IF(Vendedor12!$E$11="",0,Vendedor12!$E$11)</f>
        <v>0</v>
      </c>
      <c r="G15" s="180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IF(Vendedor13!$C$7="",0,Vendedor13!$C$7)</f>
        <v>16900</v>
      </c>
      <c r="D16" s="30">
        <f>IF(Vendedor13!$E$7="",0,Vendedor13!$E$7)</f>
        <v>250</v>
      </c>
      <c r="E16" s="180">
        <f>IF(Vendedor13!$C$11="",0,Vendedor13!$C$11)</f>
        <v>23300</v>
      </c>
      <c r="F16" s="30">
        <f>IF(Vendedor13!$E$11="",0,Vendedor13!$E$11)</f>
        <v>0</v>
      </c>
      <c r="G16" s="180">
        <f>IF(Vendedor13!$C$15="",0,Vendedor13!$C$15)</f>
        <v>14200</v>
      </c>
      <c r="H16" s="30">
        <f>IF(Vendedor13!$E$15="",0,Vendedor13!$E$15)</f>
        <v>0</v>
      </c>
      <c r="J16" s="42">
        <f t="shared" si="8"/>
        <v>54400</v>
      </c>
      <c r="K16" s="41">
        <f>MROUND(J16*Vendedor13!J$11,50)</f>
        <v>6550</v>
      </c>
      <c r="L16" s="42">
        <f t="shared" si="9"/>
        <v>250</v>
      </c>
      <c r="M16" s="42">
        <f t="shared" si="10"/>
        <v>21250</v>
      </c>
      <c r="N16" s="42">
        <f>Vendedor13!$F$7+Vendedor13!$F$11+Vendedor13!$F$15</f>
        <v>21250</v>
      </c>
      <c r="P16" s="42">
        <f t="shared" si="11"/>
        <v>26600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IF(Vendedor14!$C$7="",0,Vendedor14!$C$7)</f>
        <v>138200</v>
      </c>
      <c r="D17" s="30">
        <f>IF(Vendedor14!$E$7="",0,Vendedor14!$E$7)</f>
        <v>800</v>
      </c>
      <c r="E17" s="180">
        <f>IF(Vendedor14!$C$11="",0,Vendedor14!$C$11)</f>
        <v>79250</v>
      </c>
      <c r="F17" s="30">
        <f>IF(Vendedor14!$E$11="",0,Vendedor14!$E$11)</f>
        <v>550</v>
      </c>
      <c r="G17" s="180">
        <f>IF(Vendedor14!$C$15="",0,Vendedor14!$C$15)</f>
        <v>170100</v>
      </c>
      <c r="H17" s="30">
        <f>IF(Vendedor14!$E$15="",0,Vendedor14!$E$15)</f>
        <v>1200</v>
      </c>
      <c r="J17" s="42">
        <f t="shared" si="8"/>
        <v>387550</v>
      </c>
      <c r="K17" s="41">
        <f>MROUND(J17*Vendedor14!J$15,50)</f>
        <v>46500</v>
      </c>
      <c r="L17" s="42">
        <f t="shared" si="9"/>
        <v>2550</v>
      </c>
      <c r="M17" s="42">
        <f t="shared" si="10"/>
        <v>216750</v>
      </c>
      <c r="N17" s="42">
        <f>Vendedor14!$F$7+Vendedor14!$F$11+Vendedor14!$F$15</f>
        <v>216750</v>
      </c>
      <c r="P17" s="42">
        <f t="shared" si="11"/>
        <v>124300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IF(Vendedor15!$C$7="",0,Vendedor15!$C$7)</f>
        <v>42950</v>
      </c>
      <c r="D18" s="30">
        <f>IF(Vendedor15!$E$7="",0,Vendedor15!$E$7)</f>
        <v>0</v>
      </c>
      <c r="E18" s="180">
        <f>IF(Vendedor15!$C$11="",0,Vendedor15!$C$11)</f>
        <v>32700</v>
      </c>
      <c r="F18" s="30">
        <f>IF(Vendedor15!$E$11="",0,Vendedor15!$E$11)</f>
        <v>0</v>
      </c>
      <c r="G18" s="180">
        <f>IF(Vendedor15!$C$15="",0,Vendedor15!$C$15)</f>
        <v>60150</v>
      </c>
      <c r="H18" s="30">
        <f>IF(Vendedor15!$E$15="",0,Vendedor15!$E$15)</f>
        <v>300</v>
      </c>
      <c r="J18" s="42">
        <f t="shared" ref="J18" si="12">+C18+E18+G18</f>
        <v>135800</v>
      </c>
      <c r="K18" s="41">
        <f>MROUND(J18*Vendedor15!J$15,50)</f>
        <v>16300</v>
      </c>
      <c r="L18" s="42">
        <f t="shared" ref="L18" si="13">+D18+F18+H18</f>
        <v>300</v>
      </c>
      <c r="M18" s="42">
        <f t="shared" ref="M18" si="14">+L18*85</f>
        <v>25500</v>
      </c>
      <c r="N18" s="42">
        <f>Vendedor15!$F$7+Vendedor15!$F$11+Vendedor15!$F$15</f>
        <v>25500</v>
      </c>
      <c r="P18" s="42">
        <f t="shared" ref="P18" si="15">+J18-K18-N18</f>
        <v>94000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IF(Vendedor24!$C$7="",0,Vendedor24!$C$7)</f>
        <v>0</v>
      </c>
      <c r="D27" s="50">
        <f>IF(Vendedor24!$E$7="",0,Vendedor24!$E$7)</f>
        <v>0</v>
      </c>
      <c r="E27" s="181">
        <f>IF(Vendedor24!$C$11="",0,Vendedor24!$C$11)</f>
        <v>0</v>
      </c>
      <c r="F27" s="50">
        <f>IF(Vendedor24!$E$11="",0,Vendedor24!$E$11)</f>
        <v>0</v>
      </c>
      <c r="G27" s="181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523150</v>
      </c>
      <c r="D32" s="44">
        <f t="shared" si="16"/>
        <v>4100</v>
      </c>
      <c r="E32" s="43">
        <f t="shared" si="16"/>
        <v>399900</v>
      </c>
      <c r="F32" s="44">
        <f t="shared" si="16"/>
        <v>850</v>
      </c>
      <c r="G32" s="43">
        <f t="shared" si="16"/>
        <v>791300</v>
      </c>
      <c r="H32" s="44">
        <f t="shared" si="16"/>
        <v>6500</v>
      </c>
      <c r="J32" s="95">
        <f>SUM(J4:J31)</f>
        <v>1714350</v>
      </c>
      <c r="K32" s="45">
        <f>SUM(K7:K31)</f>
        <v>167300</v>
      </c>
      <c r="L32" s="95">
        <f>SUM(L4:L31)</f>
        <v>11450</v>
      </c>
      <c r="M32" s="95">
        <f>SUM(M4:M31)</f>
        <v>973250</v>
      </c>
      <c r="N32" s="95">
        <f>SUM(N4:N31)</f>
        <v>970750</v>
      </c>
      <c r="P32" s="79">
        <f>SUM(P4:P31)</f>
        <v>532150</v>
      </c>
    </row>
    <row r="33" spans="3:13" x14ac:dyDescent="0.35">
      <c r="D33" s="99">
        <f>+D32*85</f>
        <v>348500</v>
      </c>
      <c r="F33" s="99">
        <f>+F32*85</f>
        <v>72250</v>
      </c>
      <c r="H33" s="99">
        <f>+H32*85</f>
        <v>552500</v>
      </c>
    </row>
    <row r="34" spans="3:13" ht="15" thickBot="1" x14ac:dyDescent="0.4">
      <c r="L34" s="149"/>
      <c r="M34" s="43"/>
    </row>
    <row r="35" spans="3:13" x14ac:dyDescent="0.35">
      <c r="C35" s="266" t="s">
        <v>89</v>
      </c>
      <c r="D35" s="266"/>
    </row>
    <row r="36" spans="3:13" x14ac:dyDescent="0.35">
      <c r="C36" s="47" t="s">
        <v>28</v>
      </c>
      <c r="D36" s="30">
        <f>+C32+E32+G32</f>
        <v>1714350</v>
      </c>
      <c r="E36" s="43">
        <f>+D36-J4-J5-J6</f>
        <v>1374750</v>
      </c>
      <c r="G36" s="101"/>
    </row>
    <row r="37" spans="3:13" x14ac:dyDescent="0.35">
      <c r="C37" s="47" t="s">
        <v>33</v>
      </c>
      <c r="D37" s="48">
        <f>D36*13%</f>
        <v>222865.5</v>
      </c>
      <c r="E37">
        <f>+D37-K4-K5-K6</f>
        <v>178715.5</v>
      </c>
      <c r="G37" s="100"/>
      <c r="H37" s="100"/>
    </row>
    <row r="38" spans="3:13" ht="15" thickBot="1" x14ac:dyDescent="0.4">
      <c r="C38" s="47" t="s">
        <v>30</v>
      </c>
      <c r="D38" s="30">
        <f>M32</f>
        <v>973250</v>
      </c>
      <c r="G38" s="100"/>
      <c r="H38" s="100"/>
    </row>
    <row r="39" spans="3:13" ht="15" thickBot="1" x14ac:dyDescent="0.4">
      <c r="C39" s="49" t="s">
        <v>4</v>
      </c>
      <c r="D39" s="80">
        <f>+D36-D37-D38</f>
        <v>518234.5</v>
      </c>
      <c r="F39" s="98">
        <f>+P32-D39</f>
        <v>13915.5</v>
      </c>
      <c r="G39" s="101"/>
      <c r="H39" s="101"/>
    </row>
    <row r="40" spans="3:13" ht="15" thickBot="1" x14ac:dyDescent="0.4">
      <c r="G40" s="100"/>
    </row>
    <row r="41" spans="3:13" x14ac:dyDescent="0.35">
      <c r="C41" s="104" t="s">
        <v>78</v>
      </c>
      <c r="D41" s="105">
        <v>0</v>
      </c>
      <c r="G41" s="100"/>
    </row>
    <row r="42" spans="3:13" x14ac:dyDescent="0.35">
      <c r="C42" s="106" t="s">
        <v>80</v>
      </c>
      <c r="D42" s="107">
        <v>0</v>
      </c>
      <c r="G42" s="100"/>
    </row>
    <row r="43" spans="3:13" ht="15" thickBot="1" x14ac:dyDescent="0.4">
      <c r="C43" s="108" t="s">
        <v>79</v>
      </c>
      <c r="D43" s="109">
        <f>+D39+D41+D42</f>
        <v>518234.5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scale="70" orientation="landscape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10" width="12.54296875" customWidth="1"/>
    <col min="11" max="11" width="3.54296875" customWidth="1"/>
    <col min="12" max="16" width="12.54296875" customWidth="1"/>
    <col min="17" max="17" width="3.54296875" customWidth="1"/>
  </cols>
  <sheetData>
    <row r="1" spans="1:18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8" x14ac:dyDescent="0.35">
      <c r="C2" s="267">
        <f>DigitaNICA!C2</f>
        <v>29</v>
      </c>
      <c r="D2" s="268"/>
      <c r="E2" s="267">
        <f>DigitaNICA!E2</f>
        <v>67</v>
      </c>
      <c r="F2" s="268"/>
      <c r="G2" s="267">
        <f>DigitaNICA!G2</f>
        <v>50</v>
      </c>
      <c r="H2" s="268"/>
      <c r="I2" s="267">
        <f>DigitaNICA!I2</f>
        <v>50</v>
      </c>
      <c r="J2" s="268"/>
    </row>
    <row r="3" spans="1:18" ht="15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7">
        <v>1</v>
      </c>
      <c r="B4" s="199" t="str">
        <f>Vendedor1!$B$2</f>
        <v>VENTANA</v>
      </c>
      <c r="C4" s="189">
        <f>IF(Vendedor1!$C$5="",0,Vendedor1!$C$5)</f>
        <v>17250</v>
      </c>
      <c r="D4" s="78">
        <f>IF(Vendedor1!$E$5="",0,Vendedor1!$E$5)</f>
        <v>0</v>
      </c>
      <c r="E4" s="189">
        <f>IF(Vendedor1!$C$9="",0,Vendedor1!$C$9)</f>
        <v>5050</v>
      </c>
      <c r="F4" s="78">
        <f>IF(Vendedor1!$E$9="",0,Vendedor1!$E$9)</f>
        <v>0</v>
      </c>
      <c r="G4" s="189">
        <f>IF(Vendedor1!$C$13="",0,Vendedor1!$C$13)</f>
        <v>2050</v>
      </c>
      <c r="H4" s="78">
        <f>IF(Vendedor1!$E$13="",0,Vendedor1!$E$13)</f>
        <v>250</v>
      </c>
      <c r="I4" s="189">
        <f>IF(Vendedor1!$C$17="",0,Vendedor1!$C$17)</f>
        <v>14550</v>
      </c>
      <c r="J4" s="78">
        <f>IF(Vendedor1!$E$17="",0,Vendedor1!$E$17)</f>
        <v>250</v>
      </c>
      <c r="L4" s="42">
        <f t="shared" ref="L4:L7" si="0">C4+E4+G4+I4</f>
        <v>38900</v>
      </c>
      <c r="M4" s="41">
        <f>MROUND(L4*Vendedor1!J$10,50)</f>
        <v>5050</v>
      </c>
      <c r="N4" s="42">
        <f t="shared" ref="N4:N7" si="1">D4+F4+H4+J4</f>
        <v>500</v>
      </c>
      <c r="O4" s="41">
        <f>IFERROR(N4*85,0)</f>
        <v>42500</v>
      </c>
      <c r="P4" s="42">
        <f>Vendedor1!$F$5+Vendedor1!$F$9+Vendedor1!$F$13+Vendedor1!$F$17</f>
        <v>40000</v>
      </c>
      <c r="R4" s="41">
        <f t="shared" ref="R4:R7" si="2">+L4-M4-O4</f>
        <v>-8650</v>
      </c>
    </row>
    <row r="5" spans="1:18" x14ac:dyDescent="0.35">
      <c r="A5" s="47">
        <v>2</v>
      </c>
      <c r="B5" s="177" t="str">
        <f>Vendedor2!$B$2</f>
        <v>PUESTO 2</v>
      </c>
      <c r="C5" s="180">
        <f>IF(Vendedor2!$C$5="",0,Vendedor2!$C$5)</f>
        <v>9500</v>
      </c>
      <c r="D5" s="30">
        <f>IF(Vendedor2!$E$5="",0,Vendedor2!$E$5)</f>
        <v>0</v>
      </c>
      <c r="E5" s="180">
        <f>IF(Vendedor2!$C$9="",0,Vendedor2!$C$9)</f>
        <v>12500</v>
      </c>
      <c r="F5" s="30">
        <f>IF(Vendedor2!$E$9="",0,Vendedor2!$E$9)</f>
        <v>0</v>
      </c>
      <c r="G5" s="180">
        <f>IF(Vendedor2!$C$13="",0,Vendedor2!$C$13)</f>
        <v>2200</v>
      </c>
      <c r="H5" s="30">
        <f>IF(Vendedor2!$E$13="",0,Vendedor2!$E$13)</f>
        <v>0</v>
      </c>
      <c r="I5" s="180">
        <f>IF(Vendedor2!$C$17="",0,Vendedor2!$C$17)</f>
        <v>6000</v>
      </c>
      <c r="J5" s="30">
        <f>IF(Vendedor2!$E$17="",0,Vendedor2!$E$17)</f>
        <v>0</v>
      </c>
      <c r="L5" s="42">
        <f t="shared" si="0"/>
        <v>30200</v>
      </c>
      <c r="M5" s="41">
        <f>MROUND(L5*Vendedor2!J$10,50)</f>
        <v>3950</v>
      </c>
      <c r="N5" s="42">
        <f t="shared" si="1"/>
        <v>0</v>
      </c>
      <c r="O5" s="41">
        <f t="shared" ref="O5:O27" si="3">IFERROR(N5*85,0)</f>
        <v>0</v>
      </c>
      <c r="P5" s="42">
        <f>Vendedor2!$F$5+Vendedor2!$F$9+Vendedor2!$F$13+Vendedor2!$F$17</f>
        <v>0</v>
      </c>
      <c r="Q5">
        <v>5</v>
      </c>
      <c r="R5" s="41">
        <f t="shared" si="2"/>
        <v>26250</v>
      </c>
    </row>
    <row r="6" spans="1:18" x14ac:dyDescent="0.35">
      <c r="A6" s="47">
        <v>3</v>
      </c>
      <c r="B6" s="177" t="str">
        <f>Vendedor3!$B$2</f>
        <v>TABLET</v>
      </c>
      <c r="C6" s="180">
        <f>IF(Vendedor3!$C$5="",0,Vendedor3!$C$5)</f>
        <v>0</v>
      </c>
      <c r="D6" s="30">
        <f>IF(Vendedor3!$E$5="",0,Vendedor3!$E$5)</f>
        <v>0</v>
      </c>
      <c r="E6" s="180">
        <f>IF(Vendedor3!$C$9="",0,Vendedor3!$C$9)</f>
        <v>0</v>
      </c>
      <c r="F6" s="30">
        <f>IF(Vendedor3!$E$9="",0,Vendedor3!$E$9)</f>
        <v>0</v>
      </c>
      <c r="G6" s="180">
        <f>IF(Vendedor3!$C$13="",0,Vendedor3!$C$13)</f>
        <v>0</v>
      </c>
      <c r="H6" s="30">
        <f>IF(Vendedor3!$E$13="",0,Vendedor3!$E$13)</f>
        <v>0</v>
      </c>
      <c r="I6" s="180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7" t="str">
        <f>Vendedor4!$B$2</f>
        <v>Nuevo 2</v>
      </c>
      <c r="C7" s="180">
        <f>IF(Vendedor4!$C$5="",0,Vendedor4!$C$5)</f>
        <v>0</v>
      </c>
      <c r="D7" s="30">
        <f>IF(Vendedor4!$E$5="",0,Vendedor4!$E$5)</f>
        <v>0</v>
      </c>
      <c r="E7" s="180">
        <f>IF(Vendedor4!$C$9="",0,Vendedor4!$C$9)</f>
        <v>0</v>
      </c>
      <c r="F7" s="30">
        <f>IF(Vendedor4!$E$9="",0,Vendedor4!$E$9)</f>
        <v>0</v>
      </c>
      <c r="G7" s="180">
        <f>IF(Vendedor4!$C$13="",0,Vendedor4!$C$13)</f>
        <v>0</v>
      </c>
      <c r="H7" s="30">
        <f>IF(Vendedor4!$E$13="",0,Vendedor4!$E$13)</f>
        <v>0</v>
      </c>
      <c r="I7" s="180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7" t="str">
        <f>Vendedor5!$B$2</f>
        <v>YOYO</v>
      </c>
      <c r="C8" s="180">
        <f>IF(Vendedor5!$C$5="",0,Vendedor5!$C$5)</f>
        <v>59000</v>
      </c>
      <c r="D8" s="30">
        <f>IF(Vendedor5!$E$5="",0,Vendedor5!$E$5)</f>
        <v>250</v>
      </c>
      <c r="E8" s="180">
        <f>IF(Vendedor5!$C$9="",0,Vendedor5!$C$9)</f>
        <v>38550</v>
      </c>
      <c r="F8" s="30">
        <f>IF(Vendedor5!$E$9="",0,Vendedor5!$E$9)</f>
        <v>0</v>
      </c>
      <c r="G8" s="180">
        <f>IF(Vendedor5!$C$13="",0,Vendedor5!$C$13)</f>
        <v>6350</v>
      </c>
      <c r="H8" s="30">
        <f>IF(Vendedor5!$E$13="",0,Vendedor5!$E$13)</f>
        <v>0</v>
      </c>
      <c r="I8" s="180">
        <f>IF(Vendedor5!$C$17="",0,Vendedor5!$C$17)</f>
        <v>7100</v>
      </c>
      <c r="J8" s="30">
        <f>IF(Vendedor5!$E$17="",0,Vendedor5!$E$17)</f>
        <v>0</v>
      </c>
      <c r="L8" s="42">
        <f t="shared" ref="L8" si="4">C8+E8+G8+I8</f>
        <v>111000</v>
      </c>
      <c r="M8" s="41">
        <f>MROUND(L8*Vendedor5!J$12,50)</f>
        <v>13300</v>
      </c>
      <c r="N8" s="42">
        <f t="shared" ref="N8" si="5">D8+F8+H8+J8</f>
        <v>250</v>
      </c>
      <c r="O8" s="41">
        <f t="shared" si="3"/>
        <v>21250</v>
      </c>
      <c r="P8" s="42">
        <f>Vendedor5!$F$5+Vendedor5!$F$9+Vendedor5!$F$13+Vendedor5!$F$17</f>
        <v>20000</v>
      </c>
      <c r="Q8">
        <v>17</v>
      </c>
      <c r="R8" s="41">
        <f t="shared" ref="R8" si="6">+L8-M8-O8</f>
        <v>76450</v>
      </c>
    </row>
    <row r="9" spans="1:18" x14ac:dyDescent="0.35">
      <c r="A9" s="47">
        <v>6</v>
      </c>
      <c r="B9" s="178" t="str">
        <f>Vendedor6!$B$2</f>
        <v>MARTA ROSA</v>
      </c>
      <c r="C9" s="180">
        <f>IF(Vendedor6!$C$5="",0,Vendedor6!$C$5)</f>
        <v>0</v>
      </c>
      <c r="D9" s="30">
        <f>IF(Vendedor6!$E$5="",0,Vendedor6!$E$5)</f>
        <v>0</v>
      </c>
      <c r="E9" s="180">
        <f>IF(Vendedor6!$C$9="",0,Vendedor6!$C$9)</f>
        <v>0</v>
      </c>
      <c r="F9" s="30">
        <f>IF(Vendedor6!$E$9="",0,Vendedor6!$E$9)</f>
        <v>0</v>
      </c>
      <c r="G9" s="180">
        <f>IF(Vendedor6!$C$13="",0,Vendedor6!$C$13)</f>
        <v>0</v>
      </c>
      <c r="H9" s="30">
        <f>IF(Vendedor6!$E$13="",0,Vendedor6!$E$13)</f>
        <v>0</v>
      </c>
      <c r="I9" s="180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8" t="str">
        <f>Vendedor7!$B$2</f>
        <v>PIKIS</v>
      </c>
      <c r="C10" s="180">
        <f>IF(Vendedor7!$C$5="",0,Vendedor7!$C$5)</f>
        <v>65100</v>
      </c>
      <c r="D10" s="30">
        <f>IF(Vendedor7!$E$5="",0,Vendedor7!$E$5)</f>
        <v>150</v>
      </c>
      <c r="E10" s="180">
        <f>IF(Vendedor7!$C$9="",0,Vendedor7!$C$9)</f>
        <v>60150</v>
      </c>
      <c r="F10" s="30">
        <f>IF(Vendedor7!$E$9="",0,Vendedor7!$E$9)</f>
        <v>100</v>
      </c>
      <c r="G10" s="180">
        <f>IF(Vendedor7!$C$13="",0,Vendedor7!$C$13)</f>
        <v>53300</v>
      </c>
      <c r="H10" s="30">
        <f>IF(Vendedor7!$E$13="",0,Vendedor7!$E$13)</f>
        <v>0</v>
      </c>
      <c r="I10" s="180">
        <f>IF(Vendedor7!$C$17="",0,Vendedor7!$C$17)</f>
        <v>79950</v>
      </c>
      <c r="J10" s="30">
        <f>IF(Vendedor7!$E$17="",0,Vendedor7!$E$17)</f>
        <v>250</v>
      </c>
      <c r="L10" s="42">
        <f t="shared" si="7"/>
        <v>258500</v>
      </c>
      <c r="M10" s="41">
        <f>MROUND(L10*Vendedor7!J$15,50)</f>
        <v>31000</v>
      </c>
      <c r="N10" s="42">
        <f t="shared" ref="N10:N27" si="9">D10+F10+H10+J10</f>
        <v>500</v>
      </c>
      <c r="O10" s="41">
        <f t="shared" si="3"/>
        <v>42500</v>
      </c>
      <c r="P10" s="42">
        <f>Vendedor7!$F$5+Vendedor7!$F$9+Vendedor7!$F$13+Vendedor7!$F$17</f>
        <v>42500</v>
      </c>
      <c r="R10" s="41">
        <f t="shared" si="8"/>
        <v>185000</v>
      </c>
    </row>
    <row r="11" spans="1:18" x14ac:dyDescent="0.35">
      <c r="A11" s="47">
        <v>8</v>
      </c>
      <c r="B11" s="178" t="str">
        <f>Vendedor8!$B$2</f>
        <v>ISA</v>
      </c>
      <c r="C11" s="180">
        <f>IF(Vendedor8!$C$5="",0,Vendedor8!$C$5)</f>
        <v>0</v>
      </c>
      <c r="D11" s="30">
        <f>IF(Vendedor8!$E$5="",0,Vendedor8!$E$5)</f>
        <v>0</v>
      </c>
      <c r="E11" s="180">
        <f>IF(Vendedor8!$C$9="",0,Vendedor8!$C$9)</f>
        <v>0</v>
      </c>
      <c r="F11" s="30">
        <f>IF(Vendedor8!$E$9="",0,Vendedor8!$E$9)</f>
        <v>0</v>
      </c>
      <c r="G11" s="180">
        <f>IF(Vendedor8!$C$13="",0,Vendedor8!$C$13)</f>
        <v>0</v>
      </c>
      <c r="H11" s="30">
        <f>IF(Vendedor8!$E$13="",0,Vendedor8!$E$13)</f>
        <v>0</v>
      </c>
      <c r="I11" s="180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8" t="str">
        <f>Vendedor9!$B$2</f>
        <v>JUAN FELIX</v>
      </c>
      <c r="C12" s="180">
        <f>IF(Vendedor9!$C$5="",0,Vendedor9!$C$5)</f>
        <v>23550</v>
      </c>
      <c r="D12" s="30">
        <f>IF(Vendedor9!$E$5="",0,Vendedor9!$E$5)</f>
        <v>0</v>
      </c>
      <c r="E12" s="180">
        <f>IF(Vendedor9!$C$9="",0,Vendedor9!$C$9)</f>
        <v>7650</v>
      </c>
      <c r="F12" s="30">
        <f>IF(Vendedor9!$E$9="",0,Vendedor9!$E$9)</f>
        <v>0</v>
      </c>
      <c r="G12" s="180">
        <f>IF(Vendedor9!$C$13="",0,Vendedor9!$C$13)</f>
        <v>0</v>
      </c>
      <c r="H12" s="30">
        <f>IF(Vendedor9!$E$13="",0,Vendedor9!$E$13)</f>
        <v>0</v>
      </c>
      <c r="I12" s="180">
        <f>IF(Vendedor9!$C$17="",0,Vendedor9!$C$17)</f>
        <v>0</v>
      </c>
      <c r="J12" s="30">
        <f>IF(Vendedor9!$E$17="",0,Vendedor9!$E$17)</f>
        <v>0</v>
      </c>
      <c r="L12" s="42">
        <f t="shared" si="7"/>
        <v>31200</v>
      </c>
      <c r="M12" s="41">
        <f>MROUND(L12*Vendedor9!J$12,50)</f>
        <v>3750</v>
      </c>
      <c r="N12" s="42">
        <f t="shared" si="9"/>
        <v>0</v>
      </c>
      <c r="O12" s="41">
        <f t="shared" si="3"/>
        <v>0</v>
      </c>
      <c r="P12" s="42">
        <f>Vendedor9!$F$5+Vendedor9!$F$9+Vendedor9!$F$13+Vendedor9!$F$17</f>
        <v>0</v>
      </c>
      <c r="R12" s="41">
        <f t="shared" si="8"/>
        <v>27450</v>
      </c>
    </row>
    <row r="13" spans="1:18" x14ac:dyDescent="0.35">
      <c r="A13" s="47">
        <v>10</v>
      </c>
      <c r="B13" s="178" t="str">
        <f>Vendedor10!$B$2</f>
        <v>MARIALIZ</v>
      </c>
      <c r="C13" s="180">
        <f>IF(Vendedor10!$C$5="",0,Vendedor10!$C$5)</f>
        <v>28700</v>
      </c>
      <c r="D13" s="30">
        <f>IF(Vendedor10!$E$5="",0,Vendedor10!$E$5)</f>
        <v>0</v>
      </c>
      <c r="E13" s="180">
        <f>IF(Vendedor10!$C$9="",0,Vendedor10!$C$9)</f>
        <v>9700</v>
      </c>
      <c r="F13" s="30">
        <f>IF(Vendedor10!$E$9="",0,Vendedor10!$E$9)</f>
        <v>0</v>
      </c>
      <c r="G13" s="180">
        <f>IF(Vendedor10!$C$13="",0,Vendedor10!$C$13)</f>
        <v>16550</v>
      </c>
      <c r="H13" s="30">
        <f>IF(Vendedor10!$E$13="",0,Vendedor10!$E$13)</f>
        <v>0</v>
      </c>
      <c r="I13" s="180">
        <f>IF(Vendedor10!$C$17="",0,Vendedor10!$C$17)</f>
        <v>18700</v>
      </c>
      <c r="J13" s="30">
        <f>IF(Vendedor10!$E$17="",0,Vendedor10!$E$17)</f>
        <v>100</v>
      </c>
      <c r="L13" s="42">
        <f t="shared" si="7"/>
        <v>73650</v>
      </c>
      <c r="M13" s="41">
        <f>MROUND(L13*Vendedor10!J$10,50)</f>
        <v>8850</v>
      </c>
      <c r="N13" s="42">
        <f t="shared" si="9"/>
        <v>100</v>
      </c>
      <c r="O13" s="41">
        <f t="shared" si="3"/>
        <v>8500</v>
      </c>
      <c r="P13" s="42">
        <f>Vendedor10!$F$5+Vendedor10!$F$9+Vendedor10!$F$13+Vendedor10!$F$17</f>
        <v>8000</v>
      </c>
      <c r="R13" s="41">
        <f t="shared" si="8"/>
        <v>56300</v>
      </c>
    </row>
    <row r="14" spans="1:18" x14ac:dyDescent="0.35">
      <c r="A14" s="47">
        <v>11</v>
      </c>
      <c r="B14" s="178" t="str">
        <f>Vendedor11!$B$2</f>
        <v>CHARLY</v>
      </c>
      <c r="C14" s="180">
        <f>IF(Vendedor11!$C$5="",0,Vendedor11!$C$5)</f>
        <v>0</v>
      </c>
      <c r="D14" s="30">
        <f>IF(Vendedor11!$E$5="",0,Vendedor11!$E$5)</f>
        <v>0</v>
      </c>
      <c r="E14" s="180">
        <f>IF(Vendedor11!$C$9="",0,Vendedor11!$C$9)</f>
        <v>0</v>
      </c>
      <c r="F14" s="30">
        <f>IF(Vendedor11!$E$9="",0,Vendedor11!$E$9)</f>
        <v>0</v>
      </c>
      <c r="G14" s="180">
        <f>IF(Vendedor11!$C$13="",0,Vendedor11!$C$13)</f>
        <v>0</v>
      </c>
      <c r="H14" s="30">
        <f>IF(Vendedor11!$E$13="",0,Vendedor11!$E$13)</f>
        <v>0</v>
      </c>
      <c r="I14" s="180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8" t="str">
        <f>Vendedor12!$B$2</f>
        <v>LAURY</v>
      </c>
      <c r="C15" s="180">
        <f>IF(Vendedor12!$C$5="",0,Vendedor12!$C$5)</f>
        <v>0</v>
      </c>
      <c r="D15" s="30">
        <f>IF(Vendedor12!$E$5="",0,Vendedor12!$E$5)</f>
        <v>0</v>
      </c>
      <c r="E15" s="180">
        <f>IF(Vendedor12!$C$9="",0,Vendedor12!$C$9)</f>
        <v>0</v>
      </c>
      <c r="F15" s="30">
        <f>IF(Vendedor12!$E$9="",0,Vendedor12!$E$9)</f>
        <v>0</v>
      </c>
      <c r="G15" s="180">
        <f>IF(Vendedor12!$C$13="",0,Vendedor12!$C$13)</f>
        <v>0</v>
      </c>
      <c r="H15" s="30">
        <f>IF(Vendedor12!$E$13="",0,Vendedor12!$E$13)</f>
        <v>0</v>
      </c>
      <c r="I15" s="180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8" t="str">
        <f>Vendedor13!$B$2</f>
        <v>MINERO</v>
      </c>
      <c r="C16" s="180">
        <f>IF(Vendedor13!$C$5="",0,Vendedor13!$C$5)</f>
        <v>14100</v>
      </c>
      <c r="D16" s="30">
        <f>IF(Vendedor13!$E$5="",0,Vendedor13!$E$5)</f>
        <v>0</v>
      </c>
      <c r="E16" s="180">
        <f>IF(Vendedor13!$C$9="",0,Vendedor13!$C$9)</f>
        <v>12450</v>
      </c>
      <c r="F16" s="30">
        <f>IF(Vendedor13!$E$9="",0,Vendedor13!$E$9)</f>
        <v>200</v>
      </c>
      <c r="G16" s="180">
        <f>IF(Vendedor13!$C$13="",0,Vendedor13!$C$13)</f>
        <v>1000</v>
      </c>
      <c r="H16" s="30">
        <f>IF(Vendedor13!$E$13="",0,Vendedor13!$E$13)</f>
        <v>0</v>
      </c>
      <c r="I16" s="180">
        <f>IF(Vendedor13!$C$17="",0,Vendedor13!$C$17)</f>
        <v>5400</v>
      </c>
      <c r="J16" s="30">
        <f>IF(Vendedor13!$E$17="",0,Vendedor13!$E$17)</f>
        <v>250</v>
      </c>
      <c r="L16" s="42">
        <f t="shared" si="7"/>
        <v>32950</v>
      </c>
      <c r="M16" s="41">
        <f>MROUND(L16*Vendedor13!J$12,50)</f>
        <v>3950</v>
      </c>
      <c r="N16" s="42">
        <f t="shared" si="9"/>
        <v>450</v>
      </c>
      <c r="O16" s="41">
        <f t="shared" si="3"/>
        <v>38250</v>
      </c>
      <c r="P16" s="42">
        <f>Vendedor13!$F$5+Vendedor13!$F$9+Vendedor13!$F$13+Vendedor13!$F$17</f>
        <v>36000</v>
      </c>
      <c r="R16" s="41">
        <f t="shared" si="8"/>
        <v>-9250</v>
      </c>
    </row>
    <row r="17" spans="1:18" x14ac:dyDescent="0.35">
      <c r="A17" s="47">
        <v>14</v>
      </c>
      <c r="B17" s="178" t="str">
        <f>Vendedor14!$B$2</f>
        <v>EDUARDO TIEMPOS LICORERA</v>
      </c>
      <c r="C17" s="180">
        <f>IF(Vendedor14!$C$5="",0,Vendedor14!$C$5)</f>
        <v>78300</v>
      </c>
      <c r="D17" s="30">
        <f>IF(Vendedor14!$E$5="",0,Vendedor14!$E$5)</f>
        <v>0</v>
      </c>
      <c r="E17" s="180">
        <f>IF(Vendedor14!$C$9="",0,Vendedor14!$C$9)</f>
        <v>70950</v>
      </c>
      <c r="F17" s="30">
        <f>IF(Vendedor14!$E$9="",0,Vendedor14!$E$9)</f>
        <v>200</v>
      </c>
      <c r="G17" s="180">
        <f>IF(Vendedor14!$C$13="",0,Vendedor14!$C$13)</f>
        <v>46650</v>
      </c>
      <c r="H17" s="30">
        <f>IF(Vendedor14!$E$13="",0,Vendedor14!$E$13)</f>
        <v>100</v>
      </c>
      <c r="I17" s="180">
        <f>IF(Vendedor14!$C$17="",0,Vendedor14!$C$17)</f>
        <v>144400</v>
      </c>
      <c r="J17" s="30">
        <f>IF(Vendedor14!$E$17="",0,Vendedor14!$E$17)</f>
        <v>1350</v>
      </c>
      <c r="L17" s="42">
        <f>C17+E17+G17+I17</f>
        <v>340300</v>
      </c>
      <c r="M17" s="41">
        <f>MROUND(L17*Vendedor14!J$16,50)</f>
        <v>40850</v>
      </c>
      <c r="N17" s="42">
        <f t="shared" si="9"/>
        <v>1650</v>
      </c>
      <c r="O17" s="41">
        <f t="shared" si="3"/>
        <v>140250</v>
      </c>
      <c r="P17" s="42">
        <f>Vendedor14!$F$5+Vendedor14!$F$9+Vendedor14!$F$13+Vendedor14!$F$17</f>
        <v>140250</v>
      </c>
      <c r="R17" s="41">
        <f t="shared" si="8"/>
        <v>159200</v>
      </c>
    </row>
    <row r="18" spans="1:18" x14ac:dyDescent="0.35">
      <c r="A18" s="47">
        <v>15</v>
      </c>
      <c r="B18" s="178" t="str">
        <f>Vendedor15!$B$2</f>
        <v>EDUARDO PUESTO CENTRO</v>
      </c>
      <c r="C18" s="180">
        <f>IF(Vendedor15!$C$5="",0,Vendedor15!$C$5)</f>
        <v>52900</v>
      </c>
      <c r="D18" s="30">
        <f>IF(Vendedor15!$E$5="",0,Vendedor15!$E$5)</f>
        <v>0</v>
      </c>
      <c r="E18" s="180">
        <f>IF(Vendedor15!$C$9="",0,Vendedor15!$C$9)</f>
        <v>35250</v>
      </c>
      <c r="F18" s="30">
        <f>IF(Vendedor15!$E$9="",0,Vendedor15!$E$9)</f>
        <v>0</v>
      </c>
      <c r="G18" s="180">
        <f>IF(Vendedor15!$C$13="",0,Vendedor15!$C$13)</f>
        <v>14300</v>
      </c>
      <c r="H18" s="30">
        <f>IF(Vendedor15!$E$13="",0,Vendedor15!$E$13)</f>
        <v>50</v>
      </c>
      <c r="I18" s="180">
        <f>IF(Vendedor15!$C$17="",0,Vendedor15!$C$17)</f>
        <v>9200</v>
      </c>
      <c r="J18" s="30">
        <f>IF(Vendedor15!$E$17="",0,Vendedor15!$E$17)</f>
        <v>0</v>
      </c>
      <c r="L18" s="42">
        <f t="shared" ref="L18:L27" si="10">C18+E18+G18+I18</f>
        <v>111650</v>
      </c>
      <c r="M18" s="41">
        <f>MROUND(L18*Vendedor15!J$16,50)</f>
        <v>13400</v>
      </c>
      <c r="N18" s="42">
        <f t="shared" si="9"/>
        <v>50</v>
      </c>
      <c r="O18" s="41">
        <f t="shared" si="3"/>
        <v>4250</v>
      </c>
      <c r="P18" s="42">
        <f>Vendedor15!$F$5+Vendedor15!$F$9+Vendedor15!$F$13+Vendedor15!$F$17</f>
        <v>4250</v>
      </c>
      <c r="R18" s="41">
        <f t="shared" si="8"/>
        <v>94000</v>
      </c>
    </row>
    <row r="19" spans="1:18" hidden="1" x14ac:dyDescent="0.35">
      <c r="A19" s="47">
        <v>16</v>
      </c>
      <c r="B19" s="178" t="str">
        <f>Vendedor16!$C$2</f>
        <v>Vendedor 16</v>
      </c>
      <c r="C19" s="180">
        <f>IF(Vendedor16!$C$5="",0,Vendedor16!$C$5)</f>
        <v>0</v>
      </c>
      <c r="D19" s="30">
        <f>IF(Vendedor16!$E$5="",0,Vendedor16!$E$5)</f>
        <v>0</v>
      </c>
      <c r="E19" s="180">
        <f>IF(Vendedor16!$C$9="",0,Vendedor16!$C$9)</f>
        <v>0</v>
      </c>
      <c r="F19" s="30">
        <f>IF(Vendedor16!$E$9="",0,Vendedor16!$E$9)</f>
        <v>0</v>
      </c>
      <c r="G19" s="180">
        <f>IF(Vendedor16!$C$13="",0,Vendedor16!$C$13)</f>
        <v>0</v>
      </c>
      <c r="H19" s="30">
        <f>IF(Vendedor16!$E$13="",0,Vendedor16!$E$13)</f>
        <v>0</v>
      </c>
      <c r="I19" s="180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8" t="str">
        <f>Vendedor17!$C$2</f>
        <v>Vendedor 17</v>
      </c>
      <c r="C20" s="180">
        <f>IF(Vendedor17!$C$5="",0,Vendedor17!$C$5)</f>
        <v>0</v>
      </c>
      <c r="D20" s="30">
        <f>IF(Vendedor17!$E$5="",0,Vendedor17!$E$5)</f>
        <v>0</v>
      </c>
      <c r="E20" s="180">
        <f>IF(Vendedor17!$C$9="",0,Vendedor17!$C$9)</f>
        <v>0</v>
      </c>
      <c r="F20" s="30">
        <f>IF(Vendedor17!$E$9="",0,Vendedor17!$E$9)</f>
        <v>0</v>
      </c>
      <c r="G20" s="180">
        <f>IF(Vendedor17!$C$13="",0,Vendedor17!$C$13)</f>
        <v>0</v>
      </c>
      <c r="H20" s="30">
        <f>IF(Vendedor17!$E$13="",0,Vendedor17!$E$13)</f>
        <v>0</v>
      </c>
      <c r="I20" s="180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8" t="str">
        <f>Vendedor18!$C$2</f>
        <v>Vendedor 18</v>
      </c>
      <c r="C21" s="180">
        <f>IF(Vendedor18!$C$5="",0,Vendedor18!$C$5)</f>
        <v>0</v>
      </c>
      <c r="D21" s="30">
        <f>IF(Vendedor18!$E$5="",0,Vendedor18!$E$5)</f>
        <v>0</v>
      </c>
      <c r="E21" s="180">
        <f>IF(Vendedor18!$C$9="",0,Vendedor18!$C$9)</f>
        <v>0</v>
      </c>
      <c r="F21" s="30">
        <f>IF(Vendedor18!$E$9="",0,Vendedor18!$E$9)</f>
        <v>0</v>
      </c>
      <c r="G21" s="180">
        <f>IF(Vendedor18!$C$13="",0,Vendedor18!$C$13)</f>
        <v>0</v>
      </c>
      <c r="H21" s="30">
        <f>IF(Vendedor18!$E$13="",0,Vendedor18!$E$13)</f>
        <v>0</v>
      </c>
      <c r="I21" s="180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8" t="str">
        <f>Vendedor19!$C$2</f>
        <v>Vendedor 19</v>
      </c>
      <c r="C22" s="180">
        <f>IF(Vendedor19!$C$5="",0,Vendedor19!$C$5)</f>
        <v>0</v>
      </c>
      <c r="D22" s="30">
        <f>IF(Vendedor19!$E$5="",0,Vendedor19!$E$5)</f>
        <v>0</v>
      </c>
      <c r="E22" s="180">
        <f>IF(Vendedor19!$C$9="",0,Vendedor19!$C$9)</f>
        <v>0</v>
      </c>
      <c r="F22" s="30">
        <f>IF(Vendedor19!$E$9="",0,Vendedor19!$E$9)</f>
        <v>0</v>
      </c>
      <c r="G22" s="180">
        <f>IF(Vendedor19!$C$13="",0,Vendedor19!$C$13)</f>
        <v>0</v>
      </c>
      <c r="H22" s="30">
        <f>IF(Vendedor19!$E$13="",0,Vendedor19!$E$13)</f>
        <v>0</v>
      </c>
      <c r="I22" s="180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8" t="str">
        <f>Vendedor20!$C$2</f>
        <v>Vendedor 20</v>
      </c>
      <c r="C23" s="180">
        <f>IF(Vendedor20!$C$5="",0,Vendedor20!$C$5)</f>
        <v>0</v>
      </c>
      <c r="D23" s="30">
        <f>IF(Vendedor20!$E$5="",0,Vendedor20!$E$5)</f>
        <v>0</v>
      </c>
      <c r="E23" s="180">
        <f>IF(Vendedor20!$C$9="",0,Vendedor20!$C$9)</f>
        <v>0</v>
      </c>
      <c r="F23" s="30">
        <f>IF(Vendedor20!$E$9="",0,Vendedor20!$E$9)</f>
        <v>0</v>
      </c>
      <c r="G23" s="180">
        <f>IF(Vendedor20!$C$13="",0,Vendedor20!$C$13)</f>
        <v>0</v>
      </c>
      <c r="H23" s="30">
        <f>IF(Vendedor20!$E$13="",0,Vendedor20!$E$13)</f>
        <v>0</v>
      </c>
      <c r="I23" s="180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8" t="str">
        <f>Vendedor21!$B$2</f>
        <v>Vendedor 21</v>
      </c>
      <c r="C24" s="180">
        <f>IF(Vendedor21!$B$5="",0,Vendedor21!$B$5)</f>
        <v>0</v>
      </c>
      <c r="D24" s="30">
        <f>IF(Vendedor21!$D$5="",0,Vendedor21!$D$5)</f>
        <v>0</v>
      </c>
      <c r="E24" s="180">
        <f>IF(Vendedor21!$B$9="",0,Vendedor21!$B$9)</f>
        <v>0</v>
      </c>
      <c r="F24" s="30">
        <f>IF(Vendedor21!$D$9="",0,Vendedor21!$D$9)</f>
        <v>0</v>
      </c>
      <c r="G24" s="180">
        <f>IF(Vendedor21!$B$13="",0,Vendedor21!$B$13)</f>
        <v>0</v>
      </c>
      <c r="H24" s="30">
        <f>IF(Vendedor21!$D$13="",0,Vendedor21!$D$13)</f>
        <v>0</v>
      </c>
      <c r="I24" s="180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8" t="str">
        <f>Vendedor22!$B$2</f>
        <v>Vendedor 22</v>
      </c>
      <c r="C25" s="180">
        <f>IF(Vendedor22!$B$5="",0,Vendedor22!$B$5)</f>
        <v>0</v>
      </c>
      <c r="D25" s="30">
        <f>IF(Vendedor22!$D$5="",0,Vendedor22!$D$5)</f>
        <v>0</v>
      </c>
      <c r="E25" s="180">
        <f>IF(Vendedor22!$B$9="",0,Vendedor22!$B$9)</f>
        <v>0</v>
      </c>
      <c r="F25" s="30">
        <f>IF(Vendedor22!$D$9="",0,Vendedor22!$D$9)</f>
        <v>0</v>
      </c>
      <c r="G25" s="180">
        <f>IF(Vendedor22!$B$13="",0,Vendedor22!$B$13)</f>
        <v>0</v>
      </c>
      <c r="H25" s="30">
        <f>IF(Vendedor22!$D$13="",0,Vendedor22!$D$13)</f>
        <v>0</v>
      </c>
      <c r="I25" s="180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8" t="str">
        <f>Vendedor23!$B$2</f>
        <v>Vendedor 23</v>
      </c>
      <c r="C26" s="180">
        <f>IF(Vendedor23!$B$5="",0,Vendedor23!$B$5)</f>
        <v>0</v>
      </c>
      <c r="D26" s="30">
        <f>IF(Vendedor23!$D$5="",0,Vendedor23!$D$5)</f>
        <v>0</v>
      </c>
      <c r="E26" s="180">
        <f>IF(Vendedor23!$B$9="",0,Vendedor23!$B$9)</f>
        <v>0</v>
      </c>
      <c r="F26" s="30">
        <f>IF(Vendedor23!$D$9="",0,Vendedor23!$D$9)</f>
        <v>0</v>
      </c>
      <c r="G26" s="180">
        <f>IF(Vendedor23!$B$13="",0,Vendedor23!$B$13)</f>
        <v>0</v>
      </c>
      <c r="H26" s="30">
        <f>IF(Vendedor23!$D$13="",0,Vendedor23!$D$13)</f>
        <v>0</v>
      </c>
      <c r="I26" s="180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1" t="str">
        <f>Vendedor24!$C$2</f>
        <v>Arreglo Otro</v>
      </c>
      <c r="C27" s="181">
        <f>IF(Vendedor24!$C$5="",0,Vendedor24!$C$5)</f>
        <v>0</v>
      </c>
      <c r="D27" s="50">
        <f>IF(Vendedor24!$E$5="",0,Vendedor24!$E$5)</f>
        <v>0</v>
      </c>
      <c r="E27" s="181">
        <f>IF(Vendedor24!$C$9="",0,Vendedor24!$C$9)</f>
        <v>0</v>
      </c>
      <c r="F27" s="50">
        <f>IF(Vendedor24!$E$9="",0,Vendedor24!$E$9)</f>
        <v>0</v>
      </c>
      <c r="G27" s="181">
        <f>IF(Vendedor24!$C$13="",0,Vendedor24!$C$13)</f>
        <v>0</v>
      </c>
      <c r="H27" s="50">
        <f>IF(Vendedor24!$E$13="",0,Vendedor24!$E$13)</f>
        <v>0</v>
      </c>
      <c r="I27" s="181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348400</v>
      </c>
      <c r="D32" s="44">
        <f t="shared" si="14"/>
        <v>400</v>
      </c>
      <c r="E32" s="43">
        <f t="shared" si="14"/>
        <v>252250</v>
      </c>
      <c r="F32" s="44">
        <f t="shared" si="14"/>
        <v>500</v>
      </c>
      <c r="G32" s="43">
        <f t="shared" si="14"/>
        <v>142400</v>
      </c>
      <c r="H32" s="44">
        <f t="shared" si="14"/>
        <v>400</v>
      </c>
      <c r="I32" s="43">
        <f t="shared" si="14"/>
        <v>285300</v>
      </c>
      <c r="J32" s="44">
        <f t="shared" si="14"/>
        <v>2200</v>
      </c>
      <c r="L32" s="45">
        <f>SUM(L4:L31)</f>
        <v>1028350</v>
      </c>
      <c r="M32" s="45">
        <f>SUM(M7:M31)</f>
        <v>115100</v>
      </c>
      <c r="N32" s="95">
        <f>SUM(N4:N31)</f>
        <v>3500</v>
      </c>
      <c r="O32" s="46">
        <f>SUM(O4:O31)</f>
        <v>297500</v>
      </c>
      <c r="P32" s="140">
        <f>SUM(P4:P31)</f>
        <v>291000</v>
      </c>
      <c r="R32" s="79">
        <f>SUM(R4:R31)</f>
        <v>606750</v>
      </c>
    </row>
    <row r="33" spans="3:15" x14ac:dyDescent="0.35">
      <c r="D33" s="120">
        <f>+D32*85</f>
        <v>34000</v>
      </c>
      <c r="F33" s="120">
        <f>+F32*85</f>
        <v>42500</v>
      </c>
      <c r="H33" s="120">
        <f>+H32*85</f>
        <v>34000</v>
      </c>
      <c r="J33" s="120">
        <f>+J32*85</f>
        <v>187000</v>
      </c>
    </row>
    <row r="34" spans="3:15" ht="15" thickBot="1" x14ac:dyDescent="0.4"/>
    <row r="35" spans="3:15" x14ac:dyDescent="0.35">
      <c r="C35" s="266" t="s">
        <v>89</v>
      </c>
      <c r="D35" s="266"/>
      <c r="N35" s="149"/>
      <c r="O35" s="43"/>
    </row>
    <row r="36" spans="3:15" x14ac:dyDescent="0.35">
      <c r="C36" s="47" t="s">
        <v>28</v>
      </c>
      <c r="D36" s="30">
        <f>+C32+E32+G32+I32</f>
        <v>1028350</v>
      </c>
      <c r="E36" s="43">
        <f>+D36-L4-L5-L6</f>
        <v>959250</v>
      </c>
    </row>
    <row r="37" spans="3:15" x14ac:dyDescent="0.35">
      <c r="C37" s="47" t="s">
        <v>33</v>
      </c>
      <c r="D37" s="48">
        <f>D36*13%</f>
        <v>133685.5</v>
      </c>
      <c r="E37">
        <f>+D37-M4-M5-M6</f>
        <v>124685.5</v>
      </c>
    </row>
    <row r="38" spans="3:15" x14ac:dyDescent="0.35">
      <c r="C38" s="47" t="s">
        <v>30</v>
      </c>
      <c r="D38" s="30">
        <f>SUM(O4:O27)</f>
        <v>297500</v>
      </c>
      <c r="G38" s="100"/>
    </row>
    <row r="39" spans="3:15" ht="15" thickBot="1" x14ac:dyDescent="0.4">
      <c r="C39" s="49" t="s">
        <v>4</v>
      </c>
      <c r="D39" s="80">
        <f>+D36-D37-D38</f>
        <v>597164.5</v>
      </c>
      <c r="G39" s="101"/>
    </row>
    <row r="40" spans="3:15" ht="15" thickBot="1" x14ac:dyDescent="0.4">
      <c r="G40" s="100"/>
    </row>
    <row r="41" spans="3:15" x14ac:dyDescent="0.35">
      <c r="C41" s="104" t="s">
        <v>78</v>
      </c>
      <c r="D41" s="105">
        <v>0</v>
      </c>
      <c r="G41" s="100"/>
    </row>
    <row r="42" spans="3:15" x14ac:dyDescent="0.35">
      <c r="C42" s="106" t="s">
        <v>80</v>
      </c>
      <c r="D42" s="107">
        <v>0</v>
      </c>
      <c r="G42" s="100"/>
    </row>
    <row r="43" spans="3:15" ht="15" thickBot="1" x14ac:dyDescent="0.4">
      <c r="C43" s="108" t="s">
        <v>79</v>
      </c>
      <c r="D43" s="109">
        <f>+D39+D41+D42</f>
        <v>597164.5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61"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8" width="12.54296875" customWidth="1"/>
    <col min="9" max="9" width="3.54296875" customWidth="1"/>
    <col min="10" max="14" width="12.54296875" customWidth="1"/>
    <col min="15" max="15" width="14.81640625" bestFit="1" customWidth="1"/>
    <col min="16" max="16" width="3.54296875" customWidth="1"/>
  </cols>
  <sheetData>
    <row r="1" spans="1:17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7" ht="14.5" customHeight="1" x14ac:dyDescent="0.35">
      <c r="C2" s="267" t="str">
        <f>IF(C33=0,"",CONCATENATE(PREMIOS!$B7," ",PREMIOS!$B8))</f>
        <v>40 Roja</v>
      </c>
      <c r="D2" s="268"/>
      <c r="E2" s="267" t="str">
        <f>IF(E33=0,"",CONCATENATE(PREMIOS!$B11," ",PREMIOS!$B12))</f>
        <v>97 Blanca</v>
      </c>
      <c r="F2" s="268"/>
      <c r="G2" s="267" t="str">
        <f>IF(G33=0,"",CONCATENATE(PREMIOS!$B15," ",PREMIOS!$B16))</f>
        <v>68 Blanca</v>
      </c>
      <c r="H2" s="268"/>
    </row>
    <row r="3" spans="1:17" ht="15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7">
        <v>1</v>
      </c>
      <c r="B4" s="188" t="str">
        <f>Vendedor1!$B$2</f>
        <v>VENTANA</v>
      </c>
      <c r="C4" s="189">
        <f>IF(Vendedor1!$C$8="",0,Vendedor1!$C$8)</f>
        <v>0</v>
      </c>
      <c r="D4" s="78">
        <f>IF(Vendedor1!$E$8="",0,Vendedor1!$E$8)</f>
        <v>0</v>
      </c>
      <c r="E4" s="189">
        <f>IF(Vendedor1!$C$12="",0,Vendedor1!$C$12)</f>
        <v>0</v>
      </c>
      <c r="F4" s="78">
        <f>IF(Vendedor1!$E$12="",0,Vendedor1!$E$12)</f>
        <v>0</v>
      </c>
      <c r="G4" s="189">
        <f>IF(Vendedor1!$C$16="",0,Vendedor1!$C$16)</f>
        <v>0</v>
      </c>
      <c r="H4" s="78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8" t="str">
        <f>Vendedor2!$B$2</f>
        <v>PUESTO 2</v>
      </c>
      <c r="C5" s="180">
        <f>IF(Vendedor2!$C$8="",0,Vendedor2!$C$8)</f>
        <v>0</v>
      </c>
      <c r="D5" s="30">
        <f>IF(Vendedor2!$E$8="",0,Vendedor2!$E$8)</f>
        <v>0</v>
      </c>
      <c r="E5" s="180">
        <f>IF(Vendedor2!$C$12="",0,Vendedor2!$C$12)</f>
        <v>0</v>
      </c>
      <c r="F5" s="30">
        <f>IF(Vendedor2!$E$12="",0,Vendedor2!$E$12)</f>
        <v>0</v>
      </c>
      <c r="G5" s="180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8" t="str">
        <f>Vendedor3!$B$2</f>
        <v>TABLET</v>
      </c>
      <c r="C6" s="180">
        <f>IF(Vendedor3!$C$8="",0,Vendedor3!$C$8)</f>
        <v>0</v>
      </c>
      <c r="D6" s="30">
        <f>IF(Vendedor3!$E$8="",0,Vendedor3!$E$8)</f>
        <v>0</v>
      </c>
      <c r="E6" s="180">
        <f>IF(Vendedor3!$C$12="",0,Vendedor3!$C$12)</f>
        <v>0</v>
      </c>
      <c r="F6" s="30">
        <f>IF(Vendedor3!$E$12="",0,Vendedor3!$E$12)</f>
        <v>0</v>
      </c>
      <c r="G6" s="180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8" t="str">
        <f>Vendedor4!$B$2</f>
        <v>Nuevo 2</v>
      </c>
      <c r="C7" s="180">
        <f>IF(Vendedor4!$C$8="",0,Vendedor4!$C$8)</f>
        <v>0</v>
      </c>
      <c r="D7" s="30">
        <f>IF(Vendedor4!$E$8="",0,Vendedor4!$E$8)</f>
        <v>0</v>
      </c>
      <c r="E7" s="180">
        <f>IF(Vendedor4!$C$12="",0,Vendedor4!$C$12)</f>
        <v>0</v>
      </c>
      <c r="F7" s="30">
        <f>IF(Vendedor4!$E$12="",0,Vendedor4!$E$12)</f>
        <v>0</v>
      </c>
      <c r="G7" s="180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8" t="str">
        <f>Vendedor5!$B$2</f>
        <v>YOYO</v>
      </c>
      <c r="C8" s="180">
        <f>IF(Vendedor5!$C$8="",0,Vendedor5!$C$8)</f>
        <v>0</v>
      </c>
      <c r="D8" s="30">
        <f>IF(Vendedor5!$E$8="",0,Vendedor5!$E$8)</f>
        <v>0</v>
      </c>
      <c r="E8" s="180">
        <f>IF(Vendedor5!$C$12="",0,Vendedor5!$C$12)</f>
        <v>0</v>
      </c>
      <c r="F8" s="30">
        <f>IF(Vendedor5!$E$12="",0,Vendedor5!$E$12)</f>
        <v>0</v>
      </c>
      <c r="G8" s="180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8" t="str">
        <f>Vendedor6!$B$2</f>
        <v>MARTA ROSA</v>
      </c>
      <c r="C9" s="180">
        <f>IF(Vendedor6!$C$8="",0,Vendedor6!$C$8)</f>
        <v>0</v>
      </c>
      <c r="D9" s="30">
        <f>IF(Vendedor6!$E$8="",0,Vendedor6!$E$8)</f>
        <v>0</v>
      </c>
      <c r="E9" s="180">
        <f>IF(Vendedor6!$C$12="",0,Vendedor6!$C$12)</f>
        <v>0</v>
      </c>
      <c r="F9" s="30">
        <f>IF(Vendedor6!$E$12="",0,Vendedor6!$E$12)</f>
        <v>0</v>
      </c>
      <c r="G9" s="180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8" t="str">
        <f>Vendedor7!$B$2</f>
        <v>PIKIS</v>
      </c>
      <c r="C10" s="180">
        <f>IF(Vendedor7!$C$8="",0,Vendedor7!$C$8)</f>
        <v>21050</v>
      </c>
      <c r="D10" s="30">
        <f>IF(Vendedor7!$E$8="",0,Vendedor7!$E$8)</f>
        <v>0</v>
      </c>
      <c r="E10" s="180">
        <f>IF(Vendedor7!$C$12="",0,Vendedor7!$C$12)</f>
        <v>18450</v>
      </c>
      <c r="F10" s="30">
        <f>IF(Vendedor7!$E$12="",0,Vendedor7!$E$12)</f>
        <v>0</v>
      </c>
      <c r="G10" s="180">
        <f>IF(Vendedor7!$C$16="",0,Vendedor7!$C$16)</f>
        <v>31950</v>
      </c>
      <c r="H10" s="30">
        <f>IF(Vendedor7!$E$16="",0,Vendedor7!$E$16)</f>
        <v>0</v>
      </c>
      <c r="J10" s="42">
        <f t="shared" si="1"/>
        <v>71450</v>
      </c>
      <c r="K10" s="41">
        <f>J10*Vendedor7!J$16</f>
        <v>7145</v>
      </c>
      <c r="L10" s="42">
        <f t="shared" si="2"/>
        <v>0</v>
      </c>
      <c r="M10" s="42">
        <f t="shared" si="3"/>
        <v>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64305</v>
      </c>
    </row>
    <row r="11" spans="1:17" x14ac:dyDescent="0.35">
      <c r="A11" s="47">
        <v>8</v>
      </c>
      <c r="B11" s="178" t="str">
        <f>Vendedor8!$B$2</f>
        <v>ISA</v>
      </c>
      <c r="C11" s="180">
        <f>IF(Vendedor8!$C$8="",0,Vendedor8!$C$8)</f>
        <v>0</v>
      </c>
      <c r="D11" s="30">
        <f>IF(Vendedor8!$E$8="",0,Vendedor8!$E$8)</f>
        <v>0</v>
      </c>
      <c r="E11" s="180">
        <f>IF(Vendedor8!$C$12="",0,Vendedor8!$C$12)</f>
        <v>0</v>
      </c>
      <c r="F11" s="30">
        <f>IF(Vendedor8!$E$12="",0,Vendedor8!$E$12)</f>
        <v>0</v>
      </c>
      <c r="G11" s="180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8" t="str">
        <f>Vendedor9!$B$2</f>
        <v>JUAN FELIX</v>
      </c>
      <c r="C12" s="180">
        <f>IF(Vendedor9!$C$8="",0,Vendedor9!$C$8)</f>
        <v>150</v>
      </c>
      <c r="D12" s="30">
        <f>IF(Vendedor9!$E$8="",0,Vendedor9!$E$8)</f>
        <v>0</v>
      </c>
      <c r="E12" s="180">
        <f>IF(Vendedor9!$C$12="",0,Vendedor9!$C$12)</f>
        <v>500</v>
      </c>
      <c r="F12" s="30">
        <f>IF(Vendedor9!$E$12="",0,Vendedor9!$E$12)</f>
        <v>0</v>
      </c>
      <c r="G12" s="180">
        <f>IF(Vendedor9!$C$16="",0,Vendedor9!$C$16)</f>
        <v>1100</v>
      </c>
      <c r="H12" s="30">
        <f>IF(Vendedor9!$E$16="",0,Vendedor9!$E$16)</f>
        <v>0</v>
      </c>
      <c r="J12" s="42">
        <f t="shared" si="1"/>
        <v>1750</v>
      </c>
      <c r="K12" s="41">
        <f>J12*Vendedor9!J$13</f>
        <v>175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1575</v>
      </c>
    </row>
    <row r="13" spans="1:17" x14ac:dyDescent="0.35">
      <c r="A13" s="47">
        <v>10</v>
      </c>
      <c r="B13" s="178" t="str">
        <f>Vendedor10!$B$2</f>
        <v>MARIALIZ</v>
      </c>
      <c r="C13" s="180">
        <f>IF(Vendedor10!$C$8="",0,Vendedor10!$C$8)</f>
        <v>0</v>
      </c>
      <c r="D13" s="30">
        <f>IF(Vendedor10!$E$8="",0,Vendedor10!$E$8)</f>
        <v>0</v>
      </c>
      <c r="E13" s="180">
        <f>IF(Vendedor10!$C$12="",0,Vendedor10!$C$12)</f>
        <v>0</v>
      </c>
      <c r="F13" s="30">
        <f>IF(Vendedor10!$E$12="",0,Vendedor10!$E$12)</f>
        <v>0</v>
      </c>
      <c r="G13" s="180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8" t="str">
        <f>Vendedor11!$B$2</f>
        <v>CHARLY</v>
      </c>
      <c r="C14" s="180">
        <f>IF(Vendedor11!$C$8="",0,Vendedor11!$C$8)</f>
        <v>0</v>
      </c>
      <c r="D14" s="30">
        <f>IF(Vendedor11!$E$8="",0,Vendedor11!$E$8)</f>
        <v>0</v>
      </c>
      <c r="E14" s="180">
        <f>IF(Vendedor11!$C$12="",0,Vendedor11!$C$12)</f>
        <v>0</v>
      </c>
      <c r="F14" s="30">
        <f>IF(Vendedor11!$E$12="",0,Vendedor11!$E$12)</f>
        <v>0</v>
      </c>
      <c r="G14" s="180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8" t="str">
        <f>Vendedor12!$B$2</f>
        <v>LAURY</v>
      </c>
      <c r="C15" s="180">
        <f>IF(Vendedor12!$C$8="",0,Vendedor12!$C$8)</f>
        <v>0</v>
      </c>
      <c r="D15" s="30">
        <f>IF(Vendedor12!$E$8="",0,Vendedor12!$E$8)</f>
        <v>0</v>
      </c>
      <c r="E15" s="180">
        <f>IF(Vendedor12!$C$12="",0,Vendedor12!$C$12)</f>
        <v>0</v>
      </c>
      <c r="F15" s="30">
        <f>IF(Vendedor12!$E$12="",0,Vendedor12!$E$12)</f>
        <v>0</v>
      </c>
      <c r="G15" s="180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8" t="str">
        <f>Vendedor13!$B$2</f>
        <v>MINERO</v>
      </c>
      <c r="C16" s="180">
        <f>IF(Vendedor13!$C$8="",0,Vendedor13!$C$8)</f>
        <v>1000</v>
      </c>
      <c r="D16" s="30">
        <f>IF(Vendedor13!$E$8="",0,Vendedor13!$E$8)</f>
        <v>0</v>
      </c>
      <c r="E16" s="180">
        <f>IF(Vendedor13!$C$12="",0,Vendedor13!$C$12)</f>
        <v>0</v>
      </c>
      <c r="F16" s="30">
        <f>IF(Vendedor13!$E$12="",0,Vendedor13!$E$12)</f>
        <v>0</v>
      </c>
      <c r="G16" s="180">
        <f>IF(Vendedor13!$C$16="",0,Vendedor13!$C$16)</f>
        <v>1000</v>
      </c>
      <c r="H16" s="30">
        <f>IF(Vendedor13!$E$16="",0,Vendedor13!$E$16)</f>
        <v>0</v>
      </c>
      <c r="J16" s="42">
        <f t="shared" si="1"/>
        <v>2000</v>
      </c>
      <c r="K16" s="41">
        <f>J16*Vendedor13!J$13</f>
        <v>200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1800</v>
      </c>
    </row>
    <row r="17" spans="1:17" x14ac:dyDescent="0.35">
      <c r="A17" s="47">
        <v>14</v>
      </c>
      <c r="B17" s="178" t="str">
        <f>Vendedor14!$B$2</f>
        <v>EDUARDO TIEMPOS LICORERA</v>
      </c>
      <c r="C17" s="180">
        <f>IF(Vendedor14!$C$8="",0,Vendedor14!$C$8)</f>
        <v>20650</v>
      </c>
      <c r="D17" s="30">
        <f>IF(Vendedor14!$E$8="",0,Vendedor14!$E$8)</f>
        <v>0</v>
      </c>
      <c r="E17" s="180">
        <f>IF(Vendedor14!$C$12="",0,Vendedor14!$C$12)</f>
        <v>8800</v>
      </c>
      <c r="F17" s="30">
        <f>IF(Vendedor14!$E$12="",0,Vendedor14!$E$12)</f>
        <v>0</v>
      </c>
      <c r="G17" s="180">
        <f>IF(Vendedor14!$C$16="",0,Vendedor14!$C$16)</f>
        <v>20150</v>
      </c>
      <c r="H17" s="30">
        <f>IF(Vendedor14!$E$16="",0,Vendedor14!$E$16)</f>
        <v>0</v>
      </c>
      <c r="J17" s="42">
        <f t="shared" si="1"/>
        <v>49600</v>
      </c>
      <c r="K17" s="41">
        <f>J17*Vendedor14!J$17</f>
        <v>4960</v>
      </c>
      <c r="L17" s="42">
        <f t="shared" si="2"/>
        <v>0</v>
      </c>
      <c r="M17" s="42">
        <f t="shared" si="3"/>
        <v>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44640</v>
      </c>
    </row>
    <row r="18" spans="1:17" x14ac:dyDescent="0.35">
      <c r="A18" s="47">
        <v>15</v>
      </c>
      <c r="B18" s="178" t="str">
        <f>Vendedor15!$B$2</f>
        <v>EDUARDO PUESTO CENTRO</v>
      </c>
      <c r="C18" s="180">
        <f>IF(Vendedor15!$C$8="",0,Vendedor15!$C$8)</f>
        <v>14100</v>
      </c>
      <c r="D18" s="30">
        <f>IF(Vendedor15!$E$8="",0,Vendedor15!$E$8)</f>
        <v>0</v>
      </c>
      <c r="E18" s="180">
        <f>IF(Vendedor15!$C$12="",0,Vendedor15!$C$12)</f>
        <v>12850</v>
      </c>
      <c r="F18" s="30">
        <f>IF(Vendedor15!$E$12="",0,Vendedor15!$E$12)</f>
        <v>0</v>
      </c>
      <c r="G18" s="180">
        <f>IF(Vendedor15!$C$16="",0,Vendedor15!$C$16)</f>
        <v>20050</v>
      </c>
      <c r="H18" s="30">
        <f>IF(Vendedor15!$E$16="",0,Vendedor15!$E$16)</f>
        <v>200</v>
      </c>
      <c r="J18" s="42">
        <f t="shared" ref="J18" si="5">+C18+E18+G18</f>
        <v>47000</v>
      </c>
      <c r="K18" s="41">
        <f>J18*Vendedor15!J$17</f>
        <v>4700</v>
      </c>
      <c r="L18" s="42">
        <f t="shared" si="2"/>
        <v>0</v>
      </c>
      <c r="M18" s="42">
        <f t="shared" si="3"/>
        <v>200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42300</v>
      </c>
    </row>
    <row r="19" spans="1:17" hidden="1" x14ac:dyDescent="0.35">
      <c r="A19" s="47">
        <v>16</v>
      </c>
      <c r="B19" s="178" t="str">
        <f>Vendedor16!$C$2</f>
        <v>Vendedor 16</v>
      </c>
      <c r="C19" s="180">
        <f>IF(Vendedor16!$C$8="",0,Vendedor16!$C$8)</f>
        <v>0</v>
      </c>
      <c r="D19" s="30">
        <f>IF(Vendedor16!$E$8="",0,Vendedor16!$E$8)</f>
        <v>0</v>
      </c>
      <c r="E19" s="180">
        <f>IF(Vendedor16!$C$12="",0,Vendedor16!$C$12)</f>
        <v>0</v>
      </c>
      <c r="F19" s="30">
        <f>IF(Vendedor16!$E$12="",0,Vendedor16!$E$12)</f>
        <v>0</v>
      </c>
      <c r="G19" s="180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8" t="str">
        <f>Vendedor17!$C$2</f>
        <v>Vendedor 17</v>
      </c>
      <c r="C20" s="180">
        <f>IF(Vendedor17!$C$8="",0,Vendedor17!$C$8)</f>
        <v>0</v>
      </c>
      <c r="D20" s="30">
        <f>IF(Vendedor17!$E$8="",0,Vendedor17!$E$8)</f>
        <v>0</v>
      </c>
      <c r="E20" s="180">
        <f>IF(Vendedor17!$C$12="",0,Vendedor17!$C$12)</f>
        <v>0</v>
      </c>
      <c r="F20" s="30">
        <f>IF(Vendedor17!$E$12="",0,Vendedor17!$E$12)</f>
        <v>0</v>
      </c>
      <c r="G20" s="180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8" t="str">
        <f>Vendedor18!$C$2</f>
        <v>Vendedor 18</v>
      </c>
      <c r="C21" s="180">
        <f>IF(Vendedor18!$C$8="",0,Vendedor18!$C$8)</f>
        <v>0</v>
      </c>
      <c r="D21" s="30">
        <f>IF(Vendedor18!$E$8="",0,Vendedor18!$E$8)</f>
        <v>0</v>
      </c>
      <c r="E21" s="180">
        <f>IF(Vendedor18!$C$12="",0,Vendedor18!$C$12)</f>
        <v>0</v>
      </c>
      <c r="F21" s="30">
        <f>IF(Vendedor18!$E$12="",0,Vendedor18!$E$12)</f>
        <v>0</v>
      </c>
      <c r="G21" s="180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8" t="str">
        <f>Vendedor19!$C$2</f>
        <v>Vendedor 19</v>
      </c>
      <c r="C22" s="180">
        <f>IF(Vendedor19!$C$8="",0,Vendedor19!$C$8)</f>
        <v>0</v>
      </c>
      <c r="D22" s="30">
        <f>IF(Vendedor19!$E$8="",0,Vendedor19!$E$8)</f>
        <v>0</v>
      </c>
      <c r="E22" s="180">
        <f>IF(Vendedor19!$C$12="",0,Vendedor19!$C$12)</f>
        <v>0</v>
      </c>
      <c r="F22" s="30">
        <f>IF(Vendedor19!$E$12="",0,Vendedor19!$E$12)</f>
        <v>0</v>
      </c>
      <c r="G22" s="180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8" t="str">
        <f>Vendedor20!$C$2</f>
        <v>Vendedor 20</v>
      </c>
      <c r="C23" s="180">
        <f>IF(Vendedor20!$C$8="",0,Vendedor20!$C$8)</f>
        <v>0</v>
      </c>
      <c r="D23" s="30">
        <f>IF(Vendedor20!$E$8="",0,Vendedor20!$E$8)</f>
        <v>0</v>
      </c>
      <c r="E23" s="180">
        <f>IF(Vendedor20!$C$12="",0,Vendedor20!$C$12)</f>
        <v>0</v>
      </c>
      <c r="F23" s="30">
        <f>IF(Vendedor20!$E$12="",0,Vendedor20!$E$12)</f>
        <v>0</v>
      </c>
      <c r="G23" s="180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8" t="str">
        <f>Vendedor21!$B$2</f>
        <v>Vendedor 21</v>
      </c>
      <c r="C24" s="180">
        <f>IF(Vendedor21!$B$8="",0,Vendedor21!$B$8)</f>
        <v>0</v>
      </c>
      <c r="D24" s="30">
        <f>IF(Vendedor21!$D$8="",0,Vendedor21!$D$8)</f>
        <v>0</v>
      </c>
      <c r="E24" s="180">
        <f>IF(Vendedor21!$B$12="",0,Vendedor21!$B$12)</f>
        <v>0</v>
      </c>
      <c r="F24" s="30">
        <f>IF(Vendedor21!$D$12="",0,Vendedor21!$D$12)</f>
        <v>0</v>
      </c>
      <c r="G24" s="180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8" t="str">
        <f>Vendedor22!$B$2</f>
        <v>Vendedor 22</v>
      </c>
      <c r="C25" s="180">
        <f>IF(Vendedor22!$B$8="",0,Vendedor22!$B$8)</f>
        <v>0</v>
      </c>
      <c r="D25" s="30">
        <f>IF(Vendedor22!$D$8="",0,Vendedor22!$D$8)</f>
        <v>0</v>
      </c>
      <c r="E25" s="180">
        <f>IF(Vendedor22!$B$12="",0,Vendedor22!$B$12)</f>
        <v>0</v>
      </c>
      <c r="F25" s="30">
        <f>IF(Vendedor22!$D$12="",0,Vendedor22!$D$12)</f>
        <v>0</v>
      </c>
      <c r="G25" s="180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8" t="str">
        <f>Vendedor23!$B$2</f>
        <v>Vendedor 23</v>
      </c>
      <c r="C26" s="180">
        <f>IF(Vendedor23!$B$8="",0,Vendedor23!$B$8)</f>
        <v>0</v>
      </c>
      <c r="D26" s="30">
        <f>IF(Vendedor23!$D$8="",0,Vendedor23!$D$8)</f>
        <v>0</v>
      </c>
      <c r="E26" s="180">
        <f>IF(Vendedor23!$B$12="",0,Vendedor23!$B$12)</f>
        <v>0</v>
      </c>
      <c r="F26" s="30">
        <f>IF(Vendedor23!$D$12="",0,Vendedor23!$D$12)</f>
        <v>0</v>
      </c>
      <c r="G26" s="180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1" t="str">
        <f>Vendedor24!$C$2</f>
        <v>Arreglo Otro</v>
      </c>
      <c r="C27" s="181">
        <f>IF(Vendedor24!$C$8="",0,Vendedor24!$C$8)</f>
        <v>0</v>
      </c>
      <c r="D27" s="50">
        <f>IF(Vendedor24!$E$8="",0,Vendedor24!$E$8)</f>
        <v>0</v>
      </c>
      <c r="E27" s="181">
        <f>IF(Vendedor24!$C$12="",0,Vendedor24!$C$12)</f>
        <v>0</v>
      </c>
      <c r="F27" s="50">
        <f>IF(Vendedor24!$E$12="",0,Vendedor24!$E$12)</f>
        <v>0</v>
      </c>
      <c r="G27" s="181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6">
        <v>25</v>
      </c>
      <c r="B28" s="179" t="str">
        <f>Vendedor25!$B$2</f>
        <v>Vendedor 25</v>
      </c>
      <c r="C28" s="179">
        <f>IF(Vendedor25!$B$8="",0,Vendedor25!$B$8)</f>
        <v>0</v>
      </c>
      <c r="D28" s="179">
        <f>IF(Vendedor25!$D$8="",0,Vendedor25!$D$8)</f>
        <v>0</v>
      </c>
      <c r="E28" s="179">
        <f>IF(Vendedor25!$B$12="",0,Vendedor25!$B$12)</f>
        <v>0</v>
      </c>
      <c r="F28" s="179">
        <f>IF(Vendedor25!$D$12="",0,Vendedor25!$D$12)</f>
        <v>0</v>
      </c>
      <c r="G28" s="179">
        <f>IF(Vendedor25!$B$16="",0,Vendedor25!$B$16)</f>
        <v>0</v>
      </c>
      <c r="H28" s="179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56950</v>
      </c>
      <c r="D33" s="44">
        <f>IF(PREMIOS!E8&lt;&gt;0,SUM(D4:D32),0)</f>
        <v>0</v>
      </c>
      <c r="E33" s="43">
        <f>SUM(E4:E32)</f>
        <v>40600</v>
      </c>
      <c r="F33" s="44">
        <f>IF(PREMIOS!E12&lt;&gt;0,SUM(F4:F32),0)</f>
        <v>0</v>
      </c>
      <c r="G33" s="43">
        <f>SUM(G4:G32)</f>
        <v>74250</v>
      </c>
      <c r="H33" s="44">
        <f>IF(PREMIOS!E16&lt;&gt;0,SUM(H4:H32),0)</f>
        <v>0</v>
      </c>
      <c r="J33" s="45">
        <f>SUM(J4:J32)</f>
        <v>171800</v>
      </c>
      <c r="K33" s="45">
        <f>SUM(K7:K32)</f>
        <v>17180</v>
      </c>
      <c r="L33" s="95">
        <f>SUM(L7:L32)</f>
        <v>0</v>
      </c>
      <c r="M33" s="95">
        <f>SUM(M7:M32)</f>
        <v>200</v>
      </c>
      <c r="N33" s="95">
        <f>SUM(N4:N27)</f>
        <v>0</v>
      </c>
      <c r="O33" s="95">
        <f>SUM(O4:O27)</f>
        <v>0</v>
      </c>
      <c r="Q33" s="79">
        <f>SUM(Q4:Q32)</f>
        <v>154620</v>
      </c>
    </row>
    <row r="34" spans="3:17" x14ac:dyDescent="0.35">
      <c r="D34" s="118">
        <f>IF(PREMIOS!$D8=PREMIOS!$J$10,D33*$G$38,IF(PREMIOS!$D8=PREMIOS!$J$11,D33*$F$38,IF(PREMIOS!$D8=PREMIOS!$J$12,0,"")))</f>
        <v>0</v>
      </c>
      <c r="F34" s="118">
        <f>IF(PREMIOS!$D12=PREMIOS!$J$10,F33*$G$38,IF(PREMIOS!$D12=PREMIOS!$J$11,F33*$F$38,IF(PREMIOS!$D12=PREMIOS!$J$12,0,"")))</f>
        <v>0</v>
      </c>
      <c r="H34" s="118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3" t="s">
        <v>90</v>
      </c>
      <c r="D36" s="273"/>
      <c r="F36" s="274" t="s">
        <v>94</v>
      </c>
      <c r="G36" s="274" t="s">
        <v>95</v>
      </c>
    </row>
    <row r="37" spans="3:17" ht="14.5" customHeight="1" x14ac:dyDescent="0.35">
      <c r="C37" s="47" t="s">
        <v>28</v>
      </c>
      <c r="D37" s="30">
        <f>+C33+E33+G33</f>
        <v>171800</v>
      </c>
      <c r="E37" s="43">
        <f>+D37-J4-J5-J6</f>
        <v>171800</v>
      </c>
      <c r="F37" s="275"/>
      <c r="G37" s="275"/>
    </row>
    <row r="38" spans="3:17" ht="15" thickBot="1" x14ac:dyDescent="0.4">
      <c r="C38" s="47" t="s">
        <v>33</v>
      </c>
      <c r="D38" s="30">
        <f>D37*10%</f>
        <v>17180</v>
      </c>
      <c r="E38" s="43">
        <f>+D38-K4-K5-K6</f>
        <v>17180</v>
      </c>
      <c r="F38" s="103">
        <v>220</v>
      </c>
      <c r="G38" s="103">
        <v>0</v>
      </c>
    </row>
    <row r="39" spans="3:17" x14ac:dyDescent="0.35">
      <c r="C39" s="47" t="s">
        <v>30</v>
      </c>
      <c r="D39" s="30">
        <f>+D34+F34+H34</f>
        <v>0</v>
      </c>
    </row>
    <row r="40" spans="3:17" ht="15" thickBot="1" x14ac:dyDescent="0.4">
      <c r="C40" s="49" t="s">
        <v>4</v>
      </c>
      <c r="D40" s="80">
        <f>+D37-D38-D39</f>
        <v>154620</v>
      </c>
    </row>
    <row r="41" spans="3:17" ht="15" thickBot="1" x14ac:dyDescent="0.4"/>
    <row r="42" spans="3:17" x14ac:dyDescent="0.35">
      <c r="C42" s="104" t="s">
        <v>78</v>
      </c>
      <c r="D42" s="116">
        <v>0</v>
      </c>
    </row>
    <row r="43" spans="3:17" x14ac:dyDescent="0.35">
      <c r="C43" s="106" t="s">
        <v>80</v>
      </c>
      <c r="D43" s="153">
        <v>0</v>
      </c>
    </row>
    <row r="44" spans="3:17" ht="15" thickBot="1" x14ac:dyDescent="0.4">
      <c r="C44" s="108" t="s">
        <v>79</v>
      </c>
      <c r="D44" s="109">
        <f>+D42+D40+D43</f>
        <v>154620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scale="65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113</v>
      </c>
      <c r="D1" s="272"/>
      <c r="E1" s="271" t="s">
        <v>98</v>
      </c>
      <c r="F1" s="272"/>
    </row>
    <row r="2" spans="1:14" ht="14.5" customHeight="1" x14ac:dyDescent="0.35">
      <c r="C2" s="267">
        <f>DigitaPRIMERA!C2</f>
        <v>70</v>
      </c>
      <c r="D2" s="268"/>
      <c r="E2" s="267">
        <f>DigitaPRIMERA!E2</f>
        <v>64</v>
      </c>
      <c r="F2" s="268"/>
    </row>
    <row r="3" spans="1:14" ht="14.5" customHeight="1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7">
        <v>1</v>
      </c>
      <c r="B4" s="199" t="str">
        <f>Vendedor1!$B$2</f>
        <v>VENTANA</v>
      </c>
      <c r="C4" s="189">
        <f>IF(Vendedor1!$C$19="",0,Vendedor1!$C$19)</f>
        <v>5300</v>
      </c>
      <c r="D4" s="78">
        <f>IF(Vendedor1!$E$19="",0,Vendedor1!$E$19)</f>
        <v>0</v>
      </c>
      <c r="E4" s="189">
        <f>IF(Vendedor1!$C$20="",0,Vendedor1!$C$20)</f>
        <v>5000</v>
      </c>
      <c r="F4" s="78">
        <f>IF(Vendedor1!$E$20="",0,Vendedor1!$E$20)</f>
        <v>0</v>
      </c>
      <c r="H4" s="42">
        <f>+C4+E4</f>
        <v>10300</v>
      </c>
      <c r="I4" s="41">
        <f>MROUND(H4*Vendedor1!J$9,50)</f>
        <v>1350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8950</v>
      </c>
    </row>
    <row r="5" spans="1:14" x14ac:dyDescent="0.35">
      <c r="A5" s="47">
        <v>2</v>
      </c>
      <c r="B5" s="177" t="str">
        <f>Vendedor2!$B$2</f>
        <v>PUESTO 2</v>
      </c>
      <c r="C5" s="180">
        <f>IF(Vendedor2!$C$19="",0,Vendedor2!$C$19)</f>
        <v>8700</v>
      </c>
      <c r="D5" s="30">
        <f>IF(Vendedor2!$E$19="",0,Vendedor2!$E$19)</f>
        <v>0</v>
      </c>
      <c r="E5" s="180">
        <f>IF(Vendedor2!$C$20="",0,Vendedor2!$C$20)</f>
        <v>500</v>
      </c>
      <c r="F5" s="30">
        <f>IF(Vendedor2!$E$20="",0,Vendedor2!$E$20)</f>
        <v>0</v>
      </c>
      <c r="H5" s="42">
        <f t="shared" ref="H5:H31" si="1">+C5+E5</f>
        <v>9200</v>
      </c>
      <c r="I5" s="41">
        <f>MROUND(H5*Vendedor2!J$9,50)</f>
        <v>1200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8000</v>
      </c>
    </row>
    <row r="6" spans="1:14" x14ac:dyDescent="0.35">
      <c r="A6" s="47">
        <v>3</v>
      </c>
      <c r="B6" s="177" t="str">
        <f>Vendedor3!$B$2</f>
        <v>TABLET</v>
      </c>
      <c r="C6" s="180">
        <f>IF(Vendedor3!$C$19="",0,Vendedor3!$C$19)</f>
        <v>0</v>
      </c>
      <c r="D6" s="30">
        <f>IF(Vendedor3!$E$19="",0,Vendedor3!$E$19)</f>
        <v>0</v>
      </c>
      <c r="E6" s="180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80">
        <f>IF(Vendedor5!$C$19="",0,Vendedor5!$C$19)</f>
        <v>29800</v>
      </c>
      <c r="D8" s="30">
        <f>IF(Vendedor5!$E$19="",0,Vendedor5!$E$19)</f>
        <v>950</v>
      </c>
      <c r="E8" s="180">
        <f>IF(Vendedor5!$C$20="",0,Vendedor5!$C$20)</f>
        <v>8350</v>
      </c>
      <c r="F8" s="30">
        <f>IF(Vendedor5!$E$20="",0,Vendedor5!$E$20)</f>
        <v>0</v>
      </c>
      <c r="H8" s="133">
        <f t="shared" si="1"/>
        <v>38150</v>
      </c>
      <c r="I8" s="148">
        <f>MROUND(H8*Vendedor5!J$11,50)</f>
        <v>4600</v>
      </c>
      <c r="J8" s="133">
        <f t="shared" si="2"/>
        <v>950</v>
      </c>
      <c r="K8" s="133">
        <f t="shared" si="3"/>
        <v>80750</v>
      </c>
      <c r="L8" s="133">
        <f>Vendedor5!$F$19+Vendedor5!$F$20</f>
        <v>76000</v>
      </c>
      <c r="M8" s="155"/>
      <c r="N8" s="133">
        <f t="shared" si="0"/>
        <v>-42450</v>
      </c>
    </row>
    <row r="9" spans="1:14" x14ac:dyDescent="0.35">
      <c r="A9" s="203">
        <v>6</v>
      </c>
      <c r="B9" s="196" t="str">
        <f>Vendedor6!$B$2</f>
        <v>MARTA ROSA</v>
      </c>
      <c r="C9" s="180">
        <f>IF(Vendedor6!$C$19="",0,Vendedor6!$C$19)</f>
        <v>0</v>
      </c>
      <c r="D9" s="30">
        <f>IF(Vendedor6!$E$19="",0,Vendedor6!$E$19)</f>
        <v>0</v>
      </c>
      <c r="E9" s="180">
        <f>IF(Vendedor6!$C$20="",0,Vendedor6!$C$20)</f>
        <v>0</v>
      </c>
      <c r="F9" s="30">
        <f>IF(Vendedor6!$E$20="",0,Vendedor6!$E$20)</f>
        <v>0</v>
      </c>
      <c r="H9" s="133">
        <f t="shared" si="1"/>
        <v>0</v>
      </c>
      <c r="I9" s="148">
        <f>MROUND(H9*Vendedor6!J$11,50)</f>
        <v>0</v>
      </c>
      <c r="J9" s="133">
        <f t="shared" si="2"/>
        <v>0</v>
      </c>
      <c r="K9" s="133">
        <f t="shared" si="3"/>
        <v>0</v>
      </c>
      <c r="L9" s="133">
        <f>Vendedor6!$F$19+Vendedor6!$F$20</f>
        <v>0</v>
      </c>
      <c r="M9" s="155"/>
      <c r="N9" s="133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IF(Vendedor7!$C$19="",0,Vendedor7!$C$19)</f>
        <v>27150</v>
      </c>
      <c r="D10" s="30">
        <f>IF(Vendedor7!$E$19="",0,Vendedor7!$E$19)</f>
        <v>1000</v>
      </c>
      <c r="E10" s="180">
        <f>IF(Vendedor7!$C$20="",0,Vendedor7!$C$20)</f>
        <v>14750</v>
      </c>
      <c r="F10" s="30">
        <f>IF(Vendedor7!$E$20="",0,Vendedor7!$E$20)</f>
        <v>0</v>
      </c>
      <c r="H10" s="42">
        <f t="shared" si="1"/>
        <v>41900</v>
      </c>
      <c r="I10" s="41">
        <f>MROUND(H10*Vendedor7!J$14,50)</f>
        <v>5050</v>
      </c>
      <c r="J10" s="42">
        <f t="shared" si="2"/>
        <v>1000</v>
      </c>
      <c r="K10" s="42">
        <f t="shared" si="3"/>
        <v>85000</v>
      </c>
      <c r="L10" s="42">
        <f>Vendedor7!$F$19+Vendedor7!$F$20</f>
        <v>85000</v>
      </c>
      <c r="N10" s="42">
        <f t="shared" si="0"/>
        <v>-48150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3">
        <v>9</v>
      </c>
      <c r="B12" s="196" t="str">
        <f>Vendedor9!$B$2</f>
        <v>JUAN FELIX</v>
      </c>
      <c r="C12" s="180">
        <f>IF(Vendedor9!$C$19="",0,Vendedor9!$C$19)</f>
        <v>12550</v>
      </c>
      <c r="D12" s="30">
        <f>IF(Vendedor9!$E$19="",0,Vendedor9!$E$19)</f>
        <v>0</v>
      </c>
      <c r="E12" s="180">
        <f>IF(Vendedor9!$C$20="",0,Vendedor9!$C$20)</f>
        <v>0</v>
      </c>
      <c r="F12" s="30">
        <f>IF(Vendedor9!$E$20="",0,Vendedor9!$E$20)</f>
        <v>0</v>
      </c>
      <c r="H12" s="133">
        <f t="shared" si="1"/>
        <v>12550</v>
      </c>
      <c r="I12" s="148">
        <f>MROUND(H12*Vendedor9!J$11,50)</f>
        <v>1500</v>
      </c>
      <c r="J12" s="133">
        <f t="shared" si="2"/>
        <v>0</v>
      </c>
      <c r="K12" s="133">
        <f t="shared" si="3"/>
        <v>0</v>
      </c>
      <c r="L12" s="133">
        <f>Vendedor9!$F$19+Vendedor9!$F$20</f>
        <v>0</v>
      </c>
      <c r="M12" s="155"/>
      <c r="N12" s="133">
        <f t="shared" si="0"/>
        <v>11050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3">
        <v>13</v>
      </c>
      <c r="B16" s="196" t="str">
        <f>Vendedor13!$B$2</f>
        <v>MINERO</v>
      </c>
      <c r="C16" s="180">
        <f>IF(Vendedor13!$C$19="",0,Vendedor13!$C$19)</f>
        <v>3400</v>
      </c>
      <c r="D16" s="30">
        <f>IF(Vendedor13!$E$19="",0,Vendedor13!$E$19)</f>
        <v>0</v>
      </c>
      <c r="E16" s="180">
        <f>IF(Vendedor13!$C$20="",0,Vendedor13!$C$20)</f>
        <v>0</v>
      </c>
      <c r="F16" s="30">
        <f>IF(Vendedor13!$E$20="",0,Vendedor13!$E$20)</f>
        <v>0</v>
      </c>
      <c r="H16" s="133">
        <f t="shared" si="1"/>
        <v>3400</v>
      </c>
      <c r="I16" s="148">
        <f>MROUND(H16*Vendedor13!J$11,50)</f>
        <v>400</v>
      </c>
      <c r="J16" s="133">
        <f t="shared" si="2"/>
        <v>0</v>
      </c>
      <c r="K16" s="133">
        <f t="shared" si="3"/>
        <v>0</v>
      </c>
      <c r="L16" s="42">
        <f>Vendedor13!$F$19+Vendedor13!$F$20</f>
        <v>0</v>
      </c>
      <c r="M16" s="155"/>
      <c r="N16" s="133">
        <f t="shared" si="0"/>
        <v>3000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IF(Vendedor14!$C$19="",0,Vendedor14!$C$19)</f>
        <v>67100</v>
      </c>
      <c r="D17" s="30">
        <f>IF(Vendedor14!$E$19="",0,Vendedor14!$E$19)</f>
        <v>1900</v>
      </c>
      <c r="E17" s="180">
        <f>IF(Vendedor14!$C$20="",0,Vendedor14!$C$20)</f>
        <v>27250</v>
      </c>
      <c r="F17" s="30">
        <f>IF(Vendedor14!$E$20="",0,Vendedor14!$E$20)</f>
        <v>500</v>
      </c>
      <c r="H17" s="42">
        <f t="shared" si="1"/>
        <v>94350</v>
      </c>
      <c r="I17" s="41">
        <f>MROUND(H17*Vendedor14!J$15,50)</f>
        <v>11300</v>
      </c>
      <c r="J17" s="42">
        <f t="shared" si="2"/>
        <v>2400</v>
      </c>
      <c r="K17" s="42">
        <f t="shared" si="3"/>
        <v>204000</v>
      </c>
      <c r="L17" s="42">
        <f>Vendedor14!$F$19+Vendedor14!$F$20</f>
        <v>204000</v>
      </c>
      <c r="N17" s="42">
        <f t="shared" si="0"/>
        <v>-120950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IF(Vendedor15!$C$19="",0,Vendedor15!$C$19)</f>
        <v>58150</v>
      </c>
      <c r="D18" s="30">
        <f>IF(Vendedor15!$E$19="",0,Vendedor15!$E$19)</f>
        <v>300</v>
      </c>
      <c r="E18" s="180">
        <f>IF(Vendedor15!$C$20="",0,Vendedor15!$C$20)</f>
        <v>22450</v>
      </c>
      <c r="F18" s="30">
        <f>IF(Vendedor15!$E$20="",0,Vendedor15!$E$20)</f>
        <v>0</v>
      </c>
      <c r="H18" s="42">
        <f t="shared" si="1"/>
        <v>80600</v>
      </c>
      <c r="I18" s="41">
        <f>MROUND(H18*Vendedor15!J$15,50)</f>
        <v>9650</v>
      </c>
      <c r="J18" s="42">
        <f t="shared" si="2"/>
        <v>300</v>
      </c>
      <c r="K18" s="42">
        <f t="shared" si="3"/>
        <v>25500</v>
      </c>
      <c r="L18" s="42">
        <f>Vendedor15!$F$19+Vendedor15!$F$20</f>
        <v>25500</v>
      </c>
      <c r="N18" s="42">
        <f t="shared" si="0"/>
        <v>45450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IF(Vendedor24!$C$19="",0,Vendedor24!$C$19)</f>
        <v>0</v>
      </c>
      <c r="D27" s="50">
        <f>IF(Vendedor24!$E$19="",0,Vendedor24!$E$19)</f>
        <v>0</v>
      </c>
      <c r="E27" s="181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212150</v>
      </c>
      <c r="D32" s="44">
        <f>SUM(D4:D31)</f>
        <v>4150</v>
      </c>
      <c r="E32" s="43">
        <f>SUM(E4:E31)</f>
        <v>78300</v>
      </c>
      <c r="F32" s="44">
        <f>SUM(F4:F31)</f>
        <v>500</v>
      </c>
      <c r="H32" s="95">
        <f>SUM(H4:H31)</f>
        <v>290450</v>
      </c>
      <c r="I32" s="45">
        <f>SUM(I7:I31)</f>
        <v>32500</v>
      </c>
      <c r="J32" s="95"/>
      <c r="K32" s="95">
        <f>SUM(K4:K31)</f>
        <v>395250</v>
      </c>
      <c r="L32" s="95">
        <f>SUM(L4:L31)</f>
        <v>390500</v>
      </c>
      <c r="N32" s="79">
        <f>SUM(N4:N31)</f>
        <v>-135100</v>
      </c>
    </row>
    <row r="33" spans="3:6" x14ac:dyDescent="0.35">
      <c r="D33" s="99">
        <f>+D32*85</f>
        <v>352750</v>
      </c>
      <c r="F33" s="99">
        <f>+F32*85</f>
        <v>42500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290450</v>
      </c>
      <c r="E36" s="43">
        <f>+D36-H4-H5-H6</f>
        <v>270950</v>
      </c>
    </row>
    <row r="37" spans="3:6" x14ac:dyDescent="0.35">
      <c r="C37" s="47" t="s">
        <v>33</v>
      </c>
      <c r="D37" s="48">
        <f>D36*13%</f>
        <v>37758.5</v>
      </c>
      <c r="E37">
        <f>+D37-I4-I5-I6</f>
        <v>35208.5</v>
      </c>
    </row>
    <row r="38" spans="3:6" ht="15" thickBot="1" x14ac:dyDescent="0.4">
      <c r="C38" s="47" t="s">
        <v>30</v>
      </c>
      <c r="D38" s="30">
        <f>SUM(K4:K27)</f>
        <v>395250</v>
      </c>
    </row>
    <row r="39" spans="3:6" ht="15" thickBot="1" x14ac:dyDescent="0.4">
      <c r="C39" s="49" t="s">
        <v>4</v>
      </c>
      <c r="D39" s="80">
        <f>+D36-D37-D38</f>
        <v>-142558.5</v>
      </c>
      <c r="F39" s="98">
        <f>+N32-D39</f>
        <v>7458.5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-142558.5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scale="77" orientation="landscape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P43"/>
  <sheetViews>
    <sheetView showGridLines="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132</v>
      </c>
      <c r="D1" s="272"/>
      <c r="E1" s="271" t="s">
        <v>133</v>
      </c>
      <c r="F1" s="272"/>
      <c r="G1" s="271" t="s">
        <v>134</v>
      </c>
      <c r="H1" s="272"/>
    </row>
    <row r="2" spans="1:16" x14ac:dyDescent="0.35">
      <c r="C2" s="267">
        <f>DigitaHONDURAS!C2</f>
        <v>87</v>
      </c>
      <c r="D2" s="268"/>
      <c r="E2" s="267">
        <f>DigitaHONDURAS!E2</f>
        <v>60</v>
      </c>
      <c r="F2" s="268"/>
      <c r="G2" s="267">
        <f>DigitaHONDURAS!G2</f>
        <v>38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93"/>
      <c r="D4" s="83"/>
      <c r="E4" s="193"/>
      <c r="F4" s="83"/>
      <c r="G4" s="193"/>
      <c r="H4" s="83"/>
      <c r="J4" s="82">
        <f t="shared" ref="J4:J31" si="0">+C4+E4+G4</f>
        <v>0</v>
      </c>
      <c r="K4" s="129">
        <f>MROUND(J4*Vendedor1!J$9,50)</f>
        <v>0</v>
      </c>
      <c r="L4" s="82">
        <f t="shared" ref="L4:L31" si="1">+D4+F4+H4</f>
        <v>0</v>
      </c>
      <c r="M4" s="82">
        <f>+L4*85</f>
        <v>0</v>
      </c>
      <c r="N4" s="82"/>
      <c r="P4" s="42">
        <f t="shared" ref="P4:P31" si="2">+J4-K4-N4</f>
        <v>0</v>
      </c>
    </row>
    <row r="5" spans="1:16" x14ac:dyDescent="0.35">
      <c r="A5" s="41">
        <v>2</v>
      </c>
      <c r="B5" s="177" t="str">
        <f>Vendedor2!$B$2</f>
        <v>PUESTO 2</v>
      </c>
      <c r="C5" s="193"/>
      <c r="D5" s="83"/>
      <c r="E5" s="193"/>
      <c r="F5" s="83"/>
      <c r="G5" s="193"/>
      <c r="H5" s="83"/>
      <c r="J5" s="82">
        <f t="shared" si="0"/>
        <v>0</v>
      </c>
      <c r="K5" s="129">
        <f>MROUND(J5*Vendedor2!J$9,50)</f>
        <v>0</v>
      </c>
      <c r="L5" s="82">
        <f t="shared" si="1"/>
        <v>0</v>
      </c>
      <c r="M5" s="82">
        <f t="shared" ref="M5:M27" si="3">+L5*85</f>
        <v>0</v>
      </c>
      <c r="N5" s="82"/>
      <c r="P5" s="42">
        <f t="shared" si="2"/>
        <v>0</v>
      </c>
    </row>
    <row r="6" spans="1:16" x14ac:dyDescent="0.35">
      <c r="A6" s="41">
        <v>3</v>
      </c>
      <c r="B6" s="177" t="str">
        <f>Vendedor3!$B$2</f>
        <v>TABLET</v>
      </c>
      <c r="C6" s="193"/>
      <c r="D6" s="83"/>
      <c r="E6" s="193"/>
      <c r="F6" s="83"/>
      <c r="G6" s="193"/>
      <c r="H6" s="83"/>
      <c r="J6" s="82">
        <f t="shared" si="0"/>
        <v>0</v>
      </c>
      <c r="K6" s="129">
        <f>MROUND(J6*Vendedor3!J$9,50)</f>
        <v>0</v>
      </c>
      <c r="L6" s="82">
        <f t="shared" si="1"/>
        <v>0</v>
      </c>
      <c r="M6" s="82">
        <f t="shared" si="3"/>
        <v>0</v>
      </c>
      <c r="N6" s="82"/>
      <c r="P6" s="42">
        <f t="shared" si="2"/>
        <v>0</v>
      </c>
    </row>
    <row r="7" spans="1:16" x14ac:dyDescent="0.35">
      <c r="A7" s="41">
        <v>4</v>
      </c>
      <c r="B7" s="177" t="str">
        <f>Vendedor4!$B$2</f>
        <v>Nuevo 2</v>
      </c>
      <c r="C7" s="193"/>
      <c r="D7" s="83"/>
      <c r="E7" s="193"/>
      <c r="F7" s="83"/>
      <c r="G7" s="193"/>
      <c r="H7" s="83"/>
      <c r="J7" s="82">
        <f t="shared" si="0"/>
        <v>0</v>
      </c>
      <c r="K7" s="129">
        <f>MROUND(J7*Vendedor4!J$9,50)</f>
        <v>0</v>
      </c>
      <c r="L7" s="82">
        <f t="shared" si="1"/>
        <v>0</v>
      </c>
      <c r="M7" s="82">
        <f t="shared" si="3"/>
        <v>0</v>
      </c>
      <c r="N7" s="82"/>
      <c r="P7" s="42">
        <f t="shared" si="2"/>
        <v>0</v>
      </c>
    </row>
    <row r="8" spans="1:16" x14ac:dyDescent="0.35">
      <c r="A8" s="41">
        <v>5</v>
      </c>
      <c r="B8" s="177" t="str">
        <f>Vendedor5!$B$2</f>
        <v>YOYO</v>
      </c>
      <c r="C8" s="193"/>
      <c r="D8" s="83"/>
      <c r="E8" s="193"/>
      <c r="F8" s="83"/>
      <c r="G8" s="193"/>
      <c r="H8" s="83"/>
      <c r="J8" s="82">
        <f t="shared" si="0"/>
        <v>0</v>
      </c>
      <c r="K8" s="129">
        <f>MROUND(J8*Vendedor5!J$11,50)</f>
        <v>0</v>
      </c>
      <c r="L8" s="82">
        <f t="shared" si="1"/>
        <v>0</v>
      </c>
      <c r="M8" s="82">
        <f t="shared" si="3"/>
        <v>0</v>
      </c>
      <c r="N8" s="82"/>
      <c r="P8" s="42">
        <f t="shared" si="2"/>
        <v>0</v>
      </c>
    </row>
    <row r="9" spans="1:16" x14ac:dyDescent="0.35">
      <c r="A9" s="41">
        <v>6</v>
      </c>
      <c r="B9" s="178" t="str">
        <f>Vendedor6!$B$2</f>
        <v>MARTA ROSA</v>
      </c>
      <c r="C9" s="193"/>
      <c r="D9" s="83"/>
      <c r="E9" s="193"/>
      <c r="F9" s="83"/>
      <c r="G9" s="193"/>
      <c r="H9" s="83"/>
      <c r="J9" s="82">
        <f t="shared" si="0"/>
        <v>0</v>
      </c>
      <c r="K9" s="129">
        <f>MROUND(J9*Vendedor6!J$11,50)</f>
        <v>0</v>
      </c>
      <c r="L9" s="82">
        <f t="shared" si="1"/>
        <v>0</v>
      </c>
      <c r="M9" s="82">
        <f t="shared" si="3"/>
        <v>0</v>
      </c>
      <c r="N9" s="82"/>
      <c r="P9" s="42">
        <f t="shared" si="2"/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IF(Vendedor7!$C$21="",0,Vendedor7!$C$21)</f>
        <v>16650</v>
      </c>
      <c r="D10" s="30">
        <f>IF(Vendedor7!$E$21="",0,Vendedor7!$E$21)</f>
        <v>0</v>
      </c>
      <c r="E10" s="180">
        <f>IF(Vendedor7!$C$22="",0,Vendedor7!$C$22)</f>
        <v>3800</v>
      </c>
      <c r="F10" s="30">
        <f>IF(Vendedor7!$E$22="",0,Vendedor7!$E$22)</f>
        <v>0</v>
      </c>
      <c r="G10" s="180">
        <f>IF(Vendedor7!$C$23="",0,Vendedor7!$C$23)</f>
        <v>850</v>
      </c>
      <c r="H10" s="30">
        <f>IF(Vendedor7!$E$23="",0,Vendedor7!$E$23)</f>
        <v>0</v>
      </c>
      <c r="J10" s="42">
        <f t="shared" si="0"/>
        <v>21300</v>
      </c>
      <c r="K10" s="41">
        <f>MROUND(J10*Vendedor7!J$14,50)</f>
        <v>2550</v>
      </c>
      <c r="L10" s="42">
        <f t="shared" si="1"/>
        <v>0</v>
      </c>
      <c r="M10" s="42">
        <f t="shared" si="3"/>
        <v>0</v>
      </c>
      <c r="N10" s="42">
        <f>Vendedor7!$F$21+Vendedor7!$F$22+Vendedor7!$F$23</f>
        <v>0</v>
      </c>
      <c r="P10" s="42">
        <f t="shared" si="2"/>
        <v>18750</v>
      </c>
    </row>
    <row r="11" spans="1:16" x14ac:dyDescent="0.35">
      <c r="A11" s="41">
        <v>8</v>
      </c>
      <c r="B11" s="178" t="str">
        <f>Vendedor8!$B$2</f>
        <v>ISA</v>
      </c>
      <c r="C11" s="193"/>
      <c r="D11" s="83"/>
      <c r="E11" s="193"/>
      <c r="F11" s="83"/>
      <c r="G11" s="193"/>
      <c r="H11" s="83"/>
      <c r="J11" s="82">
        <f t="shared" si="0"/>
        <v>0</v>
      </c>
      <c r="K11" s="129">
        <f>MROUND(J11*Vendedor8!J$11,50)</f>
        <v>0</v>
      </c>
      <c r="L11" s="82">
        <f t="shared" si="1"/>
        <v>0</v>
      </c>
      <c r="M11" s="82">
        <f t="shared" si="3"/>
        <v>0</v>
      </c>
      <c r="N11" s="82"/>
      <c r="P11" s="42">
        <f t="shared" si="2"/>
        <v>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IF(Vendedor9!$C$21="",0,Vendedor9!$C$21)</f>
        <v>0</v>
      </c>
      <c r="D12" s="30">
        <f>IF(Vendedor9!$E$21="",0,Vendedor9!$E$21)</f>
        <v>0</v>
      </c>
      <c r="E12" s="180">
        <f>IF(Vendedor9!$C$22="",0,Vendedor9!$C$22)</f>
        <v>0</v>
      </c>
      <c r="F12" s="30">
        <f>IF(Vendedor9!$E$22="",0,Vendedor9!$E$22)</f>
        <v>0</v>
      </c>
      <c r="G12" s="180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0</v>
      </c>
      <c r="K12" s="41">
        <f>MROUND(J12*Vendedor9!J$14,50)</f>
        <v>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0</v>
      </c>
    </row>
    <row r="13" spans="1:16" x14ac:dyDescent="0.35">
      <c r="A13" s="41">
        <v>10</v>
      </c>
      <c r="B13" s="178" t="str">
        <f>Vendedor10!$B$2</f>
        <v>MARIALIZ</v>
      </c>
      <c r="C13" s="193"/>
      <c r="D13" s="83"/>
      <c r="E13" s="193"/>
      <c r="F13" s="83"/>
      <c r="G13" s="193"/>
      <c r="H13" s="83"/>
      <c r="J13" s="82">
        <f t="shared" si="0"/>
        <v>0</v>
      </c>
      <c r="K13" s="129">
        <f>MROUND(J13*Vendedor10!J$9,50)</f>
        <v>0</v>
      </c>
      <c r="L13" s="82">
        <f t="shared" si="1"/>
        <v>0</v>
      </c>
      <c r="M13" s="82">
        <f t="shared" si="3"/>
        <v>0</v>
      </c>
      <c r="N13" s="82"/>
      <c r="P13" s="42">
        <f t="shared" si="2"/>
        <v>0</v>
      </c>
    </row>
    <row r="14" spans="1:16" x14ac:dyDescent="0.35">
      <c r="A14" s="41">
        <v>11</v>
      </c>
      <c r="B14" s="178" t="str">
        <f>Vendedor11!$B$2</f>
        <v>CHARLY</v>
      </c>
      <c r="C14" s="193"/>
      <c r="D14" s="83"/>
      <c r="E14" s="193"/>
      <c r="F14" s="83"/>
      <c r="G14" s="193"/>
      <c r="H14" s="83"/>
      <c r="J14" s="82">
        <f t="shared" si="0"/>
        <v>0</v>
      </c>
      <c r="K14" s="129">
        <f>MROUND(J14*Vendedor11!J$9,50)</f>
        <v>0</v>
      </c>
      <c r="L14" s="82">
        <f t="shared" si="1"/>
        <v>0</v>
      </c>
      <c r="M14" s="82">
        <f t="shared" si="3"/>
        <v>0</v>
      </c>
      <c r="N14" s="82"/>
      <c r="P14" s="42">
        <f t="shared" si="2"/>
        <v>0</v>
      </c>
    </row>
    <row r="15" spans="1:16" x14ac:dyDescent="0.35">
      <c r="A15" s="41">
        <v>12</v>
      </c>
      <c r="B15" s="178" t="str">
        <f>Vendedor12!$B$2</f>
        <v>LAURY</v>
      </c>
      <c r="C15" s="193"/>
      <c r="D15" s="83"/>
      <c r="E15" s="193"/>
      <c r="F15" s="83"/>
      <c r="G15" s="193"/>
      <c r="H15" s="83"/>
      <c r="J15" s="82">
        <f t="shared" si="0"/>
        <v>0</v>
      </c>
      <c r="K15" s="129">
        <f>MROUND(J15*Vendedor12!J$9,50)</f>
        <v>0</v>
      </c>
      <c r="L15" s="82">
        <f t="shared" si="1"/>
        <v>0</v>
      </c>
      <c r="M15" s="82">
        <f t="shared" si="3"/>
        <v>0</v>
      </c>
      <c r="N15" s="82"/>
      <c r="P15" s="42">
        <f t="shared" si="2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IF(Vendedor13!$C$21="",0,Vendedor13!$C$21)</f>
        <v>0</v>
      </c>
      <c r="D16" s="30">
        <f>IF(Vendedor13!$E$21="",0,Vendedor13!$E$21)</f>
        <v>0</v>
      </c>
      <c r="E16" s="180">
        <f>IF(Vendedor13!$C$22="",0,Vendedor13!$C$22)</f>
        <v>0</v>
      </c>
      <c r="F16" s="30">
        <f>IF(Vendedor13!$E$22="",0,Vendedor13!$E$22)</f>
        <v>0</v>
      </c>
      <c r="G16" s="180">
        <f>IF(Vendedor13!$C$23="",0,Vendedor13!$C$23)</f>
        <v>10000</v>
      </c>
      <c r="H16" s="30">
        <f>IF(Vendedor13!$E$23="",0,Vendedor13!$E$23)</f>
        <v>0</v>
      </c>
      <c r="J16" s="133">
        <f t="shared" si="0"/>
        <v>10000</v>
      </c>
      <c r="K16" s="148">
        <f>MROUND(J16*Vendedor13!J$11,50)</f>
        <v>1200</v>
      </c>
      <c r="L16" s="133">
        <f t="shared" si="1"/>
        <v>0</v>
      </c>
      <c r="M16" s="133">
        <f t="shared" si="3"/>
        <v>0</v>
      </c>
      <c r="N16" s="133"/>
      <c r="P16" s="42">
        <f t="shared" si="2"/>
        <v>8800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IF(Vendedor14!$C$21="",0,Vendedor14!$C$21)</f>
        <v>39200</v>
      </c>
      <c r="D17" s="30">
        <f>IF(Vendedor14!$E$21="",0,Vendedor14!$E$21)</f>
        <v>0</v>
      </c>
      <c r="E17" s="180">
        <f>IF(Vendedor14!$C$22="",0,Vendedor14!$C$22)</f>
        <v>3500</v>
      </c>
      <c r="F17" s="30">
        <f>IF(Vendedor14!$E$22="",0,Vendedor14!$E$22)</f>
        <v>0</v>
      </c>
      <c r="G17" s="180">
        <f>IF(Vendedor14!$C$23="",0,Vendedor14!$C$23)</f>
        <v>16300</v>
      </c>
      <c r="H17" s="30">
        <f>IF(Vendedor14!$E$23="",0,Vendedor14!$E$23)</f>
        <v>200</v>
      </c>
      <c r="J17" s="42">
        <f t="shared" si="0"/>
        <v>59000</v>
      </c>
      <c r="K17" s="41">
        <f>MROUND(J17*Vendedor14!J$15,50)</f>
        <v>7100</v>
      </c>
      <c r="L17" s="42">
        <f t="shared" si="1"/>
        <v>200</v>
      </c>
      <c r="M17" s="42">
        <f t="shared" si="3"/>
        <v>17000</v>
      </c>
      <c r="N17" s="42">
        <f>Vendedor14!$F$21+Vendedor14!$F$22+Vendedor14!$F$23</f>
        <v>17000</v>
      </c>
      <c r="P17" s="42">
        <f t="shared" si="2"/>
        <v>34900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IF(Vendedor15!$C$21="",0,Vendedor15!$C$21)</f>
        <v>7000</v>
      </c>
      <c r="D18" s="30">
        <f>IF(Vendedor15!$E$21="",0,Vendedor15!$E$21)</f>
        <v>0</v>
      </c>
      <c r="E18" s="180">
        <f>IF(Vendedor15!$C$22="",0,Vendedor15!$C$22)</f>
        <v>16700</v>
      </c>
      <c r="F18" s="30">
        <f>IF(Vendedor15!$E$22="",0,Vendedor15!$E$22)</f>
        <v>150</v>
      </c>
      <c r="G18" s="180">
        <f>IF(Vendedor15!$C$23="",0,Vendedor15!$C$23)</f>
        <v>0</v>
      </c>
      <c r="H18" s="30">
        <f>IF(Vendedor15!$E$23="",0,Vendedor15!$E$23)</f>
        <v>0</v>
      </c>
      <c r="J18" s="42">
        <f t="shared" si="0"/>
        <v>23700</v>
      </c>
      <c r="K18" s="41">
        <f>MROUND(J18*Vendedor15!J$15,50)</f>
        <v>2850</v>
      </c>
      <c r="L18" s="42">
        <f t="shared" si="1"/>
        <v>150</v>
      </c>
      <c r="M18" s="42">
        <f t="shared" si="3"/>
        <v>12750</v>
      </c>
      <c r="N18" s="42">
        <f>Vendedor15!$F$21+Vendedor15!$F$22+Vendedor15!$F$23</f>
        <v>12750</v>
      </c>
      <c r="P18" s="42">
        <f t="shared" si="2"/>
        <v>8100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IF(Vendedor24!$C$21="",0,Vendedor24!$C$21)</f>
        <v>0</v>
      </c>
      <c r="D27" s="50">
        <f>IF(Vendedor24!$E$21="",0,Vendedor24!$E$21)</f>
        <v>0</v>
      </c>
      <c r="E27" s="181">
        <f>IF(Vendedor24!$C$22="",0,Vendedor24!$C$22)</f>
        <v>0</v>
      </c>
      <c r="F27" s="50">
        <f>IF(Vendedor24!$E$22="",0,Vendedor24!$E$22)</f>
        <v>0</v>
      </c>
      <c r="G27" s="181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62850</v>
      </c>
      <c r="D32" s="44">
        <f t="shared" si="8"/>
        <v>0</v>
      </c>
      <c r="E32" s="43">
        <f t="shared" si="8"/>
        <v>24000</v>
      </c>
      <c r="F32" s="44">
        <f t="shared" si="8"/>
        <v>150</v>
      </c>
      <c r="G32" s="43">
        <f t="shared" si="8"/>
        <v>27150</v>
      </c>
      <c r="H32" s="44">
        <f t="shared" si="8"/>
        <v>200</v>
      </c>
      <c r="J32" s="95">
        <f>SUM(J4:J31)</f>
        <v>114000</v>
      </c>
      <c r="K32" s="45">
        <f>SUM(K7:K31)</f>
        <v>13700</v>
      </c>
      <c r="L32" s="95"/>
      <c r="M32" s="95">
        <f>SUM(M4:M31)</f>
        <v>29750</v>
      </c>
      <c r="N32" s="95">
        <f>SUM(N4:N31)</f>
        <v>29750</v>
      </c>
      <c r="P32" s="79">
        <f>SUM(P4:P31)</f>
        <v>70550</v>
      </c>
    </row>
    <row r="33" spans="3:8" x14ac:dyDescent="0.35">
      <c r="D33" s="99">
        <f>+D32*85</f>
        <v>0</v>
      </c>
      <c r="F33" s="99">
        <f>+F32*85</f>
        <v>12750</v>
      </c>
      <c r="H33" s="99">
        <f>+H32*85</f>
        <v>17000</v>
      </c>
    </row>
    <row r="34" spans="3:8" ht="15" thickBot="1" x14ac:dyDescent="0.4"/>
    <row r="35" spans="3:8" x14ac:dyDescent="0.35">
      <c r="C35" s="266" t="s">
        <v>89</v>
      </c>
      <c r="D35" s="266"/>
    </row>
    <row r="36" spans="3:8" x14ac:dyDescent="0.35">
      <c r="C36" s="47" t="s">
        <v>28</v>
      </c>
      <c r="D36" s="30">
        <f>+C32+E32+G32</f>
        <v>114000</v>
      </c>
      <c r="E36" s="43">
        <f>+D36-J4-J5-J6</f>
        <v>114000</v>
      </c>
    </row>
    <row r="37" spans="3:8" x14ac:dyDescent="0.35">
      <c r="C37" s="47" t="s">
        <v>33</v>
      </c>
      <c r="D37" s="48">
        <f>D36*13%</f>
        <v>14820</v>
      </c>
      <c r="E37">
        <f>+D37-K4-K5-K6</f>
        <v>14820</v>
      </c>
    </row>
    <row r="38" spans="3:8" ht="15" thickBot="1" x14ac:dyDescent="0.4">
      <c r="C38" s="47" t="s">
        <v>30</v>
      </c>
      <c r="D38" s="30">
        <f>SUM(M4:M27)</f>
        <v>29750</v>
      </c>
      <c r="G38" s="100"/>
    </row>
    <row r="39" spans="3:8" ht="15" thickBot="1" x14ac:dyDescent="0.4">
      <c r="C39" s="49" t="s">
        <v>4</v>
      </c>
      <c r="D39" s="80">
        <f>+D36-D37-D38</f>
        <v>69430</v>
      </c>
      <c r="F39" s="98">
        <f>+P32-D39</f>
        <v>1120</v>
      </c>
      <c r="G39" s="101"/>
    </row>
    <row r="40" spans="3:8" ht="15" thickBot="1" x14ac:dyDescent="0.4">
      <c r="G40" s="100"/>
    </row>
    <row r="41" spans="3:8" x14ac:dyDescent="0.35">
      <c r="C41" s="104" t="s">
        <v>78</v>
      </c>
      <c r="D41" s="105">
        <v>0</v>
      </c>
      <c r="G41" s="100"/>
    </row>
    <row r="42" spans="3:8" x14ac:dyDescent="0.35">
      <c r="C42" s="106" t="s">
        <v>80</v>
      </c>
      <c r="D42" s="107">
        <v>0</v>
      </c>
      <c r="G42" s="100"/>
    </row>
    <row r="43" spans="3:8" ht="15" thickBot="1" x14ac:dyDescent="0.4">
      <c r="C43" s="108" t="s">
        <v>79</v>
      </c>
      <c r="D43" s="109">
        <f>+D39+D41+D42</f>
        <v>69430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scale="70" orientation="landscape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114</v>
      </c>
      <c r="D1" s="272"/>
      <c r="E1" s="271" t="s">
        <v>115</v>
      </c>
      <c r="F1" s="272"/>
    </row>
    <row r="2" spans="1:14" x14ac:dyDescent="0.35">
      <c r="C2" s="267">
        <f>DigitaDOMINICANA!C2</f>
        <v>48</v>
      </c>
      <c r="D2" s="268"/>
      <c r="E2" s="267">
        <f>DigitaDOMINICANA!E2</f>
        <v>88</v>
      </c>
      <c r="F2" s="268"/>
    </row>
    <row r="3" spans="1:14" ht="15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4">
        <v>1</v>
      </c>
      <c r="B4" s="205" t="str">
        <f>Vendedor1!$B$2</f>
        <v>VENTANA</v>
      </c>
      <c r="C4" s="197"/>
      <c r="D4" s="198"/>
      <c r="E4" s="197"/>
      <c r="F4" s="198"/>
      <c r="H4" s="82">
        <f>+C4+E4</f>
        <v>0</v>
      </c>
      <c r="I4" s="129">
        <f>MROUND(H4*Vendedor1!J$9,50)</f>
        <v>0</v>
      </c>
      <c r="J4" s="82">
        <f>+D4+F4</f>
        <v>0</v>
      </c>
      <c r="K4" s="82">
        <f>+J4*85</f>
        <v>0</v>
      </c>
      <c r="L4" s="82"/>
      <c r="M4" s="130"/>
      <c r="N4" s="82">
        <f t="shared" ref="N4:N31" si="0">+H4-I4-L4</f>
        <v>0</v>
      </c>
    </row>
    <row r="5" spans="1:14" x14ac:dyDescent="0.35">
      <c r="A5" s="202">
        <v>2</v>
      </c>
      <c r="B5" s="200" t="str">
        <f>Vendedor2!$B$2</f>
        <v>PUESTO 2</v>
      </c>
      <c r="C5" s="193"/>
      <c r="D5" s="83"/>
      <c r="E5" s="193"/>
      <c r="F5" s="83"/>
      <c r="H5" s="82">
        <f t="shared" ref="H5:H31" si="1">+C5+E5</f>
        <v>0</v>
      </c>
      <c r="I5" s="129">
        <f>MROUND(H5*Vendedor2!J$9,50)</f>
        <v>0</v>
      </c>
      <c r="J5" s="82">
        <f t="shared" ref="J5:J31" si="2">+D5+F5</f>
        <v>0</v>
      </c>
      <c r="K5" s="82">
        <f t="shared" ref="K5:K27" si="3">+J5*85</f>
        <v>0</v>
      </c>
      <c r="L5" s="82"/>
      <c r="M5" s="130"/>
      <c r="N5" s="82">
        <f t="shared" si="0"/>
        <v>0</v>
      </c>
    </row>
    <row r="6" spans="1:14" x14ac:dyDescent="0.35">
      <c r="A6" s="202">
        <v>3</v>
      </c>
      <c r="B6" s="200" t="str">
        <f>Vendedor3!$B$2</f>
        <v>TABLET</v>
      </c>
      <c r="C6" s="193"/>
      <c r="D6" s="83"/>
      <c r="E6" s="193"/>
      <c r="F6" s="83"/>
      <c r="H6" s="82">
        <f t="shared" si="1"/>
        <v>0</v>
      </c>
      <c r="I6" s="129">
        <f>MROUND(H6*Vendedor3!J$9,50)</f>
        <v>0</v>
      </c>
      <c r="J6" s="82">
        <f t="shared" si="2"/>
        <v>0</v>
      </c>
      <c r="K6" s="82">
        <f t="shared" si="3"/>
        <v>0</v>
      </c>
      <c r="L6" s="82"/>
      <c r="M6" s="130"/>
      <c r="N6" s="8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2">
        <v>5</v>
      </c>
      <c r="B8" s="200" t="str">
        <f>Vendedor5!$B$2</f>
        <v>YOYO</v>
      </c>
      <c r="C8" s="193"/>
      <c r="D8" s="83"/>
      <c r="E8" s="193"/>
      <c r="F8" s="83"/>
      <c r="H8" s="82">
        <f t="shared" si="1"/>
        <v>0</v>
      </c>
      <c r="I8" s="129">
        <f>MROUND(H8*Vendedor5!J$11,50)</f>
        <v>0</v>
      </c>
      <c r="J8" s="82">
        <f t="shared" si="2"/>
        <v>0</v>
      </c>
      <c r="K8" s="82">
        <f t="shared" si="3"/>
        <v>0</v>
      </c>
      <c r="L8" s="82"/>
      <c r="M8" s="130"/>
      <c r="N8" s="82">
        <f t="shared" si="0"/>
        <v>0</v>
      </c>
    </row>
    <row r="9" spans="1:14" x14ac:dyDescent="0.35">
      <c r="A9" s="202">
        <v>6</v>
      </c>
      <c r="B9" s="192" t="str">
        <f>Vendedor6!$B$2</f>
        <v>MARTA ROSA</v>
      </c>
      <c r="C9" s="193"/>
      <c r="D9" s="83"/>
      <c r="E9" s="193"/>
      <c r="F9" s="83"/>
      <c r="H9" s="82">
        <f t="shared" si="1"/>
        <v>0</v>
      </c>
      <c r="I9" s="129">
        <f>MROUND(H9*Vendedor6!J$11,50)</f>
        <v>0</v>
      </c>
      <c r="J9" s="82">
        <f t="shared" si="2"/>
        <v>0</v>
      </c>
      <c r="K9" s="82">
        <f t="shared" si="3"/>
        <v>0</v>
      </c>
      <c r="L9" s="82"/>
      <c r="M9" s="130"/>
      <c r="N9" s="82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IF(Vendedor7!$C$24="",0,Vendedor7!$C$24)</f>
        <v>34500</v>
      </c>
      <c r="D10" s="30">
        <f>IF(Vendedor7!$E$24="",0,Vendedor7!$E$24)</f>
        <v>500</v>
      </c>
      <c r="E10" s="180">
        <f>IF(Vendedor7!$C$25="",0,Vendedor7!$C$25)</f>
        <v>38000</v>
      </c>
      <c r="F10" s="30">
        <f>IF(Vendedor7!$E$25="",0,Vendedor7!$E$25)</f>
        <v>1000</v>
      </c>
      <c r="H10" s="42">
        <f t="shared" si="1"/>
        <v>72500</v>
      </c>
      <c r="I10" s="41">
        <f>MROUND(H10*Vendedor7!J$14,50)</f>
        <v>8700</v>
      </c>
      <c r="J10" s="42">
        <f t="shared" si="2"/>
        <v>1500</v>
      </c>
      <c r="K10" s="42">
        <f t="shared" si="3"/>
        <v>127500</v>
      </c>
      <c r="L10" s="42">
        <f>Vendedor7!$F$24+Vendedor7!$F$25</f>
        <v>127500</v>
      </c>
      <c r="N10" s="42">
        <f t="shared" si="0"/>
        <v>-63700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2">
        <v>9</v>
      </c>
      <c r="B12" s="192" t="str">
        <f>Vendedor9!$B$2</f>
        <v>JUAN FELIX</v>
      </c>
      <c r="C12" s="193"/>
      <c r="D12" s="83"/>
      <c r="E12" s="193"/>
      <c r="F12" s="83"/>
      <c r="H12" s="82">
        <f t="shared" si="1"/>
        <v>0</v>
      </c>
      <c r="I12" s="129">
        <f>MROUND(H12*Vendedor9!J$11,50)</f>
        <v>0</v>
      </c>
      <c r="J12" s="82">
        <f t="shared" si="2"/>
        <v>0</v>
      </c>
      <c r="K12" s="82">
        <f t="shared" si="3"/>
        <v>0</v>
      </c>
      <c r="L12" s="82"/>
      <c r="M12" s="130"/>
      <c r="N12" s="82">
        <f t="shared" si="0"/>
        <v>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2">
        <v>13</v>
      </c>
      <c r="B16" s="192" t="str">
        <f>Vendedor13!$B$2</f>
        <v>MINERO</v>
      </c>
      <c r="C16" s="193"/>
      <c r="D16" s="83"/>
      <c r="E16" s="193"/>
      <c r="F16" s="83"/>
      <c r="H16" s="82">
        <f t="shared" si="1"/>
        <v>0</v>
      </c>
      <c r="I16" s="129">
        <f>MROUND(H16*Vendedor13!J$11,50)</f>
        <v>0</v>
      </c>
      <c r="J16" s="82">
        <f t="shared" si="2"/>
        <v>0</v>
      </c>
      <c r="K16" s="82">
        <f t="shared" si="3"/>
        <v>0</v>
      </c>
      <c r="L16" s="82"/>
      <c r="M16" s="130"/>
      <c r="N16" s="82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IF(Vendedor14!$C$24="",0,Vendedor14!$C$24)</f>
        <v>0</v>
      </c>
      <c r="D17" s="30">
        <f>IF(Vendedor14!$E$24="",0,Vendedor14!$E$24)</f>
        <v>0</v>
      </c>
      <c r="E17" s="180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IF(Vendedor15!$C$24="",0,Vendedor15!$C$24)</f>
        <v>0</v>
      </c>
      <c r="D18" s="30">
        <f>IF(Vendedor15!$E$24="",0,Vendedor15!$E$24)</f>
        <v>0</v>
      </c>
      <c r="E18" s="180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IF(Vendedor24!$C$24="",0,Vendedor24!$C$24)</f>
        <v>0</v>
      </c>
      <c r="D27" s="50">
        <f>IF(Vendedor24!$E$24="",0,Vendedor24!$E$24)</f>
        <v>0</v>
      </c>
      <c r="E27" s="181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34500</v>
      </c>
      <c r="D32" s="44">
        <f>SUM(D4:D31)</f>
        <v>500</v>
      </c>
      <c r="E32" s="43">
        <f>SUM(E4:E31)</f>
        <v>38000</v>
      </c>
      <c r="F32" s="44">
        <f>SUM(F4:F31)</f>
        <v>1000</v>
      </c>
      <c r="H32" s="95">
        <f>SUM(H4:H31)</f>
        <v>72500</v>
      </c>
      <c r="I32" s="45">
        <f>SUM(I7:I31)</f>
        <v>8700</v>
      </c>
      <c r="J32" s="95"/>
      <c r="K32" s="95">
        <f>SUM(K4:K31)</f>
        <v>127500</v>
      </c>
      <c r="L32" s="95">
        <f>SUM(L4:L31)</f>
        <v>127500</v>
      </c>
      <c r="N32" s="79">
        <f>SUM(N4:N31)</f>
        <v>-63700</v>
      </c>
    </row>
    <row r="33" spans="3:6" x14ac:dyDescent="0.35">
      <c r="D33" s="99">
        <f>+D32*85</f>
        <v>42500</v>
      </c>
      <c r="F33" s="99">
        <f>+F32*85</f>
        <v>85000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72500</v>
      </c>
      <c r="E36" s="43">
        <f>+D36-H4-H5-H6</f>
        <v>72500</v>
      </c>
    </row>
    <row r="37" spans="3:6" x14ac:dyDescent="0.35">
      <c r="C37" s="47" t="s">
        <v>33</v>
      </c>
      <c r="D37" s="48">
        <f>D36*13%</f>
        <v>9425</v>
      </c>
      <c r="E37">
        <f>+D37-I4-I5-I6</f>
        <v>9425</v>
      </c>
    </row>
    <row r="38" spans="3:6" ht="15" thickBot="1" x14ac:dyDescent="0.4">
      <c r="C38" s="47" t="s">
        <v>30</v>
      </c>
      <c r="D38" s="30">
        <f>SUM(K4:K27)</f>
        <v>127500</v>
      </c>
    </row>
    <row r="39" spans="3:6" ht="15" thickBot="1" x14ac:dyDescent="0.4">
      <c r="C39" s="49" t="s">
        <v>4</v>
      </c>
      <c r="D39" s="80">
        <f>+D36-D37-D38</f>
        <v>-64425</v>
      </c>
      <c r="F39" s="98">
        <f>+N32-D39</f>
        <v>725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-64425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82" orientation="landscape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49"/>
  <dimension ref="A1:L43"/>
  <sheetViews>
    <sheetView showGridLines="0" topLeftCell="A11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4" width="12.54296875" customWidth="1"/>
    <col min="5" max="5" width="3.54296875" customWidth="1"/>
    <col min="6" max="8" width="12.5429687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79" t="s">
        <v>19</v>
      </c>
      <c r="B1" s="79"/>
      <c r="C1" s="271" t="s">
        <v>109</v>
      </c>
      <c r="D1" s="272"/>
    </row>
    <row r="2" spans="1:12" x14ac:dyDescent="0.35">
      <c r="C2" s="267" t="str">
        <f>DigitaPANAMENA!C2</f>
        <v/>
      </c>
      <c r="D2" s="268"/>
    </row>
    <row r="3" spans="1:12" ht="15" thickBot="1" x14ac:dyDescent="0.4">
      <c r="C3" s="267"/>
      <c r="D3" s="268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4">
        <v>1</v>
      </c>
      <c r="B4" s="205" t="str">
        <f>Vendedor1!$B$2</f>
        <v>VENTANA</v>
      </c>
      <c r="C4" s="197"/>
      <c r="D4" s="198"/>
      <c r="F4" s="82">
        <f>+C4</f>
        <v>0</v>
      </c>
      <c r="G4" s="129">
        <f>MROUND(F4*Vendedor1!J$9,50)</f>
        <v>0</v>
      </c>
      <c r="H4" s="82">
        <f>+D4</f>
        <v>0</v>
      </c>
      <c r="I4" s="82">
        <f>+H4*85</f>
        <v>0</v>
      </c>
      <c r="J4" s="82"/>
      <c r="K4" s="130"/>
      <c r="L4" s="82">
        <f t="shared" ref="L4:L31" si="0">+F4-G4-J4</f>
        <v>0</v>
      </c>
    </row>
    <row r="5" spans="1:12" x14ac:dyDescent="0.35">
      <c r="A5" s="202">
        <v>2</v>
      </c>
      <c r="B5" s="200" t="str">
        <f>Vendedor2!$B$2</f>
        <v>PUESTO 2</v>
      </c>
      <c r="C5" s="193"/>
      <c r="D5" s="83"/>
      <c r="F5" s="82">
        <f t="shared" ref="F5:F27" si="1">+C5</f>
        <v>0</v>
      </c>
      <c r="G5" s="129">
        <f>MROUND(F5*Vendedor2!J$9,50)</f>
        <v>0</v>
      </c>
      <c r="H5" s="82">
        <f t="shared" ref="H5:H27" si="2">+D5</f>
        <v>0</v>
      </c>
      <c r="I5" s="82">
        <f t="shared" ref="I5:I27" si="3">+H5*85</f>
        <v>0</v>
      </c>
      <c r="J5" s="82"/>
      <c r="K5" s="130"/>
      <c r="L5" s="82">
        <f t="shared" si="0"/>
        <v>0</v>
      </c>
    </row>
    <row r="6" spans="1:12" x14ac:dyDescent="0.35">
      <c r="A6" s="202">
        <v>3</v>
      </c>
      <c r="B6" s="200" t="str">
        <f>Vendedor3!$B$2</f>
        <v>TABLET</v>
      </c>
      <c r="C6" s="193"/>
      <c r="D6" s="83"/>
      <c r="F6" s="82">
        <f t="shared" si="1"/>
        <v>0</v>
      </c>
      <c r="G6" s="129">
        <f>MROUND(F6*Vendedor3!J$9,50)</f>
        <v>0</v>
      </c>
      <c r="H6" s="82">
        <f t="shared" si="2"/>
        <v>0</v>
      </c>
      <c r="I6" s="82">
        <f t="shared" si="3"/>
        <v>0</v>
      </c>
      <c r="J6" s="82"/>
      <c r="K6" s="130"/>
      <c r="L6" s="82">
        <f t="shared" si="0"/>
        <v>0</v>
      </c>
    </row>
    <row r="7" spans="1:12" x14ac:dyDescent="0.35">
      <c r="A7" s="202">
        <v>4</v>
      </c>
      <c r="B7" s="200" t="str">
        <f>Vendedor4!$B$2</f>
        <v>Nuevo 2</v>
      </c>
      <c r="C7" s="193"/>
      <c r="D7" s="83"/>
      <c r="F7" s="82">
        <f t="shared" si="1"/>
        <v>0</v>
      </c>
      <c r="G7" s="129">
        <f>MROUND(F7*Vendedor4!J$9,50)</f>
        <v>0</v>
      </c>
      <c r="H7" s="82">
        <f t="shared" si="2"/>
        <v>0</v>
      </c>
      <c r="I7" s="82">
        <f t="shared" si="3"/>
        <v>0</v>
      </c>
      <c r="J7" s="82"/>
      <c r="K7" s="130"/>
      <c r="L7" s="82">
        <f t="shared" si="0"/>
        <v>0</v>
      </c>
    </row>
    <row r="8" spans="1:12" x14ac:dyDescent="0.35">
      <c r="A8" s="202">
        <v>5</v>
      </c>
      <c r="B8" s="200" t="str">
        <f>Vendedor5!$B$2</f>
        <v>YOYO</v>
      </c>
      <c r="C8" s="193"/>
      <c r="D8" s="83"/>
      <c r="F8" s="82">
        <f t="shared" si="1"/>
        <v>0</v>
      </c>
      <c r="G8" s="129">
        <f>MROUND(F8*Vendedor5!J$11,50)</f>
        <v>0</v>
      </c>
      <c r="H8" s="82">
        <f t="shared" si="2"/>
        <v>0</v>
      </c>
      <c r="I8" s="82">
        <f t="shared" si="3"/>
        <v>0</v>
      </c>
      <c r="J8" s="82"/>
      <c r="K8" s="130"/>
      <c r="L8" s="82">
        <f t="shared" si="0"/>
        <v>0</v>
      </c>
    </row>
    <row r="9" spans="1:12" x14ac:dyDescent="0.35">
      <c r="A9" s="202">
        <v>6</v>
      </c>
      <c r="B9" s="192" t="str">
        <f>Vendedor6!$B$2</f>
        <v>MARTA ROSA</v>
      </c>
      <c r="C9" s="193"/>
      <c r="D9" s="83"/>
      <c r="F9" s="82">
        <f t="shared" si="1"/>
        <v>0</v>
      </c>
      <c r="G9" s="129">
        <f>MROUND(F9*Vendedor6!J$11,50)</f>
        <v>0</v>
      </c>
      <c r="H9" s="82">
        <f t="shared" si="2"/>
        <v>0</v>
      </c>
      <c r="I9" s="82">
        <f t="shared" si="3"/>
        <v>0</v>
      </c>
      <c r="J9" s="82"/>
      <c r="K9" s="130"/>
      <c r="L9" s="82">
        <f t="shared" si="0"/>
        <v>0</v>
      </c>
    </row>
    <row r="10" spans="1:12" x14ac:dyDescent="0.35">
      <c r="A10" s="47">
        <v>7</v>
      </c>
      <c r="B10" s="178" t="str">
        <f>Vendedor7!$B$2</f>
        <v>PIKIS</v>
      </c>
      <c r="C10" s="180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2">
        <v>8</v>
      </c>
      <c r="B11" s="192" t="str">
        <f>Vendedor8!$B$2</f>
        <v>ISA</v>
      </c>
      <c r="C11" s="193"/>
      <c r="D11" s="83"/>
      <c r="F11" s="82">
        <f t="shared" si="1"/>
        <v>0</v>
      </c>
      <c r="G11" s="129">
        <f>MROUND(F11*Vendedor8!J$11,50)</f>
        <v>0</v>
      </c>
      <c r="H11" s="82">
        <f t="shared" si="2"/>
        <v>0</v>
      </c>
      <c r="I11" s="82">
        <f t="shared" si="3"/>
        <v>0</v>
      </c>
      <c r="J11" s="82"/>
      <c r="K11" s="130"/>
      <c r="L11" s="82">
        <f t="shared" si="0"/>
        <v>0</v>
      </c>
    </row>
    <row r="12" spans="1:12" x14ac:dyDescent="0.35">
      <c r="A12" s="202">
        <v>9</v>
      </c>
      <c r="B12" s="192" t="str">
        <f>Vendedor9!$B$2</f>
        <v>JUAN FELIX</v>
      </c>
      <c r="C12" s="193"/>
      <c r="D12" s="83"/>
      <c r="F12" s="82">
        <f t="shared" si="1"/>
        <v>0</v>
      </c>
      <c r="G12" s="129">
        <f>MROUND(F12*Vendedor9!J$11,50)</f>
        <v>0</v>
      </c>
      <c r="H12" s="82">
        <f t="shared" si="2"/>
        <v>0</v>
      </c>
      <c r="I12" s="82">
        <f t="shared" si="3"/>
        <v>0</v>
      </c>
      <c r="J12" s="82"/>
      <c r="K12" s="130"/>
      <c r="L12" s="82">
        <f t="shared" si="0"/>
        <v>0</v>
      </c>
    </row>
    <row r="13" spans="1:12" x14ac:dyDescent="0.35">
      <c r="A13" s="202">
        <v>10</v>
      </c>
      <c r="B13" s="192" t="str">
        <f>Vendedor10!$B$2</f>
        <v>MARIALIZ</v>
      </c>
      <c r="C13" s="193"/>
      <c r="D13" s="83"/>
      <c r="F13" s="82">
        <f t="shared" si="1"/>
        <v>0</v>
      </c>
      <c r="G13" s="129">
        <f>MROUND(F13*Vendedor10!J$9,50)</f>
        <v>0</v>
      </c>
      <c r="H13" s="82">
        <f t="shared" si="2"/>
        <v>0</v>
      </c>
      <c r="I13" s="82">
        <f t="shared" si="3"/>
        <v>0</v>
      </c>
      <c r="J13" s="82"/>
      <c r="K13" s="130"/>
      <c r="L13" s="82">
        <f t="shared" si="0"/>
        <v>0</v>
      </c>
    </row>
    <row r="14" spans="1:12" x14ac:dyDescent="0.35">
      <c r="A14" s="202">
        <v>11</v>
      </c>
      <c r="B14" s="192" t="str">
        <f>Vendedor11!$B$2</f>
        <v>CHARLY</v>
      </c>
      <c r="C14" s="193"/>
      <c r="D14" s="83"/>
      <c r="F14" s="82">
        <f t="shared" si="1"/>
        <v>0</v>
      </c>
      <c r="G14" s="129">
        <f>MROUND(F14*Vendedor11!J$9,50)</f>
        <v>0</v>
      </c>
      <c r="H14" s="82">
        <f t="shared" si="2"/>
        <v>0</v>
      </c>
      <c r="I14" s="82">
        <f t="shared" si="3"/>
        <v>0</v>
      </c>
      <c r="J14" s="82"/>
      <c r="K14" s="130"/>
      <c r="L14" s="82">
        <f t="shared" si="0"/>
        <v>0</v>
      </c>
    </row>
    <row r="15" spans="1:12" x14ac:dyDescent="0.35">
      <c r="A15" s="202">
        <v>12</v>
      </c>
      <c r="B15" s="192" t="str">
        <f>Vendedor12!$B$2</f>
        <v>LAURY</v>
      </c>
      <c r="C15" s="193"/>
      <c r="D15" s="83"/>
      <c r="F15" s="82">
        <f t="shared" si="1"/>
        <v>0</v>
      </c>
      <c r="G15" s="129">
        <f>MROUND(F15*Vendedor12!J$9,50)</f>
        <v>0</v>
      </c>
      <c r="H15" s="82">
        <f t="shared" si="2"/>
        <v>0</v>
      </c>
      <c r="I15" s="82">
        <f t="shared" si="3"/>
        <v>0</v>
      </c>
      <c r="J15" s="82"/>
      <c r="K15" s="130"/>
      <c r="L15" s="82">
        <f t="shared" si="0"/>
        <v>0</v>
      </c>
    </row>
    <row r="16" spans="1:12" x14ac:dyDescent="0.35">
      <c r="A16" s="202">
        <v>13</v>
      </c>
      <c r="B16" s="192" t="str">
        <f>Vendedor13!$B$2</f>
        <v>MINERO</v>
      </c>
      <c r="C16" s="193"/>
      <c r="D16" s="83"/>
      <c r="F16" s="82">
        <f t="shared" si="1"/>
        <v>0</v>
      </c>
      <c r="G16" s="129">
        <f>MROUND(F16*Vendedor13!J$11,50)</f>
        <v>0</v>
      </c>
      <c r="H16" s="82">
        <f t="shared" si="2"/>
        <v>0</v>
      </c>
      <c r="I16" s="82">
        <f t="shared" si="3"/>
        <v>0</v>
      </c>
      <c r="J16" s="82"/>
      <c r="K16" s="130"/>
      <c r="L16" s="82">
        <f t="shared" si="0"/>
        <v>0</v>
      </c>
    </row>
    <row r="17" spans="1:12" x14ac:dyDescent="0.35">
      <c r="A17" s="47">
        <v>14</v>
      </c>
      <c r="B17" s="178" t="str">
        <f>Vendedor14!$B$2</f>
        <v>EDUARDO TIEMPOS LICORERA</v>
      </c>
      <c r="C17" s="180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8" t="str">
        <f>Vendedor15!$B$2</f>
        <v>EDUARDO PUESTO CENTRO</v>
      </c>
      <c r="C18" s="180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1" t="str">
        <f>Vendedor24!$C$2</f>
        <v>Arreglo Otro</v>
      </c>
      <c r="C27" s="181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5">
        <f>SUM(F4:F31)</f>
        <v>0</v>
      </c>
      <c r="G32" s="95">
        <f>SUM(G7:G31)</f>
        <v>0</v>
      </c>
      <c r="H32" s="95"/>
      <c r="I32" s="95">
        <f>SUM(I4:I31)</f>
        <v>0</v>
      </c>
      <c r="J32" s="95">
        <f>SUM(J4:J31)</f>
        <v>0</v>
      </c>
      <c r="L32" s="91">
        <f>SUM(L4:L31)</f>
        <v>0</v>
      </c>
    </row>
    <row r="33" spans="3:6" ht="16" customHeight="1" x14ac:dyDescent="0.35">
      <c r="D33" s="99">
        <f>+D32*85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0">
        <f>+D36-D37-D38</f>
        <v>0</v>
      </c>
    </row>
    <row r="40" spans="3:6" ht="15" thickBot="1" x14ac:dyDescent="0.4"/>
    <row r="41" spans="3:6" x14ac:dyDescent="0.35">
      <c r="C41" s="104" t="s">
        <v>78</v>
      </c>
      <c r="D41" s="116">
        <v>0</v>
      </c>
    </row>
    <row r="42" spans="3:6" x14ac:dyDescent="0.35">
      <c r="C42" s="106" t="s">
        <v>80</v>
      </c>
      <c r="D42" s="153">
        <v>0</v>
      </c>
    </row>
    <row r="43" spans="3:6" ht="15" thickBot="1" x14ac:dyDescent="0.4">
      <c r="C43" s="108" t="s">
        <v>79</v>
      </c>
      <c r="D43" s="109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60"/>
  <dimension ref="A1:O2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54296875" bestFit="1" customWidth="1"/>
    <col min="8" max="8" width="13.7265625" bestFit="1" customWidth="1"/>
    <col min="9" max="9" width="14.54296875" bestFit="1" customWidth="1"/>
    <col min="10" max="10" width="13.7265625" hidden="1" customWidth="1"/>
    <col min="11" max="11" width="14.54296875" hidden="1" customWidth="1"/>
    <col min="12" max="15" width="0" hidden="1" customWidth="1"/>
    <col min="16" max="16384" width="10.81640625" hidden="1"/>
  </cols>
  <sheetData>
    <row r="1" spans="1:9" ht="18.5" x14ac:dyDescent="0.45">
      <c r="A1" s="276" t="str">
        <f ca="1">CONCATENATE("Cuentas ALI ",TEXT('Ctas Banca'!I5,"dd-mm-yyyy"))</f>
        <v>Cuentas ALI 14-05-2026</v>
      </c>
      <c r="B1" s="276"/>
      <c r="C1" s="276"/>
      <c r="D1" s="276"/>
      <c r="E1" s="276"/>
      <c r="F1" s="276"/>
      <c r="G1" s="276"/>
      <c r="H1" s="21"/>
      <c r="I1" s="21"/>
    </row>
    <row r="2" spans="1:9" ht="15" thickBot="1" x14ac:dyDescent="0.4">
      <c r="A2" s="277" t="s">
        <v>137</v>
      </c>
      <c r="B2" s="277"/>
      <c r="C2" s="277"/>
      <c r="D2" s="277"/>
      <c r="E2" s="277"/>
      <c r="F2" s="277"/>
      <c r="G2" s="277"/>
      <c r="H2" s="21"/>
      <c r="I2" s="21"/>
    </row>
    <row r="3" spans="1:9" x14ac:dyDescent="0.35">
      <c r="A3" s="23" t="s">
        <v>8</v>
      </c>
      <c r="B3" s="125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6">
        <f>HojaNICA!$E$36</f>
        <v>959250</v>
      </c>
      <c r="C4" s="157">
        <f>HojaNICA!M32</f>
        <v>115100</v>
      </c>
      <c r="D4" s="150">
        <f>HojaNICA!E37</f>
        <v>124685.5</v>
      </c>
      <c r="E4" s="150">
        <f>HojaNICA!P32</f>
        <v>291000</v>
      </c>
      <c r="F4" s="150">
        <f>HojaNICA!O32</f>
        <v>297500</v>
      </c>
      <c r="G4" s="151">
        <f t="shared" ref="G4:G10" si="0">+D4-C4+F4-E4</f>
        <v>16085.5</v>
      </c>
      <c r="H4" s="21"/>
      <c r="I4" s="182"/>
    </row>
    <row r="5" spans="1:9" x14ac:dyDescent="0.35">
      <c r="A5" s="28" t="s">
        <v>19</v>
      </c>
      <c r="B5" s="156">
        <f>HojaTICA!$E$36</f>
        <v>1374750</v>
      </c>
      <c r="C5" s="157">
        <f>HojaTICA!K32</f>
        <v>167300</v>
      </c>
      <c r="D5" s="150">
        <f>HojaTICA!E37</f>
        <v>178715.5</v>
      </c>
      <c r="E5" s="150">
        <f>HojaTICA!N32</f>
        <v>970750</v>
      </c>
      <c r="F5" s="150">
        <f>HojaTICA!D38</f>
        <v>973250</v>
      </c>
      <c r="G5" s="151">
        <f t="shared" si="0"/>
        <v>13915.5</v>
      </c>
      <c r="H5" s="21"/>
      <c r="I5" s="182"/>
    </row>
    <row r="6" spans="1:9" x14ac:dyDescent="0.35">
      <c r="A6" s="28" t="s">
        <v>125</v>
      </c>
      <c r="B6" s="156">
        <f>HojaREVENTADO!$E$37</f>
        <v>171800</v>
      </c>
      <c r="C6" s="157">
        <f>HojaREVENTADO!K33</f>
        <v>17180</v>
      </c>
      <c r="D6" s="150">
        <f>HojaREVENTADO!E38</f>
        <v>17180</v>
      </c>
      <c r="E6" s="150">
        <f>HojaREVENTADO!O33</f>
        <v>0</v>
      </c>
      <c r="F6" s="150">
        <f>HojaREVENTADO!N33</f>
        <v>0</v>
      </c>
      <c r="G6" s="151">
        <f t="shared" si="0"/>
        <v>0</v>
      </c>
      <c r="H6" s="21"/>
      <c r="I6" s="182"/>
    </row>
    <row r="7" spans="1:9" x14ac:dyDescent="0.35">
      <c r="A7" s="28" t="s">
        <v>96</v>
      </c>
      <c r="B7" s="156">
        <f>HojaPrimera!$E$36</f>
        <v>270950</v>
      </c>
      <c r="C7" s="157">
        <f>HojaPrimera!I32</f>
        <v>32500</v>
      </c>
      <c r="D7" s="150">
        <f>HojaPrimera!E37</f>
        <v>35208.5</v>
      </c>
      <c r="E7" s="150">
        <f>HojaPrimera!L32</f>
        <v>390500</v>
      </c>
      <c r="F7" s="150">
        <f>HojaPrimera!K32</f>
        <v>395250</v>
      </c>
      <c r="G7" s="151">
        <f t="shared" si="0"/>
        <v>7458.5</v>
      </c>
      <c r="H7" s="21"/>
      <c r="I7" s="21"/>
    </row>
    <row r="8" spans="1:9" x14ac:dyDescent="0.35">
      <c r="A8" s="28" t="s">
        <v>104</v>
      </c>
      <c r="B8" s="156">
        <f>HojaHonduras!$E$36</f>
        <v>114000</v>
      </c>
      <c r="C8" s="157">
        <f>HojaHonduras!K32</f>
        <v>13700</v>
      </c>
      <c r="D8" s="150">
        <f>HojaHonduras!E37</f>
        <v>14820</v>
      </c>
      <c r="E8" s="150">
        <f>HojaHonduras!N32</f>
        <v>29750</v>
      </c>
      <c r="F8" s="150">
        <f>HojaHonduras!M32</f>
        <v>29750</v>
      </c>
      <c r="G8" s="151">
        <f t="shared" si="0"/>
        <v>1120</v>
      </c>
      <c r="H8" s="21"/>
      <c r="I8" s="21"/>
    </row>
    <row r="9" spans="1:9" x14ac:dyDescent="0.35">
      <c r="A9" s="28" t="s">
        <v>20</v>
      </c>
      <c r="B9" s="156">
        <f>HojaDominicana!$E$36</f>
        <v>72500</v>
      </c>
      <c r="C9" s="157">
        <f>HojaDominicana!I32</f>
        <v>8700</v>
      </c>
      <c r="D9" s="150">
        <f>HojaDominicana!E37</f>
        <v>9425</v>
      </c>
      <c r="E9" s="150">
        <f>HojaDominicana!L32</f>
        <v>127500</v>
      </c>
      <c r="F9" s="150">
        <f>HojaDominicana!K32</f>
        <v>127500</v>
      </c>
      <c r="G9" s="151">
        <f t="shared" si="0"/>
        <v>725</v>
      </c>
      <c r="H9" s="21"/>
      <c r="I9" s="21"/>
    </row>
    <row r="10" spans="1:9" ht="15" thickBot="1" x14ac:dyDescent="0.4">
      <c r="A10" s="167" t="s">
        <v>21</v>
      </c>
      <c r="B10" s="168">
        <f>HojaPANA!F36</f>
        <v>0</v>
      </c>
      <c r="C10" s="169">
        <f>HojaPANA!G32</f>
        <v>0</v>
      </c>
      <c r="D10" s="170">
        <f>HojaPANA!F37</f>
        <v>0</v>
      </c>
      <c r="E10" s="170">
        <f>HojaPANA!J32</f>
        <v>0</v>
      </c>
      <c r="F10" s="170">
        <f>HojaPANA!I32</f>
        <v>0</v>
      </c>
      <c r="G10" s="171">
        <f t="shared" si="0"/>
        <v>0</v>
      </c>
      <c r="H10" s="21"/>
      <c r="I10" s="21"/>
    </row>
    <row r="11" spans="1:9" ht="19" thickBot="1" x14ac:dyDescent="0.5">
      <c r="A11" s="174" t="s">
        <v>32</v>
      </c>
      <c r="B11" s="175">
        <f>SUM(B4:B10)</f>
        <v>2963250</v>
      </c>
      <c r="C11" s="175">
        <f>SUM(C4:C10)</f>
        <v>354480</v>
      </c>
      <c r="D11" s="175">
        <f t="shared" ref="D11:F11" si="1">SUM(D4:D10)</f>
        <v>380034.5</v>
      </c>
      <c r="E11" s="175">
        <f t="shared" si="1"/>
        <v>1809500</v>
      </c>
      <c r="F11" s="175">
        <f t="shared" si="1"/>
        <v>1823250</v>
      </c>
      <c r="G11" s="176">
        <f>SUM(G4:G10)</f>
        <v>39304.5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2" t="s">
        <v>126</v>
      </c>
      <c r="G12" s="173">
        <f>IF(F16&lt;&gt;0,35000,0)</f>
        <v>35000</v>
      </c>
      <c r="H12" s="141">
        <f>+G11-G12</f>
        <v>4304.5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7" t="s">
        <v>136</v>
      </c>
      <c r="D14" s="277"/>
      <c r="E14" s="277"/>
      <c r="F14" s="277"/>
      <c r="G14" s="277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7">
        <f>+Vendedor1!C21</f>
        <v>250050</v>
      </c>
      <c r="E16" s="157">
        <f>+Vendedor1!D21</f>
        <v>32506.5</v>
      </c>
      <c r="F16" s="158">
        <f>IF(D16&lt;&gt;0,15000,0)</f>
        <v>15000</v>
      </c>
      <c r="G16" s="151">
        <f>+E16-F16</f>
        <v>17506.5</v>
      </c>
      <c r="H16" s="21"/>
      <c r="I16" s="21"/>
    </row>
    <row r="17" spans="1:9" x14ac:dyDescent="0.35">
      <c r="A17" s="21"/>
      <c r="B17" s="21"/>
      <c r="C17" s="28" t="s">
        <v>130</v>
      </c>
      <c r="D17" s="157">
        <f>+Vendedor2!C21</f>
        <v>178150</v>
      </c>
      <c r="E17" s="157">
        <f>+Vendedor2!D21</f>
        <v>23159.5</v>
      </c>
      <c r="F17" s="158">
        <f>IF(D17&lt;&gt;0,15000,0)</f>
        <v>15000</v>
      </c>
      <c r="G17" s="151">
        <f>+E17-F17</f>
        <v>8159.5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7">
        <f>+Vendedor3!C21</f>
        <v>0</v>
      </c>
      <c r="E18" s="157">
        <f>+Vendedor3!D21</f>
        <v>0</v>
      </c>
      <c r="F18" s="158">
        <f>IF(D18&lt;&gt;0,15000,0)</f>
        <v>0</v>
      </c>
      <c r="G18" s="151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2" t="s">
        <v>32</v>
      </c>
      <c r="D19" s="159">
        <f>SUM(D16:D18)</f>
        <v>428200</v>
      </c>
      <c r="E19" s="159">
        <f>SUM(E16:E18)</f>
        <v>55666</v>
      </c>
      <c r="F19" s="160">
        <f>SUM(F16:F18)</f>
        <v>30000</v>
      </c>
      <c r="G19" s="161">
        <f>SUM(G16:G18)</f>
        <v>25666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7">
        <f>-Vendedor24!C27</f>
        <v>0</v>
      </c>
      <c r="E22" s="157">
        <f>-Vendedor24!D27</f>
        <v>0</v>
      </c>
      <c r="F22" s="158">
        <f>-Vendedor24!F27</f>
        <v>0</v>
      </c>
      <c r="G22" s="151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3" t="s">
        <v>124</v>
      </c>
      <c r="G24" s="162">
        <f>G11+G19-G12+G22</f>
        <v>29970.5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scale="96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59"/>
  <dimension ref="A2:O16"/>
  <sheetViews>
    <sheetView showGridLines="0" zoomScaleNormal="100" workbookViewId="0">
      <selection activeCell="K12" sqref="K12"/>
    </sheetView>
  </sheetViews>
  <sheetFormatPr baseColWidth="10" defaultRowHeight="14.5" x14ac:dyDescent="0.35"/>
  <cols>
    <col min="1" max="1" width="16.54296875" bestFit="1" customWidth="1"/>
    <col min="2" max="2" width="13.453125" bestFit="1" customWidth="1"/>
    <col min="3" max="3" width="11.81640625" bestFit="1" customWidth="1"/>
    <col min="4" max="4" width="13.453125" bestFit="1" customWidth="1"/>
    <col min="6" max="6" width="11" bestFit="1" customWidth="1"/>
    <col min="7" max="7" width="4.1796875" customWidth="1"/>
    <col min="9" max="9" width="14.81640625" bestFit="1" customWidth="1"/>
    <col min="10" max="13" width="10.81640625" customWidth="1"/>
  </cols>
  <sheetData>
    <row r="2" spans="1:15" x14ac:dyDescent="0.35">
      <c r="A2" s="278" t="str">
        <f ca="1">CONCATENATE("Tiempos Pana ",TEXT(I5,"dd-mm-yyyy"))</f>
        <v>Tiempos Pana 14-05-2026</v>
      </c>
      <c r="B2" s="278"/>
      <c r="C2" s="278"/>
      <c r="D2" s="278"/>
      <c r="E2" s="278"/>
      <c r="F2" s="278"/>
    </row>
    <row r="3" spans="1:15" ht="15" thickBot="1" x14ac:dyDescent="0.4"/>
    <row r="4" spans="1:15" ht="16" thickBot="1" x14ac:dyDescent="0.4">
      <c r="A4" s="145" t="s">
        <v>8</v>
      </c>
      <c r="B4" s="146" t="s">
        <v>39</v>
      </c>
      <c r="C4" s="146" t="s">
        <v>40</v>
      </c>
      <c r="D4" s="146" t="s">
        <v>12</v>
      </c>
      <c r="E4" s="146" t="s">
        <v>105</v>
      </c>
      <c r="F4" s="147" t="s">
        <v>32</v>
      </c>
      <c r="I4" s="248" t="s">
        <v>144</v>
      </c>
      <c r="L4" s="154"/>
    </row>
    <row r="5" spans="1:15" ht="21" x14ac:dyDescent="0.5">
      <c r="A5" s="47" t="s">
        <v>37</v>
      </c>
      <c r="B5" s="150">
        <f>HojaNICA!D36</f>
        <v>1028350</v>
      </c>
      <c r="C5" s="150">
        <f>HojaNICA!D37</f>
        <v>133685.5</v>
      </c>
      <c r="D5" s="150">
        <f>HojaNICA!D38</f>
        <v>297500</v>
      </c>
      <c r="E5" s="150"/>
      <c r="F5" s="151">
        <f>+B5-C5-D5+E5</f>
        <v>597164.5</v>
      </c>
      <c r="H5" s="249" t="s">
        <v>105</v>
      </c>
      <c r="I5" s="243">
        <f ca="1">TODAY()-1</f>
        <v>46156</v>
      </c>
      <c r="O5" s="119"/>
    </row>
    <row r="6" spans="1:15" ht="15" thickBot="1" x14ac:dyDescent="0.4">
      <c r="A6" s="47" t="s">
        <v>36</v>
      </c>
      <c r="B6" s="150">
        <f>HojaTICA!D36</f>
        <v>1714350</v>
      </c>
      <c r="C6" s="150">
        <f>HojaTICA!D37</f>
        <v>222865.5</v>
      </c>
      <c r="D6" s="150">
        <f>HojaTICA!D38</f>
        <v>973250</v>
      </c>
      <c r="E6" s="150"/>
      <c r="F6" s="151">
        <f t="shared" ref="F6:F11" si="0">+B6-C6-D6+E6</f>
        <v>518234.5</v>
      </c>
      <c r="H6" s="256">
        <v>0</v>
      </c>
    </row>
    <row r="7" spans="1:15" ht="15" thickBot="1" x14ac:dyDescent="0.4">
      <c r="A7" s="47" t="s">
        <v>38</v>
      </c>
      <c r="B7" s="150">
        <f>HojaREVENTADO!D37</f>
        <v>171800</v>
      </c>
      <c r="C7" s="150">
        <f>HojaREVENTADO!D38</f>
        <v>17180</v>
      </c>
      <c r="D7" s="150">
        <f>HojaREVENTADO!D39</f>
        <v>0</v>
      </c>
      <c r="E7" s="150"/>
      <c r="F7" s="151">
        <f t="shared" si="0"/>
        <v>154620</v>
      </c>
    </row>
    <row r="8" spans="1:15" x14ac:dyDescent="0.35">
      <c r="A8" s="47" t="s">
        <v>96</v>
      </c>
      <c r="B8" s="150">
        <f>HojaPrimera!$D36</f>
        <v>290450</v>
      </c>
      <c r="C8" s="150">
        <f>HojaPrimera!$D37</f>
        <v>37758.5</v>
      </c>
      <c r="D8" s="150">
        <f>HojaPrimera!$D38</f>
        <v>395250</v>
      </c>
      <c r="E8" s="150"/>
      <c r="F8" s="151">
        <f t="shared" si="0"/>
        <v>-142558.5</v>
      </c>
      <c r="H8" s="249" t="s">
        <v>153</v>
      </c>
    </row>
    <row r="9" spans="1:15" ht="15" thickBot="1" x14ac:dyDescent="0.4">
      <c r="A9" s="47" t="s">
        <v>104</v>
      </c>
      <c r="B9" s="150">
        <f>HojaHonduras!$D36</f>
        <v>114000</v>
      </c>
      <c r="C9" s="150">
        <f>HojaHonduras!$D37</f>
        <v>14820</v>
      </c>
      <c r="D9" s="150">
        <f>HojaHonduras!$D38</f>
        <v>29750</v>
      </c>
      <c r="E9" s="150"/>
      <c r="F9" s="151">
        <f t="shared" si="0"/>
        <v>69430</v>
      </c>
      <c r="H9" s="250">
        <f>+K12-K10-H6</f>
        <v>1132465.5</v>
      </c>
    </row>
    <row r="10" spans="1:15" ht="15" thickBot="1" x14ac:dyDescent="0.4">
      <c r="A10" s="47" t="s">
        <v>20</v>
      </c>
      <c r="B10" s="150">
        <f>HojaDominicana!$D36</f>
        <v>72500</v>
      </c>
      <c r="C10" s="150">
        <f>HojaDominicana!$D37</f>
        <v>9425</v>
      </c>
      <c r="D10" s="150">
        <f>HojaDominicana!$D38</f>
        <v>127500</v>
      </c>
      <c r="E10" s="150"/>
      <c r="F10" s="151">
        <f t="shared" si="0"/>
        <v>-64425</v>
      </c>
      <c r="H10" s="154"/>
      <c r="J10" t="s">
        <v>148</v>
      </c>
      <c r="K10" s="252">
        <v>4314930.8499999996</v>
      </c>
    </row>
    <row r="11" spans="1:15" ht="15" thickBot="1" x14ac:dyDescent="0.4">
      <c r="A11" s="47" t="s">
        <v>21</v>
      </c>
      <c r="B11" s="150">
        <f>HojaPANA!$D36</f>
        <v>0</v>
      </c>
      <c r="C11" s="150">
        <f>HojaPANA!$D37</f>
        <v>0</v>
      </c>
      <c r="D11" s="165">
        <f>HojaPANA!$D38</f>
        <v>0</v>
      </c>
      <c r="E11" s="150"/>
      <c r="F11" s="151">
        <f t="shared" si="0"/>
        <v>0</v>
      </c>
      <c r="H11" s="214" t="s">
        <v>154</v>
      </c>
      <c r="J11" t="s">
        <v>158</v>
      </c>
      <c r="K11" s="253">
        <f>+K10+F12+H6</f>
        <v>5447396.3499999996</v>
      </c>
    </row>
    <row r="12" spans="1:15" ht="16" thickBot="1" x14ac:dyDescent="0.4">
      <c r="A12" s="144" t="s">
        <v>5</v>
      </c>
      <c r="B12" s="152">
        <f>SUM(B5:B11)</f>
        <v>3391450</v>
      </c>
      <c r="C12" s="152">
        <f>SUM(C5:C11)</f>
        <v>435734.5</v>
      </c>
      <c r="D12" s="152">
        <f>SUM(D5:D11)</f>
        <v>1823250</v>
      </c>
      <c r="E12" s="152"/>
      <c r="F12" s="255">
        <f>SUM(F5:F11)</f>
        <v>1132465.5</v>
      </c>
      <c r="H12" s="251">
        <f>K12</f>
        <v>5447396.3499999996</v>
      </c>
      <c r="J12" t="s">
        <v>140</v>
      </c>
      <c r="K12" s="254">
        <f>-3090955.37+6686652.74+747464.5+1104234.48</f>
        <v>5447396.3499999996</v>
      </c>
    </row>
    <row r="13" spans="1:15" x14ac:dyDescent="0.35">
      <c r="M13" s="154"/>
    </row>
    <row r="14" spans="1:15" x14ac:dyDescent="0.35">
      <c r="M14" s="43"/>
    </row>
    <row r="15" spans="1:15" x14ac:dyDescent="0.35">
      <c r="M15" s="43"/>
    </row>
    <row r="16" spans="1:15" x14ac:dyDescent="0.35">
      <c r="B16" s="154"/>
      <c r="M16" s="43"/>
    </row>
  </sheetData>
  <mergeCells count="1">
    <mergeCell ref="A2:F2"/>
  </mergeCells>
  <pageMargins left="0.7" right="0.7" top="0.75" bottom="0.75" header="0.3" footer="0.3"/>
  <pageSetup scale="95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VENTANA</v>
      </c>
      <c r="C2" s="280"/>
      <c r="D2" s="281"/>
      <c r="J2" s="21" t="s">
        <v>146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200850</v>
      </c>
      <c r="K4" s="231">
        <f t="shared" ref="K4" si="0">D7+D11+D15</f>
        <v>26110.5</v>
      </c>
      <c r="L4" s="220">
        <f>F7+F11+F15</f>
        <v>51000</v>
      </c>
    </row>
    <row r="5" spans="1:12" x14ac:dyDescent="0.35">
      <c r="A5" s="28" t="s">
        <v>43</v>
      </c>
      <c r="B5" s="132">
        <f>IF(DigitaNICA!C2&lt;&gt;"",DigitaNICA!C2,"")</f>
        <v>29</v>
      </c>
      <c r="C5" s="29">
        <f>IF(DigitaNICA!C4&lt;&gt;"",DigitaNICA!C4,"")</f>
        <v>17250</v>
      </c>
      <c r="D5" s="42">
        <f>IF(C5="",0,C5*J$10)</f>
        <v>2242.5</v>
      </c>
      <c r="E5" s="29">
        <f>IF(DigitaNICA!D4&lt;&gt;"",DigitaNICA!D4,"")</f>
        <v>0</v>
      </c>
      <c r="F5" s="42">
        <f>IF(E5="",0,E5*PREMIOS!E5)</f>
        <v>0</v>
      </c>
      <c r="G5" s="30">
        <f t="shared" ref="G5:G12" si="1">IF(OR(C5="",E5=""),0,C5-D5-F5)</f>
        <v>15007.5</v>
      </c>
      <c r="I5" s="241" t="s">
        <v>37</v>
      </c>
      <c r="J5" s="221">
        <f>SUM(IF(C5="",0,C5),IF(C9="",0,C9),IF(C13="",0,C13),IF(C17="",0,C17))</f>
        <v>38900</v>
      </c>
      <c r="K5" s="225">
        <f t="shared" ref="K5" si="2">D5+D9+D13+D17</f>
        <v>5057</v>
      </c>
      <c r="L5" s="222">
        <f>F5+F9+F13+F17</f>
        <v>40000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10300</v>
      </c>
      <c r="K6" s="228">
        <f>D19+D20</f>
        <v>1339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40</v>
      </c>
      <c r="C7" s="29">
        <f>IF(DigitaTICA!C4&lt;&gt;"",DigitaTICA!C4,"")</f>
        <v>47800</v>
      </c>
      <c r="D7" s="42">
        <f>IF(C7="",0,C7*J$9)</f>
        <v>6214</v>
      </c>
      <c r="E7" s="29">
        <f>IF(DigitaTICA!D4&lt;&gt;"",DigitaTICA!D4,"")</f>
        <v>100</v>
      </c>
      <c r="F7" s="42">
        <f>IF(E7="",0,E7*PREMIOS!F7)</f>
        <v>8500</v>
      </c>
      <c r="G7" s="30">
        <f t="shared" si="1"/>
        <v>33086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67</v>
      </c>
      <c r="C9" s="29">
        <f>IF(DigitaNICA!E4&lt;&gt;"",DigitaNICA!E4,"")</f>
        <v>5050</v>
      </c>
      <c r="D9" s="42">
        <f>IF(C9="",0,C9*J$10)</f>
        <v>656.5</v>
      </c>
      <c r="E9" s="29">
        <f>IF(DigitaNICA!F4&lt;&gt;"",DigitaNICA!F4,"")</f>
        <v>0</v>
      </c>
      <c r="F9" s="42">
        <f>IF(E9="",0,E9*PREMIOS!E9)</f>
        <v>0</v>
      </c>
      <c r="G9" s="30">
        <f t="shared" si="1"/>
        <v>4393.5</v>
      </c>
      <c r="I9" s="76" t="s">
        <v>36</v>
      </c>
      <c r="J9" s="77">
        <v>0.13</v>
      </c>
      <c r="K9" s="78">
        <f>MROUND(D7+D11+D15,50)</f>
        <v>26100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5050</v>
      </c>
    </row>
    <row r="11" spans="1:12" x14ac:dyDescent="0.35">
      <c r="A11" s="28" t="s">
        <v>59</v>
      </c>
      <c r="B11" s="132">
        <f>IF(DigitaTICA!E2&lt;&gt;"",DigitaTICA!E2,"")</f>
        <v>97</v>
      </c>
      <c r="C11" s="29">
        <f>IF(DigitaTICA!E4&lt;&gt;"",DigitaTICA!E4,"")</f>
        <v>38750</v>
      </c>
      <c r="D11" s="42">
        <f>IF(C11="",0,C11*J$9)</f>
        <v>5037.5</v>
      </c>
      <c r="E11" s="29">
        <f>IF(DigitaTICA!F4&lt;&gt;"",DigitaTICA!F4,"")</f>
        <v>0</v>
      </c>
      <c r="F11" s="42">
        <f>IF(E11="",0,E11*PREMIOS!F11)</f>
        <v>0</v>
      </c>
      <c r="G11" s="30">
        <f t="shared" si="1"/>
        <v>33712.5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1350</v>
      </c>
    </row>
    <row r="13" spans="1:12" x14ac:dyDescent="0.35">
      <c r="A13" s="28" t="s">
        <v>50</v>
      </c>
      <c r="B13" s="132">
        <f>IF(DigitaNICA!G2&lt;&gt;"",DigitaNICA!G2,"")</f>
        <v>50</v>
      </c>
      <c r="C13" s="29">
        <f>IF(DigitaNICA!G4&lt;&gt;"",DigitaNICA!G4,"")</f>
        <v>2050</v>
      </c>
      <c r="D13" s="42">
        <f>IF(C13="",0,C13*J$10)</f>
        <v>266.5</v>
      </c>
      <c r="E13" s="29">
        <f>IF(DigitaNICA!H4&lt;&gt;"",DigitaNICA!H4,"")</f>
        <v>250</v>
      </c>
      <c r="F13" s="42">
        <f>IF(E13="",0,E13*PREMIOS!E13)</f>
        <v>20000</v>
      </c>
      <c r="G13" s="30">
        <f>IF(OR(C13="",E13=""),0,C13-D13-F13)</f>
        <v>-18216.5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68</v>
      </c>
      <c r="C15" s="29">
        <f>IF(DigitaTICA!G4&lt;&gt;"",DigitaTICA!G4,"")</f>
        <v>114300</v>
      </c>
      <c r="D15" s="42">
        <f>IF(C15="",0,C15*J$9)</f>
        <v>14859</v>
      </c>
      <c r="E15" s="29">
        <f>IF(DigitaTICA!H4&lt;&gt;"",DigitaTICA!H4,"")</f>
        <v>500</v>
      </c>
      <c r="F15" s="42">
        <f>IF(E15="",0,E15*PREMIOS!F15)</f>
        <v>42500</v>
      </c>
      <c r="G15" s="30">
        <f t="shared" si="3"/>
        <v>56941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50</v>
      </c>
      <c r="C17" s="29">
        <f>IF(DigitaNICA!I4&lt;&gt;"",DigitaNICA!I4,"")</f>
        <v>14550</v>
      </c>
      <c r="D17" s="42">
        <f>IF(C17="",0,C17*J$10)</f>
        <v>1891.5</v>
      </c>
      <c r="E17" s="29">
        <f>IF(DigitaNICA!J4&lt;&gt;"",DigitaNICA!J4,"")</f>
        <v>250</v>
      </c>
      <c r="F17" s="42">
        <f>IF(E17="",0,E17*PREMIOS!E17)</f>
        <v>20000</v>
      </c>
      <c r="G17" s="30">
        <f t="shared" si="3"/>
        <v>-7341.5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70</v>
      </c>
      <c r="C19" s="29">
        <f>IF(DigitaPRIMERA!C4&lt;&gt;"",DigitaPRIMERA!C4,"")</f>
        <v>5300</v>
      </c>
      <c r="D19" s="42">
        <f>IF(C19="",0,C19*J$12)</f>
        <v>689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4611</v>
      </c>
    </row>
    <row r="20" spans="1:7" x14ac:dyDescent="0.35">
      <c r="A20" s="28" t="s">
        <v>98</v>
      </c>
      <c r="B20" s="132">
        <f>IF(DigitaPRIMERA!E2&lt;&gt;"",DigitaPRIMERA!E2,"")</f>
        <v>64</v>
      </c>
      <c r="C20" s="29">
        <f>IF(DigitaPRIMERA!E4&lt;&gt;"",DigitaPRIMERA!E4,"")</f>
        <v>5000</v>
      </c>
      <c r="D20" s="42">
        <f>IF(C20="",0,C20*J$12)</f>
        <v>650</v>
      </c>
      <c r="E20" s="29">
        <f>IF(DigitaPRIMERA!F4&lt;&gt;"",DigitaPRIMERA!F4,"")</f>
        <v>0</v>
      </c>
      <c r="F20" s="42">
        <f>IF(E20="",0,E20*PREMIOS!E19)</f>
        <v>0</v>
      </c>
      <c r="G20" s="30">
        <f t="shared" ref="G20" si="5">IF(OR(C20="",E20=""),0,C20-D20-F20)</f>
        <v>4350</v>
      </c>
    </row>
    <row r="21" spans="1:7" ht="15" thickBot="1" x14ac:dyDescent="0.4">
      <c r="A21" s="121" t="s">
        <v>5</v>
      </c>
      <c r="B21" s="128"/>
      <c r="C21" s="122">
        <f>SUM(C5:C20)</f>
        <v>250050</v>
      </c>
      <c r="D21" s="122">
        <f t="shared" ref="D21:G21" si="6">SUM(D5:D20)</f>
        <v>32506.5</v>
      </c>
      <c r="E21" s="122">
        <f t="shared" si="6"/>
        <v>1100</v>
      </c>
      <c r="F21" s="122">
        <f t="shared" si="6"/>
        <v>91000</v>
      </c>
      <c r="G21" s="123">
        <f t="shared" si="6"/>
        <v>126543.5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PUESTO 2</v>
      </c>
      <c r="C2" s="280"/>
      <c r="D2" s="281"/>
      <c r="J2" s="21" t="s">
        <v>145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138750</v>
      </c>
      <c r="K4" s="231">
        <f t="shared" ref="K4" si="0">D7+D11+D15</f>
        <v>18037.5</v>
      </c>
      <c r="L4" s="220">
        <f>F7+F11+F15</f>
        <v>21250</v>
      </c>
    </row>
    <row r="5" spans="1:12" x14ac:dyDescent="0.35">
      <c r="A5" s="28" t="s">
        <v>43</v>
      </c>
      <c r="B5" s="132">
        <f>IF(DigitaNICA!C2&lt;&gt;"",DigitaNICA!C2,"")</f>
        <v>29</v>
      </c>
      <c r="C5" s="29">
        <f>IF(DigitaNICA!C5&lt;&gt;"",DigitaNICA!C5,"")</f>
        <v>9500</v>
      </c>
      <c r="D5" s="42">
        <f>IF(C5="",0,C5*J$10)</f>
        <v>1235</v>
      </c>
      <c r="E5" s="29">
        <f>IF(DigitaNICA!D5&lt;&gt;"",DigitaNICA!D5,"")</f>
        <v>0</v>
      </c>
      <c r="F5" s="42">
        <f>IF(E5="",0,E5*PREMIOS!E5)</f>
        <v>0</v>
      </c>
      <c r="G5" s="30">
        <f t="shared" ref="G5:G12" si="1">IF(OR(C5="",E5=""),0,C5-D5-F5)</f>
        <v>8265</v>
      </c>
      <c r="I5" s="241" t="s">
        <v>37</v>
      </c>
      <c r="J5" s="221">
        <f>SUM(IF(C5="",0,C5),IF(C9="",0,C9),IF(C13="",0,C13),IF(C17="",0,C17))</f>
        <v>30200</v>
      </c>
      <c r="K5" s="225">
        <f t="shared" ref="K5" si="2">D5+D9+D13+D17</f>
        <v>3926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9200</v>
      </c>
      <c r="K6" s="228">
        <f>D19+D20</f>
        <v>1196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40</v>
      </c>
      <c r="C7" s="29">
        <f>IF(DigitaTICA!C5&lt;&gt;"",DigitaTICA!C5,"")</f>
        <v>34100</v>
      </c>
      <c r="D7" s="42">
        <f>IF(C7="",0,C7*J$9)</f>
        <v>4433</v>
      </c>
      <c r="E7" s="29">
        <f>IF(DigitaTICA!D5&lt;&gt;"",DigitaTICA!D5,"")</f>
        <v>250</v>
      </c>
      <c r="F7" s="42">
        <f>IF(E7="",0,E7*PREMIOS!F7)</f>
        <v>21250</v>
      </c>
      <c r="G7" s="30">
        <f t="shared" si="1"/>
        <v>8417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67</v>
      </c>
      <c r="C9" s="29">
        <f>IF(DigitaNICA!E5&lt;&gt;"",DigitaNICA!E5,"")</f>
        <v>12500</v>
      </c>
      <c r="D9" s="42">
        <f>IF(C9="",0,C9*J$10)</f>
        <v>1625</v>
      </c>
      <c r="E9" s="29">
        <f>IF(DigitaNICA!F5&lt;&gt;"",DigitaNICA!F5,"")</f>
        <v>0</v>
      </c>
      <c r="F9" s="42">
        <f>IF(E9="",0,E9*PREMIOS!E9)</f>
        <v>0</v>
      </c>
      <c r="G9" s="30">
        <f t="shared" si="1"/>
        <v>10875</v>
      </c>
      <c r="I9" s="60" t="s">
        <v>36</v>
      </c>
      <c r="J9" s="61">
        <v>0.13</v>
      </c>
      <c r="K9" s="62">
        <f>MROUND(D7+D11+D15,50)</f>
        <v>18050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3950</v>
      </c>
    </row>
    <row r="11" spans="1:12" x14ac:dyDescent="0.35">
      <c r="A11" s="28" t="s">
        <v>59</v>
      </c>
      <c r="B11" s="132">
        <f>IF(DigitaTICA!E2&lt;&gt;"",DigitaTICA!E2,"")</f>
        <v>97</v>
      </c>
      <c r="C11" s="29">
        <f>IF(DigitaTICA!E5&lt;&gt;"",DigitaTICA!E5,"")</f>
        <v>26200</v>
      </c>
      <c r="D11" s="42">
        <f>IF(C11="",0,C11*J$9)</f>
        <v>3406</v>
      </c>
      <c r="E11" s="29">
        <f>IF(DigitaTICA!F5&lt;&gt;"",DigitaTICA!F5,"")</f>
        <v>0</v>
      </c>
      <c r="F11" s="42">
        <f>IF(E11="",0,E11*PREMIOS!F11)</f>
        <v>0</v>
      </c>
      <c r="G11" s="30">
        <f t="shared" si="1"/>
        <v>22794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1200</v>
      </c>
    </row>
    <row r="13" spans="1:12" x14ac:dyDescent="0.35">
      <c r="A13" s="28" t="s">
        <v>50</v>
      </c>
      <c r="B13" s="132">
        <f>IF(DigitaNICA!G2&lt;&gt;"",DigitaNICA!G2,"")</f>
        <v>50</v>
      </c>
      <c r="C13" s="29">
        <f>IF(DigitaNICA!G5&lt;&gt;"",DigitaNICA!G5,"")</f>
        <v>2200</v>
      </c>
      <c r="D13" s="42">
        <f>IF(C13="",0,C13*J$10)</f>
        <v>286</v>
      </c>
      <c r="E13" s="29">
        <f>IF(DigitaNICA!H5&lt;&gt;"",DigitaNICA!H5,"")</f>
        <v>0</v>
      </c>
      <c r="F13" s="42">
        <f>IF(E13="",0,E13*PREMIOS!E13)</f>
        <v>0</v>
      </c>
      <c r="G13" s="30">
        <f>IF(OR(C13="",E13=""),0,C13-D13-F13)</f>
        <v>1914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68</v>
      </c>
      <c r="C15" s="29">
        <f>IF(DigitaTICA!G5&lt;&gt;"",DigitaTICA!G5,"")</f>
        <v>78450</v>
      </c>
      <c r="D15" s="42">
        <f>IF(C15="",0,C15*J$9)</f>
        <v>10198.5</v>
      </c>
      <c r="E15" s="29">
        <f>IF(DigitaTICA!H5&lt;&gt;"",DigitaTICA!H5,"")</f>
        <v>0</v>
      </c>
      <c r="F15" s="42">
        <f>IF(E15="",0,E15*PREMIOS!F15)</f>
        <v>0</v>
      </c>
      <c r="G15" s="30">
        <f t="shared" si="3"/>
        <v>68251.5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50</v>
      </c>
      <c r="C17" s="29">
        <f>IF(DigitaNICA!I5&lt;&gt;"",DigitaNICA!I5,"")</f>
        <v>6000</v>
      </c>
      <c r="D17" s="42">
        <f>IF(C17="",0,C17*J$10)</f>
        <v>780</v>
      </c>
      <c r="E17" s="29">
        <f>IF(DigitaNICA!J5&lt;&gt;"",DigitaNICA!J5,"")</f>
        <v>0</v>
      </c>
      <c r="F17" s="42">
        <f>IF(E17="",0,E17*PREMIOS!E17)</f>
        <v>0</v>
      </c>
      <c r="G17" s="30">
        <f t="shared" si="3"/>
        <v>5220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70</v>
      </c>
      <c r="C19" s="29">
        <f>IF(DigitaPRIMERA!C5&lt;&gt;"",DigitaPRIMERA!C5,"")</f>
        <v>8700</v>
      </c>
      <c r="D19" s="42">
        <f>IF(C19="",0,C19*J$12)</f>
        <v>1131</v>
      </c>
      <c r="E19" s="29">
        <f>IF(DigitaPRIMERA!D5&lt;&gt;"",DigitaPRIMERA!D5,"")</f>
        <v>0</v>
      </c>
      <c r="F19" s="42">
        <f>IF(E19="",0,E19*PREMIOS!E19)</f>
        <v>0</v>
      </c>
      <c r="G19" s="30">
        <f t="shared" si="3"/>
        <v>7569</v>
      </c>
    </row>
    <row r="20" spans="1:7" x14ac:dyDescent="0.35">
      <c r="A20" s="28" t="s">
        <v>98</v>
      </c>
      <c r="B20" s="132">
        <f>IF(DigitaPRIMERA!E2&lt;&gt;"",DigitaPRIMERA!E2,"")</f>
        <v>64</v>
      </c>
      <c r="C20" s="29">
        <f>IF(DigitaPRIMERA!E5&lt;&gt;"",DigitaPRIMERA!E5,"")</f>
        <v>500</v>
      </c>
      <c r="D20" s="42">
        <f>IF(C20="",0,C20*J$12)</f>
        <v>65</v>
      </c>
      <c r="E20" s="29">
        <f>IF(DigitaPRIMERA!F5&lt;&gt;"",DigitaPRIMERA!F5,"")</f>
        <v>0</v>
      </c>
      <c r="F20" s="42">
        <f>IF(E20="",0,E20*PREMIOS!E19)</f>
        <v>0</v>
      </c>
      <c r="G20" s="30">
        <f t="shared" si="3"/>
        <v>435</v>
      </c>
    </row>
    <row r="21" spans="1:7" ht="15" thickBot="1" x14ac:dyDescent="0.4">
      <c r="A21" s="67" t="s">
        <v>5</v>
      </c>
      <c r="B21" s="127"/>
      <c r="C21" s="68">
        <f>SUM(C5:C20)</f>
        <v>178150</v>
      </c>
      <c r="D21" s="68">
        <f t="shared" ref="D21:G21" si="4">SUM(D5:D20)</f>
        <v>23159.5</v>
      </c>
      <c r="E21" s="68">
        <f t="shared" si="4"/>
        <v>250</v>
      </c>
      <c r="F21" s="68">
        <f t="shared" si="4"/>
        <v>21250</v>
      </c>
      <c r="G21" s="88">
        <f t="shared" si="4"/>
        <v>133740.5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 C7:C9 E7:E17 C11:C17" unlockedFormula="1"/>
  </ignoredError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8"/>
  <dimension ref="A1:AMK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152</v>
      </c>
      <c r="C2" s="280"/>
      <c r="D2" s="281"/>
      <c r="J2" s="21" t="s">
        <v>152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29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0</v>
      </c>
      <c r="K6" s="228">
        <f>D19+D20</f>
        <v>0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40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67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6" t="s">
        <v>36</v>
      </c>
      <c r="J9" s="77">
        <v>0.13</v>
      </c>
      <c r="K9" s="78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2">
        <f>IF(DigitaTICA!E2&lt;&gt;"",DigitaTICA!E2,"")</f>
        <v>97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2">
        <f>IF(DigitaNICA!G2&lt;&gt;"",DigitaNICA!G2,"")</f>
        <v>50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68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50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70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64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Nuevo 2</v>
      </c>
      <c r="C2" s="280"/>
      <c r="D2" s="281"/>
      <c r="J2" s="21" t="s">
        <v>117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29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38</v>
      </c>
      <c r="J6" s="224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40</v>
      </c>
      <c r="C7" s="94" t="str">
        <f>IF(DigitaTICA!C7&lt;&gt;"",DigitaTICA!C7,"")</f>
        <v/>
      </c>
      <c r="D7" s="112">
        <f>IF(C7="",0,C7*J$9)</f>
        <v>0</v>
      </c>
      <c r="E7" s="113" t="str">
        <f>IF(DigitaTICA!D7&lt;&gt;"",DigitaTICA!D7,"")</f>
        <v/>
      </c>
      <c r="F7" s="112">
        <f>IF(E7="",0,E7*PREMIOS!F7)</f>
        <v>0</v>
      </c>
      <c r="G7" s="114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94" t="str">
        <f>IF(DigitaREVENTADO!C7&lt;&gt;"",DigitaREVENTADO!C7,"")</f>
        <v/>
      </c>
      <c r="D8" s="112">
        <f>IF(C8="",0,C8*J$11)</f>
        <v>0</v>
      </c>
      <c r="E8" s="113" t="str">
        <f>IF(DigitaREVENTADO!D7&lt;&gt;"",DigitaREVENTADO!D7,"")</f>
        <v/>
      </c>
      <c r="F8" s="112">
        <f>IF(E8="",0,E8*PREMIOS!F8)</f>
        <v>0</v>
      </c>
      <c r="G8" s="114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67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97</v>
      </c>
      <c r="C11" s="94" t="str">
        <f>IF(DigitaTICA!E7&lt;&gt;"",DigitaTICA!E7,"")</f>
        <v/>
      </c>
      <c r="D11" s="112">
        <f>IF(C11="",0,C11*J$9)</f>
        <v>0</v>
      </c>
      <c r="E11" s="113" t="str">
        <f>IF(DigitaTICA!F7&lt;&gt;"",DigitaTICA!F7,"")</f>
        <v/>
      </c>
      <c r="F11" s="112">
        <f>IF(E11="",0,E11*PREMIOS!F11)</f>
        <v>0</v>
      </c>
      <c r="G11" s="114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94" t="str">
        <f>IF(DigitaREVENTADO!E7&lt;&gt;"",DigitaREVENTADO!E7,"")</f>
        <v/>
      </c>
      <c r="D12" s="112">
        <f>IF(C12="",0,C12*J$11)</f>
        <v>0</v>
      </c>
      <c r="E12" s="113" t="str">
        <f>IF(DigitaREVENTADO!F7&lt;&gt;"",DigitaREVENTADO!F7,"")</f>
        <v/>
      </c>
      <c r="F12" s="112">
        <f>IF(E12="",0,E12*PREMIOS!F12)</f>
        <v>0</v>
      </c>
      <c r="G12" s="114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50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68</v>
      </c>
      <c r="C15" s="94" t="str">
        <f>IF(DigitaTICA!G7&lt;&gt;"",DigitaTICA!G7,"")</f>
        <v/>
      </c>
      <c r="D15" s="112">
        <f>IF(C15="",0,C15*J$9)</f>
        <v>0</v>
      </c>
      <c r="E15" s="113" t="str">
        <f>IF(DigitaTICA!H7&lt;&gt;"",DigitaTICA!H7,"")</f>
        <v/>
      </c>
      <c r="F15" s="112">
        <f>IF(E15="",0,E15*PREMIOS!F15)</f>
        <v>0</v>
      </c>
      <c r="G15" s="114">
        <f t="shared" si="4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94" t="str">
        <f>IF(DigitaREVENTADO!G7&lt;&gt;"",DigitaREVENTADO!G7,"")</f>
        <v/>
      </c>
      <c r="D16" s="112">
        <f>IF(C16="",0,C16*J$11)</f>
        <v>0</v>
      </c>
      <c r="E16" s="113" t="str">
        <f>IF(DigitaREVENTADO!H7&lt;&gt;"",DigitaREVENTADO!H7,"")</f>
        <v/>
      </c>
      <c r="F16" s="112">
        <f>IF(E16="",0,E16*PREMIOS!F16)</f>
        <v>0</v>
      </c>
      <c r="G16" s="114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50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4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3" t="str">
        <f>J2</f>
        <v>YOYO</v>
      </c>
      <c r="C2" s="283"/>
      <c r="D2" s="284"/>
      <c r="J2" s="21" t="s">
        <v>87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130700</v>
      </c>
      <c r="K4" s="231">
        <f t="shared" ref="K4" si="0">D7+D11+D15</f>
        <v>15684</v>
      </c>
      <c r="L4" s="220">
        <f>F7+F11+F15</f>
        <v>85000</v>
      </c>
    </row>
    <row r="5" spans="1:12" x14ac:dyDescent="0.35">
      <c r="A5" s="28" t="s">
        <v>43</v>
      </c>
      <c r="B5" s="132">
        <f>IF(DigitaNICA!C2&lt;&gt;"",DigitaNICA!C2,"")</f>
        <v>29</v>
      </c>
      <c r="C5" s="29">
        <f>IF(DigitaNICA!C8&lt;&gt;"",DigitaNICA!C8,"")</f>
        <v>59000</v>
      </c>
      <c r="D5" s="42">
        <f>IF(C5="",0,C5*J$12)</f>
        <v>7080</v>
      </c>
      <c r="E5" s="29">
        <f>IF(DigitaNICA!D8&lt;&gt;"",DigitaNICA!D8,"")</f>
        <v>250</v>
      </c>
      <c r="F5" s="42">
        <f>IF(E5="",0,E5*PREMIOS!E5)</f>
        <v>20000</v>
      </c>
      <c r="G5" s="30">
        <f t="shared" ref="G5:G12" si="1">IF(OR(C5="",E5=""),0,C5-D5-F5)</f>
        <v>31920</v>
      </c>
      <c r="I5" s="241" t="s">
        <v>37</v>
      </c>
      <c r="J5" s="221">
        <f>SUM(IF(C5="",0,C5),IF(C9="",0,C9),IF(C13="",0,C13),IF(C17="",0,C17))</f>
        <v>111000</v>
      </c>
      <c r="K5" s="225">
        <f t="shared" ref="K5" si="2">D5+D9+D13+D17</f>
        <v>13320</v>
      </c>
      <c r="L5" s="222">
        <f>F5+F9+F13+F17</f>
        <v>20000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40</v>
      </c>
      <c r="C7" s="29">
        <f>IF(DigitaTICA!C8&lt;&gt;"",DigitaTICA!C8,"")</f>
        <v>49450</v>
      </c>
      <c r="D7" s="42">
        <f>IF(C7="",0,C7*J$11)</f>
        <v>5934</v>
      </c>
      <c r="E7" s="29">
        <f>IF(DigitaTICA!D8&lt;&gt;"",DigitaTICA!D8,"")</f>
        <v>900</v>
      </c>
      <c r="F7" s="42">
        <f>IF(E7="",0,E7*PREMIOS!F7)</f>
        <v>76500</v>
      </c>
      <c r="G7" s="30">
        <f t="shared" si="1"/>
        <v>-32984</v>
      </c>
      <c r="I7" s="242" t="s">
        <v>96</v>
      </c>
      <c r="J7" s="224">
        <f>SUM(IF(C19="",0,C19),IF(C20="",0,C20))</f>
        <v>38150</v>
      </c>
      <c r="K7" s="228">
        <f>+D19+D20</f>
        <v>4578</v>
      </c>
      <c r="L7" s="229">
        <f>+F19+F20</f>
        <v>76000</v>
      </c>
    </row>
    <row r="8" spans="1:12" x14ac:dyDescent="0.35">
      <c r="A8" s="28" t="s">
        <v>47</v>
      </c>
      <c r="B8" s="132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67</v>
      </c>
      <c r="C9" s="29">
        <f>IF(DigitaNICA!E8&lt;&gt;"",DigitaNICA!E8,"")</f>
        <v>38550</v>
      </c>
      <c r="D9" s="42">
        <f>IF(C9="",0,C9*J$12)</f>
        <v>4626</v>
      </c>
      <c r="E9" s="29">
        <f>IF(DigitaNICA!F8&lt;&gt;"",DigitaNICA!F8,"")</f>
        <v>0</v>
      </c>
      <c r="F9" s="42">
        <f>IF(E9="",0,E9*PREMIOS!E9)</f>
        <v>0</v>
      </c>
      <c r="G9" s="30">
        <f t="shared" si="1"/>
        <v>33924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97</v>
      </c>
      <c r="C11" s="29">
        <f>IF(DigitaTICA!E8&lt;&gt;"",DigitaTICA!E8,"")</f>
        <v>37850</v>
      </c>
      <c r="D11" s="42">
        <f>IF(C11="",0,C11*J$11)</f>
        <v>4542</v>
      </c>
      <c r="E11" s="29">
        <f>IF(DigitaTICA!F8&lt;&gt;"",DigitaTICA!F8,"")</f>
        <v>0</v>
      </c>
      <c r="F11" s="42">
        <f>IF(E11="",0,E11*PREMIOS!F11)</f>
        <v>0</v>
      </c>
      <c r="G11" s="30">
        <f t="shared" si="1"/>
        <v>33308</v>
      </c>
      <c r="I11" s="60" t="s">
        <v>36</v>
      </c>
      <c r="J11" s="61">
        <v>0.12</v>
      </c>
      <c r="K11" s="62">
        <f>MROUND(D7+D11+D15,50)</f>
        <v>15700</v>
      </c>
    </row>
    <row r="12" spans="1:12" x14ac:dyDescent="0.35">
      <c r="A12" s="28" t="s">
        <v>60</v>
      </c>
      <c r="B12" s="132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13300</v>
      </c>
    </row>
    <row r="13" spans="1:12" x14ac:dyDescent="0.35">
      <c r="A13" s="28" t="s">
        <v>50</v>
      </c>
      <c r="B13" s="132">
        <f>IF(DigitaNICA!G2&lt;&gt;"",DigitaNICA!G2,"")</f>
        <v>50</v>
      </c>
      <c r="C13" s="29">
        <f>IF(DigitaNICA!G8&lt;&gt;"",DigitaNICA!G8,"")</f>
        <v>6350</v>
      </c>
      <c r="D13" s="42">
        <f>IF(C13="",0,C13*J$12)</f>
        <v>762</v>
      </c>
      <c r="E13" s="29">
        <f>IF(DigitaNICA!H8&lt;&gt;"",DigitaNICA!H8,"")</f>
        <v>0</v>
      </c>
      <c r="F13" s="42">
        <f>IF(E13="",0,E13*PREMIOS!E13)</f>
        <v>0</v>
      </c>
      <c r="G13" s="30">
        <f>IF(OR(C13="",E13=""),0,C13-D13-F13)</f>
        <v>5588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4600</v>
      </c>
    </row>
    <row r="15" spans="1:12" x14ac:dyDescent="0.35">
      <c r="A15" s="28" t="s">
        <v>61</v>
      </c>
      <c r="B15" s="132">
        <f>IF(DigitaTICA!G2&lt;&gt;"",DigitaTICA!G2,"")</f>
        <v>68</v>
      </c>
      <c r="C15" s="29">
        <f>IF(DigitaTICA!G8&lt;&gt;"",DigitaTICA!G8,"")</f>
        <v>43400</v>
      </c>
      <c r="D15" s="42">
        <f>IF(C15="",0,C15*J$11)</f>
        <v>5208</v>
      </c>
      <c r="E15" s="29">
        <f>IF(DigitaTICA!H8&lt;&gt;"",DigitaTICA!H8,"")</f>
        <v>100</v>
      </c>
      <c r="F15" s="42">
        <f>IF(E15="",0,E15*PREMIOS!F15)</f>
        <v>8500</v>
      </c>
      <c r="G15" s="30">
        <f t="shared" si="4"/>
        <v>29692</v>
      </c>
      <c r="I15" s="115"/>
    </row>
    <row r="16" spans="1:12" x14ac:dyDescent="0.35">
      <c r="A16" s="28" t="s">
        <v>62</v>
      </c>
      <c r="B16" s="132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50</v>
      </c>
      <c r="C17" s="29">
        <f>IF(DigitaNICA!I8&lt;&gt;"",DigitaNICA!I8,"")</f>
        <v>7100</v>
      </c>
      <c r="D17" s="42">
        <f>IF(C17="",0,C17*J$12)</f>
        <v>852</v>
      </c>
      <c r="E17" s="29">
        <f>IF(DigitaNICA!J8&lt;&gt;"",DigitaNICA!J8,"")</f>
        <v>0</v>
      </c>
      <c r="F17" s="42">
        <f>IF(E17="",0,E17*PREMIOS!E17)</f>
        <v>0</v>
      </c>
      <c r="G17" s="30">
        <f t="shared" si="4"/>
        <v>6248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70</v>
      </c>
      <c r="C19" s="29">
        <f>IF(DigitaPRIMERA!C8&lt;&gt;"",DigitaPRIMERA!C8,"")</f>
        <v>29800</v>
      </c>
      <c r="D19" s="42">
        <f>IF(C19="",0,C19*J$14)</f>
        <v>3576</v>
      </c>
      <c r="E19" s="29">
        <f>IF(DigitaPRIMERA!D8&lt;&gt;"",DigitaPRIMERA!D8,"")</f>
        <v>950</v>
      </c>
      <c r="F19" s="42">
        <f>IF(E19="",0,E19*PREMIOS!E19)</f>
        <v>76000</v>
      </c>
      <c r="G19" s="30">
        <f t="shared" si="4"/>
        <v>-49776</v>
      </c>
    </row>
    <row r="20" spans="1:7" x14ac:dyDescent="0.35">
      <c r="A20" s="28" t="s">
        <v>98</v>
      </c>
      <c r="B20" s="132">
        <f>IF(DigitaPRIMERA!E2&lt;&gt;"",DigitaPRIMERA!E2,"")</f>
        <v>64</v>
      </c>
      <c r="C20" s="29">
        <f>IF(DigitaPRIMERA!E8&lt;&gt;"",DigitaPRIMERA!E8,"")</f>
        <v>8350</v>
      </c>
      <c r="D20" s="42">
        <f>IF(C20="",0,C20*J$14)</f>
        <v>1002</v>
      </c>
      <c r="E20" s="29">
        <f>IF(DigitaPRIMERA!F8&lt;&gt;"",DigitaPRIMERA!F8,"")</f>
        <v>0</v>
      </c>
      <c r="F20" s="42">
        <f>IF(E20="",0,E20*PREMIOS!E19)</f>
        <v>0</v>
      </c>
      <c r="G20" s="30">
        <f t="shared" si="4"/>
        <v>7348</v>
      </c>
    </row>
    <row r="21" spans="1:7" ht="15" thickBot="1" x14ac:dyDescent="0.4">
      <c r="A21" s="121" t="s">
        <v>5</v>
      </c>
      <c r="B21" s="128"/>
      <c r="C21" s="122">
        <f>SUM(C5:C20)</f>
        <v>279850</v>
      </c>
      <c r="D21" s="122">
        <f t="shared" ref="D21:G21" si="5">SUM(D5:D20)</f>
        <v>33582</v>
      </c>
      <c r="E21" s="122">
        <f t="shared" si="5"/>
        <v>2200</v>
      </c>
      <c r="F21" s="122">
        <f t="shared" si="5"/>
        <v>181000</v>
      </c>
      <c r="G21" s="123">
        <f t="shared" si="5"/>
        <v>65268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24"/>
  <dimension ref="A1:AML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MARTA ROSA</v>
      </c>
      <c r="C2" s="280"/>
      <c r="D2" s="281"/>
      <c r="J2" s="21" t="s">
        <v>147</v>
      </c>
    </row>
    <row r="3" spans="1:12" ht="15" thickBot="1" x14ac:dyDescent="0.4">
      <c r="I3" s="238"/>
      <c r="J3" s="244" t="s">
        <v>39</v>
      </c>
      <c r="K3" s="245" t="s">
        <v>141</v>
      </c>
      <c r="L3" s="246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21">
        <f>SUM(IF(C7="",0,C7),IF(C11="",0,C11),IF(C15="",0,C15))</f>
        <v>0</v>
      </c>
      <c r="K4" s="225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2">
        <f>IF(DigitaNICA!C2&lt;&gt;"",DigitaNICA!C2,"")</f>
        <v>29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1" t="s">
        <v>38</v>
      </c>
      <c r="J6" s="221">
        <f>SUM(IF(C8="",0,C8),IF(C12="",0,C12),IF(C16="",0,C16))</f>
        <v>0</v>
      </c>
      <c r="K6" s="225">
        <f>D8+D12+D16</f>
        <v>0</v>
      </c>
      <c r="L6" s="222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40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 t="str">
        <f>IF(B7&lt;&gt;"",PREMIOS!B8,"")</f>
        <v>Roja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67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97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50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68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50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70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64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1"/>
      <c r="C21" s="87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PIKIS</v>
      </c>
      <c r="C2" s="280"/>
      <c r="D2" s="281"/>
      <c r="J2" s="21" t="s">
        <v>116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399850</v>
      </c>
      <c r="K4" s="231">
        <f t="shared" ref="K4" si="0">D7+D11+D15</f>
        <v>47982</v>
      </c>
      <c r="L4" s="220">
        <f>F7+F11+F15</f>
        <v>140250</v>
      </c>
    </row>
    <row r="5" spans="1:12" x14ac:dyDescent="0.35">
      <c r="A5" s="28" t="s">
        <v>43</v>
      </c>
      <c r="B5" s="132">
        <f>IF(DigitaNICA!C2&lt;&gt;"",DigitaNICA!C2,"")</f>
        <v>29</v>
      </c>
      <c r="C5" s="29">
        <f>IF(DigitaNICA!C10&lt;&gt;"",DigitaNICA!C10,"")</f>
        <v>65100</v>
      </c>
      <c r="D5" s="42">
        <f>IF(C5="",0,C5*J$15)</f>
        <v>7812</v>
      </c>
      <c r="E5" s="29">
        <f>IF(DigitaNICA!D10&lt;&gt;"",DigitaNICA!D10,"")</f>
        <v>150</v>
      </c>
      <c r="F5" s="42">
        <f>IF(E5="",0,E5*PREMIOS!F5)</f>
        <v>12750</v>
      </c>
      <c r="G5" s="30">
        <f t="shared" ref="G5:G12" si="1">IF(OR(C5="",E5=""),0,C5-D5-F5)</f>
        <v>44538</v>
      </c>
      <c r="I5" s="217" t="s">
        <v>37</v>
      </c>
      <c r="J5" s="221">
        <f>SUM(IF(C5="",0,C5),IF(C9="",0,C9),IF(C13="",0,C13),IF(C17="",0,C17))</f>
        <v>258500</v>
      </c>
      <c r="K5" s="225">
        <f t="shared" ref="K5" si="2">D5+D9+D13+D17</f>
        <v>31020</v>
      </c>
      <c r="L5" s="222">
        <f>F5+F9+F13+F17</f>
        <v>42500</v>
      </c>
    </row>
    <row r="6" spans="1:12" x14ac:dyDescent="0.35">
      <c r="A6" s="28" t="s">
        <v>45</v>
      </c>
      <c r="B6" s="132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71450</v>
      </c>
      <c r="K6" s="226">
        <f t="shared" ref="K6" si="3">+D8+D12+D16</f>
        <v>7145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40</v>
      </c>
      <c r="C7" s="29">
        <f>IF(DigitaTICA!C10&lt;&gt;"",DigitaTICA!C10,"")</f>
        <v>118650</v>
      </c>
      <c r="D7" s="42">
        <f>IF(C7="",0,C7*J$14)</f>
        <v>14238</v>
      </c>
      <c r="E7" s="29">
        <f>IF(DigitaTICA!D10&lt;&gt;"",DigitaTICA!D10,"")</f>
        <v>300</v>
      </c>
      <c r="F7" s="42">
        <f>IF(E7="",0,E7*PREMIOS!F7)</f>
        <v>25500</v>
      </c>
      <c r="G7" s="30">
        <f t="shared" si="1"/>
        <v>78912</v>
      </c>
      <c r="I7" s="217" t="s">
        <v>96</v>
      </c>
      <c r="J7" s="223">
        <f>SUM(IF(C19="",0,C19),IF(C20="",0,C20))</f>
        <v>41900</v>
      </c>
      <c r="K7" s="226">
        <f>+D19+D20</f>
        <v>5028</v>
      </c>
      <c r="L7" s="227">
        <f>+F19+F20</f>
        <v>85000</v>
      </c>
    </row>
    <row r="8" spans="1:12" x14ac:dyDescent="0.35">
      <c r="A8" s="28" t="s">
        <v>47</v>
      </c>
      <c r="B8" s="132" t="str">
        <f>IF(B7&lt;&gt;"",PREMIOS!B8,"")</f>
        <v>Roja</v>
      </c>
      <c r="C8" s="29">
        <f>IF(DigitaREVENTADO!C10&lt;&gt;"",DigitaREVENTADO!C10,"")</f>
        <v>21050</v>
      </c>
      <c r="D8" s="42">
        <f>IF(C8="",0,C8*J$16)</f>
        <v>2105</v>
      </c>
      <c r="E8" s="29">
        <f>IF(DigitaREVENTADO!D10&lt;&gt;"",DigitaREVENTADO!D10,"")</f>
        <v>0</v>
      </c>
      <c r="F8" s="42">
        <f>IF(E8="",0,E8*PREMIOS!F8)</f>
        <v>0</v>
      </c>
      <c r="G8" s="30">
        <f t="shared" si="1"/>
        <v>18945</v>
      </c>
      <c r="I8" s="217" t="s">
        <v>104</v>
      </c>
      <c r="J8" s="223">
        <f>SUM(IF(C21="",0,C21),IF(C22="",0,C22),IF(C23="",0,C23))</f>
        <v>21300</v>
      </c>
      <c r="K8" s="226">
        <f t="shared" ref="K8" si="4">D21+D22+D23</f>
        <v>2556</v>
      </c>
      <c r="L8" s="227">
        <f>F21+F22+F23</f>
        <v>0</v>
      </c>
    </row>
    <row r="9" spans="1:12" x14ac:dyDescent="0.35">
      <c r="A9" s="28" t="s">
        <v>48</v>
      </c>
      <c r="B9" s="132">
        <f>IF(DigitaNICA!E2&lt;&gt;"",DigitaNICA!E2,"")</f>
        <v>67</v>
      </c>
      <c r="C9" s="29">
        <f>IF(DigitaNICA!E10&lt;&gt;"",DigitaNICA!E10,"")</f>
        <v>60150</v>
      </c>
      <c r="D9" s="42">
        <f>IF(C9="",0,C9*J$15)</f>
        <v>7218</v>
      </c>
      <c r="E9" s="29">
        <f>IF(DigitaNICA!F10&lt;&gt;"",DigitaNICA!F10,"")</f>
        <v>100</v>
      </c>
      <c r="F9" s="42">
        <f>IF(E9="",0,E9*PREMIOS!F9)</f>
        <v>8500</v>
      </c>
      <c r="G9" s="30">
        <f t="shared" si="1"/>
        <v>44432</v>
      </c>
      <c r="I9" s="217" t="s">
        <v>20</v>
      </c>
      <c r="J9" s="223">
        <f>SUM(IF(C24="",0,C24),IF(C25="",0,C25))</f>
        <v>72500</v>
      </c>
      <c r="K9" s="226">
        <f t="shared" ref="K9" si="5">+D24+D25</f>
        <v>8700</v>
      </c>
      <c r="L9" s="227">
        <f>F24+F25</f>
        <v>127500</v>
      </c>
    </row>
    <row r="10" spans="1:12" ht="15" thickBot="1" x14ac:dyDescent="0.4">
      <c r="A10" s="28" t="s">
        <v>49</v>
      </c>
      <c r="B10" s="132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97</v>
      </c>
      <c r="C11" s="29">
        <f>IF(DigitaTICA!E10&lt;&gt;"",DigitaTICA!E10,"")</f>
        <v>114350</v>
      </c>
      <c r="D11" s="42">
        <f>IF(C11="",0,C11*J$14)</f>
        <v>13722</v>
      </c>
      <c r="E11" s="29">
        <f>IF(DigitaTICA!F10&lt;&gt;"",DigitaTICA!F10,"")</f>
        <v>100</v>
      </c>
      <c r="F11" s="42">
        <f>IF(E11="",0,E11*PREMIOS!F11)</f>
        <v>8500</v>
      </c>
      <c r="G11" s="30">
        <f t="shared" si="1"/>
        <v>92128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>
        <f>IF(DigitaREVENTADO!E10&lt;&gt;"",DigitaREVENTADO!E10,"")</f>
        <v>18450</v>
      </c>
      <c r="D12" s="42">
        <f>IF(C12="",0,C12*J$16)</f>
        <v>1845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16605</v>
      </c>
    </row>
    <row r="13" spans="1:12" ht="15" thickBot="1" x14ac:dyDescent="0.4">
      <c r="A13" s="28" t="s">
        <v>50</v>
      </c>
      <c r="B13" s="132">
        <f>IF(DigitaNICA!G2&lt;&gt;"",DigitaNICA!G2,"")</f>
        <v>50</v>
      </c>
      <c r="C13" s="29">
        <f>IF(DigitaNICA!G10&lt;&gt;"",DigitaNICA!G10,"")</f>
        <v>53300</v>
      </c>
      <c r="D13" s="42">
        <f>IF(C13="",0,C13*J$15)</f>
        <v>6396</v>
      </c>
      <c r="E13" s="29">
        <f>IF(DigitaNICA!H10&lt;&gt;"",DigitaNICA!H10,"")</f>
        <v>0</v>
      </c>
      <c r="F13" s="42">
        <f>IF(E13="",0,E13*PREMIOS!F13)</f>
        <v>0</v>
      </c>
      <c r="G13" s="30">
        <f>IF(OR(C13="",E13=""),0,C13-D13-F13)</f>
        <v>46904</v>
      </c>
      <c r="I13" s="279" t="s">
        <v>34</v>
      </c>
      <c r="J13" s="279"/>
      <c r="K13" s="279"/>
    </row>
    <row r="14" spans="1:12" x14ac:dyDescent="0.35">
      <c r="A14" s="28" t="s">
        <v>51</v>
      </c>
      <c r="B14" s="132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6" t="s">
        <v>36</v>
      </c>
      <c r="J14" s="77">
        <v>0.12</v>
      </c>
      <c r="K14" s="78">
        <f>MROUND(D7+D11+D15,50)</f>
        <v>48000</v>
      </c>
    </row>
    <row r="15" spans="1:12" x14ac:dyDescent="0.35">
      <c r="A15" s="28" t="s">
        <v>61</v>
      </c>
      <c r="B15" s="132">
        <f>IF(DigitaTICA!G2&lt;&gt;"",DigitaTICA!G2,"")</f>
        <v>68</v>
      </c>
      <c r="C15" s="29">
        <f>IF(DigitaTICA!G10&lt;&gt;"",DigitaTICA!G10,"")</f>
        <v>166850</v>
      </c>
      <c r="D15" s="42">
        <f>IF(C15="",0,C15*J$14)</f>
        <v>20022</v>
      </c>
      <c r="E15" s="29">
        <f>IF(DigitaTICA!H10&lt;&gt;"",DigitaTICA!H10,"")</f>
        <v>1250</v>
      </c>
      <c r="F15" s="42">
        <f>IF(E15="",0,E15*PREMIOS!F15)</f>
        <v>106250</v>
      </c>
      <c r="G15" s="30">
        <f t="shared" si="6"/>
        <v>40578</v>
      </c>
      <c r="I15" s="63" t="s">
        <v>37</v>
      </c>
      <c r="J15" s="64">
        <v>0.12</v>
      </c>
      <c r="K15" s="30">
        <f>MROUND(D5+D9+D13+D17,50)</f>
        <v>31000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IF(DigitaREVENTADO!G10&lt;&gt;"",DigitaREVENTADO!G10,"")</f>
        <v>31950</v>
      </c>
      <c r="D16" s="42">
        <f>IF(C16="",0,C16*J$16)</f>
        <v>3195</v>
      </c>
      <c r="E16" s="29">
        <f>IF(DigitaREVENTADO!H10&lt;&gt;"",DigitaREVENTADO!H10,"")</f>
        <v>0</v>
      </c>
      <c r="F16" s="42">
        <f>IF(E16="",0,E16*PREMIOS!F16)</f>
        <v>0</v>
      </c>
      <c r="G16" s="30">
        <f t="shared" si="6"/>
        <v>28755</v>
      </c>
      <c r="I16" s="63" t="s">
        <v>38</v>
      </c>
      <c r="J16" s="64">
        <v>0.1</v>
      </c>
      <c r="K16" s="30">
        <f>MROUND(D6+D8+D10+D12+D14+D16+D18,50)</f>
        <v>7150</v>
      </c>
    </row>
    <row r="17" spans="1:11" x14ac:dyDescent="0.35">
      <c r="A17" s="28" t="s">
        <v>52</v>
      </c>
      <c r="B17" s="132">
        <f>IF(DigitaNICA!I2&lt;&gt;"",DigitaNICA!I2,"")</f>
        <v>50</v>
      </c>
      <c r="C17" s="29">
        <f>IF(DigitaNICA!I10&lt;&gt;"",DigitaNICA!I10,"")</f>
        <v>79950</v>
      </c>
      <c r="D17" s="42">
        <f>IF(C17="",0,C17*J$15)</f>
        <v>9594</v>
      </c>
      <c r="E17" s="29">
        <f>IF(DigitaNICA!J10&lt;&gt;"",DigitaNICA!J10,"")</f>
        <v>250</v>
      </c>
      <c r="F17" s="42">
        <f>IF(E17="",0,E17*PREMIOS!F17)</f>
        <v>21250</v>
      </c>
      <c r="G17" s="30">
        <f t="shared" si="6"/>
        <v>49106</v>
      </c>
      <c r="I17" s="63" t="s">
        <v>96</v>
      </c>
      <c r="J17" s="64">
        <v>0.12</v>
      </c>
      <c r="K17" s="30">
        <f>MROUND(D19+D20,50)</f>
        <v>5050</v>
      </c>
    </row>
    <row r="18" spans="1:11" x14ac:dyDescent="0.35">
      <c r="A18" s="28" t="s">
        <v>53</v>
      </c>
      <c r="B18" s="132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2550</v>
      </c>
    </row>
    <row r="19" spans="1:11" x14ac:dyDescent="0.35">
      <c r="A19" s="28" t="s">
        <v>97</v>
      </c>
      <c r="B19" s="132">
        <f>IF(DigitaPRIMERA!C2&lt;&gt;"",DigitaPRIMERA!C2,"")</f>
        <v>70</v>
      </c>
      <c r="C19" s="29">
        <f>IF(DigitaPRIMERA!$C$10&lt;&gt;"",DigitaPRIMERA!$C$10,"")</f>
        <v>27150</v>
      </c>
      <c r="D19" s="42">
        <f>IF(C19="",0,C19*J$17)</f>
        <v>3258</v>
      </c>
      <c r="E19" s="29">
        <f>IF(DigitaPRIMERA!$D$10&lt;&gt;"",DigitaPRIMERA!$D$10,"")</f>
        <v>1000</v>
      </c>
      <c r="F19" s="42">
        <f>IF(E19="",0,E19*PREMIOS!F19)</f>
        <v>85000</v>
      </c>
      <c r="G19" s="30">
        <f t="shared" ref="G19:G22" si="7">IF(OR(C19="",E19=""),0,C19-D19-F19)</f>
        <v>-61108</v>
      </c>
      <c r="I19" s="63" t="s">
        <v>20</v>
      </c>
      <c r="J19" s="64">
        <v>0.12</v>
      </c>
      <c r="K19" s="30">
        <f>MROUND(D24+D25,50)</f>
        <v>8700</v>
      </c>
    </row>
    <row r="20" spans="1:11" ht="15" thickBot="1" x14ac:dyDescent="0.4">
      <c r="A20" s="28" t="s">
        <v>98</v>
      </c>
      <c r="B20" s="132">
        <f>IF(DigitaPRIMERA!E2&lt;&gt;"",DigitaPRIMERA!E2,"")</f>
        <v>64</v>
      </c>
      <c r="C20" s="29">
        <f>IF(DigitaPRIMERA!$E$10&lt;&gt;"",DigitaPRIMERA!$E$10,"")</f>
        <v>14750</v>
      </c>
      <c r="D20" s="42">
        <f>IF(C20="",0,C20*J$17)</f>
        <v>1770</v>
      </c>
      <c r="E20" s="29">
        <f>IF(DigitaPRIMERA!$F$10&lt;&gt;"",DigitaPRIMERA!$F$10,"")</f>
        <v>0</v>
      </c>
      <c r="F20" s="42">
        <f>IF(E20="",0,E20*PREMIOS!F19)</f>
        <v>0</v>
      </c>
      <c r="G20" s="30">
        <f t="shared" si="7"/>
        <v>12980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2">
        <f>IF(DigitaHONDURAS!C2&lt;&gt;"",DigitaHONDURAS!C2,"")</f>
        <v>87</v>
      </c>
      <c r="C21" s="29">
        <f>IF(DigitaHONDURAS!$C$10&lt;&gt;"",DigitaHONDURAS!$C$10,"")</f>
        <v>16650</v>
      </c>
      <c r="D21" s="42">
        <f>IF(C21="",0,C21*J$18)</f>
        <v>1998</v>
      </c>
      <c r="E21" s="29">
        <f>IF(DigitaHONDURAS!$D$10&lt;&gt;"",DigitaHONDURAS!$D$10,"")</f>
        <v>0</v>
      </c>
      <c r="F21" s="42">
        <f>IF(E21="",0,E21*PREMIOS!F20)</f>
        <v>0</v>
      </c>
      <c r="G21" s="30">
        <f t="shared" si="7"/>
        <v>14652</v>
      </c>
    </row>
    <row r="22" spans="1:11" x14ac:dyDescent="0.35">
      <c r="A22" s="28" t="s">
        <v>100</v>
      </c>
      <c r="B22" s="132">
        <f>IF(DigitaHONDURAS!E2&lt;&gt;"",DigitaHONDURAS!E2,"")</f>
        <v>60</v>
      </c>
      <c r="C22" s="29">
        <f>IF(DigitaHONDURAS!$E$10&lt;&gt;"",DigitaHONDURAS!$E$10,"")</f>
        <v>3800</v>
      </c>
      <c r="D22" s="42">
        <f>IF(C22="",0,C22*J$18)</f>
        <v>456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3344</v>
      </c>
    </row>
    <row r="23" spans="1:11" x14ac:dyDescent="0.35">
      <c r="A23" s="28" t="s">
        <v>101</v>
      </c>
      <c r="B23" s="132">
        <f>IF(DigitaHONDURAS!G2&lt;&gt;"",DigitaHONDURAS!G2,"")</f>
        <v>38</v>
      </c>
      <c r="C23" s="29">
        <f>IF(DigitaHONDURAS!$G$10&lt;&gt;"",DigitaHONDURAS!$G$10,"")</f>
        <v>850</v>
      </c>
      <c r="D23" s="42">
        <f>IF(C23="",0,C23*J$18)</f>
        <v>102</v>
      </c>
      <c r="E23" s="29">
        <f>IF(DigitaHONDURAS!$H$10&lt;&gt;"",DigitaHONDURAS!$H$10,"")</f>
        <v>0</v>
      </c>
      <c r="F23" s="42">
        <f>IF(E23="",0,E23*PREMIOS!F20)</f>
        <v>0</v>
      </c>
      <c r="G23" s="30">
        <f t="shared" ref="G23:G26" si="8">IF(OR(C23="",E23=""),0,C23-D23-F23)</f>
        <v>748</v>
      </c>
    </row>
    <row r="24" spans="1:11" x14ac:dyDescent="0.35">
      <c r="A24" s="28" t="s">
        <v>107</v>
      </c>
      <c r="B24" s="132">
        <f>IF(DigitaDOMINICANA!C2&lt;&gt;"",DigitaDOMINICANA!C2,"")</f>
        <v>48</v>
      </c>
      <c r="C24" s="29">
        <f>IF(DigitaDOMINICANA!$C$10&lt;&gt;"",DigitaDOMINICANA!$C$10,"")</f>
        <v>34500</v>
      </c>
      <c r="D24" s="42">
        <f>IF(C24="",0,C24*J$19)</f>
        <v>4140</v>
      </c>
      <c r="E24" s="29">
        <f>IF(DigitaDOMINICANA!$D$10&lt;&gt;"",DigitaDOMINICANA!$D$10,"")</f>
        <v>500</v>
      </c>
      <c r="F24" s="42">
        <f>IF(E24="",0,E24*PREMIOS!F21)</f>
        <v>42500</v>
      </c>
      <c r="G24" s="30">
        <f t="shared" si="8"/>
        <v>-12140</v>
      </c>
    </row>
    <row r="25" spans="1:11" x14ac:dyDescent="0.35">
      <c r="A25" s="28" t="s">
        <v>108</v>
      </c>
      <c r="B25" s="132">
        <f>IF(DigitaDOMINICANA!E2&lt;&gt;"",DigitaDOMINICANA!E2,"")</f>
        <v>88</v>
      </c>
      <c r="C25" s="29">
        <f>IF(DigitaDOMINICANA!$E$10&lt;&gt;"",DigitaDOMINICANA!$E$10,"")</f>
        <v>38000</v>
      </c>
      <c r="D25" s="42">
        <f>IF(C25="",0,C25*J$19)</f>
        <v>4560</v>
      </c>
      <c r="E25" s="29">
        <f>IF(DigitaDOMINICANA!$F$10&lt;&gt;"",DigitaDOMINICANA!$F$10,"")</f>
        <v>1000</v>
      </c>
      <c r="F25" s="42">
        <f>IF(E25="",0,E25*PREMIOS!F21)</f>
        <v>85000</v>
      </c>
      <c r="G25" s="30">
        <f t="shared" si="8"/>
        <v>-51560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7"/>
      <c r="C27" s="68">
        <f>SUM(C5:C26)</f>
        <v>865500</v>
      </c>
      <c r="D27" s="68">
        <f t="shared" ref="D27:F27" si="9">SUM(D5:D26)</f>
        <v>102431</v>
      </c>
      <c r="E27" s="68">
        <f t="shared" si="9"/>
        <v>4650</v>
      </c>
      <c r="F27" s="68">
        <f t="shared" si="9"/>
        <v>395250</v>
      </c>
      <c r="G27" s="88">
        <f>SUM(G5:G26)</f>
        <v>367819</v>
      </c>
    </row>
  </sheetData>
  <mergeCells count="2">
    <mergeCell ref="I13:K13"/>
    <mergeCell ref="B2:D2"/>
  </mergeCells>
  <pageMargins left="0.7" right="0.7" top="0.75" bottom="0.75" header="0.51180555555555496" footer="0.51180555555555496"/>
  <pageSetup scale="75" orientation="landscape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4" style="21" customWidth="1"/>
    <col min="9" max="12" width="11.54296875" style="21" customWidth="1"/>
    <col min="13" max="13" width="7.453125" style="21" customWidth="1"/>
    <col min="14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ISA</v>
      </c>
      <c r="C2" s="280"/>
      <c r="D2" s="281"/>
      <c r="J2" s="21" t="s">
        <v>93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27700</v>
      </c>
      <c r="K4" s="231">
        <f t="shared" ref="K4" si="0">D7+D11+D15</f>
        <v>3324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29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40</v>
      </c>
      <c r="C7" s="29">
        <f>IF(DigitaTICA!C11&lt;&gt;"",DigitaTICA!C11,"")</f>
        <v>4000</v>
      </c>
      <c r="D7" s="42">
        <f>IF(C7="",0,C7*J$11)</f>
        <v>480</v>
      </c>
      <c r="E7" s="29">
        <f>IF(DigitaTICA!D11&lt;&gt;"",DigitaTICA!D11,"")</f>
        <v>0</v>
      </c>
      <c r="F7" s="133">
        <f>IF(E7="",0,E7*PREMIOS!F7)</f>
        <v>0</v>
      </c>
      <c r="G7" s="30">
        <f t="shared" si="1"/>
        <v>3520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3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67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3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1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97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3">
        <f>IF(E11="",0,E11*PREMIOS!F11)</f>
        <v>0</v>
      </c>
      <c r="G11" s="30">
        <f t="shared" si="1"/>
        <v>0</v>
      </c>
      <c r="I11" s="76" t="s">
        <v>36</v>
      </c>
      <c r="J11" s="77">
        <v>0.12</v>
      </c>
      <c r="K11" s="78">
        <f>MROUND(D7+D11+D15,50)</f>
        <v>3300</v>
      </c>
    </row>
    <row r="12" spans="1:12" x14ac:dyDescent="0.35">
      <c r="A12" s="28" t="s">
        <v>60</v>
      </c>
      <c r="B12" s="132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3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50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68</v>
      </c>
      <c r="C15" s="29">
        <f>IF(DigitaTICA!G11&lt;&gt;"",DigitaTICA!G11,"")</f>
        <v>23700</v>
      </c>
      <c r="D15" s="42">
        <f>IF(C15="",0,C15*J$11)</f>
        <v>2844</v>
      </c>
      <c r="E15" s="29">
        <f>IF(DigitaTICA!H11&lt;&gt;"",DigitaTICA!H11,"")</f>
        <v>0</v>
      </c>
      <c r="F15" s="133">
        <f>IF(E15="",0,E15*PREMIOS!F15)</f>
        <v>0</v>
      </c>
      <c r="G15" s="30">
        <f t="shared" si="4"/>
        <v>20856</v>
      </c>
    </row>
    <row r="16" spans="1:12" x14ac:dyDescent="0.35">
      <c r="A16" s="28" t="s">
        <v>62</v>
      </c>
      <c r="B16" s="132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3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50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70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2">
        <f>IF(DigitaPRIMERA!E2&lt;&gt;"",DigitaPRIMERA!E2,"")</f>
        <v>64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1" t="s">
        <v>5</v>
      </c>
      <c r="B21" s="128"/>
      <c r="C21" s="122">
        <f>SUM(C5:C20)</f>
        <v>27700</v>
      </c>
      <c r="D21" s="122">
        <f t="shared" ref="D21:G21" si="5">SUM(D5:D20)</f>
        <v>3324</v>
      </c>
      <c r="E21" s="122">
        <f t="shared" si="5"/>
        <v>0</v>
      </c>
      <c r="F21" s="122">
        <f t="shared" si="5"/>
        <v>0</v>
      </c>
      <c r="G21" s="123">
        <f t="shared" si="5"/>
        <v>24376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6 C10 E10 E6 C14 E14" unlockedFormula="1"/>
  </ignoredError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5"/>
  <dimension ref="A1:AML28"/>
  <sheetViews>
    <sheetView showGridLines="0" topLeftCell="A8" zoomScale="90" zoomScaleNormal="90" workbookViewId="0">
      <selection activeCell="G29" sqref="G29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JUAN FELIX</v>
      </c>
      <c r="C2" s="280"/>
      <c r="D2" s="281"/>
      <c r="J2" s="21" t="s">
        <v>118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52800</v>
      </c>
      <c r="K4" s="231">
        <f>D7+D11+D15</f>
        <v>6336</v>
      </c>
      <c r="L4" s="220">
        <f>F7+F11+F15</f>
        <v>12750</v>
      </c>
    </row>
    <row r="5" spans="1:12" x14ac:dyDescent="0.35">
      <c r="A5" s="28" t="s">
        <v>43</v>
      </c>
      <c r="B5" s="132">
        <f>IF(DigitaNICA!C2&lt;&gt;"",DigitaNICA!C2,"")</f>
        <v>29</v>
      </c>
      <c r="C5" s="29">
        <f>IF(DigitaNICA!C12&lt;&gt;"",DigitaNICA!C12,"")</f>
        <v>23550</v>
      </c>
      <c r="D5" s="42">
        <f>IF(C5="",0,C5*J$12)</f>
        <v>2826</v>
      </c>
      <c r="E5" s="29">
        <f>IF(DigitaNICA!D12&lt;&gt;"",DigitaNICA!D12,"")</f>
        <v>0</v>
      </c>
      <c r="F5" s="42">
        <f>IF(E5="",0,E5*PREMIOS!F5)</f>
        <v>0</v>
      </c>
      <c r="G5" s="30">
        <f t="shared" ref="G5:G12" si="0">IF(OR(C5="",E5=""),0,C5-D5-F5)</f>
        <v>20724</v>
      </c>
      <c r="I5" s="217" t="s">
        <v>37</v>
      </c>
      <c r="J5" s="221">
        <f>SUM(IF(C5="",0,C5),IF(C9="",0,C9),IF(C13="",0,C13),IF(C17="",0,C17))</f>
        <v>31200</v>
      </c>
      <c r="K5" s="225">
        <f t="shared" ref="K5" si="1">D5+D9+D13+D17</f>
        <v>3744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7" t="s">
        <v>38</v>
      </c>
      <c r="J6" s="221">
        <f>SUM(IF(C8="",0,C8),IF(C12="",0,C12),IF(C16="",0,C16))</f>
        <v>1750</v>
      </c>
      <c r="K6" s="226">
        <f t="shared" ref="K6" si="2">+D8+D12+D16</f>
        <v>175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40</v>
      </c>
      <c r="C7" s="29">
        <f>IF(DigitaTICA!C12&lt;&gt;"",DigitaTICA!C12,"")</f>
        <v>19400</v>
      </c>
      <c r="D7" s="42">
        <f>IF(C7="",0,C7*J$11)</f>
        <v>2328</v>
      </c>
      <c r="E7" s="29">
        <f>IF(DigitaTICA!D12&lt;&gt;"",DigitaTICA!D12,"")</f>
        <v>0</v>
      </c>
      <c r="F7" s="42">
        <f>IF(E7="",0,E7*PREMIOS!F7)</f>
        <v>0</v>
      </c>
      <c r="G7" s="30">
        <f t="shared" si="0"/>
        <v>17072</v>
      </c>
      <c r="I7" s="217" t="s">
        <v>96</v>
      </c>
      <c r="J7" s="223">
        <f>SUM(IF(C19="",0,C19),IF(C20="",0,C20))</f>
        <v>12550</v>
      </c>
      <c r="K7" s="226">
        <f>+D19+D20</f>
        <v>1506</v>
      </c>
      <c r="L7" s="227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>
        <f>IF(DigitaREVENTADO!C12&lt;&gt;"",DigitaREVENTADO!C12,"")</f>
        <v>150</v>
      </c>
      <c r="D8" s="42">
        <f>IF(C8="",0,C8*J$13)</f>
        <v>15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135</v>
      </c>
      <c r="I8" s="218" t="s">
        <v>104</v>
      </c>
      <c r="J8" s="224">
        <f>SUM(IF(C21="",0,C21),IF(C22="",0,C22),IF(C23="",0,C23))</f>
        <v>0</v>
      </c>
      <c r="K8" s="228">
        <f>+D21+D22+D23</f>
        <v>0</v>
      </c>
      <c r="L8" s="229">
        <f>+F21+F22+F23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67</v>
      </c>
      <c r="C9" s="29">
        <f>IF(DigitaNICA!E12&lt;&gt;"",DigitaNICA!E12,"")</f>
        <v>7650</v>
      </c>
      <c r="D9" s="42">
        <f>IF(C9="",0,C9*J$12)</f>
        <v>918</v>
      </c>
      <c r="E9" s="29">
        <f>IF(DigitaNICA!F12&lt;&gt;"",DigitaNICA!F12,"")</f>
        <v>0</v>
      </c>
      <c r="F9" s="42">
        <f>IF(E9="",0,E9*PREMIOS!F9)</f>
        <v>0</v>
      </c>
      <c r="G9" s="30">
        <f t="shared" si="0"/>
        <v>6732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97</v>
      </c>
      <c r="C11" s="29">
        <f>IF(DigitaTICA!E12&lt;&gt;"",DigitaTICA!E12,"")</f>
        <v>10500</v>
      </c>
      <c r="D11" s="42">
        <f>IF(C11="",0,C11*J$11)</f>
        <v>1260</v>
      </c>
      <c r="E11" s="29">
        <f>IF(DigitaTICA!F12&lt;&gt;"",DigitaTICA!F12,"")</f>
        <v>0</v>
      </c>
      <c r="F11" s="42">
        <f>IF(E11="",0,E11*PREMIOS!F11)</f>
        <v>0</v>
      </c>
      <c r="G11" s="30">
        <f t="shared" si="0"/>
        <v>9240</v>
      </c>
      <c r="I11" s="60" t="s">
        <v>36</v>
      </c>
      <c r="J11" s="61">
        <v>0.12</v>
      </c>
      <c r="K11" s="62">
        <f>MROUND(D7+D11+D15,50)</f>
        <v>6350</v>
      </c>
    </row>
    <row r="12" spans="1:12" x14ac:dyDescent="0.35">
      <c r="A12" s="28" t="s">
        <v>60</v>
      </c>
      <c r="B12" s="132" t="str">
        <f>IF(B11&lt;&gt;"",PREMIOS!B12,"")</f>
        <v>Blanca</v>
      </c>
      <c r="C12" s="29">
        <f>IF(DigitaREVENTADO!E12&lt;&gt;"",DigitaREVENTADO!E12,"")</f>
        <v>500</v>
      </c>
      <c r="D12" s="42">
        <f>IF(C12="",0,C12*J$13)</f>
        <v>50</v>
      </c>
      <c r="E12" s="29">
        <f>IF(DigitaREVENTADO!F12&lt;&gt;"",DigitaREVENTADO!F12,"")</f>
        <v>0</v>
      </c>
      <c r="F12" s="42">
        <f>IF(E12="",0,E12*PREMIOS!F12)</f>
        <v>0</v>
      </c>
      <c r="G12" s="30">
        <f t="shared" si="0"/>
        <v>450</v>
      </c>
      <c r="I12" s="63" t="s">
        <v>37</v>
      </c>
      <c r="J12" s="64">
        <v>0.12</v>
      </c>
      <c r="K12" s="30">
        <f>MROUND(D5+D9+D13+D17,50)</f>
        <v>3750</v>
      </c>
    </row>
    <row r="13" spans="1:12" x14ac:dyDescent="0.35">
      <c r="A13" s="28" t="s">
        <v>50</v>
      </c>
      <c r="B13" s="132">
        <f>IF(DigitaNICA!G2&lt;&gt;"",DigitaNICA!G2,"")</f>
        <v>50</v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200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1500</v>
      </c>
    </row>
    <row r="15" spans="1:12" ht="15" thickBot="1" x14ac:dyDescent="0.4">
      <c r="A15" s="28" t="s">
        <v>61</v>
      </c>
      <c r="B15" s="132">
        <f>IF(DigitaTICA!G2&lt;&gt;"",DigitaTICA!G2,"")</f>
        <v>68</v>
      </c>
      <c r="C15" s="29">
        <f>IF(DigitaTICA!G12&lt;&gt;"",DigitaTICA!G12,"")</f>
        <v>22900</v>
      </c>
      <c r="D15" s="42">
        <f>IF(C15="",0,C15*J$11)</f>
        <v>2748</v>
      </c>
      <c r="E15" s="29">
        <f>IF(DigitaTICA!H12&lt;&gt;"",DigitaTICA!H12,"")</f>
        <v>150</v>
      </c>
      <c r="F15" s="42">
        <f>IF(E15="",0,E15*PREMIOS!F15)</f>
        <v>12750</v>
      </c>
      <c r="G15" s="30">
        <f t="shared" si="3"/>
        <v>7402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IF(DigitaREVENTADO!G12&lt;&gt;"",DigitaREVENTADO!G12,"")</f>
        <v>1100</v>
      </c>
      <c r="D16" s="42">
        <f>IF(C16="",0,C16*J$13)</f>
        <v>110</v>
      </c>
      <c r="E16" s="29">
        <f>IF(DigitaREVENTADO!H12&lt;&gt;"",DigitaREVENTADO!H12,"")</f>
        <v>0</v>
      </c>
      <c r="F16" s="42">
        <f>IF(E16="",0,E16*PREMIOS!F16)</f>
        <v>0</v>
      </c>
      <c r="G16" s="30">
        <f t="shared" si="3"/>
        <v>990</v>
      </c>
    </row>
    <row r="17" spans="1:7" x14ac:dyDescent="0.35">
      <c r="A17" s="28" t="s">
        <v>52</v>
      </c>
      <c r="B17" s="132">
        <f>IF(DigitaNICA!I2&lt;&gt;"",DigitaNICA!I2,"")</f>
        <v>50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70</v>
      </c>
      <c r="C19" s="29">
        <f>IF(DigitaPRIMERA!$C$12&lt;&gt;"",DigitaPRIMERA!$C$12,"")</f>
        <v>12550</v>
      </c>
      <c r="D19" s="42">
        <f>IF(C19="",0,C19*J$14)</f>
        <v>1506</v>
      </c>
      <c r="E19" s="29">
        <f>IF(DigitaPRIMERA!$D$12&lt;&gt;"",DigitaPRIMERA!$D$12,"")</f>
        <v>0</v>
      </c>
      <c r="F19" s="42">
        <f>IF(E19="",0,E19*PREMIOS!F19)</f>
        <v>0</v>
      </c>
      <c r="G19" s="30">
        <f t="shared" si="3"/>
        <v>11044</v>
      </c>
    </row>
    <row r="20" spans="1:7" x14ac:dyDescent="0.35">
      <c r="A20" s="28" t="s">
        <v>98</v>
      </c>
      <c r="B20" s="132">
        <f>IF(DigitaPRIMERA!E2&lt;&gt;"",DigitaPRIMERA!E2,"")</f>
        <v>64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87</v>
      </c>
      <c r="C21" s="29" t="str">
        <f>IF(DigitaHONDURAS!$C$12&lt;&gt;"",DigitaHONDURAS!$C$12,"")</f>
        <v/>
      </c>
      <c r="D21" s="42">
        <f>IF(C21="",0,C21*J$15)</f>
        <v>0</v>
      </c>
      <c r="E21" s="29" t="str">
        <f>IF(DigitaHONDURAS!$D$12&lt;&gt;"",DigitaHONDURAS!$D$12,"")</f>
        <v/>
      </c>
      <c r="F21" s="42">
        <f>IF(E21="",0,E21*PREMIOS!F20)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60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38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7"/>
      <c r="C24" s="68">
        <f>SUM(C5:C23)</f>
        <v>98300</v>
      </c>
      <c r="D24" s="68">
        <f t="shared" ref="D24:G24" si="4">SUM(D5:D23)</f>
        <v>11761</v>
      </c>
      <c r="E24" s="68">
        <f t="shared" si="4"/>
        <v>150</v>
      </c>
      <c r="F24" s="68">
        <f t="shared" si="4"/>
        <v>12750</v>
      </c>
      <c r="G24" s="88">
        <f t="shared" si="4"/>
        <v>73789</v>
      </c>
    </row>
    <row r="27" spans="1:7" x14ac:dyDescent="0.35">
      <c r="G27" s="21">
        <v>225901</v>
      </c>
    </row>
    <row r="28" spans="1:7" x14ac:dyDescent="0.35">
      <c r="G28" s="141">
        <f>+G24+G27</f>
        <v>299690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5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57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109850</v>
      </c>
      <c r="K4" s="231">
        <f t="shared" ref="K4" si="0">D7+D11+D15</f>
        <v>13182</v>
      </c>
      <c r="L4" s="220">
        <f>F7+F11+F15</f>
        <v>357000</v>
      </c>
    </row>
    <row r="5" spans="1:12" ht="15" thickBot="1" x14ac:dyDescent="0.4">
      <c r="A5" s="28" t="s">
        <v>43</v>
      </c>
      <c r="B5" s="132">
        <f>IF(DigitaNICA!C2&lt;&gt;"",DigitaNICA!C2,"")</f>
        <v>29</v>
      </c>
      <c r="C5" s="29">
        <f>IF(DigitaNICA!C13&lt;&gt;"",DigitaNICA!C13,"")</f>
        <v>28700</v>
      </c>
      <c r="D5" s="42">
        <f>IF(C5="",0,C5*J$10)</f>
        <v>3444</v>
      </c>
      <c r="E5" s="29">
        <f>IF(DigitaNICA!D13&lt;&gt;"",DigitaNICA!D13,"")</f>
        <v>0</v>
      </c>
      <c r="F5" s="42">
        <f>IF(E5="",0,E5*PREMIOS!E5)</f>
        <v>0</v>
      </c>
      <c r="G5" s="30">
        <f t="shared" ref="G5:G12" si="1">IF(OR(C5="",E5=""),0,C5-D5-F5)</f>
        <v>25256</v>
      </c>
      <c r="I5" s="218" t="s">
        <v>37</v>
      </c>
      <c r="J5" s="232">
        <f>SUM(IF(C5="",0,C5),IF(C9="",0,C9),IF(C13="",0,C13),IF(C17="",0,C17))</f>
        <v>73650</v>
      </c>
      <c r="K5" s="233">
        <f t="shared" ref="K5" si="2">D5+D9+D13+D17</f>
        <v>8838</v>
      </c>
      <c r="L5" s="234">
        <f>F5+F9+F13+F17</f>
        <v>8000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40</v>
      </c>
      <c r="C7" s="29">
        <f>IF(DigitaTICA!C13&lt;&gt;"",DigitaTICA!C13,"")</f>
        <v>18300</v>
      </c>
      <c r="D7" s="42">
        <f>IF(C7="",0,C7*J$9)</f>
        <v>2196</v>
      </c>
      <c r="E7" s="29">
        <f>IF(DigitaTICA!D13&lt;&gt;"",DigitaTICA!D13,"")</f>
        <v>1000</v>
      </c>
      <c r="F7" s="133">
        <f>IF(E7="",0,E7*PREMIOS!F7)</f>
        <v>85000</v>
      </c>
      <c r="G7" s="30">
        <f t="shared" si="1"/>
        <v>-68896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67</v>
      </c>
      <c r="C9" s="29">
        <f>IF(DigitaNICA!E13&lt;&gt;"",DigitaNICA!E13,"")</f>
        <v>9700</v>
      </c>
      <c r="D9" s="42">
        <f>IF(C9="",0,C9*J$10)</f>
        <v>1164</v>
      </c>
      <c r="E9" s="29">
        <f>IF(DigitaNICA!F13&lt;&gt;"",DigitaNICA!F13,"")</f>
        <v>0</v>
      </c>
      <c r="F9" s="133">
        <f>IF(E9="",0,E9*PREMIOS!E9)</f>
        <v>0</v>
      </c>
      <c r="G9" s="30">
        <f t="shared" si="1"/>
        <v>8536</v>
      </c>
      <c r="I9" s="60" t="s">
        <v>36</v>
      </c>
      <c r="J9" s="61">
        <v>0.12</v>
      </c>
      <c r="K9" s="62">
        <f>MROUND(D7+D11+D15,50)</f>
        <v>13200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8850</v>
      </c>
    </row>
    <row r="11" spans="1:12" ht="15" thickBot="1" x14ac:dyDescent="0.4">
      <c r="A11" s="28" t="s">
        <v>59</v>
      </c>
      <c r="B11" s="132">
        <f>IF(DigitaTICA!E2&lt;&gt;"",DigitaTICA!E2,"")</f>
        <v>97</v>
      </c>
      <c r="C11" s="29">
        <f>IF(DigitaTICA!E13&lt;&gt;"",DigitaTICA!E13,"")</f>
        <v>25400</v>
      </c>
      <c r="D11" s="42">
        <f>IF(C11="",0,C11*J$9)</f>
        <v>3048</v>
      </c>
      <c r="E11" s="29">
        <f>IF(DigitaTICA!F13&lt;&gt;"",DigitaTICA!F13,"")</f>
        <v>200</v>
      </c>
      <c r="F11" s="133">
        <f>IF(E11="",0,E11*PREMIOS!F11)</f>
        <v>17000</v>
      </c>
      <c r="G11" s="30">
        <f t="shared" si="1"/>
        <v>5352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50</v>
      </c>
      <c r="C13" s="29">
        <f>IF(DigitaNICA!G13&lt;&gt;"",DigitaNICA!G13,"")</f>
        <v>16550</v>
      </c>
      <c r="D13" s="42">
        <f>IF(C13="",0,C13*J$10)</f>
        <v>1986</v>
      </c>
      <c r="E13" s="29">
        <f>IF(DigitaNICA!H13&lt;&gt;"",DigitaNICA!H13,"")</f>
        <v>0</v>
      </c>
      <c r="F13" s="133">
        <f>IF(E13="",0,E13*PREMIOS!E13)</f>
        <v>0</v>
      </c>
      <c r="G13" s="30">
        <f>IF(OR(C13="",E13=""),0,C13-D13-F13)</f>
        <v>14564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68</v>
      </c>
      <c r="C15" s="29">
        <f>IF(DigitaTICA!G13&lt;&gt;"",DigitaTICA!G13,"")</f>
        <v>66150</v>
      </c>
      <c r="D15" s="42">
        <f>IF(C15="",0,C15*J$9)</f>
        <v>7938</v>
      </c>
      <c r="E15" s="29">
        <f>IF(DigitaTICA!H13&lt;&gt;"",DigitaTICA!H13,"")</f>
        <v>3000</v>
      </c>
      <c r="F15" s="133">
        <f>IF(E15="",0,E15*PREMIOS!F15)</f>
        <v>255000</v>
      </c>
      <c r="G15" s="30">
        <f t="shared" si="3"/>
        <v>-196788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50</v>
      </c>
      <c r="C17" s="29">
        <f>IF(DigitaNICA!I13&lt;&gt;"",DigitaNICA!I13,"")</f>
        <v>18700</v>
      </c>
      <c r="D17" s="42">
        <f>IF(C17="",0,C17*J$10)</f>
        <v>2244</v>
      </c>
      <c r="E17" s="29">
        <f>IF(DigitaNICA!J13&lt;&gt;"",DigitaNICA!J13,"")</f>
        <v>100</v>
      </c>
      <c r="F17" s="42">
        <f>IF(E17="",0,E17*PREMIOS!E17)</f>
        <v>8000</v>
      </c>
      <c r="G17" s="30">
        <f t="shared" si="3"/>
        <v>8456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183500</v>
      </c>
      <c r="D19" s="68">
        <f>MROUND(SUM(D5:D18),50)</f>
        <v>22000</v>
      </c>
      <c r="E19" s="68">
        <f>SUM(E5:E18)</f>
        <v>4300</v>
      </c>
      <c r="F19" s="68">
        <f>SUM(F5:F18)</f>
        <v>365000</v>
      </c>
      <c r="G19" s="88">
        <f>SUM(G5:G18)</f>
        <v>-203520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11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54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ht="15" thickBot="1" x14ac:dyDescent="0.4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5">
        <f>SUM(IF(C7="",0,C7),IF(C11="",0,C11),IF(C15="",0,C15))</f>
        <v>76100</v>
      </c>
      <c r="K4" s="236">
        <f t="shared" ref="K4" si="0">D7+D11+D15</f>
        <v>11415</v>
      </c>
      <c r="L4" s="237">
        <f>F7+F11+F15</f>
        <v>40000</v>
      </c>
    </row>
    <row r="5" spans="1:12" x14ac:dyDescent="0.35">
      <c r="A5" s="28" t="s">
        <v>43</v>
      </c>
      <c r="B5" s="132">
        <f>IF(DigitaNICA!C2&lt;&gt;"",DigitaNICA!C2,"")</f>
        <v>29</v>
      </c>
      <c r="C5" s="81" t="str">
        <f>IF(DigitaNICA!C14&lt;&gt;"",DigitaNICA!C14,"")</f>
        <v/>
      </c>
      <c r="D5" s="82">
        <f>IF(C5="",0,C5*J$10)</f>
        <v>0</v>
      </c>
      <c r="E5" s="81" t="str">
        <f>IF(DigitaNICA!D14&lt;&gt;"",DigitaNICA!D14,"")</f>
        <v/>
      </c>
      <c r="F5" s="82">
        <f>IF(E5="",0,E5*PREMIOS!E5)</f>
        <v>0</v>
      </c>
      <c r="G5" s="83">
        <f t="shared" ref="G5:G12" si="1">IF(OR(C5="",E5=""),0,C5-D5-F5)</f>
        <v>0</v>
      </c>
    </row>
    <row r="6" spans="1:12" x14ac:dyDescent="0.35">
      <c r="A6" s="28" t="s">
        <v>45</v>
      </c>
      <c r="B6" s="132"/>
      <c r="C6" s="81"/>
      <c r="D6" s="82">
        <f>IF(C6="",0,C6*J$11)</f>
        <v>0</v>
      </c>
      <c r="E6" s="81"/>
      <c r="F6" s="82">
        <f>IF(E6="",0,E6*PREMIOS!E6)</f>
        <v>0</v>
      </c>
      <c r="G6" s="83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40</v>
      </c>
      <c r="C7" s="29">
        <f>IF(DigitaTICA!C14&lt;&gt;"",DigitaTICA!C14,"")</f>
        <v>33400</v>
      </c>
      <c r="D7" s="42">
        <f>IF(C7="",0,C7*J$9)</f>
        <v>5010</v>
      </c>
      <c r="E7" s="29">
        <f>IF(DigitaTICA!D14&lt;&gt;"",DigitaTICA!D14,"")</f>
        <v>500</v>
      </c>
      <c r="F7" s="42">
        <f>IF(E7="",0,E7*PREMIOS!E7)</f>
        <v>40000</v>
      </c>
      <c r="G7" s="30">
        <f t="shared" si="1"/>
        <v>-11610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67</v>
      </c>
      <c r="C9" s="81" t="str">
        <f>IF(DigitaNICA!E14&lt;&gt;"",DigitaNICA!E14,"")</f>
        <v/>
      </c>
      <c r="D9" s="82">
        <f>IF(C9="",0,C9*J$10)</f>
        <v>0</v>
      </c>
      <c r="E9" s="81" t="str">
        <f>IF(DigitaNICA!F14&lt;&gt;"",DigitaNICA!F14,"")</f>
        <v/>
      </c>
      <c r="F9" s="82">
        <f>IF(E9="",0,E9*PREMIOS!E9)</f>
        <v>0</v>
      </c>
      <c r="G9" s="83">
        <f t="shared" si="1"/>
        <v>0</v>
      </c>
      <c r="I9" s="60" t="s">
        <v>36</v>
      </c>
      <c r="J9" s="61">
        <v>0.15</v>
      </c>
      <c r="K9" s="62">
        <f>MROUND(D7+D11+D15,50)</f>
        <v>11400</v>
      </c>
    </row>
    <row r="10" spans="1:12" x14ac:dyDescent="0.35">
      <c r="A10" s="28" t="s">
        <v>49</v>
      </c>
      <c r="B10" s="132"/>
      <c r="C10" s="81"/>
      <c r="D10" s="82">
        <f>IF(C10="",0,C10*J$11)</f>
        <v>0</v>
      </c>
      <c r="E10" s="81"/>
      <c r="F10" s="82">
        <f>IF(E10="",0,E10*PREMIOS!E10)</f>
        <v>0</v>
      </c>
      <c r="G10" s="83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97</v>
      </c>
      <c r="C11" s="29">
        <f>IF(DigitaTICA!E14&lt;&gt;"",DigitaTICA!E14,"")</f>
        <v>11600</v>
      </c>
      <c r="D11" s="42">
        <f>IF(C11="",0,C11*J$9)</f>
        <v>1740</v>
      </c>
      <c r="E11" s="29">
        <f>IF(DigitaTICA!F14&lt;&gt;"",DigitaTICA!F14,"")</f>
        <v>0</v>
      </c>
      <c r="F11" s="42">
        <f>IF(E11="",0,E11*PREMIOS!E11)</f>
        <v>0</v>
      </c>
      <c r="G11" s="30">
        <f t="shared" si="1"/>
        <v>9860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50</v>
      </c>
      <c r="C13" s="81" t="str">
        <f>IF(DigitaNICA!G14&lt;&gt;"",DigitaNICA!G14,"")</f>
        <v/>
      </c>
      <c r="D13" s="82">
        <f>IF(C13="",0,C13*J$10)</f>
        <v>0</v>
      </c>
      <c r="E13" s="81" t="str">
        <f>IF(DigitaNICA!H14&lt;&gt;"",DigitaNICA!H14,"")</f>
        <v/>
      </c>
      <c r="F13" s="82">
        <f>IF(E13="",0,E13*PREMIOS!E13)</f>
        <v>0</v>
      </c>
      <c r="G13" s="83">
        <f>IF(OR(C13="",E13=""),0,C13-D13-F13)</f>
        <v>0</v>
      </c>
    </row>
    <row r="14" spans="1:12" x14ac:dyDescent="0.35">
      <c r="A14" s="28" t="s">
        <v>51</v>
      </c>
      <c r="B14" s="132"/>
      <c r="C14" s="81"/>
      <c r="D14" s="82">
        <f>IF(C14="",0,C14*J$11)</f>
        <v>0</v>
      </c>
      <c r="E14" s="81"/>
      <c r="F14" s="82">
        <f>IF(E14="",0,E14*PREMIOS!E14)</f>
        <v>0</v>
      </c>
      <c r="G14" s="83">
        <f t="shared" ref="G14:G18" si="2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68</v>
      </c>
      <c r="C15" s="29">
        <f>IF(DigitaTICA!G14&lt;&gt;"",DigitaTICA!G14,"")</f>
        <v>31100</v>
      </c>
      <c r="D15" s="42">
        <f>IF(C15="",0,C15*J$9)</f>
        <v>4665</v>
      </c>
      <c r="E15" s="29">
        <f>IF(DigitaTICA!H14&lt;&gt;"",DigitaTICA!H14,"")</f>
        <v>0</v>
      </c>
      <c r="F15" s="42">
        <f>IF(E15="",0,E15*PREMIOS!E15)</f>
        <v>0</v>
      </c>
      <c r="G15" s="30">
        <f t="shared" si="2"/>
        <v>26435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2">
        <f>IF(DigitaNICA!I2&lt;&gt;"",DigitaNICA!I2,"")</f>
        <v>50</v>
      </c>
      <c r="C17" s="81" t="str">
        <f>IF(DigitaNICA!I14&lt;&gt;"",DigitaNICA!I14,"")</f>
        <v/>
      </c>
      <c r="D17" s="82">
        <f>IF(C17="",0,C17*J$10)</f>
        <v>0</v>
      </c>
      <c r="E17" s="81" t="str">
        <f>IF(DigitaNICA!J14&lt;&gt;"",DigitaNICA!J14,"")</f>
        <v/>
      </c>
      <c r="F17" s="82">
        <f>IF(E17="",0,E17*PREMIOS!E17)</f>
        <v>0</v>
      </c>
      <c r="G17" s="83">
        <f t="shared" si="2"/>
        <v>0</v>
      </c>
    </row>
    <row r="18" spans="1:7" x14ac:dyDescent="0.35">
      <c r="A18" s="28" t="s">
        <v>53</v>
      </c>
      <c r="B18" s="132"/>
      <c r="C18" s="81"/>
      <c r="D18" s="82">
        <f>IF(C18="",0,C18*J$11)</f>
        <v>0</v>
      </c>
      <c r="E18" s="81"/>
      <c r="F18" s="82">
        <f>IF(E18="",0,E18*PREMIOS!E18)</f>
        <v>0</v>
      </c>
      <c r="G18" s="83">
        <f t="shared" si="2"/>
        <v>0</v>
      </c>
    </row>
    <row r="19" spans="1:7" ht="15" thickBot="1" x14ac:dyDescent="0.4">
      <c r="A19" s="67" t="s">
        <v>5</v>
      </c>
      <c r="B19" s="127"/>
      <c r="C19" s="68">
        <f>SUM(C5:C18)</f>
        <v>76100</v>
      </c>
      <c r="D19" s="68">
        <f>MROUND(SUM(D5:D18),50)</f>
        <v>11400</v>
      </c>
      <c r="E19" s="68">
        <f>SUM(E5:E18)</f>
        <v>500</v>
      </c>
      <c r="F19" s="68">
        <f>SUM(F5:F18)</f>
        <v>40000</v>
      </c>
      <c r="G19" s="88">
        <f>SUM(G5:G18)</f>
        <v>24685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8 E7:E18 E5:E6" unlockedFormula="1"/>
  </ignoredError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55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ht="15" thickBot="1" x14ac:dyDescent="0.4">
      <c r="A5" s="28" t="s">
        <v>43</v>
      </c>
      <c r="B5" s="132">
        <f>IF(DigitaNICA!C2&lt;&gt;"",DigitaNICA!C2,"")</f>
        <v>29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3">
        <f>IF(E5="",0,E5*PREMIOS!E5)</f>
        <v>0</v>
      </c>
      <c r="G5" s="30">
        <f t="shared" ref="G5:G12" si="1">IF(OR(C5="",E5=""),0,C5-D5-F5)</f>
        <v>0</v>
      </c>
      <c r="I5" s="218" t="s">
        <v>37</v>
      </c>
      <c r="J5" s="232">
        <f>SUM(IF(C5="",0,C5),IF(C9="",0,C9),IF(C13="",0,C13),IF(C17="",0,C17))</f>
        <v>0</v>
      </c>
      <c r="K5" s="233">
        <f t="shared" ref="K5" si="2">D5+D9+D13+D17</f>
        <v>0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133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40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3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67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3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97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3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50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68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3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50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3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133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MINERO</v>
      </c>
      <c r="C2" s="280"/>
      <c r="D2" s="281"/>
      <c r="J2" s="21" t="s">
        <v>142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6" t="s">
        <v>36</v>
      </c>
      <c r="J4" s="231">
        <f>SUM(IF(C7="",0,C7),IF(C11="",0,C11),IF(C15="",0,C15))</f>
        <v>54400</v>
      </c>
      <c r="K4" s="231">
        <f>D7+D11+D15</f>
        <v>6528</v>
      </c>
      <c r="L4" s="220">
        <f>F7+F11+F15</f>
        <v>21250</v>
      </c>
    </row>
    <row r="5" spans="1:12" x14ac:dyDescent="0.35">
      <c r="A5" s="28" t="s">
        <v>43</v>
      </c>
      <c r="B5" s="132">
        <f>IF(DigitaNICA!C2&lt;&gt;"",DigitaNICA!C2,"")</f>
        <v>29</v>
      </c>
      <c r="C5" s="29">
        <f>IF(DigitaNICA!C16&lt;&gt;"",DigitaNICA!C16,"")</f>
        <v>14100</v>
      </c>
      <c r="D5" s="42">
        <f>IF(C5="",0,C5*J$12)</f>
        <v>1692</v>
      </c>
      <c r="E5" s="29">
        <f>IF(DigitaNICA!D16&lt;&gt;"",DigitaNICA!D16,"")</f>
        <v>0</v>
      </c>
      <c r="F5" s="42">
        <f>IF(E5="",0,E5*PREMIOS!E5)</f>
        <v>0</v>
      </c>
      <c r="G5" s="30">
        <f t="shared" ref="G5:G12" si="0">IF(OR(C5="",E5=""),0,C5-D5-F5)</f>
        <v>12408</v>
      </c>
      <c r="I5" s="63" t="s">
        <v>37</v>
      </c>
      <c r="J5" s="225">
        <f>SUM(IF(C5="",0,C5),IF(C9="",0,C9),IF(C13="",0,C13),IF(C17="",0,C17))</f>
        <v>32950</v>
      </c>
      <c r="K5" s="225">
        <f t="shared" ref="K5" si="1">D5+D9+D13+D17</f>
        <v>3954</v>
      </c>
      <c r="L5" s="222">
        <f>F5+F9+F13+F17</f>
        <v>36000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133">
        <f>IF(E6="",0,E6*PREMIOS!E6)</f>
        <v>0</v>
      </c>
      <c r="G6" s="30">
        <f t="shared" si="0"/>
        <v>0</v>
      </c>
      <c r="I6" s="63" t="s">
        <v>38</v>
      </c>
      <c r="J6" s="226">
        <f>SUM(IF(C8="",0,C8),IF(C12="",0,C12),IF(C16="",0,C16))</f>
        <v>2000</v>
      </c>
      <c r="K6" s="226">
        <f t="shared" ref="K6" si="2">+D8+D12+D16</f>
        <v>200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40</v>
      </c>
      <c r="C7" s="29">
        <f>IF(DigitaTICA!C16&lt;&gt;"",DigitaTICA!C16,"")</f>
        <v>16900</v>
      </c>
      <c r="D7" s="42">
        <f>IF(C7="",0,C7*J$11)</f>
        <v>2028</v>
      </c>
      <c r="E7" s="29">
        <f>IF(DigitaTICA!D16&lt;&gt;"",DigitaTICA!D16,"")</f>
        <v>250</v>
      </c>
      <c r="F7" s="133">
        <f>IF(E7="",0,E7*PREMIOS!F7)</f>
        <v>21250</v>
      </c>
      <c r="G7" s="30">
        <f t="shared" si="0"/>
        <v>-6378</v>
      </c>
      <c r="I7" s="63" t="s">
        <v>96</v>
      </c>
      <c r="J7" s="226">
        <f>SUM(IF(C19="",0,C19),IF(C20="",0,C20))</f>
        <v>3400</v>
      </c>
      <c r="K7" s="226">
        <f>+D19+D20</f>
        <v>408</v>
      </c>
      <c r="L7" s="227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>
        <f>IF(DigitaREVENTADO!C16&lt;&gt;"",DigitaREVENTADO!C16,"")</f>
        <v>1000</v>
      </c>
      <c r="D8" s="42">
        <f>IF(C8="",0,C8*J$13)</f>
        <v>100</v>
      </c>
      <c r="E8" s="29">
        <f>IF(DigitaREVENTADO!D16&lt;&gt;"",DigitaREVENTADO!D16,"")</f>
        <v>0</v>
      </c>
      <c r="F8" s="133">
        <f>IF(E8="",0,E8*PREMIOS!F8)</f>
        <v>0</v>
      </c>
      <c r="G8" s="30">
        <f t="shared" si="0"/>
        <v>900</v>
      </c>
      <c r="I8" s="65" t="s">
        <v>104</v>
      </c>
      <c r="J8" s="228">
        <f>SUM(IF(C21="",0,C21),IF(C22="",0,C22),IF(C23="",0,C23))</f>
        <v>10000</v>
      </c>
      <c r="K8" s="228">
        <f>D21+D22+D23</f>
        <v>1200</v>
      </c>
      <c r="L8" s="229">
        <f>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67</v>
      </c>
      <c r="C9" s="29">
        <f>IF(DigitaNICA!E16&lt;&gt;"",DigitaNICA!E16,"")</f>
        <v>12450</v>
      </c>
      <c r="D9" s="42">
        <f>IF(C9="",0,C9*J$12)</f>
        <v>1494</v>
      </c>
      <c r="E9" s="29">
        <f>IF(DigitaNICA!F16&lt;&gt;"",DigitaNICA!F16,"")</f>
        <v>200</v>
      </c>
      <c r="F9" s="133">
        <f>IF(E9="",0,E9*PREMIOS!E9)</f>
        <v>16000</v>
      </c>
      <c r="G9" s="30">
        <f t="shared" si="0"/>
        <v>-5044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0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97</v>
      </c>
      <c r="C11" s="29">
        <f>IF(DigitaTICA!E16&lt;&gt;"",DigitaTICA!E16,"")</f>
        <v>23300</v>
      </c>
      <c r="D11" s="42">
        <f>IF(C11="",0,C11*J$11)</f>
        <v>2796</v>
      </c>
      <c r="E11" s="29">
        <f>IF(DigitaTICA!F16&lt;&gt;"",DigitaTICA!F16,"")</f>
        <v>0</v>
      </c>
      <c r="F11" s="133">
        <f>IF(E11="",0,E11*PREMIOS!F11)</f>
        <v>0</v>
      </c>
      <c r="G11" s="30">
        <f t="shared" si="0"/>
        <v>20504</v>
      </c>
      <c r="I11" s="76" t="s">
        <v>36</v>
      </c>
      <c r="J11" s="77">
        <v>0.12</v>
      </c>
      <c r="K11" s="78">
        <f>MROUND(D7+D11+D15,50)</f>
        <v>6550</v>
      </c>
    </row>
    <row r="12" spans="1:12" x14ac:dyDescent="0.35">
      <c r="A12" s="28" t="s">
        <v>60</v>
      </c>
      <c r="B12" s="132" t="str">
        <f>IF(B11&lt;&gt;"",PREMIOS!B12,"")</f>
        <v>Blanca</v>
      </c>
      <c r="C12" s="29">
        <f>IF(DigitaREVENTADO!E16&lt;&gt;"",DigitaREVENTADO!E16,"")</f>
        <v>0</v>
      </c>
      <c r="D12" s="42">
        <f>IF(C12="",0,C12*J$13)</f>
        <v>0</v>
      </c>
      <c r="E12" s="29">
        <f>IF(DigitaREVENTADO!F16&lt;&gt;"",DigitaREVENTADO!F16,"")</f>
        <v>0</v>
      </c>
      <c r="F12" s="133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3950</v>
      </c>
    </row>
    <row r="13" spans="1:12" x14ac:dyDescent="0.35">
      <c r="A13" s="28" t="s">
        <v>50</v>
      </c>
      <c r="B13" s="132">
        <f>IF(DigitaNICA!G2&lt;&gt;"",DigitaNICA!G2,"")</f>
        <v>50</v>
      </c>
      <c r="C13" s="29">
        <f>IF(DigitaNICA!G16&lt;&gt;"",DigitaNICA!G16,"")</f>
        <v>1000</v>
      </c>
      <c r="D13" s="42">
        <f>IF(C13="",0,C13*J$12)</f>
        <v>120</v>
      </c>
      <c r="E13" s="29">
        <f>IF(DigitaNICA!H16&lt;&gt;"",DigitaNICA!H16,"")</f>
        <v>0</v>
      </c>
      <c r="F13" s="133">
        <f>IF(E13="",0,E13*PREMIOS!E13)</f>
        <v>0</v>
      </c>
      <c r="G13" s="30">
        <f>IF(OR(C13="",E13=""),0,C13-D13-F13)</f>
        <v>880</v>
      </c>
      <c r="I13" s="63" t="s">
        <v>38</v>
      </c>
      <c r="J13" s="64">
        <v>0.1</v>
      </c>
      <c r="K13" s="30">
        <f>MROUND(D6+D8+D10+D12+D14+D16+D18,50)</f>
        <v>200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400</v>
      </c>
    </row>
    <row r="15" spans="1:12" ht="15" thickBot="1" x14ac:dyDescent="0.4">
      <c r="A15" s="28" t="s">
        <v>61</v>
      </c>
      <c r="B15" s="132">
        <f>IF(DigitaTICA!G2&lt;&gt;"",DigitaTICA!G2,"")</f>
        <v>68</v>
      </c>
      <c r="C15" s="29">
        <f>IF(DigitaTICA!G16&lt;&gt;"",DigitaTICA!G16,"")</f>
        <v>14200</v>
      </c>
      <c r="D15" s="42">
        <f>IF(C15="",0,C15*J$11)</f>
        <v>1704</v>
      </c>
      <c r="E15" s="29">
        <f>IF(DigitaTICA!H16&lt;&gt;"",DigitaTICA!H16,"")</f>
        <v>0</v>
      </c>
      <c r="F15" s="133">
        <f>IF(E15="",0,E15*PREMIOS!F15)</f>
        <v>0</v>
      </c>
      <c r="G15" s="30">
        <f t="shared" si="3"/>
        <v>12496</v>
      </c>
      <c r="I15" s="65" t="s">
        <v>104</v>
      </c>
      <c r="J15" s="66">
        <v>0.12</v>
      </c>
      <c r="K15" s="50">
        <f>MROUND(D21+D22+D23,50)</f>
        <v>1200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IF(DigitaREVENTADO!G16&lt;&gt;"",DigitaREVENTADO!G16,"")</f>
        <v>1000</v>
      </c>
      <c r="D16" s="42">
        <f>IF(C16="",0,C16*J$13)</f>
        <v>100</v>
      </c>
      <c r="E16" s="29">
        <f>IF(DigitaREVENTADO!H16&lt;&gt;"",DigitaREVENTADO!H16,"")</f>
        <v>0</v>
      </c>
      <c r="F16" s="133">
        <f>IF(E16="",0,E16*PREMIOS!F16)</f>
        <v>0</v>
      </c>
      <c r="G16" s="30">
        <f t="shared" si="3"/>
        <v>900</v>
      </c>
    </row>
    <row r="17" spans="1:7" x14ac:dyDescent="0.35">
      <c r="A17" s="28" t="s">
        <v>52</v>
      </c>
      <c r="B17" s="132">
        <f>IF(DigitaNICA!I2&lt;&gt;"",DigitaNICA!I2,"")</f>
        <v>50</v>
      </c>
      <c r="C17" s="29">
        <f>IF(DigitaNICA!I16&lt;&gt;"",DigitaNICA!I16,"")</f>
        <v>5400</v>
      </c>
      <c r="D17" s="42">
        <f>IF(C17="",0,C17*J$12)</f>
        <v>648</v>
      </c>
      <c r="E17" s="29">
        <f>IF(DigitaNICA!J16&lt;&gt;"",DigitaNICA!J16,"")</f>
        <v>250</v>
      </c>
      <c r="F17" s="42">
        <f>IF(E17="",0,E17*PREMIOS!E17)</f>
        <v>20000</v>
      </c>
      <c r="G17" s="30">
        <f t="shared" si="3"/>
        <v>-15248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70</v>
      </c>
      <c r="C19" s="29">
        <f>IF(DigitaPRIMERA!C16&lt;&gt;"",DigitaPRIMERA!C16,"")</f>
        <v>3400</v>
      </c>
      <c r="D19" s="42">
        <f>IF(C19="",0,C19*J$14)</f>
        <v>408</v>
      </c>
      <c r="E19" s="29">
        <f>IF(DigitaPRIMERA!D16&lt;&gt;"",DigitaPRIMERA!D16,"")</f>
        <v>0</v>
      </c>
      <c r="F19" s="42">
        <f>IF(E19="",0,E19*PREMIOS!E19)</f>
        <v>0</v>
      </c>
      <c r="G19" s="30">
        <f t="shared" si="3"/>
        <v>2992</v>
      </c>
    </row>
    <row r="20" spans="1:7" x14ac:dyDescent="0.35">
      <c r="A20" s="28" t="s">
        <v>98</v>
      </c>
      <c r="B20" s="132">
        <f>IF(DigitaPRIMERA!E2&lt;&gt;"",DigitaPRIMERA!E2,"")</f>
        <v>64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87</v>
      </c>
      <c r="C21" s="29" t="str">
        <f>IF(DigitaHONDURAS!$C$16&lt;&gt;"",DigitaHONDURAS!$C$16,"")</f>
        <v/>
      </c>
      <c r="D21" s="42">
        <f>IF(C21="",0,C21*J$15)</f>
        <v>0</v>
      </c>
      <c r="E21" s="29" t="str">
        <f>IF(DigitaHONDURAS!$D$16&lt;&gt;"",DigitaHONDURAS!$D$16,"")</f>
        <v/>
      </c>
      <c r="F21" s="42">
        <f>IF(E21="",0,E21*PREMIOS!E20)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60</v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38</v>
      </c>
      <c r="C23" s="29">
        <f>IF(DigitaHONDURAS!$G$16&lt;&gt;"",DigitaHONDURAS!$G$16,"")</f>
        <v>10000</v>
      </c>
      <c r="D23" s="42">
        <f t="shared" si="4"/>
        <v>1200</v>
      </c>
      <c r="E23" s="29">
        <f>IF(DigitaHONDURAS!$H$16&lt;&gt;"",DigitaHONDURAS!$H$16,"")</f>
        <v>0</v>
      </c>
      <c r="F23" s="42">
        <f>IF(E23="",0,E23*PREMIOS!E20)</f>
        <v>0</v>
      </c>
      <c r="G23" s="30">
        <f t="shared" si="3"/>
        <v>8800</v>
      </c>
    </row>
    <row r="24" spans="1:7" ht="15" thickBot="1" x14ac:dyDescent="0.4">
      <c r="A24" s="121" t="s">
        <v>5</v>
      </c>
      <c r="B24" s="128"/>
      <c r="C24" s="122">
        <f>SUM(C5:C23)</f>
        <v>102750</v>
      </c>
      <c r="D24" s="122">
        <f t="shared" ref="D24:G24" si="5">SUM(D5:D23)</f>
        <v>12290</v>
      </c>
      <c r="E24" s="122">
        <f t="shared" si="5"/>
        <v>700</v>
      </c>
      <c r="F24" s="122">
        <f t="shared" si="5"/>
        <v>57250</v>
      </c>
      <c r="G24" s="123">
        <f t="shared" si="5"/>
        <v>33210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5:C6 C7:C17 E7:E17 E5:E6" unlockedFormula="1"/>
  </ignoredError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9"/>
  <dimension ref="A1:AMK27"/>
  <sheetViews>
    <sheetView showGridLines="0" zoomScale="80" zoomScaleNormal="8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91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387550</v>
      </c>
      <c r="K4" s="231">
        <f t="shared" ref="K4" si="0">D7+D11+D15</f>
        <v>46506</v>
      </c>
      <c r="L4" s="220">
        <f>F7+F11+F15</f>
        <v>216750</v>
      </c>
    </row>
    <row r="5" spans="1:12" x14ac:dyDescent="0.35">
      <c r="A5" s="28" t="s">
        <v>43</v>
      </c>
      <c r="B5" s="132">
        <f>IF(DigitaNICA!C2&lt;&gt;"",DigitaNICA!C2,"")</f>
        <v>29</v>
      </c>
      <c r="C5" s="89">
        <f>IF(DigitaNICA!C17&lt;&gt;"",DigitaNICA!C17,"")</f>
        <v>78300</v>
      </c>
      <c r="D5" s="42">
        <f>IF(C5="",0,C5*J$16)</f>
        <v>9396</v>
      </c>
      <c r="E5" s="89">
        <f>IF(DigitaNICA!D17&lt;&gt;"",DigitaNICA!D17,"")</f>
        <v>0</v>
      </c>
      <c r="F5" s="42">
        <f>IF(E5="",0,E5*PREMIOS!F5)</f>
        <v>0</v>
      </c>
      <c r="G5" s="90">
        <f t="shared" ref="G5:G12" si="1">IF(OR(C5="",E5=""),0,C5-D5-F5)</f>
        <v>68904</v>
      </c>
      <c r="I5" s="217" t="s">
        <v>37</v>
      </c>
      <c r="J5" s="221">
        <f>SUM(IF(C5="",0,C5),IF(C9="",0,C9),IF(C13="",0,C13),IF(C17="",0,C17))</f>
        <v>340300</v>
      </c>
      <c r="K5" s="225">
        <f t="shared" ref="K5" si="2">D5+D9+D13+D17</f>
        <v>40836</v>
      </c>
      <c r="L5" s="222">
        <f>F5+F9+F13+F17</f>
        <v>140250</v>
      </c>
    </row>
    <row r="6" spans="1:12" x14ac:dyDescent="0.35">
      <c r="A6" s="28" t="s">
        <v>45</v>
      </c>
      <c r="B6" s="132"/>
      <c r="C6" s="89"/>
      <c r="D6" s="42">
        <f>IF(C6="",0,C6*J$17)</f>
        <v>0</v>
      </c>
      <c r="E6" s="89"/>
      <c r="F6" s="42">
        <f>IF(E6="",0,E6*PREMIOS!F6)</f>
        <v>0</v>
      </c>
      <c r="G6" s="90">
        <f t="shared" si="1"/>
        <v>0</v>
      </c>
      <c r="I6" s="217" t="s">
        <v>38</v>
      </c>
      <c r="J6" s="221">
        <f>SUM(IF(C8="",0,C8),IF(C12="",0,C12),IF(C16="",0,C16))</f>
        <v>49600</v>
      </c>
      <c r="K6" s="226">
        <f t="shared" ref="K6" si="3">+D8+D12+D16</f>
        <v>4960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40</v>
      </c>
      <c r="C7" s="89">
        <f>IF(DigitaTICA!C17&lt;&gt;"",DigitaTICA!C17,"")</f>
        <v>138200</v>
      </c>
      <c r="D7" s="42">
        <f>IF(C7="",0,C7*J$15)</f>
        <v>16584</v>
      </c>
      <c r="E7" s="89">
        <f>IF(DigitaTICA!D17&lt;&gt;"",DigitaTICA!D17,"")</f>
        <v>800</v>
      </c>
      <c r="F7" s="42">
        <f>IF(E7="",0,E7*PREMIOS!F7)</f>
        <v>68000</v>
      </c>
      <c r="G7" s="90">
        <f t="shared" si="1"/>
        <v>53616</v>
      </c>
      <c r="I7" s="217" t="s">
        <v>96</v>
      </c>
      <c r="J7" s="223">
        <f>SUM(IF(C19="",0,C19),IF(C20="",0,C20))</f>
        <v>94350</v>
      </c>
      <c r="K7" s="226">
        <f>+D19+D20</f>
        <v>11322</v>
      </c>
      <c r="L7" s="227">
        <f>+F19+F20</f>
        <v>204000</v>
      </c>
    </row>
    <row r="8" spans="1:12" x14ac:dyDescent="0.35">
      <c r="A8" s="28" t="s">
        <v>47</v>
      </c>
      <c r="B8" s="132" t="str">
        <f>IF(B7&lt;&gt;"",PREMIOS!B8,"")</f>
        <v>Roja</v>
      </c>
      <c r="C8" s="89">
        <f>IF(DigitaREVENTADO!C17&lt;&gt;"",DigitaREVENTADO!C17,"")</f>
        <v>20650</v>
      </c>
      <c r="D8" s="42">
        <f>IF(C8="",0,C8*J$17)</f>
        <v>2065</v>
      </c>
      <c r="E8" s="89">
        <f>IF(DigitaREVENTADO!D17&lt;&gt;"",DigitaREVENTADO!D17,"")</f>
        <v>0</v>
      </c>
      <c r="F8" s="42">
        <f>IF(E8="",0,E8*PREMIOS!F8)</f>
        <v>0</v>
      </c>
      <c r="G8" s="90">
        <f t="shared" si="1"/>
        <v>18585</v>
      </c>
      <c r="I8" s="217" t="s">
        <v>104</v>
      </c>
      <c r="J8" s="223">
        <f>SUM(IF(C21="",0,C21),IF(C22="",0,C22),IF(C23="",0,C23))</f>
        <v>59000</v>
      </c>
      <c r="K8" s="226">
        <f t="shared" ref="K8" si="4">D21+D22+D23</f>
        <v>7080</v>
      </c>
      <c r="L8" s="227">
        <f>F21+F22+F23</f>
        <v>17000</v>
      </c>
    </row>
    <row r="9" spans="1:12" x14ac:dyDescent="0.35">
      <c r="A9" s="28" t="s">
        <v>48</v>
      </c>
      <c r="B9" s="132">
        <f>IF(DigitaNICA!E2&lt;&gt;"",DigitaNICA!E2,"")</f>
        <v>67</v>
      </c>
      <c r="C9" s="89">
        <f>IF(DigitaNICA!E17&lt;&gt;"",DigitaNICA!E17,"")</f>
        <v>70950</v>
      </c>
      <c r="D9" s="42">
        <f>IF(C9="",0,C9*J$16)</f>
        <v>8514</v>
      </c>
      <c r="E9" s="89">
        <f>IF(DigitaNICA!F17&lt;&gt;"",DigitaNICA!F17,"")</f>
        <v>200</v>
      </c>
      <c r="F9" s="42">
        <f>IF(E9="",0,E9*PREMIOS!F9)</f>
        <v>17000</v>
      </c>
      <c r="G9" s="90">
        <f t="shared" si="1"/>
        <v>45436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89"/>
      <c r="D10" s="42">
        <f>IF(C10="",0,C10*J$17)</f>
        <v>0</v>
      </c>
      <c r="E10" s="89"/>
      <c r="F10" s="42">
        <f>IF(E10="",0,E10*PREMIOS!F10)</f>
        <v>0</v>
      </c>
      <c r="G10" s="9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97</v>
      </c>
      <c r="C11" s="89">
        <f>IF(DigitaTICA!E17&lt;&gt;"",DigitaTICA!E17,"")</f>
        <v>79250</v>
      </c>
      <c r="D11" s="42">
        <f>IF(C11="",0,C11*J$15)</f>
        <v>9510</v>
      </c>
      <c r="E11" s="89">
        <f>IF(DigitaTICA!F17&lt;&gt;"",DigitaTICA!F17,"")</f>
        <v>550</v>
      </c>
      <c r="F11" s="42">
        <f>IF(E11="",0,E11*PREMIOS!F11)</f>
        <v>46750</v>
      </c>
      <c r="G11" s="90">
        <f t="shared" si="1"/>
        <v>22990</v>
      </c>
    </row>
    <row r="12" spans="1:12" x14ac:dyDescent="0.35">
      <c r="A12" s="28" t="s">
        <v>60</v>
      </c>
      <c r="B12" s="132" t="str">
        <f>IF(B11&lt;&gt;"",PREMIOS!B12,"")</f>
        <v>Blanca</v>
      </c>
      <c r="C12" s="89">
        <f>IF(DigitaREVENTADO!E17&lt;&gt;"",DigitaREVENTADO!E17,"")</f>
        <v>8800</v>
      </c>
      <c r="D12" s="42">
        <f>IF(C12="",0,C12*J$17)</f>
        <v>880</v>
      </c>
      <c r="E12" s="89">
        <f>IF(DigitaREVENTADO!F17&lt;&gt;"",DigitaREVENTADO!F17,"")</f>
        <v>0</v>
      </c>
      <c r="F12" s="42">
        <f>IF(E12="",0,E12*PREMIOS!F12)</f>
        <v>0</v>
      </c>
      <c r="G12" s="90">
        <f t="shared" si="1"/>
        <v>7920</v>
      </c>
    </row>
    <row r="13" spans="1:12" ht="15" thickBot="1" x14ac:dyDescent="0.4">
      <c r="A13" s="28" t="s">
        <v>50</v>
      </c>
      <c r="B13" s="132">
        <f>IF(DigitaNICA!G2&lt;&gt;"",DigitaNICA!G2,"")</f>
        <v>50</v>
      </c>
      <c r="C13" s="89">
        <f>IF(DigitaNICA!G17&lt;&gt;"",DigitaNICA!G17,"")</f>
        <v>46650</v>
      </c>
      <c r="D13" s="42">
        <f>IF(C13="",0,C13*J$16)</f>
        <v>5598</v>
      </c>
      <c r="E13" s="89">
        <f>IF(DigitaNICA!H17&lt;&gt;"",DigitaNICA!H17,"")</f>
        <v>100</v>
      </c>
      <c r="F13" s="42">
        <f>IF(E13="",0,E13*PREMIOS!F13)</f>
        <v>8500</v>
      </c>
      <c r="G13" s="90">
        <f>IF(OR(C13="",E13=""),0,C13-D13-F13)</f>
        <v>32552</v>
      </c>
    </row>
    <row r="14" spans="1:12" ht="15" thickBot="1" x14ac:dyDescent="0.4">
      <c r="A14" s="28" t="s">
        <v>51</v>
      </c>
      <c r="B14" s="132"/>
      <c r="C14" s="89"/>
      <c r="D14" s="42">
        <f>IF(C14="",0,C14*J$17)</f>
        <v>0</v>
      </c>
      <c r="E14" s="89"/>
      <c r="F14" s="42">
        <f>IF(E14="",0,E14*PREMIOS!F14)</f>
        <v>0</v>
      </c>
      <c r="G14" s="90">
        <f t="shared" ref="G14:G26" si="6">IF(OR(C14="",E14=""),0,C14-D14-F14)</f>
        <v>0</v>
      </c>
      <c r="I14" s="279" t="s">
        <v>34</v>
      </c>
      <c r="J14" s="279"/>
      <c r="K14" s="279"/>
    </row>
    <row r="15" spans="1:12" x14ac:dyDescent="0.35">
      <c r="A15" s="28" t="s">
        <v>61</v>
      </c>
      <c r="B15" s="132">
        <f>IF(DigitaTICA!G2&lt;&gt;"",DigitaTICA!G2,"")</f>
        <v>68</v>
      </c>
      <c r="C15" s="89">
        <f>IF(DigitaTICA!G17&lt;&gt;"",DigitaTICA!G17,"")</f>
        <v>170100</v>
      </c>
      <c r="D15" s="42">
        <f>IF(C15="",0,C15*J$15)</f>
        <v>20412</v>
      </c>
      <c r="E15" s="89">
        <f>IF(DigitaTICA!H17&lt;&gt;"",DigitaTICA!H17,"")</f>
        <v>1200</v>
      </c>
      <c r="F15" s="42">
        <f>IF(E15="",0,E15*PREMIOS!F15)</f>
        <v>102000</v>
      </c>
      <c r="G15" s="90">
        <f t="shared" si="6"/>
        <v>47688</v>
      </c>
      <c r="I15" s="76" t="s">
        <v>36</v>
      </c>
      <c r="J15" s="77">
        <v>0.12</v>
      </c>
      <c r="K15" s="78">
        <f>MROUND(D7+D11+D15,50)</f>
        <v>46500</v>
      </c>
    </row>
    <row r="16" spans="1:12" x14ac:dyDescent="0.35">
      <c r="A16" s="28" t="s">
        <v>62</v>
      </c>
      <c r="B16" s="132" t="str">
        <f>IF(B15&lt;&gt;"",PREMIOS!B16,"")</f>
        <v>Blanca</v>
      </c>
      <c r="C16" s="89">
        <f>IF(DigitaREVENTADO!G17&lt;&gt;"",DigitaREVENTADO!G17,"")</f>
        <v>20150</v>
      </c>
      <c r="D16" s="42">
        <f>IF(C16="",0,C16*J$17)</f>
        <v>2015</v>
      </c>
      <c r="E16" s="89">
        <f>IF(DigitaREVENTADO!H17&lt;&gt;"",DigitaREVENTADO!H17,"")</f>
        <v>0</v>
      </c>
      <c r="F16" s="42">
        <f>IF(E16="",0,E16*PREMIOS!F16)</f>
        <v>0</v>
      </c>
      <c r="G16" s="90">
        <f t="shared" si="6"/>
        <v>18135</v>
      </c>
      <c r="I16" s="63" t="s">
        <v>37</v>
      </c>
      <c r="J16" s="64">
        <v>0.12</v>
      </c>
      <c r="K16" s="30">
        <f>MROUND(D5+D9+D13+D17,50)</f>
        <v>40850</v>
      </c>
    </row>
    <row r="17" spans="1:11" x14ac:dyDescent="0.35">
      <c r="A17" s="28" t="s">
        <v>52</v>
      </c>
      <c r="B17" s="132">
        <f>IF(DigitaNICA!I2&lt;&gt;"",DigitaNICA!I2,"")</f>
        <v>50</v>
      </c>
      <c r="C17" s="89">
        <f>IF(DigitaNICA!I17&lt;&gt;"",DigitaNICA!I17,"")</f>
        <v>144400</v>
      </c>
      <c r="D17" s="42">
        <f>IF(C17="",0,C17*J$16)</f>
        <v>17328</v>
      </c>
      <c r="E17" s="89">
        <f>IF(DigitaNICA!J17&lt;&gt;"",DigitaNICA!J17,"")</f>
        <v>1350</v>
      </c>
      <c r="F17" s="42">
        <f>IF(E17="",0,E17*PREMIOS!F17)</f>
        <v>114750</v>
      </c>
      <c r="G17" s="90">
        <f t="shared" si="6"/>
        <v>12322</v>
      </c>
      <c r="I17" s="63" t="s">
        <v>38</v>
      </c>
      <c r="J17" s="64">
        <v>0.1</v>
      </c>
      <c r="K17" s="30">
        <f>MROUND(D6+D8+D10+D12+D14+D16+D18,50)</f>
        <v>4950</v>
      </c>
    </row>
    <row r="18" spans="1:11" x14ac:dyDescent="0.35">
      <c r="A18" s="28" t="s">
        <v>53</v>
      </c>
      <c r="B18" s="132"/>
      <c r="C18" s="89"/>
      <c r="D18" s="42">
        <f>IF(C18="",0,C18*J$17)</f>
        <v>0</v>
      </c>
      <c r="E18" s="89"/>
      <c r="F18" s="42">
        <f>IF(E18="",0,E18*PREMIOS!E18)</f>
        <v>0</v>
      </c>
      <c r="G18" s="90">
        <f t="shared" si="6"/>
        <v>0</v>
      </c>
      <c r="I18" s="63" t="s">
        <v>96</v>
      </c>
      <c r="J18" s="64">
        <v>0.12</v>
      </c>
      <c r="K18" s="30">
        <f>MROUND(D19+D20,50)</f>
        <v>11300</v>
      </c>
    </row>
    <row r="19" spans="1:11" x14ac:dyDescent="0.35">
      <c r="A19" s="28" t="s">
        <v>97</v>
      </c>
      <c r="B19" s="132">
        <f>IF(DigitaPRIMERA!C2&lt;&gt;"",DigitaPRIMERA!C2,"")</f>
        <v>70</v>
      </c>
      <c r="C19" s="29">
        <f>IF(DigitaPRIMERA!$C$17&lt;&gt;"",DigitaPRIMERA!$C$17,"")</f>
        <v>67100</v>
      </c>
      <c r="D19" s="42">
        <f>IF(C19="",0,C19*J$18)</f>
        <v>8052</v>
      </c>
      <c r="E19" s="29">
        <f>IF(DigitaPRIMERA!$D$17&lt;&gt;"",DigitaPRIMERA!$D$17,"")</f>
        <v>1900</v>
      </c>
      <c r="F19" s="42">
        <f>IF(E19="",0,E19*PREMIOS!F19)</f>
        <v>161500</v>
      </c>
      <c r="G19" s="30">
        <f t="shared" si="6"/>
        <v>-102452</v>
      </c>
      <c r="I19" s="63" t="s">
        <v>104</v>
      </c>
      <c r="J19" s="64">
        <v>0.12</v>
      </c>
      <c r="K19" s="30">
        <f>MROUND(D21+D22+D23,50)</f>
        <v>7100</v>
      </c>
    </row>
    <row r="20" spans="1:11" x14ac:dyDescent="0.35">
      <c r="A20" s="28" t="s">
        <v>98</v>
      </c>
      <c r="B20" s="132">
        <f>IF(DigitaPRIMERA!E2&lt;&gt;"",DigitaPRIMERA!E2,"")</f>
        <v>64</v>
      </c>
      <c r="C20" s="29">
        <f>IF(DigitaPRIMERA!$E$17&lt;&gt;"",DigitaPRIMERA!$E$17,"")</f>
        <v>27250</v>
      </c>
      <c r="D20" s="42">
        <f>IF(C20="",0,C20*J$18)</f>
        <v>3270</v>
      </c>
      <c r="E20" s="29">
        <f>IF(DigitaPRIMERA!$F$17&lt;&gt;"",DigitaPRIMERA!$F$17,"")</f>
        <v>500</v>
      </c>
      <c r="F20" s="42">
        <f>IF(E20="",0,E20*PREMIOS!F19)</f>
        <v>42500</v>
      </c>
      <c r="G20" s="30">
        <f t="shared" si="6"/>
        <v>-18520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87</v>
      </c>
      <c r="C21" s="29">
        <f>IF(DigitaHONDURAS!$C$17&lt;&gt;"",DigitaHONDURAS!$C$17,"")</f>
        <v>39200</v>
      </c>
      <c r="D21" s="42">
        <f>IF(C21="",0,C21*J$19)</f>
        <v>4704</v>
      </c>
      <c r="E21" s="29">
        <f>IF(DigitaHONDURAS!$D$17&lt;&gt;"",DigitaHONDURAS!$D$17,"")</f>
        <v>0</v>
      </c>
      <c r="F21" s="42">
        <f>IF(E21="",0,E21*PREMIOS!F20)</f>
        <v>0</v>
      </c>
      <c r="G21" s="30">
        <f t="shared" si="6"/>
        <v>34496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60</v>
      </c>
      <c r="C22" s="29">
        <f>IF(DigitaHONDURAS!$E$17&lt;&gt;"",DigitaHONDURAS!$E$17,"")</f>
        <v>3500</v>
      </c>
      <c r="D22" s="42">
        <f>IF(C22="",0,C22*J$19)</f>
        <v>420</v>
      </c>
      <c r="E22" s="29">
        <f>IF(DigitaHONDURAS!$F$17&lt;&gt;"",DigitaHONDURAS!$F$17,"")</f>
        <v>0</v>
      </c>
      <c r="F22" s="42">
        <f>IF(E22="",0,E22*PREMIOS!F20)</f>
        <v>0</v>
      </c>
      <c r="G22" s="30">
        <f t="shared" si="6"/>
        <v>3080</v>
      </c>
    </row>
    <row r="23" spans="1:11" x14ac:dyDescent="0.35">
      <c r="A23" s="28" t="s">
        <v>101</v>
      </c>
      <c r="B23" s="132">
        <f>IF(DigitaHONDURAS!G2&lt;&gt;"",DigitaHONDURAS!G2,"")</f>
        <v>38</v>
      </c>
      <c r="C23" s="29">
        <f>IF(DigitaHONDURAS!$G$17&lt;&gt;"",DigitaHONDURAS!$G$17,"")</f>
        <v>16300</v>
      </c>
      <c r="D23" s="42">
        <f>IF(C23="",0,C23*J$19)</f>
        <v>1956</v>
      </c>
      <c r="E23" s="29">
        <f>IF(DigitaHONDURAS!$H$17&lt;&gt;"",DigitaHONDURAS!$H$17,"")</f>
        <v>200</v>
      </c>
      <c r="F23" s="42">
        <f>IF(E23="",0,E23*PREMIOS!F20)</f>
        <v>17000</v>
      </c>
      <c r="G23" s="30">
        <f t="shared" si="6"/>
        <v>-2656</v>
      </c>
    </row>
    <row r="24" spans="1:11" x14ac:dyDescent="0.35">
      <c r="A24" s="28" t="s">
        <v>102</v>
      </c>
      <c r="B24" s="132">
        <f>IF(DigitaDOMINICANA!C2&lt;&gt;"",DigitaDOMINICANA!C2,"")</f>
        <v>48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88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930800</v>
      </c>
      <c r="D27" s="68">
        <f t="shared" ref="D27:G27" si="7">SUM(D5:D26)</f>
        <v>110704</v>
      </c>
      <c r="E27" s="68">
        <f t="shared" si="7"/>
        <v>6800</v>
      </c>
      <c r="F27" s="68">
        <f t="shared" si="7"/>
        <v>578000</v>
      </c>
      <c r="G27" s="88">
        <f t="shared" si="7"/>
        <v>242096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92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135800</v>
      </c>
      <c r="K4" s="231">
        <f t="shared" ref="K4" si="0">D7+D11+D15</f>
        <v>16296</v>
      </c>
      <c r="L4" s="220">
        <f>F7+F11+F15</f>
        <v>25500</v>
      </c>
    </row>
    <row r="5" spans="1:12" x14ac:dyDescent="0.35">
      <c r="A5" s="28" t="str">
        <f>+Vendedor1!A5</f>
        <v>Nica 11am</v>
      </c>
      <c r="B5" s="132">
        <f>IF(DigitaNICA!C2&lt;&gt;"",DigitaNICA!C2,"")</f>
        <v>29</v>
      </c>
      <c r="C5" s="29">
        <f>IF(DigitaNICA!C18&lt;&gt;"",DigitaNICA!C18,"")</f>
        <v>52900</v>
      </c>
      <c r="D5" s="42">
        <f>IF(C5="",0,C5*J$16)</f>
        <v>6348</v>
      </c>
      <c r="E5" s="29">
        <f>IF(DigitaNICA!D18&lt;&gt;"",DigitaNICA!D18,"")</f>
        <v>0</v>
      </c>
      <c r="F5" s="42">
        <f>IF(E5="",0,E5*PREMIOS!F5)</f>
        <v>0</v>
      </c>
      <c r="G5" s="30">
        <f t="shared" ref="G5:G12" si="1">IF(OR(C5="",E5=""),0,C5-D5-F5)</f>
        <v>46552</v>
      </c>
      <c r="I5" s="217" t="s">
        <v>37</v>
      </c>
      <c r="J5" s="221">
        <f>SUM(IF(C5="",0,C5),IF(C9="",0,C9),IF(C13="",0,C13),IF(C17="",0,C17))</f>
        <v>111650</v>
      </c>
      <c r="K5" s="225">
        <f t="shared" ref="K5" si="2">D5+D9+D13+D17</f>
        <v>13398</v>
      </c>
      <c r="L5" s="222">
        <f>F5+F9+F13+F17</f>
        <v>4250</v>
      </c>
    </row>
    <row r="6" spans="1:12" x14ac:dyDescent="0.35">
      <c r="A6" s="28" t="str">
        <f>+Vendedor1!A6</f>
        <v>Reventado 11am</v>
      </c>
      <c r="B6" s="132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47000</v>
      </c>
      <c r="K6" s="226">
        <f t="shared" ref="K6" si="3">+D8+D12+D16</f>
        <v>4700</v>
      </c>
      <c r="L6" s="227">
        <f>+F8+F12+F16</f>
        <v>0</v>
      </c>
    </row>
    <row r="7" spans="1:12" x14ac:dyDescent="0.35">
      <c r="A7" s="28" t="str">
        <f>+Vendedor1!A7</f>
        <v>Tica 1pm</v>
      </c>
      <c r="B7" s="132">
        <f>IF(DigitaTICA!C2&lt;&gt;"",DigitaTICA!C2,"")</f>
        <v>40</v>
      </c>
      <c r="C7" s="29">
        <f>IF(DigitaTICA!C18&lt;&gt;"",DigitaTICA!C18,"")</f>
        <v>42950</v>
      </c>
      <c r="D7" s="42">
        <f>IF(C7="",0,C7*J$15)</f>
        <v>5154</v>
      </c>
      <c r="E7" s="29">
        <f>IF(DigitaTICA!D18&lt;&gt;"",DigitaTICA!D18,"")</f>
        <v>0</v>
      </c>
      <c r="F7" s="42">
        <f>IF(E7="",0,E7*PREMIOS!F7)</f>
        <v>0</v>
      </c>
      <c r="G7" s="30">
        <f t="shared" si="1"/>
        <v>37796</v>
      </c>
      <c r="I7" s="217" t="s">
        <v>96</v>
      </c>
      <c r="J7" s="223">
        <f>SUM(IF(C19="",0,C19),IF(C20="",0,C20))</f>
        <v>80600</v>
      </c>
      <c r="K7" s="226">
        <f>+D19+D20</f>
        <v>9672</v>
      </c>
      <c r="L7" s="227">
        <f>+F19+F20</f>
        <v>25500</v>
      </c>
    </row>
    <row r="8" spans="1:12" x14ac:dyDescent="0.35">
      <c r="A8" s="28" t="str">
        <f>+Vendedor1!A8</f>
        <v>Reventado 1pm</v>
      </c>
      <c r="B8" s="132" t="str">
        <f>IF(B7&lt;&gt;"",PREMIOS!B8,"")</f>
        <v>Roja</v>
      </c>
      <c r="C8" s="29">
        <f>IF(DigitaREVENTADO!C18&lt;&gt;"",DigitaREVENTADO!C18,"")</f>
        <v>14100</v>
      </c>
      <c r="D8" s="42">
        <f>IF(C8="",0,C8*J$17)</f>
        <v>1410</v>
      </c>
      <c r="E8" s="29">
        <f>IF(DigitaREVENTADO!D18&lt;&gt;"",DigitaREVENTADO!D18,"")</f>
        <v>0</v>
      </c>
      <c r="F8" s="42">
        <f>IF(E8="",0,E8*PREMIOS!F8)</f>
        <v>0</v>
      </c>
      <c r="G8" s="30">
        <f t="shared" si="1"/>
        <v>12690</v>
      </c>
      <c r="I8" s="217" t="s">
        <v>104</v>
      </c>
      <c r="J8" s="223">
        <f>SUM(IF(C21="",0,C21),IF(C22="",0,C22),IF(C23="",0,C23))</f>
        <v>23700</v>
      </c>
      <c r="K8" s="226">
        <f t="shared" ref="K8" si="4">D21+D22+D23</f>
        <v>2844</v>
      </c>
      <c r="L8" s="227">
        <f>F21+F22+F23</f>
        <v>12750</v>
      </c>
    </row>
    <row r="9" spans="1:12" x14ac:dyDescent="0.35">
      <c r="A9" s="28" t="str">
        <f>+Vendedor1!A9</f>
        <v>Nica 3pm</v>
      </c>
      <c r="B9" s="132">
        <f>IF(DigitaNICA!E2&lt;&gt;"",DigitaNICA!E2,"")</f>
        <v>67</v>
      </c>
      <c r="C9" s="29">
        <f>IF(DigitaNICA!E18&lt;&gt;"",DigitaNICA!E18,"")</f>
        <v>35250</v>
      </c>
      <c r="D9" s="42">
        <f>IF(C9="",0,C9*J$16)</f>
        <v>4230</v>
      </c>
      <c r="E9" s="29">
        <f>IF(DigitaNICA!F18&lt;&gt;"",DigitaNICA!F18,"")</f>
        <v>0</v>
      </c>
      <c r="F9" s="42">
        <f>IF(E9="",0,E9*PREMIOS!F9)</f>
        <v>0</v>
      </c>
      <c r="G9" s="30">
        <f t="shared" si="1"/>
        <v>31020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tr">
        <f>+Vendedor1!A10</f>
        <v>Reventado 3pm</v>
      </c>
      <c r="B10" s="132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97</v>
      </c>
      <c r="C11" s="29">
        <f>IF(DigitaTICA!E18&lt;&gt;"",DigitaTICA!E18,"")</f>
        <v>32700</v>
      </c>
      <c r="D11" s="42">
        <f>IF(C11="",0,C11*J$15)</f>
        <v>3924</v>
      </c>
      <c r="E11" s="29">
        <f>IF(DigitaTICA!F18&lt;&gt;"",DigitaTICA!F18,"")</f>
        <v>0</v>
      </c>
      <c r="F11" s="42">
        <f>IF(E11="",0,E11*PREMIOS!F11)</f>
        <v>0</v>
      </c>
      <c r="G11" s="30">
        <f t="shared" si="1"/>
        <v>28776</v>
      </c>
    </row>
    <row r="12" spans="1:12" x14ac:dyDescent="0.35">
      <c r="A12" s="28" t="s">
        <v>60</v>
      </c>
      <c r="B12" s="132" t="str">
        <f>IF(B11&lt;&gt;"",PREMIOS!B12,"")</f>
        <v>Blanca</v>
      </c>
      <c r="C12" s="29">
        <f>IF(DigitaREVENTADO!E18&lt;&gt;"",DigitaREVENTADO!E18,"")</f>
        <v>12850</v>
      </c>
      <c r="D12" s="42">
        <f>IF(C12="",0,C12*J$17)</f>
        <v>1285</v>
      </c>
      <c r="E12" s="29">
        <f>IF(DigitaREVENTADO!F18&lt;&gt;"",DigitaREVENTADO!F18,"")</f>
        <v>0</v>
      </c>
      <c r="F12" s="42">
        <f>IF(E12="",0,E12*PREMIOS!F12)</f>
        <v>0</v>
      </c>
      <c r="G12" s="30">
        <f t="shared" si="1"/>
        <v>11565</v>
      </c>
    </row>
    <row r="13" spans="1:12" ht="15" thickBot="1" x14ac:dyDescent="0.4">
      <c r="A13" s="28" t="str">
        <f>+Vendedor1!A13</f>
        <v>Nica 6pm</v>
      </c>
      <c r="B13" s="132">
        <f>IF(DigitaNICA!G2&lt;&gt;"",DigitaNICA!G2,"")</f>
        <v>50</v>
      </c>
      <c r="C13" s="29">
        <f>IF(DigitaNICA!G18&lt;&gt;"",DigitaNICA!G18,"")</f>
        <v>14300</v>
      </c>
      <c r="D13" s="42">
        <f>IF(C13="",0,C13*J$16)</f>
        <v>1716</v>
      </c>
      <c r="E13" s="29">
        <f>IF(DigitaNICA!H18&lt;&gt;"",DigitaNICA!H18,"")</f>
        <v>50</v>
      </c>
      <c r="F13" s="42">
        <f>IF(E13="",0,E13*PREMIOS!F13)</f>
        <v>4250</v>
      </c>
      <c r="G13" s="30">
        <f>IF(OR(C13="",E13=""),0,C13-D13-F13)</f>
        <v>8334</v>
      </c>
    </row>
    <row r="14" spans="1:12" ht="15" thickBot="1" x14ac:dyDescent="0.4">
      <c r="A14" s="28" t="str">
        <f>+Vendedor1!A14</f>
        <v>Reventado 6pm</v>
      </c>
      <c r="B14" s="132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5" t="s">
        <v>34</v>
      </c>
      <c r="J14" s="286"/>
      <c r="K14" s="287"/>
    </row>
    <row r="15" spans="1:12" x14ac:dyDescent="0.35">
      <c r="A15" s="28" t="str">
        <f>+Vendedor1!A15</f>
        <v>Tica 7:30pm</v>
      </c>
      <c r="B15" s="132">
        <f>IF(DigitaTICA!G2&lt;&gt;"",DigitaTICA!G2,"")</f>
        <v>68</v>
      </c>
      <c r="C15" s="29">
        <f>IF(DigitaTICA!G18&lt;&gt;"",DigitaTICA!G18,"")</f>
        <v>60150</v>
      </c>
      <c r="D15" s="42">
        <f>IF(C15="",0,C15*J$15)</f>
        <v>7218</v>
      </c>
      <c r="E15" s="29">
        <f>IF(DigitaTICA!H18&lt;&gt;"",DigitaTICA!H18,"")</f>
        <v>300</v>
      </c>
      <c r="F15" s="42">
        <f>IF(E15="",0,E15*PREMIOS!F15)</f>
        <v>25500</v>
      </c>
      <c r="G15" s="30">
        <f t="shared" si="6"/>
        <v>27432</v>
      </c>
      <c r="I15" s="76" t="s">
        <v>36</v>
      </c>
      <c r="J15" s="77">
        <v>0.12</v>
      </c>
      <c r="K15" s="78">
        <f>MROUND(D7+D11+D15,50)</f>
        <v>16300</v>
      </c>
    </row>
    <row r="16" spans="1:12" x14ac:dyDescent="0.35">
      <c r="A16" s="28" t="str">
        <f>+Vendedor1!A16</f>
        <v>Reventado 7:30pm</v>
      </c>
      <c r="B16" s="132" t="str">
        <f>IF(B15&lt;&gt;"",PREMIOS!B16,"")</f>
        <v>Blanca</v>
      </c>
      <c r="C16" s="29">
        <f>IF(DigitaREVENTADO!G18&lt;&gt;"",DigitaREVENTADO!G18,"")</f>
        <v>20050</v>
      </c>
      <c r="D16" s="42">
        <f>IF(C16="",0,C16*J$17)</f>
        <v>2005</v>
      </c>
      <c r="E16" s="29">
        <f>IF(DigitaREVENTADO!H18&lt;&gt;"",DigitaREVENTADO!H18,"")</f>
        <v>200</v>
      </c>
      <c r="F16" s="42">
        <f>IF(E16="",0,E16*PREMIOS!F16)</f>
        <v>0</v>
      </c>
      <c r="G16" s="30">
        <f t="shared" si="6"/>
        <v>18045</v>
      </c>
      <c r="I16" s="63" t="s">
        <v>37</v>
      </c>
      <c r="J16" s="64">
        <v>0.12</v>
      </c>
      <c r="K16" s="30">
        <f>MROUND(D5+D9+D13+D17,50)</f>
        <v>13400</v>
      </c>
    </row>
    <row r="17" spans="1:11" x14ac:dyDescent="0.35">
      <c r="A17" s="28" t="str">
        <f>+Vendedor1!A17</f>
        <v>Nica 9pm</v>
      </c>
      <c r="B17" s="132">
        <f>IF(DigitaNICA!I2&lt;&gt;"",DigitaNICA!I2,"")</f>
        <v>50</v>
      </c>
      <c r="C17" s="29">
        <f>IF(DigitaNICA!I18&lt;&gt;"",DigitaNICA!I18,"")</f>
        <v>9200</v>
      </c>
      <c r="D17" s="42">
        <f>IF(C17="",0,C17*J$16)</f>
        <v>1104</v>
      </c>
      <c r="E17" s="29">
        <f>IF(DigitaNICA!J18&lt;&gt;"",DigitaNICA!J18,"")</f>
        <v>0</v>
      </c>
      <c r="F17" s="42">
        <f>IF(E17="",0,E17*PREMIOS!F17)</f>
        <v>0</v>
      </c>
      <c r="G17" s="30">
        <f t="shared" si="6"/>
        <v>8096</v>
      </c>
      <c r="I17" s="63" t="s">
        <v>38</v>
      </c>
      <c r="J17" s="64">
        <v>0.1</v>
      </c>
      <c r="K17" s="30">
        <f>MROUND(D6+D8+D10+D12+D14+D16+D18,50)</f>
        <v>4700</v>
      </c>
    </row>
    <row r="18" spans="1:11" x14ac:dyDescent="0.35">
      <c r="A18" s="28" t="str">
        <f>+Vendedor1!A18</f>
        <v>Reventado 9pm</v>
      </c>
      <c r="B18" s="132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9650</v>
      </c>
    </row>
    <row r="19" spans="1:11" x14ac:dyDescent="0.35">
      <c r="A19" s="28" t="s">
        <v>97</v>
      </c>
      <c r="B19" s="132">
        <f>IF(DigitaPRIMERA!C2&lt;&gt;"",DigitaPRIMERA!C2,"")</f>
        <v>70</v>
      </c>
      <c r="C19" s="29">
        <f>IF(DigitaPRIMERA!$C$18&lt;&gt;"",DigitaPRIMERA!$C$18,"")</f>
        <v>58150</v>
      </c>
      <c r="D19" s="42">
        <f>IF(C19="",0,C19*J$18)</f>
        <v>6978</v>
      </c>
      <c r="E19" s="29">
        <f>IF(DigitaPRIMERA!$D$18&lt;&gt;"",DigitaPRIMERA!$D$18,"")</f>
        <v>300</v>
      </c>
      <c r="F19" s="42">
        <f>IF(E19="",0,E19*PREMIOS!F19)</f>
        <v>25500</v>
      </c>
      <c r="G19" s="30">
        <f t="shared" si="6"/>
        <v>25672</v>
      </c>
      <c r="I19" s="63" t="s">
        <v>104</v>
      </c>
      <c r="J19" s="64">
        <v>0.12</v>
      </c>
      <c r="K19" s="30">
        <f>MROUND(D21+D22+D23,50)</f>
        <v>2850</v>
      </c>
    </row>
    <row r="20" spans="1:11" x14ac:dyDescent="0.35">
      <c r="A20" s="28" t="s">
        <v>98</v>
      </c>
      <c r="B20" s="132">
        <f>IF(DigitaPRIMERA!E2&lt;&gt;"",DigitaPRIMERA!E2,"")</f>
        <v>64</v>
      </c>
      <c r="C20" s="29">
        <f>IF(DigitaPRIMERA!$E$18&lt;&gt;"",DigitaPRIMERA!$E$18,"")</f>
        <v>22450</v>
      </c>
      <c r="D20" s="42">
        <f>IF(C20="",0,C20*J$18)</f>
        <v>2694</v>
      </c>
      <c r="E20" s="29">
        <f>IF(DigitaPRIMERA!$F$18&lt;&gt;"",DigitaPRIMERA!$F$18,"")</f>
        <v>0</v>
      </c>
      <c r="F20" s="42">
        <f>IF(E20="",0,E20*PREMIOS!F19)</f>
        <v>0</v>
      </c>
      <c r="G20" s="30">
        <f t="shared" si="6"/>
        <v>19756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87</v>
      </c>
      <c r="C21" s="29">
        <f>IF(DigitaHONDURAS!$C$18&lt;&gt;"",DigitaHONDURAS!$C$18,"")</f>
        <v>7000</v>
      </c>
      <c r="D21" s="42">
        <f>IF(C21="",0,C21*J$19)</f>
        <v>840</v>
      </c>
      <c r="E21" s="29">
        <f>IF(DigitaHONDURAS!$D$18&lt;&gt;"",DigitaHONDURAS!$D$18,"")</f>
        <v>0</v>
      </c>
      <c r="F21" s="42">
        <f>IF(E21="",0,E21*PREMIOS!F20)</f>
        <v>0</v>
      </c>
      <c r="G21" s="30">
        <f t="shared" si="6"/>
        <v>6160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60</v>
      </c>
      <c r="C22" s="29">
        <f>IF(DigitaHONDURAS!$E$18&lt;&gt;"",DigitaHONDURAS!$E$18,"")</f>
        <v>16700</v>
      </c>
      <c r="D22" s="42">
        <f>IF(C22="",0,C22*J$19)</f>
        <v>2004</v>
      </c>
      <c r="E22" s="29">
        <f>IF(DigitaHONDURAS!$F$18&lt;&gt;"",DigitaHONDURAS!$F$18,"")</f>
        <v>150</v>
      </c>
      <c r="F22" s="42">
        <f>IF(E22="",0,E22*PREMIOS!F20)</f>
        <v>12750</v>
      </c>
      <c r="G22" s="30">
        <f t="shared" si="6"/>
        <v>1946</v>
      </c>
    </row>
    <row r="23" spans="1:11" x14ac:dyDescent="0.35">
      <c r="A23" s="28" t="s">
        <v>101</v>
      </c>
      <c r="B23" s="132">
        <f>IF(DigitaHONDURAS!G2&lt;&gt;"",DigitaHONDURAS!G2,"")</f>
        <v>38</v>
      </c>
      <c r="C23" s="29" t="str">
        <f>IF(DigitaHONDURAS!$G$18&lt;&gt;"",DigitaHONDURAS!$G$18,"")</f>
        <v/>
      </c>
      <c r="D23" s="42">
        <f>IF(C23="",0,C23*J$19)</f>
        <v>0</v>
      </c>
      <c r="E23" s="29" t="str">
        <f>IF(DigitaHONDURAS!$H$18&lt;&gt;"",DigitaHONDURAS!$H$18,"")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2">
        <f>IF(DigitaDOMINICANA!C2&lt;&gt;"",DigitaDOMINICANA!C2,"")</f>
        <v>48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88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398750</v>
      </c>
      <c r="D27" s="68">
        <f t="shared" ref="D27:G27" si="7">SUM(D5:D26)</f>
        <v>46910</v>
      </c>
      <c r="E27" s="68">
        <f t="shared" si="7"/>
        <v>1000</v>
      </c>
      <c r="F27" s="68">
        <f t="shared" si="7"/>
        <v>68000</v>
      </c>
      <c r="G27" s="88">
        <f t="shared" si="7"/>
        <v>283840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88</v>
      </c>
      <c r="D2" s="281"/>
      <c r="E2" s="281"/>
    </row>
    <row r="3" spans="1:11" ht="15" thickBot="1" x14ac:dyDescent="0.4">
      <c r="J3" s="72" t="s">
        <v>39</v>
      </c>
      <c r="K3" s="7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4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2">
        <f>IF(DigitaNICA!C2&lt;&gt;"",DigitaNICA!C2,"")</f>
        <v>29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5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2">
        <f>IF(DigitaTICA!C2&lt;&gt;"",DigitaTICA!C2,"")</f>
        <v>40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2" t="str">
        <f>IF(B7&lt;&gt;"",PREMIOS!B8,"")</f>
        <v>Roja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tr">
        <f>+Vendedor1!A9</f>
        <v>Nica 3pm</v>
      </c>
      <c r="B9" s="132">
        <f>IF(DigitaNICA!E2&lt;&gt;"",DigitaNICA!E2,"")</f>
        <v>67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MROUND(D7+D11+D15,50)</f>
        <v>0</v>
      </c>
    </row>
    <row r="10" spans="1:11" x14ac:dyDescent="0.35">
      <c r="A10" s="28" t="str">
        <f>+Vendedor1!A10</f>
        <v>Reventado 3pm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97</v>
      </c>
      <c r="C11" s="84" t="str">
        <f>IF(DigitaTICA!E19&lt;&gt;"",DigitaTICA!E19,"")</f>
        <v/>
      </c>
      <c r="D11" s="85">
        <f>IF(C11="",0,C11*J$9)</f>
        <v>0</v>
      </c>
      <c r="E11" s="84" t="str">
        <f>IF(DigitaTICA!F19&lt;&gt;"",DigitaTICA!F19,"")</f>
        <v/>
      </c>
      <c r="F11" s="85">
        <f>IF(E11="",0,E11*PREMIOS!F11)</f>
        <v>0</v>
      </c>
      <c r="G11" s="86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2">
        <f>IF(DigitaNICA!G2&lt;&gt;"",DigitaNICA!G2,"")</f>
        <v>50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2">
        <f>IF(DigitaTICA!G2&lt;&gt;"",DigitaTICA!G2,"")</f>
        <v>68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2" t="str">
        <f>IF(B15&lt;&gt;"",PREMIOS!B16,"")</f>
        <v>Blanca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2">
        <f>IF(DigitaNICA!I2&lt;&gt;"",DigitaNICA!I2,"")</f>
        <v>50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8" orientation="landscape" horizontalDpi="300" verticalDpi="300" r:id="rId1"/>
  <ignoredErrors>
    <ignoredError sqref="C5:C6 C7:C17 E7:E17 E5:E6" unlockedFormula="1"/>
  </ignoredErrors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85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29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40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67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97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50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68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50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10"/>
  <dimension ref="A1: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6384" width="11.453125" style="215"/>
  </cols>
  <sheetData>
    <row r="1" spans="1:11" ht="15" thickBot="1" x14ac:dyDescent="0.4"/>
    <row r="2" spans="1:11" ht="15" thickBot="1" x14ac:dyDescent="0.4">
      <c r="A2" s="51" t="s">
        <v>35</v>
      </c>
      <c r="B2" s="124"/>
      <c r="C2" s="281" t="s">
        <v>84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29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40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67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97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50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68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50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12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83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29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40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67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97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50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68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50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13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82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29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40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67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97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50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68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50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67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70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  <row r="20" spans="1:6" ht="15" thickBot="1" x14ac:dyDescent="0.4"/>
    <row r="21" spans="1:6" ht="15" thickBot="1" x14ac:dyDescent="0.4">
      <c r="A21" s="92">
        <v>0.18</v>
      </c>
      <c r="B21" s="93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Hoja30"/>
  <dimension ref="A2:AMK27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81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6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6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6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6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79" t="s">
        <v>34</v>
      </c>
      <c r="J8" s="279"/>
      <c r="K8" s="279"/>
    </row>
    <row r="9" spans="1:11" x14ac:dyDescent="0.35">
      <c r="A9" s="28" t="s">
        <v>48</v>
      </c>
      <c r="B9" s="126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IFERROR(MROUND(D7+D11+D15,50),MROUND(D7+D11+D15,-50))</f>
        <v>0</v>
      </c>
    </row>
    <row r="10" spans="1:11" x14ac:dyDescent="0.35">
      <c r="A10" s="28" t="s">
        <v>49</v>
      </c>
      <c r="B10" s="126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6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6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6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6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6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6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6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6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6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6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6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6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6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6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6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6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7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8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ignoredErrors>
    <ignoredError sqref="C5:C6 C7:C8 E7:E8 E5:E6 C10:C17 E10:E17" unlockedFormula="1"/>
  </ignoredErrors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106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64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69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58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7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</cols>
  <sheetData>
    <row r="1" spans="1:11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>
        <f>IF(PREMIOS!$B7="","",PREMIOS!$B7)</f>
        <v>40</v>
      </c>
      <c r="D2" s="268"/>
      <c r="E2" s="267">
        <f>IF(PREMIOS!$B11="","",PREMIOS!$B11)</f>
        <v>97</v>
      </c>
      <c r="F2" s="268"/>
      <c r="G2" s="267">
        <f>IF(PREMIOS!$B15="","",PREMIOS!$B15)</f>
        <v>68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110" t="s">
        <v>28</v>
      </c>
      <c r="K3" s="110" t="s">
        <v>75</v>
      </c>
    </row>
    <row r="4" spans="1:11" x14ac:dyDescent="0.35">
      <c r="A4" s="187">
        <v>1</v>
      </c>
      <c r="B4" s="188" t="str">
        <f>Vendedor1!$B$2</f>
        <v>VENTANA</v>
      </c>
      <c r="C4" s="189">
        <v>47800</v>
      </c>
      <c r="D4" s="78">
        <v>100</v>
      </c>
      <c r="E4" s="189">
        <v>38750</v>
      </c>
      <c r="F4" s="78">
        <f t="shared" ref="D4:H27" si="0">IF(E4="","",0)</f>
        <v>0</v>
      </c>
      <c r="G4" s="189">
        <v>114300</v>
      </c>
      <c r="H4" s="78">
        <v>500</v>
      </c>
      <c r="J4" s="42">
        <f t="shared" ref="J4:J8" si="1">+C4+E4+G4</f>
        <v>200850</v>
      </c>
      <c r="K4" s="42">
        <f>IF(D4="",0,IF(F4="",D4,IF(H4="",D4+F4,D4+F4+H4)))</f>
        <v>600</v>
      </c>
    </row>
    <row r="5" spans="1:11" x14ac:dyDescent="0.35">
      <c r="A5" s="47">
        <v>2</v>
      </c>
      <c r="B5" s="178" t="str">
        <f>Vendedor2!$B$2</f>
        <v>PUESTO 2</v>
      </c>
      <c r="C5" s="180">
        <v>34100</v>
      </c>
      <c r="D5" s="30">
        <v>250</v>
      </c>
      <c r="E5" s="180">
        <v>26200</v>
      </c>
      <c r="F5" s="30">
        <f t="shared" si="0"/>
        <v>0</v>
      </c>
      <c r="G5" s="180">
        <v>78450</v>
      </c>
      <c r="H5" s="30">
        <f t="shared" si="0"/>
        <v>0</v>
      </c>
      <c r="J5" s="42">
        <f t="shared" si="1"/>
        <v>138750</v>
      </c>
      <c r="K5" s="42">
        <f t="shared" ref="K5:K27" si="2">IF(D5="",0,IF(F5="",D5,IF(H5="",D5+F5,D5+F5+H5)))</f>
        <v>250</v>
      </c>
    </row>
    <row r="6" spans="1:11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0"/>
        <v/>
      </c>
      <c r="G6" s="180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180"/>
      <c r="F7" s="30" t="str">
        <f t="shared" si="0"/>
        <v/>
      </c>
      <c r="G7" s="180"/>
      <c r="H7" s="30" t="str">
        <f t="shared" si="0"/>
        <v/>
      </c>
      <c r="J7" s="42">
        <f t="shared" si="1"/>
        <v>0</v>
      </c>
      <c r="K7" s="42">
        <f t="shared" si="2"/>
        <v>0</v>
      </c>
    </row>
    <row r="8" spans="1:11" x14ac:dyDescent="0.35">
      <c r="A8" s="47">
        <v>5</v>
      </c>
      <c r="B8" s="178" t="str">
        <f>Vendedor5!$B$2</f>
        <v>YOYO</v>
      </c>
      <c r="C8" s="180">
        <v>49450</v>
      </c>
      <c r="D8" s="30">
        <v>900</v>
      </c>
      <c r="E8" s="180">
        <v>37850</v>
      </c>
      <c r="F8" s="30">
        <f t="shared" si="0"/>
        <v>0</v>
      </c>
      <c r="G8" s="180">
        <v>43400</v>
      </c>
      <c r="H8" s="30">
        <v>100</v>
      </c>
      <c r="J8" s="42">
        <f t="shared" si="1"/>
        <v>130700</v>
      </c>
      <c r="K8" s="42">
        <f t="shared" si="2"/>
        <v>1000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0"/>
        <v/>
      </c>
      <c r="G9" s="180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41050+77600</f>
        <v>118650</v>
      </c>
      <c r="D10" s="30">
        <f>100+200</f>
        <v>300</v>
      </c>
      <c r="E10" s="180">
        <f>29150+85200</f>
        <v>114350</v>
      </c>
      <c r="F10" s="30">
        <v>100</v>
      </c>
      <c r="G10" s="180">
        <f>51650+115200</f>
        <v>166850</v>
      </c>
      <c r="H10" s="30">
        <v>1250</v>
      </c>
      <c r="J10" s="42">
        <f t="shared" si="3"/>
        <v>399850</v>
      </c>
      <c r="K10" s="42">
        <f t="shared" si="2"/>
        <v>1650</v>
      </c>
    </row>
    <row r="11" spans="1:11" x14ac:dyDescent="0.35">
      <c r="A11" s="47">
        <v>8</v>
      </c>
      <c r="B11" s="178" t="str">
        <f>Vendedor8!$B$2</f>
        <v>ISA</v>
      </c>
      <c r="C11" s="180">
        <v>4000</v>
      </c>
      <c r="D11" s="30">
        <f t="shared" si="0"/>
        <v>0</v>
      </c>
      <c r="E11" s="180"/>
      <c r="F11" s="30" t="str">
        <f t="shared" si="0"/>
        <v/>
      </c>
      <c r="G11" s="180">
        <v>23700</v>
      </c>
      <c r="H11" s="30">
        <f t="shared" si="0"/>
        <v>0</v>
      </c>
      <c r="J11" s="42">
        <f t="shared" si="3"/>
        <v>27700</v>
      </c>
      <c r="K11" s="42">
        <f t="shared" si="2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19400</v>
      </c>
      <c r="D12" s="30">
        <f t="shared" si="0"/>
        <v>0</v>
      </c>
      <c r="E12" s="180">
        <v>10500</v>
      </c>
      <c r="F12" s="30">
        <f t="shared" si="0"/>
        <v>0</v>
      </c>
      <c r="G12" s="180">
        <v>22900</v>
      </c>
      <c r="H12" s="30">
        <v>150</v>
      </c>
      <c r="J12" s="42">
        <f t="shared" si="3"/>
        <v>52800</v>
      </c>
      <c r="K12" s="42">
        <f t="shared" si="2"/>
        <v>150</v>
      </c>
    </row>
    <row r="13" spans="1:11" x14ac:dyDescent="0.35">
      <c r="A13" s="47">
        <v>10</v>
      </c>
      <c r="B13" s="178" t="str">
        <f>Vendedor10!$B$2</f>
        <v>MARIALIZ</v>
      </c>
      <c r="C13" s="180">
        <v>18300</v>
      </c>
      <c r="D13" s="30">
        <v>1000</v>
      </c>
      <c r="E13" s="180">
        <v>25400</v>
      </c>
      <c r="F13" s="30">
        <v>200</v>
      </c>
      <c r="G13" s="180">
        <v>66150</v>
      </c>
      <c r="H13" s="30">
        <v>3000</v>
      </c>
      <c r="J13" s="42">
        <f t="shared" si="3"/>
        <v>109850</v>
      </c>
      <c r="K13" s="42">
        <f t="shared" si="2"/>
        <v>4200</v>
      </c>
    </row>
    <row r="14" spans="1:11" x14ac:dyDescent="0.35">
      <c r="A14" s="47">
        <v>11</v>
      </c>
      <c r="B14" s="178" t="str">
        <f>Vendedor11!$B$2</f>
        <v>CHARLY</v>
      </c>
      <c r="C14" s="180">
        <v>33400</v>
      </c>
      <c r="D14" s="30">
        <v>500</v>
      </c>
      <c r="E14" s="180">
        <v>11600</v>
      </c>
      <c r="F14" s="30">
        <f t="shared" si="0"/>
        <v>0</v>
      </c>
      <c r="G14" s="180">
        <v>31100</v>
      </c>
      <c r="H14" s="30">
        <f t="shared" si="0"/>
        <v>0</v>
      </c>
      <c r="J14" s="42">
        <f t="shared" si="3"/>
        <v>76100</v>
      </c>
      <c r="K14" s="42">
        <f t="shared" si="2"/>
        <v>500</v>
      </c>
    </row>
    <row r="15" spans="1:11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180"/>
      <c r="F15" s="30" t="str">
        <f t="shared" si="0"/>
        <v/>
      </c>
      <c r="G15" s="180"/>
      <c r="H15" s="30" t="str">
        <f t="shared" si="0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8" t="str">
        <f>Vendedor13!$B$2</f>
        <v>MINERO</v>
      </c>
      <c r="C16" s="180">
        <v>16900</v>
      </c>
      <c r="D16" s="30">
        <v>250</v>
      </c>
      <c r="E16" s="180">
        <v>23300</v>
      </c>
      <c r="F16" s="30">
        <f t="shared" si="0"/>
        <v>0</v>
      </c>
      <c r="G16" s="180">
        <v>14200</v>
      </c>
      <c r="H16" s="30">
        <f t="shared" si="0"/>
        <v>0</v>
      </c>
      <c r="J16" s="42">
        <f t="shared" si="3"/>
        <v>54400</v>
      </c>
      <c r="K16" s="42">
        <f t="shared" si="2"/>
        <v>250</v>
      </c>
    </row>
    <row r="17" spans="1:11" x14ac:dyDescent="0.35">
      <c r="A17" s="47">
        <v>14</v>
      </c>
      <c r="B17" s="178" t="str">
        <f>Vendedor14!$B$2</f>
        <v>EDUARDO TIEMPOS LICORERA</v>
      </c>
      <c r="C17" s="180">
        <f>105850+32350</f>
        <v>138200</v>
      </c>
      <c r="D17" s="30">
        <v>800</v>
      </c>
      <c r="E17" s="180">
        <f>67900+11350</f>
        <v>79250</v>
      </c>
      <c r="F17" s="30">
        <f>550+0</f>
        <v>550</v>
      </c>
      <c r="G17" s="180">
        <f>29050+141050</f>
        <v>170100</v>
      </c>
      <c r="H17" s="30">
        <v>1200</v>
      </c>
      <c r="J17" s="42">
        <f t="shared" si="3"/>
        <v>387550</v>
      </c>
      <c r="K17" s="42">
        <f t="shared" si="2"/>
        <v>2550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f>24800+18150</f>
        <v>42950</v>
      </c>
      <c r="D18" s="30">
        <f t="shared" si="0"/>
        <v>0</v>
      </c>
      <c r="E18" s="180">
        <f>14850+17850</f>
        <v>32700</v>
      </c>
      <c r="F18" s="30">
        <f t="shared" si="0"/>
        <v>0</v>
      </c>
      <c r="G18" s="180">
        <f>21250+38900</f>
        <v>60150</v>
      </c>
      <c r="H18" s="30">
        <f>200+100</f>
        <v>300</v>
      </c>
      <c r="J18" s="42">
        <f t="shared" si="3"/>
        <v>135800</v>
      </c>
      <c r="K18" s="42">
        <f t="shared" si="2"/>
        <v>300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0"/>
        <v/>
      </c>
      <c r="G19" s="180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0"/>
        <v/>
      </c>
      <c r="G20" s="180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0"/>
        <v/>
      </c>
      <c r="G21" s="180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0"/>
        <v/>
      </c>
      <c r="G22" s="180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0"/>
        <v/>
      </c>
      <c r="G23" s="180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0"/>
        <v/>
      </c>
      <c r="G24" s="180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0"/>
        <v/>
      </c>
      <c r="G25" s="180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0"/>
        <v/>
      </c>
      <c r="G26" s="180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0"/>
        <v/>
      </c>
      <c r="G27" s="181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523150</v>
      </c>
      <c r="D32" s="44">
        <f t="shared" si="6"/>
        <v>4100</v>
      </c>
      <c r="E32" s="43">
        <f t="shared" si="6"/>
        <v>399900</v>
      </c>
      <c r="F32" s="44">
        <f t="shared" si="6"/>
        <v>850</v>
      </c>
      <c r="G32" s="43">
        <f t="shared" si="6"/>
        <v>791300</v>
      </c>
      <c r="H32" s="44">
        <f t="shared" si="6"/>
        <v>6500</v>
      </c>
      <c r="J32" s="95">
        <f>SUM(J4:J31)</f>
        <v>1714350</v>
      </c>
      <c r="K32" s="95"/>
    </row>
    <row r="33" spans="2:8" x14ac:dyDescent="0.35">
      <c r="D33" s="99">
        <f>+D32*85</f>
        <v>348500</v>
      </c>
      <c r="F33" s="99">
        <f>+F32*85</f>
        <v>72250</v>
      </c>
      <c r="H33" s="99">
        <f>+H32*85</f>
        <v>552500</v>
      </c>
    </row>
    <row r="34" spans="2:8" x14ac:dyDescent="0.35">
      <c r="B34" s="247" t="s">
        <v>149</v>
      </c>
      <c r="C34" s="43">
        <f t="shared" ref="C34:H34" si="7">+C4+C5+C6+C8+C13</f>
        <v>149650</v>
      </c>
      <c r="D34" s="43" t="e">
        <f t="shared" si="7"/>
        <v>#VALUE!</v>
      </c>
      <c r="E34" s="43">
        <f t="shared" si="7"/>
        <v>128200</v>
      </c>
      <c r="F34" s="43" t="e">
        <f t="shared" si="7"/>
        <v>#VALUE!</v>
      </c>
      <c r="G34" s="43">
        <f t="shared" si="7"/>
        <v>302300</v>
      </c>
      <c r="H34" s="43" t="e">
        <f t="shared" si="7"/>
        <v>#VALUE!</v>
      </c>
    </row>
    <row r="35" spans="2:8" x14ac:dyDescent="0.35">
      <c r="B35" s="247" t="s">
        <v>150</v>
      </c>
      <c r="C35" s="43">
        <f>+C11+C14+C15+C17+C18</f>
        <v>218550</v>
      </c>
      <c r="D35" s="43" t="e">
        <f t="shared" ref="D35:H35" si="8">+D11+D14+D15+D17+D18</f>
        <v>#VALUE!</v>
      </c>
      <c r="E35" s="43">
        <f t="shared" si="8"/>
        <v>123550</v>
      </c>
      <c r="F35" s="43" t="e">
        <f t="shared" si="8"/>
        <v>#VALUE!</v>
      </c>
      <c r="G35" s="43">
        <f t="shared" si="8"/>
        <v>285050</v>
      </c>
      <c r="H35" s="43" t="e">
        <f t="shared" si="8"/>
        <v>#VALUE!</v>
      </c>
    </row>
    <row r="36" spans="2:8" x14ac:dyDescent="0.35">
      <c r="B36" s="247" t="s">
        <v>151</v>
      </c>
      <c r="C36" s="43">
        <f>+C10+C12+C27</f>
        <v>138050</v>
      </c>
      <c r="D36" s="43" t="e">
        <f t="shared" ref="D36:H36" si="9">+D10+D12+D27</f>
        <v>#VALUE!</v>
      </c>
      <c r="E36" s="43">
        <f t="shared" si="9"/>
        <v>124850</v>
      </c>
      <c r="F36" s="43" t="e">
        <f t="shared" si="9"/>
        <v>#VALUE!</v>
      </c>
      <c r="G36" s="43">
        <f t="shared" si="9"/>
        <v>189750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Hoja52"/>
  <dimension ref="A1:M32"/>
  <sheetViews>
    <sheetView showGridLines="0" zoomScale="90" zoomScaleNormal="90" workbookViewId="0">
      <selection activeCell="I14" sqref="I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10" width="12.54296875" customWidth="1"/>
    <col min="11" max="11" width="3.54296875" customWidth="1"/>
    <col min="12" max="13" width="12.54296875" customWidth="1"/>
    <col min="14" max="14" width="3.54296875" customWidth="1"/>
  </cols>
  <sheetData>
    <row r="1" spans="1:13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3" ht="21" customHeight="1" x14ac:dyDescent="0.35">
      <c r="C2" s="267">
        <f>IF(PREMIOS!$B5="","",PREMIOS!$B5)</f>
        <v>29</v>
      </c>
      <c r="D2" s="268"/>
      <c r="E2" s="267">
        <f>IF(PREMIOS!$B9="","",PREMIOS!$B9)</f>
        <v>67</v>
      </c>
      <c r="F2" s="268"/>
      <c r="G2" s="267">
        <f>IF(PREMIOS!$B13="","",PREMIOS!$B13)</f>
        <v>50</v>
      </c>
      <c r="H2" s="268"/>
      <c r="I2" s="267">
        <f>IF(PREMIOS!$B17="","",PREMIOS!$B17)</f>
        <v>50</v>
      </c>
      <c r="J2" s="268"/>
    </row>
    <row r="3" spans="1:13" ht="21" customHeight="1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30</v>
      </c>
    </row>
    <row r="4" spans="1:13" x14ac:dyDescent="0.35">
      <c r="A4" s="187">
        <v>1</v>
      </c>
      <c r="B4" s="188" t="str">
        <f>Vendedor1!$B$2</f>
        <v>VENTANA</v>
      </c>
      <c r="C4" s="189">
        <v>17250</v>
      </c>
      <c r="D4" s="78">
        <f t="shared" ref="D4:J27" si="0">IF(C4="","",0)</f>
        <v>0</v>
      </c>
      <c r="E4" s="206">
        <v>5050</v>
      </c>
      <c r="F4" s="78">
        <f t="shared" si="0"/>
        <v>0</v>
      </c>
      <c r="G4" s="189">
        <v>2050</v>
      </c>
      <c r="H4" s="78">
        <v>250</v>
      </c>
      <c r="I4" s="189">
        <v>14550</v>
      </c>
      <c r="J4" s="78">
        <v>250</v>
      </c>
      <c r="L4" s="42">
        <f t="shared" ref="L4:L8" si="1">+C4+E4+G4+I4</f>
        <v>38900</v>
      </c>
      <c r="M4" s="42">
        <f>IF(D4=0,0,IF(F4="",D4,IF(H4="",D4+F4,IF(J4="",D4+F4+H4,D4+F4+H4+J4))))</f>
        <v>0</v>
      </c>
    </row>
    <row r="5" spans="1:13" x14ac:dyDescent="0.35">
      <c r="A5" s="47">
        <v>2</v>
      </c>
      <c r="B5" s="178" t="str">
        <f>Vendedor2!$B$2</f>
        <v>PUESTO 2</v>
      </c>
      <c r="C5" s="180">
        <v>9500</v>
      </c>
      <c r="D5" s="30">
        <f t="shared" si="0"/>
        <v>0</v>
      </c>
      <c r="E5" s="207">
        <v>12500</v>
      </c>
      <c r="F5" s="30">
        <f t="shared" si="0"/>
        <v>0</v>
      </c>
      <c r="G5" s="180">
        <v>2200</v>
      </c>
      <c r="H5" s="30">
        <f t="shared" ref="H5:H27" si="2">IF(G5="","",0)</f>
        <v>0</v>
      </c>
      <c r="I5" s="180">
        <v>6000</v>
      </c>
      <c r="J5" s="30">
        <f t="shared" ref="J5:J27" si="3">IF(I5="","",0)</f>
        <v>0</v>
      </c>
      <c r="L5" s="42">
        <f t="shared" si="1"/>
        <v>30200</v>
      </c>
      <c r="M5" s="42">
        <f t="shared" ref="M5:M27" si="4">IF(D5=0,0,IF(F5="",D5,IF(H5="",D5+F5,IF(J5="",D5+F5+H5,D5+F5+H5+J5))))</f>
        <v>0</v>
      </c>
    </row>
    <row r="6" spans="1:13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207"/>
      <c r="F6" s="30" t="str">
        <f t="shared" si="0"/>
        <v/>
      </c>
      <c r="G6" s="180"/>
      <c r="H6" s="30" t="str">
        <f t="shared" si="2"/>
        <v/>
      </c>
      <c r="I6" s="180"/>
      <c r="J6" s="30" t="str">
        <f t="shared" si="3"/>
        <v/>
      </c>
      <c r="L6" s="42">
        <f t="shared" si="1"/>
        <v>0</v>
      </c>
      <c r="M6" s="42" t="str">
        <f t="shared" si="4"/>
        <v/>
      </c>
    </row>
    <row r="7" spans="1:13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207"/>
      <c r="F7" s="30" t="str">
        <f t="shared" si="0"/>
        <v/>
      </c>
      <c r="G7" s="180"/>
      <c r="H7" s="30" t="str">
        <f t="shared" si="2"/>
        <v/>
      </c>
      <c r="I7" s="180"/>
      <c r="J7" s="30" t="str">
        <f t="shared" si="0"/>
        <v/>
      </c>
      <c r="L7" s="42">
        <f t="shared" si="1"/>
        <v>0</v>
      </c>
      <c r="M7" s="42" t="str">
        <f t="shared" si="4"/>
        <v/>
      </c>
    </row>
    <row r="8" spans="1:13" x14ac:dyDescent="0.35">
      <c r="A8" s="47">
        <v>5</v>
      </c>
      <c r="B8" s="178" t="str">
        <f>Vendedor5!$B$2</f>
        <v>YOYO</v>
      </c>
      <c r="C8" s="180">
        <v>59000</v>
      </c>
      <c r="D8" s="30">
        <v>250</v>
      </c>
      <c r="E8" s="207">
        <v>38550</v>
      </c>
      <c r="F8" s="30">
        <f t="shared" si="0"/>
        <v>0</v>
      </c>
      <c r="G8" s="180">
        <v>6350</v>
      </c>
      <c r="H8" s="30">
        <f t="shared" si="2"/>
        <v>0</v>
      </c>
      <c r="I8" s="180">
        <v>7100</v>
      </c>
      <c r="J8" s="30">
        <f t="shared" si="0"/>
        <v>0</v>
      </c>
      <c r="L8" s="42">
        <f t="shared" si="1"/>
        <v>111000</v>
      </c>
      <c r="M8" s="42">
        <f t="shared" si="4"/>
        <v>250</v>
      </c>
    </row>
    <row r="9" spans="1:13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207"/>
      <c r="F9" s="30" t="str">
        <f t="shared" si="0"/>
        <v/>
      </c>
      <c r="G9" s="180"/>
      <c r="H9" s="30" t="str">
        <f t="shared" si="2"/>
        <v/>
      </c>
      <c r="I9" s="180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8" t="str">
        <f>Vendedor7!$B$2</f>
        <v>PIKIS</v>
      </c>
      <c r="C10" s="180">
        <f>40950+24150</f>
        <v>65100</v>
      </c>
      <c r="D10" s="30">
        <f>150+0</f>
        <v>150</v>
      </c>
      <c r="E10" s="207">
        <f>27750+32400</f>
        <v>60150</v>
      </c>
      <c r="F10" s="30">
        <v>100</v>
      </c>
      <c r="G10" s="180">
        <f>39800+13500</f>
        <v>53300</v>
      </c>
      <c r="H10" s="30">
        <f t="shared" si="0"/>
        <v>0</v>
      </c>
      <c r="I10" s="180">
        <f>35500+44450</f>
        <v>79950</v>
      </c>
      <c r="J10" s="30">
        <f>100+150</f>
        <v>250</v>
      </c>
      <c r="L10" s="42">
        <f t="shared" si="5"/>
        <v>258500</v>
      </c>
      <c r="M10" s="42">
        <f t="shared" si="4"/>
        <v>500</v>
      </c>
    </row>
    <row r="11" spans="1:13" x14ac:dyDescent="0.35">
      <c r="A11" s="47">
        <v>8</v>
      </c>
      <c r="B11" s="178" t="str">
        <f>Vendedor8!$B$2</f>
        <v>ISA</v>
      </c>
      <c r="C11" s="180"/>
      <c r="D11" s="30" t="str">
        <f t="shared" si="0"/>
        <v/>
      </c>
      <c r="E11" s="207"/>
      <c r="F11" s="30" t="str">
        <f t="shared" si="0"/>
        <v/>
      </c>
      <c r="G11" s="180"/>
      <c r="H11" s="30" t="str">
        <f t="shared" si="0"/>
        <v/>
      </c>
      <c r="I11" s="180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8" t="str">
        <f>Vendedor9!$B$2</f>
        <v>JUAN FELIX</v>
      </c>
      <c r="C12" s="180">
        <v>23550</v>
      </c>
      <c r="D12" s="30">
        <f t="shared" si="0"/>
        <v>0</v>
      </c>
      <c r="E12" s="207">
        <v>7650</v>
      </c>
      <c r="F12" s="30">
        <f t="shared" si="0"/>
        <v>0</v>
      </c>
      <c r="G12" s="180"/>
      <c r="H12" s="30" t="str">
        <f t="shared" si="0"/>
        <v/>
      </c>
      <c r="I12" s="180"/>
      <c r="J12" s="30" t="str">
        <f t="shared" si="0"/>
        <v/>
      </c>
      <c r="L12" s="42">
        <f t="shared" si="5"/>
        <v>31200</v>
      </c>
      <c r="M12" s="42">
        <f t="shared" si="4"/>
        <v>0</v>
      </c>
    </row>
    <row r="13" spans="1:13" x14ac:dyDescent="0.35">
      <c r="A13" s="47">
        <v>10</v>
      </c>
      <c r="B13" s="178" t="str">
        <f>Vendedor10!$B$2</f>
        <v>MARIALIZ</v>
      </c>
      <c r="C13" s="180">
        <v>28700</v>
      </c>
      <c r="D13" s="30">
        <f t="shared" si="0"/>
        <v>0</v>
      </c>
      <c r="E13" s="207">
        <v>9700</v>
      </c>
      <c r="F13" s="30">
        <f t="shared" si="0"/>
        <v>0</v>
      </c>
      <c r="G13" s="180">
        <v>16550</v>
      </c>
      <c r="H13" s="30">
        <f t="shared" si="0"/>
        <v>0</v>
      </c>
      <c r="I13" s="180">
        <v>18700</v>
      </c>
      <c r="J13" s="30">
        <v>100</v>
      </c>
      <c r="L13" s="42">
        <f t="shared" si="5"/>
        <v>73650</v>
      </c>
      <c r="M13" s="42">
        <f t="shared" si="4"/>
        <v>0</v>
      </c>
    </row>
    <row r="14" spans="1:13" x14ac:dyDescent="0.35">
      <c r="A14" s="190">
        <v>11</v>
      </c>
      <c r="B14" s="183" t="str">
        <f>Vendedor11!$B$2</f>
        <v>CHARLY</v>
      </c>
      <c r="C14" s="184"/>
      <c r="D14" s="185" t="str">
        <f t="shared" si="0"/>
        <v/>
      </c>
      <c r="E14" s="208"/>
      <c r="F14" s="185" t="str">
        <f t="shared" si="0"/>
        <v/>
      </c>
      <c r="G14" s="184"/>
      <c r="H14" s="185" t="str">
        <f t="shared" si="0"/>
        <v/>
      </c>
      <c r="I14" s="184"/>
      <c r="J14" s="185" t="str">
        <f t="shared" si="0"/>
        <v/>
      </c>
      <c r="L14" s="111">
        <f t="shared" si="5"/>
        <v>0</v>
      </c>
      <c r="M14" s="111" t="str">
        <f t="shared" si="4"/>
        <v/>
      </c>
    </row>
    <row r="15" spans="1:13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207"/>
      <c r="F15" s="30" t="str">
        <f t="shared" si="0"/>
        <v/>
      </c>
      <c r="G15" s="180"/>
      <c r="H15" s="30" t="str">
        <f t="shared" si="0"/>
        <v/>
      </c>
      <c r="I15" s="180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8" t="str">
        <f>Vendedor13!$B$2</f>
        <v>MINERO</v>
      </c>
      <c r="C16" s="180">
        <v>14100</v>
      </c>
      <c r="D16" s="30">
        <f t="shared" si="0"/>
        <v>0</v>
      </c>
      <c r="E16" s="207">
        <v>12450</v>
      </c>
      <c r="F16" s="30">
        <v>200</v>
      </c>
      <c r="G16" s="180">
        <v>1000</v>
      </c>
      <c r="H16" s="30">
        <f t="shared" si="0"/>
        <v>0</v>
      </c>
      <c r="I16" s="180">
        <v>5400</v>
      </c>
      <c r="J16" s="30">
        <v>250</v>
      </c>
      <c r="L16" s="42">
        <f t="shared" si="5"/>
        <v>32950</v>
      </c>
      <c r="M16" s="42">
        <f t="shared" si="4"/>
        <v>0</v>
      </c>
    </row>
    <row r="17" spans="1:13" x14ac:dyDescent="0.35">
      <c r="A17" s="47">
        <v>14</v>
      </c>
      <c r="B17" s="178" t="str">
        <f>Vendedor14!$B$2</f>
        <v>EDUARDO TIEMPOS LICORERA</v>
      </c>
      <c r="C17" s="180">
        <v>78300</v>
      </c>
      <c r="D17" s="30">
        <f t="shared" si="0"/>
        <v>0</v>
      </c>
      <c r="E17" s="207">
        <v>70950</v>
      </c>
      <c r="F17" s="30">
        <v>200</v>
      </c>
      <c r="G17" s="180">
        <v>46650</v>
      </c>
      <c r="H17" s="30">
        <v>100</v>
      </c>
      <c r="I17" s="180">
        <v>144400</v>
      </c>
      <c r="J17" s="30">
        <v>1350</v>
      </c>
      <c r="L17" s="42">
        <f t="shared" si="5"/>
        <v>340300</v>
      </c>
      <c r="M17" s="42">
        <f t="shared" si="4"/>
        <v>0</v>
      </c>
    </row>
    <row r="18" spans="1:13" x14ac:dyDescent="0.35">
      <c r="A18" s="47">
        <v>15</v>
      </c>
      <c r="B18" s="178" t="str">
        <f>Vendedor15!$B$2</f>
        <v>EDUARDO PUESTO CENTRO</v>
      </c>
      <c r="C18" s="180">
        <v>52900</v>
      </c>
      <c r="D18" s="30">
        <f t="shared" si="0"/>
        <v>0</v>
      </c>
      <c r="E18" s="207">
        <v>35250</v>
      </c>
      <c r="F18" s="30">
        <f t="shared" si="0"/>
        <v>0</v>
      </c>
      <c r="G18" s="180">
        <v>14300</v>
      </c>
      <c r="H18" s="30">
        <v>50</v>
      </c>
      <c r="I18" s="180">
        <v>9200</v>
      </c>
      <c r="J18" s="30">
        <f t="shared" si="3"/>
        <v>0</v>
      </c>
      <c r="L18" s="42">
        <f t="shared" si="5"/>
        <v>111650</v>
      </c>
      <c r="M18" s="42">
        <f t="shared" si="4"/>
        <v>0</v>
      </c>
    </row>
    <row r="19" spans="1:13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207"/>
      <c r="F19" s="30" t="str">
        <f t="shared" si="0"/>
        <v/>
      </c>
      <c r="G19" s="180"/>
      <c r="H19" s="30" t="str">
        <f t="shared" si="2"/>
        <v/>
      </c>
      <c r="I19" s="180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207"/>
      <c r="F20" s="30" t="str">
        <f t="shared" si="0"/>
        <v/>
      </c>
      <c r="G20" s="180"/>
      <c r="H20" s="30" t="str">
        <f t="shared" si="2"/>
        <v/>
      </c>
      <c r="I20" s="180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207"/>
      <c r="F21" s="30" t="str">
        <f t="shared" si="0"/>
        <v/>
      </c>
      <c r="G21" s="180"/>
      <c r="H21" s="30" t="str">
        <f t="shared" si="2"/>
        <v/>
      </c>
      <c r="I21" s="180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207"/>
      <c r="F22" s="30" t="str">
        <f t="shared" si="0"/>
        <v/>
      </c>
      <c r="G22" s="180"/>
      <c r="H22" s="30" t="str">
        <f t="shared" si="2"/>
        <v/>
      </c>
      <c r="I22" s="180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207"/>
      <c r="F23" s="30" t="str">
        <f t="shared" si="0"/>
        <v/>
      </c>
      <c r="G23" s="180"/>
      <c r="H23" s="30" t="str">
        <f t="shared" si="2"/>
        <v/>
      </c>
      <c r="I23" s="180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207"/>
      <c r="F24" s="30" t="str">
        <f t="shared" si="0"/>
        <v/>
      </c>
      <c r="G24" s="180"/>
      <c r="H24" s="30" t="str">
        <f t="shared" si="2"/>
        <v/>
      </c>
      <c r="I24" s="180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207"/>
      <c r="F25" s="30" t="str">
        <f t="shared" si="0"/>
        <v/>
      </c>
      <c r="G25" s="180"/>
      <c r="H25" s="30" t="str">
        <f t="shared" si="2"/>
        <v/>
      </c>
      <c r="I25" s="180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207"/>
      <c r="F26" s="30" t="str">
        <f t="shared" si="0"/>
        <v/>
      </c>
      <c r="G26" s="180"/>
      <c r="H26" s="30" t="str">
        <f t="shared" si="2"/>
        <v/>
      </c>
      <c r="I26" s="180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209"/>
      <c r="F27" s="50"/>
      <c r="G27" s="181"/>
      <c r="H27" s="50" t="str">
        <f t="shared" si="2"/>
        <v/>
      </c>
      <c r="I27" s="181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348400</v>
      </c>
      <c r="D32" s="44">
        <f t="shared" si="7"/>
        <v>400</v>
      </c>
      <c r="E32" s="43">
        <f t="shared" si="7"/>
        <v>252250</v>
      </c>
      <c r="F32" s="44">
        <f t="shared" si="7"/>
        <v>500</v>
      </c>
      <c r="G32" s="43">
        <f t="shared" si="7"/>
        <v>142400</v>
      </c>
      <c r="H32" s="44">
        <f t="shared" si="7"/>
        <v>400</v>
      </c>
      <c r="I32" s="43">
        <f t="shared" si="7"/>
        <v>285300</v>
      </c>
      <c r="J32" s="44">
        <f t="shared" si="7"/>
        <v>2200</v>
      </c>
      <c r="L32" s="95">
        <f>SUM(L9:L31)</f>
        <v>848250</v>
      </c>
      <c r="M32" s="95">
        <f>SUM(M9:M31)</f>
        <v>500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 t="str">
        <f>IF(C33=0,"",CONCATENATE(PREMIOS!$B7," ",PREMIOS!$B8))</f>
        <v>40 Roja</v>
      </c>
      <c r="D2" s="268"/>
      <c r="E2" s="267" t="str">
        <f>IF(E33=0,"",CONCATENATE(PREMIOS!$B11," ",PREMIOS!$B12))</f>
        <v>97 Blanca</v>
      </c>
      <c r="F2" s="268"/>
      <c r="G2" s="267" t="str">
        <f>IF(G33=0,"",CONCATENATE(PREMIOS!$B15," ",PREMIOS!$B16))</f>
        <v>68 Blanca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210"/>
      <c r="D4" s="211" t="str">
        <f t="shared" ref="D4:H26" si="0">IF(C4="","",0)</f>
        <v/>
      </c>
      <c r="E4" s="210"/>
      <c r="F4" s="211" t="str">
        <f t="shared" ref="F4:F27" si="1">IF(E4="","",0)</f>
        <v/>
      </c>
      <c r="G4" s="210"/>
      <c r="H4" s="211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212"/>
      <c r="D5" s="213" t="str">
        <f t="shared" si="0"/>
        <v/>
      </c>
      <c r="E5" s="212"/>
      <c r="F5" s="213" t="str">
        <f t="shared" si="1"/>
        <v/>
      </c>
      <c r="G5" s="212"/>
      <c r="H5" s="21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212"/>
      <c r="D6" s="213" t="str">
        <f t="shared" si="0"/>
        <v/>
      </c>
      <c r="E6" s="212"/>
      <c r="F6" s="213" t="str">
        <f t="shared" si="1"/>
        <v/>
      </c>
      <c r="G6" s="212"/>
      <c r="H6" s="21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212"/>
      <c r="D7" s="213" t="str">
        <f t="shared" si="0"/>
        <v/>
      </c>
      <c r="E7" s="212"/>
      <c r="F7" s="213" t="str">
        <f t="shared" si="1"/>
        <v/>
      </c>
      <c r="G7" s="212"/>
      <c r="H7" s="21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212"/>
      <c r="D8" s="213" t="str">
        <f t="shared" si="0"/>
        <v/>
      </c>
      <c r="E8" s="212"/>
      <c r="F8" s="213" t="str">
        <f t="shared" si="1"/>
        <v/>
      </c>
      <c r="G8" s="212"/>
      <c r="H8" s="21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1"/>
        <v/>
      </c>
      <c r="G9" s="180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13300+7750</f>
        <v>21050</v>
      </c>
      <c r="D10" s="30">
        <f t="shared" si="0"/>
        <v>0</v>
      </c>
      <c r="E10" s="180">
        <f>12300+6150</f>
        <v>18450</v>
      </c>
      <c r="F10" s="30">
        <f t="shared" si="0"/>
        <v>0</v>
      </c>
      <c r="G10" s="180">
        <f>21300+10650</f>
        <v>31950</v>
      </c>
      <c r="H10" s="30">
        <f t="shared" si="0"/>
        <v>0</v>
      </c>
      <c r="J10" s="42">
        <f t="shared" si="3"/>
        <v>71450</v>
      </c>
      <c r="K10" s="42">
        <f t="shared" si="4"/>
        <v>0</v>
      </c>
    </row>
    <row r="11" spans="1:11" x14ac:dyDescent="0.35">
      <c r="A11" s="47">
        <v>8</v>
      </c>
      <c r="B11" s="178" t="str">
        <f>Vendedor8!$B$2</f>
        <v>ISA</v>
      </c>
      <c r="C11" s="212"/>
      <c r="D11" s="213" t="str">
        <f t="shared" si="0"/>
        <v/>
      </c>
      <c r="E11" s="212"/>
      <c r="F11" s="213" t="str">
        <f t="shared" si="1"/>
        <v/>
      </c>
      <c r="G11" s="212"/>
      <c r="H11" s="213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150</v>
      </c>
      <c r="D12" s="30">
        <f t="shared" si="0"/>
        <v>0</v>
      </c>
      <c r="E12" s="180">
        <v>500</v>
      </c>
      <c r="F12" s="30">
        <f t="shared" si="1"/>
        <v>0</v>
      </c>
      <c r="G12" s="180">
        <v>1100</v>
      </c>
      <c r="H12" s="30">
        <f t="shared" si="0"/>
        <v>0</v>
      </c>
      <c r="J12" s="42">
        <f t="shared" si="3"/>
        <v>1750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212"/>
      <c r="D13" s="213" t="str">
        <f t="shared" si="0"/>
        <v/>
      </c>
      <c r="E13" s="212"/>
      <c r="F13" s="213" t="str">
        <f t="shared" si="1"/>
        <v/>
      </c>
      <c r="G13" s="212"/>
      <c r="H13" s="213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212"/>
      <c r="D14" s="213" t="str">
        <f t="shared" si="0"/>
        <v/>
      </c>
      <c r="E14" s="212"/>
      <c r="F14" s="213" t="str">
        <f t="shared" si="1"/>
        <v/>
      </c>
      <c r="G14" s="212"/>
      <c r="H14" s="213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212"/>
      <c r="D15" s="213" t="str">
        <f t="shared" si="0"/>
        <v/>
      </c>
      <c r="E15" s="212"/>
      <c r="F15" s="213" t="str">
        <f t="shared" si="1"/>
        <v/>
      </c>
      <c r="G15" s="212"/>
      <c r="H15" s="213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>
        <v>1000</v>
      </c>
      <c r="D16" s="195">
        <f t="shared" si="0"/>
        <v>0</v>
      </c>
      <c r="E16" s="194">
        <v>0</v>
      </c>
      <c r="F16" s="195">
        <f t="shared" si="1"/>
        <v>0</v>
      </c>
      <c r="G16" s="194">
        <v>1000</v>
      </c>
      <c r="H16" s="195">
        <f t="shared" si="0"/>
        <v>0</v>
      </c>
      <c r="J16" s="42">
        <f t="shared" si="3"/>
        <v>2000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>
        <v>20650</v>
      </c>
      <c r="D17" s="30">
        <f t="shared" si="0"/>
        <v>0</v>
      </c>
      <c r="E17" s="180">
        <v>8800</v>
      </c>
      <c r="F17" s="30">
        <f t="shared" si="0"/>
        <v>0</v>
      </c>
      <c r="G17" s="180">
        <v>20150</v>
      </c>
      <c r="H17" s="30">
        <f t="shared" si="0"/>
        <v>0</v>
      </c>
      <c r="J17" s="42">
        <f t="shared" si="3"/>
        <v>49600</v>
      </c>
      <c r="K17" s="42">
        <f t="shared" si="4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v>14100</v>
      </c>
      <c r="D18" s="30">
        <f t="shared" si="0"/>
        <v>0</v>
      </c>
      <c r="E18" s="180">
        <v>12850</v>
      </c>
      <c r="F18" s="30">
        <f t="shared" si="0"/>
        <v>0</v>
      </c>
      <c r="G18" s="180">
        <v>20050</v>
      </c>
      <c r="H18" s="30">
        <v>200</v>
      </c>
      <c r="J18" s="42">
        <f t="shared" si="3"/>
        <v>47000</v>
      </c>
      <c r="K18" s="42">
        <f t="shared" si="4"/>
        <v>200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ref="D27" si="5">IF(C27="","",0)</f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56950</v>
      </c>
      <c r="D33" s="44">
        <f t="shared" si="7"/>
        <v>0</v>
      </c>
      <c r="E33" s="43">
        <f t="shared" si="7"/>
        <v>40600</v>
      </c>
      <c r="F33" s="44">
        <f t="shared" si="7"/>
        <v>0</v>
      </c>
      <c r="G33" s="43">
        <f t="shared" si="7"/>
        <v>74250</v>
      </c>
      <c r="H33" s="44">
        <f t="shared" si="7"/>
        <v>200</v>
      </c>
      <c r="J33" s="45">
        <f>SUM(J4:J32)</f>
        <v>171800</v>
      </c>
      <c r="K33" s="95">
        <f>SUM(K4:K32)</f>
        <v>200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1" t="s">
        <v>97</v>
      </c>
      <c r="D1" s="272"/>
      <c r="E1" s="271" t="s">
        <v>98</v>
      </c>
      <c r="F1" s="272"/>
    </row>
    <row r="2" spans="1:9" ht="21" customHeight="1" x14ac:dyDescent="0.35">
      <c r="C2" s="267">
        <f>IF(PREMIOS!$B19="","",PREMIOS!$B19)</f>
        <v>70</v>
      </c>
      <c r="D2" s="268"/>
      <c r="E2" s="267">
        <f>IF(PREMIOS!$C19="","",PREMIOS!$C19)</f>
        <v>64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89">
        <v>5300</v>
      </c>
      <c r="D4" s="78">
        <f t="shared" ref="D4:F27" si="0">IF(C4="","",0)</f>
        <v>0</v>
      </c>
      <c r="E4" s="189">
        <v>5000</v>
      </c>
      <c r="F4" s="78">
        <f t="shared" si="0"/>
        <v>0</v>
      </c>
      <c r="H4" s="42">
        <f>+C4+E4</f>
        <v>10300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80">
        <v>8700</v>
      </c>
      <c r="D5" s="30">
        <f t="shared" si="0"/>
        <v>0</v>
      </c>
      <c r="E5" s="180">
        <v>500</v>
      </c>
      <c r="F5" s="30">
        <f t="shared" ref="F5:F27" si="1">IF(E5="","",0)</f>
        <v>0</v>
      </c>
      <c r="H5" s="42">
        <f t="shared" ref="H5:H32" si="2">+C5+E5</f>
        <v>9200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4">
        <v>29800</v>
      </c>
      <c r="D8" s="30">
        <v>950</v>
      </c>
      <c r="E8" s="194">
        <v>8350</v>
      </c>
      <c r="F8" s="195">
        <f t="shared" si="1"/>
        <v>0</v>
      </c>
      <c r="H8" s="42">
        <f t="shared" si="2"/>
        <v>38150</v>
      </c>
      <c r="I8" s="42">
        <f t="shared" si="3"/>
        <v>950</v>
      </c>
    </row>
    <row r="9" spans="1:9" x14ac:dyDescent="0.35">
      <c r="A9" s="47">
        <v>6</v>
      </c>
      <c r="B9" s="178" t="str">
        <f>Vendedor6!$B$2</f>
        <v>MARTA ROSA</v>
      </c>
      <c r="C9" s="194"/>
      <c r="D9" s="30" t="str">
        <f t="shared" si="0"/>
        <v/>
      </c>
      <c r="E9" s="194"/>
      <c r="F9" s="195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f>13000+14150</f>
        <v>27150</v>
      </c>
      <c r="D10" s="30">
        <f>1000+0</f>
        <v>1000</v>
      </c>
      <c r="E10" s="180">
        <v>14750</v>
      </c>
      <c r="F10" s="195">
        <f t="shared" si="1"/>
        <v>0</v>
      </c>
      <c r="H10" s="42">
        <f t="shared" si="2"/>
        <v>41900</v>
      </c>
      <c r="I10" s="42">
        <f t="shared" si="3"/>
        <v>1000</v>
      </c>
    </row>
    <row r="11" spans="1:9" x14ac:dyDescent="0.35">
      <c r="A11" s="47">
        <v>8</v>
      </c>
      <c r="B11" s="178" t="str">
        <f>Vendedor8!$B$2</f>
        <v>ISA</v>
      </c>
      <c r="C11" s="194"/>
      <c r="D11" s="30" t="str">
        <f t="shared" si="0"/>
        <v/>
      </c>
      <c r="E11" s="194"/>
      <c r="F11" s="195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4">
        <v>12550</v>
      </c>
      <c r="D12" s="30">
        <f t="shared" si="0"/>
        <v>0</v>
      </c>
      <c r="E12" s="194"/>
      <c r="F12" s="30" t="str">
        <f t="shared" si="0"/>
        <v/>
      </c>
      <c r="H12" s="42">
        <f t="shared" si="2"/>
        <v>12550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4">
        <v>3400</v>
      </c>
      <c r="D16" s="195">
        <f t="shared" si="0"/>
        <v>0</v>
      </c>
      <c r="E16" s="194"/>
      <c r="F16" s="195" t="str">
        <f t="shared" si="0"/>
        <v/>
      </c>
      <c r="H16" s="42">
        <f t="shared" si="2"/>
        <v>3400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>
        <v>67100</v>
      </c>
      <c r="D17" s="195">
        <v>1900</v>
      </c>
      <c r="E17" s="180">
        <v>27250</v>
      </c>
      <c r="F17" s="30">
        <v>500</v>
      </c>
      <c r="H17" s="42">
        <f t="shared" si="2"/>
        <v>94350</v>
      </c>
      <c r="I17" s="42">
        <f t="shared" si="3"/>
        <v>2400</v>
      </c>
    </row>
    <row r="18" spans="1:9" x14ac:dyDescent="0.35">
      <c r="A18" s="47">
        <v>15</v>
      </c>
      <c r="B18" s="178" t="str">
        <f>Vendedor15!$B$2</f>
        <v>EDUARDO PUESTO CENTRO</v>
      </c>
      <c r="C18" s="180">
        <v>58150</v>
      </c>
      <c r="D18" s="195">
        <v>300</v>
      </c>
      <c r="E18" s="180">
        <v>22450</v>
      </c>
      <c r="F18" s="30">
        <f t="shared" si="0"/>
        <v>0</v>
      </c>
      <c r="H18" s="42">
        <f t="shared" si="2"/>
        <v>80600</v>
      </c>
      <c r="I18" s="42">
        <f t="shared" si="3"/>
        <v>300</v>
      </c>
    </row>
    <row r="19" spans="1:9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212150</v>
      </c>
      <c r="D33" s="44">
        <f>SUM(D4:D32)</f>
        <v>4150</v>
      </c>
      <c r="E33" s="43">
        <f>SUM(E4:E32)</f>
        <v>78300</v>
      </c>
      <c r="F33" s="44">
        <f>SUM(F4:F32)</f>
        <v>500</v>
      </c>
      <c r="H33" s="95">
        <f>SUM(H4:H32)</f>
        <v>290450</v>
      </c>
      <c r="I33" s="95">
        <f>SUM(I4:I32)</f>
        <v>4650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Hoja55"/>
  <dimension ref="A1:K33"/>
  <sheetViews>
    <sheetView showGridLines="0" zoomScale="90" zoomScaleNormal="90" workbookViewId="0">
      <selection activeCell="H16" sqref="H16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1" t="s">
        <v>99</v>
      </c>
      <c r="D1" s="272"/>
      <c r="E1" s="271" t="s">
        <v>100</v>
      </c>
      <c r="F1" s="272"/>
      <c r="G1" s="271" t="s">
        <v>101</v>
      </c>
      <c r="H1" s="272"/>
    </row>
    <row r="2" spans="1:11" ht="21" customHeight="1" x14ac:dyDescent="0.35">
      <c r="C2" s="267">
        <f>IF(PREMIOS!$B20="","",PREMIOS!$B20)</f>
        <v>87</v>
      </c>
      <c r="D2" s="268"/>
      <c r="E2" s="267">
        <f>IF(PREMIOS!$C20="","",PREMIOS!$C20)</f>
        <v>60</v>
      </c>
      <c r="F2" s="268"/>
      <c r="G2" s="267">
        <f>IF(PREMIOS!$D20="","",PREMIOS!$D20)</f>
        <v>38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197"/>
      <c r="D4" s="198" t="str">
        <f t="shared" ref="D4:H27" si="0">IF(C4="","",0)</f>
        <v/>
      </c>
      <c r="E4" s="197"/>
      <c r="F4" s="198" t="str">
        <f t="shared" ref="F4:F27" si="1">IF(E4="","",0)</f>
        <v/>
      </c>
      <c r="G4" s="197"/>
      <c r="H4" s="198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G5" s="193"/>
      <c r="H5" s="8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G6" s="193"/>
      <c r="H6" s="8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G7" s="193"/>
      <c r="H7" s="8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G8" s="193"/>
      <c r="H8" s="8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G9" s="193"/>
      <c r="H9" s="83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14150+2500</f>
        <v>16650</v>
      </c>
      <c r="D10" s="195">
        <f t="shared" si="0"/>
        <v>0</v>
      </c>
      <c r="E10" s="180">
        <f>1500+2300</f>
        <v>3800</v>
      </c>
      <c r="F10" s="30">
        <f t="shared" si="0"/>
        <v>0</v>
      </c>
      <c r="G10" s="180">
        <v>850</v>
      </c>
      <c r="H10" s="195">
        <f t="shared" si="0"/>
        <v>0</v>
      </c>
      <c r="J10" s="42">
        <f t="shared" si="3"/>
        <v>21300</v>
      </c>
      <c r="K10" s="42">
        <f t="shared" si="4"/>
        <v>0</v>
      </c>
    </row>
    <row r="11" spans="1:11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G11" s="193"/>
      <c r="H11" s="83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94"/>
      <c r="D12" s="195" t="str">
        <f t="shared" si="0"/>
        <v/>
      </c>
      <c r="E12" s="194"/>
      <c r="F12" s="195" t="str">
        <f t="shared" si="1"/>
        <v/>
      </c>
      <c r="G12" s="194"/>
      <c r="H12" s="195" t="str">
        <f t="shared" si="2"/>
        <v/>
      </c>
      <c r="J12" s="42">
        <f t="shared" si="3"/>
        <v>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G13" s="193"/>
      <c r="H13" s="83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G14" s="193"/>
      <c r="H14" s="83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G15" s="193"/>
      <c r="H15" s="83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1"/>
        <v/>
      </c>
      <c r="G16" s="194">
        <v>10000</v>
      </c>
      <c r="H16" s="195">
        <f>IF(G16="","",0)</f>
        <v>0</v>
      </c>
      <c r="J16" s="42">
        <f t="shared" si="3"/>
        <v>10000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94">
        <v>39200</v>
      </c>
      <c r="D17" s="195">
        <f t="shared" si="0"/>
        <v>0</v>
      </c>
      <c r="E17" s="194">
        <v>3500</v>
      </c>
      <c r="F17" s="195">
        <f t="shared" si="0"/>
        <v>0</v>
      </c>
      <c r="G17" s="194">
        <v>16300</v>
      </c>
      <c r="H17" s="195">
        <v>200</v>
      </c>
      <c r="J17" s="42">
        <f t="shared" si="3"/>
        <v>59000</v>
      </c>
      <c r="K17" s="42">
        <f t="shared" si="4"/>
        <v>200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v>7000</v>
      </c>
      <c r="D18" s="195">
        <f t="shared" si="0"/>
        <v>0</v>
      </c>
      <c r="E18" s="180">
        <v>16700</v>
      </c>
      <c r="F18" s="30">
        <v>150</v>
      </c>
      <c r="G18" s="180"/>
      <c r="H18" s="30" t="str">
        <f t="shared" si="2"/>
        <v/>
      </c>
      <c r="J18" s="42">
        <f t="shared" si="3"/>
        <v>23700</v>
      </c>
      <c r="K18" s="42">
        <f t="shared" si="4"/>
        <v>150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62850</v>
      </c>
      <c r="D33" s="44">
        <f t="shared" si="6"/>
        <v>0</v>
      </c>
      <c r="E33" s="43">
        <f t="shared" si="6"/>
        <v>24000</v>
      </c>
      <c r="F33" s="44">
        <f t="shared" si="6"/>
        <v>150</v>
      </c>
      <c r="G33" s="43">
        <f t="shared" si="6"/>
        <v>27150</v>
      </c>
      <c r="H33" s="44">
        <f t="shared" si="6"/>
        <v>200</v>
      </c>
      <c r="J33" s="45">
        <f>SUM(J4:J32)</f>
        <v>114000</v>
      </c>
      <c r="K33" s="95">
        <f>SUM(K4:K32)</f>
        <v>350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Hoja57"/>
  <dimension ref="A1:I34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1" t="s">
        <v>110</v>
      </c>
      <c r="D1" s="272"/>
      <c r="E1" s="271" t="s">
        <v>111</v>
      </c>
      <c r="F1" s="272"/>
    </row>
    <row r="2" spans="1:9" ht="21" customHeight="1" x14ac:dyDescent="0.35">
      <c r="C2" s="267">
        <f>IF(PREMIOS!$B21="","",PREMIOS!$B21)</f>
        <v>48</v>
      </c>
      <c r="D2" s="268"/>
      <c r="E2" s="267">
        <f>IF(PREMIOS!$C21="","",PREMIOS!$C21)</f>
        <v>88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97"/>
      <c r="D4" s="198" t="str">
        <f t="shared" ref="D4:D27" si="0">IF(C4="","",0)</f>
        <v/>
      </c>
      <c r="E4" s="197"/>
      <c r="F4" s="198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v>34500</v>
      </c>
      <c r="D10" s="30">
        <v>500</v>
      </c>
      <c r="E10" s="180">
        <v>38000</v>
      </c>
      <c r="F10" s="30">
        <v>1000</v>
      </c>
      <c r="H10" s="42">
        <f t="shared" si="2"/>
        <v>72500</v>
      </c>
      <c r="I10" s="42">
        <f t="shared" si="3"/>
        <v>1500</v>
      </c>
    </row>
    <row r="11" spans="1:9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  <c r="E12" s="193"/>
      <c r="F12" s="83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  <c r="E16" s="193"/>
      <c r="F16" s="83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34500</v>
      </c>
      <c r="D33" s="44">
        <f>SUM(D4:D32)</f>
        <v>500</v>
      </c>
      <c r="E33" s="43">
        <f>SUM(E4:E32)</f>
        <v>38000</v>
      </c>
      <c r="F33" s="44">
        <f>SUM(F4:F32)</f>
        <v>1000</v>
      </c>
      <c r="H33" s="45">
        <f>SUM(H4:H32)</f>
        <v>72500</v>
      </c>
      <c r="I33" s="95">
        <f>SUM(I4:I32)</f>
        <v>1500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Hoja58"/>
  <dimension ref="A1:D33"/>
  <sheetViews>
    <sheetView showGridLines="0" zoomScale="90" zoomScaleNormal="90" workbookViewId="0">
      <selection activeCell="C10" sqref="C10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4" width="12.54296875" customWidth="1"/>
    <col min="5" max="5" width="3.54296875" customWidth="1"/>
  </cols>
  <sheetData>
    <row r="1" spans="1:4" x14ac:dyDescent="0.35">
      <c r="A1" s="79" t="s">
        <v>38</v>
      </c>
      <c r="B1" s="79"/>
      <c r="C1" s="271" t="s">
        <v>109</v>
      </c>
      <c r="D1" s="272"/>
    </row>
    <row r="2" spans="1:4" ht="21" customHeight="1" x14ac:dyDescent="0.35">
      <c r="C2" s="267" t="str">
        <f>IF(PREMIOS!$B22="","",PREMIOS!$B22)</f>
        <v/>
      </c>
      <c r="D2" s="268"/>
    </row>
    <row r="3" spans="1:4" ht="21" customHeight="1" thickBot="1" x14ac:dyDescent="0.4">
      <c r="C3" s="267"/>
      <c r="D3" s="268"/>
    </row>
    <row r="4" spans="1:4" x14ac:dyDescent="0.35">
      <c r="A4" s="187">
        <v>1</v>
      </c>
      <c r="B4" s="188" t="str">
        <f>Vendedor1!$B$2</f>
        <v>VENTANA</v>
      </c>
      <c r="C4" s="197"/>
      <c r="D4" s="198" t="str">
        <f t="shared" ref="D4:D27" si="0">IF(C4="","",0)</f>
        <v/>
      </c>
    </row>
    <row r="5" spans="1:4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</row>
    <row r="6" spans="1:4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</row>
    <row r="7" spans="1:4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</row>
    <row r="8" spans="1:4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</row>
    <row r="9" spans="1:4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</row>
    <row r="10" spans="1:4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</row>
    <row r="11" spans="1:4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</row>
    <row r="12" spans="1:4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</row>
    <row r="13" spans="1:4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</row>
    <row r="14" spans="1:4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</row>
    <row r="15" spans="1:4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</row>
    <row r="16" spans="1:4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</row>
    <row r="17" spans="1:4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</row>
    <row r="18" spans="1:4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</row>
    <row r="19" spans="1:4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</row>
    <row r="20" spans="1:4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</row>
    <row r="21" spans="1:4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</row>
    <row r="22" spans="1:4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</row>
    <row r="23" spans="1:4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</row>
    <row r="24" spans="1:4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</row>
    <row r="25" spans="1:4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</row>
    <row r="26" spans="1:4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</row>
    <row r="27" spans="1:4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</row>
    <row r="28" spans="1:4" hidden="1" x14ac:dyDescent="0.35">
      <c r="A28" s="186">
        <v>25</v>
      </c>
      <c r="B28" s="179" t="str">
        <f>Vendedor25!$B$2</f>
        <v>Vendedor 25</v>
      </c>
      <c r="C28" s="179"/>
      <c r="D28" s="179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3</vt:i4>
      </vt:variant>
    </vt:vector>
  </HeadingPairs>
  <TitlesOfParts>
    <vt:vector size="50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HojaPrimera!Área_de_impresión</vt:lpstr>
      <vt:lpstr>Vendedor19!Área_de_impresión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Rolando Gonzalez</cp:lastModifiedBy>
  <cp:revision>6</cp:revision>
  <dcterms:created xsi:type="dcterms:W3CDTF">2015-06-05T18:19:34Z</dcterms:created>
  <dcterms:modified xsi:type="dcterms:W3CDTF">2026-05-15T16:26:15Z</dcterms:modified>
  <dc:language>es-CR</dc:language>
</cp:coreProperties>
</file>
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82" documentId="13_ncr:1_{EB1C27A7-1EBD-4619-B18B-0BCA469E8746}" xr6:coauthVersionLast="47" xr6:coauthVersionMax="47" xr10:uidLastSave="{40FF0CC5-92F2-43E3-B0C2-21BD64C97D3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/>
  <c r="B2" i="16"/>
  <c r="B2" i="21"/>
  <c r="B2" i="22"/>
  <c r="I5" i="69"/>
  <c r="K12" i="69"/>
  <c r="G10" i="62"/>
  <c r="J10" i="61"/>
  <c r="I10" i="61"/>
  <c r="H17" i="60"/>
  <c r="G17" i="60"/>
  <c r="H18" i="60"/>
  <c r="G18" i="60"/>
  <c r="G10" i="60"/>
  <c r="H10" i="61"/>
  <c r="G10" i="61"/>
  <c r="E10" i="62"/>
  <c r="E17" i="60"/>
  <c r="E18" i="60"/>
  <c r="E10" i="60"/>
  <c r="E10" i="61"/>
  <c r="C10" i="62"/>
  <c r="D17" i="60"/>
  <c r="C17" i="60"/>
  <c r="C10" i="60"/>
  <c r="D18" i="60"/>
  <c r="C18" i="60"/>
  <c r="C10" i="61"/>
  <c r="C10" i="65"/>
  <c r="D18" i="64" l="1"/>
  <c r="D18" i="65"/>
  <c r="D11" i="65"/>
  <c r="D10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7"/>
  <c r="B2" i="6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36" i="60"/>
  <c r="D11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8" i="65"/>
  <c r="F18" i="62"/>
  <c r="F10" i="62"/>
  <c r="D5" i="61"/>
  <c r="F16" i="61"/>
  <c r="D6" i="60"/>
  <c r="F18" i="60"/>
  <c r="F17" i="60"/>
  <c r="F16" i="60"/>
  <c r="F15" i="60"/>
  <c r="F14" i="60"/>
  <c r="F35" i="60" s="1"/>
  <c r="F13" i="60"/>
  <c r="F12" i="60"/>
  <c r="F11" i="60"/>
  <c r="F36" i="60"/>
  <c r="F9" i="60"/>
  <c r="F7" i="60"/>
  <c r="F6" i="60"/>
  <c r="F5" i="60"/>
  <c r="F4" i="60"/>
  <c r="H16" i="60"/>
  <c r="H15" i="60"/>
  <c r="H14" i="60"/>
  <c r="H12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5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K5" i="19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19" i="25"/>
  <c r="N8" i="70"/>
  <c r="F7" i="22"/>
  <c r="L4" i="22" s="1"/>
  <c r="G5" i="29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G15" i="19"/>
  <c r="P18" i="59"/>
  <c r="N27" i="58"/>
  <c r="G17" i="8"/>
  <c r="G17" i="21"/>
  <c r="G15" i="21"/>
  <c r="G15" i="10"/>
  <c r="G11" i="19"/>
  <c r="G11" i="15"/>
  <c r="G11" i="2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J33" i="52"/>
  <c r="M11" i="58"/>
  <c r="M32" i="58" s="1"/>
  <c r="D38" i="58" s="1"/>
  <c r="F5" i="74" s="1"/>
  <c r="B6" i="69"/>
  <c r="M11" i="59"/>
  <c r="M32" i="59" s="1"/>
  <c r="C4" i="74" s="1"/>
  <c r="N7" i="52"/>
  <c r="N33" i="52" s="1"/>
  <c r="F6" i="74" s="1"/>
  <c r="L33" i="52"/>
  <c r="D10" i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39" i="58"/>
  <c r="D43" i="58" s="1"/>
  <c r="R11" i="59"/>
  <c r="D5" i="74"/>
  <c r="C6" i="69"/>
  <c r="C5" i="69"/>
  <c r="E37" i="59"/>
  <c r="D4" i="74" s="1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B11" i="74"/>
  <c r="F6" i="69" l="1"/>
  <c r="F39" i="58"/>
  <c r="F10" i="1"/>
  <c r="G5" i="74"/>
  <c r="D11" i="74"/>
  <c r="C12" i="69"/>
  <c r="G13" i="29" l="1"/>
  <c r="G27" i="29" s="1"/>
  <c r="E13" i="29"/>
  <c r="H27" i="59" s="1"/>
  <c r="H34" i="61"/>
  <c r="H32" i="61"/>
  <c r="H32" i="59" l="1"/>
  <c r="H33" i="59" s="1"/>
  <c r="N27" i="59"/>
  <c r="E27" i="29"/>
  <c r="J4" i="29"/>
  <c r="F13" i="29"/>
  <c r="F27" i="29" l="1"/>
  <c r="F22" i="74" s="1"/>
  <c r="G22" i="74" s="1"/>
  <c r="K4" i="29"/>
  <c r="P27" i="59"/>
  <c r="N32" i="59"/>
  <c r="O27" i="59"/>
  <c r="R27" i="59" l="1"/>
  <c r="R32" i="59" s="1"/>
  <c r="O32" i="59"/>
  <c r="F4" i="74" s="1"/>
  <c r="D38" i="59"/>
  <c r="D26" i="1"/>
  <c r="P32" i="59"/>
  <c r="E4" i="74" s="1"/>
  <c r="E11" i="74" s="1"/>
  <c r="F11" i="74" l="1"/>
  <c r="G4" i="74"/>
  <c r="G11" i="74" s="1"/>
  <c r="D28" i="1"/>
  <c r="F26" i="1"/>
  <c r="F28" i="1" s="1"/>
  <c r="D5" i="69"/>
  <c r="D39" i="59"/>
  <c r="D43" i="59" s="1"/>
  <c r="D12" i="69" l="1"/>
  <c r="F5" i="69"/>
  <c r="F12" i="69" s="1"/>
  <c r="K11" i="69" s="1"/>
  <c r="G24" i="74"/>
  <c r="H12" i="74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<sst xmlns="http://schemas.openxmlformats.org/spreadsheetml/2006/main" count="1292" uniqueCount="159">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</sst>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6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217950</v>
      </c>
      <c r="C3" s="9">
        <f>+HojaTICA!K4+HojaNICA!M4+HojaREVENTADO!K4+HojaPrimera!I4+HojaHonduras!K4+HojaDominicana!I4+HojaPANA!G4</f>
        <v>28350</v>
      </c>
      <c r="D3" s="9">
        <f>+HojaTICA!N4+HojaNICA!P4+HojaREVENTADO!O4+HojaPrimera!L4+HojaHonduras!N4+HojaDominicana!L4+HojaPANA!J4</f>
        <v>68000</v>
      </c>
      <c r="F3" s="10">
        <f t="shared" ref="F3:F27" si="0">+B3-C3-D3</f>
        <v>121600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230750</v>
      </c>
      <c r="C4" s="9">
        <f>+HojaTICA!K5+HojaNICA!M5+HojaREVENTADO!K5+HojaPrimera!I5+HojaHonduras!K5+HojaDominicana!I5+HojaPANA!G5</f>
        <v>30000</v>
      </c>
      <c r="D4" s="9">
        <f>+HojaTICA!N5+HojaNICA!P5+HojaREVENTADO!O5+HojaPrimera!L5+HojaHonduras!N5+HojaDominicana!L5+HojaPANA!J5</f>
        <v>122500</v>
      </c>
      <c r="F4" s="14">
        <f t="shared" si="0"/>
        <v>78250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380350</v>
      </c>
      <c r="C7" s="9">
        <f>+HojaTICA!K8+HojaNICA!M8+HojaREVENTADO!K8+HojaPrimera!I8+HojaHonduras!K8+HojaDominicana!I8+HojaPANA!G8</f>
        <v>45700</v>
      </c>
      <c r="D7" s="9">
        <f>+HojaTICA!N8+HojaNICA!P8+HojaREVENTADO!O8+HojaPrimera!L8+HojaHonduras!N8+HojaDominicana!L8+HojaPANA!J8</f>
        <v>278000</v>
      </c>
      <c r="F7" s="14">
        <f t="shared" si="0"/>
        <v>56650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945500</v>
      </c>
      <c r="C9" s="9">
        <f>+HojaTICA!K10+HojaNICA!M10+HojaREVENTADO!K10+HojaPrimera!I10+HojaHonduras!K10+HojaDominicana!I10+HojaPANA!G10</f>
        <v>111460</v>
      </c>
      <c r="D9" s="9">
        <f>+HojaTICA!N10+HojaNICA!P10+HojaREVENTADO!O10+HojaPrimera!L10+HojaHonduras!N10+HojaDominicana!L10+HojaPANA!J10</f>
        <v>548250</v>
      </c>
      <c r="F9" s="14">
        <f t="shared" si="0"/>
        <v>285790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5000</v>
      </c>
      <c r="C10" s="9">
        <f>+HojaTICA!K11+HojaNICA!M11+HojaREVENTADO!K11+HojaPrimera!I11+HojaHonduras!K11+HojaDominicana!I11+HojaPANA!G11</f>
        <v>600</v>
      </c>
      <c r="D10" s="9">
        <f>+HojaTICA!N11+HojaNICA!P11+HojaREVENTADO!O11+HojaPrimera!L11+HojaHonduras!N11+HojaDominicana!L11+HojaPANA!J11</f>
        <v>0</v>
      </c>
      <c r="F10" s="14">
        <f t="shared" si="0"/>
        <v>4400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54500</v>
      </c>
      <c r="C11" s="9">
        <f>+HojaTICA!K12+HojaNICA!M12+HojaREVENTADO!K12+HojaPrimera!I12+HojaHonduras!K12+HojaDominicana!I12+HojaPANA!G12</f>
        <v>6550</v>
      </c>
      <c r="D11" s="9">
        <f>+HojaTICA!N12+HojaNICA!P12+HojaREVENTADO!O12+HojaPrimera!L12+HojaHonduras!N12+HojaDominicana!L12+HojaPANA!J12</f>
        <v>46750</v>
      </c>
      <c r="F11" s="14">
        <f t="shared" si="0"/>
        <v>1200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176100</v>
      </c>
      <c r="C12" s="9">
        <f>+HojaTICA!K13+HojaNICA!M13+HojaREVENTADO!K13+HojaPrimera!I13+HojaHonduras!K13+HojaDominicana!I13+HojaPANA!G13</f>
        <v>21100</v>
      </c>
      <c r="D12" s="9">
        <f>+HojaTICA!N13+HojaNICA!P13+HojaREVENTADO!O13+HojaPrimera!L13+HojaHonduras!N13+HojaDominicana!L13+HojaPANA!J13</f>
        <v>54000</v>
      </c>
      <c r="F12" s="14">
        <f t="shared" si="0"/>
        <v>101000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60400</v>
      </c>
      <c r="C13" s="9">
        <f>+HojaTICA!K14+HojaNICA!M14+HojaREVENTADO!K14+HojaPrimera!I14+HojaHonduras!K14+HojaDominicana!I14+HojaPANA!G14</f>
        <v>9050</v>
      </c>
      <c r="D13" s="9">
        <f>+HojaTICA!N14+HojaNICA!P14+HojaREVENTADO!O14+HojaPrimera!L14+HojaHonduras!N14+HojaDominicana!L14+HojaPANA!J14</f>
        <v>0</v>
      </c>
      <c r="F13" s="14">
        <f t="shared" si="0"/>
        <v>51350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105850</v>
      </c>
      <c r="C15" s="9">
        <f>+HojaTICA!K16+HojaNICA!M16+HojaREVENTADO!K16+HojaPrimera!I16+HojaHonduras!K16+HojaDominicana!I16+HojaPANA!G16</f>
        <v>12700</v>
      </c>
      <c r="D15" s="9">
        <f>+HojaTICA!N16+HojaNICA!P16+HojaREVENTADO!O16+HojaPrimera!L16+HojaHonduras!N16+HojaDominicana!L16+HojaPANA!J16</f>
        <v>24500</v>
      </c>
      <c r="F15" s="14">
        <f t="shared" si="0"/>
        <v>68650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1249600</v>
      </c>
      <c r="C16" s="9">
        <f>+HojaTICA!K17+HojaNICA!M17+HojaREVENTADO!K17+HojaPrimera!I17+HojaHonduras!K17+HojaDominicana!I17+HojaPANA!G17</f>
        <v>148550</v>
      </c>
      <c r="D16" s="9">
        <f>+HojaTICA!N17+HojaNICA!P17+HojaREVENTADO!O17+HojaPrimera!L17+HojaHonduras!N17+HojaDominicana!L17+HojaPANA!J17</f>
        <v>1785000</v>
      </c>
      <c r="F16" s="14">
        <f t="shared" si="0"/>
        <v>-683950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536150</v>
      </c>
      <c r="C17" s="9">
        <f>+HojaTICA!K18+HojaNICA!M18+HojaREVENTADO!K18+HojaPrimera!I18+HojaHonduras!K18+HojaDominicana!I18+HojaPANA!G18</f>
        <v>63425</v>
      </c>
      <c r="D17" s="9">
        <f>+HojaTICA!N18+HojaNICA!P18+HojaREVENTADO!O18+HojaPrimera!L18+HojaHonduras!N18+HojaDominicana!L18+HojaPANA!J18</f>
        <v>425000</v>
      </c>
      <c r="F17" s="14">
        <f t="shared" si="0"/>
        <v>47725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106250</v>
      </c>
      <c r="F26" s="14">
        <f t="shared" si="0"/>
        <v>-106250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3962150</v>
      </c>
      <c r="C28" s="17">
        <f t="shared" si="1"/>
        <v>477485</v>
      </c>
      <c r="D28" s="18">
        <f t="shared" si="1"/>
        <v>3458250</v>
      </c>
      <c r="F28" s="20">
        <f>SUM(F3:F27)</f>
        <v>26415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94</v>
      </c>
      <c r="C19" s="132">
        <v>53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17</v>
      </c>
      <c r="C20" s="163">
        <v>92</v>
      </c>
      <c r="D20" s="166">
        <v>28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16</v>
      </c>
      <c r="C21" s="164">
        <v>49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37" sqref="D37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56</v>
      </c>
      <c r="D2" s="268"/>
      <c r="E2" s="267">
        <f>DigitaTICA!E2</f>
        <v>71</v>
      </c>
      <c r="F2" s="268"/>
      <c r="G2" s="267">
        <f>DigitaTICA!G2</f>
        <v>61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60450</v>
      </c>
      <c r="D4" s="30">
        <f>IF(Vendedor1!$E$7="",0,Vendedor1!$E$7)</f>
        <v>300</v>
      </c>
      <c r="E4" s="180">
        <f>IF(Vendedor1!$C$11="",0,Vendedor1!$C$11)</f>
        <v>37650</v>
      </c>
      <c r="F4" s="30">
        <f>IF(Vendedor1!$E$11="",0,Vendedor1!$E$11)</f>
        <v>0</v>
      </c>
      <c r="G4" s="180">
        <f>IF(Vendedor1!$C$15="",0,Vendedor1!$C$15)</f>
        <v>77950</v>
      </c>
      <c r="H4" s="30">
        <f>IF(Vendedor1!$E$15="",0,Vendedor1!$E$15)</f>
        <v>500</v>
      </c>
      <c r="J4" s="42">
        <f t="shared" ref="J4:J7" si="0">+C4+E4+G4</f>
        <v>176050</v>
      </c>
      <c r="K4" s="41">
        <f>MROUND(J4*Vendedor1!J$9,50)</f>
        <v>22900</v>
      </c>
      <c r="L4" s="42">
        <f t="shared" ref="L4:L7" si="1">+D4+F4+H4</f>
        <v>800</v>
      </c>
      <c r="M4" s="42">
        <f t="shared" ref="M4:M7" si="2">+L4*85</f>
        <v>68000</v>
      </c>
      <c r="N4" s="42">
        <f>Vendedor1!$F$7+Vendedor1!$F$11+Vendedor1!$F$15</f>
        <v>68000</v>
      </c>
      <c r="P4" s="42">
        <f t="shared" ref="P4:P7" si="3">+J4-K4-N4</f>
        <v>85150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50700</v>
      </c>
      <c r="D5" s="30">
        <f>IF(Vendedor2!$E$7="",0,Vendedor2!$E$7)</f>
        <v>0</v>
      </c>
      <c r="E5" s="180">
        <f>IF(Vendedor2!$C$11="",0,Vendedor2!$C$11)</f>
        <v>30400</v>
      </c>
      <c r="F5" s="30">
        <f>IF(Vendedor2!$E$11="",0,Vendedor2!$E$11)</f>
        <v>0</v>
      </c>
      <c r="G5" s="180">
        <f>IF(Vendedor2!$C$15="",0,Vendedor2!$C$15)</f>
        <v>63500</v>
      </c>
      <c r="H5" s="30">
        <f>IF(Vendedor2!$E$15="",0,Vendedor2!$E$15)</f>
        <v>500</v>
      </c>
      <c r="J5" s="42">
        <f t="shared" si="0"/>
        <v>144600</v>
      </c>
      <c r="K5" s="41">
        <f>MROUND(J5*Vendedor2!J$9,50)</f>
        <v>18800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83300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67550</v>
      </c>
      <c r="D8" s="30">
        <f>IF(Vendedor5!$E$7="",0,Vendedor5!$E$7)</f>
        <v>500</v>
      </c>
      <c r="E8" s="180">
        <f>IF(Vendedor5!$C$11="",0,Vendedor5!$C$11)</f>
        <v>55400</v>
      </c>
      <c r="F8" s="30">
        <f>IF(Vendedor5!$E$11="",0,Vendedor5!$E$11)</f>
        <v>500</v>
      </c>
      <c r="G8" s="180">
        <f>IF(Vendedor5!$C$15="",0,Vendedor5!$C$15)</f>
        <v>65700</v>
      </c>
      <c r="H8" s="30">
        <f>IF(Vendedor5!$E$15="",0,Vendedor5!$E$15)</f>
        <v>1000</v>
      </c>
      <c r="J8" s="42">
        <f t="shared" ref="J8" si="4">+C8+E8+G8</f>
        <v>188650</v>
      </c>
      <c r="K8" s="41">
        <f>MROUND(J8*Vendedor5!J$11,50)</f>
        <v>22650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-4000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118750</v>
      </c>
      <c r="D10" s="30">
        <f>IF(Vendedor7!$E$7="",0,Vendedor7!$E$7)</f>
        <v>200</v>
      </c>
      <c r="E10" s="180">
        <f>IF(Vendedor7!$C$11="",0,Vendedor7!$C$11)</f>
        <v>136500</v>
      </c>
      <c r="F10" s="30">
        <f>IF(Vendedor7!$E$11="",0,Vendedor7!$E$11)</f>
        <v>100</v>
      </c>
      <c r="G10" s="180">
        <f>IF(Vendedor7!$C$15="",0,Vendedor7!$C$15)</f>
        <v>149300</v>
      </c>
      <c r="H10" s="30">
        <f>IF(Vendedor7!$E$15="",0,Vendedor7!$E$15)</f>
        <v>550</v>
      </c>
      <c r="J10" s="42">
        <f t="shared" si="8"/>
        <v>404550</v>
      </c>
      <c r="K10" s="41">
        <f>MROUND(J10*Vendedor7!J$14,50)</f>
        <v>48550</v>
      </c>
      <c r="L10" s="42">
        <f t="shared" si="9"/>
        <v>850</v>
      </c>
      <c r="M10" s="42">
        <f t="shared" si="10"/>
        <v>72250</v>
      </c>
      <c r="N10" s="42">
        <f>Vendedor7!$F$7+Vendedor7!$F$11+Vendedor7!$F$15</f>
        <v>72250</v>
      </c>
      <c r="P10" s="42">
        <f t="shared" si="11"/>
        <v>283750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5000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5000</v>
      </c>
      <c r="K11" s="41">
        <f>MROUND(J11*Vendedor8!J$11,50)</f>
        <v>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4400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12400</v>
      </c>
      <c r="D12" s="30">
        <f>IF(Vendedor9!$E$7="",0,Vendedor9!$E$7)</f>
        <v>400</v>
      </c>
      <c r="E12" s="180">
        <f>IF(Vendedor9!$C$11="",0,Vendedor9!$C$11)</f>
        <v>10400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22800</v>
      </c>
      <c r="K12" s="41">
        <f>MROUND(J12*Vendedor9!J$11,50)</f>
        <v>2750</v>
      </c>
      <c r="L12" s="42">
        <f t="shared" si="9"/>
        <v>400</v>
      </c>
      <c r="M12" s="42">
        <f t="shared" si="10"/>
        <v>34000</v>
      </c>
      <c r="N12" s="42">
        <f>Vendedor9!$F$7+Vendedor9!$F$11+Vendedor9!$F$15</f>
        <v>34000</v>
      </c>
      <c r="P12" s="42">
        <f t="shared" si="11"/>
        <v>-13950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28950</v>
      </c>
      <c r="D13" s="30">
        <f>IF(Vendedor10!$E$7="",0,Vendedor10!$E$7)</f>
        <v>300</v>
      </c>
      <c r="E13" s="180">
        <f>IF(Vendedor10!$C$11="",0,Vendedor10!$C$11)</f>
        <v>32950</v>
      </c>
      <c r="F13" s="30">
        <f>IF(Vendedor10!$E$11="",0,Vendedor10!$E$11)</f>
        <v>0</v>
      </c>
      <c r="G13" s="180">
        <f>IF(Vendedor10!$C$15="",0,Vendedor10!$C$15)</f>
        <v>41950</v>
      </c>
      <c r="H13" s="30">
        <f>IF(Vendedor10!$E$15="",0,Vendedor10!$E$15)</f>
        <v>100</v>
      </c>
      <c r="J13" s="42">
        <f t="shared" si="8"/>
        <v>103850</v>
      </c>
      <c r="K13" s="41">
        <f>MROUND(J13*Vendedor10!J$9,50)</f>
        <v>12450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57400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27400</v>
      </c>
      <c r="D14" s="30">
        <f>IF(Vendedor11!$E$7="",0,Vendedor11!$E$7)</f>
        <v>0</v>
      </c>
      <c r="E14" s="180">
        <f>IF(Vendedor11!$C$11="",0,Vendedor11!$C$11)</f>
        <v>13000</v>
      </c>
      <c r="F14" s="30">
        <f>IF(Vendedor11!$E$11="",0,Vendedor11!$E$11)</f>
        <v>0</v>
      </c>
      <c r="G14" s="180">
        <f>IF(Vendedor11!$C$15="",0,Vendedor11!$C$15)</f>
        <v>20000</v>
      </c>
      <c r="H14" s="30">
        <f>IF(Vendedor11!$E$15="",0,Vendedor11!$E$15)</f>
        <v>0</v>
      </c>
      <c r="J14" s="42">
        <f t="shared" si="8"/>
        <v>60400</v>
      </c>
      <c r="K14" s="41">
        <f>MROUND(J14*Vendedor11!J$9,50)</f>
        <v>9050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51350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28450</v>
      </c>
      <c r="D16" s="30">
        <f>IF(Vendedor13!$E$7="",0,Vendedor13!$E$7)</f>
        <v>100</v>
      </c>
      <c r="E16" s="180">
        <f>IF(Vendedor13!$C$11="",0,Vendedor13!$C$11)</f>
        <v>17900</v>
      </c>
      <c r="F16" s="30">
        <f>IF(Vendedor13!$E$11="",0,Vendedor13!$E$11)</f>
        <v>0</v>
      </c>
      <c r="G16" s="180">
        <f>IF(Vendedor13!$C$15="",0,Vendedor13!$C$15)</f>
        <v>15050</v>
      </c>
      <c r="H16" s="30">
        <f>IF(Vendedor13!$E$15="",0,Vendedor13!$E$15)</f>
        <v>0</v>
      </c>
      <c r="J16" s="42">
        <f t="shared" si="8"/>
        <v>61400</v>
      </c>
      <c r="K16" s="41">
        <f>MROUND(J16*Vendedor13!J$11,50)</f>
        <v>7350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45550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163850</v>
      </c>
      <c r="D17" s="30">
        <f>IF(Vendedor14!$E$7="",0,Vendedor14!$E$7)</f>
        <v>2250</v>
      </c>
      <c r="E17" s="180">
        <f>IF(Vendedor14!$C$11="",0,Vendedor14!$C$11)</f>
        <v>116000</v>
      </c>
      <c r="F17" s="30">
        <f>IF(Vendedor14!$E$11="",0,Vendedor14!$E$11)</f>
        <v>0</v>
      </c>
      <c r="G17" s="180">
        <f>IF(Vendedor14!$C$15="",0,Vendedor14!$C$15)</f>
        <v>217400</v>
      </c>
      <c r="H17" s="30">
        <f>IF(Vendedor14!$E$15="",0,Vendedor14!$E$15)</f>
        <v>3600</v>
      </c>
      <c r="J17" s="42">
        <f t="shared" si="8"/>
        <v>497250</v>
      </c>
      <c r="K17" s="41">
        <f>MROUND(J17*Vendedor14!J$15,50)</f>
        <v>59650</v>
      </c>
      <c r="L17" s="42">
        <f t="shared" si="9"/>
        <v>5850</v>
      </c>
      <c r="M17" s="42">
        <f t="shared" si="10"/>
        <v>497250</v>
      </c>
      <c r="N17" s="42">
        <f>Vendedor14!$F$7+Vendedor14!$F$11+Vendedor14!$F$15</f>
        <v>497250</v>
      </c>
      <c r="P17" s="42">
        <f t="shared" si="11"/>
        <v>-59650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62650</v>
      </c>
      <c r="D18" s="30">
        <f>IF(Vendedor15!$E$7="",0,Vendedor15!$E$7)</f>
        <v>750</v>
      </c>
      <c r="E18" s="180">
        <f>IF(Vendedor15!$C$11="",0,Vendedor15!$C$11)</f>
        <v>68250</v>
      </c>
      <c r="F18" s="30">
        <f>IF(Vendedor15!$E$11="",0,Vendedor15!$E$11)</f>
        <v>0</v>
      </c>
      <c r="G18" s="180">
        <f>IF(Vendedor15!$C$15="",0,Vendedor15!$C$15)</f>
        <v>72050</v>
      </c>
      <c r="H18" s="30">
        <f>IF(Vendedor15!$E$15="",0,Vendedor15!$E$15)</f>
        <v>2150</v>
      </c>
      <c r="J18" s="42">
        <f t="shared" ref="J18" si="12">+C18+E18+G18</f>
        <v>202950</v>
      </c>
      <c r="K18" s="41">
        <f>MROUND(J18*Vendedor15!J$15,50)</f>
        <v>24350</v>
      </c>
      <c r="L18" s="42">
        <f t="shared" ref="L18" si="13">+D18+F18+H18</f>
        <v>2900</v>
      </c>
      <c r="M18" s="42">
        <f t="shared" ref="M18" si="14">+L18*85</f>
        <v>246500</v>
      </c>
      <c r="N18" s="42">
        <f>Vendedor15!$F$7+Vendedor15!$F$11+Vendedor15!$F$15</f>
        <v>246500</v>
      </c>
      <c r="P18" s="42">
        <f t="shared" ref="P18" si="15">+J18-K18-N18</f>
        <v>-67900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626150</v>
      </c>
      <c r="D32" s="44">
        <f t="shared" si="16"/>
        <v>4800</v>
      </c>
      <c r="E32" s="43">
        <f t="shared" si="16"/>
        <v>518450</v>
      </c>
      <c r="F32" s="44">
        <f t="shared" si="16"/>
        <v>600</v>
      </c>
      <c r="G32" s="43">
        <f t="shared" si="16"/>
        <v>722900</v>
      </c>
      <c r="H32" s="44">
        <f t="shared" si="16"/>
        <v>8400</v>
      </c>
      <c r="J32" s="95">
        <f>SUM(J4:J31)</f>
        <v>1867500</v>
      </c>
      <c r="K32" s="45">
        <f>SUM(K7:K31)</f>
        <v>187400</v>
      </c>
      <c r="L32" s="95">
        <f>SUM(L4:L31)</f>
        <v>13800</v>
      </c>
      <c r="M32" s="95">
        <f>SUM(M4:M31)</f>
        <v>1173000</v>
      </c>
      <c r="N32" s="95">
        <f>SUM(N4:N31)</f>
        <v>1173000</v>
      </c>
      <c r="P32" s="79">
        <f>SUM(P4:P31)</f>
        <v>465400</v>
      </c>
    </row>
    <row r="33" spans="3:13" x14ac:dyDescent="0.35">
      <c r="D33" s="99">
        <f>+D32*85</f>
        <v>408000</v>
      </c>
      <c r="F33" s="99">
        <f>+F32*85</f>
        <v>51000</v>
      </c>
      <c r="H33" s="99">
        <f>+H32*85</f>
        <v>714000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1867500</v>
      </c>
      <c r="E36" s="43">
        <f>+D36-J4-J5-J6</f>
        <v>1546850</v>
      </c>
      <c r="G36" s="101"/>
    </row>
    <row r="37" spans="3:13" x14ac:dyDescent="0.35">
      <c r="C37" s="47" t="s">
        <v>33</v>
      </c>
      <c r="D37" s="48">
        <f>D36*13%</f>
        <v>242775</v>
      </c>
      <c r="E37">
        <f>+D37-K4-K5-K6</f>
        <v>201075</v>
      </c>
      <c r="G37" s="100"/>
      <c r="H37" s="100"/>
    </row>
    <row r="38" spans="3:13" ht="15" thickBot="1" x14ac:dyDescent="0.4">
      <c r="C38" s="47" t="s">
        <v>30</v>
      </c>
      <c r="D38" s="30">
        <f>M32</f>
        <v>1173000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451725</v>
      </c>
      <c r="F39" s="98">
        <f>+P32-D39</f>
        <v>13675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451725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37" sqref="D37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45</v>
      </c>
      <c r="D2" s="268"/>
      <c r="E2" s="267">
        <f>DigitaNICA!E2</f>
        <v>45</v>
      </c>
      <c r="F2" s="268"/>
      <c r="G2" s="267">
        <f>DigitaNICA!G2</f>
        <v>25</v>
      </c>
      <c r="H2" s="268"/>
      <c r="I2" s="267">
        <f>DigitaNICA!I2</f>
        <v>55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22650</v>
      </c>
      <c r="D4" s="78">
        <f>IF(Vendedor1!$E$5="",0,Vendedor1!$E$5)</f>
        <v>0</v>
      </c>
      <c r="E4" s="189">
        <f>IF(Vendedor1!$C$9="",0,Vendedor1!$C$9)</f>
        <v>5450</v>
      </c>
      <c r="F4" s="78">
        <f>IF(Vendedor1!$E$9="",0,Vendedor1!$E$9)</f>
        <v>0</v>
      </c>
      <c r="G4" s="189">
        <f>IF(Vendedor1!$C$13="",0,Vendedor1!$C$13)</f>
        <v>3250</v>
      </c>
      <c r="H4" s="78">
        <f>IF(Vendedor1!$E$13="",0,Vendedor1!$E$13)</f>
        <v>0</v>
      </c>
      <c r="I4" s="189">
        <f>IF(Vendedor1!$C$17="",0,Vendedor1!$C$17)</f>
        <v>2650</v>
      </c>
      <c r="J4" s="78">
        <f>IF(Vendedor1!$E$17="",0,Vendedor1!$E$17)</f>
        <v>0</v>
      </c>
      <c r="L4" s="42">
        <f t="shared" ref="L4:L7" si="0">C4+E4+G4+I4</f>
        <v>34000</v>
      </c>
      <c r="M4" s="41">
        <f>MROUND(L4*Vendedor1!J$10,50)</f>
        <v>4400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29600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39800</v>
      </c>
      <c r="D5" s="30">
        <f>IF(Vendedor2!$E$5="",0,Vendedor2!$E$5)</f>
        <v>0</v>
      </c>
      <c r="E5" s="180">
        <f>IF(Vendedor2!$C$9="",0,Vendedor2!$C$9)</f>
        <v>22600</v>
      </c>
      <c r="F5" s="30">
        <f>IF(Vendedor2!$E$9="",0,Vendedor2!$E$9)</f>
        <v>0</v>
      </c>
      <c r="G5" s="180">
        <f>IF(Vendedor2!$C$13="",0,Vendedor2!$C$13)</f>
        <v>9600</v>
      </c>
      <c r="H5" s="30">
        <f>IF(Vendedor2!$E$13="",0,Vendedor2!$E$13)</f>
        <v>1000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72000</v>
      </c>
      <c r="M5" s="41">
        <f>MROUND(L5*Vendedor2!J$10,50)</f>
        <v>9350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-22350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72250</v>
      </c>
      <c r="D8" s="30">
        <f>IF(Vendedor5!$E$5="",0,Vendedor5!$E$5)</f>
        <v>600</v>
      </c>
      <c r="E8" s="180">
        <f>IF(Vendedor5!$C$9="",0,Vendedor5!$C$9)</f>
        <v>43100</v>
      </c>
      <c r="F8" s="30">
        <f>IF(Vendedor5!$E$9="",0,Vendedor5!$E$9)</f>
        <v>250</v>
      </c>
      <c r="G8" s="180">
        <f>IF(Vendedor5!$C$13="",0,Vendedor5!$C$13)</f>
        <v>5500</v>
      </c>
      <c r="H8" s="30">
        <f>IF(Vendedor5!$E$13="",0,Vendedor5!$E$13)</f>
        <v>0</v>
      </c>
      <c r="I8" s="180">
        <f>IF(Vendedor5!$C$17="",0,Vendedor5!$C$17)</f>
        <v>29800</v>
      </c>
      <c r="J8" s="30">
        <f>IF(Vendedor5!$E$17="",0,Vendedor5!$E$17)</f>
        <v>500</v>
      </c>
      <c r="L8" s="42">
        <f t="shared" ref="L8" si="4">C8+E8+G8+I8</f>
        <v>150650</v>
      </c>
      <c r="M8" s="41">
        <f>MROUND(L8*Vendedor5!J$12,50)</f>
        <v>18100</v>
      </c>
      <c r="N8" s="42">
        <f t="shared" ref="N8" si="5">D8+F8+H8+J8</f>
        <v>1350</v>
      </c>
      <c r="O8" s="41">
        <f t="shared" si="3"/>
        <v>114750</v>
      </c>
      <c r="P8" s="42">
        <f>Vendedor5!$F$5+Vendedor5!$F$9+Vendedor5!$F$13+Vendedor5!$F$17</f>
        <v>108000</v>
      </c>
      <c r="Q8">
        <v>17</v>
      </c>
      <c r="R8" s="41">
        <f t="shared" ref="R8" si="6">+L8-M8-O8</f>
        <v>17800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72950</v>
      </c>
      <c r="D10" s="30">
        <f>IF(Vendedor7!$E$5="",0,Vendedor7!$E$5)</f>
        <v>300</v>
      </c>
      <c r="E10" s="180">
        <f>IF(Vendedor7!$C$9="",0,Vendedor7!$C$9)</f>
        <v>75150</v>
      </c>
      <c r="F10" s="30">
        <f>IF(Vendedor7!$E$9="",0,Vendedor7!$E$9)</f>
        <v>400</v>
      </c>
      <c r="G10" s="180">
        <f>IF(Vendedor7!$C$13="",0,Vendedor7!$C$13)</f>
        <v>55550</v>
      </c>
      <c r="H10" s="30">
        <f>IF(Vendedor7!$E$13="",0,Vendedor7!$E$13)</f>
        <v>550</v>
      </c>
      <c r="I10" s="180">
        <f>IF(Vendedor7!$C$17="",0,Vendedor7!$C$17)</f>
        <v>112250</v>
      </c>
      <c r="J10" s="30">
        <f>IF(Vendedor7!$E$17="",0,Vendedor7!$E$17)</f>
        <v>3250</v>
      </c>
      <c r="L10" s="42">
        <f t="shared" si="7"/>
        <v>315900</v>
      </c>
      <c r="M10" s="41">
        <f>MROUND(L10*Vendedor7!J$15,50)</f>
        <v>37900</v>
      </c>
      <c r="N10" s="42">
        <f t="shared" ref="N10:N27" si="9">D10+F10+H10+J10</f>
        <v>4500</v>
      </c>
      <c r="O10" s="41">
        <f t="shared" si="3"/>
        <v>382500</v>
      </c>
      <c r="P10" s="42">
        <f>Vendedor7!$F$5+Vendedor7!$F$9+Vendedor7!$F$13+Vendedor7!$F$17</f>
        <v>382500</v>
      </c>
      <c r="R10" s="41">
        <f t="shared" si="8"/>
        <v>-104500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12200</v>
      </c>
      <c r="D12" s="30">
        <f>IF(Vendedor9!$E$5="",0,Vendedor9!$E$5)</f>
        <v>0</v>
      </c>
      <c r="E12" s="180">
        <f>IF(Vendedor9!$C$9="",0,Vendedor9!$C$9)</f>
        <v>4500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16700</v>
      </c>
      <c r="M12" s="41">
        <f>MROUND(L12*Vendedor9!J$12,50)</f>
        <v>2000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14700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34750</v>
      </c>
      <c r="D13" s="30">
        <f>IF(Vendedor10!$E$5="",0,Vendedor10!$E$5)</f>
        <v>0</v>
      </c>
      <c r="E13" s="180">
        <f>IF(Vendedor10!$C$9="",0,Vendedor10!$C$9)</f>
        <v>27650</v>
      </c>
      <c r="F13" s="30">
        <f>IF(Vendedor10!$E$9="",0,Vendedor10!$E$9)</f>
        <v>250</v>
      </c>
      <c r="G13" s="180">
        <f>IF(Vendedor10!$C$13="",0,Vendedor10!$C$13)</f>
        <v>3800</v>
      </c>
      <c r="H13" s="30">
        <f>IF(Vendedor10!$E$13="",0,Vendedor10!$E$13)</f>
        <v>0</v>
      </c>
      <c r="I13" s="180">
        <f>IF(Vendedor10!$C$17="",0,Vendedor10!$C$17)</f>
        <v>6050</v>
      </c>
      <c r="J13" s="30">
        <f>IF(Vendedor10!$E$17="",0,Vendedor10!$E$17)</f>
        <v>0</v>
      </c>
      <c r="L13" s="42">
        <f t="shared" si="7"/>
        <v>72250</v>
      </c>
      <c r="M13" s="41">
        <f>MROUND(L13*Vendedor10!J$10,50)</f>
        <v>8650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42350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9900</v>
      </c>
      <c r="D16" s="30">
        <f>IF(Vendedor13!$E$5="",0,Vendedor13!$E$5)</f>
        <v>0</v>
      </c>
      <c r="E16" s="180">
        <f>IF(Vendedor13!$C$9="",0,Vendedor13!$C$9)</f>
        <v>9950</v>
      </c>
      <c r="F16" s="30">
        <f>IF(Vendedor13!$E$9="",0,Vendedor13!$E$9)</f>
        <v>0</v>
      </c>
      <c r="G16" s="180">
        <f>IF(Vendedor13!$C$13="",0,Vendedor13!$C$13)</f>
        <v>1000</v>
      </c>
      <c r="H16" s="30">
        <f>IF(Vendedor13!$E$13="",0,Vendedor13!$E$13)</f>
        <v>0</v>
      </c>
      <c r="I16" s="180">
        <f>IF(Vendedor13!$C$17="",0,Vendedor13!$C$17)</f>
        <v>20800</v>
      </c>
      <c r="J16" s="30">
        <f>IF(Vendedor13!$E$17="",0,Vendedor13!$E$17)</f>
        <v>200</v>
      </c>
      <c r="L16" s="42">
        <f t="shared" si="7"/>
        <v>41650</v>
      </c>
      <c r="M16" s="41">
        <f>MROUND(L16*Vendedor13!J$12,50)</f>
        <v>5000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19650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147200</v>
      </c>
      <c r="D17" s="30">
        <f>IF(Vendedor14!$E$5="",0,Vendedor14!$E$5)</f>
        <v>2250</v>
      </c>
      <c r="E17" s="180">
        <f>IF(Vendedor14!$C$9="",0,Vendedor14!$C$9)</f>
        <v>78200</v>
      </c>
      <c r="F17" s="30">
        <f>IF(Vendedor14!$E$9="",0,Vendedor14!$E$9)</f>
        <v>500</v>
      </c>
      <c r="G17" s="180">
        <f>IF(Vendedor14!$C$13="",0,Vendedor14!$C$13)</f>
        <v>77850</v>
      </c>
      <c r="H17" s="30">
        <f>IF(Vendedor14!$E$13="",0,Vendedor14!$E$13)</f>
        <v>6450</v>
      </c>
      <c r="I17" s="180">
        <f>IF(Vendedor14!$C$17="",0,Vendedor14!$C$17)</f>
        <v>175800</v>
      </c>
      <c r="J17" s="30">
        <f>IF(Vendedor14!$E$17="",0,Vendedor14!$E$17)</f>
        <v>3800</v>
      </c>
      <c r="L17" s="42">
        <f>C17+E17+G17+I17</f>
        <v>479050</v>
      </c>
      <c r="M17" s="41">
        <f>MROUND(L17*Vendedor14!J$16,50)</f>
        <v>57500</v>
      </c>
      <c r="N17" s="42">
        <f t="shared" si="9"/>
        <v>13000</v>
      </c>
      <c r="O17" s="41">
        <f t="shared" si="3"/>
        <v>1105000</v>
      </c>
      <c r="P17" s="42">
        <f>Vendedor14!$F$5+Vendedor14!$F$9+Vendedor14!$F$13+Vendedor14!$F$17</f>
        <v>1105000</v>
      </c>
      <c r="R17" s="41">
        <f t="shared" si="8"/>
        <v>-683450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49150</v>
      </c>
      <c r="D18" s="30">
        <f>IF(Vendedor15!$E$5="",0,Vendedor15!$E$5)</f>
        <v>350</v>
      </c>
      <c r="E18" s="180">
        <f>IF(Vendedor15!$C$9="",0,Vendedor15!$C$9)</f>
        <v>57150</v>
      </c>
      <c r="F18" s="30">
        <f>IF(Vendedor15!$E$9="",0,Vendedor15!$E$9)</f>
        <v>1100</v>
      </c>
      <c r="G18" s="180">
        <f>IF(Vendedor15!$C$13="",0,Vendedor15!$C$13)</f>
        <v>46900</v>
      </c>
      <c r="H18" s="30">
        <f>IF(Vendedor15!$E$13="",0,Vendedor15!$E$13)</f>
        <v>50</v>
      </c>
      <c r="I18" s="180">
        <f>IF(Vendedor15!$C$17="",0,Vendedor15!$C$17)</f>
        <v>15050</v>
      </c>
      <c r="J18" s="30">
        <f>IF(Vendedor15!$E$17="",0,Vendedor15!$E$17)</f>
        <v>450</v>
      </c>
      <c r="L18" s="42">
        <f t="shared" ref="L18:L27" si="10">C18+E18+G18+I18</f>
        <v>168250</v>
      </c>
      <c r="M18" s="41">
        <f>MROUND(L18*Vendedor15!J$16,50)</f>
        <v>20200</v>
      </c>
      <c r="N18" s="42">
        <f t="shared" si="9"/>
        <v>1950</v>
      </c>
      <c r="O18" s="41">
        <f t="shared" si="3"/>
        <v>165750</v>
      </c>
      <c r="P18" s="42">
        <f>Vendedor15!$F$5+Vendedor15!$F$9+Vendedor15!$F$13+Vendedor15!$F$17</f>
        <v>165750</v>
      </c>
      <c r="R18" s="41">
        <f t="shared" si="8"/>
        <v>-17700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1250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1250</v>
      </c>
      <c r="O27" s="41">
        <f t="shared" si="3"/>
        <v>106250</v>
      </c>
      <c r="P27" s="42">
        <f>Vendedor24!$F$5+Vendedor24!$F$9+Vendedor24!$F$13+Vendedor24!$F$17</f>
        <v>106250</v>
      </c>
      <c r="R27" s="41">
        <f t="shared" si="8"/>
        <v>-106250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460850</v>
      </c>
      <c r="D32" s="44">
        <f t="shared" si="14"/>
        <v>3500</v>
      </c>
      <c r="E32" s="43">
        <f t="shared" si="14"/>
        <v>323750</v>
      </c>
      <c r="F32" s="44">
        <f t="shared" si="14"/>
        <v>2500</v>
      </c>
      <c r="G32" s="43">
        <f t="shared" si="14"/>
        <v>203450</v>
      </c>
      <c r="H32" s="44">
        <f t="shared" si="14"/>
        <v>9300</v>
      </c>
      <c r="I32" s="43">
        <f t="shared" si="14"/>
        <v>362400</v>
      </c>
      <c r="J32" s="44">
        <f t="shared" si="14"/>
        <v>8200</v>
      </c>
      <c r="L32" s="45">
        <f>SUM(L4:L31)</f>
        <v>1350450</v>
      </c>
      <c r="M32" s="45">
        <f>SUM(M7:M31)</f>
        <v>149350</v>
      </c>
      <c r="N32" s="95">
        <f>SUM(N4:N31)</f>
        <v>23500</v>
      </c>
      <c r="O32" s="46">
        <f>SUM(O4:O31)</f>
        <v>1997500</v>
      </c>
      <c r="P32" s="140">
        <f>SUM(P4:P31)</f>
        <v>1983500</v>
      </c>
      <c r="R32" s="79">
        <f>SUM(R4:R31)</f>
        <v>-810150</v>
      </c>
    </row>
    <row r="33" spans="3:15" x14ac:dyDescent="0.35">
      <c r="D33" s="120">
        <f>+D32*85</f>
        <v>297500</v>
      </c>
      <c r="F33" s="120">
        <f>+F32*85</f>
        <v>212500</v>
      </c>
      <c r="H33" s="120">
        <f>+H32*85</f>
        <v>790500</v>
      </c>
      <c r="J33" s="120">
        <f>+J32*85</f>
        <v>697000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1350450</v>
      </c>
      <c r="E36" s="43">
        <f>+D36-L4-L5-L6</f>
        <v>1244450</v>
      </c>
    </row>
    <row r="37" spans="3:15" x14ac:dyDescent="0.35">
      <c r="C37" s="47" t="s">
        <v>33</v>
      </c>
      <c r="D37" s="48">
        <f>D36*13%</f>
        <v>175558.5</v>
      </c>
      <c r="E37">
        <f>+D37-M4-M5-M6</f>
        <v>161808.5</v>
      </c>
    </row>
    <row r="38" spans="3:15" x14ac:dyDescent="0.35">
      <c r="C38" s="47" t="s">
        <v>30</v>
      </c>
      <c r="D38" s="30">
        <f>SUM(O4:O27)</f>
        <v>1997500</v>
      </c>
      <c r="G38" s="100"/>
    </row>
    <row r="39" spans="3:15" ht="15" thickBot="1" x14ac:dyDescent="0.4">
      <c r="C39" s="49" t="s">
        <v>4</v>
      </c>
      <c r="D39" s="80">
        <f>+D36-D37-D38</f>
        <v>-822608.5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-822608.5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71 Roja</v>
      </c>
      <c r="F2" s="268"/>
      <c r="G2" s="267" t="str">
        <f>IF(G33=0,"",CONCATENATE(PREMIOS!$B15," ",PREMIOS!$B16))</f>
        <v>61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31050</v>
      </c>
      <c r="D10" s="30">
        <f>IF(Vendedor7!$E$8="",0,Vendedor7!$E$8)</f>
        <v>200</v>
      </c>
      <c r="E10" s="180">
        <f>IF(Vendedor7!$C$12="",0,Vendedor7!$C$12)</f>
        <v>28950</v>
      </c>
      <c r="F10" s="30">
        <f>IF(Vendedor7!$E$12="",0,Vendedor7!$E$12)</f>
        <v>0</v>
      </c>
      <c r="G10" s="180">
        <f>IF(Vendedor7!$C$16="",0,Vendedor7!$C$16)</f>
        <v>40100</v>
      </c>
      <c r="H10" s="30">
        <f>IF(Vendedor7!$E$16="",0,Vendedor7!$E$16)</f>
        <v>0</v>
      </c>
      <c r="J10" s="42">
        <f t="shared" si="1"/>
        <v>100100</v>
      </c>
      <c r="K10" s="41">
        <f>J10*Vendedor7!J$16</f>
        <v>10010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90090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43500</v>
      </c>
      <c r="D17" s="30">
        <f>IF(Vendedor14!$E$8="",0,Vendedor14!$E$8)</f>
        <v>0</v>
      </c>
      <c r="E17" s="180">
        <f>IF(Vendedor14!$C$12="",0,Vendedor14!$C$12)</f>
        <v>10000</v>
      </c>
      <c r="F17" s="30">
        <f>IF(Vendedor14!$E$12="",0,Vendedor14!$E$12)</f>
        <v>0</v>
      </c>
      <c r="G17" s="180">
        <f>IF(Vendedor14!$C$16="",0,Vendedor14!$C$16)</f>
        <v>16500</v>
      </c>
      <c r="H17" s="30">
        <f>IF(Vendedor14!$E$16="",0,Vendedor14!$E$16)</f>
        <v>0</v>
      </c>
      <c r="J17" s="42">
        <f t="shared" si="1"/>
        <v>70000</v>
      </c>
      <c r="K17" s="41">
        <f>J17*Vendedor14!J$17</f>
        <v>7000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63000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18200</v>
      </c>
      <c r="D18" s="30">
        <f>IF(Vendedor15!$E$8="",0,Vendedor15!$E$8)</f>
        <v>200</v>
      </c>
      <c r="E18" s="180">
        <f>IF(Vendedor15!$C$12="",0,Vendedor15!$C$12)</f>
        <v>19550</v>
      </c>
      <c r="F18" s="30">
        <f>IF(Vendedor15!$E$12="",0,Vendedor15!$E$12)</f>
        <v>0</v>
      </c>
      <c r="G18" s="180">
        <f>IF(Vendedor15!$C$16="",0,Vendedor15!$C$16)</f>
        <v>8500</v>
      </c>
      <c r="H18" s="30">
        <f>IF(Vendedor15!$E$16="",0,Vendedor15!$E$16)</f>
        <v>0</v>
      </c>
      <c r="J18" s="42">
        <f t="shared" ref="J18" si="5">+C18+E18+G18</f>
        <v>46250</v>
      </c>
      <c r="K18" s="41">
        <f>J18*Vendedor15!J$17</f>
        <v>4625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41625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93750</v>
      </c>
      <c r="D33" s="44">
        <f>IF(PREMIOS!E8&lt;&gt;0,SUM(D4:D32),0)</f>
        <v>0</v>
      </c>
      <c r="E33" s="43">
        <f>SUM(E4:E32)</f>
        <v>58500</v>
      </c>
      <c r="F33" s="44">
        <f>IF(PREMIOS!E12&lt;&gt;0,SUM(F4:F32),0)</f>
        <v>0</v>
      </c>
      <c r="G33" s="43">
        <f>SUM(G4:G32)</f>
        <v>65100</v>
      </c>
      <c r="H33" s="44">
        <f>IF(PREMIOS!E16&lt;&gt;0,SUM(H4:H32),0)</f>
        <v>0</v>
      </c>
      <c r="J33" s="45">
        <f>SUM(J4:J32)</f>
        <v>217350</v>
      </c>
      <c r="K33" s="45">
        <f>SUM(K7:K32)</f>
        <v>21735</v>
      </c>
      <c r="L33" s="95">
        <f>SUM(L7:L32)</f>
        <v>0</v>
      </c>
      <c r="M33" s="95">
        <f>SUM(M7:M32)</f>
        <v>400</v>
      </c>
      <c r="N33" s="95">
        <f>SUM(N4:N27)</f>
        <v>0</v>
      </c>
      <c r="O33" s="95">
        <f>SUM(O4:O27)</f>
        <v>0</v>
      </c>
      <c r="Q33" s="79">
        <f>SUM(Q4:Q32)</f>
        <v>195615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217350</v>
      </c>
      <c r="E37" s="43">
        <f>+D37-J4-J5-J6</f>
        <v>217350</v>
      </c>
      <c r="F37" s="275"/>
      <c r="G37" s="275"/>
    </row>
    <row r="38" spans="3:17" ht="15" thickBot="1" x14ac:dyDescent="0.4">
      <c r="C38" s="47" t="s">
        <v>33</v>
      </c>
      <c r="D38" s="30">
        <f>D37*10%</f>
        <v>21735</v>
      </c>
      <c r="E38" s="43">
        <f>+D38-K4-K5-K6</f>
        <v>21735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195615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195615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37" sqref="D37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94</v>
      </c>
      <c r="D2" s="268"/>
      <c r="E2" s="267">
        <f>DigitaPRIMERA!E2</f>
        <v>53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6900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7900</v>
      </c>
      <c r="I4" s="41">
        <f>MROUND(H4*Vendedor1!J$9,50)</f>
        <v>1050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14150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14150</v>
      </c>
      <c r="I5" s="41">
        <f>MROUND(H5*Vendedor2!J$9,50)</f>
        <v>1850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26900</v>
      </c>
      <c r="D8" s="30">
        <f>IF(Vendedor5!$E$19="",0,Vendedor5!$E$19)</f>
        <v>0</v>
      </c>
      <c r="E8" s="180">
        <f>IF(Vendedor5!$C$20="",0,Vendedor5!$C$20)</f>
        <v>14150</v>
      </c>
      <c r="F8" s="30">
        <f>IF(Vendedor5!$E$20="",0,Vendedor5!$E$20)</f>
        <v>0</v>
      </c>
      <c r="H8" s="133">
        <f t="shared" si="1"/>
        <v>41050</v>
      </c>
      <c r="I8" s="148">
        <f>MROUND(H8*Vendedor5!J$11,50)</f>
        <v>4950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36100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24350</v>
      </c>
      <c r="D10" s="30">
        <f>IF(Vendedor7!$E$19="",0,Vendedor7!$E$19)</f>
        <v>0</v>
      </c>
      <c r="E10" s="180">
        <f>IF(Vendedor7!$C$20="",0,Vendedor7!$C$20)</f>
        <v>20300</v>
      </c>
      <c r="F10" s="30">
        <f>IF(Vendedor7!$E$20="",0,Vendedor7!$E$20)</f>
        <v>350</v>
      </c>
      <c r="H10" s="42">
        <f t="shared" si="1"/>
        <v>44650</v>
      </c>
      <c r="I10" s="41">
        <f>MROUND(H10*Vendedor7!J$14,50)</f>
        <v>5350</v>
      </c>
      <c r="J10" s="42">
        <f t="shared" si="2"/>
        <v>350</v>
      </c>
      <c r="K10" s="42">
        <f t="shared" si="3"/>
        <v>29750</v>
      </c>
      <c r="L10" s="42">
        <f>Vendedor7!$F$19+Vendedor7!$F$20</f>
        <v>29750</v>
      </c>
      <c r="N10" s="42">
        <f t="shared" si="0"/>
        <v>9550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14000</v>
      </c>
      <c r="D12" s="30">
        <f>IF(Vendedor9!$E$19="",0,Vendedor9!$E$19)</f>
        <v>150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14000</v>
      </c>
      <c r="I12" s="148">
        <f>MROUND(H12*Vendedor9!J$11,50)</f>
        <v>1700</v>
      </c>
      <c r="J12" s="133">
        <f t="shared" si="2"/>
        <v>150</v>
      </c>
      <c r="K12" s="133">
        <f t="shared" si="3"/>
        <v>12750</v>
      </c>
      <c r="L12" s="133">
        <f>Vendedor9!$F$19+Vendedor9!$F$20</f>
        <v>12750</v>
      </c>
      <c r="M12" s="155"/>
      <c r="N12" s="133">
        <f t="shared" si="0"/>
        <v>-450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2800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2800</v>
      </c>
      <c r="I16" s="148">
        <f>MROUND(H16*Vendedor13!J$11,50)</f>
        <v>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62950</v>
      </c>
      <c r="D17" s="30">
        <f>IF(Vendedor14!$E$19="",0,Vendedor14!$E$19)</f>
        <v>600</v>
      </c>
      <c r="E17" s="180">
        <f>IF(Vendedor14!$C$20="",0,Vendedor14!$C$20)</f>
        <v>46950</v>
      </c>
      <c r="F17" s="30">
        <f>IF(Vendedor14!$E$20="",0,Vendedor14!$E$20)</f>
        <v>150</v>
      </c>
      <c r="H17" s="42">
        <f t="shared" si="1"/>
        <v>109900</v>
      </c>
      <c r="I17" s="41">
        <f>MROUND(H17*Vendedor14!J$15,50)</f>
        <v>13200</v>
      </c>
      <c r="J17" s="42">
        <f t="shared" si="2"/>
        <v>750</v>
      </c>
      <c r="K17" s="42">
        <f t="shared" si="3"/>
        <v>63750</v>
      </c>
      <c r="L17" s="42">
        <f>Vendedor14!$F$19+Vendedor14!$F$20</f>
        <v>63750</v>
      </c>
      <c r="N17" s="42">
        <f t="shared" si="0"/>
        <v>32950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47700</v>
      </c>
      <c r="D18" s="30">
        <f>IF(Vendedor15!$E$19="",0,Vendedor15!$E$19)</f>
        <v>0</v>
      </c>
      <c r="E18" s="180">
        <f>IF(Vendedor15!$C$20="",0,Vendedor15!$C$20)</f>
        <v>40650</v>
      </c>
      <c r="F18" s="30">
        <f>IF(Vendedor15!$E$20="",0,Vendedor15!$E$20)</f>
        <v>0</v>
      </c>
      <c r="H18" s="42">
        <f t="shared" si="1"/>
        <v>88350</v>
      </c>
      <c r="I18" s="41">
        <f>MROUND(H18*Vendedor15!J$15,50)</f>
        <v>10600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77750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199750</v>
      </c>
      <c r="D32" s="44">
        <f>SUM(D4:D31)</f>
        <v>750</v>
      </c>
      <c r="E32" s="43">
        <f>SUM(E4:E31)</f>
        <v>123050</v>
      </c>
      <c r="F32" s="44">
        <f>SUM(F4:F31)</f>
        <v>500</v>
      </c>
      <c r="H32" s="95">
        <f>SUM(H4:H31)</f>
        <v>322800</v>
      </c>
      <c r="I32" s="45">
        <f>SUM(I7:I31)</f>
        <v>36150</v>
      </c>
      <c r="J32" s="95"/>
      <c r="K32" s="95">
        <f>SUM(K4:K31)</f>
        <v>106250</v>
      </c>
      <c r="L32" s="95">
        <f>SUM(L4:L31)</f>
        <v>106250</v>
      </c>
      <c r="N32" s="79">
        <f>SUM(N4:N31)</f>
        <v>177500</v>
      </c>
    </row>
    <row r="33" spans="3:6" x14ac:dyDescent="0.35">
      <c r="D33" s="99">
        <f>+D32*85</f>
        <v>63750</v>
      </c>
      <c r="F33" s="99">
        <f>+F32*85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322800</v>
      </c>
      <c r="E36" s="43">
        <f>+D36-H4-H5-H6</f>
        <v>300750</v>
      </c>
    </row>
    <row r="37" spans="3:6" x14ac:dyDescent="0.35">
      <c r="C37" s="47" t="s">
        <v>33</v>
      </c>
      <c r="D37" s="48">
        <f>D36*13%</f>
        <v>41964</v>
      </c>
      <c r="E37">
        <f>+D37-I4-I5-I6</f>
        <v>39064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174586</v>
      </c>
      <c r="F39" s="98">
        <f>+N32-D39</f>
        <v>2914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174586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7" zoomScale="90" zoomScaleNormal="90" workbookViewId="0">
      <selection activeCell="D37" sqref="D37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17</v>
      </c>
      <c r="D2" s="268"/>
      <c r="E2" s="267">
        <f>DigitaHONDURAS!E2</f>
        <v>92</v>
      </c>
      <c r="F2" s="268"/>
      <c r="G2" s="267">
        <f>DigitaHONDURAS!G2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1600</v>
      </c>
      <c r="D10" s="30">
        <f>IF(Vendedor7!$E$21="",0,Vendedor7!$E$21)</f>
        <v>0</v>
      </c>
      <c r="E10" s="180">
        <f>IF(Vendedor7!$C$22="",0,Vendedor7!$C$22)</f>
        <v>300</v>
      </c>
      <c r="F10" s="30">
        <f>IF(Vendedor7!$E$22="",0,Vendedor7!$E$22)</f>
        <v>0</v>
      </c>
      <c r="G10" s="180">
        <f>IF(Vendedor7!$C$23="",0,Vendedor7!$C$23)</f>
        <v>1100</v>
      </c>
      <c r="H10" s="30">
        <f>IF(Vendedor7!$E$23="",0,Vendedor7!$E$23)</f>
        <v>0</v>
      </c>
      <c r="J10" s="42">
        <f t="shared" si="0"/>
        <v>3000</v>
      </c>
      <c r="K10" s="41">
        <f>MROUND(J10*Vendedor7!J$14,50)</f>
        <v>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53150</v>
      </c>
      <c r="D17" s="30">
        <f>IF(Vendedor14!$E$21="",0,Vendedor14!$E$21)</f>
        <v>1150</v>
      </c>
      <c r="E17" s="180">
        <f>IF(Vendedor14!$C$22="",0,Vendedor14!$C$22)</f>
        <v>14500</v>
      </c>
      <c r="F17" s="30">
        <f>IF(Vendedor14!$E$22="",0,Vendedor14!$E$22)</f>
        <v>0</v>
      </c>
      <c r="G17" s="180">
        <f>IF(Vendedor14!$C$23="",0,Vendedor14!$C$23)</f>
        <v>25750</v>
      </c>
      <c r="H17" s="30">
        <f>IF(Vendedor14!$E$23="",0,Vendedor14!$E$23)</f>
        <v>250</v>
      </c>
      <c r="J17" s="42">
        <f t="shared" si="0"/>
        <v>93400</v>
      </c>
      <c r="K17" s="41">
        <f>MROUND(J17*Vendedor14!J$15,50)</f>
        <v>11200</v>
      </c>
      <c r="L17" s="42">
        <f t="shared" si="1"/>
        <v>1400</v>
      </c>
      <c r="M17" s="42">
        <f t="shared" si="3"/>
        <v>119000</v>
      </c>
      <c r="N17" s="42">
        <f>Vendedor14!$F$21+Vendedor14!$F$22+Vendedor14!$F$23</f>
        <v>119000</v>
      </c>
      <c r="P17" s="42">
        <f t="shared" si="2"/>
        <v>-36800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14800</v>
      </c>
      <c r="D18" s="30">
        <f>IF(Vendedor15!$E$21="",0,Vendedor15!$E$21)</f>
        <v>0</v>
      </c>
      <c r="E18" s="180">
        <f>IF(Vendedor15!$C$22="",0,Vendedor15!$C$22)</f>
        <v>4000</v>
      </c>
      <c r="F18" s="30">
        <f>IF(Vendedor15!$E$22="",0,Vendedor15!$E$22)</f>
        <v>0</v>
      </c>
      <c r="G18" s="180">
        <f>IF(Vendedor15!$C$23="",0,Vendedor15!$C$23)</f>
        <v>11550</v>
      </c>
      <c r="H18" s="30">
        <f>IF(Vendedor15!$E$23="",0,Vendedor15!$E$23)</f>
        <v>150</v>
      </c>
      <c r="J18" s="42">
        <f t="shared" si="0"/>
        <v>30350</v>
      </c>
      <c r="K18" s="41">
        <f>MROUND(J18*Vendedor15!J$15,50)</f>
        <v>3650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13950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69550</v>
      </c>
      <c r="D32" s="44">
        <f t="shared" si="8"/>
        <v>1150</v>
      </c>
      <c r="E32" s="43">
        <f t="shared" si="8"/>
        <v>18800</v>
      </c>
      <c r="F32" s="44">
        <f t="shared" si="8"/>
        <v>0</v>
      </c>
      <c r="G32" s="43">
        <f t="shared" si="8"/>
        <v>38400</v>
      </c>
      <c r="H32" s="44">
        <f t="shared" si="8"/>
        <v>400</v>
      </c>
      <c r="J32" s="95">
        <f>SUM(J4:J31)</f>
        <v>126750</v>
      </c>
      <c r="K32" s="45">
        <f>SUM(K7:K31)</f>
        <v>15200</v>
      </c>
      <c r="L32" s="95"/>
      <c r="M32" s="95">
        <f>SUM(M4:M31)</f>
        <v>131750</v>
      </c>
      <c r="N32" s="95">
        <f>SUM(N4:N31)</f>
        <v>131750</v>
      </c>
      <c r="P32" s="79">
        <f>SUM(P4:P31)</f>
        <v>-20200</v>
      </c>
    </row>
    <row r="33" spans="3:8" x14ac:dyDescent="0.35">
      <c r="D33" s="99">
        <f>+D32*85</f>
        <v>97750</v>
      </c>
      <c r="F33" s="99">
        <f>+F32*85</f>
        <v>0</v>
      </c>
      <c r="H33" s="99">
        <f>+H32*85</f>
        <v>34000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126750</v>
      </c>
      <c r="E36" s="43">
        <f>+D36-J4-J5-J6</f>
        <v>126750</v>
      </c>
    </row>
    <row r="37" spans="3:8" x14ac:dyDescent="0.35">
      <c r="C37" s="47" t="s">
        <v>33</v>
      </c>
      <c r="D37" s="48">
        <f>D36*13%</f>
        <v>16477.5</v>
      </c>
      <c r="E37">
        <f>+D37-K4-K5-K6</f>
        <v>16477.5</v>
      </c>
    </row>
    <row r="38" spans="3:8" ht="15" thickBot="1" x14ac:dyDescent="0.4">
      <c r="C38" s="47" t="s">
        <v>30</v>
      </c>
      <c r="D38" s="30">
        <f>SUM(M4:M27)</f>
        <v>131750</v>
      </c>
      <c r="G38" s="100"/>
    </row>
    <row r="39" spans="3:8" ht="15" thickBot="1" x14ac:dyDescent="0.4">
      <c r="C39" s="49" t="s">
        <v>4</v>
      </c>
      <c r="D39" s="80">
        <f>+D36-D37-D38</f>
        <v>-21477.5</v>
      </c>
      <c r="F39" s="98">
        <f>+P32-D39</f>
        <v>1277.5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-21477.5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16</v>
      </c>
      <c r="D2" s="268"/>
      <c r="E2" s="267">
        <f>DigitaDOMINICANA!E2</f>
        <v>49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40500</v>
      </c>
      <c r="D10" s="30">
        <f>IF(Vendedor7!$E$24="",0,Vendedor7!$E$24)</f>
        <v>750</v>
      </c>
      <c r="E10" s="180">
        <f>IF(Vendedor7!$C$25="",0,Vendedor7!$C$25)</f>
        <v>36800</v>
      </c>
      <c r="F10" s="30">
        <f>IF(Vendedor7!$E$25="",0,Vendedor7!$E$25)</f>
        <v>0</v>
      </c>
      <c r="H10" s="42">
        <f t="shared" si="1"/>
        <v>77300</v>
      </c>
      <c r="I10" s="41">
        <f>MROUND(H10*Vendedor7!J$14,50)</f>
        <v>9300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4250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40500</v>
      </c>
      <c r="D32" s="44">
        <f>SUM(D4:D31)</f>
        <v>750</v>
      </c>
      <c r="E32" s="43">
        <f>SUM(E4:E31)</f>
        <v>36800</v>
      </c>
      <c r="F32" s="44">
        <f>SUM(F4:F31)</f>
        <v>0</v>
      </c>
      <c r="H32" s="95">
        <f>SUM(H4:H31)</f>
        <v>77300</v>
      </c>
      <c r="I32" s="45">
        <f>SUM(I7:I31)</f>
        <v>9300</v>
      </c>
      <c r="J32" s="95"/>
      <c r="K32" s="95">
        <f>SUM(K4:K31)</f>
        <v>63750</v>
      </c>
      <c r="L32" s="95">
        <f>SUM(L4:L31)</f>
        <v>63750</v>
      </c>
      <c r="N32" s="79">
        <f>SUM(N4:N31)</f>
        <v>4250</v>
      </c>
    </row>
    <row r="33" spans="3:6" x14ac:dyDescent="0.35">
      <c r="D33" s="99">
        <f>+D32*85</f>
        <v>63750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77300</v>
      </c>
      <c r="E36" s="43">
        <f>+D36-H4-H5-H6</f>
        <v>77300</v>
      </c>
    </row>
    <row r="37" spans="3:6" x14ac:dyDescent="0.35">
      <c r="C37" s="47" t="s">
        <v>33</v>
      </c>
      <c r="D37" s="48">
        <f>D36*13%</f>
        <v>10049</v>
      </c>
      <c r="E37">
        <f>+D37-I4-I5-I6</f>
        <v>10049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3501</v>
      </c>
      <c r="F39" s="98">
        <f>+N32-D39</f>
        <v>749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3501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21-05-2026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1244450</v>
      </c>
      <c r="C4" s="157">
        <f>HojaNICA!M32</f>
        <v>149350</v>
      </c>
      <c r="D4" s="150">
        <f>HojaNICA!E37</f>
        <v>161808.5</v>
      </c>
      <c r="E4" s="150">
        <f>HojaNICA!P32</f>
        <v>1983500</v>
      </c>
      <c r="F4" s="150">
        <f>HojaNICA!O32</f>
        <v>1997500</v>
      </c>
      <c r="G4" s="151">
        <f t="shared" ref="G4:G10" si="0">+D4-C4+F4-E4</f>
        <v>26458.5</v>
      </c>
      <c r="H4" s="21"/>
      <c r="I4" s="182"/>
    </row>
    <row r="5" spans="1:9" x14ac:dyDescent="0.35">
      <c r="A5" s="28" t="s">
        <v>19</v>
      </c>
      <c r="B5" s="156">
        <f>HojaTICA!$E$36</f>
        <v>1546850</v>
      </c>
      <c r="C5" s="157">
        <f>HojaTICA!K32</f>
        <v>187400</v>
      </c>
      <c r="D5" s="150">
        <f>HojaTICA!E37</f>
        <v>201075</v>
      </c>
      <c r="E5" s="150">
        <f>HojaTICA!N32</f>
        <v>1173000</v>
      </c>
      <c r="F5" s="150">
        <f>HojaTICA!D38</f>
        <v>1173000</v>
      </c>
      <c r="G5" s="151">
        <f t="shared" si="0"/>
        <v>13675</v>
      </c>
      <c r="H5" s="21"/>
      <c r="I5" s="182"/>
    </row>
    <row r="6" spans="1:9" x14ac:dyDescent="0.35">
      <c r="A6" s="28" t="s">
        <v>125</v>
      </c>
      <c r="B6" s="156">
        <f>HojaREVENTADO!$E$37</f>
        <v>217350</v>
      </c>
      <c r="C6" s="157">
        <f>HojaREVENTADO!K33</f>
        <v>21735</v>
      </c>
      <c r="D6" s="150">
        <f>HojaREVENTADO!E38</f>
        <v>21735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300750</v>
      </c>
      <c r="C7" s="157">
        <f>HojaPrimera!I32</f>
        <v>36150</v>
      </c>
      <c r="D7" s="150">
        <f>HojaPrimera!E37</f>
        <v>39064</v>
      </c>
      <c r="E7" s="150">
        <f>HojaPrimera!L32</f>
        <v>106250</v>
      </c>
      <c r="F7" s="150">
        <f>HojaPrimera!K32</f>
        <v>106250</v>
      </c>
      <c r="G7" s="151">
        <f t="shared" si="0"/>
        <v>2914</v>
      </c>
      <c r="H7" s="21"/>
      <c r="I7" s="21"/>
    </row>
    <row r="8" spans="1:9" x14ac:dyDescent="0.35">
      <c r="A8" s="28" t="s">
        <v>104</v>
      </c>
      <c r="B8" s="156">
        <f>HojaHonduras!$E$36</f>
        <v>126750</v>
      </c>
      <c r="C8" s="157">
        <f>HojaHonduras!K32</f>
        <v>15200</v>
      </c>
      <c r="D8" s="150">
        <f>HojaHonduras!E37</f>
        <v>16477.5</v>
      </c>
      <c r="E8" s="150">
        <f>HojaHonduras!N32</f>
        <v>131750</v>
      </c>
      <c r="F8" s="150">
        <f>HojaHonduras!M32</f>
        <v>131750</v>
      </c>
      <c r="G8" s="151">
        <f t="shared" si="0"/>
        <v>1277.5</v>
      </c>
      <c r="H8" s="21"/>
      <c r="I8" s="21"/>
    </row>
    <row r="9" spans="1:9" x14ac:dyDescent="0.35">
      <c r="A9" s="28" t="s">
        <v>20</v>
      </c>
      <c r="B9" s="156">
        <f>HojaDominicana!$E$36</f>
        <v>77300</v>
      </c>
      <c r="C9" s="157">
        <f>HojaDominicana!I32</f>
        <v>9300</v>
      </c>
      <c r="D9" s="150">
        <f>HojaDominicana!E37</f>
        <v>10049</v>
      </c>
      <c r="E9" s="150">
        <f>HojaDominicana!L32</f>
        <v>63750</v>
      </c>
      <c r="F9" s="150">
        <f>HojaDominicana!K32</f>
        <v>63750</v>
      </c>
      <c r="G9" s="151">
        <f t="shared" si="0"/>
        <v>749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3513450</v>
      </c>
      <c r="C11" s="175">
        <f>SUM(C4:C10)</f>
        <v>419135</v>
      </c>
      <c r="D11" s="175">
        <f t="shared" ref="D11:F11" si="1">SUM(D4:D10)</f>
        <v>450209</v>
      </c>
      <c r="E11" s="175">
        <f t="shared" si="1"/>
        <v>3458250</v>
      </c>
      <c r="F11" s="175">
        <f t="shared" si="1"/>
        <v>3472250</v>
      </c>
      <c r="G11" s="176">
        <f>SUM(G4:G10)</f>
        <v>45074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25074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217950</v>
      </c>
      <c r="E16" s="157">
        <f>+Vendedor1!D21</f>
        <v>28333.5</v>
      </c>
      <c r="F16" s="158">
        <f>IF(D16&lt;&gt;0,15000,0)</f>
        <v>15000</v>
      </c>
      <c r="G16" s="151">
        <f>+E16-F16</f>
        <v>13333.5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230750</v>
      </c>
      <c r="E17" s="157">
        <f>+Vendedor2!D21</f>
        <v>29997.5</v>
      </c>
      <c r="F17" s="158">
        <f>IF(D17&lt;&gt;0,15000,0)</f>
        <v>15000</v>
      </c>
      <c r="G17" s="151">
        <f>+E17-F17</f>
        <v>14997.5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448700</v>
      </c>
      <c r="E19" s="159">
        <f>SUM(E16:E18)</f>
        <v>58331</v>
      </c>
      <c r="F19" s="160">
        <f>SUM(F16:F18)</f>
        <v>30000</v>
      </c>
      <c r="G19" s="161">
        <f>SUM(G16:G18)</f>
        <v>28331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-106250</v>
      </c>
      <c r="G22" s="151">
        <f>+D22-E22-F22</f>
        <v>106250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159655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21-05-2026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1350450</v>
      </c>
      <c r="C5" s="150">
        <f>HojaNICA!D37</f>
        <v>175558.5</v>
      </c>
      <c r="D5" s="150">
        <f>HojaNICA!D38</f>
        <v>1997500</v>
      </c>
      <c r="E5" s="150"/>
      <c r="F5" s="151">
        <f>+B5-C5-D5+E5</f>
        <v>-822608.5</v>
      </c>
      <c r="H5" s="249" t="s">
        <v>105</v>
      </c>
      <c r="I5" s="243">
        <f ca="1">TODAY()-2</f>
        <v>46163</v>
      </c>
      <c r="O5" s="119"/>
    </row>
    <row r="6" spans="1:15" ht="15" thickBot="1" x14ac:dyDescent="0.4">
      <c r="A6" s="47" t="s">
        <v>36</v>
      </c>
      <c r="B6" s="150">
        <f>HojaTICA!D36</f>
        <v>1867500</v>
      </c>
      <c r="C6" s="150">
        <f>HojaTICA!D37</f>
        <v>242775</v>
      </c>
      <c r="D6" s="150">
        <f>HojaTICA!D38</f>
        <v>1173000</v>
      </c>
      <c r="E6" s="150"/>
      <c r="F6" s="151">
        <f t="shared" ref="F6:F11" si="0">+B6-C6-D6+E6</f>
        <v>451725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217350</v>
      </c>
      <c r="C7" s="150">
        <f>HojaREVENTADO!D38</f>
        <v>21735</v>
      </c>
      <c r="D7" s="150">
        <f>HojaREVENTADO!D39</f>
        <v>0</v>
      </c>
      <c r="E7" s="150"/>
      <c r="F7" s="151">
        <f t="shared" si="0"/>
        <v>195615</v>
      </c>
    </row>
    <row r="8" spans="1:15" x14ac:dyDescent="0.35">
      <c r="A8" s="47" t="s">
        <v>96</v>
      </c>
      <c r="B8" s="150">
        <f>HojaPrimera!$D36</f>
        <v>322800</v>
      </c>
      <c r="C8" s="150">
        <f>HojaPrimera!$D37</f>
        <v>41964</v>
      </c>
      <c r="D8" s="150">
        <f>HojaPrimera!$D38</f>
        <v>106250</v>
      </c>
      <c r="E8" s="150"/>
      <c r="F8" s="151">
        <f t="shared" si="0"/>
        <v>174586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126750</v>
      </c>
      <c r="C9" s="150">
        <f>HojaHonduras!$D37</f>
        <v>16477.5</v>
      </c>
      <c r="D9" s="150">
        <f>HojaHonduras!$D38</f>
        <v>131750</v>
      </c>
      <c r="E9" s="150"/>
      <c r="F9" s="151">
        <f t="shared" si="0"/>
        <v>-21477.5</v>
      </c>
      <c r="H9" s="250">
        <f>+K12-K10-H6</f>
        <v>-18659</v>
      </c>
    </row>
    <row r="10" spans="1:15" ht="15" thickBot="1" x14ac:dyDescent="0.4">
      <c r="A10" s="47" t="s">
        <v>20</v>
      </c>
      <c r="B10" s="150">
        <f>HojaDominicana!$D36</f>
        <v>77300</v>
      </c>
      <c r="C10" s="150">
        <f>HojaDominicana!$D37</f>
        <v>10049</v>
      </c>
      <c r="D10" s="150">
        <f>HojaDominicana!$D38</f>
        <v>63750</v>
      </c>
      <c r="E10" s="150"/>
      <c r="F10" s="151">
        <f t="shared" si="0"/>
        <v>3501</v>
      </c>
      <c r="H10" s="154"/>
      <c r="J10" t="s">
        <v>148</v>
      </c>
      <c r="K10" s="252">
        <v>4468318.8499999996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4449659.8499999996</v>
      </c>
      <c r="M11">
        <v>1250</v>
      </c>
    </row>
    <row r="12" spans="1:15" ht="16" thickBot="1" x14ac:dyDescent="0.4">
      <c r="A12" s="144" t="s">
        <v>5</v>
      </c>
      <c r="B12" s="152">
        <f>SUM(B5:B11)</f>
        <v>3962150</v>
      </c>
      <c r="C12" s="152">
        <f>SUM(C5:C11)</f>
        <v>508559</v>
      </c>
      <c r="D12" s="152">
        <f>SUM(D5:D11)</f>
        <v>3472250</v>
      </c>
      <c r="E12" s="152"/>
      <c r="F12" s="255">
        <f>SUM(F5:F11)</f>
        <v>-18659</v>
      </c>
      <c r="H12" s="251">
        <f>K12</f>
        <v>4449659.8499999996</v>
      </c>
      <c r="J12" t="s">
        <v>140</v>
      </c>
      <c r="K12" s="254">
        <f>-1508601.37+3802133.24+1300024.5+856103.48</f>
        <v>4449659.8499999996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F12" sqref="F12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176050</v>
      </c>
      <c r="K4" s="231">
        <f t="shared" ref="K4" si="0">D7+D11+D15</f>
        <v>22886.5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IF(DigitaNICA!C4&lt;&gt;"",DigitaNICA!C4,"")</f>
        <v>22650</v>
      </c>
      <c r="D5" s="42">
        <f>IF(C5="",0,C5*J$10)</f>
        <v>2944.5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19705.5</v>
      </c>
      <c r="I5" s="241" t="s">
        <v>37</v>
      </c>
      <c r="J5" s="221">
        <f>SUM(IF(C5="",0,C5),IF(C9="",0,C9),IF(C13="",0,C13),IF(C17="",0,C17))</f>
        <v>34000</v>
      </c>
      <c r="K5" s="225">
        <f t="shared" ref="K5" si="2">D5+D9+D13+D17</f>
        <v>4420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7900</v>
      </c>
      <c r="K6" s="228">
        <f>D19+D20</f>
        <v>1027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IF(DigitaTICA!C4&lt;&gt;"",DigitaTICA!C4,"")</f>
        <v>60450</v>
      </c>
      <c r="D7" s="42">
        <f>IF(C7="",0,C7*J$9)</f>
        <v>7858.5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27091.5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IF(DigitaNICA!E4&lt;&gt;"",DigitaNICA!E4,"")</f>
        <v>5450</v>
      </c>
      <c r="D9" s="42">
        <f>IF(C9="",0,C9*J$10)</f>
        <v>708.5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4741.5</v>
      </c>
      <c r="I9" s="76" t="s">
        <v>36</v>
      </c>
      <c r="J9" s="77">
        <v>0.13</v>
      </c>
      <c r="K9" s="78">
        <f>MROUND(D7+D11+D15,50)</f>
        <v>22900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4400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IF(DigitaTICA!E4&lt;&gt;"",DigitaTICA!E4,"")</f>
        <v>37650</v>
      </c>
      <c r="D11" s="42">
        <f>IF(C11="",0,C11*J$9)</f>
        <v>4894.5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32755.5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IF(DigitaNICA!G4&lt;&gt;"",DigitaNICA!G4,"")</f>
        <v>3250</v>
      </c>
      <c r="D13" s="42">
        <f>IF(C13="",0,C13*J$10)</f>
        <v>422.5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2827.5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IF(DigitaTICA!G4&lt;&gt;"",DigitaTICA!G4,"")</f>
        <v>77950</v>
      </c>
      <c r="D15" s="42">
        <f>IF(C15="",0,C15*J$9)</f>
        <v>10133.5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25316.5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>
        <f>IF(DigitaNICA!I4&lt;&gt;"",DigitaNICA!I4,"")</f>
        <v>2650</v>
      </c>
      <c r="D17" s="42">
        <f>IF(C17="",0,C17*J$10)</f>
        <v>344.5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2305.5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IF(DigitaPRIMERA!C4&lt;&gt;"",DigitaPRIMERA!C4,"")</f>
        <v>6900</v>
      </c>
      <c r="D19" s="42">
        <f>IF(C19="",0,C19*J$12)</f>
        <v>897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6003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217950</v>
      </c>
      <c r="D21" s="122">
        <f t="shared" ref="D21:G21" si="6">SUM(D5:D20)</f>
        <v>28333.5</v>
      </c>
      <c r="E21" s="122">
        <f t="shared" si="6"/>
        <v>800</v>
      </c>
      <c r="F21" s="122">
        <f t="shared" si="6"/>
        <v>68000</v>
      </c>
      <c r="G21" s="123">
        <f t="shared" si="6"/>
        <v>121616.5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F9" sqref="F9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144600</v>
      </c>
      <c r="K4" s="231">
        <f t="shared" ref="K4" si="0">D7+D11+D15</f>
        <v>18798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IF(DigitaNICA!C5&lt;&gt;"",DigitaNICA!C5,"")</f>
        <v>39800</v>
      </c>
      <c r="D5" s="42">
        <f>IF(C5="",0,C5*J$10)</f>
        <v>5174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34626</v>
      </c>
      <c r="I5" s="241" t="s">
        <v>37</v>
      </c>
      <c r="J5" s="221">
        <f>SUM(IF(C5="",0,C5),IF(C9="",0,C9),IF(C13="",0,C13),IF(C17="",0,C17))</f>
        <v>72000</v>
      </c>
      <c r="K5" s="225">
        <f t="shared" ref="K5" si="2">D5+D9+D13+D17</f>
        <v>9360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14150</v>
      </c>
      <c r="K6" s="228">
        <f>D19+D20</f>
        <v>1839.5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IF(DigitaTICA!C5&lt;&gt;"",DigitaTICA!C5,"")</f>
        <v>50700</v>
      </c>
      <c r="D7" s="42">
        <f>IF(C7="",0,C7*J$9)</f>
        <v>6591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44109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IF(DigitaNICA!E5&lt;&gt;"",DigitaNICA!E5,"")</f>
        <v>22600</v>
      </c>
      <c r="D9" s="42">
        <f>IF(C9="",0,C9*J$10)</f>
        <v>2938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19662</v>
      </c>
      <c r="I9" s="60" t="s">
        <v>36</v>
      </c>
      <c r="J9" s="61">
        <v>0.13</v>
      </c>
      <c r="K9" s="62">
        <f>MROUND(D7+D11+D15,50)</f>
        <v>18800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9350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IF(DigitaTICA!E5&lt;&gt;"",DigitaTICA!E5,"")</f>
        <v>30400</v>
      </c>
      <c r="D11" s="42">
        <f>IF(C11="",0,C11*J$9)</f>
        <v>3952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26448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1850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IF(DigitaNICA!G5&lt;&gt;"",DigitaNICA!G5,"")</f>
        <v>9600</v>
      </c>
      <c r="D13" s="42">
        <f>IF(C13="",0,C13*J$10)</f>
        <v>1248</v>
      </c>
      <c r="E13" s="29">
        <f>IF(DigitaNICA!H5&lt;&gt;"",DigitaNICA!H5,"")</f>
        <v>1000</v>
      </c>
      <c r="F13" s="42">
        <f>IF(E13="",0,E13*PREMIOS!E13)</f>
        <v>80000</v>
      </c>
      <c r="G13" s="30">
        <f>IF(OR(C13="",E13=""),0,C13-D13-F13)</f>
        <v>-71648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IF(DigitaTICA!G5&lt;&gt;"",DigitaTICA!G5,"")</f>
        <v>63500</v>
      </c>
      <c r="D15" s="42">
        <f>IF(C15="",0,C15*J$9)</f>
        <v>8255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12745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IF(DigitaPRIMERA!C5&lt;&gt;"",DigitaPRIMERA!C5,"")</f>
        <v>14150</v>
      </c>
      <c r="D19" s="42">
        <f>IF(C19="",0,C19*J$12)</f>
        <v>1839.5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12310.5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230750</v>
      </c>
      <c r="D21" s="68">
        <f t="shared" ref="D21:G21" si="4">SUM(D5:D20)</f>
        <v>29997.5</v>
      </c>
      <c r="E21" s="68">
        <f t="shared" si="4"/>
        <v>1500</v>
      </c>
      <c r="F21" s="68">
        <f t="shared" si="4"/>
        <v>122500</v>
      </c>
      <c r="G21" s="88">
        <f t="shared" si="4"/>
        <v>78252.5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188650</v>
      </c>
      <c r="K4" s="231">
        <f t="shared" ref="K4" si="0">D7+D11+D15</f>
        <v>22638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IF(DigitaNICA!C8&lt;&gt;"",DigitaNICA!C8,"")</f>
        <v>72250</v>
      </c>
      <c r="D5" s="42">
        <f>IF(C5="",0,C5*J$12)</f>
        <v>8670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15580</v>
      </c>
      <c r="I5" s="241" t="s">
        <v>37</v>
      </c>
      <c r="J5" s="221">
        <f>SUM(IF(C5="",0,C5),IF(C9="",0,C9),IF(C13="",0,C13),IF(C17="",0,C17))</f>
        <v>150650</v>
      </c>
      <c r="K5" s="225">
        <f t="shared" ref="K5" si="2">D5+D9+D13+D17</f>
        <v>18078</v>
      </c>
      <c r="L5" s="222">
        <f>F5+F9+F13+F17</f>
        <v>108000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IF(DigitaTICA!C8&lt;&gt;"",DigitaTICA!C8,"")</f>
        <v>67550</v>
      </c>
      <c r="D7" s="42">
        <f>IF(C7="",0,C7*J$11)</f>
        <v>8106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16944</v>
      </c>
      <c r="I7" s="242" t="s">
        <v>96</v>
      </c>
      <c r="J7" s="224">
        <f>SUM(IF(C19="",0,C19),IF(C20="",0,C20))</f>
        <v>41050</v>
      </c>
      <c r="K7" s="228">
        <f>+D19+D20</f>
        <v>4926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IF(DigitaNICA!E8&lt;&gt;"",DigitaNICA!E8,"")</f>
        <v>43100</v>
      </c>
      <c r="D9" s="42">
        <f>IF(C9="",0,C9*J$12)</f>
        <v>5172</v>
      </c>
      <c r="E9" s="29">
        <f>IF(DigitaNICA!F8&lt;&gt;"",DigitaNICA!F8,"")</f>
        <v>250</v>
      </c>
      <c r="F9" s="42">
        <f>IF(E9="",0,E9*PREMIOS!E9)</f>
        <v>20000</v>
      </c>
      <c r="G9" s="30">
        <f t="shared" si="1"/>
        <v>17928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IF(DigitaTICA!E8&lt;&gt;"",DigitaTICA!E8,"")</f>
        <v>55400</v>
      </c>
      <c r="D11" s="42">
        <f>IF(C11="",0,C11*J$11)</f>
        <v>6648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6252</v>
      </c>
      <c r="I11" s="60" t="s">
        <v>36</v>
      </c>
      <c r="J11" s="61">
        <v>0.12</v>
      </c>
      <c r="K11" s="62">
        <f>MROUND(D7+D11+D15,50)</f>
        <v>22650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18100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IF(DigitaNICA!G8&lt;&gt;"",DigitaNICA!G8,"")</f>
        <v>5500</v>
      </c>
      <c r="D13" s="42">
        <f>IF(C13="",0,C13*J$12)</f>
        <v>660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4950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IF(DigitaTICA!G8&lt;&gt;"",DigitaTICA!G8,"")</f>
        <v>65700</v>
      </c>
      <c r="D15" s="42">
        <f>IF(C15="",0,C15*J$11)</f>
        <v>7884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-27184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>
        <f>IF(DigitaNICA!I8&lt;&gt;"",DigitaNICA!I8,"")</f>
        <v>29800</v>
      </c>
      <c r="D17" s="42">
        <f>IF(C17="",0,C17*J$12)</f>
        <v>3576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-13776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IF(DigitaPRIMERA!C8&lt;&gt;"",DigitaPRIMERA!C8,"")</f>
        <v>26900</v>
      </c>
      <c r="D19" s="42">
        <f>IF(C19="",0,C19*J$14)</f>
        <v>3228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23672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>
        <f>IF(DigitaPRIMERA!E8&lt;&gt;"",DigitaPRIMERA!E8,"")</f>
        <v>14150</v>
      </c>
      <c r="D20" s="42">
        <f>IF(C20="",0,C20*J$14)</f>
        <v>1698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12452</v>
      </c>
    </row>
    <row r="21" spans="1:7" ht="15" thickBot="1" x14ac:dyDescent="0.4">
      <c r="A21" s="121" t="s">
        <v>5</v>
      </c>
      <c r="B21" s="128"/>
      <c r="C21" s="122">
        <f>SUM(C5:C20)</f>
        <v>380350</v>
      </c>
      <c r="D21" s="122">
        <f t="shared" ref="D21:G21" si="5">SUM(D5:D20)</f>
        <v>45642</v>
      </c>
      <c r="E21" s="122">
        <f t="shared" si="5"/>
        <v>3350</v>
      </c>
      <c r="F21" s="122">
        <f t="shared" si="5"/>
        <v>278000</v>
      </c>
      <c r="G21" s="123">
        <f t="shared" si="5"/>
        <v>56708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404550</v>
      </c>
      <c r="K4" s="231">
        <f t="shared" ref="K4" si="0">D7+D11+D15</f>
        <v>48546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IF(DigitaNICA!C10&lt;&gt;"",DigitaNICA!C10,"")</f>
        <v>72950</v>
      </c>
      <c r="D5" s="42">
        <f>IF(C5="",0,C5*J$15)</f>
        <v>8754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38696</v>
      </c>
      <c r="I5" s="217" t="s">
        <v>37</v>
      </c>
      <c r="J5" s="221">
        <f>SUM(IF(C5="",0,C5),IF(C9="",0,C9),IF(C13="",0,C13),IF(C17="",0,C17))</f>
        <v>315900</v>
      </c>
      <c r="K5" s="225">
        <f t="shared" ref="K5" si="2">D5+D9+D13+D17</f>
        <v>37908</v>
      </c>
      <c r="L5" s="222">
        <f>F5+F9+F13+F17</f>
        <v>382500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100100</v>
      </c>
      <c r="K6" s="226">
        <f t="shared" ref="K6" si="3">+D8+D12+D16</f>
        <v>10010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IF(DigitaTICA!C10&lt;&gt;"",DigitaTICA!C10,"")</f>
        <v>118750</v>
      </c>
      <c r="D7" s="42">
        <f>IF(C7="",0,C7*J$14)</f>
        <v>14250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87500</v>
      </c>
      <c r="I7" s="217" t="s">
        <v>96</v>
      </c>
      <c r="J7" s="223">
        <f>SUM(IF(C19="",0,C19),IF(C20="",0,C20))</f>
        <v>44650</v>
      </c>
      <c r="K7" s="226">
        <f>+D19+D20</f>
        <v>5358</v>
      </c>
      <c r="L7" s="227">
        <f>+F19+F20</f>
        <v>29750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31050</v>
      </c>
      <c r="D8" s="42">
        <f>IF(C8="",0,C8*J$16)</f>
        <v>3105</v>
      </c>
      <c r="E8" s="29">
        <f>IF(DigitaREVENTADO!D10&lt;&gt;"",DigitaREVENTADO!D10,"")</f>
        <v>200</v>
      </c>
      <c r="F8" s="42">
        <f>IF(E8="",0,E8*PREMIOS!F8)</f>
        <v>0</v>
      </c>
      <c r="G8" s="30">
        <f t="shared" si="1"/>
        <v>27945</v>
      </c>
      <c r="I8" s="217" t="s">
        <v>104</v>
      </c>
      <c r="J8" s="223">
        <f>SUM(IF(C21="",0,C21),IF(C22="",0,C22),IF(C23="",0,C23))</f>
        <v>3000</v>
      </c>
      <c r="K8" s="226">
        <f t="shared" ref="K8" si="4">D21+D22+D23</f>
        <v>360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IF(DigitaNICA!E10&lt;&gt;"",DigitaNICA!E10,"")</f>
        <v>75150</v>
      </c>
      <c r="D9" s="42">
        <f>IF(C9="",0,C9*J$15)</f>
        <v>9018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32132</v>
      </c>
      <c r="I9" s="217" t="s">
        <v>20</v>
      </c>
      <c r="J9" s="223">
        <f>SUM(IF(C24="",0,C24),IF(C25="",0,C25))</f>
        <v>77300</v>
      </c>
      <c r="K9" s="226">
        <f t="shared" ref="K9" si="5">+D24+D25</f>
        <v>9276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IF(DigitaTICA!E10&lt;&gt;"",DigitaTICA!E10,"")</f>
        <v>136500</v>
      </c>
      <c r="D11" s="42">
        <f>IF(C11="",0,C11*J$14)</f>
        <v>16380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111620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28950</v>
      </c>
      <c r="D12" s="42">
        <f>IF(C12="",0,C12*J$16)</f>
        <v>2895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26055</v>
      </c>
    </row>
    <row r="13" spans="1:12" ht="15" thickBot="1" x14ac:dyDescent="0.4">
      <c r="A13" s="28" t="s">
        <v>50</v>
      </c>
      <c r="B13" s="132">
        <f>IF(DigitaNICA!G2&lt;&gt;"",DigitaNICA!G2,"")</f>
        <v>25</v>
      </c>
      <c r="C13" s="29">
        <f>IF(DigitaNICA!G10&lt;&gt;"",DigitaNICA!G10,"")</f>
        <v>55550</v>
      </c>
      <c r="D13" s="42">
        <f>IF(C13="",0,C13*J$15)</f>
        <v>6666</v>
      </c>
      <c r="E13" s="29">
        <f>IF(DigitaNICA!H10&lt;&gt;"",DigitaNICA!H10,"")</f>
        <v>550</v>
      </c>
      <c r="F13" s="42">
        <f>IF(E13="",0,E13*PREMIOS!F13)</f>
        <v>46750</v>
      </c>
      <c r="G13" s="30">
        <f>IF(OR(C13="",E13=""),0,C13-D13-F13)</f>
        <v>2134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48550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IF(DigitaTICA!G10&lt;&gt;"",DigitaTICA!G10,"")</f>
        <v>149300</v>
      </c>
      <c r="D15" s="42">
        <f>IF(C15="",0,C15*J$14)</f>
        <v>17916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84634</v>
      </c>
      <c r="I15" s="63" t="s">
        <v>37</v>
      </c>
      <c r="J15" s="64">
        <v>0.12</v>
      </c>
      <c r="K15" s="30">
        <f>MROUND(D5+D9+D13+D17,50)</f>
        <v>37900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40100</v>
      </c>
      <c r="D16" s="42">
        <f>IF(C16="",0,C16*J$16)</f>
        <v>4010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36090</v>
      </c>
      <c r="I16" s="63" t="s">
        <v>38</v>
      </c>
      <c r="J16" s="64">
        <v>0.1</v>
      </c>
      <c r="K16" s="30">
        <f>MROUND(D6+D8+D10+D12+D14+D16+D18,50)</f>
        <v>10000</v>
      </c>
    </row>
    <row r="17" spans="1:11" x14ac:dyDescent="0.35">
      <c r="A17" s="28" t="s">
        <v>52</v>
      </c>
      <c r="B17" s="132">
        <f>IF(DigitaNICA!I2&lt;&gt;"",DigitaNICA!I2,"")</f>
        <v>55</v>
      </c>
      <c r="C17" s="29">
        <f>IF(DigitaNICA!I10&lt;&gt;"",DigitaNICA!I10,"")</f>
        <v>112250</v>
      </c>
      <c r="D17" s="42">
        <f>IF(C17="",0,C17*J$15)</f>
        <v>13470</v>
      </c>
      <c r="E17" s="29">
        <f>IF(DigitaNICA!J10&lt;&gt;"",DigitaNICA!J10,"")</f>
        <v>3250</v>
      </c>
      <c r="F17" s="42">
        <f>IF(E17="",0,E17*PREMIOS!F17)</f>
        <v>276250</v>
      </c>
      <c r="G17" s="30">
        <f t="shared" si="6"/>
        <v>-177470</v>
      </c>
      <c r="I17" s="63" t="s">
        <v>96</v>
      </c>
      <c r="J17" s="64">
        <v>0.12</v>
      </c>
      <c r="K17" s="30">
        <f>MROUND(D19+D20,50)</f>
        <v>5350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350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IF(DigitaPRIMERA!$C$10&lt;&gt;"",DigitaPRIMERA!$C$10,"")</f>
        <v>24350</v>
      </c>
      <c r="D19" s="42">
        <f>IF(C19="",0,C19*J$17)</f>
        <v>2922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21428</v>
      </c>
      <c r="I19" s="63" t="s">
        <v>20</v>
      </c>
      <c r="J19" s="64">
        <v>0.12</v>
      </c>
      <c r="K19" s="30">
        <f>MROUND(D24+D25,50)</f>
        <v>9300</v>
      </c>
    </row>
    <row r="20" spans="1:11" ht="15" thickBot="1" x14ac:dyDescent="0.4">
      <c r="A20" s="28" t="s">
        <v>98</v>
      </c>
      <c r="B20" s="132">
        <f>IF(DigitaPRIMERA!E2&lt;&gt;"",DigitaPRIMERA!E2,"")</f>
        <v>53</v>
      </c>
      <c r="C20" s="29">
        <f>IF(DigitaPRIMERA!$E$10&lt;&gt;"",DigitaPRIMERA!$E$10,"")</f>
        <v>20300</v>
      </c>
      <c r="D20" s="42">
        <f>IF(C20="",0,C20*J$17)</f>
        <v>2436</v>
      </c>
      <c r="E20" s="29">
        <f>IF(DigitaPRIMERA!$F$10&lt;&gt;"",DigitaPRIMERA!$F$10,"")</f>
        <v>350</v>
      </c>
      <c r="F20" s="42">
        <f>IF(E20="",0,E20*PREMIOS!F19)</f>
        <v>29750</v>
      </c>
      <c r="G20" s="30">
        <f t="shared" si="7"/>
        <v>-11886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17</v>
      </c>
      <c r="C21" s="29">
        <f>IF(DigitaHONDURAS!$C$10&lt;&gt;"",DigitaHONDURAS!$C$10,"")</f>
        <v>1600</v>
      </c>
      <c r="D21" s="42">
        <f>IF(C21="",0,C21*J$18)</f>
        <v>192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1408</v>
      </c>
    </row>
    <row r="22" spans="1:11" x14ac:dyDescent="0.35">
      <c r="A22" s="28" t="s">
        <v>100</v>
      </c>
      <c r="B22" s="132">
        <f>IF(DigitaHONDURAS!E2&lt;&gt;"",DigitaHONDURAS!E2,"")</f>
        <v>92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IF(DigitaHONDURAS!$G$10&lt;&gt;"",DigitaHONDURAS!$G$10,"")</f>
        <v>1100</v>
      </c>
      <c r="D23" s="42">
        <f>IF(C23="",0,C23*J$18)</f>
        <v>132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968</v>
      </c>
    </row>
    <row r="24" spans="1:11" x14ac:dyDescent="0.35">
      <c r="A24" s="28" t="s">
        <v>107</v>
      </c>
      <c r="B24" s="132">
        <f>IF(DigitaDOMINICANA!C2&lt;&gt;"",DigitaDOMINICANA!C2,"")</f>
        <v>16</v>
      </c>
      <c r="C24" s="29">
        <f>IF(DigitaDOMINICANA!$C$10&lt;&gt;"",DigitaDOMINICANA!$C$10,"")</f>
        <v>40500</v>
      </c>
      <c r="D24" s="42">
        <f>IF(C24="",0,C24*J$19)</f>
        <v>4860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-28110</v>
      </c>
    </row>
    <row r="25" spans="1:11" x14ac:dyDescent="0.35">
      <c r="A25" s="28" t="s">
        <v>108</v>
      </c>
      <c r="B25" s="132">
        <f>IF(DigitaDOMINICANA!E2&lt;&gt;"",DigitaDOMINICANA!E2,"")</f>
        <v>49</v>
      </c>
      <c r="C25" s="29">
        <f>IF(DigitaDOMINICANA!$E$10&lt;&gt;"",DigitaDOMINICANA!$E$10,"")</f>
        <v>36800</v>
      </c>
      <c r="D25" s="42">
        <f>IF(C25="",0,C25*J$19)</f>
        <v>4416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32384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945500</v>
      </c>
      <c r="D27" s="68">
        <f t="shared" ref="D27:F27" si="9">SUM(D5:D26)</f>
        <v>111458</v>
      </c>
      <c r="E27" s="68">
        <f t="shared" si="9"/>
        <v>6650</v>
      </c>
      <c r="F27" s="68">
        <f t="shared" si="9"/>
        <v>548250</v>
      </c>
      <c r="G27" s="88">
        <f>SUM(G5:G26)</f>
        <v>285792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5000</v>
      </c>
      <c r="K4" s="231">
        <f t="shared" ref="K4" si="0">D7+D11+D15</f>
        <v>600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IF(DigitaTICA!C11&lt;&gt;"",DigitaTICA!C11,"")</f>
        <v>5000</v>
      </c>
      <c r="D7" s="42">
        <f>IF(C7="",0,C7*J$11)</f>
        <v>600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4400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5000</v>
      </c>
      <c r="D21" s="122">
        <f t="shared" ref="D21:G21" si="5">SUM(D5:D20)</f>
        <v>600</v>
      </c>
      <c r="E21" s="122">
        <f t="shared" si="5"/>
        <v>0</v>
      </c>
      <c r="F21" s="122">
        <f t="shared" si="5"/>
        <v>0</v>
      </c>
      <c r="G21" s="123">
        <f t="shared" si="5"/>
        <v>4400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22800</v>
      </c>
      <c r="K4" s="231">
        <f>D7+D11+D15</f>
        <v>2736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IF(DigitaNICA!C12&lt;&gt;"",DigitaNICA!C12,"")</f>
        <v>12200</v>
      </c>
      <c r="D5" s="42">
        <f>IF(C5="",0,C5*J$12)</f>
        <v>1464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10736</v>
      </c>
      <c r="I5" s="217" t="s">
        <v>37</v>
      </c>
      <c r="J5" s="221">
        <f>SUM(IF(C5="",0,C5),IF(C9="",0,C9),IF(C13="",0,C13),IF(C17="",0,C17))</f>
        <v>16700</v>
      </c>
      <c r="K5" s="225">
        <f t="shared" ref="K5" si="1">D5+D9+D13+D17</f>
        <v>2004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IF(DigitaTICA!C12&lt;&gt;"",DigitaTICA!C12,"")</f>
        <v>12400</v>
      </c>
      <c r="D7" s="42">
        <f>IF(C7="",0,C7*J$11)</f>
        <v>1488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-23088</v>
      </c>
      <c r="I7" s="217" t="s">
        <v>96</v>
      </c>
      <c r="J7" s="223">
        <f>SUM(IF(C19="",0,C19),IF(C20="",0,C20))</f>
        <v>14000</v>
      </c>
      <c r="K7" s="226">
        <f>+D19+D20</f>
        <v>1680</v>
      </c>
      <c r="L7" s="227">
        <f>+F19+F20</f>
        <v>12750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IF(DigitaNICA!E12&lt;&gt;"",DigitaNICA!E12,"")</f>
        <v>4500</v>
      </c>
      <c r="D9" s="42">
        <f>IF(C9="",0,C9*J$12)</f>
        <v>540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3960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IF(DigitaTICA!E12&lt;&gt;"",DigitaTICA!E12,"")</f>
        <v>10400</v>
      </c>
      <c r="D11" s="42">
        <f>IF(C11="",0,C11*J$11)</f>
        <v>1248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9152</v>
      </c>
      <c r="I11" s="60" t="s">
        <v>36</v>
      </c>
      <c r="J11" s="61">
        <v>0.12</v>
      </c>
      <c r="K11" s="62">
        <f>MROUND(D7+D11+D15,50)</f>
        <v>2750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0</v>
      </c>
      <c r="D12" s="42">
        <f>IF(C12="",0,C12*J$13)</f>
        <v>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2000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1700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IF(DigitaPRIMERA!$C$12&lt;&gt;"",DigitaPRIMERA!$C$12,"")</f>
        <v>14000</v>
      </c>
      <c r="D19" s="42">
        <f>IF(C19="",0,C19*J$14)</f>
        <v>1680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-430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54500</v>
      </c>
      <c r="D24" s="68">
        <f t="shared" ref="D24:G24" si="4">SUM(D5:D23)</f>
        <v>6520</v>
      </c>
      <c r="E24" s="68">
        <f t="shared" si="4"/>
        <v>550</v>
      </c>
      <c r="F24" s="68">
        <f t="shared" si="4"/>
        <v>46750</v>
      </c>
      <c r="G24" s="88">
        <f t="shared" si="4"/>
        <v>1230</v>
      </c>
    </row>
    <row r="27" spans="1:7" x14ac:dyDescent="0.35">
      <c r="G27" s="21">
        <v>249984</v>
      </c>
    </row>
    <row r="28" spans="1:7" x14ac:dyDescent="0.35">
      <c r="G28" s="141">
        <f>+G24+G27</f>
        <v>251214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103850</v>
      </c>
      <c r="K4" s="231">
        <f t="shared" ref="K4" si="0">D7+D11+D15</f>
        <v>12462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>
        <f>IF(DigitaNICA!C13&lt;&gt;"",DigitaNICA!C13,"")</f>
        <v>34750</v>
      </c>
      <c r="D5" s="42">
        <f>IF(C5="",0,C5*J$10)</f>
        <v>4170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30580</v>
      </c>
      <c r="I5" s="218" t="s">
        <v>37</v>
      </c>
      <c r="J5" s="232">
        <f>SUM(IF(C5="",0,C5),IF(C9="",0,C9),IF(C13="",0,C13),IF(C17="",0,C17))</f>
        <v>72250</v>
      </c>
      <c r="K5" s="233">
        <f t="shared" ref="K5" si="2">D5+D9+D13+D17</f>
        <v>8670</v>
      </c>
      <c r="L5" s="234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IF(DigitaTICA!C13&lt;&gt;"",DigitaTICA!C13,"")</f>
        <v>28950</v>
      </c>
      <c r="D7" s="42">
        <f>IF(C7="",0,C7*J$9)</f>
        <v>3474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-24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IF(DigitaNICA!E13&lt;&gt;"",DigitaNICA!E13,"")</f>
        <v>27650</v>
      </c>
      <c r="D9" s="42">
        <f>IF(C9="",0,C9*J$10)</f>
        <v>3318</v>
      </c>
      <c r="E9" s="29">
        <f>IF(DigitaNICA!F13&lt;&gt;"",DigitaNICA!F13,"")</f>
        <v>250</v>
      </c>
      <c r="F9" s="133">
        <f>IF(E9="",0,E9*PREMIOS!E9)</f>
        <v>20000</v>
      </c>
      <c r="G9" s="30">
        <f t="shared" si="1"/>
        <v>4332</v>
      </c>
      <c r="I9" s="60" t="s">
        <v>36</v>
      </c>
      <c r="J9" s="61">
        <v>0.12</v>
      </c>
      <c r="K9" s="62">
        <f>MROUND(D7+D11+D15,50)</f>
        <v>12450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8650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IF(DigitaTICA!E13&lt;&gt;"",DigitaTICA!E13,"")</f>
        <v>32950</v>
      </c>
      <c r="D11" s="42">
        <f>IF(C11="",0,C11*J$9)</f>
        <v>3954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28996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IF(DigitaNICA!G13&lt;&gt;"",DigitaNICA!G13,"")</f>
        <v>3800</v>
      </c>
      <c r="D13" s="42">
        <f>IF(C13="",0,C13*J$10)</f>
        <v>456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3344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IF(DigitaTICA!G13&lt;&gt;"",DigitaTICA!G13,"")</f>
        <v>41950</v>
      </c>
      <c r="D15" s="42">
        <f>IF(C15="",0,C15*J$9)</f>
        <v>5034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28416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>
        <f>IF(DigitaNICA!I13&lt;&gt;"",DigitaNICA!I13,"")</f>
        <v>6050</v>
      </c>
      <c r="D17" s="42">
        <f>IF(C17="",0,C17*J$10)</f>
        <v>726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5324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176100</v>
      </c>
      <c r="D19" s="68">
        <f>MROUND(SUM(D5:D18),50)</f>
        <v>21150</v>
      </c>
      <c r="E19" s="68">
        <f>SUM(E5:E18)</f>
        <v>650</v>
      </c>
      <c r="F19" s="68">
        <f>SUM(F5:F18)</f>
        <v>54000</v>
      </c>
      <c r="G19" s="88">
        <f>SUM(G5:G18)</f>
        <v>100968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60400</v>
      </c>
      <c r="K4" s="236">
        <f t="shared" ref="K4" si="0">D7+D11+D15</f>
        <v>9060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>
        <f>IF(DigitaTICA!C14&lt;&gt;"",DigitaTICA!C14,"")</f>
        <v>27400</v>
      </c>
      <c r="D7" s="42">
        <f>IF(C7="",0,C7*J$9)</f>
        <v>4110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23290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IF(DigitaTICA!E14&lt;&gt;"",DigitaTICA!E14,"")</f>
        <v>13000</v>
      </c>
      <c r="D11" s="42">
        <f>IF(C11="",0,C11*J$9)</f>
        <v>1950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11050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IF(DigitaTICA!G14&lt;&gt;"",DigitaTICA!G14,"")</f>
        <v>20000</v>
      </c>
      <c r="D15" s="42">
        <f>IF(C15="",0,C15*J$9)</f>
        <v>3000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17000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60400</v>
      </c>
      <c r="D19" s="68">
        <f>MROUND(SUM(D5:D18),50)</f>
        <v>9050</v>
      </c>
      <c r="E19" s="68">
        <f>SUM(E5:E18)</f>
        <v>0</v>
      </c>
      <c r="F19" s="68">
        <f>SUM(F5:F18)</f>
        <v>0</v>
      </c>
      <c r="G19" s="88">
        <f>SUM(G5:G18)</f>
        <v>51340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61400</v>
      </c>
      <c r="K4" s="231">
        <f>D7+D11+D15</f>
        <v>7368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IF(DigitaNICA!C16&lt;&gt;"",DigitaNICA!C16,"")</f>
        <v>9900</v>
      </c>
      <c r="D5" s="42">
        <f>IF(C5="",0,C5*J$12)</f>
        <v>1188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8712</v>
      </c>
      <c r="I5" s="63" t="s">
        <v>37</v>
      </c>
      <c r="J5" s="225">
        <f>SUM(IF(C5="",0,C5),IF(C9="",0,C9),IF(C13="",0,C13),IF(C17="",0,C17))</f>
        <v>41650</v>
      </c>
      <c r="K5" s="225">
        <f t="shared" ref="K5" si="1">D5+D9+D13+D17</f>
        <v>4998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29">
        <f>IF(DigitaTICA!C16&lt;&gt;"",DigitaTICA!C16,"")</f>
        <v>28450</v>
      </c>
      <c r="D7" s="42">
        <f>IF(C7="",0,C7*J$11)</f>
        <v>3414</v>
      </c>
      <c r="E7" s="29">
        <f>IF(DigitaTICA!D16&lt;&gt;"",DigitaTICA!D16,"")</f>
        <v>100</v>
      </c>
      <c r="F7" s="133">
        <f>IF(E7="",0,E7*PREMIOS!F7)</f>
        <v>8500</v>
      </c>
      <c r="G7" s="30">
        <f t="shared" si="0"/>
        <v>16536</v>
      </c>
      <c r="I7" s="63" t="s">
        <v>96</v>
      </c>
      <c r="J7" s="226">
        <f>SUM(IF(C19="",0,C19),IF(C20="",0,C20))</f>
        <v>2800</v>
      </c>
      <c r="K7" s="226">
        <f>+D19+D20</f>
        <v>336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IF(DigitaNICA!E16&lt;&gt;"",DigitaNICA!E16,"")</f>
        <v>9950</v>
      </c>
      <c r="D9" s="42">
        <f>IF(C9="",0,C9*J$12)</f>
        <v>1194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8756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IF(DigitaTICA!E16&lt;&gt;"",DigitaTICA!E16,"")</f>
        <v>17900</v>
      </c>
      <c r="D11" s="42">
        <f>IF(C11="",0,C11*J$11)</f>
        <v>2148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15752</v>
      </c>
      <c r="I11" s="76" t="s">
        <v>36</v>
      </c>
      <c r="J11" s="77">
        <v>0.12</v>
      </c>
      <c r="K11" s="78">
        <f>MROUND(D7+D11+D15,50)</f>
        <v>7350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5000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>
        <f>IF(DigitaTICA!G16&lt;&gt;"",DigitaTICA!G16,"")</f>
        <v>15050</v>
      </c>
      <c r="D15" s="42">
        <f>IF(C15="",0,C15*J$11)</f>
        <v>1806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13244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>
        <f>IF(DigitaNICA!I16&lt;&gt;"",DigitaNICA!I16,"")</f>
        <v>20800</v>
      </c>
      <c r="D17" s="42">
        <f>IF(C17="",0,C17*J$12)</f>
        <v>2496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2304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IF(DigitaPRIMERA!C16&lt;&gt;"",DigitaPRIMERA!C16,"")</f>
        <v>2800</v>
      </c>
      <c r="D19" s="42">
        <f>IF(C19="",0,C19*J$14)</f>
        <v>336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2464</v>
      </c>
    </row>
    <row r="20" spans="1:7" x14ac:dyDescent="0.35">
      <c r="A20" s="28" t="s">
        <v>98</v>
      </c>
      <c r="B20" s="132">
        <f>IF(DigitaPRIMERA!E2&lt;&gt;"",DigitaPRIMERA!E2,"")</f>
        <v>53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105850</v>
      </c>
      <c r="D24" s="122">
        <f t="shared" ref="D24:G24" si="5">SUM(D5:D23)</f>
        <v>12702</v>
      </c>
      <c r="E24" s="122">
        <f t="shared" si="5"/>
        <v>300</v>
      </c>
      <c r="F24" s="122">
        <f t="shared" si="5"/>
        <v>24500</v>
      </c>
      <c r="G24" s="123">
        <f t="shared" si="5"/>
        <v>68648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497250</v>
      </c>
      <c r="K4" s="231">
        <f t="shared" ref="K4" si="0">D7+D11+D15</f>
        <v>59670</v>
      </c>
      <c r="L4" s="220">
        <f>F7+F11+F15</f>
        <v>497250</v>
      </c>
    </row>
    <row r="5" spans="1:12" x14ac:dyDescent="0.35">
      <c r="A5" s="28" t="s">
        <v>43</v>
      </c>
      <c r="B5" s="132">
        <f>IF(DigitaNICA!C2&lt;&gt;"",DigitaNICA!C2,"")</f>
        <v>45</v>
      </c>
      <c r="C5" s="89">
        <f>IF(DigitaNICA!C17&lt;&gt;"",DigitaNICA!C17,"")</f>
        <v>147200</v>
      </c>
      <c r="D5" s="42">
        <f>IF(C5="",0,C5*J$16)</f>
        <v>17664</v>
      </c>
      <c r="E5" s="89">
        <f>IF(DigitaNICA!D17&lt;&gt;"",DigitaNICA!D17,"")</f>
        <v>2250</v>
      </c>
      <c r="F5" s="42">
        <f>IF(E5="",0,E5*PREMIOS!F5)</f>
        <v>191250</v>
      </c>
      <c r="G5" s="90">
        <f t="shared" ref="G5:G12" si="1">IF(OR(C5="",E5=""),0,C5-D5-F5)</f>
        <v>-61714</v>
      </c>
      <c r="I5" s="217" t="s">
        <v>37</v>
      </c>
      <c r="J5" s="221">
        <f>SUM(IF(C5="",0,C5),IF(C9="",0,C9),IF(C13="",0,C13),IF(C17="",0,C17))</f>
        <v>479050</v>
      </c>
      <c r="K5" s="225">
        <f t="shared" ref="K5" si="2">D5+D9+D13+D17</f>
        <v>57486</v>
      </c>
      <c r="L5" s="222">
        <f>F5+F9+F13+F17</f>
        <v>1105000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70000</v>
      </c>
      <c r="K6" s="226">
        <f t="shared" ref="K6" si="3">+D8+D12+D16</f>
        <v>7000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56</v>
      </c>
      <c r="C7" s="89">
        <f>IF(DigitaTICA!C17&lt;&gt;"",DigitaTICA!C17,"")</f>
        <v>163850</v>
      </c>
      <c r="D7" s="42">
        <f>IF(C7="",0,C7*J$15)</f>
        <v>19662</v>
      </c>
      <c r="E7" s="89">
        <f>IF(DigitaTICA!D17&lt;&gt;"",DigitaTICA!D17,"")</f>
        <v>2250</v>
      </c>
      <c r="F7" s="42">
        <f>IF(E7="",0,E7*PREMIOS!F7)</f>
        <v>191250</v>
      </c>
      <c r="G7" s="90">
        <f t="shared" si="1"/>
        <v>-47062</v>
      </c>
      <c r="I7" s="217" t="s">
        <v>96</v>
      </c>
      <c r="J7" s="223">
        <f>SUM(IF(C19="",0,C19),IF(C20="",0,C20))</f>
        <v>109900</v>
      </c>
      <c r="K7" s="226">
        <f>+D19+D20</f>
        <v>13188</v>
      </c>
      <c r="L7" s="227">
        <f>+F19+F20</f>
        <v>63750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43500</v>
      </c>
      <c r="D8" s="42">
        <f>IF(C8="",0,C8*J$17)</f>
        <v>4350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39150</v>
      </c>
      <c r="I8" s="217" t="s">
        <v>104</v>
      </c>
      <c r="J8" s="223">
        <f>SUM(IF(C21="",0,C21),IF(C22="",0,C22),IF(C23="",0,C23))</f>
        <v>93400</v>
      </c>
      <c r="K8" s="226">
        <f t="shared" ref="K8" si="4">D21+D22+D23</f>
        <v>11208</v>
      </c>
      <c r="L8" s="227">
        <f>F21+F22+F23</f>
        <v>119000</v>
      </c>
    </row>
    <row r="9" spans="1:12" x14ac:dyDescent="0.35">
      <c r="A9" s="28" t="s">
        <v>48</v>
      </c>
      <c r="B9" s="132">
        <f>IF(DigitaNICA!E2&lt;&gt;"",DigitaNICA!E2,"")</f>
        <v>45</v>
      </c>
      <c r="C9" s="89">
        <f>IF(DigitaNICA!E17&lt;&gt;"",DigitaNICA!E17,"")</f>
        <v>78200</v>
      </c>
      <c r="D9" s="42">
        <f>IF(C9="",0,C9*J$16)</f>
        <v>9384</v>
      </c>
      <c r="E9" s="89">
        <f>IF(DigitaNICA!F17&lt;&gt;"",DigitaNICA!F17,"")</f>
        <v>500</v>
      </c>
      <c r="F9" s="42">
        <f>IF(E9="",0,E9*PREMIOS!F9)</f>
        <v>42500</v>
      </c>
      <c r="G9" s="90">
        <f t="shared" si="1"/>
        <v>26316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89">
        <f>IF(DigitaTICA!E17&lt;&gt;"",DigitaTICA!E17,"")</f>
        <v>116000</v>
      </c>
      <c r="D11" s="42">
        <f>IF(C11="",0,C11*J$15)</f>
        <v>13920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102080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10000</v>
      </c>
      <c r="D12" s="42">
        <f>IF(C12="",0,C12*J$17)</f>
        <v>1000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9000</v>
      </c>
    </row>
    <row r="13" spans="1:12" ht="15" thickBot="1" x14ac:dyDescent="0.4">
      <c r="A13" s="28" t="s">
        <v>50</v>
      </c>
      <c r="B13" s="132">
        <f>IF(DigitaNICA!G2&lt;&gt;"",DigitaNICA!G2,"")</f>
        <v>25</v>
      </c>
      <c r="C13" s="89">
        <f>IF(DigitaNICA!G17&lt;&gt;"",DigitaNICA!G17,"")</f>
        <v>77850</v>
      </c>
      <c r="D13" s="42">
        <f>IF(C13="",0,C13*J$16)</f>
        <v>9342</v>
      </c>
      <c r="E13" s="89">
        <f>IF(DigitaNICA!H17&lt;&gt;"",DigitaNICA!H17,"")</f>
        <v>6450</v>
      </c>
      <c r="F13" s="42">
        <f>IF(E13="",0,E13*PREMIOS!F13)</f>
        <v>548250</v>
      </c>
      <c r="G13" s="90">
        <f>IF(OR(C13="",E13=""),0,C13-D13-F13)</f>
        <v>-479742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61</v>
      </c>
      <c r="C15" s="89">
        <f>IF(DigitaTICA!G17&lt;&gt;"",DigitaTICA!G17,"")</f>
        <v>217400</v>
      </c>
      <c r="D15" s="42">
        <f>IF(C15="",0,C15*J$15)</f>
        <v>26088</v>
      </c>
      <c r="E15" s="89">
        <f>IF(DigitaTICA!H17&lt;&gt;"",DigitaTICA!H17,"")</f>
        <v>3600</v>
      </c>
      <c r="F15" s="42">
        <f>IF(E15="",0,E15*PREMIOS!F15)</f>
        <v>306000</v>
      </c>
      <c r="G15" s="90">
        <f t="shared" si="6"/>
        <v>-114688</v>
      </c>
      <c r="I15" s="76" t="s">
        <v>36</v>
      </c>
      <c r="J15" s="77">
        <v>0.12</v>
      </c>
      <c r="K15" s="78">
        <f>MROUND(D7+D11+D15,50)</f>
        <v>59650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16500</v>
      </c>
      <c r="D16" s="42">
        <f>IF(C16="",0,C16*J$17)</f>
        <v>1650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14850</v>
      </c>
      <c r="I16" s="63" t="s">
        <v>37</v>
      </c>
      <c r="J16" s="64">
        <v>0.12</v>
      </c>
      <c r="K16" s="30">
        <f>MROUND(D5+D9+D13+D17,50)</f>
        <v>57500</v>
      </c>
    </row>
    <row r="17" spans="1:11" x14ac:dyDescent="0.35">
      <c r="A17" s="28" t="s">
        <v>52</v>
      </c>
      <c r="B17" s="132">
        <f>IF(DigitaNICA!I2&lt;&gt;"",DigitaNICA!I2,"")</f>
        <v>55</v>
      </c>
      <c r="C17" s="89">
        <f>IF(DigitaNICA!I17&lt;&gt;"",DigitaNICA!I17,"")</f>
        <v>175800</v>
      </c>
      <c r="D17" s="42">
        <f>IF(C17="",0,C17*J$16)</f>
        <v>21096</v>
      </c>
      <c r="E17" s="89">
        <f>IF(DigitaNICA!J17&lt;&gt;"",DigitaNICA!J17,"")</f>
        <v>3800</v>
      </c>
      <c r="F17" s="42">
        <f>IF(E17="",0,E17*PREMIOS!F17)</f>
        <v>323000</v>
      </c>
      <c r="G17" s="90">
        <f t="shared" si="6"/>
        <v>-168296</v>
      </c>
      <c r="I17" s="63" t="s">
        <v>38</v>
      </c>
      <c r="J17" s="64">
        <v>0.1</v>
      </c>
      <c r="K17" s="30">
        <f>MROUND(D6+D8+D10+D12+D14+D16+D18,50)</f>
        <v>7000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13200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IF(DigitaPRIMERA!$C$17&lt;&gt;"",DigitaPRIMERA!$C$17,"")</f>
        <v>62950</v>
      </c>
      <c r="D19" s="42">
        <f>IF(C19="",0,C19*J$18)</f>
        <v>7554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4396</v>
      </c>
      <c r="I19" s="63" t="s">
        <v>104</v>
      </c>
      <c r="J19" s="64">
        <v>0.12</v>
      </c>
      <c r="K19" s="30">
        <f>MROUND(D21+D22+D23,50)</f>
        <v>11200</v>
      </c>
    </row>
    <row r="20" spans="1:11" x14ac:dyDescent="0.35">
      <c r="A20" s="28" t="s">
        <v>98</v>
      </c>
      <c r="B20" s="132">
        <f>IF(DigitaPRIMERA!E2&lt;&gt;"",DigitaPRIMERA!E2,"")</f>
        <v>53</v>
      </c>
      <c r="C20" s="29">
        <f>IF(DigitaPRIMERA!$E$17&lt;&gt;"",DigitaPRIMERA!$E$17,"")</f>
        <v>46950</v>
      </c>
      <c r="D20" s="42">
        <f>IF(C20="",0,C20*J$18)</f>
        <v>5634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28566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>
        <f>IF(DigitaHONDURAS!$C$17&lt;&gt;"",DigitaHONDURAS!$C$17,"")</f>
        <v>53150</v>
      </c>
      <c r="D21" s="42">
        <f>IF(C21="",0,C21*J$19)</f>
        <v>6378</v>
      </c>
      <c r="E21" s="29">
        <f>IF(DigitaHONDURAS!$D$17&lt;&gt;"",DigitaHONDURAS!$D$17,"")</f>
        <v>1150</v>
      </c>
      <c r="F21" s="42">
        <f>IF(E21="",0,E21*PREMIOS!F20)</f>
        <v>97750</v>
      </c>
      <c r="G21" s="30">
        <f t="shared" si="6"/>
        <v>-50978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92</v>
      </c>
      <c r="C22" s="29">
        <f>IF(DigitaHONDURAS!$E$17&lt;&gt;"",DigitaHONDURAS!$E$17,"")</f>
        <v>14500</v>
      </c>
      <c r="D22" s="42">
        <f>IF(C22="",0,C22*J$19)</f>
        <v>1740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12760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IF(DigitaHONDURAS!$G$17&lt;&gt;"",DigitaHONDURAS!$G$17,"")</f>
        <v>25750</v>
      </c>
      <c r="D23" s="42">
        <f>IF(C23="",0,C23*J$19)</f>
        <v>3090</v>
      </c>
      <c r="E23" s="29">
        <f>IF(DigitaHONDURAS!$H$17&lt;&gt;"",DigitaHONDURAS!$H$17,"")</f>
        <v>250</v>
      </c>
      <c r="F23" s="42">
        <f>IF(E23="",0,E23*PREMIOS!F20)</f>
        <v>21250</v>
      </c>
      <c r="G23" s="30">
        <f t="shared" si="6"/>
        <v>1410</v>
      </c>
    </row>
    <row r="24" spans="1:11" x14ac:dyDescent="0.35">
      <c r="A24" s="28" t="s">
        <v>102</v>
      </c>
      <c r="B24" s="132">
        <f>IF(DigitaDOMINICANA!C2&lt;&gt;"",DigitaDOMINICANA!C2,"")</f>
        <v>16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1249600</v>
      </c>
      <c r="D27" s="68">
        <f t="shared" ref="D27:G27" si="7">SUM(D5:D26)</f>
        <v>148552</v>
      </c>
      <c r="E27" s="68">
        <f t="shared" si="7"/>
        <v>21000</v>
      </c>
      <c r="F27" s="68">
        <f t="shared" si="7"/>
        <v>1785000</v>
      </c>
      <c r="G27" s="88">
        <f t="shared" si="7"/>
        <v>-683952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202950</v>
      </c>
      <c r="K4" s="231">
        <f t="shared" ref="K4" si="0">D7+D11+D15</f>
        <v>24354</v>
      </c>
      <c r="L4" s="220">
        <f>F7+F11+F15</f>
        <v>246500</v>
      </c>
    </row>
    <row r="5" spans="1:12" x14ac:dyDescent="0.35">
      <c r="A5" s="28" t="str">
        <f>+Vendedor1!A5</f>
        <v>Nica 11am</v>
      </c>
      <c r="B5" s="132">
        <f>IF(DigitaNICA!C2&lt;&gt;"",DigitaNICA!C2,"")</f>
        <v>45</v>
      </c>
      <c r="C5" s="29">
        <f>IF(DigitaNICA!C18&lt;&gt;"",DigitaNICA!C18,"")</f>
        <v>49150</v>
      </c>
      <c r="D5" s="42">
        <f>IF(C5="",0,C5*J$16)</f>
        <v>5898</v>
      </c>
      <c r="E5" s="29">
        <f>IF(DigitaNICA!D18&lt;&gt;"",DigitaNICA!D18,"")</f>
        <v>350</v>
      </c>
      <c r="F5" s="42">
        <f>IF(E5="",0,E5*PREMIOS!F5)</f>
        <v>29750</v>
      </c>
      <c r="G5" s="30">
        <f t="shared" ref="G5:G12" si="1">IF(OR(C5="",E5=""),0,C5-D5-F5)</f>
        <v>13502</v>
      </c>
      <c r="I5" s="217" t="s">
        <v>37</v>
      </c>
      <c r="J5" s="221">
        <f>SUM(IF(C5="",0,C5),IF(C9="",0,C9),IF(C13="",0,C13),IF(C17="",0,C17))</f>
        <v>168250</v>
      </c>
      <c r="K5" s="225">
        <f t="shared" ref="K5" si="2">D5+D9+D13+D17</f>
        <v>20190</v>
      </c>
      <c r="L5" s="222">
        <f>F5+F9+F13+F17</f>
        <v>165750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46250</v>
      </c>
      <c r="K6" s="226">
        <f t="shared" ref="K6" si="3">+D8+D12+D16</f>
        <v>4625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56</v>
      </c>
      <c r="C7" s="29">
        <f>IF(DigitaTICA!C18&lt;&gt;"",DigitaTICA!C18,"")</f>
        <v>62650</v>
      </c>
      <c r="D7" s="42">
        <f>IF(C7="",0,C7*J$15)</f>
        <v>7518</v>
      </c>
      <c r="E7" s="29">
        <f>IF(DigitaTICA!D18&lt;&gt;"",DigitaTICA!D18,"")</f>
        <v>750</v>
      </c>
      <c r="F7" s="42">
        <f>IF(E7="",0,E7*PREMIOS!F7)</f>
        <v>63750</v>
      </c>
      <c r="G7" s="30">
        <f t="shared" si="1"/>
        <v>-8618</v>
      </c>
      <c r="I7" s="217" t="s">
        <v>96</v>
      </c>
      <c r="J7" s="223">
        <f>SUM(IF(C19="",0,C19),IF(C20="",0,C20))</f>
        <v>88350</v>
      </c>
      <c r="K7" s="226">
        <f>+D19+D20</f>
        <v>10602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18200</v>
      </c>
      <c r="D8" s="42">
        <f>IF(C8="",0,C8*J$17)</f>
        <v>1820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16380</v>
      </c>
      <c r="I8" s="217" t="s">
        <v>104</v>
      </c>
      <c r="J8" s="223">
        <f>SUM(IF(C21="",0,C21),IF(C22="",0,C22),IF(C23="",0,C23))</f>
        <v>30350</v>
      </c>
      <c r="K8" s="226">
        <f t="shared" ref="K8" si="4">D21+D22+D23</f>
        <v>3642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45</v>
      </c>
      <c r="C9" s="29">
        <f>IF(DigitaNICA!E18&lt;&gt;"",DigitaNICA!E18,"")</f>
        <v>57150</v>
      </c>
      <c r="D9" s="42">
        <f>IF(C9="",0,C9*J$16)</f>
        <v>6858</v>
      </c>
      <c r="E9" s="29">
        <f>IF(DigitaNICA!F18&lt;&gt;"",DigitaNICA!F18,"")</f>
        <v>1100</v>
      </c>
      <c r="F9" s="42">
        <f>IF(E9="",0,E9*PREMIOS!F9)</f>
        <v>93500</v>
      </c>
      <c r="G9" s="30">
        <f t="shared" si="1"/>
        <v>-43208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IF(DigitaTICA!E18&lt;&gt;"",DigitaTICA!E18,"")</f>
        <v>68250</v>
      </c>
      <c r="D11" s="42">
        <f>IF(C11="",0,C11*J$15)</f>
        <v>8190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60060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19550</v>
      </c>
      <c r="D12" s="42">
        <f>IF(C12="",0,C12*J$17)</f>
        <v>1955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17595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25</v>
      </c>
      <c r="C13" s="29">
        <f>IF(DigitaNICA!G18&lt;&gt;"",DigitaNICA!G18,"")</f>
        <v>46900</v>
      </c>
      <c r="D13" s="42">
        <f>IF(C13="",0,C13*J$16)</f>
        <v>5628</v>
      </c>
      <c r="E13" s="29">
        <f>IF(DigitaNICA!H18&lt;&gt;"",DigitaNICA!H18,"")</f>
        <v>50</v>
      </c>
      <c r="F13" s="42">
        <f>IF(E13="",0,E13*PREMIOS!F13)</f>
        <v>4250</v>
      </c>
      <c r="G13" s="30">
        <f>IF(OR(C13="",E13=""),0,C13-D13-F13)</f>
        <v>37022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61</v>
      </c>
      <c r="C15" s="29">
        <f>IF(DigitaTICA!G18&lt;&gt;"",DigitaTICA!G18,"")</f>
        <v>72050</v>
      </c>
      <c r="D15" s="42">
        <f>IF(C15="",0,C15*J$15)</f>
        <v>8646</v>
      </c>
      <c r="E15" s="29">
        <f>IF(DigitaTICA!H18&lt;&gt;"",DigitaTICA!H18,"")</f>
        <v>2150</v>
      </c>
      <c r="F15" s="42">
        <f>IF(E15="",0,E15*PREMIOS!F15)</f>
        <v>182750</v>
      </c>
      <c r="G15" s="30">
        <f t="shared" si="6"/>
        <v>-119346</v>
      </c>
      <c r="I15" s="76" t="s">
        <v>36</v>
      </c>
      <c r="J15" s="77">
        <v>0.12</v>
      </c>
      <c r="K15" s="78">
        <f>MROUND(D7+D11+D15,50)</f>
        <v>24350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8500</v>
      </c>
      <c r="D16" s="42">
        <f>IF(C16="",0,C16*J$17)</f>
        <v>850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7650</v>
      </c>
      <c r="I16" s="63" t="s">
        <v>37</v>
      </c>
      <c r="J16" s="64">
        <v>0.12</v>
      </c>
      <c r="K16" s="30">
        <f>MROUND(D5+D9+D13+D17,50)</f>
        <v>20200</v>
      </c>
    </row>
    <row r="17" spans="1:11" x14ac:dyDescent="0.35">
      <c r="A17" s="28" t="str">
        <f>+Vendedor1!A17</f>
        <v>Nica 9pm</v>
      </c>
      <c r="B17" s="132">
        <f>IF(DigitaNICA!I2&lt;&gt;"",DigitaNICA!I2,"")</f>
        <v>55</v>
      </c>
      <c r="C17" s="29">
        <f>IF(DigitaNICA!I18&lt;&gt;"",DigitaNICA!I18,"")</f>
        <v>15050</v>
      </c>
      <c r="D17" s="42">
        <f>IF(C17="",0,C17*J$16)</f>
        <v>1806</v>
      </c>
      <c r="E17" s="29">
        <f>IF(DigitaNICA!J18&lt;&gt;"",DigitaNICA!J18,"")</f>
        <v>450</v>
      </c>
      <c r="F17" s="42">
        <f>IF(E17="",0,E17*PREMIOS!F17)</f>
        <v>38250</v>
      </c>
      <c r="G17" s="30">
        <f t="shared" si="6"/>
        <v>-25006</v>
      </c>
      <c r="I17" s="63" t="s">
        <v>38</v>
      </c>
      <c r="J17" s="64">
        <v>0.1</v>
      </c>
      <c r="K17" s="30">
        <f>MROUND(D6+D8+D10+D12+D14+D16+D18,50)</f>
        <v>4650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10600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IF(DigitaPRIMERA!$C$18&lt;&gt;"",DigitaPRIMERA!$C$18,"")</f>
        <v>47700</v>
      </c>
      <c r="D19" s="42">
        <f>IF(C19="",0,C19*J$18)</f>
        <v>5724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41976</v>
      </c>
      <c r="I19" s="63" t="s">
        <v>104</v>
      </c>
      <c r="J19" s="64">
        <v>0.12</v>
      </c>
      <c r="K19" s="30">
        <f>MROUND(D21+D22+D23,50)</f>
        <v>3650</v>
      </c>
    </row>
    <row r="20" spans="1:11" x14ac:dyDescent="0.35">
      <c r="A20" s="28" t="s">
        <v>98</v>
      </c>
      <c r="B20" s="132">
        <f>IF(DigitaPRIMERA!E2&lt;&gt;"",DigitaPRIMERA!E2,"")</f>
        <v>53</v>
      </c>
      <c r="C20" s="29">
        <f>IF(DigitaPRIMERA!$E$18&lt;&gt;"",DigitaPRIMERA!$E$18,"")</f>
        <v>40650</v>
      </c>
      <c r="D20" s="42">
        <f>IF(C20="",0,C20*J$18)</f>
        <v>4878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35772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>
        <f>IF(DigitaHONDURAS!$C$18&lt;&gt;"",DigitaHONDURAS!$C$18,"")</f>
        <v>14800</v>
      </c>
      <c r="D21" s="42">
        <f>IF(C21="",0,C21*J$19)</f>
        <v>1776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13024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92</v>
      </c>
      <c r="C22" s="29">
        <f>IF(DigitaHONDURAS!$E$18&lt;&gt;"",DigitaHONDURAS!$E$18,"")</f>
        <v>4000</v>
      </c>
      <c r="D22" s="42">
        <f>IF(C22="",0,C22*J$19)</f>
        <v>480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IF(DigitaHONDURAS!$G$18&lt;&gt;"",DigitaHONDURAS!$G$18,"")</f>
        <v>11550</v>
      </c>
      <c r="D23" s="42">
        <f>IF(C23="",0,C23*J$19)</f>
        <v>1386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-2586</v>
      </c>
    </row>
    <row r="24" spans="1:11" x14ac:dyDescent="0.35">
      <c r="A24" s="28" t="s">
        <v>102</v>
      </c>
      <c r="B24" s="132">
        <f>IF(DigitaDOMINICANA!C2&lt;&gt;"",DigitaDOMINICANA!C2,"")</f>
        <v>16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536150</v>
      </c>
      <c r="D27" s="68">
        <f t="shared" ref="D27:G27" si="7">SUM(D5:D26)</f>
        <v>63413</v>
      </c>
      <c r="E27" s="68">
        <f t="shared" si="7"/>
        <v>5200</v>
      </c>
      <c r="F27" s="68">
        <f t="shared" si="7"/>
        <v>425000</v>
      </c>
      <c r="G27" s="88">
        <f t="shared" si="7"/>
        <v>47737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1250</v>
      </c>
      <c r="K4" s="56">
        <f>SUM(F5,F7,F9,F11,F13,F15,F17)</f>
        <v>106250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>
        <f>IF(DigitaNICA!H27&lt;&gt;"",DigitaNICA!H27,"")</f>
        <v>1250</v>
      </c>
      <c r="F13" s="42">
        <f>IF(E13="",0,E13*PREMIOS!F13)</f>
        <v>106250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1250</v>
      </c>
      <c r="F27" s="68">
        <f t="shared" si="2"/>
        <v>106250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56</v>
      </c>
      <c r="D2" s="268"/>
      <c r="E2" s="267">
        <f>IF(PREMIOS!$B11="","",PREMIOS!$B11)</f>
        <v>71</v>
      </c>
      <c r="F2" s="268"/>
      <c r="G2" s="267">
        <f>IF(PREMIOS!$B15="","",PREMIOS!$B15)</f>
        <v>61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60450</v>
      </c>
      <c r="D4" s="78">
        <v>300</v>
      </c>
      <c r="E4" s="189">
        <v>37650</v>
      </c>
      <c r="F4" s="78">
        <f t="shared" ref="D4:H27" si="0">IF(E4="","",0)</f>
        <v>0</v>
      </c>
      <c r="G4" s="189">
        <v>77950</v>
      </c>
      <c r="H4" s="78">
        <v>500</v>
      </c>
      <c r="J4" s="42">
        <f t="shared" ref="J4:J8" si="1">+C4+E4+G4</f>
        <v>176050</v>
      </c>
      <c r="K4" s="42">
        <f>IF(D4="",0,IF(F4="",D4,IF(H4="",D4+F4,D4+F4+H4)))</f>
        <v>800</v>
      </c>
    </row>
    <row r="5" spans="1:11" x14ac:dyDescent="0.35">
      <c r="A5" s="47">
        <v>2</v>
      </c>
      <c r="B5" s="178" t="str">
        <f>Vendedor2!$B$2</f>
        <v>PUESTO 2</v>
      </c>
      <c r="C5" s="180">
        <v>50700</v>
      </c>
      <c r="D5" s="30">
        <f t="shared" si="0"/>
        <v>0</v>
      </c>
      <c r="E5" s="180">
        <v>30400</v>
      </c>
      <c r="F5" s="30">
        <f t="shared" si="0"/>
        <v>0</v>
      </c>
      <c r="G5" s="180">
        <v>63500</v>
      </c>
      <c r="H5" s="30">
        <v>500</v>
      </c>
      <c r="J5" s="42">
        <f t="shared" si="1"/>
        <v>144600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67550</v>
      </c>
      <c r="D8" s="30">
        <v>500</v>
      </c>
      <c r="E8" s="180">
        <v>55400</v>
      </c>
      <c r="F8" s="30">
        <v>500</v>
      </c>
      <c r="G8" s="180">
        <v>65700</v>
      </c>
      <c r="H8" s="30">
        <v>1000</v>
      </c>
      <c r="J8" s="42">
        <f t="shared" si="1"/>
        <v>188650</v>
      </c>
      <c r="K8" s="42">
        <f t="shared" si="2"/>
        <v>2000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45750+73000</f>
        <v>118750</v>
      </c>
      <c r="D10" s="30">
        <v>200</v>
      </c>
      <c r="E10" s="180">
        <f>43800+92700</f>
        <v>136500</v>
      </c>
      <c r="F10" s="30">
        <v>100</v>
      </c>
      <c r="G10" s="180">
        <f>48950+100350</f>
        <v>149300</v>
      </c>
      <c r="H10" s="30">
        <v>550</v>
      </c>
      <c r="J10" s="42">
        <f t="shared" si="3"/>
        <v>404550</v>
      </c>
      <c r="K10" s="42">
        <f t="shared" si="2"/>
        <v>850</v>
      </c>
    </row>
    <row r="11" spans="1:11" x14ac:dyDescent="0.35">
      <c r="A11" s="47">
        <v>8</v>
      </c>
      <c r="B11" s="178" t="str">
        <f>Vendedor8!$B$2</f>
        <v>ISA</v>
      </c>
      <c r="C11" s="180">
        <v>5000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12400</v>
      </c>
      <c r="D12" s="30">
        <v>400</v>
      </c>
      <c r="E12" s="180">
        <v>10400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22800</v>
      </c>
      <c r="K12" s="42">
        <f t="shared" si="2"/>
        <v>400</v>
      </c>
    </row>
    <row r="13" spans="1:11" x14ac:dyDescent="0.35">
      <c r="A13" s="47">
        <v>10</v>
      </c>
      <c r="B13" s="178" t="str">
        <f>Vendedor10!$B$2</f>
        <v>MARIALIZ</v>
      </c>
      <c r="C13" s="180">
        <v>28950</v>
      </c>
      <c r="D13" s="30">
        <v>300</v>
      </c>
      <c r="E13" s="180">
        <v>32950</v>
      </c>
      <c r="F13" s="30">
        <f t="shared" si="0"/>
        <v>0</v>
      </c>
      <c r="G13" s="180">
        <v>41950</v>
      </c>
      <c r="H13" s="30">
        <v>100</v>
      </c>
      <c r="J13" s="42">
        <f t="shared" si="3"/>
        <v>103850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27400</v>
      </c>
      <c r="D14" s="30">
        <f t="shared" si="0"/>
        <v>0</v>
      </c>
      <c r="E14" s="180">
        <v>13000</v>
      </c>
      <c r="F14" s="30">
        <f t="shared" si="0"/>
        <v>0</v>
      </c>
      <c r="G14" s="180">
        <v>20000</v>
      </c>
      <c r="H14" s="30">
        <f t="shared" si="0"/>
        <v>0</v>
      </c>
      <c r="J14" s="42">
        <f t="shared" si="3"/>
        <v>60400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28450</v>
      </c>
      <c r="D16" s="30">
        <v>100</v>
      </c>
      <c r="E16" s="180">
        <v>17900</v>
      </c>
      <c r="F16" s="30">
        <f t="shared" si="0"/>
        <v>0</v>
      </c>
      <c r="G16" s="180">
        <v>15050</v>
      </c>
      <c r="H16" s="30">
        <f t="shared" si="0"/>
        <v>0</v>
      </c>
      <c r="J16" s="42">
        <f t="shared" si="3"/>
        <v>61400</v>
      </c>
      <c r="K16" s="42">
        <f t="shared" si="2"/>
        <v>100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111800+52050</f>
        <v>163850</v>
      </c>
      <c r="D17" s="30">
        <f>2250+0</f>
        <v>2250</v>
      </c>
      <c r="E17" s="180">
        <f>104900+11100</f>
        <v>116000</v>
      </c>
      <c r="F17" s="30">
        <f t="shared" si="0"/>
        <v>0</v>
      </c>
      <c r="G17" s="180">
        <f>193800+23600</f>
        <v>217400</v>
      </c>
      <c r="H17" s="30">
        <f>3600+0</f>
        <v>3600</v>
      </c>
      <c r="J17" s="42">
        <f t="shared" si="3"/>
        <v>497250</v>
      </c>
      <c r="K17" s="42">
        <f t="shared" si="2"/>
        <v>5850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40500+22150</f>
        <v>62650</v>
      </c>
      <c r="D18" s="30">
        <f>550+200</f>
        <v>750</v>
      </c>
      <c r="E18" s="180">
        <f>45700+22550</f>
        <v>68250</v>
      </c>
      <c r="F18" s="30">
        <f t="shared" si="0"/>
        <v>0</v>
      </c>
      <c r="G18" s="180">
        <f>56400+15650</f>
        <v>72050</v>
      </c>
      <c r="H18" s="30">
        <f>2150+0</f>
        <v>2150</v>
      </c>
      <c r="J18" s="42">
        <f t="shared" si="3"/>
        <v>202950</v>
      </c>
      <c r="K18" s="42">
        <f t="shared" si="2"/>
        <v>2900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626150</v>
      </c>
      <c r="D32" s="44">
        <f t="shared" si="6"/>
        <v>4800</v>
      </c>
      <c r="E32" s="43">
        <f t="shared" si="6"/>
        <v>518450</v>
      </c>
      <c r="F32" s="44">
        <f t="shared" si="6"/>
        <v>600</v>
      </c>
      <c r="G32" s="43">
        <f t="shared" si="6"/>
        <v>722900</v>
      </c>
      <c r="H32" s="44">
        <f t="shared" si="6"/>
        <v>8400</v>
      </c>
      <c r="J32" s="95">
        <f>SUM(J4:J31)</f>
        <v>1867500</v>
      </c>
      <c r="K32" s="95"/>
    </row>
    <row r="33" spans="2:8" x14ac:dyDescent="0.35">
      <c r="D33" s="99">
        <f>+D32*85</f>
        <v>408000</v>
      </c>
      <c r="F33" s="99">
        <f>+F32*85</f>
        <v>51000</v>
      </c>
      <c r="H33" s="99">
        <f>+H32*85</f>
        <v>714000</v>
      </c>
    </row>
    <row r="34" spans="2:8" x14ac:dyDescent="0.35">
      <c r="B34" s="247" t="s">
        <v>149</v>
      </c>
      <c r="C34" s="43">
        <f t="shared" ref="C34:H34" si="7">+C4+C5+C6+C8+C13</f>
        <v>207650</v>
      </c>
      <c r="D34" s="43" t="e">
        <f t="shared" si="7"/>
        <v>#VALUE!</v>
      </c>
      <c r="E34" s="43">
        <f t="shared" si="7"/>
        <v>156400</v>
      </c>
      <c r="F34" s="43" t="e">
        <f t="shared" si="7"/>
        <v>#VALUE!</v>
      </c>
      <c r="G34" s="43">
        <f t="shared" si="7"/>
        <v>249100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258900</v>
      </c>
      <c r="D35" s="43" t="e">
        <f t="shared" ref="D35:H35" si="8">+D11+D14+D15+D17+D18</f>
        <v>#VALUE!</v>
      </c>
      <c r="E35" s="43">
        <f t="shared" si="8"/>
        <v>197250</v>
      </c>
      <c r="F35" s="43" t="e">
        <f t="shared" si="8"/>
        <v>#VALUE!</v>
      </c>
      <c r="G35" s="43">
        <f t="shared" si="8"/>
        <v>309450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131150</v>
      </c>
      <c r="D36" s="43" t="e">
        <f t="shared" ref="D36:H36" si="9">+D10+D12+D27</f>
        <v>#VALUE!</v>
      </c>
      <c r="E36" s="43">
        <f t="shared" si="9"/>
        <v>146900</v>
      </c>
      <c r="F36" s="43" t="e">
        <f t="shared" si="9"/>
        <v>#VALUE!</v>
      </c>
      <c r="G36" s="43">
        <f t="shared" si="9"/>
        <v>149300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4"/>
  <sheetViews>
    <sheetView showGridLines="0" zoomScale="90" zoomScaleNormal="90" workbookViewId="0">
      <selection activeCell="H32" sqref="H3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45</v>
      </c>
      <c r="D2" s="268"/>
      <c r="E2" s="267">
        <f>IF(PREMIOS!$B9="","",PREMIOS!$B9)</f>
        <v>45</v>
      </c>
      <c r="F2" s="268"/>
      <c r="G2" s="267">
        <f>IF(PREMIOS!$B13="","",PREMIOS!$B13)</f>
        <v>25</v>
      </c>
      <c r="H2" s="268"/>
      <c r="I2" s="267">
        <f>IF(PREMIOS!$B17="","",PREMIOS!$B17)</f>
        <v>55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22650</v>
      </c>
      <c r="D4" s="78">
        <f t="shared" ref="D4:J27" si="0">IF(C4="","",0)</f>
        <v>0</v>
      </c>
      <c r="E4" s="206">
        <v>5450</v>
      </c>
      <c r="F4" s="78">
        <f t="shared" si="0"/>
        <v>0</v>
      </c>
      <c r="G4" s="189">
        <v>3250</v>
      </c>
      <c r="H4" s="78">
        <f t="shared" ref="H4:H26" si="1">IF(G4="","",0)</f>
        <v>0</v>
      </c>
      <c r="I4" s="189">
        <v>2650</v>
      </c>
      <c r="J4" s="78">
        <f t="shared" si="0"/>
        <v>0</v>
      </c>
      <c r="L4" s="42">
        <f t="shared" ref="L4:L8" si="2">+C4+E4+G4+I4</f>
        <v>34000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39800</v>
      </c>
      <c r="D5" s="30">
        <f t="shared" si="0"/>
        <v>0</v>
      </c>
      <c r="E5" s="207">
        <v>22600</v>
      </c>
      <c r="F5" s="30">
        <f t="shared" si="0"/>
        <v>0</v>
      </c>
      <c r="G5" s="180">
        <v>9600</v>
      </c>
      <c r="H5" s="30">
        <v>1000</v>
      </c>
      <c r="I5" s="180"/>
      <c r="J5" s="30" t="str">
        <f t="shared" ref="J5:J27" si="3">IF(I5="","",0)</f>
        <v/>
      </c>
      <c r="L5" s="42">
        <f t="shared" si="2"/>
        <v>72000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72250</v>
      </c>
      <c r="D8" s="30">
        <v>600</v>
      </c>
      <c r="E8" s="207">
        <v>43100</v>
      </c>
      <c r="F8" s="30">
        <v>250</v>
      </c>
      <c r="G8" s="180">
        <v>5500</v>
      </c>
      <c r="H8" s="30">
        <f t="shared" si="1"/>
        <v>0</v>
      </c>
      <c r="I8" s="180">
        <v>29800</v>
      </c>
      <c r="J8" s="30">
        <v>500</v>
      </c>
      <c r="L8" s="42">
        <f t="shared" si="2"/>
        <v>150650</v>
      </c>
      <c r="M8" s="42">
        <f t="shared" si="4"/>
        <v>1350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43500+29450</f>
        <v>72950</v>
      </c>
      <c r="D10" s="30">
        <v>300</v>
      </c>
      <c r="E10" s="207">
        <f>36100+39050</f>
        <v>75150</v>
      </c>
      <c r="F10" s="30">
        <v>400</v>
      </c>
      <c r="G10" s="180">
        <f>29050+26500</f>
        <v>55550</v>
      </c>
      <c r="H10" s="30">
        <f>550+0</f>
        <v>550</v>
      </c>
      <c r="I10" s="180">
        <f>52350+59900</f>
        <v>112250</v>
      </c>
      <c r="J10" s="30">
        <f>1850+1400</f>
        <v>3250</v>
      </c>
      <c r="L10" s="42">
        <f t="shared" si="5"/>
        <v>315900</v>
      </c>
      <c r="M10" s="42">
        <f t="shared" si="4"/>
        <v>4500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12200</v>
      </c>
      <c r="D12" s="30">
        <f t="shared" si="0"/>
        <v>0</v>
      </c>
      <c r="E12" s="207">
        <v>4500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16700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34750</v>
      </c>
      <c r="D13" s="30">
        <f t="shared" si="0"/>
        <v>0</v>
      </c>
      <c r="E13" s="207">
        <v>27650</v>
      </c>
      <c r="F13" s="30">
        <v>250</v>
      </c>
      <c r="G13" s="180">
        <v>3800</v>
      </c>
      <c r="H13" s="30">
        <f t="shared" si="0"/>
        <v>0</v>
      </c>
      <c r="I13" s="180">
        <v>6050</v>
      </c>
      <c r="J13" s="30">
        <f t="shared" si="0"/>
        <v>0</v>
      </c>
      <c r="L13" s="42">
        <f t="shared" si="5"/>
        <v>72250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9900</v>
      </c>
      <c r="D16" s="30">
        <f t="shared" si="0"/>
        <v>0</v>
      </c>
      <c r="E16" s="207">
        <v>9950</v>
      </c>
      <c r="F16" s="30">
        <f t="shared" si="0"/>
        <v>0</v>
      </c>
      <c r="G16" s="180">
        <v>1000</v>
      </c>
      <c r="H16" s="30">
        <f t="shared" si="0"/>
        <v>0</v>
      </c>
      <c r="I16" s="180">
        <v>20800</v>
      </c>
      <c r="J16" s="30">
        <v>200</v>
      </c>
      <c r="L16" s="42">
        <f t="shared" si="5"/>
        <v>41650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147200</v>
      </c>
      <c r="D17" s="30">
        <v>2250</v>
      </c>
      <c r="E17" s="207">
        <v>78200</v>
      </c>
      <c r="F17" s="30">
        <v>500</v>
      </c>
      <c r="G17" s="180">
        <v>77850</v>
      </c>
      <c r="H17" s="30">
        <v>6450</v>
      </c>
      <c r="I17" s="180">
        <v>175800</v>
      </c>
      <c r="J17" s="30">
        <v>3800</v>
      </c>
      <c r="L17" s="42">
        <f t="shared" si="5"/>
        <v>479050</v>
      </c>
      <c r="M17" s="42">
        <f t="shared" si="4"/>
        <v>13000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49150</v>
      </c>
      <c r="D18" s="30">
        <v>350</v>
      </c>
      <c r="E18" s="207">
        <v>57150</v>
      </c>
      <c r="F18" s="30">
        <v>1100</v>
      </c>
      <c r="G18" s="180">
        <v>46900</v>
      </c>
      <c r="H18" s="30">
        <v>50</v>
      </c>
      <c r="I18" s="180">
        <v>15050</v>
      </c>
      <c r="J18" s="30">
        <v>450</v>
      </c>
      <c r="L18" s="42">
        <f t="shared" si="5"/>
        <v>168250</v>
      </c>
      <c r="M18" s="42">
        <f t="shared" si="4"/>
        <v>1950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>
        <v>1250</v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460850</v>
      </c>
      <c r="D32" s="44">
        <f t="shared" si="7"/>
        <v>3500</v>
      </c>
      <c r="E32" s="43">
        <f t="shared" si="7"/>
        <v>323750</v>
      </c>
      <c r="F32" s="44">
        <f t="shared" si="7"/>
        <v>2500</v>
      </c>
      <c r="G32" s="43">
        <f t="shared" si="7"/>
        <v>203450</v>
      </c>
      <c r="H32" s="44">
        <f t="shared" si="7"/>
        <v>9300</v>
      </c>
      <c r="I32" s="43">
        <f t="shared" si="7"/>
        <v>362400</v>
      </c>
      <c r="J32" s="44">
        <f t="shared" si="7"/>
        <v>8200</v>
      </c>
      <c r="L32" s="95">
        <f>SUM(L9:L31)</f>
        <v>1093800</v>
      </c>
      <c r="M32" s="95">
        <f>SUM(M9:M31)</f>
        <v>19450</v>
      </c>
    </row>
    <row r="34" spans="8:8" x14ac:dyDescent="0.35">
      <c r="H34" s="43">
        <f>+H32-9300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56 Blanca</v>
      </c>
      <c r="D2" s="268"/>
      <c r="E2" s="267" t="str">
        <f>IF(E33=0,"",CONCATENATE(PREMIOS!$B11," ",PREMIOS!$B12))</f>
        <v>71 Roja</v>
      </c>
      <c r="F2" s="268"/>
      <c r="G2" s="267" t="str">
        <f>IF(G33=0,"",CONCATENATE(PREMIOS!$B15," ",PREMIOS!$B16))</f>
        <v>61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22300+8750</f>
        <v>31050</v>
      </c>
      <c r="D10" s="30">
        <v>200</v>
      </c>
      <c r="E10" s="180">
        <f>19800+9150</f>
        <v>28950</v>
      </c>
      <c r="F10" s="30">
        <f t="shared" si="0"/>
        <v>0</v>
      </c>
      <c r="G10" s="180">
        <f>28700+11400</f>
        <v>40100</v>
      </c>
      <c r="H10" s="30">
        <f t="shared" si="0"/>
        <v>0</v>
      </c>
      <c r="J10" s="42">
        <f t="shared" si="3"/>
        <v>100100</v>
      </c>
      <c r="K10" s="42">
        <f t="shared" si="4"/>
        <v>200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>
        <v>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43500</v>
      </c>
      <c r="D17" s="30">
        <f t="shared" si="0"/>
        <v>0</v>
      </c>
      <c r="E17" s="180">
        <v>10000</v>
      </c>
      <c r="F17" s="30">
        <f t="shared" si="0"/>
        <v>0</v>
      </c>
      <c r="G17" s="180">
        <v>16500</v>
      </c>
      <c r="H17" s="30">
        <f t="shared" si="0"/>
        <v>0</v>
      </c>
      <c r="J17" s="42">
        <f t="shared" si="3"/>
        <v>70000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18200</v>
      </c>
      <c r="D18" s="30">
        <v>200</v>
      </c>
      <c r="E18" s="180">
        <v>19550</v>
      </c>
      <c r="F18" s="30">
        <f t="shared" si="0"/>
        <v>0</v>
      </c>
      <c r="G18" s="180">
        <v>8500</v>
      </c>
      <c r="H18" s="30">
        <f t="shared" si="0"/>
        <v>0</v>
      </c>
      <c r="J18" s="42">
        <f t="shared" si="3"/>
        <v>46250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93750</v>
      </c>
      <c r="D33" s="44">
        <f t="shared" si="7"/>
        <v>400</v>
      </c>
      <c r="E33" s="43">
        <f t="shared" si="7"/>
        <v>58500</v>
      </c>
      <c r="F33" s="44">
        <f t="shared" si="7"/>
        <v>0</v>
      </c>
      <c r="G33" s="43">
        <f t="shared" si="7"/>
        <v>65100</v>
      </c>
      <c r="H33" s="44">
        <f t="shared" si="7"/>
        <v>0</v>
      </c>
      <c r="J33" s="45">
        <f>SUM(J4:J32)</f>
        <v>217350</v>
      </c>
      <c r="K33" s="95">
        <f>SUM(K4:K32)</f>
        <v>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94</v>
      </c>
      <c r="D2" s="268"/>
      <c r="E2" s="267">
        <f>IF(PREMIOS!$C19="","",PREMIOS!$C19)</f>
        <v>53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6900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7900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14150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14150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26900</v>
      </c>
      <c r="D8" s="30">
        <f t="shared" si="0"/>
        <v>0</v>
      </c>
      <c r="E8" s="194">
        <v>14150</v>
      </c>
      <c r="F8" s="195">
        <f t="shared" si="1"/>
        <v>0</v>
      </c>
      <c r="H8" s="42">
        <f t="shared" si="2"/>
        <v>41050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10750+13600</f>
        <v>24350</v>
      </c>
      <c r="D10" s="30">
        <f t="shared" si="0"/>
        <v>0</v>
      </c>
      <c r="E10" s="180">
        <v>20300</v>
      </c>
      <c r="F10" s="195">
        <v>350</v>
      </c>
      <c r="H10" s="42">
        <f t="shared" si="2"/>
        <v>44650</v>
      </c>
      <c r="I10" s="42">
        <f t="shared" si="3"/>
        <v>350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14000</v>
      </c>
      <c r="D12" s="30">
        <v>150</v>
      </c>
      <c r="E12" s="194"/>
      <c r="F12" s="30" t="str">
        <f t="shared" si="0"/>
        <v/>
      </c>
      <c r="H12" s="42">
        <f t="shared" si="2"/>
        <v>14000</v>
      </c>
      <c r="I12" s="42">
        <f t="shared" si="3"/>
        <v>150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2800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2800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62950</v>
      </c>
      <c r="D17" s="195">
        <v>600</v>
      </c>
      <c r="E17" s="180">
        <v>46950</v>
      </c>
      <c r="F17" s="30">
        <v>150</v>
      </c>
      <c r="H17" s="42">
        <f t="shared" si="2"/>
        <v>109900</v>
      </c>
      <c r="I17" s="42">
        <f t="shared" si="3"/>
        <v>750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47700</v>
      </c>
      <c r="D18" s="195">
        <f t="shared" si="0"/>
        <v>0</v>
      </c>
      <c r="E18" s="180">
        <v>40650</v>
      </c>
      <c r="F18" s="30">
        <f t="shared" si="0"/>
        <v>0</v>
      </c>
      <c r="H18" s="42">
        <f t="shared" si="2"/>
        <v>88350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199750</v>
      </c>
      <c r="D33" s="44">
        <f>SUM(D4:D32)</f>
        <v>750</v>
      </c>
      <c r="E33" s="43">
        <f>SUM(E4:E32)</f>
        <v>123050</v>
      </c>
      <c r="F33" s="44">
        <f>SUM(F4:F32)</f>
        <v>500</v>
      </c>
      <c r="H33" s="95">
        <f>SUM(H4:H32)</f>
        <v>322800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17</v>
      </c>
      <c r="D2" s="268"/>
      <c r="E2" s="267">
        <f>IF(PREMIOS!$C20="","",PREMIOS!$C20)</f>
        <v>92</v>
      </c>
      <c r="F2" s="268"/>
      <c r="G2" s="267">
        <f>IF(PREMIOS!$D20="","",PREMIOS!$D20)</f>
        <v>28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1600</v>
      </c>
      <c r="D10" s="195">
        <f t="shared" si="0"/>
        <v>0</v>
      </c>
      <c r="E10" s="180">
        <v>300</v>
      </c>
      <c r="F10" s="30">
        <f t="shared" si="0"/>
        <v>0</v>
      </c>
      <c r="G10" s="180">
        <v>1100</v>
      </c>
      <c r="H10" s="195">
        <f t="shared" si="0"/>
        <v>0</v>
      </c>
      <c r="J10" s="42">
        <f t="shared" si="3"/>
        <v>3000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53150</v>
      </c>
      <c r="D17" s="195">
        <v>1150</v>
      </c>
      <c r="E17" s="194">
        <v>14500</v>
      </c>
      <c r="F17" s="195">
        <f t="shared" si="0"/>
        <v>0</v>
      </c>
      <c r="G17" s="194">
        <v>25750</v>
      </c>
      <c r="H17" s="195">
        <v>250</v>
      </c>
      <c r="J17" s="42">
        <f t="shared" si="3"/>
        <v>93400</v>
      </c>
      <c r="K17" s="42">
        <f t="shared" si="4"/>
        <v>1400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14800</v>
      </c>
      <c r="D18" s="195">
        <f t="shared" si="0"/>
        <v>0</v>
      </c>
      <c r="E18" s="180">
        <v>4000</v>
      </c>
      <c r="F18" s="30">
        <f t="shared" si="1"/>
        <v>0</v>
      </c>
      <c r="G18" s="180">
        <v>11550</v>
      </c>
      <c r="H18" s="30">
        <v>150</v>
      </c>
      <c r="J18" s="42">
        <f t="shared" si="3"/>
        <v>30350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69550</v>
      </c>
      <c r="D33" s="44">
        <f t="shared" si="6"/>
        <v>1150</v>
      </c>
      <c r="E33" s="43">
        <f t="shared" si="6"/>
        <v>18800</v>
      </c>
      <c r="F33" s="44">
        <f t="shared" si="6"/>
        <v>0</v>
      </c>
      <c r="G33" s="43">
        <f t="shared" si="6"/>
        <v>38400</v>
      </c>
      <c r="H33" s="44">
        <f t="shared" si="6"/>
        <v>400</v>
      </c>
      <c r="J33" s="45">
        <f>SUM(J4:J32)</f>
        <v>126750</v>
      </c>
      <c r="K33" s="95">
        <f>SUM(K4:K32)</f>
        <v>1550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16</v>
      </c>
      <c r="D2" s="268"/>
      <c r="E2" s="267">
        <f>IF(PREMIOS!$C21="","",PREMIOS!$C21)</f>
        <v>49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40500</v>
      </c>
      <c r="D10" s="30">
        <v>750</v>
      </c>
      <c r="E10" s="180">
        <v>36800</v>
      </c>
      <c r="F10" s="30">
        <f t="shared" si="0"/>
        <v>0</v>
      </c>
      <c r="H10" s="42">
        <f t="shared" si="2"/>
        <v>77300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40500</v>
      </c>
      <c r="D33" s="44">
        <f>SUM(D4:D32)</f>
        <v>750</v>
      </c>
      <c r="E33" s="43">
        <f>SUM(E4:E32)</f>
        <v>36800</v>
      </c>
      <c r="F33" s="44">
        <f>SUM(F4:F32)</f>
        <v>0</v>
      </c>
      <c r="H33" s="45">
        <f>SUM(H4:H32)</f>
        <v>77300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2026-05-23T16:18:50Z</dcterms:modified>
  <dc:language>es-CR</dc:language>
</cp:coreProperties>
</file>
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186" documentId="13_ncr:1_{EB1C27A7-1EBD-4619-B18B-0BCA469E8746}" xr6:coauthVersionLast="47" xr6:coauthVersionMax="47" xr10:uidLastSave="{C3313398-3B68-45B0-9A3D-CF6F6930AF33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0" i="14" l="1"/>
  <c r="B2" i="7"/>
  <c r="B2" i="6"/>
  <c r="B2" i="15"/>
  <c r="B2" i="14"/>
  <c r="B2" i="16"/>
  <c r="B2" i="21"/>
  <c r="B2" i="22"/>
  <c r="I5" i="69"/>
  <c r="K12" i="69"/>
  <c r="H10" i="62"/>
  <c r="G10" i="62"/>
  <c r="J10" i="61"/>
  <c r="I10" i="61"/>
  <c r="H18" i="60"/>
  <c r="G18" i="60"/>
  <c r="H16" i="60"/>
  <c r="H17" i="60"/>
  <c r="G17" i="60"/>
  <c r="H10" i="60"/>
  <c r="G10" i="60"/>
  <c r="H10" i="61"/>
  <c r="G10" i="61"/>
  <c r="H5" i="61"/>
  <c r="H4" i="61"/>
  <c r="E10" i="62"/>
  <c r="F17" i="60"/>
  <c r="E17" i="60"/>
  <c r="F18" i="60"/>
  <c r="E18" i="60"/>
  <c r="E10" i="60"/>
  <c r="E10" i="61"/>
  <c r="C10" i="62"/>
  <c r="D10" i="60"/>
  <c r="C10" i="60"/>
  <c r="D18" i="60"/>
  <c r="C18" i="60"/>
  <c r="D17" i="60"/>
  <c r="C17" i="60"/>
  <c r="C10" i="61"/>
  <c r="D18" i="64" l="1"/>
  <c r="D11" i="65"/>
  <c r="D18" i="61"/>
  <c r="D10" i="61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F15" i="14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H36" i="60" l="1"/>
  <c r="G36" i="60"/>
  <c r="E36" i="60"/>
  <c r="G35" i="60"/>
  <c r="F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6" i="60"/>
  <c r="D15" i="60"/>
  <c r="D11" i="60"/>
  <c r="D35" i="60" s="1"/>
  <c r="D36" i="60"/>
  <c r="D9" i="60"/>
  <c r="D8" i="60"/>
  <c r="D7" i="60"/>
  <c r="D5" i="60"/>
  <c r="D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8" i="65"/>
  <c r="F10" i="62"/>
  <c r="D5" i="61"/>
  <c r="F16" i="61"/>
  <c r="D6" i="60"/>
  <c r="F15" i="60"/>
  <c r="F14" i="60"/>
  <c r="F13" i="60"/>
  <c r="F36" i="60"/>
  <c r="F11" i="60"/>
  <c r="F9" i="60"/>
  <c r="F7" i="60"/>
  <c r="F6" i="60"/>
  <c r="F5" i="60"/>
  <c r="H15" i="60"/>
  <c r="H13" i="60"/>
  <c r="H12" i="60"/>
  <c r="H11" i="60"/>
  <c r="H9" i="60"/>
  <c r="H8" i="60"/>
  <c r="H7" i="60"/>
  <c r="H6" i="60"/>
  <c r="H5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H35" i="60" l="1"/>
  <c r="H34" i="60"/>
  <c r="F34" i="60"/>
  <c r="D34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E11" i="16"/>
  <c r="K6" i="25"/>
  <c r="K6" i="22"/>
  <c r="H17" i="64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6" i="61"/>
  <c r="H15" i="61"/>
  <c r="H14" i="61"/>
  <c r="H12" i="61"/>
  <c r="H11" i="61"/>
  <c r="E13" i="16" s="1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M5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L6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L6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L6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2" i="52"/>
  <c r="D21" i="1"/>
  <c r="Q20" i="52"/>
  <c r="D19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<sst xmlns="http://schemas.openxmlformats.org/spreadsheetml/2006/main" count="1294" uniqueCount="161">
  <si>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</si>
  <si>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</si>
  <si>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</si>
  <si>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</si>
  <si>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</si>
  <si>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</si>
  <si>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</si>
  <si>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</si>
  <si>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</si>
  <si>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</si>
  <si>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</si>
  <si>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</si>
  <si>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</si>
  <si>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</si>
  <si>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</si>
  <si>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</si>
  <si>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</si>
  <si>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</si>
  <si>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</si>
  <si>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</si>
  <si>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</si>
  <si>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</si>
  <si>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</si>
  <si>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</si>
  <si>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</si>
  <si>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</si>
  <si>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</si>
  <si>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</si>
  <si>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</si>
  <si>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</si>
  <si>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</si>
  <si>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</si>
  <si>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</si>
  <si>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</si>
  <si>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</si>
  <si>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</si>
  <si>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</si>
  <si>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</si>
  <si>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</si>
  <si>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</si>
  <si>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</si>
  <si>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</si>
  <si>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</si>
  <si>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</si>
  <si>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</si>
  <si>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</si>
  <si>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</si>
  <si>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</si>
  <si>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</si>
  <si>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</si>
  <si>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</si>
  <si>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</si>
  <si>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</si>
  <si>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</si>
  <si>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</si>
  <si>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</si>
  <si>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</si>
  <si>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</si>
  <si>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</si>
  <si>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</si>
  <si>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</si>
  <si>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</si>
  <si>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</si>
  <si>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</si>
  <si>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</si>
  <si>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</si>
  <si>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</si>
  <si>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</si>
  <si>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</si>
  <si>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</si>
  <si>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</si>
  <si>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</si>
  <si>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</si>
  <si>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</si>
  <si>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</si>
  <si>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</si>
  <si>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</si>
  <si>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</si>
  <si>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</si>
  <si>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</si>
  <si>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</si>
  <si>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</si>
  <si>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</si>
  <si>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</si>
  <si>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</si>
  <si>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</si>
  <si>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</si>
  <si>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</si>
  <si>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</si>
  <si>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</si>
  <si>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</si>
  <si>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</si>
  <si>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</si>
  <si>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</si>
  <si>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</si>
  <si>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</si>
  <si>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</si>
  <si>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</si>
  <si>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</si>
  <si>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</si>
  <si>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</si>
  <si>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</si>
  <si>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</si>
  <si>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</si>
  <si>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</si>
  <si>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</si>
  <si>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</si>
  <si>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</si>
  <si>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</si>
  <si>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</si>
  <si>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</si>
  <si>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</si>
  <si>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</si>
  <si>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</si>
  <si>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</si>
  <si>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</si>
  <si>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</si>
  <si>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</si>
  <si>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</si>
  <si>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</si>
  <si>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</si>
  <si>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</si>
  <si>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</si>
  <si>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</si>
  <si>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</si>
  <si>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</si>
  <si>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</si>
  <si>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</si>
  <si>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</si>
  <si>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</si>
  <si>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</si>
  <si>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</si>
  <si>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</si>
  <si>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</si>
  <si>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</si>
  <si>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</si>
  <si>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</si>
  <si>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</si>
  <si>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</si>
  <si>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</si>
  <si>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</si>
  <si>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</si>
  <si>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</si>
  <si>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</si>
  <si>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</si>
  <si>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</si>
  <si>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</si>
  <si>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</si>
  <si>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</si>
  <si>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</si>
  <si>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</si>
  <si>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</si>
  <si>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</si>
  <si>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</si>
  <si>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</si>
  <si>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</si>
  <si>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</si>
  <si>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</si>
  <si>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</si>
  <si>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00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</si>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</sst>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260100</v>
      </c>
      <c r="C3" s="9">
        <f>+HojaTICA!K4+HojaNICA!M4+HojaREVENTADO!K4+HojaPrimera!I4+HojaHonduras!K4+HojaDominicana!I4+HojaPANA!G4</f>
        <v>33800</v>
      </c>
      <c r="D3" s="9">
        <f>+HojaTICA!N4+HojaNICA!P4+HojaREVENTADO!O4+HojaPrimera!L4+HojaHonduras!N4+HojaDominicana!L4+HojaPANA!J4</f>
        <v>301000</v>
      </c>
      <c r="F3" s="10">
        <f t="shared" ref="F3:F27" si="0">+B3-C3-D3</f>
        <v>-74700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154925</v>
      </c>
      <c r="C4" s="9">
        <f>+HojaTICA!K5+HojaNICA!M5+HojaREVENTADO!K5+HojaPrimera!I5+HojaHonduras!K5+HojaDominicana!I5+HojaPANA!G5</f>
        <v>20150</v>
      </c>
      <c r="D4" s="9">
        <f>+HojaTICA!N5+HojaNICA!P5+HojaREVENTADO!O5+HojaPrimera!L5+HojaHonduras!N5+HojaDominicana!L5+HojaPANA!J5</f>
        <v>0</v>
      </c>
      <c r="F4" s="14">
        <f t="shared" si="0"/>
        <v>134775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196700</v>
      </c>
      <c r="C7" s="9">
        <f>+HojaTICA!K8+HojaNICA!M8+HojaREVENTADO!K8+HojaPrimera!I8+HojaHonduras!K8+HojaDominicana!I8+HojaPANA!G8</f>
        <v>23600</v>
      </c>
      <c r="D7" s="9">
        <f>+HojaTICA!N8+HojaNICA!P8+HojaREVENTADO!O8+HojaPrimera!L8+HojaHonduras!N8+HojaDominicana!L8+HojaPANA!J8</f>
        <v>149750</v>
      </c>
      <c r="F7" s="14">
        <f t="shared" si="0"/>
        <v>23350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912750</v>
      </c>
      <c r="C9" s="9">
        <f>+HojaTICA!K10+HojaNICA!M10+HojaREVENTADO!K10+HojaPrimera!I10+HojaHonduras!K10+HojaDominicana!I10+HojaPANA!G10</f>
        <v>108065</v>
      </c>
      <c r="D9" s="9">
        <f>+HojaTICA!N10+HojaNICA!P10+HojaREVENTADO!O10+HojaPrimera!L10+HojaHonduras!N10+HojaDominicana!L10+HojaPANA!J10</f>
        <v>416500</v>
      </c>
      <c r="F9" s="14">
        <f t="shared" si="0"/>
        <v>388185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6000</v>
      </c>
      <c r="C10" s="9">
        <f>+HojaTICA!K11+HojaNICA!M11+HojaREVENTADO!K11+HojaPrimera!I11+HojaHonduras!K11+HojaDominicana!I11+HojaPANA!G11</f>
        <v>700</v>
      </c>
      <c r="D10" s="9">
        <f>+HojaTICA!N11+HojaNICA!P11+HojaREVENTADO!O11+HojaPrimera!L11+HojaHonduras!N11+HojaDominicana!L11+HojaPANA!J11</f>
        <v>0</v>
      </c>
      <c r="F10" s="14">
        <f t="shared" si="0"/>
        <v>5300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175550</v>
      </c>
      <c r="C11" s="9">
        <f>+HojaTICA!K12+HojaNICA!M12+HojaREVENTADO!K12+HojaPrimera!I12+HojaHonduras!K12+HojaDominicana!I12+HojaPANA!G12</f>
        <v>20975</v>
      </c>
      <c r="D11" s="9">
        <f>+HojaTICA!N12+HojaNICA!P12+HojaREVENTADO!O12+HojaPrimera!L12+HojaHonduras!N12+HojaDominicana!L12+HojaPANA!J12</f>
        <v>221000</v>
      </c>
      <c r="F11" s="14">
        <f t="shared" si="0"/>
        <v>-66425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192500</v>
      </c>
      <c r="C12" s="9">
        <f>+HojaTICA!K13+HojaNICA!M13+HojaREVENTADO!K13+HojaPrimera!I13+HojaHonduras!K13+HojaDominicana!I13+HojaPANA!G13</f>
        <v>23100</v>
      </c>
      <c r="D12" s="9">
        <f>+HojaTICA!N13+HojaNICA!P13+HojaREVENTADO!O13+HojaPrimera!L13+HojaHonduras!N13+HojaDominicana!L13+HojaPANA!J13</f>
        <v>42000</v>
      </c>
      <c r="F12" s="14">
        <f t="shared" si="0"/>
        <v>127400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102850</v>
      </c>
      <c r="C13" s="9">
        <f>+HojaTICA!K14+HojaNICA!M14+HojaREVENTADO!K14+HojaPrimera!I14+HojaHonduras!K14+HojaDominicana!I14+HojaPANA!G14</f>
        <v>15450</v>
      </c>
      <c r="D13" s="9">
        <f>+HojaTICA!N14+HojaNICA!P14+HojaREVENTADO!O14+HojaPrimera!L14+HojaHonduras!N14+HojaDominicana!L14+HojaPANA!J14</f>
        <v>96000</v>
      </c>
      <c r="F13" s="14">
        <f t="shared" si="0"/>
        <v>-8600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78450</v>
      </c>
      <c r="C15" s="9">
        <f>+HojaTICA!K16+HojaNICA!M16+HojaREVENTADO!K16+HojaPrimera!I16+HojaHonduras!K16+HojaDominicana!I16+HojaPANA!G16</f>
        <v>9350</v>
      </c>
      <c r="D15" s="9">
        <f>+HojaTICA!N16+HojaNICA!P16+HojaREVENTADO!O16+HojaPrimera!L16+HojaHonduras!N16+HojaDominicana!L16+HojaPANA!J16</f>
        <v>21250</v>
      </c>
      <c r="F15" s="14">
        <f t="shared" si="0"/>
        <v>47850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1157600</v>
      </c>
      <c r="C16" s="9">
        <f>+HojaTICA!K17+HojaNICA!M17+HojaREVENTADO!K17+HojaPrimera!I17+HojaHonduras!K17+HojaDominicana!I17+HojaPANA!G17</f>
        <v>137755</v>
      </c>
      <c r="D16" s="9">
        <f>+HojaTICA!N17+HojaNICA!P17+HojaREVENTADO!O17+HojaPrimera!L17+HojaHonduras!N17+HojaDominicana!L17+HojaPANA!J17</f>
        <v>751000</v>
      </c>
      <c r="F16" s="14">
        <f t="shared" si="0"/>
        <v>268845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657800</v>
      </c>
      <c r="C17" s="9">
        <f>+HojaTICA!K18+HojaNICA!M18+HojaREVENTADO!K18+HojaPrimera!I18+HojaHonduras!K18+HojaDominicana!I18+HojaPANA!G18</f>
        <v>77375</v>
      </c>
      <c r="D17" s="9">
        <f>+HojaTICA!N18+HojaNICA!P18+HojaREVENTADO!O18+HojaPrimera!L18+HojaHonduras!N18+HojaDominicana!L18+HojaPANA!J18</f>
        <v>676250</v>
      </c>
      <c r="F17" s="14">
        <f t="shared" si="0"/>
        <v>-95825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3895225</v>
      </c>
      <c r="C28" s="17">
        <f t="shared" si="1"/>
        <v>470320</v>
      </c>
      <c r="D28" s="18">
        <f t="shared" si="1"/>
        <v>2674750</v>
      </c>
      <c r="F28" s="20">
        <f>SUM(F3:F27)</f>
        <v>750155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42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97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 t="s">
        <v>159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 t="s">
        <v>160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99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54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66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50</v>
      </c>
      <c r="C19" s="132">
        <v>75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76</v>
      </c>
      <c r="C20" s="163">
        <v>41</v>
      </c>
      <c r="D20" s="166">
        <v>92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85</v>
      </c>
      <c r="C21" s="164">
        <v>70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97</v>
      </c>
      <c r="D2" s="268"/>
      <c r="E2" s="267" t="str">
        <f>DigitaTICA!E2</f>
        <v>02</v>
      </c>
      <c r="F2" s="268"/>
      <c r="G2" s="267">
        <f>DigitaTICA!G2</f>
        <v>54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68300</v>
      </c>
      <c r="D4" s="30">
        <f>IF(Vendedor1!$E$7="",0,Vendedor1!$E$7)</f>
        <v>0</v>
      </c>
      <c r="E4" s="180">
        <f>IF(Vendedor1!$C$11="",0,Vendedor1!$C$11)</f>
        <v>33450</v>
      </c>
      <c r="F4" s="30">
        <f>IF(Vendedor1!$E$11="",0,Vendedor1!$E$11)</f>
        <v>500</v>
      </c>
      <c r="G4" s="180">
        <f>IF(Vendedor1!$C$15="",0,Vendedor1!$C$15)</f>
        <v>90350</v>
      </c>
      <c r="H4" s="30">
        <f>IF(Vendedor1!$E$15="",0,Vendedor1!$E$15)</f>
        <v>2100</v>
      </c>
      <c r="J4" s="42">
        <f t="shared" ref="J4:J7" si="0">+C4+E4+G4</f>
        <v>192100</v>
      </c>
      <c r="K4" s="41">
        <f>MROUND(J4*Vendedor1!J$9,50)</f>
        <v>24950</v>
      </c>
      <c r="L4" s="42">
        <f t="shared" ref="L4:L7" si="1">+D4+F4+H4</f>
        <v>2600</v>
      </c>
      <c r="M4" s="42">
        <f t="shared" ref="M4:M7" si="2">+L4*85</f>
        <v>221000</v>
      </c>
      <c r="N4" s="42">
        <f>Vendedor1!$F$7+Vendedor1!$F$11+Vendedor1!$F$15</f>
        <v>221000</v>
      </c>
      <c r="P4" s="42">
        <f t="shared" ref="P4:P7" si="3">+J4-K4-N4</f>
        <v>-53850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38050</v>
      </c>
      <c r="D5" s="30">
        <f>IF(Vendedor2!$E$7="",0,Vendedor2!$E$7)</f>
        <v>0</v>
      </c>
      <c r="E5" s="180">
        <f>IF(Vendedor2!$C$11="",0,Vendedor2!$C$11)</f>
        <v>21000</v>
      </c>
      <c r="F5" s="30">
        <f>IF(Vendedor2!$E$11="",0,Vendedor2!$E$11)</f>
        <v>0</v>
      </c>
      <c r="G5" s="180">
        <f>IF(Vendedor2!$C$15="",0,Vendedor2!$C$15)</f>
        <v>72775</v>
      </c>
      <c r="H5" s="30">
        <f>IF(Vendedor2!$E$15="",0,Vendedor2!$E$15)</f>
        <v>0</v>
      </c>
      <c r="J5" s="42">
        <f t="shared" si="0"/>
        <v>131825</v>
      </c>
      <c r="K5" s="41">
        <f>MROUND(J5*Vendedor2!J$9,50)</f>
        <v>17150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114675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45150</v>
      </c>
      <c r="D8" s="30">
        <f>IF(Vendedor5!$E$7="",0,Vendedor5!$E$7)</f>
        <v>0</v>
      </c>
      <c r="E8" s="180">
        <f>IF(Vendedor5!$C$11="",0,Vendedor5!$C$11)</f>
        <v>34300</v>
      </c>
      <c r="F8" s="30">
        <f>IF(Vendedor5!$E$11="",0,Vendedor5!$E$11)</f>
        <v>350</v>
      </c>
      <c r="G8" s="180">
        <f>IF(Vendedor5!$C$15="",0,Vendedor5!$C$15)</f>
        <v>38050</v>
      </c>
      <c r="H8" s="30">
        <f>IF(Vendedor5!$E$15="",0,Vendedor5!$E$15)</f>
        <v>0</v>
      </c>
      <c r="J8" s="42">
        <f t="shared" ref="J8" si="4">+C8+E8+G8</f>
        <v>117500</v>
      </c>
      <c r="K8" s="41">
        <f>MROUND(J8*Vendedor5!J$11,50)</f>
        <v>14100</v>
      </c>
      <c r="L8" s="42">
        <f t="shared" ref="L8" si="5">+D8+F8+H8</f>
        <v>350</v>
      </c>
      <c r="M8" s="42">
        <f t="shared" ref="M8" si="6">+L8*85</f>
        <v>29750</v>
      </c>
      <c r="N8" s="42">
        <f>Vendedor5!$F$7+Vendedor5!$F$11+Vendedor5!$F$15</f>
        <v>29750</v>
      </c>
      <c r="P8" s="42">
        <f t="shared" ref="P8" si="7">+J8-K8-N8</f>
        <v>73650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149800</v>
      </c>
      <c r="D10" s="30">
        <f>IF(Vendedor7!$E$7="",0,Vendedor7!$E$7)</f>
        <v>500</v>
      </c>
      <c r="E10" s="180">
        <f>IF(Vendedor7!$C$11="",0,Vendedor7!$C$11)</f>
        <v>88700</v>
      </c>
      <c r="F10" s="30">
        <f>IF(Vendedor7!$E$11="",0,Vendedor7!$E$11)</f>
        <v>750</v>
      </c>
      <c r="G10" s="180">
        <f>IF(Vendedor7!$C$15="",0,Vendedor7!$C$15)</f>
        <v>204800</v>
      </c>
      <c r="H10" s="30">
        <f>IF(Vendedor7!$E$15="",0,Vendedor7!$E$15)</f>
        <v>550</v>
      </c>
      <c r="J10" s="42">
        <f t="shared" si="8"/>
        <v>443300</v>
      </c>
      <c r="K10" s="41">
        <f>MROUND(J10*Vendedor7!J$14,50)</f>
        <v>53200</v>
      </c>
      <c r="L10" s="42">
        <f t="shared" si="9"/>
        <v>1800</v>
      </c>
      <c r="M10" s="42">
        <f t="shared" si="10"/>
        <v>153000</v>
      </c>
      <c r="N10" s="42">
        <f>Vendedor7!$F$7+Vendedor7!$F$11+Vendedor7!$F$15</f>
        <v>153000</v>
      </c>
      <c r="P10" s="42">
        <f t="shared" si="11"/>
        <v>237100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3000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3000</v>
      </c>
      <c r="H11" s="30">
        <f>IF(Vendedor8!$E$15="",0,Vendedor8!$E$15)</f>
        <v>0</v>
      </c>
      <c r="J11" s="42">
        <f t="shared" si="8"/>
        <v>6000</v>
      </c>
      <c r="K11" s="41">
        <f>MROUND(J11*Vendedor8!J$11,50)</f>
        <v>700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5300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44900</v>
      </c>
      <c r="D12" s="30">
        <f>IF(Vendedor9!$E$7="",0,Vendedor9!$E$7)</f>
        <v>250</v>
      </c>
      <c r="E12" s="180">
        <f>IF(Vendedor9!$C$11="",0,Vendedor9!$C$11)</f>
        <v>21100</v>
      </c>
      <c r="F12" s="30">
        <f>IF(Vendedor9!$E$11="",0,Vendedor9!$E$11)</f>
        <v>250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66000</v>
      </c>
      <c r="K12" s="41">
        <f>MROUND(J12*Vendedor9!J$11,50)</f>
        <v>7900</v>
      </c>
      <c r="L12" s="42">
        <f t="shared" si="9"/>
        <v>500</v>
      </c>
      <c r="M12" s="42">
        <f t="shared" si="10"/>
        <v>42500</v>
      </c>
      <c r="N12" s="42">
        <f>Vendedor9!$F$7+Vendedor9!$F$11+Vendedor9!$F$15</f>
        <v>42500</v>
      </c>
      <c r="P12" s="42">
        <f t="shared" si="11"/>
        <v>15600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52450</v>
      </c>
      <c r="D13" s="30">
        <f>IF(Vendedor10!$E$7="",0,Vendedor10!$E$7)</f>
        <v>400</v>
      </c>
      <c r="E13" s="180">
        <f>IF(Vendedor10!$C$11="",0,Vendedor10!$C$11)</f>
        <v>30450</v>
      </c>
      <c r="F13" s="30">
        <f>IF(Vendedor10!$E$11="",0,Vendedor10!$E$11)</f>
        <v>0</v>
      </c>
      <c r="G13" s="180">
        <f>IF(Vendedor10!$C$15="",0,Vendedor10!$C$15)</f>
        <v>34050</v>
      </c>
      <c r="H13" s="30">
        <f>IF(Vendedor10!$E$15="",0,Vendedor10!$E$15)</f>
        <v>0</v>
      </c>
      <c r="J13" s="42">
        <f t="shared" si="8"/>
        <v>116950</v>
      </c>
      <c r="K13" s="41">
        <f>MROUND(J13*Vendedor10!J$9,50)</f>
        <v>14050</v>
      </c>
      <c r="L13" s="42">
        <f t="shared" si="9"/>
        <v>400</v>
      </c>
      <c r="M13" s="42">
        <f t="shared" si="10"/>
        <v>34000</v>
      </c>
      <c r="N13" s="42">
        <f>Vendedor10!$F$7+Vendedor10!$F$11+Vendedor10!$F$15</f>
        <v>34000</v>
      </c>
      <c r="P13" s="42">
        <f t="shared" si="11"/>
        <v>68900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47150</v>
      </c>
      <c r="D14" s="30">
        <f>IF(Vendedor11!$E$7="",0,Vendedor11!$E$7)</f>
        <v>1000</v>
      </c>
      <c r="E14" s="180">
        <f>IF(Vendedor11!$C$11="",0,Vendedor11!$C$11)</f>
        <v>26700</v>
      </c>
      <c r="F14" s="30">
        <f>IF(Vendedor11!$E$11="",0,Vendedor11!$E$11)</f>
        <v>0</v>
      </c>
      <c r="G14" s="180">
        <f>IF(Vendedor11!$C$15="",0,Vendedor11!$C$15)</f>
        <v>29000</v>
      </c>
      <c r="H14" s="30">
        <f>IF(Vendedor11!$E$15="",0,Vendedor11!$E$15)</f>
        <v>200</v>
      </c>
      <c r="J14" s="42">
        <f t="shared" si="8"/>
        <v>102850</v>
      </c>
      <c r="K14" s="41">
        <f>MROUND(J14*Vendedor11!J$9,50)</f>
        <v>15450</v>
      </c>
      <c r="L14" s="42">
        <f t="shared" si="9"/>
        <v>1200</v>
      </c>
      <c r="M14" s="42">
        <f t="shared" si="10"/>
        <v>102000</v>
      </c>
      <c r="N14" s="42">
        <f>Vendedor11!$F$7+Vendedor11!$F$11+Vendedor11!$F$15</f>
        <v>96000</v>
      </c>
      <c r="P14" s="42">
        <f t="shared" si="11"/>
        <v>-8600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8700</v>
      </c>
      <c r="D16" s="30">
        <f>IF(Vendedor13!$E$7="",0,Vendedor13!$E$7)</f>
        <v>0</v>
      </c>
      <c r="E16" s="180">
        <f>IF(Vendedor13!$C$11="",0,Vendedor13!$C$11)</f>
        <v>17100</v>
      </c>
      <c r="F16" s="30">
        <f>IF(Vendedor13!$E$11="",0,Vendedor13!$E$11)</f>
        <v>250</v>
      </c>
      <c r="G16" s="180">
        <f>IF(Vendedor13!$C$15="",0,Vendedor13!$C$15)</f>
        <v>21500</v>
      </c>
      <c r="H16" s="30">
        <f>IF(Vendedor13!$E$15="",0,Vendedor13!$E$15)</f>
        <v>0</v>
      </c>
      <c r="J16" s="42">
        <f t="shared" si="8"/>
        <v>47300</v>
      </c>
      <c r="K16" s="41">
        <f>MROUND(J16*Vendedor13!J$11,50)</f>
        <v>5700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20350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129650</v>
      </c>
      <c r="D17" s="30">
        <f>IF(Vendedor14!$E$7="",0,Vendedor14!$E$7)</f>
        <v>400</v>
      </c>
      <c r="E17" s="180">
        <f>IF(Vendedor14!$C$11="",0,Vendedor14!$C$11)</f>
        <v>96900</v>
      </c>
      <c r="F17" s="30">
        <f>IF(Vendedor14!$E$11="",0,Vendedor14!$E$11)</f>
        <v>500</v>
      </c>
      <c r="G17" s="180">
        <f>IF(Vendedor14!$C$15="",0,Vendedor14!$C$15)</f>
        <v>179000</v>
      </c>
      <c r="H17" s="30">
        <f>IF(Vendedor14!$E$15="",0,Vendedor14!$E$15)</f>
        <v>2500</v>
      </c>
      <c r="J17" s="42">
        <f t="shared" si="8"/>
        <v>405550</v>
      </c>
      <c r="K17" s="41">
        <f>MROUND(J17*Vendedor14!J$15,50)</f>
        <v>48650</v>
      </c>
      <c r="L17" s="42">
        <f t="shared" si="9"/>
        <v>3400</v>
      </c>
      <c r="M17" s="42">
        <f t="shared" si="10"/>
        <v>289000</v>
      </c>
      <c r="N17" s="42">
        <f>Vendedor14!$F$7+Vendedor14!$F$11+Vendedor14!$F$15</f>
        <v>289000</v>
      </c>
      <c r="P17" s="42">
        <f t="shared" si="11"/>
        <v>67900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61850</v>
      </c>
      <c r="D18" s="30">
        <f>IF(Vendedor15!$E$7="",0,Vendedor15!$E$7)</f>
        <v>1000</v>
      </c>
      <c r="E18" s="180">
        <f>IF(Vendedor15!$C$11="",0,Vendedor15!$C$11)</f>
        <v>58350</v>
      </c>
      <c r="F18" s="30">
        <f>IF(Vendedor15!$E$11="",0,Vendedor15!$E$11)</f>
        <v>1100</v>
      </c>
      <c r="G18" s="180">
        <f>IF(Vendedor15!$C$15="",0,Vendedor15!$C$15)</f>
        <v>104700</v>
      </c>
      <c r="H18" s="30">
        <f>IF(Vendedor15!$E$15="",0,Vendedor15!$E$15)</f>
        <v>200</v>
      </c>
      <c r="J18" s="42">
        <f t="shared" ref="J18" si="12">+C18+E18+G18</f>
        <v>224900</v>
      </c>
      <c r="K18" s="41">
        <f>MROUND(J18*Vendedor15!J$15,50)</f>
        <v>27000</v>
      </c>
      <c r="L18" s="42">
        <f t="shared" ref="L18" si="13">+D18+F18+H18</f>
        <v>2300</v>
      </c>
      <c r="M18" s="42">
        <f t="shared" ref="M18" si="14">+L18*85</f>
        <v>195500</v>
      </c>
      <c r="N18" s="42">
        <f>Vendedor15!$F$7+Vendedor15!$F$11+Vendedor15!$F$15</f>
        <v>195500</v>
      </c>
      <c r="P18" s="42">
        <f t="shared" ref="P18" si="15">+J18-K18-N18</f>
        <v>2400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649000</v>
      </c>
      <c r="D32" s="44">
        <f t="shared" si="16"/>
        <v>3550</v>
      </c>
      <c r="E32" s="43">
        <f t="shared" si="16"/>
        <v>428050</v>
      </c>
      <c r="F32" s="44">
        <f t="shared" si="16"/>
        <v>3700</v>
      </c>
      <c r="G32" s="43">
        <f t="shared" si="16"/>
        <v>777225</v>
      </c>
      <c r="H32" s="44">
        <f t="shared" si="16"/>
        <v>5550</v>
      </c>
      <c r="J32" s="95">
        <f>SUM(J4:J31)</f>
        <v>1854275</v>
      </c>
      <c r="K32" s="45">
        <f>SUM(K7:K31)</f>
        <v>186750</v>
      </c>
      <c r="L32" s="95">
        <f>SUM(L4:L31)</f>
        <v>12800</v>
      </c>
      <c r="M32" s="95">
        <f>SUM(M4:M31)</f>
        <v>1088000</v>
      </c>
      <c r="N32" s="95">
        <f>SUM(N4:N31)</f>
        <v>1082000</v>
      </c>
      <c r="P32" s="79">
        <f>SUM(P4:P31)</f>
        <v>543425</v>
      </c>
    </row>
    <row r="33" spans="3:13" x14ac:dyDescent="0.35">
      <c r="D33" s="99">
        <f>+D32*85</f>
        <v>301750</v>
      </c>
      <c r="F33" s="99">
        <f>+F32*85</f>
        <v>314500</v>
      </c>
      <c r="H33" s="99">
        <f>+H32*85</f>
        <v>471750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1854275</v>
      </c>
      <c r="E36" s="43">
        <f>+D36-J4-J5-J6</f>
        <v>1530350</v>
      </c>
      <c r="G36" s="101"/>
    </row>
    <row r="37" spans="3:13" x14ac:dyDescent="0.35">
      <c r="C37" s="47" t="s">
        <v>33</v>
      </c>
      <c r="D37" s="48">
        <f>D36*13%</f>
        <v>241055.75</v>
      </c>
      <c r="E37">
        <f>+D37-K4-K5-K6</f>
        <v>198955.75</v>
      </c>
      <c r="G37" s="100"/>
      <c r="H37" s="100"/>
    </row>
    <row r="38" spans="3:13" ht="15" thickBot="1" x14ac:dyDescent="0.4">
      <c r="C38" s="47" t="s">
        <v>30</v>
      </c>
      <c r="D38" s="30">
        <f>M32</f>
        <v>1088000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525219.25</v>
      </c>
      <c r="F39" s="98">
        <f>+P32-D39</f>
        <v>18205.75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525219.25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42</v>
      </c>
      <c r="D2" s="268"/>
      <c r="E2" s="267" t="str">
        <f>DigitaNICA!E2</f>
        <v>00</v>
      </c>
      <c r="F2" s="268"/>
      <c r="G2" s="267">
        <f>DigitaNICA!G2</f>
        <v>99</v>
      </c>
      <c r="H2" s="268"/>
      <c r="I2" s="267">
        <f>DigitaNICA!I2</f>
        <v>66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40300</v>
      </c>
      <c r="D4" s="78">
        <f>IF(Vendedor1!$E$5="",0,Vendedor1!$E$5)</f>
        <v>500</v>
      </c>
      <c r="E4" s="189">
        <f>IF(Vendedor1!$C$9="",0,Vendedor1!$C$9)</f>
        <v>13000</v>
      </c>
      <c r="F4" s="78">
        <f>IF(Vendedor1!$E$9="",0,Vendedor1!$E$9)</f>
        <v>500</v>
      </c>
      <c r="G4" s="189">
        <f>IF(Vendedor1!$C$13="",0,Vendedor1!$C$13)</f>
        <v>3900</v>
      </c>
      <c r="H4" s="78">
        <f>IF(Vendedor1!$E$13="",0,Vendedor1!$E$13)</f>
        <v>0</v>
      </c>
      <c r="I4" s="189">
        <f>IF(Vendedor1!$C$17="",0,Vendedor1!$C$17)</f>
        <v>4600</v>
      </c>
      <c r="J4" s="78">
        <f>IF(Vendedor1!$E$17="",0,Vendedor1!$E$17)</f>
        <v>0</v>
      </c>
      <c r="L4" s="42">
        <f t="shared" ref="L4:L7" si="0">C4+E4+G4+I4</f>
        <v>61800</v>
      </c>
      <c r="M4" s="41">
        <f>MROUND(L4*Vendedor1!J$10,50)</f>
        <v>8050</v>
      </c>
      <c r="N4" s="42">
        <f t="shared" ref="N4:N7" si="1">D4+F4+H4+J4</f>
        <v>1000</v>
      </c>
      <c r="O4" s="41">
        <f>IFERROR(N4*85,0)</f>
        <v>85000</v>
      </c>
      <c r="P4" s="42">
        <f>Vendedor1!$F$5+Vendedor1!$F$9+Vendedor1!$F$13+Vendedor1!$F$17</f>
        <v>80000</v>
      </c>
      <c r="R4" s="41">
        <f t="shared" ref="R4:R7" si="2">+L4-M4-O4</f>
        <v>-31250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7850</v>
      </c>
      <c r="D5" s="30">
        <f>IF(Vendedor2!$E$5="",0,Vendedor2!$E$5)</f>
        <v>0</v>
      </c>
      <c r="E5" s="180">
        <f>IF(Vendedor2!$C$9="",0,Vendedor2!$C$9)</f>
        <v>4950</v>
      </c>
      <c r="F5" s="30">
        <f>IF(Vendedor2!$E$9="",0,Vendedor2!$E$9)</f>
        <v>0</v>
      </c>
      <c r="G5" s="180">
        <f>IF(Vendedor2!$C$13="",0,Vendedor2!$C$13)</f>
        <v>6600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19400</v>
      </c>
      <c r="M5" s="41">
        <f>MROUND(L5*Vendedor2!J$10,50)</f>
        <v>2500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16900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26000</v>
      </c>
      <c r="D8" s="30">
        <f>IF(Vendedor5!$E$5="",0,Vendedor5!$E$5)</f>
        <v>0</v>
      </c>
      <c r="E8" s="180">
        <f>IF(Vendedor5!$C$9="",0,Vendedor5!$C$9)</f>
        <v>21550</v>
      </c>
      <c r="F8" s="30">
        <f>IF(Vendedor5!$E$9="",0,Vendedor5!$E$9)</f>
        <v>1500</v>
      </c>
      <c r="G8" s="180">
        <f>IF(Vendedor5!$C$13="",0,Vendedor5!$C$13)</f>
        <v>5100</v>
      </c>
      <c r="H8" s="30">
        <f>IF(Vendedor5!$E$13="",0,Vendedor5!$E$13)</f>
        <v>0</v>
      </c>
      <c r="I8" s="180">
        <f>IF(Vendedor5!$C$17="",0,Vendedor5!$C$17)</f>
        <v>7000</v>
      </c>
      <c r="J8" s="30">
        <f>IF(Vendedor5!$E$17="",0,Vendedor5!$E$17)</f>
        <v>0</v>
      </c>
      <c r="L8" s="42">
        <f t="shared" ref="L8" si="4">C8+E8+G8+I8</f>
        <v>59650</v>
      </c>
      <c r="M8" s="41">
        <f>MROUND(L8*Vendedor5!J$12,50)</f>
        <v>7150</v>
      </c>
      <c r="N8" s="42">
        <f t="shared" ref="N8" si="5">D8+F8+H8+J8</f>
        <v>1500</v>
      </c>
      <c r="O8" s="41">
        <f t="shared" si="3"/>
        <v>127500</v>
      </c>
      <c r="P8" s="42">
        <f>Vendedor5!$F$5+Vendedor5!$F$9+Vendedor5!$F$13+Vendedor5!$F$17</f>
        <v>120000</v>
      </c>
      <c r="Q8">
        <v>17</v>
      </c>
      <c r="R8" s="41">
        <f t="shared" ref="R8" si="6">+L8-M8-O8</f>
        <v>-75000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70050</v>
      </c>
      <c r="D10" s="30">
        <f>IF(Vendedor7!$E$5="",0,Vendedor7!$E$5)</f>
        <v>0</v>
      </c>
      <c r="E10" s="180">
        <f>IF(Vendedor7!$C$9="",0,Vendedor7!$C$9)</f>
        <v>65550</v>
      </c>
      <c r="F10" s="30">
        <f>IF(Vendedor7!$E$9="",0,Vendedor7!$E$9)</f>
        <v>500</v>
      </c>
      <c r="G10" s="180">
        <f>IF(Vendedor7!$C$13="",0,Vendedor7!$C$13)</f>
        <v>21150</v>
      </c>
      <c r="H10" s="30">
        <f>IF(Vendedor7!$E$13="",0,Vendedor7!$E$13)</f>
        <v>750</v>
      </c>
      <c r="I10" s="180">
        <f>IF(Vendedor7!$C$17="",0,Vendedor7!$C$17)</f>
        <v>84300</v>
      </c>
      <c r="J10" s="30">
        <f>IF(Vendedor7!$E$17="",0,Vendedor7!$E$17)</f>
        <v>1350</v>
      </c>
      <c r="L10" s="42">
        <f t="shared" si="7"/>
        <v>241050</v>
      </c>
      <c r="M10" s="41">
        <f>MROUND(L10*Vendedor7!J$15,50)</f>
        <v>28950</v>
      </c>
      <c r="N10" s="42">
        <f t="shared" ref="N10:N27" si="9">D10+F10+H10+J10</f>
        <v>2600</v>
      </c>
      <c r="O10" s="41">
        <f t="shared" si="3"/>
        <v>221000</v>
      </c>
      <c r="P10" s="42">
        <f>Vendedor7!$F$5+Vendedor7!$F$9+Vendedor7!$F$13+Vendedor7!$F$17</f>
        <v>221000</v>
      </c>
      <c r="R10" s="41">
        <f t="shared" si="8"/>
        <v>-8900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44100</v>
      </c>
      <c r="D12" s="30">
        <f>IF(Vendedor9!$E$5="",0,Vendedor9!$E$5)</f>
        <v>850</v>
      </c>
      <c r="E12" s="180">
        <f>IF(Vendedor9!$C$9="",0,Vendedor9!$C$9)</f>
        <v>20500</v>
      </c>
      <c r="F12" s="30">
        <f>IF(Vendedor9!$E$9="",0,Vendedor9!$E$9)</f>
        <v>300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64600</v>
      </c>
      <c r="M12" s="41">
        <f>MROUND(L12*Vendedor9!J$12,50)</f>
        <v>7750</v>
      </c>
      <c r="N12" s="42">
        <f t="shared" si="9"/>
        <v>1150</v>
      </c>
      <c r="O12" s="41">
        <f t="shared" si="3"/>
        <v>97750</v>
      </c>
      <c r="P12" s="42">
        <f>Vendedor9!$F$5+Vendedor9!$F$9+Vendedor9!$F$13+Vendedor9!$F$17</f>
        <v>97750</v>
      </c>
      <c r="R12" s="41">
        <f t="shared" si="8"/>
        <v>-40900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49200</v>
      </c>
      <c r="D13" s="30">
        <f>IF(Vendedor10!$E$5="",0,Vendedor10!$E$5)</f>
        <v>0</v>
      </c>
      <c r="E13" s="180">
        <f>IF(Vendedor10!$C$9="",0,Vendedor10!$C$9)</f>
        <v>19500</v>
      </c>
      <c r="F13" s="30">
        <f>IF(Vendedor10!$E$9="",0,Vendedor10!$E$9)</f>
        <v>0</v>
      </c>
      <c r="G13" s="180">
        <f>IF(Vendedor10!$C$13="",0,Vendedor10!$C$13)</f>
        <v>3600</v>
      </c>
      <c r="H13" s="30">
        <f>IF(Vendedor10!$E$13="",0,Vendedor10!$E$13)</f>
        <v>100</v>
      </c>
      <c r="I13" s="180">
        <f>IF(Vendedor10!$C$17="",0,Vendedor10!$C$17)</f>
        <v>3250</v>
      </c>
      <c r="J13" s="30">
        <f>IF(Vendedor10!$E$17="",0,Vendedor10!$E$17)</f>
        <v>0</v>
      </c>
      <c r="L13" s="42">
        <f t="shared" si="7"/>
        <v>75550</v>
      </c>
      <c r="M13" s="41">
        <f>MROUND(L13*Vendedor10!J$10,50)</f>
        <v>9050</v>
      </c>
      <c r="N13" s="42">
        <f t="shared" si="9"/>
        <v>100</v>
      </c>
      <c r="O13" s="41">
        <f t="shared" si="3"/>
        <v>8500</v>
      </c>
      <c r="P13" s="42">
        <f>Vendedor10!$F$5+Vendedor10!$F$9+Vendedor10!$F$13+Vendedor10!$F$17</f>
        <v>8000</v>
      </c>
      <c r="R13" s="41">
        <f t="shared" si="8"/>
        <v>58000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13850</v>
      </c>
      <c r="D16" s="30">
        <f>IF(Vendedor13!$E$5="",0,Vendedor13!$E$5)</f>
        <v>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2650</v>
      </c>
      <c r="H16" s="30">
        <f>IF(Vendedor13!$E$13="",0,Vendedor13!$E$13)</f>
        <v>0</v>
      </c>
      <c r="I16" s="180">
        <f>IF(Vendedor13!$C$17="",0,Vendedor13!$C$17)</f>
        <v>2000</v>
      </c>
      <c r="J16" s="30">
        <f>IF(Vendedor13!$E$17="",0,Vendedor13!$E$17)</f>
        <v>0</v>
      </c>
      <c r="L16" s="42">
        <f t="shared" si="7"/>
        <v>18500</v>
      </c>
      <c r="M16" s="41">
        <f>MROUND(L16*Vendedor13!J$12,50)</f>
        <v>2200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16300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168950</v>
      </c>
      <c r="D17" s="30">
        <f>IF(Vendedor14!$E$5="",0,Vendedor14!$E$5)</f>
        <v>1200</v>
      </c>
      <c r="E17" s="180">
        <f>IF(Vendedor14!$C$9="",0,Vendedor14!$C$9)</f>
        <v>77300</v>
      </c>
      <c r="F17" s="30">
        <f>IF(Vendedor14!$E$9="",0,Vendedor14!$E$9)</f>
        <v>250</v>
      </c>
      <c r="G17" s="180">
        <f>IF(Vendedor14!$C$13="",0,Vendedor14!$C$13)</f>
        <v>52850</v>
      </c>
      <c r="H17" s="30">
        <f>IF(Vendedor14!$E$13="",0,Vendedor14!$E$13)</f>
        <v>600</v>
      </c>
      <c r="I17" s="180">
        <f>IF(Vendedor14!$C$17="",0,Vendedor14!$C$17)</f>
        <v>177450</v>
      </c>
      <c r="J17" s="30">
        <f>IF(Vendedor14!$E$17="",0,Vendedor14!$E$17)</f>
        <v>2150</v>
      </c>
      <c r="L17" s="42">
        <f>C17+E17+G17+I17</f>
        <v>476550</v>
      </c>
      <c r="M17" s="41">
        <f>MROUND(L17*Vendedor14!J$16,50)</f>
        <v>57200</v>
      </c>
      <c r="N17" s="42">
        <f t="shared" si="9"/>
        <v>4200</v>
      </c>
      <c r="O17" s="41">
        <f t="shared" si="3"/>
        <v>357000</v>
      </c>
      <c r="P17" s="42">
        <f>Vendedor14!$F$5+Vendedor14!$F$9+Vendedor14!$F$13+Vendedor14!$F$17</f>
        <v>357000</v>
      </c>
      <c r="R17" s="41">
        <f t="shared" si="8"/>
        <v>62350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70500</v>
      </c>
      <c r="D18" s="30">
        <f>IF(Vendedor15!$E$5="",0,Vendedor15!$E$5)</f>
        <v>0</v>
      </c>
      <c r="E18" s="180">
        <f>IF(Vendedor15!$C$9="",0,Vendedor15!$C$9)</f>
        <v>48950</v>
      </c>
      <c r="F18" s="30">
        <f>IF(Vendedor15!$E$9="",0,Vendedor15!$E$9)</f>
        <v>2150</v>
      </c>
      <c r="G18" s="180">
        <f>IF(Vendedor15!$C$13="",0,Vendedor15!$C$13)</f>
        <v>55100</v>
      </c>
      <c r="H18" s="30">
        <f>IF(Vendedor15!$E$13="",0,Vendedor15!$E$13)</f>
        <v>1400</v>
      </c>
      <c r="I18" s="180">
        <f>IF(Vendedor15!$C$17="",0,Vendedor15!$C$17)</f>
        <v>42500</v>
      </c>
      <c r="J18" s="30">
        <f>IF(Vendedor15!$E$17="",0,Vendedor15!$E$17)</f>
        <v>1200</v>
      </c>
      <c r="L18" s="42">
        <f t="shared" ref="L18:L27" si="10">C18+E18+G18+I18</f>
        <v>217050</v>
      </c>
      <c r="M18" s="41">
        <f>MROUND(L18*Vendedor15!J$16,50)</f>
        <v>26050</v>
      </c>
      <c r="N18" s="42">
        <f t="shared" si="9"/>
        <v>4750</v>
      </c>
      <c r="O18" s="41">
        <f t="shared" si="3"/>
        <v>403750</v>
      </c>
      <c r="P18" s="42">
        <f>Vendedor15!$F$5+Vendedor15!$F$9+Vendedor15!$F$13+Vendedor15!$F$17</f>
        <v>403750</v>
      </c>
      <c r="R18" s="41">
        <f t="shared" si="8"/>
        <v>-212750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490800</v>
      </c>
      <c r="D32" s="44">
        <f t="shared" si="14"/>
        <v>2550</v>
      </c>
      <c r="E32" s="43">
        <f t="shared" si="14"/>
        <v>271300</v>
      </c>
      <c r="F32" s="44">
        <f t="shared" si="14"/>
        <v>5200</v>
      </c>
      <c r="G32" s="43">
        <f t="shared" si="14"/>
        <v>150950</v>
      </c>
      <c r="H32" s="44">
        <f t="shared" si="14"/>
        <v>2850</v>
      </c>
      <c r="I32" s="43">
        <f t="shared" si="14"/>
        <v>321100</v>
      </c>
      <c r="J32" s="44">
        <f t="shared" si="14"/>
        <v>4700</v>
      </c>
      <c r="L32" s="45">
        <f>SUM(L4:L31)</f>
        <v>1234150</v>
      </c>
      <c r="M32" s="45">
        <f>SUM(M7:M31)</f>
        <v>138350</v>
      </c>
      <c r="N32" s="95">
        <f>SUM(N4:N31)</f>
        <v>15300</v>
      </c>
      <c r="O32" s="46">
        <f>SUM(O4:O31)</f>
        <v>1300500</v>
      </c>
      <c r="P32" s="140">
        <f>SUM(P4:P31)</f>
        <v>1287500</v>
      </c>
      <c r="R32" s="79">
        <f>SUM(R4:R31)</f>
        <v>-215250</v>
      </c>
    </row>
    <row r="33" spans="3:15" x14ac:dyDescent="0.35">
      <c r="D33" s="120">
        <f>+D32*85</f>
        <v>216750</v>
      </c>
      <c r="F33" s="120">
        <f>+F32*85</f>
        <v>442000</v>
      </c>
      <c r="H33" s="120">
        <f>+H32*85</f>
        <v>242250</v>
      </c>
      <c r="J33" s="120">
        <f>+J32*85</f>
        <v>399500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1234150</v>
      </c>
      <c r="E36" s="43">
        <f>+D36-L4-L5-L6</f>
        <v>1152950</v>
      </c>
    </row>
    <row r="37" spans="3:15" x14ac:dyDescent="0.35">
      <c r="C37" s="47" t="s">
        <v>33</v>
      </c>
      <c r="D37" s="48">
        <f>D36*13%</f>
        <v>160439.5</v>
      </c>
      <c r="E37">
        <f>+D37-M4-M5-M6</f>
        <v>149889.5</v>
      </c>
    </row>
    <row r="38" spans="3:15" x14ac:dyDescent="0.35">
      <c r="C38" s="47" t="s">
        <v>30</v>
      </c>
      <c r="D38" s="30">
        <f>SUM(O4:O27)</f>
        <v>1300500</v>
      </c>
      <c r="G38" s="100"/>
    </row>
    <row r="39" spans="3:15" ht="15" thickBot="1" x14ac:dyDescent="0.4">
      <c r="C39" s="49" t="s">
        <v>4</v>
      </c>
      <c r="D39" s="80">
        <f>+D36-D37-D38</f>
        <v>-226789.5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-226789.5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97 Blanca</v>
      </c>
      <c r="D2" s="268"/>
      <c r="E2" s="267" t="str">
        <f>IF(E33=0,"",CONCATENATE(PREMIOS!$B11," ",PREMIOS!$B12))</f>
        <v>02 Roja</v>
      </c>
      <c r="F2" s="268"/>
      <c r="G2" s="267" t="str">
        <f>IF(G33=0,"",CONCATENATE(PREMIOS!$B15," ",PREMIOS!$B16))</f>
        <v>54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27600</v>
      </c>
      <c r="D10" s="30">
        <f>IF(Vendedor7!$E$8="",0,Vendedor7!$E$8)</f>
        <v>0</v>
      </c>
      <c r="E10" s="180">
        <f>IF(Vendedor7!$C$12="",0,Vendedor7!$C$12)</f>
        <v>16350</v>
      </c>
      <c r="F10" s="30">
        <f>IF(Vendedor7!$E$12="",0,Vendedor7!$E$12)</f>
        <v>0</v>
      </c>
      <c r="G10" s="180">
        <f>IF(Vendedor7!$C$16="",0,Vendedor7!$C$16)</f>
        <v>29700</v>
      </c>
      <c r="H10" s="30">
        <f>IF(Vendedor7!$E$16="",0,Vendedor7!$E$16)</f>
        <v>500</v>
      </c>
      <c r="J10" s="42">
        <f t="shared" si="1"/>
        <v>73650</v>
      </c>
      <c r="K10" s="41">
        <f>J10*Vendedor7!J$16</f>
        <v>7365</v>
      </c>
      <c r="L10" s="42">
        <f t="shared" si="2"/>
        <v>0</v>
      </c>
      <c r="M10" s="42">
        <f t="shared" si="3"/>
        <v>500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66285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2750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2750</v>
      </c>
      <c r="K12" s="41">
        <f>J12*Vendedor9!J$13</f>
        <v>275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2475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500</v>
      </c>
      <c r="D16" s="30">
        <f>IF(Vendedor13!$E$8="",0,Vendedor13!$E$8)</f>
        <v>0</v>
      </c>
      <c r="E16" s="180">
        <f>IF(Vendedor13!$C$12="",0,Vendedor13!$C$12)</f>
        <v>2000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2500</v>
      </c>
      <c r="K16" s="41">
        <f>J16*Vendedor13!J$13</f>
        <v>250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2250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19050</v>
      </c>
      <c r="D17" s="30">
        <f>IF(Vendedor14!$E$8="",0,Vendedor14!$E$8)</f>
        <v>0</v>
      </c>
      <c r="E17" s="180">
        <f>IF(Vendedor14!$C$12="",0,Vendedor14!$C$12)</f>
        <v>13650</v>
      </c>
      <c r="F17" s="30">
        <f>IF(Vendedor14!$E$12="",0,Vendedor14!$E$12)</f>
        <v>100</v>
      </c>
      <c r="G17" s="180">
        <f>IF(Vendedor14!$C$16="",0,Vendedor14!$C$16)</f>
        <v>25350</v>
      </c>
      <c r="H17" s="30">
        <f>IF(Vendedor14!$E$16="",0,Vendedor14!$E$16)</f>
        <v>1000</v>
      </c>
      <c r="J17" s="42">
        <f t="shared" si="1"/>
        <v>58050</v>
      </c>
      <c r="K17" s="41">
        <f>J17*Vendedor14!J$17</f>
        <v>5805</v>
      </c>
      <c r="L17" s="42">
        <f t="shared" si="2"/>
        <v>100</v>
      </c>
      <c r="M17" s="42">
        <f t="shared" si="3"/>
        <v>1100</v>
      </c>
      <c r="N17" s="42">
        <f t="shared" si="0"/>
        <v>22000</v>
      </c>
      <c r="O17" s="42">
        <f>Vendedor14!$F$8+Vendedor14!$F$12+Vendedor14!$F$16</f>
        <v>20000</v>
      </c>
      <c r="Q17" s="42">
        <f t="shared" si="4"/>
        <v>32245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21900</v>
      </c>
      <c r="D18" s="30">
        <f>IF(Vendedor15!$E$8="",0,Vendedor15!$E$8)</f>
        <v>0</v>
      </c>
      <c r="E18" s="180">
        <f>IF(Vendedor15!$C$12="",0,Vendedor15!$C$12)</f>
        <v>21650</v>
      </c>
      <c r="F18" s="30">
        <f>IF(Vendedor15!$E$12="",0,Vendedor15!$E$12)</f>
        <v>300</v>
      </c>
      <c r="G18" s="180">
        <f>IF(Vendedor15!$C$16="",0,Vendedor15!$C$16)</f>
        <v>33200</v>
      </c>
      <c r="H18" s="30">
        <f>IF(Vendedor15!$E$16="",0,Vendedor15!$E$16)</f>
        <v>0</v>
      </c>
      <c r="J18" s="42">
        <f t="shared" ref="J18" si="5">+C18+E18+G18</f>
        <v>76750</v>
      </c>
      <c r="K18" s="41">
        <f>J18*Vendedor15!J$17</f>
        <v>7675</v>
      </c>
      <c r="L18" s="42">
        <f t="shared" si="2"/>
        <v>300</v>
      </c>
      <c r="M18" s="42">
        <f t="shared" si="3"/>
        <v>300</v>
      </c>
      <c r="N18" s="42">
        <f t="shared" si="0"/>
        <v>66000</v>
      </c>
      <c r="O18" s="42">
        <f>Vendedor15!$F$8+Vendedor15!$F$12+Vendedor15!$F$16</f>
        <v>60000</v>
      </c>
      <c r="Q18" s="42">
        <f t="shared" si="4"/>
        <v>9075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71800</v>
      </c>
      <c r="D33" s="44">
        <f>IF(PREMIOS!E8&lt;&gt;0,SUM(D4:D32),0)</f>
        <v>0</v>
      </c>
      <c r="E33" s="43">
        <f>SUM(E4:E32)</f>
        <v>53650</v>
      </c>
      <c r="F33" s="44">
        <f>IF(PREMIOS!E12&lt;&gt;0,SUM(F4:F32),0)</f>
        <v>400</v>
      </c>
      <c r="G33" s="43">
        <f>SUM(G4:G32)</f>
        <v>88250</v>
      </c>
      <c r="H33" s="44">
        <f>IF(PREMIOS!E16&lt;&gt;0,SUM(H4:H32),0)</f>
        <v>0</v>
      </c>
      <c r="J33" s="45">
        <f>SUM(J4:J32)</f>
        <v>213700</v>
      </c>
      <c r="K33" s="45">
        <f>SUM(K7:K32)</f>
        <v>21370</v>
      </c>
      <c r="L33" s="95">
        <f>SUM(L7:L32)</f>
        <v>400</v>
      </c>
      <c r="M33" s="95">
        <f>SUM(M7:M32)</f>
        <v>1900</v>
      </c>
      <c r="N33" s="95">
        <f>SUM(N4:N27)</f>
        <v>88000</v>
      </c>
      <c r="O33" s="95">
        <f>SUM(O4:O27)</f>
        <v>80000</v>
      </c>
      <c r="Q33" s="79">
        <f>SUM(Q4:Q32)</f>
        <v>112330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88000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213700</v>
      </c>
      <c r="E37" s="43">
        <f>+D37-J4-J5-J6</f>
        <v>213700</v>
      </c>
      <c r="F37" s="275"/>
      <c r="G37" s="275"/>
    </row>
    <row r="38" spans="3:17" ht="15" thickBot="1" x14ac:dyDescent="0.4">
      <c r="C38" s="47" t="s">
        <v>33</v>
      </c>
      <c r="D38" s="30">
        <f>D37*10%</f>
        <v>21370</v>
      </c>
      <c r="E38" s="43">
        <f>+D38-K4-K5-K6</f>
        <v>21370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88000</v>
      </c>
    </row>
    <row r="40" spans="3:17" ht="15" thickBot="1" x14ac:dyDescent="0.4">
      <c r="C40" s="49" t="s">
        <v>4</v>
      </c>
      <c r="D40" s="80">
        <f>+D37-D38-D39</f>
        <v>104330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104330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50</v>
      </c>
      <c r="D2" s="268"/>
      <c r="E2" s="267">
        <f>DigitaPRIMERA!E2</f>
        <v>75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5200</v>
      </c>
      <c r="D4" s="78">
        <f>IF(Vendedor1!$E$19="",0,Vendedor1!$E$19)</f>
        <v>0</v>
      </c>
      <c r="E4" s="189">
        <f>IF(Vendedor1!$C$20="",0,Vendedor1!$C$20)</f>
        <v>1000</v>
      </c>
      <c r="F4" s="78">
        <f>IF(Vendedor1!$E$20="",0,Vendedor1!$E$20)</f>
        <v>0</v>
      </c>
      <c r="H4" s="42">
        <f>+C4+E4</f>
        <v>6200</v>
      </c>
      <c r="I4" s="41">
        <f>MROUND(H4*Vendedor1!J$9,50)</f>
        <v>800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5400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3700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3700</v>
      </c>
      <c r="I5" s="41">
        <f>MROUND(H5*Vendedor2!J$9,50)</f>
        <v>500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3200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10400</v>
      </c>
      <c r="D8" s="30">
        <f>IF(Vendedor5!$E$19="",0,Vendedor5!$E$19)</f>
        <v>0</v>
      </c>
      <c r="E8" s="180">
        <f>IF(Vendedor5!$C$20="",0,Vendedor5!$C$20)</f>
        <v>9150</v>
      </c>
      <c r="F8" s="30">
        <f>IF(Vendedor5!$E$20="",0,Vendedor5!$E$20)</f>
        <v>0</v>
      </c>
      <c r="H8" s="133">
        <f t="shared" si="1"/>
        <v>19550</v>
      </c>
      <c r="I8" s="148">
        <f>MROUND(H8*Vendedor5!J$11,50)</f>
        <v>2350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17200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27100</v>
      </c>
      <c r="D10" s="30">
        <f>IF(Vendedor7!$E$19="",0,Vendedor7!$E$19)</f>
        <v>500</v>
      </c>
      <c r="E10" s="180">
        <f>IF(Vendedor7!$C$20="",0,Vendedor7!$C$20)</f>
        <v>11100</v>
      </c>
      <c r="F10" s="30">
        <f>IF(Vendedor7!$E$20="",0,Vendedor7!$E$20)</f>
        <v>0</v>
      </c>
      <c r="H10" s="42">
        <f t="shared" si="1"/>
        <v>38200</v>
      </c>
      <c r="I10" s="41">
        <f>MROUND(H10*Vendedor7!J$14,50)</f>
        <v>4600</v>
      </c>
      <c r="J10" s="42">
        <f t="shared" si="2"/>
        <v>500</v>
      </c>
      <c r="K10" s="42">
        <f t="shared" si="3"/>
        <v>42500</v>
      </c>
      <c r="L10" s="42">
        <f>Vendedor7!$F$19+Vendedor7!$F$20</f>
        <v>42500</v>
      </c>
      <c r="N10" s="42">
        <f t="shared" si="0"/>
        <v>-8900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42200</v>
      </c>
      <c r="D12" s="30">
        <f>IF(Vendedor9!$E$19="",0,Vendedor9!$E$19)</f>
        <v>950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42200</v>
      </c>
      <c r="I12" s="148">
        <f>MROUND(H12*Vendedor9!J$11,50)</f>
        <v>5050</v>
      </c>
      <c r="J12" s="133">
        <f t="shared" si="2"/>
        <v>950</v>
      </c>
      <c r="K12" s="133">
        <f t="shared" si="3"/>
        <v>80750</v>
      </c>
      <c r="L12" s="133">
        <f>Vendedor9!$F$19+Vendedor9!$F$20</f>
        <v>80750</v>
      </c>
      <c r="M12" s="155"/>
      <c r="N12" s="133">
        <f t="shared" si="0"/>
        <v>-43600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5450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5450</v>
      </c>
      <c r="I16" s="148">
        <f>MROUND(H16*Vendedor13!J$11,50)</f>
        <v>650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4800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121750</v>
      </c>
      <c r="D17" s="30">
        <f>IF(Vendedor14!$E$19="",0,Vendedor14!$E$19)</f>
        <v>600</v>
      </c>
      <c r="E17" s="180">
        <f>IF(Vendedor14!$C$20="",0,Vendedor14!$C$20)</f>
        <v>24650</v>
      </c>
      <c r="F17" s="30">
        <f>IF(Vendedor14!$E$20="",0,Vendedor14!$E$20)</f>
        <v>400</v>
      </c>
      <c r="H17" s="42">
        <f t="shared" si="1"/>
        <v>146400</v>
      </c>
      <c r="I17" s="41">
        <f>MROUND(H17*Vendedor14!J$15,50)</f>
        <v>17550</v>
      </c>
      <c r="J17" s="42">
        <f t="shared" si="2"/>
        <v>1000</v>
      </c>
      <c r="K17" s="42">
        <f t="shared" si="3"/>
        <v>85000</v>
      </c>
      <c r="L17" s="42">
        <f>Vendedor14!$F$19+Vendedor14!$F$20</f>
        <v>85000</v>
      </c>
      <c r="N17" s="42">
        <f t="shared" si="0"/>
        <v>43850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56400</v>
      </c>
      <c r="D18" s="30">
        <f>IF(Vendedor15!$E$19="",0,Vendedor15!$E$19)</f>
        <v>200</v>
      </c>
      <c r="E18" s="180">
        <f>IF(Vendedor15!$C$20="",0,Vendedor15!$C$20)</f>
        <v>46700</v>
      </c>
      <c r="F18" s="30">
        <f>IF(Vendedor15!$E$20="",0,Vendedor15!$E$20)</f>
        <v>0</v>
      </c>
      <c r="H18" s="42">
        <f t="shared" si="1"/>
        <v>103100</v>
      </c>
      <c r="I18" s="41">
        <f>MROUND(H18*Vendedor15!J$15,50)</f>
        <v>12350</v>
      </c>
      <c r="J18" s="42">
        <f t="shared" si="2"/>
        <v>200</v>
      </c>
      <c r="K18" s="42">
        <f t="shared" si="3"/>
        <v>17000</v>
      </c>
      <c r="L18" s="42">
        <f>Vendedor15!$F$19+Vendedor15!$F$20</f>
        <v>17000</v>
      </c>
      <c r="N18" s="42">
        <f t="shared" si="0"/>
        <v>73750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272200</v>
      </c>
      <c r="D32" s="44">
        <f>SUM(D4:D31)</f>
        <v>2250</v>
      </c>
      <c r="E32" s="43">
        <f>SUM(E4:E31)</f>
        <v>92600</v>
      </c>
      <c r="F32" s="44">
        <f>SUM(F4:F31)</f>
        <v>400</v>
      </c>
      <c r="H32" s="95">
        <f>SUM(H4:H31)</f>
        <v>364800</v>
      </c>
      <c r="I32" s="45">
        <f>SUM(I7:I31)</f>
        <v>42550</v>
      </c>
      <c r="J32" s="95"/>
      <c r="K32" s="95">
        <f>SUM(K4:K31)</f>
        <v>225250</v>
      </c>
      <c r="L32" s="95">
        <f>SUM(L4:L31)</f>
        <v>225250</v>
      </c>
      <c r="N32" s="79">
        <f>SUM(N4:N31)</f>
        <v>95700</v>
      </c>
    </row>
    <row r="33" spans="3:6" x14ac:dyDescent="0.35">
      <c r="D33" s="99">
        <f>+D32*85</f>
        <v>191250</v>
      </c>
      <c r="F33" s="99">
        <f>+F32*85</f>
        <v>34000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364800</v>
      </c>
      <c r="E36" s="43">
        <f>+D36-H4-H5-H6</f>
        <v>354900</v>
      </c>
    </row>
    <row r="37" spans="3:6" x14ac:dyDescent="0.35">
      <c r="C37" s="47" t="s">
        <v>33</v>
      </c>
      <c r="D37" s="48">
        <f>D36*13%</f>
        <v>47424</v>
      </c>
      <c r="E37">
        <f>+D37-I4-I5-I6</f>
        <v>46124</v>
      </c>
    </row>
    <row r="38" spans="3:6" ht="15" thickBot="1" x14ac:dyDescent="0.4">
      <c r="C38" s="47" t="s">
        <v>30</v>
      </c>
      <c r="D38" s="30">
        <f>SUM(K4:K27)</f>
        <v>225250</v>
      </c>
    </row>
    <row r="39" spans="3:6" ht="15" thickBot="1" x14ac:dyDescent="0.4">
      <c r="C39" s="49" t="s">
        <v>4</v>
      </c>
      <c r="D39" s="80">
        <f>+D36-D37-D38</f>
        <v>92126</v>
      </c>
      <c r="F39" s="98">
        <f>+N32-D39</f>
        <v>3574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92126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76</v>
      </c>
      <c r="D2" s="268"/>
      <c r="E2" s="267">
        <f>DigitaHONDURAS!E2</f>
        <v>41</v>
      </c>
      <c r="F2" s="268"/>
      <c r="G2" s="267">
        <f>DigitaHONDURAS!G2</f>
        <v>92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9650</v>
      </c>
      <c r="D10" s="30">
        <f>IF(Vendedor7!$E$21="",0,Vendedor7!$E$21)</f>
        <v>0</v>
      </c>
      <c r="E10" s="180">
        <f>IF(Vendedor7!$C$22="",0,Vendedor7!$C$22)</f>
        <v>9800</v>
      </c>
      <c r="F10" s="30">
        <f>IF(Vendedor7!$E$22="",0,Vendedor7!$E$22)</f>
        <v>0</v>
      </c>
      <c r="G10" s="180">
        <f>IF(Vendedor7!$C$23="",0,Vendedor7!$C$23)</f>
        <v>14900</v>
      </c>
      <c r="H10" s="30">
        <f>IF(Vendedor7!$E$23="",0,Vendedor7!$E$23)</f>
        <v>0</v>
      </c>
      <c r="J10" s="42">
        <f t="shared" si="0"/>
        <v>34350</v>
      </c>
      <c r="K10" s="41">
        <f>MROUND(J10*Vendedor7!J$14,50)</f>
        <v>4100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30250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4700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4700</v>
      </c>
      <c r="K16" s="148">
        <f>MROUND(J16*Vendedor13!J$11,50)</f>
        <v>550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4150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44150</v>
      </c>
      <c r="D17" s="30">
        <f>IF(Vendedor14!$E$21="",0,Vendedor14!$E$21)</f>
        <v>0</v>
      </c>
      <c r="E17" s="180">
        <f>IF(Vendedor14!$C$22="",0,Vendedor14!$C$22)</f>
        <v>10850</v>
      </c>
      <c r="F17" s="30">
        <f>IF(Vendedor14!$E$22="",0,Vendedor14!$E$22)</f>
        <v>0</v>
      </c>
      <c r="G17" s="180">
        <f>IF(Vendedor14!$C$23="",0,Vendedor14!$C$23)</f>
        <v>16050</v>
      </c>
      <c r="H17" s="30">
        <f>IF(Vendedor14!$E$23="",0,Vendedor14!$E$23)</f>
        <v>0</v>
      </c>
      <c r="J17" s="42">
        <f t="shared" si="0"/>
        <v>71050</v>
      </c>
      <c r="K17" s="41">
        <f>MROUND(J17*Vendedor14!J$15,50)</f>
        <v>8550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62500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21100</v>
      </c>
      <c r="D18" s="30">
        <f>IF(Vendedor15!$E$21="",0,Vendedor15!$E$21)</f>
        <v>0</v>
      </c>
      <c r="E18" s="180">
        <f>IF(Vendedor15!$C$22="",0,Vendedor15!$C$22)</f>
        <v>6500</v>
      </c>
      <c r="F18" s="30">
        <f>IF(Vendedor15!$E$22="",0,Vendedor15!$E$22)</f>
        <v>0</v>
      </c>
      <c r="G18" s="180">
        <f>IF(Vendedor15!$C$23="",0,Vendedor15!$C$23)</f>
        <v>8400</v>
      </c>
      <c r="H18" s="30">
        <f>IF(Vendedor15!$E$23="",0,Vendedor15!$E$23)</f>
        <v>0</v>
      </c>
      <c r="J18" s="42">
        <f t="shared" si="0"/>
        <v>36000</v>
      </c>
      <c r="K18" s="41">
        <f>MROUND(J18*Vendedor15!J$15,50)</f>
        <v>4300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31700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79600</v>
      </c>
      <c r="D32" s="44">
        <f t="shared" si="8"/>
        <v>0</v>
      </c>
      <c r="E32" s="43">
        <f t="shared" si="8"/>
        <v>27150</v>
      </c>
      <c r="F32" s="44">
        <f t="shared" si="8"/>
        <v>0</v>
      </c>
      <c r="G32" s="43">
        <f t="shared" si="8"/>
        <v>39350</v>
      </c>
      <c r="H32" s="44">
        <f t="shared" si="8"/>
        <v>0</v>
      </c>
      <c r="J32" s="95">
        <f>SUM(J4:J31)</f>
        <v>146100</v>
      </c>
      <c r="K32" s="45">
        <f>SUM(K7:K31)</f>
        <v>17500</v>
      </c>
      <c r="L32" s="95"/>
      <c r="M32" s="95">
        <f>SUM(M4:M31)</f>
        <v>0</v>
      </c>
      <c r="N32" s="95">
        <f>SUM(N4:N31)</f>
        <v>0</v>
      </c>
      <c r="P32" s="79">
        <f>SUM(P4:P31)</f>
        <v>128600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146100</v>
      </c>
      <c r="E36" s="43">
        <f>+D36-J4-J5-J6</f>
        <v>146100</v>
      </c>
    </row>
    <row r="37" spans="3:8" x14ac:dyDescent="0.35">
      <c r="C37" s="47" t="s">
        <v>33</v>
      </c>
      <c r="D37" s="48">
        <f>D36*13%</f>
        <v>18993</v>
      </c>
      <c r="E37">
        <f>+D37-K4-K5-K6</f>
        <v>18993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127107</v>
      </c>
      <c r="F39" s="98">
        <f>+P32-D39</f>
        <v>1493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127107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85</v>
      </c>
      <c r="D2" s="268"/>
      <c r="E2" s="267">
        <f>DigitaDOMINICANA!E2</f>
        <v>70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37000</v>
      </c>
      <c r="D10" s="30">
        <f>IF(Vendedor7!$E$24="",0,Vendedor7!$E$24)</f>
        <v>0</v>
      </c>
      <c r="E10" s="180">
        <f>IF(Vendedor7!$C$25="",0,Vendedor7!$C$25)</f>
        <v>45200</v>
      </c>
      <c r="F10" s="30">
        <f>IF(Vendedor7!$E$25="",0,Vendedor7!$E$25)</f>
        <v>0</v>
      </c>
      <c r="H10" s="42">
        <f t="shared" si="1"/>
        <v>82200</v>
      </c>
      <c r="I10" s="41">
        <f>MROUND(H10*Vendedor7!J$14,50)</f>
        <v>9850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72350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37000</v>
      </c>
      <c r="D32" s="44">
        <f>SUM(D4:D31)</f>
        <v>0</v>
      </c>
      <c r="E32" s="43">
        <f>SUM(E4:E31)</f>
        <v>45200</v>
      </c>
      <c r="F32" s="44">
        <f>SUM(F4:F31)</f>
        <v>0</v>
      </c>
      <c r="H32" s="95">
        <f>SUM(H4:H31)</f>
        <v>82200</v>
      </c>
      <c r="I32" s="45">
        <f>SUM(I7:I31)</f>
        <v>9850</v>
      </c>
      <c r="J32" s="95"/>
      <c r="K32" s="95">
        <f>SUM(K4:K31)</f>
        <v>0</v>
      </c>
      <c r="L32" s="95">
        <f>SUM(L4:L31)</f>
        <v>0</v>
      </c>
      <c r="N32" s="79">
        <f>SUM(N4:N31)</f>
        <v>72350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82200</v>
      </c>
      <c r="E36" s="43">
        <f>+D36-H4-H5-H6</f>
        <v>82200</v>
      </c>
    </row>
    <row r="37" spans="3:6" x14ac:dyDescent="0.35">
      <c r="C37" s="47" t="s">
        <v>33</v>
      </c>
      <c r="D37" s="48">
        <f>D36*13%</f>
        <v>10686</v>
      </c>
      <c r="E37">
        <f>+D37-I4-I5-I6</f>
        <v>10686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71514</v>
      </c>
      <c r="F39" s="98">
        <f>+N32-D39</f>
        <v>836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71514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04-06-2026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1152950</v>
      </c>
      <c r="C4" s="157">
        <f>HojaNICA!M32</f>
        <v>138350</v>
      </c>
      <c r="D4" s="150">
        <f>HojaNICA!E37</f>
        <v>149889.5</v>
      </c>
      <c r="E4" s="150">
        <f>HojaNICA!P32</f>
        <v>1287500</v>
      </c>
      <c r="F4" s="150">
        <f>HojaNICA!O32</f>
        <v>1300500</v>
      </c>
      <c r="G4" s="151">
        <f t="shared" ref="G4:G10" si="0">+D4-C4+F4-E4</f>
        <v>24539.5</v>
      </c>
      <c r="H4" s="21"/>
      <c r="I4" s="182"/>
    </row>
    <row r="5" spans="1:9" x14ac:dyDescent="0.35">
      <c r="A5" s="28" t="s">
        <v>19</v>
      </c>
      <c r="B5" s="156">
        <f>HojaTICA!$E$36</f>
        <v>1530350</v>
      </c>
      <c r="C5" s="157">
        <f>HojaTICA!K32</f>
        <v>186750</v>
      </c>
      <c r="D5" s="150">
        <f>HojaTICA!E37</f>
        <v>198955.75</v>
      </c>
      <c r="E5" s="150">
        <f>HojaTICA!N32</f>
        <v>1082000</v>
      </c>
      <c r="F5" s="150">
        <f>HojaTICA!D38</f>
        <v>1088000</v>
      </c>
      <c r="G5" s="151">
        <f t="shared" si="0"/>
        <v>18205.75</v>
      </c>
      <c r="H5" s="21"/>
      <c r="I5" s="182"/>
    </row>
    <row r="6" spans="1:9" x14ac:dyDescent="0.35">
      <c r="A6" s="28" t="s">
        <v>125</v>
      </c>
      <c r="B6" s="156">
        <f>HojaREVENTADO!$E$37</f>
        <v>213700</v>
      </c>
      <c r="C6" s="157">
        <f>HojaREVENTADO!K33</f>
        <v>21370</v>
      </c>
      <c r="D6" s="150">
        <f>HojaREVENTADO!E38</f>
        <v>21370</v>
      </c>
      <c r="E6" s="150">
        <f>HojaREVENTADO!O33</f>
        <v>80000</v>
      </c>
      <c r="F6" s="150">
        <f>HojaREVENTADO!N33</f>
        <v>88000</v>
      </c>
      <c r="G6" s="151">
        <f t="shared" si="0"/>
        <v>8000</v>
      </c>
      <c r="H6" s="21"/>
      <c r="I6" s="182"/>
    </row>
    <row r="7" spans="1:9" x14ac:dyDescent="0.35">
      <c r="A7" s="28" t="s">
        <v>96</v>
      </c>
      <c r="B7" s="156">
        <f>HojaPrimera!$E$36</f>
        <v>354900</v>
      </c>
      <c r="C7" s="157">
        <f>HojaPrimera!I32</f>
        <v>42550</v>
      </c>
      <c r="D7" s="150">
        <f>HojaPrimera!E37</f>
        <v>46124</v>
      </c>
      <c r="E7" s="150">
        <f>HojaPrimera!L32</f>
        <v>225250</v>
      </c>
      <c r="F7" s="150">
        <f>HojaPrimera!K32</f>
        <v>225250</v>
      </c>
      <c r="G7" s="151">
        <f t="shared" si="0"/>
        <v>3574</v>
      </c>
      <c r="H7" s="21"/>
      <c r="I7" s="21"/>
    </row>
    <row r="8" spans="1:9" x14ac:dyDescent="0.35">
      <c r="A8" s="28" t="s">
        <v>104</v>
      </c>
      <c r="B8" s="156">
        <f>HojaHonduras!$E$36</f>
        <v>146100</v>
      </c>
      <c r="C8" s="157">
        <f>HojaHonduras!K32</f>
        <v>17500</v>
      </c>
      <c r="D8" s="150">
        <f>HojaHonduras!E37</f>
        <v>18993</v>
      </c>
      <c r="E8" s="150">
        <f>HojaHonduras!N32</f>
        <v>0</v>
      </c>
      <c r="F8" s="150">
        <f>HojaHonduras!M32</f>
        <v>0</v>
      </c>
      <c r="G8" s="151">
        <f t="shared" si="0"/>
        <v>1493</v>
      </c>
      <c r="H8" s="21"/>
      <c r="I8" s="21"/>
    </row>
    <row r="9" spans="1:9" x14ac:dyDescent="0.35">
      <c r="A9" s="28" t="s">
        <v>20</v>
      </c>
      <c r="B9" s="156">
        <f>HojaDominicana!$E$36</f>
        <v>82200</v>
      </c>
      <c r="C9" s="157">
        <f>HojaDominicana!I32</f>
        <v>9850</v>
      </c>
      <c r="D9" s="150">
        <f>HojaDominicana!E37</f>
        <v>10686</v>
      </c>
      <c r="E9" s="150">
        <f>HojaDominicana!L32</f>
        <v>0</v>
      </c>
      <c r="F9" s="150">
        <f>HojaDominicana!K32</f>
        <v>0</v>
      </c>
      <c r="G9" s="151">
        <f t="shared" si="0"/>
        <v>836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3480200</v>
      </c>
      <c r="C11" s="175">
        <f>SUM(C4:C10)</f>
        <v>416370</v>
      </c>
      <c r="D11" s="175">
        <f t="shared" ref="D11:F11" si="1">SUM(D4:D10)</f>
        <v>446018.25</v>
      </c>
      <c r="E11" s="175">
        <f t="shared" si="1"/>
        <v>2674750</v>
      </c>
      <c r="F11" s="175">
        <f t="shared" si="1"/>
        <v>2701750</v>
      </c>
      <c r="G11" s="176">
        <f>SUM(G4:G10)</f>
        <v>56648.25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36648.25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260100</v>
      </c>
      <c r="E16" s="157">
        <f>+Vendedor1!D21</f>
        <v>33813</v>
      </c>
      <c r="F16" s="158">
        <f>IF(D16&lt;&gt;0,15000,0)</f>
        <v>15000</v>
      </c>
      <c r="G16" s="151">
        <f>+E16-F16</f>
        <v>18813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154925</v>
      </c>
      <c r="E17" s="157">
        <f>+Vendedor2!D21</f>
        <v>20140.25</v>
      </c>
      <c r="F17" s="158">
        <f>IF(D17&lt;&gt;0,15000,0)</f>
        <v>15000</v>
      </c>
      <c r="G17" s="151">
        <f>+E17-F17</f>
        <v>5140.25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415025</v>
      </c>
      <c r="E19" s="159">
        <f>SUM(E16:E18)</f>
        <v>53953.25</v>
      </c>
      <c r="F19" s="160">
        <f>SUM(F16:F18)</f>
        <v>30000</v>
      </c>
      <c r="G19" s="161">
        <f>SUM(G16:G18)</f>
        <v>23953.25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60601.5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04-06-2026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1234150</v>
      </c>
      <c r="C5" s="150">
        <f>HojaNICA!D37</f>
        <v>160439.5</v>
      </c>
      <c r="D5" s="150">
        <f>HojaNICA!D38</f>
        <v>1300500</v>
      </c>
      <c r="E5" s="150"/>
      <c r="F5" s="151">
        <f>+B5-C5-D5+E5</f>
        <v>-226789.5</v>
      </c>
      <c r="H5" s="249" t="s">
        <v>105</v>
      </c>
      <c r="I5" s="243">
        <f ca="1">TODAY()-2</f>
        <v>46177</v>
      </c>
      <c r="O5" s="119"/>
    </row>
    <row r="6" spans="1:15" ht="15" thickBot="1" x14ac:dyDescent="0.4">
      <c r="A6" s="47" t="s">
        <v>36</v>
      </c>
      <c r="B6" s="150">
        <f>HojaTICA!D36</f>
        <v>1854275</v>
      </c>
      <c r="C6" s="150">
        <f>HojaTICA!D37</f>
        <v>241055.75</v>
      </c>
      <c r="D6" s="150">
        <f>HojaTICA!D38</f>
        <v>1088000</v>
      </c>
      <c r="E6" s="150"/>
      <c r="F6" s="151">
        <f t="shared" ref="F6:F11" si="0">+B6-C6-D6+E6</f>
        <v>525219.25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213700</v>
      </c>
      <c r="C7" s="150">
        <f>HojaREVENTADO!D38</f>
        <v>21370</v>
      </c>
      <c r="D7" s="150">
        <f>HojaREVENTADO!D39</f>
        <v>88000</v>
      </c>
      <c r="E7" s="150"/>
      <c r="F7" s="151">
        <f t="shared" si="0"/>
        <v>104330</v>
      </c>
    </row>
    <row r="8" spans="1:15" x14ac:dyDescent="0.35">
      <c r="A8" s="47" t="s">
        <v>96</v>
      </c>
      <c r="B8" s="150">
        <f>HojaPrimera!$D36</f>
        <v>364800</v>
      </c>
      <c r="C8" s="150">
        <f>HojaPrimera!$D37</f>
        <v>47424</v>
      </c>
      <c r="D8" s="150">
        <f>HojaPrimera!$D38</f>
        <v>225250</v>
      </c>
      <c r="E8" s="150"/>
      <c r="F8" s="151">
        <f t="shared" si="0"/>
        <v>92126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146100</v>
      </c>
      <c r="C9" s="150">
        <f>HojaHonduras!$D37</f>
        <v>18993</v>
      </c>
      <c r="D9" s="150">
        <f>HojaHonduras!$D38</f>
        <v>0</v>
      </c>
      <c r="E9" s="150"/>
      <c r="F9" s="151">
        <f t="shared" si="0"/>
        <v>127107</v>
      </c>
      <c r="H9" s="250">
        <f>+K12-K10-H6</f>
        <v>693506.75</v>
      </c>
    </row>
    <row r="10" spans="1:15" ht="15" thickBot="1" x14ac:dyDescent="0.4">
      <c r="A10" s="47" t="s">
        <v>20</v>
      </c>
      <c r="B10" s="150">
        <f>HojaDominicana!$D36</f>
        <v>82200</v>
      </c>
      <c r="C10" s="150">
        <f>HojaDominicana!$D37</f>
        <v>10686</v>
      </c>
      <c r="D10" s="150">
        <f>HojaDominicana!$D38</f>
        <v>0</v>
      </c>
      <c r="E10" s="150"/>
      <c r="F10" s="151">
        <f t="shared" si="0"/>
        <v>71514</v>
      </c>
      <c r="H10" s="154"/>
      <c r="J10" t="s">
        <v>148</v>
      </c>
      <c r="K10" s="252">
        <v>2757364.2100000004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3450870.9600000004</v>
      </c>
    </row>
    <row r="12" spans="1:15" ht="16" thickBot="1" x14ac:dyDescent="0.4">
      <c r="A12" s="144" t="s">
        <v>5</v>
      </c>
      <c r="B12" s="152">
        <f>SUM(B5:B11)</f>
        <v>3895225</v>
      </c>
      <c r="C12" s="152">
        <f>SUM(C5:C11)</f>
        <v>499968.25</v>
      </c>
      <c r="D12" s="152">
        <f>SUM(D5:D11)</f>
        <v>2701750</v>
      </c>
      <c r="E12" s="152"/>
      <c r="F12" s="255">
        <f>SUM(F5:F11)</f>
        <v>693506.75</v>
      </c>
      <c r="H12" s="251">
        <f>K12</f>
        <v>3450870.9600000004</v>
      </c>
      <c r="J12" t="s">
        <v>140</v>
      </c>
      <c r="K12" s="254">
        <f>-2815542.76+2893319.24+1569059.5+1804034.98</f>
        <v>3450870.9600000004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192100</v>
      </c>
      <c r="K4" s="231">
        <f t="shared" ref="K4" si="0">D7+D11+D15</f>
        <v>24973</v>
      </c>
      <c r="L4" s="220">
        <f>F7+F11+F15</f>
        <v>221000</v>
      </c>
    </row>
    <row r="5" spans="1:12" x14ac:dyDescent="0.35">
      <c r="A5" s="28" t="s">
        <v>43</v>
      </c>
      <c r="B5" s="132">
        <f>IF(DigitaNICA!C2&lt;&gt;"",DigitaNICA!C2,"")</f>
        <v>42</v>
      </c>
      <c r="C5" s="29">
        <f>IF(DigitaNICA!C4&lt;&gt;"",DigitaNICA!C4,"")</f>
        <v>40300</v>
      </c>
      <c r="D5" s="42">
        <f>IF(C5="",0,C5*J$10)</f>
        <v>5239</v>
      </c>
      <c r="E5" s="29">
        <f>IF(DigitaNICA!D4&lt;&gt;"",DigitaNICA!D4,"")</f>
        <v>500</v>
      </c>
      <c r="F5" s="42">
        <f>IF(E5="",0,E5*PREMIOS!E5)</f>
        <v>40000</v>
      </c>
      <c r="G5" s="30">
        <f t="shared" ref="G5:G12" si="1">IF(OR(C5="",E5=""),0,C5-D5-F5)</f>
        <v>-4939</v>
      </c>
      <c r="I5" s="241" t="s">
        <v>37</v>
      </c>
      <c r="J5" s="221">
        <f>SUM(IF(C5="",0,C5),IF(C9="",0,C9),IF(C13="",0,C13),IF(C17="",0,C17))</f>
        <v>61800</v>
      </c>
      <c r="K5" s="225">
        <f t="shared" ref="K5" si="2">D5+D9+D13+D17</f>
        <v>8034</v>
      </c>
      <c r="L5" s="222">
        <f>F5+F9+F13+F17</f>
        <v>80000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6200</v>
      </c>
      <c r="K6" s="228">
        <f>D19+D20</f>
        <v>806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97</v>
      </c>
      <c r="C7" s="29">
        <f>IF(DigitaTICA!C4&lt;&gt;"",DigitaTICA!C4,"")</f>
        <v>68300</v>
      </c>
      <c r="D7" s="42">
        <f>IF(C7="",0,C7*J$9)</f>
        <v>8879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59421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>00</v>
      </c>
      <c r="C9" s="29">
        <f>IF(DigitaNICA!E4&lt;&gt;"",DigitaNICA!E4,"")</f>
        <v>13000</v>
      </c>
      <c r="D9" s="42">
        <f>IF(C9="",0,C9*J$10)</f>
        <v>1690</v>
      </c>
      <c r="E9" s="29">
        <f>IF(DigitaNICA!F4&lt;&gt;"",DigitaNICA!F4,"")</f>
        <v>500</v>
      </c>
      <c r="F9" s="42">
        <f>IF(E9="",0,E9*PREMIOS!E9)</f>
        <v>40000</v>
      </c>
      <c r="G9" s="30">
        <f t="shared" si="1"/>
        <v>-28690</v>
      </c>
      <c r="I9" s="76" t="s">
        <v>36</v>
      </c>
      <c r="J9" s="77">
        <v>0.13</v>
      </c>
      <c r="K9" s="78">
        <f>MROUND(D7+D11+D15,50)</f>
        <v>24950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8050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IF(DigitaTICA!E4&lt;&gt;"",DigitaTICA!E4,"")</f>
        <v>33450</v>
      </c>
      <c r="D11" s="42">
        <f>IF(C11="",0,C11*J$9)</f>
        <v>4348.5</v>
      </c>
      <c r="E11" s="29">
        <f>IF(DigitaTICA!F4&lt;&gt;"",DigitaTICA!F4,"")</f>
        <v>500</v>
      </c>
      <c r="F11" s="42">
        <f>IF(E11="",0,E11*PREMIOS!F11)</f>
        <v>42500</v>
      </c>
      <c r="G11" s="30">
        <f t="shared" si="1"/>
        <v>-13398.5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800</v>
      </c>
    </row>
    <row r="13" spans="1:12" x14ac:dyDescent="0.35">
      <c r="A13" s="28" t="s">
        <v>50</v>
      </c>
      <c r="B13" s="132">
        <f>IF(DigitaNICA!G2&lt;&gt;"",DigitaNICA!G2,"")</f>
        <v>99</v>
      </c>
      <c r="C13" s="29">
        <f>IF(DigitaNICA!G4&lt;&gt;"",DigitaNICA!G4,"")</f>
        <v>3900</v>
      </c>
      <c r="D13" s="42">
        <f>IF(C13="",0,C13*J$10)</f>
        <v>507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3393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54</v>
      </c>
      <c r="C15" s="29">
        <f>IF(DigitaTICA!G4&lt;&gt;"",DigitaTICA!G4,"")</f>
        <v>90350</v>
      </c>
      <c r="D15" s="42">
        <f>IF(C15="",0,C15*J$9)</f>
        <v>11745.5</v>
      </c>
      <c r="E15" s="29">
        <f>IF(DigitaTICA!H4&lt;&gt;"",DigitaTICA!H4,"")</f>
        <v>2100</v>
      </c>
      <c r="F15" s="42">
        <f>IF(E15="",0,E15*PREMIOS!F15)</f>
        <v>178500</v>
      </c>
      <c r="G15" s="30">
        <f t="shared" si="3"/>
        <v>-99895.5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>
        <f>IF(DigitaNICA!I4&lt;&gt;"",DigitaNICA!I4,"")</f>
        <v>4600</v>
      </c>
      <c r="D17" s="42">
        <f>IF(C17="",0,C17*J$10)</f>
        <v>598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4002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>
        <f>IF(DigitaPRIMERA!C4&lt;&gt;"",DigitaPRIMERA!C4,"")</f>
        <v>5200</v>
      </c>
      <c r="D19" s="42">
        <f>IF(C19="",0,C19*J$12)</f>
        <v>676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4524</v>
      </c>
    </row>
    <row r="20" spans="1:7" x14ac:dyDescent="0.35">
      <c r="A20" s="28" t="s">
        <v>98</v>
      </c>
      <c r="B20" s="132">
        <f>IF(DigitaPRIMERA!E2&lt;&gt;"",DigitaPRIMERA!E2,"")</f>
        <v>75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1" t="s">
        <v>5</v>
      </c>
      <c r="B21" s="128"/>
      <c r="C21" s="122">
        <f>SUM(C5:C20)</f>
        <v>260100</v>
      </c>
      <c r="D21" s="122">
        <f t="shared" ref="D21:G21" si="6">SUM(D5:D20)</f>
        <v>33813</v>
      </c>
      <c r="E21" s="122">
        <f t="shared" si="6"/>
        <v>3600</v>
      </c>
      <c r="F21" s="122">
        <f t="shared" si="6"/>
        <v>301000</v>
      </c>
      <c r="G21" s="123">
        <f t="shared" si="6"/>
        <v>-74713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131825</v>
      </c>
      <c r="K4" s="231">
        <f t="shared" ref="K4" si="0">D7+D11+D15</f>
        <v>17137.25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42</v>
      </c>
      <c r="C5" s="29">
        <f>IF(DigitaNICA!C5&lt;&gt;"",DigitaNICA!C5,"")</f>
        <v>7850</v>
      </c>
      <c r="D5" s="42">
        <f>IF(C5="",0,C5*J$10)</f>
        <v>1020.5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6829.5</v>
      </c>
      <c r="I5" s="241" t="s">
        <v>37</v>
      </c>
      <c r="J5" s="221">
        <f>SUM(IF(C5="",0,C5),IF(C9="",0,C9),IF(C13="",0,C13),IF(C17="",0,C17))</f>
        <v>19400</v>
      </c>
      <c r="K5" s="225">
        <f t="shared" ref="K5" si="2">D5+D9+D13+D17</f>
        <v>2522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3700</v>
      </c>
      <c r="K6" s="228">
        <f>D19+D20</f>
        <v>481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97</v>
      </c>
      <c r="C7" s="29">
        <f>IF(DigitaTICA!C5&lt;&gt;"",DigitaTICA!C5,"")</f>
        <v>38050</v>
      </c>
      <c r="D7" s="42">
        <f>IF(C7="",0,C7*J$9)</f>
        <v>4946.5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33103.5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00</v>
      </c>
      <c r="C9" s="29">
        <f>IF(DigitaNICA!E5&lt;&gt;"",DigitaNICA!E5,"")</f>
        <v>4950</v>
      </c>
      <c r="D9" s="42">
        <f>IF(C9="",0,C9*J$10)</f>
        <v>643.5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4306.5</v>
      </c>
      <c r="I9" s="60" t="s">
        <v>36</v>
      </c>
      <c r="J9" s="61">
        <v>0.13</v>
      </c>
      <c r="K9" s="62">
        <f>MROUND(D7+D11+D15,50)</f>
        <v>17150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2500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IF(DigitaTICA!E5&lt;&gt;"",DigitaTICA!E5,"")</f>
        <v>21000</v>
      </c>
      <c r="D11" s="42">
        <f>IF(C11="",0,C11*J$9)</f>
        <v>2730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18270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500</v>
      </c>
    </row>
    <row r="13" spans="1:12" x14ac:dyDescent="0.35">
      <c r="A13" s="28" t="s">
        <v>50</v>
      </c>
      <c r="B13" s="132">
        <f>IF(DigitaNICA!G2&lt;&gt;"",DigitaNICA!G2,"")</f>
        <v>99</v>
      </c>
      <c r="C13" s="29">
        <f>IF(DigitaNICA!G5&lt;&gt;"",DigitaNICA!G5,"")</f>
        <v>6600</v>
      </c>
      <c r="D13" s="42">
        <f>IF(C13="",0,C13*J$10)</f>
        <v>858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5742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54</v>
      </c>
      <c r="C15" s="29">
        <f>IF(DigitaTICA!G5&lt;&gt;"",DigitaTICA!G5,"")</f>
        <v>72775</v>
      </c>
      <c r="D15" s="42">
        <f>IF(C15="",0,C15*J$9)</f>
        <v>9460.75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63314.25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>
        <f>IF(DigitaPRIMERA!C5&lt;&gt;"",DigitaPRIMERA!C5,"")</f>
        <v>3700</v>
      </c>
      <c r="D19" s="42">
        <f>IF(C19="",0,C19*J$12)</f>
        <v>481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3219</v>
      </c>
    </row>
    <row r="20" spans="1:7" x14ac:dyDescent="0.35">
      <c r="A20" s="28" t="s">
        <v>98</v>
      </c>
      <c r="B20" s="132">
        <f>IF(DigitaPRIMERA!E2&lt;&gt;"",DigitaPRIMERA!E2,"")</f>
        <v>75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154925</v>
      </c>
      <c r="D21" s="68">
        <f t="shared" ref="D21:G21" si="4">SUM(D5:D20)</f>
        <v>20140.25</v>
      </c>
      <c r="E21" s="68">
        <f t="shared" si="4"/>
        <v>0</v>
      </c>
      <c r="F21" s="68">
        <f t="shared" si="4"/>
        <v>0</v>
      </c>
      <c r="G21" s="88">
        <f t="shared" si="4"/>
        <v>134784.75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>00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99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54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97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00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02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54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117500</v>
      </c>
      <c r="K4" s="231">
        <f t="shared" ref="K4" si="0">D7+D11+D15</f>
        <v>14100</v>
      </c>
      <c r="L4" s="220">
        <f>F7+F11+F15</f>
        <v>29750</v>
      </c>
    </row>
    <row r="5" spans="1:12" x14ac:dyDescent="0.35">
      <c r="A5" s="28" t="s">
        <v>43</v>
      </c>
      <c r="B5" s="132">
        <f>IF(DigitaNICA!C2&lt;&gt;"",DigitaNICA!C2,"")</f>
        <v>42</v>
      </c>
      <c r="C5" s="29">
        <f>IF(DigitaNICA!C8&lt;&gt;"",DigitaNICA!C8,"")</f>
        <v>26000</v>
      </c>
      <c r="D5" s="42">
        <f>IF(C5="",0,C5*J$12)</f>
        <v>3120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22880</v>
      </c>
      <c r="I5" s="241" t="s">
        <v>37</v>
      </c>
      <c r="J5" s="221">
        <f>SUM(IF(C5="",0,C5),IF(C9="",0,C9),IF(C13="",0,C13),IF(C17="",0,C17))</f>
        <v>59650</v>
      </c>
      <c r="K5" s="225">
        <f t="shared" ref="K5" si="2">D5+D9+D13+D17</f>
        <v>7158</v>
      </c>
      <c r="L5" s="222">
        <f>F5+F9+F13+F17</f>
        <v>120000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97</v>
      </c>
      <c r="C7" s="29">
        <f>IF(DigitaTICA!C8&lt;&gt;"",DigitaTICA!C8,"")</f>
        <v>45150</v>
      </c>
      <c r="D7" s="42">
        <f>IF(C7="",0,C7*J$11)</f>
        <v>5418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39732</v>
      </c>
      <c r="I7" s="242" t="s">
        <v>96</v>
      </c>
      <c r="J7" s="224">
        <f>SUM(IF(C19="",0,C19),IF(C20="",0,C20))</f>
        <v>19550</v>
      </c>
      <c r="K7" s="228">
        <f>+D19+D20</f>
        <v>2346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00</v>
      </c>
      <c r="C9" s="29">
        <f>IF(DigitaNICA!E8&lt;&gt;"",DigitaNICA!E8,"")</f>
        <v>21550</v>
      </c>
      <c r="D9" s="42">
        <f>IF(C9="",0,C9*J$12)</f>
        <v>2586</v>
      </c>
      <c r="E9" s="29">
        <f>IF(DigitaNICA!F8&lt;&gt;"",DigitaNICA!F8,"")</f>
        <v>1500</v>
      </c>
      <c r="F9" s="42">
        <f>IF(E9="",0,E9*PREMIOS!E9)</f>
        <v>120000</v>
      </c>
      <c r="G9" s="30">
        <f t="shared" si="1"/>
        <v>-101036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IF(DigitaTICA!E8&lt;&gt;"",DigitaTICA!E8,"")</f>
        <v>34300</v>
      </c>
      <c r="D11" s="42">
        <f>IF(C11="",0,C11*J$11)</f>
        <v>4116</v>
      </c>
      <c r="E11" s="29">
        <f>IF(DigitaTICA!F8&lt;&gt;"",DigitaTICA!F8,"")</f>
        <v>350</v>
      </c>
      <c r="F11" s="42">
        <f>IF(E11="",0,E11*PREMIOS!F11)</f>
        <v>29750</v>
      </c>
      <c r="G11" s="30">
        <f t="shared" si="1"/>
        <v>434</v>
      </c>
      <c r="I11" s="60" t="s">
        <v>36</v>
      </c>
      <c r="J11" s="61">
        <v>0.12</v>
      </c>
      <c r="K11" s="62">
        <f>MROUND(D7+D11+D15,50)</f>
        <v>14100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7150</v>
      </c>
    </row>
    <row r="13" spans="1:12" x14ac:dyDescent="0.35">
      <c r="A13" s="28" t="s">
        <v>50</v>
      </c>
      <c r="B13" s="132">
        <f>IF(DigitaNICA!G2&lt;&gt;"",DigitaNICA!G2,"")</f>
        <v>99</v>
      </c>
      <c r="C13" s="29">
        <f>IF(DigitaNICA!G8&lt;&gt;"",DigitaNICA!G8,"")</f>
        <v>5100</v>
      </c>
      <c r="D13" s="42">
        <f>IF(C13="",0,C13*J$12)</f>
        <v>612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4488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2350</v>
      </c>
    </row>
    <row r="15" spans="1:12" x14ac:dyDescent="0.35">
      <c r="A15" s="28" t="s">
        <v>61</v>
      </c>
      <c r="B15" s="132">
        <f>IF(DigitaTICA!G2&lt;&gt;"",DigitaTICA!G2,"")</f>
        <v>54</v>
      </c>
      <c r="C15" s="29">
        <f>IF(DigitaTICA!G8&lt;&gt;"",DigitaTICA!G8,"")</f>
        <v>38050</v>
      </c>
      <c r="D15" s="42">
        <f>IF(C15="",0,C15*J$11)</f>
        <v>4566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33484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>
        <f>IF(DigitaNICA!I8&lt;&gt;"",DigitaNICA!I8,"")</f>
        <v>7000</v>
      </c>
      <c r="D17" s="42">
        <f>IF(C17="",0,C17*J$12)</f>
        <v>840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6160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>
        <f>IF(DigitaPRIMERA!C8&lt;&gt;"",DigitaPRIMERA!C8,"")</f>
        <v>10400</v>
      </c>
      <c r="D19" s="42">
        <f>IF(C19="",0,C19*J$14)</f>
        <v>1248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9152</v>
      </c>
    </row>
    <row r="20" spans="1:7" x14ac:dyDescent="0.35">
      <c r="A20" s="28" t="s">
        <v>98</v>
      </c>
      <c r="B20" s="132">
        <f>IF(DigitaPRIMERA!E2&lt;&gt;"",DigitaPRIMERA!E2,"")</f>
        <v>75</v>
      </c>
      <c r="C20" s="29">
        <f>IF(DigitaPRIMERA!E8&lt;&gt;"",DigitaPRIMERA!E8,"")</f>
        <v>9150</v>
      </c>
      <c r="D20" s="42">
        <f>IF(C20="",0,C20*J$14)</f>
        <v>1098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8052</v>
      </c>
    </row>
    <row r="21" spans="1:7" ht="15" thickBot="1" x14ac:dyDescent="0.4">
      <c r="A21" s="121" t="s">
        <v>5</v>
      </c>
      <c r="B21" s="128"/>
      <c r="C21" s="122">
        <f>SUM(C5:C20)</f>
        <v>196700</v>
      </c>
      <c r="D21" s="122">
        <f t="shared" ref="D21:G21" si="5">SUM(D5:D20)</f>
        <v>23604</v>
      </c>
      <c r="E21" s="122">
        <f t="shared" si="5"/>
        <v>1850</v>
      </c>
      <c r="F21" s="122">
        <f t="shared" si="5"/>
        <v>149750</v>
      </c>
      <c r="G21" s="123">
        <f t="shared" si="5"/>
        <v>23346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42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00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99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54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443300</v>
      </c>
      <c r="K4" s="231">
        <f t="shared" ref="K4" si="0">D7+D11+D15</f>
        <v>53196</v>
      </c>
      <c r="L4" s="220">
        <f>F7+F11+F15</f>
        <v>153000</v>
      </c>
    </row>
    <row r="5" spans="1:12" x14ac:dyDescent="0.35">
      <c r="A5" s="28" t="s">
        <v>43</v>
      </c>
      <c r="B5" s="132">
        <f>IF(DigitaNICA!C2&lt;&gt;"",DigitaNICA!C2,"")</f>
        <v>42</v>
      </c>
      <c r="C5" s="29">
        <f>IF(DigitaNICA!C10&lt;&gt;"",DigitaNICA!C10,"")</f>
        <v>70050</v>
      </c>
      <c r="D5" s="42">
        <f>IF(C5="",0,C5*J$15)</f>
        <v>8406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61644</v>
      </c>
      <c r="I5" s="217" t="s">
        <v>37</v>
      </c>
      <c r="J5" s="221">
        <f>SUM(IF(C5="",0,C5),IF(C9="",0,C9),IF(C13="",0,C13),IF(C17="",0,C17))</f>
        <v>241050</v>
      </c>
      <c r="K5" s="225">
        <f t="shared" ref="K5" si="2">D5+D9+D13+D17</f>
        <v>28926</v>
      </c>
      <c r="L5" s="222">
        <f>F5+F9+F13+F17</f>
        <v>221000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73650</v>
      </c>
      <c r="K6" s="226">
        <f t="shared" ref="K6" si="3">+D8+D12+D16</f>
        <v>7365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97</v>
      </c>
      <c r="C7" s="29">
        <f>IF(DigitaTICA!C10&lt;&gt;"",DigitaTICA!C10,"")</f>
        <v>149800</v>
      </c>
      <c r="D7" s="42">
        <f>IF(C7="",0,C7*J$14)</f>
        <v>17976</v>
      </c>
      <c r="E7" s="29">
        <f>IF(DigitaTICA!D10&lt;&gt;"",DigitaTICA!D10,"")</f>
        <v>500</v>
      </c>
      <c r="F7" s="42">
        <f>IF(E7="",0,E7*PREMIOS!F7)</f>
        <v>42500</v>
      </c>
      <c r="G7" s="30">
        <f t="shared" si="1"/>
        <v>89324</v>
      </c>
      <c r="I7" s="217" t="s">
        <v>96</v>
      </c>
      <c r="J7" s="223">
        <f>SUM(IF(C19="",0,C19),IF(C20="",0,C20))</f>
        <v>38200</v>
      </c>
      <c r="K7" s="226">
        <f>+D19+D20</f>
        <v>4584</v>
      </c>
      <c r="L7" s="227">
        <f>+F19+F20</f>
        <v>42500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27600</v>
      </c>
      <c r="D8" s="42">
        <f>IF(C8="",0,C8*J$16)</f>
        <v>2760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24840</v>
      </c>
      <c r="I8" s="217" t="s">
        <v>104</v>
      </c>
      <c r="J8" s="223">
        <f>SUM(IF(C21="",0,C21),IF(C22="",0,C22),IF(C23="",0,C23))</f>
        <v>34350</v>
      </c>
      <c r="K8" s="226">
        <f t="shared" ref="K8" si="4">D21+D22+D23</f>
        <v>4122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>00</v>
      </c>
      <c r="C9" s="29">
        <f>IF(DigitaNICA!E10&lt;&gt;"",DigitaNICA!E10,"")</f>
        <v>65550</v>
      </c>
      <c r="D9" s="42">
        <f>IF(C9="",0,C9*J$15)</f>
        <v>7866</v>
      </c>
      <c r="E9" s="29">
        <f>IF(DigitaNICA!F10&lt;&gt;"",DigitaNICA!F10,"")</f>
        <v>500</v>
      </c>
      <c r="F9" s="42">
        <f>IF(E9="",0,E9*PREMIOS!F9)</f>
        <v>42500</v>
      </c>
      <c r="G9" s="30">
        <f t="shared" si="1"/>
        <v>15184</v>
      </c>
      <c r="I9" s="217" t="s">
        <v>20</v>
      </c>
      <c r="J9" s="223">
        <f>SUM(IF(C24="",0,C24),IF(C25="",0,C25))</f>
        <v>82200</v>
      </c>
      <c r="K9" s="226">
        <f t="shared" ref="K9" si="5">+D24+D25</f>
        <v>9864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IF(DigitaTICA!E10&lt;&gt;"",DigitaTICA!E10,"")</f>
        <v>88700</v>
      </c>
      <c r="D11" s="42">
        <f>IF(C11="",0,C11*J$14)</f>
        <v>10644</v>
      </c>
      <c r="E11" s="29">
        <f>IF(DigitaTICA!F10&lt;&gt;"",DigitaTICA!F10,"")</f>
        <v>750</v>
      </c>
      <c r="F11" s="42">
        <f>IF(E11="",0,E11*PREMIOS!F11)</f>
        <v>63750</v>
      </c>
      <c r="G11" s="30">
        <f t="shared" si="1"/>
        <v>14306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16350</v>
      </c>
      <c r="D12" s="42">
        <f>IF(C12="",0,C12*J$16)</f>
        <v>1635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14715</v>
      </c>
    </row>
    <row r="13" spans="1:12" ht="15" thickBot="1" x14ac:dyDescent="0.4">
      <c r="A13" s="28" t="s">
        <v>50</v>
      </c>
      <c r="B13" s="132">
        <f>IF(DigitaNICA!G2&lt;&gt;"",DigitaNICA!G2,"")</f>
        <v>99</v>
      </c>
      <c r="C13" s="29">
        <f>IF(DigitaNICA!G10&lt;&gt;"",DigitaNICA!G10,"")</f>
        <v>21150</v>
      </c>
      <c r="D13" s="42">
        <f>IF(C13="",0,C13*J$15)</f>
        <v>2538</v>
      </c>
      <c r="E13" s="29">
        <f>IF(DigitaNICA!H10&lt;&gt;"",DigitaNICA!H10,"")</f>
        <v>750</v>
      </c>
      <c r="F13" s="42">
        <f>IF(E13="",0,E13*PREMIOS!F13)</f>
        <v>63750</v>
      </c>
      <c r="G13" s="30">
        <f>IF(OR(C13="",E13=""),0,C13-D13-F13)</f>
        <v>-45138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53200</v>
      </c>
    </row>
    <row r="15" spans="1:12" x14ac:dyDescent="0.35">
      <c r="A15" s="28" t="s">
        <v>61</v>
      </c>
      <c r="B15" s="132">
        <f>IF(DigitaTICA!G2&lt;&gt;"",DigitaTICA!G2,"")</f>
        <v>54</v>
      </c>
      <c r="C15" s="29">
        <f>IF(DigitaTICA!G10&lt;&gt;"",DigitaTICA!G10,"")</f>
        <v>204800</v>
      </c>
      <c r="D15" s="42">
        <f>IF(C15="",0,C15*J$14)</f>
        <v>24576</v>
      </c>
      <c r="E15" s="29">
        <f>IF(DigitaTICA!H10&lt;&gt;"",DigitaTICA!H10,"")</f>
        <v>550</v>
      </c>
      <c r="F15" s="42">
        <f>IF(E15="",0,E15*PREMIOS!F15)</f>
        <v>46750</v>
      </c>
      <c r="G15" s="30">
        <f t="shared" si="6"/>
        <v>133474</v>
      </c>
      <c r="I15" s="63" t="s">
        <v>37</v>
      </c>
      <c r="J15" s="64">
        <v>0.12</v>
      </c>
      <c r="K15" s="30">
        <f>MROUND(D5+D9+D13+D17,50)</f>
        <v>28950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29700</v>
      </c>
      <c r="D16" s="42">
        <f>IF(C16="",0,C16*J$16)</f>
        <v>2970</v>
      </c>
      <c r="E16" s="29">
        <f>IF(DigitaREVENTADO!H10&lt;&gt;"",DigitaREVENTADO!H10,"")</f>
        <v>500</v>
      </c>
      <c r="F16" s="42">
        <f>IF(E16="",0,E16*PREMIOS!F16)</f>
        <v>0</v>
      </c>
      <c r="G16" s="30">
        <f t="shared" si="6"/>
        <v>26730</v>
      </c>
      <c r="I16" s="63" t="s">
        <v>38</v>
      </c>
      <c r="J16" s="64">
        <v>0.1</v>
      </c>
      <c r="K16" s="30">
        <f>MROUND(D6+D8+D10+D12+D14+D16+D18,50)</f>
        <v>7350</v>
      </c>
    </row>
    <row r="17" spans="1:11" x14ac:dyDescent="0.35">
      <c r="A17" s="28" t="s">
        <v>52</v>
      </c>
      <c r="B17" s="132">
        <f>IF(DigitaNICA!I2&lt;&gt;"",DigitaNICA!I2,"")</f>
        <v>66</v>
      </c>
      <c r="C17" s="29">
        <f>IF(DigitaNICA!I10&lt;&gt;"",DigitaNICA!I10,"")</f>
        <v>84300</v>
      </c>
      <c r="D17" s="42">
        <f>IF(C17="",0,C17*J$15)</f>
        <v>10116</v>
      </c>
      <c r="E17" s="29">
        <f>IF(DigitaNICA!J10&lt;&gt;"",DigitaNICA!J10,"")</f>
        <v>1350</v>
      </c>
      <c r="F17" s="42">
        <f>IF(E17="",0,E17*PREMIOS!F17)</f>
        <v>114750</v>
      </c>
      <c r="G17" s="30">
        <f t="shared" si="6"/>
        <v>-40566</v>
      </c>
      <c r="I17" s="63" t="s">
        <v>96</v>
      </c>
      <c r="J17" s="64">
        <v>0.12</v>
      </c>
      <c r="K17" s="30">
        <f>MROUND(D19+D20,50)</f>
        <v>4600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4100</v>
      </c>
    </row>
    <row r="19" spans="1:11" x14ac:dyDescent="0.35">
      <c r="A19" s="28" t="s">
        <v>97</v>
      </c>
      <c r="B19" s="132">
        <f>IF(DigitaPRIMERA!C2&lt;&gt;"",DigitaPRIMERA!C2,"")</f>
        <v>50</v>
      </c>
      <c r="C19" s="29">
        <f>IF(DigitaPRIMERA!$C$10&lt;&gt;"",DigitaPRIMERA!$C$10,"")</f>
        <v>27100</v>
      </c>
      <c r="D19" s="42">
        <f>IF(C19="",0,C19*J$17)</f>
        <v>3252</v>
      </c>
      <c r="E19" s="29">
        <f>IF(DigitaPRIMERA!$D$10&lt;&gt;"",DigitaPRIMERA!$D$10,"")</f>
        <v>500</v>
      </c>
      <c r="F19" s="42">
        <f>IF(E19="",0,E19*PREMIOS!F19)</f>
        <v>42500</v>
      </c>
      <c r="G19" s="30">
        <f t="shared" ref="G19:G22" si="7">IF(OR(C19="",E19=""),0,C19-D19-F19)</f>
        <v>-18652</v>
      </c>
      <c r="I19" s="63" t="s">
        <v>20</v>
      </c>
      <c r="J19" s="64">
        <v>0.12</v>
      </c>
      <c r="K19" s="30">
        <f>MROUND(D24+D25,50)</f>
        <v>9850</v>
      </c>
    </row>
    <row r="20" spans="1:11" ht="15" thickBot="1" x14ac:dyDescent="0.4">
      <c r="A20" s="28" t="s">
        <v>98</v>
      </c>
      <c r="B20" s="132">
        <f>IF(DigitaPRIMERA!E2&lt;&gt;"",DigitaPRIMERA!E2,"")</f>
        <v>75</v>
      </c>
      <c r="C20" s="29">
        <f>IF(DigitaPRIMERA!$E$10&lt;&gt;"",DigitaPRIMERA!$E$10,"")</f>
        <v>11100</v>
      </c>
      <c r="D20" s="42">
        <f>IF(C20="",0,C20*J$17)</f>
        <v>1332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9768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76</v>
      </c>
      <c r="C21" s="29">
        <f>IF(DigitaHONDURAS!$C$10&lt;&gt;"",DigitaHONDURAS!$C$10,"")</f>
        <v>9650</v>
      </c>
      <c r="D21" s="42">
        <f>IF(C21="",0,C21*J$18)</f>
        <v>1158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8492</v>
      </c>
    </row>
    <row r="22" spans="1:11" x14ac:dyDescent="0.35">
      <c r="A22" s="28" t="s">
        <v>100</v>
      </c>
      <c r="B22" s="132">
        <f>IF(DigitaHONDURAS!E2&lt;&gt;"",DigitaHONDURAS!E2,"")</f>
        <v>41</v>
      </c>
      <c r="C22" s="29">
        <f>IF(DigitaHONDURAS!$E$10&lt;&gt;"",DigitaHONDURAS!$E$10,"")</f>
        <v>9800</v>
      </c>
      <c r="D22" s="42">
        <f>IF(C22="",0,C22*J$18)</f>
        <v>1176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8624</v>
      </c>
    </row>
    <row r="23" spans="1:11" x14ac:dyDescent="0.35">
      <c r="A23" s="28" t="s">
        <v>101</v>
      </c>
      <c r="B23" s="132">
        <f>IF(DigitaHONDURAS!G2&lt;&gt;"",DigitaHONDURAS!G2,"")</f>
        <v>92</v>
      </c>
      <c r="C23" s="29">
        <f>IF(DigitaHONDURAS!$G$10&lt;&gt;"",DigitaHONDURAS!$G$10,"")</f>
        <v>14900</v>
      </c>
      <c r="D23" s="42">
        <f>IF(C23="",0,C23*J$18)</f>
        <v>1788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13112</v>
      </c>
    </row>
    <row r="24" spans="1:11" x14ac:dyDescent="0.35">
      <c r="A24" s="28" t="s">
        <v>107</v>
      </c>
      <c r="B24" s="132">
        <f>IF(DigitaDOMINICANA!C2&lt;&gt;"",DigitaDOMINICANA!C2,"")</f>
        <v>85</v>
      </c>
      <c r="C24" s="29">
        <f>IF(DigitaDOMINICANA!$C$10&lt;&gt;"",DigitaDOMINICANA!$C$10,"")</f>
        <v>37000</v>
      </c>
      <c r="D24" s="42">
        <f>IF(C24="",0,C24*J$19)</f>
        <v>4440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32560</v>
      </c>
    </row>
    <row r="25" spans="1:11" x14ac:dyDescent="0.35">
      <c r="A25" s="28" t="s">
        <v>108</v>
      </c>
      <c r="B25" s="132">
        <f>IF(DigitaDOMINICANA!E2&lt;&gt;"",DigitaDOMINICANA!E2,"")</f>
        <v>70</v>
      </c>
      <c r="C25" s="29">
        <f>IF(DigitaDOMINICANA!$E$10&lt;&gt;"",DigitaDOMINICANA!$E$10,"")</f>
        <v>45200</v>
      </c>
      <c r="D25" s="42">
        <f>IF(C25="",0,C25*J$19)</f>
        <v>5424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39776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912750</v>
      </c>
      <c r="D27" s="68">
        <f t="shared" ref="D27:F27" si="9">SUM(D5:D26)</f>
        <v>108057</v>
      </c>
      <c r="E27" s="68">
        <f t="shared" si="9"/>
        <v>5400</v>
      </c>
      <c r="F27" s="68">
        <f t="shared" si="9"/>
        <v>416500</v>
      </c>
      <c r="G27" s="88">
        <f>SUM(G5:G26)</f>
        <v>388193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6000</v>
      </c>
      <c r="K4" s="231">
        <f t="shared" ref="K4" si="0">D7+D11+D15</f>
        <v>720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97</v>
      </c>
      <c r="C7" s="29">
        <f>IF(DigitaTICA!C11&lt;&gt;"",DigitaTICA!C11,"")</f>
        <v>3000</v>
      </c>
      <c r="D7" s="42">
        <f>IF(C7="",0,C7*J$11)</f>
        <v>360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2640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00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>02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700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99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54</v>
      </c>
      <c r="C15" s="29">
        <f>IF(DigitaTICA!G11&lt;&gt;"",DigitaTICA!G11,"")</f>
        <v>3000</v>
      </c>
      <c r="D15" s="42">
        <f>IF(C15="",0,C15*J$11)</f>
        <v>360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2640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75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6000</v>
      </c>
      <c r="D21" s="122">
        <f t="shared" ref="D21:G21" si="5">SUM(D5:D20)</f>
        <v>720</v>
      </c>
      <c r="E21" s="122">
        <f t="shared" si="5"/>
        <v>0</v>
      </c>
      <c r="F21" s="122">
        <f t="shared" si="5"/>
        <v>0</v>
      </c>
      <c r="G21" s="123">
        <f t="shared" si="5"/>
        <v>5280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30"/>
  <sheetViews>
    <sheetView showGridLines="0" topLeftCell="A10" zoomScale="90" zoomScaleNormal="90" workbookViewId="0">
      <selection activeCell="G31" sqref="G31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66000</v>
      </c>
      <c r="K4" s="231">
        <f>D7+D11+D15</f>
        <v>7920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42</v>
      </c>
      <c r="C5" s="29">
        <f>IF(DigitaNICA!C12&lt;&gt;"",DigitaNICA!C12,"")</f>
        <v>44100</v>
      </c>
      <c r="D5" s="42">
        <f>IF(C5="",0,C5*J$12)</f>
        <v>5292</v>
      </c>
      <c r="E5" s="29">
        <f>IF(DigitaNICA!D12&lt;&gt;"",DigitaNICA!D12,"")</f>
        <v>850</v>
      </c>
      <c r="F5" s="42">
        <f>IF(E5="",0,E5*PREMIOS!F5)</f>
        <v>72250</v>
      </c>
      <c r="G5" s="30">
        <f t="shared" ref="G5:G12" si="0">IF(OR(C5="",E5=""),0,C5-D5-F5)</f>
        <v>-33442</v>
      </c>
      <c r="I5" s="217" t="s">
        <v>37</v>
      </c>
      <c r="J5" s="221">
        <f>SUM(IF(C5="",0,C5),IF(C9="",0,C9),IF(C13="",0,C13),IF(C17="",0,C17))</f>
        <v>64600</v>
      </c>
      <c r="K5" s="225">
        <f t="shared" ref="K5" si="1">D5+D9+D13+D17</f>
        <v>7752</v>
      </c>
      <c r="L5" s="222">
        <f>F5+F9+F13+F17</f>
        <v>97750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2750</v>
      </c>
      <c r="K6" s="226">
        <f t="shared" ref="K6" si="2">+D8+D12+D16</f>
        <v>275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97</v>
      </c>
      <c r="C7" s="29">
        <f>IF(DigitaTICA!C12&lt;&gt;"",DigitaTICA!C12,"")</f>
        <v>44900</v>
      </c>
      <c r="D7" s="42">
        <f>IF(C7="",0,C7*J$11)</f>
        <v>5388</v>
      </c>
      <c r="E7" s="29">
        <f>IF(DigitaTICA!D12&lt;&gt;"",DigitaTICA!D12,"")</f>
        <v>250</v>
      </c>
      <c r="F7" s="42">
        <f>IF(E7="",0,E7*PREMIOS!F7)</f>
        <v>21250</v>
      </c>
      <c r="G7" s="30">
        <f t="shared" si="0"/>
        <v>18262</v>
      </c>
      <c r="I7" s="217" t="s">
        <v>96</v>
      </c>
      <c r="J7" s="223">
        <f>SUM(IF(C19="",0,C19),IF(C20="",0,C20))</f>
        <v>42200</v>
      </c>
      <c r="K7" s="226">
        <f>+D19+D20</f>
        <v>5064</v>
      </c>
      <c r="L7" s="227">
        <f>+F19+F20</f>
        <v>80750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2750</v>
      </c>
      <c r="D8" s="42">
        <f>IF(C8="",0,C8*J$13)</f>
        <v>275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2475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00</v>
      </c>
      <c r="C9" s="29">
        <f>IF(DigitaNICA!E12&lt;&gt;"",DigitaNICA!E12,"")</f>
        <v>20500</v>
      </c>
      <c r="D9" s="42">
        <f>IF(C9="",0,C9*J$12)</f>
        <v>2460</v>
      </c>
      <c r="E9" s="29">
        <f>IF(DigitaNICA!F12&lt;&gt;"",DigitaNICA!F12,"")</f>
        <v>300</v>
      </c>
      <c r="F9" s="42">
        <f>IF(E9="",0,E9*PREMIOS!F9)</f>
        <v>25500</v>
      </c>
      <c r="G9" s="30">
        <f t="shared" si="0"/>
        <v>-7460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IF(DigitaTICA!E12&lt;&gt;"",DigitaTICA!E12,"")</f>
        <v>21100</v>
      </c>
      <c r="D11" s="42">
        <f>IF(C11="",0,C11*J$11)</f>
        <v>2532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-2682</v>
      </c>
      <c r="I11" s="60" t="s">
        <v>36</v>
      </c>
      <c r="J11" s="61">
        <v>0.12</v>
      </c>
      <c r="K11" s="62">
        <f>MROUND(D7+D11+D15,50)</f>
        <v>7900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7750</v>
      </c>
    </row>
    <row r="13" spans="1:12" x14ac:dyDescent="0.35">
      <c r="A13" s="28" t="s">
        <v>50</v>
      </c>
      <c r="B13" s="132">
        <f>IF(DigitaNICA!G2&lt;&gt;"",DigitaNICA!G2,"")</f>
        <v>99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5050</v>
      </c>
    </row>
    <row r="15" spans="1:12" ht="15" thickBot="1" x14ac:dyDescent="0.4">
      <c r="A15" s="28" t="s">
        <v>61</v>
      </c>
      <c r="B15" s="132">
        <f>IF(DigitaTICA!G2&lt;&gt;"",DigitaTICA!G2,"")</f>
        <v>54</v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>
        <f>IF(DigitaPRIMERA!$C$12&lt;&gt;"",DigitaPRIMERA!$C$12,"")</f>
        <v>42200</v>
      </c>
      <c r="D19" s="42">
        <f>IF(C19="",0,C19*J$14)</f>
        <v>5064</v>
      </c>
      <c r="E19" s="29">
        <f>IF(DigitaPRIMERA!$D$12&lt;&gt;"",DigitaPRIMERA!$D$12,"")</f>
        <v>950</v>
      </c>
      <c r="F19" s="42">
        <f>IF(E19="",0,E19*PREMIOS!F19)</f>
        <v>80750</v>
      </c>
      <c r="G19" s="30">
        <f t="shared" si="3"/>
        <v>-43614</v>
      </c>
    </row>
    <row r="20" spans="1:7" x14ac:dyDescent="0.35">
      <c r="A20" s="28" t="s">
        <v>98</v>
      </c>
      <c r="B20" s="132">
        <f>IF(DigitaPRIMERA!E2&lt;&gt;"",DigitaPRIMERA!E2,"")</f>
        <v>75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76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92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175550</v>
      </c>
      <c r="D24" s="68">
        <f t="shared" ref="D24:G24" si="4">SUM(D5:D23)</f>
        <v>21011</v>
      </c>
      <c r="E24" s="68">
        <f t="shared" si="4"/>
        <v>2600</v>
      </c>
      <c r="F24" s="68">
        <f t="shared" si="4"/>
        <v>221000</v>
      </c>
      <c r="G24" s="88">
        <f t="shared" si="4"/>
        <v>-66461</v>
      </c>
    </row>
    <row r="27" spans="1:7" x14ac:dyDescent="0.35">
      <c r="G27" s="21">
        <v>-147779</v>
      </c>
    </row>
    <row r="28" spans="1:7" x14ac:dyDescent="0.35">
      <c r="G28" s="141">
        <f>+G24+G27</f>
        <v>-214240</v>
      </c>
    </row>
    <row r="29" spans="1:7" x14ac:dyDescent="0.35">
      <c r="G29" s="21">
        <v>100000</v>
      </c>
    </row>
    <row r="30" spans="1:7" x14ac:dyDescent="0.35">
      <c r="G30" s="141">
        <f>+G28+G29</f>
        <v>-114240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116950</v>
      </c>
      <c r="K4" s="231">
        <f t="shared" ref="K4" si="0">D7+D11+D15</f>
        <v>14034</v>
      </c>
      <c r="L4" s="220">
        <f>F7+F11+F15</f>
        <v>34000</v>
      </c>
    </row>
    <row r="5" spans="1:12" ht="15" thickBot="1" x14ac:dyDescent="0.4">
      <c r="A5" s="28" t="s">
        <v>43</v>
      </c>
      <c r="B5" s="132">
        <f>IF(DigitaNICA!C2&lt;&gt;"",DigitaNICA!C2,"")</f>
        <v>42</v>
      </c>
      <c r="C5" s="29">
        <f>IF(DigitaNICA!C13&lt;&gt;"",DigitaNICA!C13,"")</f>
        <v>49200</v>
      </c>
      <c r="D5" s="42">
        <f>IF(C5="",0,C5*J$10)</f>
        <v>5904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43296</v>
      </c>
      <c r="I5" s="218" t="s">
        <v>37</v>
      </c>
      <c r="J5" s="232">
        <f>SUM(IF(C5="",0,C5),IF(C9="",0,C9),IF(C13="",0,C13),IF(C17="",0,C17))</f>
        <v>75550</v>
      </c>
      <c r="K5" s="233">
        <f t="shared" ref="K5" si="2">D5+D9+D13+D17</f>
        <v>9066</v>
      </c>
      <c r="L5" s="234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97</v>
      </c>
      <c r="C7" s="29">
        <f>IF(DigitaTICA!C13&lt;&gt;"",DigitaTICA!C13,"")</f>
        <v>52450</v>
      </c>
      <c r="D7" s="42">
        <f>IF(C7="",0,C7*J$9)</f>
        <v>6294</v>
      </c>
      <c r="E7" s="29">
        <f>IF(DigitaTICA!D13&lt;&gt;"",DigitaTICA!D13,"")</f>
        <v>400</v>
      </c>
      <c r="F7" s="133">
        <f>IF(E7="",0,E7*PREMIOS!F7)</f>
        <v>34000</v>
      </c>
      <c r="G7" s="30">
        <f t="shared" si="1"/>
        <v>12156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00</v>
      </c>
      <c r="C9" s="29">
        <f>IF(DigitaNICA!E13&lt;&gt;"",DigitaNICA!E13,"")</f>
        <v>19500</v>
      </c>
      <c r="D9" s="42">
        <f>IF(C9="",0,C9*J$10)</f>
        <v>2340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17160</v>
      </c>
      <c r="I9" s="60" t="s">
        <v>36</v>
      </c>
      <c r="J9" s="61">
        <v>0.12</v>
      </c>
      <c r="K9" s="62">
        <f>MROUND(D7+D11+D15,50)</f>
        <v>14050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9050</v>
      </c>
    </row>
    <row r="11" spans="1:12" ht="15" thickBot="1" x14ac:dyDescent="0.4">
      <c r="A11" s="28" t="s">
        <v>59</v>
      </c>
      <c r="B11" s="132" t="str">
        <f>IF(DigitaTICA!E2&lt;&gt;"",DigitaTICA!E2,"")</f>
        <v>02</v>
      </c>
      <c r="C11" s="29">
        <f>IF(DigitaTICA!E13&lt;&gt;"",DigitaTICA!E13,"")</f>
        <v>30450</v>
      </c>
      <c r="D11" s="42">
        <f>IF(C11="",0,C11*J$9)</f>
        <v>3654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26796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99</v>
      </c>
      <c r="C13" s="29">
        <f>IF(DigitaNICA!G13&lt;&gt;"",DigitaNICA!G13,"")</f>
        <v>3600</v>
      </c>
      <c r="D13" s="42">
        <f>IF(C13="",0,C13*J$10)</f>
        <v>432</v>
      </c>
      <c r="E13" s="29">
        <f>IF(DigitaNICA!H13&lt;&gt;"",DigitaNICA!H13,"")</f>
        <v>100</v>
      </c>
      <c r="F13" s="133">
        <f>IF(E13="",0,E13*PREMIOS!E13)</f>
        <v>8000</v>
      </c>
      <c r="G13" s="30">
        <f>IF(OR(C13="",E13=""),0,C13-D13-F13)</f>
        <v>-4832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54</v>
      </c>
      <c r="C15" s="29">
        <f>IF(DigitaTICA!G13&lt;&gt;"",DigitaTICA!G13,"")</f>
        <v>34050</v>
      </c>
      <c r="D15" s="42">
        <f>IF(C15="",0,C15*J$9)</f>
        <v>4086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29964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>
        <f>IF(DigitaNICA!I13&lt;&gt;"",DigitaNICA!I13,"")</f>
        <v>3250</v>
      </c>
      <c r="D17" s="42">
        <f>IF(C17="",0,C17*J$10)</f>
        <v>390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2860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192500</v>
      </c>
      <c r="D19" s="68">
        <f>MROUND(SUM(D5:D18),50)</f>
        <v>23100</v>
      </c>
      <c r="E19" s="68">
        <f>SUM(E5:E18)</f>
        <v>500</v>
      </c>
      <c r="F19" s="68">
        <f>SUM(F5:F18)</f>
        <v>42000</v>
      </c>
      <c r="G19" s="88">
        <f>SUM(G5:G18)</f>
        <v>127400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102850</v>
      </c>
      <c r="K4" s="236">
        <f t="shared" ref="K4" si="0">D7+D11+D15</f>
        <v>15427.5</v>
      </c>
      <c r="L4" s="237">
        <f>F7+F11+F15</f>
        <v>96000</v>
      </c>
    </row>
    <row r="5" spans="1:12" x14ac:dyDescent="0.35">
      <c r="A5" s="28" t="s">
        <v>43</v>
      </c>
      <c r="B5" s="132">
        <f>IF(DigitaNICA!C2&lt;&gt;"",DigitaNICA!C2,"")</f>
        <v>42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97</v>
      </c>
      <c r="C7" s="29">
        <f>IF(DigitaTICA!C14&lt;&gt;"",DigitaTICA!C14,"")</f>
        <v>47150</v>
      </c>
      <c r="D7" s="42">
        <f>IF(C7="",0,C7*J$9)</f>
        <v>7072.5</v>
      </c>
      <c r="E7" s="29">
        <f>IF(DigitaTICA!D14&lt;&gt;"",DigitaTICA!D14,"")</f>
        <v>1000</v>
      </c>
      <c r="F7" s="42">
        <f>IF(E7="",0,E7*PREMIOS!E7)</f>
        <v>80000</v>
      </c>
      <c r="G7" s="30">
        <f t="shared" si="1"/>
        <v>-39922.5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00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15450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02</v>
      </c>
      <c r="C11" s="29">
        <f>IF(DigitaTICA!E14&lt;&gt;"",DigitaTICA!E14,"")</f>
        <v>26700</v>
      </c>
      <c r="D11" s="42">
        <f>IF(C11="",0,C11*J$9)</f>
        <v>4005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22695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99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54</v>
      </c>
      <c r="C15" s="29">
        <f>IF(DigitaTICA!G14&lt;&gt;"",DigitaTICA!G14,"")</f>
        <v>29000</v>
      </c>
      <c r="D15" s="42">
        <f>IF(C15="",0,C15*J$9)</f>
        <v>4350</v>
      </c>
      <c r="E15" s="29">
        <f>IF(DigitaTICA!H14&lt;&gt;"",DigitaTICA!H14,"")</f>
        <v>200</v>
      </c>
      <c r="F15" s="42">
        <f>IF(E15="",0,E15*PREMIOS!E15)</f>
        <v>16000</v>
      </c>
      <c r="G15" s="30">
        <f t="shared" si="2"/>
        <v>8650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102850</v>
      </c>
      <c r="D19" s="68">
        <f>MROUND(SUM(D5:D18),50)</f>
        <v>15450</v>
      </c>
      <c r="E19" s="68">
        <f>SUM(E5:E18)</f>
        <v>1200</v>
      </c>
      <c r="F19" s="68">
        <f>SUM(F5:F18)</f>
        <v>96000</v>
      </c>
      <c r="G19" s="88">
        <f>SUM(G5:G18)</f>
        <v>-8577.5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42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00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02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54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47300</v>
      </c>
      <c r="K4" s="231">
        <f>D7+D11+D15</f>
        <v>5676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42</v>
      </c>
      <c r="C5" s="29">
        <f>IF(DigitaNICA!C16&lt;&gt;"",DigitaNICA!C16,"")</f>
        <v>13850</v>
      </c>
      <c r="D5" s="42">
        <f>IF(C5="",0,C5*J$12)</f>
        <v>1662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12188</v>
      </c>
      <c r="I5" s="63" t="s">
        <v>37</v>
      </c>
      <c r="J5" s="225">
        <f>SUM(IF(C5="",0,C5),IF(C9="",0,C9),IF(C13="",0,C13),IF(C17="",0,C17))</f>
        <v>18500</v>
      </c>
      <c r="K5" s="225">
        <f t="shared" ref="K5" si="1">D5+D9+D13+D17</f>
        <v>2220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2500</v>
      </c>
      <c r="K6" s="226">
        <f t="shared" ref="K6" si="2">+D8+D12+D16</f>
        <v>250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97</v>
      </c>
      <c r="C7" s="29">
        <f>IF(DigitaTICA!C16&lt;&gt;"",DigitaTICA!C16,"")</f>
        <v>8700</v>
      </c>
      <c r="D7" s="42">
        <f>IF(C7="",0,C7*J$11)</f>
        <v>1044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7656</v>
      </c>
      <c r="I7" s="63" t="s">
        <v>96</v>
      </c>
      <c r="J7" s="226">
        <f>SUM(IF(C19="",0,C19),IF(C20="",0,C20))</f>
        <v>5450</v>
      </c>
      <c r="K7" s="226">
        <f>+D19+D20</f>
        <v>654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500</v>
      </c>
      <c r="D8" s="42">
        <f>IF(C8="",0,C8*J$13)</f>
        <v>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450</v>
      </c>
      <c r="I8" s="65" t="s">
        <v>104</v>
      </c>
      <c r="J8" s="228">
        <f>SUM(IF(C21="",0,C21),IF(C22="",0,C22),IF(C23="",0,C23))</f>
        <v>4700</v>
      </c>
      <c r="K8" s="228">
        <f>D21+D22+D23</f>
        <v>564</v>
      </c>
      <c r="L8" s="229">
        <f>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00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3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IF(DigitaTICA!E16&lt;&gt;"",DigitaTICA!E16,"")</f>
        <v>17100</v>
      </c>
      <c r="D11" s="42">
        <f>IF(C11="",0,C11*J$11)</f>
        <v>2052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-6202</v>
      </c>
      <c r="I11" s="76" t="s">
        <v>36</v>
      </c>
      <c r="J11" s="77">
        <v>0.12</v>
      </c>
      <c r="K11" s="78">
        <f>MROUND(D7+D11+D15,50)</f>
        <v>5700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2000</v>
      </c>
      <c r="D12" s="42">
        <f>IF(C12="",0,C12*J$13)</f>
        <v>200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1800</v>
      </c>
      <c r="I12" s="63" t="s">
        <v>37</v>
      </c>
      <c r="J12" s="64">
        <v>0.12</v>
      </c>
      <c r="K12" s="30">
        <f>MROUND(D5+D9+D13+D17,50)</f>
        <v>2200</v>
      </c>
    </row>
    <row r="13" spans="1:12" x14ac:dyDescent="0.35">
      <c r="A13" s="28" t="s">
        <v>50</v>
      </c>
      <c r="B13" s="132">
        <f>IF(DigitaNICA!G2&lt;&gt;"",DigitaNICA!G2,"")</f>
        <v>99</v>
      </c>
      <c r="C13" s="29">
        <f>IF(DigitaNICA!G16&lt;&gt;"",DigitaNICA!G16,"")</f>
        <v>2650</v>
      </c>
      <c r="D13" s="42">
        <f>IF(C13="",0,C13*J$12)</f>
        <v>318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2332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650</v>
      </c>
    </row>
    <row r="15" spans="1:12" ht="15" thickBot="1" x14ac:dyDescent="0.4">
      <c r="A15" s="28" t="s">
        <v>61</v>
      </c>
      <c r="B15" s="132">
        <f>IF(DigitaTICA!G2&lt;&gt;"",DigitaTICA!G2,"")</f>
        <v>54</v>
      </c>
      <c r="C15" s="29">
        <f>IF(DigitaTICA!G16&lt;&gt;"",DigitaTICA!G16,"")</f>
        <v>21500</v>
      </c>
      <c r="D15" s="42">
        <f>IF(C15="",0,C15*J$11)</f>
        <v>2580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18920</v>
      </c>
      <c r="I15" s="65" t="s">
        <v>104</v>
      </c>
      <c r="J15" s="66">
        <v>0.12</v>
      </c>
      <c r="K15" s="50">
        <f>MROUND(D21+D22+D23,50)</f>
        <v>550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>
        <f>IF(DigitaNICA!I16&lt;&gt;"",DigitaNICA!I16,"")</f>
        <v>2000</v>
      </c>
      <c r="D17" s="42">
        <f>IF(C17="",0,C17*J$12)</f>
        <v>240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1760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>
        <f>IF(DigitaPRIMERA!C16&lt;&gt;"",DigitaPRIMERA!C16,"")</f>
        <v>5450</v>
      </c>
      <c r="D19" s="42">
        <f>IF(C19="",0,C19*J$14)</f>
        <v>654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4796</v>
      </c>
    </row>
    <row r="20" spans="1:7" x14ac:dyDescent="0.35">
      <c r="A20" s="28" t="s">
        <v>98</v>
      </c>
      <c r="B20" s="132">
        <f>IF(DigitaPRIMERA!E2&lt;&gt;"",DigitaPRIMERA!E2,"")</f>
        <v>75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76</v>
      </c>
      <c r="C21" s="29">
        <f>IF(DigitaHONDURAS!$C$16&lt;&gt;"",DigitaHONDURAS!$C$16,"")</f>
        <v>4700</v>
      </c>
      <c r="D21" s="42">
        <f>IF(C21="",0,C21*J$15)</f>
        <v>564</v>
      </c>
      <c r="E21" s="29">
        <f>IF(DigitaHONDURAS!$D$16&lt;&gt;"",DigitaHONDURAS!$D$16,"")</f>
        <v>0</v>
      </c>
      <c r="F21" s="42">
        <f>IF(E21="",0,E21*PREMIOS!E20)</f>
        <v>0</v>
      </c>
      <c r="G21" s="30">
        <f t="shared" si="3"/>
        <v>4136</v>
      </c>
    </row>
    <row r="22" spans="1:7" x14ac:dyDescent="0.35">
      <c r="A22" s="28" t="s">
        <v>100</v>
      </c>
      <c r="B22" s="132">
        <f>IF(DigitaHONDURAS!E2&lt;&gt;"",DigitaHONDURAS!E2,"")</f>
        <v>41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92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78450</v>
      </c>
      <c r="D24" s="122">
        <f t="shared" ref="D24:G24" si="5">SUM(D5:D23)</f>
        <v>9364</v>
      </c>
      <c r="E24" s="122">
        <f t="shared" si="5"/>
        <v>250</v>
      </c>
      <c r="F24" s="122">
        <f t="shared" si="5"/>
        <v>21250</v>
      </c>
      <c r="G24" s="123">
        <f t="shared" si="5"/>
        <v>47836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405550</v>
      </c>
      <c r="K4" s="231">
        <f t="shared" ref="K4" si="0">D7+D11+D15</f>
        <v>48666</v>
      </c>
      <c r="L4" s="220">
        <f>F7+F11+F15</f>
        <v>289000</v>
      </c>
    </row>
    <row r="5" spans="1:12" x14ac:dyDescent="0.35">
      <c r="A5" s="28" t="s">
        <v>43</v>
      </c>
      <c r="B5" s="132">
        <f>IF(DigitaNICA!C2&lt;&gt;"",DigitaNICA!C2,"")</f>
        <v>42</v>
      </c>
      <c r="C5" s="89">
        <f>IF(DigitaNICA!C17&lt;&gt;"",DigitaNICA!C17,"")</f>
        <v>168950</v>
      </c>
      <c r="D5" s="42">
        <f>IF(C5="",0,C5*J$16)</f>
        <v>20274</v>
      </c>
      <c r="E5" s="89">
        <f>IF(DigitaNICA!D17&lt;&gt;"",DigitaNICA!D17,"")</f>
        <v>1200</v>
      </c>
      <c r="F5" s="42">
        <f>IF(E5="",0,E5*PREMIOS!F5)</f>
        <v>102000</v>
      </c>
      <c r="G5" s="90">
        <f t="shared" ref="G5:G12" si="1">IF(OR(C5="",E5=""),0,C5-D5-F5)</f>
        <v>46676</v>
      </c>
      <c r="I5" s="217" t="s">
        <v>37</v>
      </c>
      <c r="J5" s="221">
        <f>SUM(IF(C5="",0,C5),IF(C9="",0,C9),IF(C13="",0,C13),IF(C17="",0,C17))</f>
        <v>476550</v>
      </c>
      <c r="K5" s="225">
        <f t="shared" ref="K5" si="2">D5+D9+D13+D17</f>
        <v>57186</v>
      </c>
      <c r="L5" s="222">
        <f>F5+F9+F13+F17</f>
        <v>357000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58050</v>
      </c>
      <c r="K6" s="226">
        <f t="shared" ref="K6" si="3">+D8+D12+D16</f>
        <v>5805</v>
      </c>
      <c r="L6" s="227">
        <f>+F8+F12+F16</f>
        <v>20000</v>
      </c>
    </row>
    <row r="7" spans="1:12" x14ac:dyDescent="0.35">
      <c r="A7" s="28" t="s">
        <v>46</v>
      </c>
      <c r="B7" s="132">
        <f>IF(DigitaTICA!C2&lt;&gt;"",DigitaTICA!C2,"")</f>
        <v>97</v>
      </c>
      <c r="C7" s="89">
        <f>IF(DigitaTICA!C17&lt;&gt;"",DigitaTICA!C17,"")</f>
        <v>129650</v>
      </c>
      <c r="D7" s="42">
        <f>IF(C7="",0,C7*J$15)</f>
        <v>15558</v>
      </c>
      <c r="E7" s="89">
        <f>IF(DigitaTICA!D17&lt;&gt;"",DigitaTICA!D17,"")</f>
        <v>400</v>
      </c>
      <c r="F7" s="42">
        <f>IF(E7="",0,E7*PREMIOS!F7)</f>
        <v>34000</v>
      </c>
      <c r="G7" s="90">
        <f t="shared" si="1"/>
        <v>80092</v>
      </c>
      <c r="I7" s="217" t="s">
        <v>96</v>
      </c>
      <c r="J7" s="223">
        <f>SUM(IF(C19="",0,C19),IF(C20="",0,C20))</f>
        <v>146400</v>
      </c>
      <c r="K7" s="226">
        <f>+D19+D20</f>
        <v>17568</v>
      </c>
      <c r="L7" s="227">
        <f>+F19+F20</f>
        <v>85000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19050</v>
      </c>
      <c r="D8" s="42">
        <f>IF(C8="",0,C8*J$17)</f>
        <v>1905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17145</v>
      </c>
      <c r="I8" s="217" t="s">
        <v>104</v>
      </c>
      <c r="J8" s="223">
        <f>SUM(IF(C21="",0,C21),IF(C22="",0,C22),IF(C23="",0,C23))</f>
        <v>71050</v>
      </c>
      <c r="K8" s="226">
        <f t="shared" ref="K8" si="4">D21+D22+D23</f>
        <v>8526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>00</v>
      </c>
      <c r="C9" s="89">
        <f>IF(DigitaNICA!E17&lt;&gt;"",DigitaNICA!E17,"")</f>
        <v>77300</v>
      </c>
      <c r="D9" s="42">
        <f>IF(C9="",0,C9*J$16)</f>
        <v>9276</v>
      </c>
      <c r="E9" s="89">
        <f>IF(DigitaNICA!F17&lt;&gt;"",DigitaNICA!F17,"")</f>
        <v>250</v>
      </c>
      <c r="F9" s="42">
        <f>IF(E9="",0,E9*PREMIOS!F9)</f>
        <v>21250</v>
      </c>
      <c r="G9" s="90">
        <f t="shared" si="1"/>
        <v>46774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89">
        <f>IF(DigitaTICA!E17&lt;&gt;"",DigitaTICA!E17,"")</f>
        <v>96900</v>
      </c>
      <c r="D11" s="42">
        <f>IF(C11="",0,C11*J$15)</f>
        <v>11628</v>
      </c>
      <c r="E11" s="89">
        <f>IF(DigitaTICA!F17&lt;&gt;"",DigitaTICA!F17,"")</f>
        <v>500</v>
      </c>
      <c r="F11" s="42">
        <f>IF(E11="",0,E11*PREMIOS!F11)</f>
        <v>42500</v>
      </c>
      <c r="G11" s="90">
        <f t="shared" si="1"/>
        <v>42772</v>
      </c>
    </row>
    <row r="12" spans="1:12" x14ac:dyDescent="0.35">
      <c r="A12" s="28" t="s">
        <v>60</v>
      </c>
      <c r="B12" s="132" t="str">
        <f>IF(B11&lt;&gt;"",PREMIOS!B12,"")</f>
        <v>Roja</v>
      </c>
      <c r="C12" s="89">
        <f>IF(DigitaREVENTADO!E17&lt;&gt;"",DigitaREVENTADO!E17,"")</f>
        <v>13650</v>
      </c>
      <c r="D12" s="42">
        <f>IF(C12="",0,C12*J$17)</f>
        <v>1365</v>
      </c>
      <c r="E12" s="89">
        <f>IF(DigitaREVENTADO!F17&lt;&gt;"",DigitaREVENTADO!F17,"")</f>
        <v>100</v>
      </c>
      <c r="F12" s="42">
        <f>IF(E12="",0,E12*PREMIOS!F12)</f>
        <v>20000</v>
      </c>
      <c r="G12" s="90">
        <f t="shared" si="1"/>
        <v>-7715</v>
      </c>
    </row>
    <row r="13" spans="1:12" ht="15" thickBot="1" x14ac:dyDescent="0.4">
      <c r="A13" s="28" t="s">
        <v>50</v>
      </c>
      <c r="B13" s="132">
        <f>IF(DigitaNICA!G2&lt;&gt;"",DigitaNICA!G2,"")</f>
        <v>99</v>
      </c>
      <c r="C13" s="89">
        <f>IF(DigitaNICA!G17&lt;&gt;"",DigitaNICA!G17,"")</f>
        <v>52850</v>
      </c>
      <c r="D13" s="42">
        <f>IF(C13="",0,C13*J$16)</f>
        <v>6342</v>
      </c>
      <c r="E13" s="89">
        <f>IF(DigitaNICA!H17&lt;&gt;"",DigitaNICA!H17,"")</f>
        <v>600</v>
      </c>
      <c r="F13" s="42">
        <f>IF(E13="",0,E13*PREMIOS!F13)</f>
        <v>51000</v>
      </c>
      <c r="G13" s="90">
        <f>IF(OR(C13="",E13=""),0,C13-D13-F13)</f>
        <v>-4492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54</v>
      </c>
      <c r="C15" s="89">
        <f>IF(DigitaTICA!G17&lt;&gt;"",DigitaTICA!G17,"")</f>
        <v>179000</v>
      </c>
      <c r="D15" s="42">
        <f>IF(C15="",0,C15*J$15)</f>
        <v>21480</v>
      </c>
      <c r="E15" s="89">
        <f>IF(DigitaTICA!H17&lt;&gt;"",DigitaTICA!H17,"")</f>
        <v>2500</v>
      </c>
      <c r="F15" s="42">
        <f>IF(E15="",0,E15*PREMIOS!F15)</f>
        <v>212500</v>
      </c>
      <c r="G15" s="90">
        <f t="shared" si="6"/>
        <v>-54980</v>
      </c>
      <c r="I15" s="76" t="s">
        <v>36</v>
      </c>
      <c r="J15" s="77">
        <v>0.12</v>
      </c>
      <c r="K15" s="78">
        <f>MROUND(D7+D11+D15,50)</f>
        <v>48650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25350</v>
      </c>
      <c r="D16" s="42">
        <f>IF(C16="",0,C16*J$17)</f>
        <v>2535</v>
      </c>
      <c r="E16" s="89">
        <f>IF(DigitaREVENTADO!H17&lt;&gt;"",DigitaREVENTADO!H17,"")</f>
        <v>1000</v>
      </c>
      <c r="F16" s="42">
        <f>IF(E16="",0,E16*PREMIOS!F16)</f>
        <v>0</v>
      </c>
      <c r="G16" s="90">
        <f t="shared" si="6"/>
        <v>22815</v>
      </c>
      <c r="I16" s="63" t="s">
        <v>37</v>
      </c>
      <c r="J16" s="64">
        <v>0.12</v>
      </c>
      <c r="K16" s="30">
        <f>MROUND(D5+D9+D13+D17,50)</f>
        <v>57200</v>
      </c>
    </row>
    <row r="17" spans="1:11" x14ac:dyDescent="0.35">
      <c r="A17" s="28" t="s">
        <v>52</v>
      </c>
      <c r="B17" s="132">
        <f>IF(DigitaNICA!I2&lt;&gt;"",DigitaNICA!I2,"")</f>
        <v>66</v>
      </c>
      <c r="C17" s="89">
        <f>IF(DigitaNICA!I17&lt;&gt;"",DigitaNICA!I17,"")</f>
        <v>177450</v>
      </c>
      <c r="D17" s="42">
        <f>IF(C17="",0,C17*J$16)</f>
        <v>21294</v>
      </c>
      <c r="E17" s="89">
        <f>IF(DigitaNICA!J17&lt;&gt;"",DigitaNICA!J17,"")</f>
        <v>2150</v>
      </c>
      <c r="F17" s="42">
        <f>IF(E17="",0,E17*PREMIOS!F17)</f>
        <v>182750</v>
      </c>
      <c r="G17" s="90">
        <f t="shared" si="6"/>
        <v>-26594</v>
      </c>
      <c r="I17" s="63" t="s">
        <v>38</v>
      </c>
      <c r="J17" s="64">
        <v>0.1</v>
      </c>
      <c r="K17" s="30">
        <f>MROUND(D6+D8+D10+D12+D14+D16+D18,50)</f>
        <v>5800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17550</v>
      </c>
    </row>
    <row r="19" spans="1:11" x14ac:dyDescent="0.35">
      <c r="A19" s="28" t="s">
        <v>97</v>
      </c>
      <c r="B19" s="132">
        <f>IF(DigitaPRIMERA!C2&lt;&gt;"",DigitaPRIMERA!C2,"")</f>
        <v>50</v>
      </c>
      <c r="C19" s="29">
        <f>IF(DigitaPRIMERA!$C$17&lt;&gt;"",DigitaPRIMERA!$C$17,"")</f>
        <v>121750</v>
      </c>
      <c r="D19" s="42">
        <f>IF(C19="",0,C19*J$18)</f>
        <v>14610</v>
      </c>
      <c r="E19" s="29">
        <f>IF(DigitaPRIMERA!$D$17&lt;&gt;"",DigitaPRIMERA!$D$17,"")</f>
        <v>600</v>
      </c>
      <c r="F19" s="42">
        <f>IF(E19="",0,E19*PREMIOS!F19)</f>
        <v>51000</v>
      </c>
      <c r="G19" s="30">
        <f t="shared" si="6"/>
        <v>56140</v>
      </c>
      <c r="I19" s="63" t="s">
        <v>104</v>
      </c>
      <c r="J19" s="64">
        <v>0.12</v>
      </c>
      <c r="K19" s="30">
        <f>MROUND(D21+D22+D23,50)</f>
        <v>8550</v>
      </c>
    </row>
    <row r="20" spans="1:11" x14ac:dyDescent="0.35">
      <c r="A20" s="28" t="s">
        <v>98</v>
      </c>
      <c r="B20" s="132">
        <f>IF(DigitaPRIMERA!E2&lt;&gt;"",DigitaPRIMERA!E2,"")</f>
        <v>75</v>
      </c>
      <c r="C20" s="29">
        <f>IF(DigitaPRIMERA!$E$17&lt;&gt;"",DigitaPRIMERA!$E$17,"")</f>
        <v>24650</v>
      </c>
      <c r="D20" s="42">
        <f>IF(C20="",0,C20*J$18)</f>
        <v>2958</v>
      </c>
      <c r="E20" s="29">
        <f>IF(DigitaPRIMERA!$F$17&lt;&gt;"",DigitaPRIMERA!$F$17,"")</f>
        <v>400</v>
      </c>
      <c r="F20" s="42">
        <f>IF(E20="",0,E20*PREMIOS!F19)</f>
        <v>34000</v>
      </c>
      <c r="G20" s="30">
        <f t="shared" si="6"/>
        <v>-12308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76</v>
      </c>
      <c r="C21" s="29">
        <f>IF(DigitaHONDURAS!$C$17&lt;&gt;"",DigitaHONDURAS!$C$17,"")</f>
        <v>44150</v>
      </c>
      <c r="D21" s="42">
        <f>IF(C21="",0,C21*J$19)</f>
        <v>5298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38852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41</v>
      </c>
      <c r="C22" s="29">
        <f>IF(DigitaHONDURAS!$E$17&lt;&gt;"",DigitaHONDURAS!$E$17,"")</f>
        <v>10850</v>
      </c>
      <c r="D22" s="42">
        <f>IF(C22="",0,C22*J$19)</f>
        <v>1302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9548</v>
      </c>
    </row>
    <row r="23" spans="1:11" x14ac:dyDescent="0.35">
      <c r="A23" s="28" t="s">
        <v>101</v>
      </c>
      <c r="B23" s="132">
        <f>IF(DigitaHONDURAS!G2&lt;&gt;"",DigitaHONDURAS!G2,"")</f>
        <v>92</v>
      </c>
      <c r="C23" s="29">
        <f>IF(DigitaHONDURAS!$G$17&lt;&gt;"",DigitaHONDURAS!$G$17,"")</f>
        <v>16050</v>
      </c>
      <c r="D23" s="42">
        <f>IF(C23="",0,C23*J$19)</f>
        <v>1926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14124</v>
      </c>
    </row>
    <row r="24" spans="1:11" x14ac:dyDescent="0.35">
      <c r="A24" s="28" t="s">
        <v>102</v>
      </c>
      <c r="B24" s="132">
        <f>IF(DigitaDOMINICANA!C2&lt;&gt;"",DigitaDOMINICANA!C2,"")</f>
        <v>85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1157600</v>
      </c>
      <c r="D27" s="68">
        <f t="shared" ref="D27:G27" si="7">SUM(D5:D26)</f>
        <v>137751</v>
      </c>
      <c r="E27" s="68">
        <f t="shared" si="7"/>
        <v>9700</v>
      </c>
      <c r="F27" s="68">
        <f t="shared" si="7"/>
        <v>751000</v>
      </c>
      <c r="G27" s="88">
        <f t="shared" si="7"/>
        <v>268849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224900</v>
      </c>
      <c r="K4" s="231">
        <f t="shared" ref="K4" si="0">D7+D11+D15</f>
        <v>26988</v>
      </c>
      <c r="L4" s="220">
        <f>F7+F11+F15</f>
        <v>195500</v>
      </c>
    </row>
    <row r="5" spans="1:12" x14ac:dyDescent="0.35">
      <c r="A5" s="28" t="str">
        <f>+Vendedor1!A5</f>
        <v>Nica 11am</v>
      </c>
      <c r="B5" s="132">
        <f>IF(DigitaNICA!C2&lt;&gt;"",DigitaNICA!C2,"")</f>
        <v>42</v>
      </c>
      <c r="C5" s="29">
        <f>IF(DigitaNICA!C18&lt;&gt;"",DigitaNICA!C18,"")</f>
        <v>70500</v>
      </c>
      <c r="D5" s="42">
        <f>IF(C5="",0,C5*J$16)</f>
        <v>8460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62040</v>
      </c>
      <c r="I5" s="217" t="s">
        <v>37</v>
      </c>
      <c r="J5" s="221">
        <f>SUM(IF(C5="",0,C5),IF(C9="",0,C9),IF(C13="",0,C13),IF(C17="",0,C17))</f>
        <v>217050</v>
      </c>
      <c r="K5" s="225">
        <f t="shared" ref="K5" si="2">D5+D9+D13+D17</f>
        <v>26046</v>
      </c>
      <c r="L5" s="222">
        <f>F5+F9+F13+F17</f>
        <v>403750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76750</v>
      </c>
      <c r="K6" s="226">
        <f t="shared" ref="K6" si="3">+D8+D12+D16</f>
        <v>7675</v>
      </c>
      <c r="L6" s="227">
        <f>+F8+F12+F16</f>
        <v>60000</v>
      </c>
    </row>
    <row r="7" spans="1:12" x14ac:dyDescent="0.35">
      <c r="A7" s="28" t="str">
        <f>+Vendedor1!A7</f>
        <v>Tica 1pm</v>
      </c>
      <c r="B7" s="132">
        <f>IF(DigitaTICA!C2&lt;&gt;"",DigitaTICA!C2,"")</f>
        <v>97</v>
      </c>
      <c r="C7" s="29">
        <f>IF(DigitaTICA!C18&lt;&gt;"",DigitaTICA!C18,"")</f>
        <v>61850</v>
      </c>
      <c r="D7" s="42">
        <f>IF(C7="",0,C7*J$15)</f>
        <v>7422</v>
      </c>
      <c r="E7" s="29">
        <f>IF(DigitaTICA!D18&lt;&gt;"",DigitaTICA!D18,"")</f>
        <v>1000</v>
      </c>
      <c r="F7" s="42">
        <f>IF(E7="",0,E7*PREMIOS!F7)</f>
        <v>85000</v>
      </c>
      <c r="G7" s="30">
        <f t="shared" si="1"/>
        <v>-30572</v>
      </c>
      <c r="I7" s="217" t="s">
        <v>96</v>
      </c>
      <c r="J7" s="223">
        <f>SUM(IF(C19="",0,C19),IF(C20="",0,C20))</f>
        <v>103100</v>
      </c>
      <c r="K7" s="226">
        <f>+D19+D20</f>
        <v>12372</v>
      </c>
      <c r="L7" s="227">
        <f>+F19+F20</f>
        <v>17000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21900</v>
      </c>
      <c r="D8" s="42">
        <f>IF(C8="",0,C8*J$17)</f>
        <v>2190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19710</v>
      </c>
      <c r="I8" s="217" t="s">
        <v>104</v>
      </c>
      <c r="J8" s="223">
        <f>SUM(IF(C21="",0,C21),IF(C22="",0,C22),IF(C23="",0,C23))</f>
        <v>36000</v>
      </c>
      <c r="K8" s="226">
        <f t="shared" ref="K8" si="4">D21+D22+D23</f>
        <v>4320</v>
      </c>
      <c r="L8" s="227">
        <f>F21+F22+F23</f>
        <v>0</v>
      </c>
    </row>
    <row r="9" spans="1:12" x14ac:dyDescent="0.35">
      <c r="A9" s="28" t="str">
        <f>+Vendedor1!A9</f>
        <v>Nica 3pm</v>
      </c>
      <c r="B9" s="132" t="str">
        <f>IF(DigitaNICA!E2&lt;&gt;"",DigitaNICA!E2,"")</f>
        <v>00</v>
      </c>
      <c r="C9" s="29">
        <f>IF(DigitaNICA!E18&lt;&gt;"",DigitaNICA!E18,"")</f>
        <v>48950</v>
      </c>
      <c r="D9" s="42">
        <f>IF(C9="",0,C9*J$16)</f>
        <v>5874</v>
      </c>
      <c r="E9" s="29">
        <f>IF(DigitaNICA!F18&lt;&gt;"",DigitaNICA!F18,"")</f>
        <v>2150</v>
      </c>
      <c r="F9" s="42">
        <f>IF(E9="",0,E9*PREMIOS!F9)</f>
        <v>182750</v>
      </c>
      <c r="G9" s="30">
        <f t="shared" si="1"/>
        <v>-139674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IF(DigitaTICA!E18&lt;&gt;"",DigitaTICA!E18,"")</f>
        <v>58350</v>
      </c>
      <c r="D11" s="42">
        <f>IF(C11="",0,C11*J$15)</f>
        <v>7002</v>
      </c>
      <c r="E11" s="29">
        <f>IF(DigitaTICA!F18&lt;&gt;"",DigitaTICA!F18,"")</f>
        <v>1100</v>
      </c>
      <c r="F11" s="42">
        <f>IF(E11="",0,E11*PREMIOS!F11)</f>
        <v>93500</v>
      </c>
      <c r="G11" s="30">
        <f t="shared" si="1"/>
        <v>-42152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IF(DigitaREVENTADO!E18&lt;&gt;"",DigitaREVENTADO!E18,"")</f>
        <v>21650</v>
      </c>
      <c r="D12" s="42">
        <f>IF(C12="",0,C12*J$17)</f>
        <v>2165</v>
      </c>
      <c r="E12" s="29">
        <f>IF(DigitaREVENTADO!F18&lt;&gt;"",DigitaREVENTADO!F18,"")</f>
        <v>300</v>
      </c>
      <c r="F12" s="42">
        <f>IF(E12="",0,E12*PREMIOS!F12)</f>
        <v>60000</v>
      </c>
      <c r="G12" s="30">
        <f t="shared" si="1"/>
        <v>-40515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99</v>
      </c>
      <c r="C13" s="29">
        <f>IF(DigitaNICA!G18&lt;&gt;"",DigitaNICA!G18,"")</f>
        <v>55100</v>
      </c>
      <c r="D13" s="42">
        <f>IF(C13="",0,C13*J$16)</f>
        <v>6612</v>
      </c>
      <c r="E13" s="29">
        <f>IF(DigitaNICA!H18&lt;&gt;"",DigitaNICA!H18,"")</f>
        <v>1400</v>
      </c>
      <c r="F13" s="42">
        <f>IF(E13="",0,E13*PREMIOS!F13)</f>
        <v>119000</v>
      </c>
      <c r="G13" s="30">
        <f>IF(OR(C13="",E13=""),0,C13-D13-F13)</f>
        <v>-70512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54</v>
      </c>
      <c r="C15" s="29">
        <f>IF(DigitaTICA!G18&lt;&gt;"",DigitaTICA!G18,"")</f>
        <v>104700</v>
      </c>
      <c r="D15" s="42">
        <f>IF(C15="",0,C15*J$15)</f>
        <v>12564</v>
      </c>
      <c r="E15" s="29">
        <f>IF(DigitaTICA!H18&lt;&gt;"",DigitaTICA!H18,"")</f>
        <v>200</v>
      </c>
      <c r="F15" s="42">
        <f>IF(E15="",0,E15*PREMIOS!F15)</f>
        <v>17000</v>
      </c>
      <c r="G15" s="30">
        <f t="shared" si="6"/>
        <v>75136</v>
      </c>
      <c r="I15" s="76" t="s">
        <v>36</v>
      </c>
      <c r="J15" s="77">
        <v>0.12</v>
      </c>
      <c r="K15" s="78">
        <f>MROUND(D7+D11+D15,50)</f>
        <v>27000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33200</v>
      </c>
      <c r="D16" s="42">
        <f>IF(C16="",0,C16*J$17)</f>
        <v>3320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29880</v>
      </c>
      <c r="I16" s="63" t="s">
        <v>37</v>
      </c>
      <c r="J16" s="64">
        <v>0.12</v>
      </c>
      <c r="K16" s="30">
        <f>MROUND(D5+D9+D13+D17,50)</f>
        <v>26050</v>
      </c>
    </row>
    <row r="17" spans="1:11" x14ac:dyDescent="0.35">
      <c r="A17" s="28" t="str">
        <f>+Vendedor1!A17</f>
        <v>Nica 9pm</v>
      </c>
      <c r="B17" s="132">
        <f>IF(DigitaNICA!I2&lt;&gt;"",DigitaNICA!I2,"")</f>
        <v>66</v>
      </c>
      <c r="C17" s="29">
        <f>IF(DigitaNICA!I18&lt;&gt;"",DigitaNICA!I18,"")</f>
        <v>42500</v>
      </c>
      <c r="D17" s="42">
        <f>IF(C17="",0,C17*J$16)</f>
        <v>5100</v>
      </c>
      <c r="E17" s="29">
        <f>IF(DigitaNICA!J18&lt;&gt;"",DigitaNICA!J18,"")</f>
        <v>1200</v>
      </c>
      <c r="F17" s="42">
        <f>IF(E17="",0,E17*PREMIOS!F17)</f>
        <v>102000</v>
      </c>
      <c r="G17" s="30">
        <f t="shared" si="6"/>
        <v>-64600</v>
      </c>
      <c r="I17" s="63" t="s">
        <v>38</v>
      </c>
      <c r="J17" s="64">
        <v>0.1</v>
      </c>
      <c r="K17" s="30">
        <f>MROUND(D6+D8+D10+D12+D14+D16+D18,50)</f>
        <v>7700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12350</v>
      </c>
    </row>
    <row r="19" spans="1:11" x14ac:dyDescent="0.35">
      <c r="A19" s="28" t="s">
        <v>97</v>
      </c>
      <c r="B19" s="132">
        <f>IF(DigitaPRIMERA!C2&lt;&gt;"",DigitaPRIMERA!C2,"")</f>
        <v>50</v>
      </c>
      <c r="C19" s="29">
        <f>IF(DigitaPRIMERA!$C$18&lt;&gt;"",DigitaPRIMERA!$C$18,"")</f>
        <v>56400</v>
      </c>
      <c r="D19" s="42">
        <f>IF(C19="",0,C19*J$18)</f>
        <v>6768</v>
      </c>
      <c r="E19" s="29">
        <f>IF(DigitaPRIMERA!$D$18&lt;&gt;"",DigitaPRIMERA!$D$18,"")</f>
        <v>200</v>
      </c>
      <c r="F19" s="42">
        <f>IF(E19="",0,E19*PREMIOS!F19)</f>
        <v>17000</v>
      </c>
      <c r="G19" s="30">
        <f t="shared" si="6"/>
        <v>32632</v>
      </c>
      <c r="I19" s="63" t="s">
        <v>104</v>
      </c>
      <c r="J19" s="64">
        <v>0.12</v>
      </c>
      <c r="K19" s="30">
        <f>MROUND(D21+D22+D23,50)</f>
        <v>4300</v>
      </c>
    </row>
    <row r="20" spans="1:11" x14ac:dyDescent="0.35">
      <c r="A20" s="28" t="s">
        <v>98</v>
      </c>
      <c r="B20" s="132">
        <f>IF(DigitaPRIMERA!E2&lt;&gt;"",DigitaPRIMERA!E2,"")</f>
        <v>75</v>
      </c>
      <c r="C20" s="29">
        <f>IF(DigitaPRIMERA!$E$18&lt;&gt;"",DigitaPRIMERA!$E$18,"")</f>
        <v>46700</v>
      </c>
      <c r="D20" s="42">
        <f>IF(C20="",0,C20*J$18)</f>
        <v>5604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41096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76</v>
      </c>
      <c r="C21" s="29">
        <f>IF(DigitaHONDURAS!$C$18&lt;&gt;"",DigitaHONDURAS!$C$18,"")</f>
        <v>21100</v>
      </c>
      <c r="D21" s="42">
        <f>IF(C21="",0,C21*J$19)</f>
        <v>2532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18568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41</v>
      </c>
      <c r="C22" s="29">
        <f>IF(DigitaHONDURAS!$E$18&lt;&gt;"",DigitaHONDURAS!$E$18,"")</f>
        <v>6500</v>
      </c>
      <c r="D22" s="42">
        <f>IF(C22="",0,C22*J$19)</f>
        <v>780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5720</v>
      </c>
    </row>
    <row r="23" spans="1:11" x14ac:dyDescent="0.35">
      <c r="A23" s="28" t="s">
        <v>101</v>
      </c>
      <c r="B23" s="132">
        <f>IF(DigitaHONDURAS!G2&lt;&gt;"",DigitaHONDURAS!G2,"")</f>
        <v>92</v>
      </c>
      <c r="C23" s="29">
        <f>IF(DigitaHONDURAS!$G$18&lt;&gt;"",DigitaHONDURAS!$G$18,"")</f>
        <v>8400</v>
      </c>
      <c r="D23" s="42">
        <f>IF(C23="",0,C23*J$19)</f>
        <v>1008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7392</v>
      </c>
    </row>
    <row r="24" spans="1:11" x14ac:dyDescent="0.35">
      <c r="A24" s="28" t="s">
        <v>102</v>
      </c>
      <c r="B24" s="132">
        <f>IF(DigitaDOMINICANA!C2&lt;&gt;"",DigitaDOMINICANA!C2,"")</f>
        <v>85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657800</v>
      </c>
      <c r="D27" s="68">
        <f t="shared" ref="D27:G27" si="7">SUM(D5:D26)</f>
        <v>77401</v>
      </c>
      <c r="E27" s="68">
        <f t="shared" si="7"/>
        <v>7550</v>
      </c>
      <c r="F27" s="68">
        <f t="shared" si="7"/>
        <v>676250</v>
      </c>
      <c r="G27" s="88">
        <f t="shared" si="7"/>
        <v>-95851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42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97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 t="str">
        <f>IF(DigitaNICA!E2&lt;&gt;"",DigitaNICA!E2,"")</f>
        <v>00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02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99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54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66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97</v>
      </c>
      <c r="D2" s="268"/>
      <c r="E2" s="267" t="str">
        <f>IF(PREMIOS!$B11="","",PREMIOS!$B11)</f>
        <v>02</v>
      </c>
      <c r="F2" s="268"/>
      <c r="G2" s="267">
        <f>IF(PREMIOS!$B15="","",PREMIOS!$B15)</f>
        <v>54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68300</v>
      </c>
      <c r="D4" s="78">
        <f t="shared" ref="D4:H27" si="0">IF(C4="","",0)</f>
        <v>0</v>
      </c>
      <c r="E4" s="189">
        <v>33450</v>
      </c>
      <c r="F4" s="78">
        <v>500</v>
      </c>
      <c r="G4" s="189">
        <v>90350</v>
      </c>
      <c r="H4" s="78">
        <v>2100</v>
      </c>
      <c r="J4" s="42">
        <f t="shared" ref="J4:J8" si="1">+C4+E4+G4</f>
        <v>192100</v>
      </c>
      <c r="K4" s="42">
        <f>IF(D4="",0,IF(F4="",D4,IF(H4="",D4+F4,D4+F4+H4)))</f>
        <v>2600</v>
      </c>
    </row>
    <row r="5" spans="1:11" x14ac:dyDescent="0.35">
      <c r="A5" s="47">
        <v>2</v>
      </c>
      <c r="B5" s="178" t="str">
        <f>Vendedor2!$B$2</f>
        <v>PUESTO 2</v>
      </c>
      <c r="C5" s="180">
        <v>38050</v>
      </c>
      <c r="D5" s="30">
        <f t="shared" si="0"/>
        <v>0</v>
      </c>
      <c r="E5" s="180">
        <v>21000</v>
      </c>
      <c r="F5" s="30">
        <f t="shared" si="0"/>
        <v>0</v>
      </c>
      <c r="G5" s="180">
        <v>72775</v>
      </c>
      <c r="H5" s="30">
        <f t="shared" si="0"/>
        <v>0</v>
      </c>
      <c r="J5" s="42">
        <f t="shared" si="1"/>
        <v>131825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45150</v>
      </c>
      <c r="D8" s="30">
        <f t="shared" si="0"/>
        <v>0</v>
      </c>
      <c r="E8" s="180">
        <v>34300</v>
      </c>
      <c r="F8" s="30">
        <v>350</v>
      </c>
      <c r="G8" s="180">
        <v>38050</v>
      </c>
      <c r="H8" s="30">
        <f t="shared" si="0"/>
        <v>0</v>
      </c>
      <c r="J8" s="42">
        <f t="shared" si="1"/>
        <v>117500</v>
      </c>
      <c r="K8" s="42">
        <f t="shared" si="2"/>
        <v>350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42100+107700</f>
        <v>149800</v>
      </c>
      <c r="D10" s="30">
        <f>500+0</f>
        <v>500</v>
      </c>
      <c r="E10" s="180">
        <f>21650+67050</f>
        <v>88700</v>
      </c>
      <c r="F10" s="30">
        <v>750</v>
      </c>
      <c r="G10" s="180">
        <f>64400+140400</f>
        <v>204800</v>
      </c>
      <c r="H10" s="30">
        <f>500+50</f>
        <v>550</v>
      </c>
      <c r="J10" s="42">
        <f t="shared" si="3"/>
        <v>443300</v>
      </c>
      <c r="K10" s="42">
        <f t="shared" si="2"/>
        <v>1800</v>
      </c>
    </row>
    <row r="11" spans="1:11" x14ac:dyDescent="0.35">
      <c r="A11" s="47">
        <v>8</v>
      </c>
      <c r="B11" s="178" t="str">
        <f>Vendedor8!$B$2</f>
        <v>ISA</v>
      </c>
      <c r="C11" s="180">
        <v>3000</v>
      </c>
      <c r="D11" s="30">
        <f t="shared" si="0"/>
        <v>0</v>
      </c>
      <c r="E11" s="180"/>
      <c r="F11" s="30" t="str">
        <f t="shared" si="0"/>
        <v/>
      </c>
      <c r="G11" s="180">
        <v>3000</v>
      </c>
      <c r="H11" s="30">
        <f t="shared" si="0"/>
        <v>0</v>
      </c>
      <c r="J11" s="42">
        <f t="shared" si="3"/>
        <v>6000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44900</v>
      </c>
      <c r="D12" s="30">
        <v>250</v>
      </c>
      <c r="E12" s="180">
        <v>21100</v>
      </c>
      <c r="F12" s="30">
        <v>250</v>
      </c>
      <c r="G12" s="180"/>
      <c r="H12" s="30" t="str">
        <f t="shared" si="0"/>
        <v/>
      </c>
      <c r="J12" s="42">
        <f t="shared" si="3"/>
        <v>66000</v>
      </c>
      <c r="K12" s="42">
        <f t="shared" si="2"/>
        <v>500</v>
      </c>
    </row>
    <row r="13" spans="1:11" x14ac:dyDescent="0.35">
      <c r="A13" s="47">
        <v>10</v>
      </c>
      <c r="B13" s="178" t="str">
        <f>Vendedor10!$B$2</f>
        <v>MARIALIZ</v>
      </c>
      <c r="C13" s="180">
        <v>52450</v>
      </c>
      <c r="D13" s="30">
        <v>400</v>
      </c>
      <c r="E13" s="180">
        <v>30450</v>
      </c>
      <c r="F13" s="30">
        <f t="shared" si="0"/>
        <v>0</v>
      </c>
      <c r="G13" s="180">
        <v>34050</v>
      </c>
      <c r="H13" s="30">
        <f t="shared" si="0"/>
        <v>0</v>
      </c>
      <c r="J13" s="42">
        <f t="shared" si="3"/>
        <v>116950</v>
      </c>
      <c r="K13" s="42">
        <f t="shared" si="2"/>
        <v>400</v>
      </c>
    </row>
    <row r="14" spans="1:11" x14ac:dyDescent="0.35">
      <c r="A14" s="47">
        <v>11</v>
      </c>
      <c r="B14" s="178" t="str">
        <f>Vendedor11!$B$2</f>
        <v>CHARLY</v>
      </c>
      <c r="C14" s="180">
        <v>47150</v>
      </c>
      <c r="D14" s="30">
        <v>1000</v>
      </c>
      <c r="E14" s="180">
        <v>26700</v>
      </c>
      <c r="F14" s="30">
        <f t="shared" si="0"/>
        <v>0</v>
      </c>
      <c r="G14" s="180">
        <v>29000</v>
      </c>
      <c r="H14" s="30">
        <v>200</v>
      </c>
      <c r="J14" s="42">
        <f t="shared" si="3"/>
        <v>102850</v>
      </c>
      <c r="K14" s="42">
        <f t="shared" si="2"/>
        <v>1200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8700</v>
      </c>
      <c r="D16" s="30">
        <f t="shared" si="0"/>
        <v>0</v>
      </c>
      <c r="E16" s="180">
        <v>17100</v>
      </c>
      <c r="F16" s="30">
        <v>250</v>
      </c>
      <c r="G16" s="180">
        <v>21500</v>
      </c>
      <c r="H16" s="30">
        <f t="shared" si="0"/>
        <v>0</v>
      </c>
      <c r="J16" s="42">
        <f t="shared" si="3"/>
        <v>47300</v>
      </c>
      <c r="K16" s="42">
        <f t="shared" si="2"/>
        <v>250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106750+22900</f>
        <v>129650</v>
      </c>
      <c r="D17" s="30">
        <f>400+0</f>
        <v>400</v>
      </c>
      <c r="E17" s="180">
        <f>80900+16000</f>
        <v>96900</v>
      </c>
      <c r="F17" s="30">
        <f>400+100</f>
        <v>500</v>
      </c>
      <c r="G17" s="180">
        <f>145500+33500</f>
        <v>179000</v>
      </c>
      <c r="H17" s="30">
        <f>1000+1500</f>
        <v>2500</v>
      </c>
      <c r="J17" s="42">
        <f t="shared" si="3"/>
        <v>405550</v>
      </c>
      <c r="K17" s="42">
        <f t="shared" si="2"/>
        <v>3400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38350+23500</f>
        <v>61850</v>
      </c>
      <c r="D18" s="30">
        <f>1000+0</f>
        <v>1000</v>
      </c>
      <c r="E18" s="180">
        <f>36700+21650</f>
        <v>58350</v>
      </c>
      <c r="F18" s="30">
        <f>800+300</f>
        <v>1100</v>
      </c>
      <c r="G18" s="180">
        <f>67200+37500</f>
        <v>104700</v>
      </c>
      <c r="H18" s="30">
        <f>200+0</f>
        <v>200</v>
      </c>
      <c r="J18" s="42">
        <f t="shared" si="3"/>
        <v>224900</v>
      </c>
      <c r="K18" s="42">
        <f t="shared" si="2"/>
        <v>2300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649000</v>
      </c>
      <c r="D32" s="44">
        <f t="shared" si="6"/>
        <v>3550</v>
      </c>
      <c r="E32" s="43">
        <f t="shared" si="6"/>
        <v>428050</v>
      </c>
      <c r="F32" s="44">
        <f t="shared" si="6"/>
        <v>3700</v>
      </c>
      <c r="G32" s="43">
        <f t="shared" si="6"/>
        <v>777225</v>
      </c>
      <c r="H32" s="44">
        <f t="shared" si="6"/>
        <v>5550</v>
      </c>
      <c r="J32" s="95">
        <f>SUM(J4:J31)</f>
        <v>1854275</v>
      </c>
      <c r="K32" s="95"/>
    </row>
    <row r="33" spans="2:8" x14ac:dyDescent="0.35">
      <c r="D33" s="99">
        <f>+D32*85</f>
        <v>301750</v>
      </c>
      <c r="F33" s="99">
        <f>+F32*85</f>
        <v>314500</v>
      </c>
      <c r="H33" s="99">
        <f>+H32*85</f>
        <v>471750</v>
      </c>
    </row>
    <row r="34" spans="2:8" x14ac:dyDescent="0.35">
      <c r="B34" s="247" t="s">
        <v>149</v>
      </c>
      <c r="C34" s="43">
        <f t="shared" ref="C34:H34" si="7">+C4+C5+C6+C8+C13</f>
        <v>203950</v>
      </c>
      <c r="D34" s="43" t="e">
        <f t="shared" si="7"/>
        <v>#VALUE!</v>
      </c>
      <c r="E34" s="43">
        <f t="shared" si="7"/>
        <v>119200</v>
      </c>
      <c r="F34" s="43" t="e">
        <f t="shared" si="7"/>
        <v>#VALUE!</v>
      </c>
      <c r="G34" s="43">
        <f t="shared" si="7"/>
        <v>235225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241650</v>
      </c>
      <c r="D35" s="43" t="e">
        <f t="shared" ref="D35:H35" si="8">+D11+D14+D15+D17+D18</f>
        <v>#VALUE!</v>
      </c>
      <c r="E35" s="43">
        <f t="shared" si="8"/>
        <v>181950</v>
      </c>
      <c r="F35" s="43" t="e">
        <f t="shared" si="8"/>
        <v>#VALUE!</v>
      </c>
      <c r="G35" s="43">
        <f t="shared" si="8"/>
        <v>315700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194700</v>
      </c>
      <c r="D36" s="43" t="e">
        <f t="shared" ref="D36:H36" si="9">+D10+D12+D27</f>
        <v>#VALUE!</v>
      </c>
      <c r="E36" s="43">
        <f t="shared" si="9"/>
        <v>109800</v>
      </c>
      <c r="F36" s="43" t="e">
        <f t="shared" si="9"/>
        <v>#VALUE!</v>
      </c>
      <c r="G36" s="43">
        <f t="shared" si="9"/>
        <v>204800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5" sqref="I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42</v>
      </c>
      <c r="D2" s="268"/>
      <c r="E2" s="267" t="str">
        <f>IF(PREMIOS!$B9="","",PREMIOS!$B9)</f>
        <v>00</v>
      </c>
      <c r="F2" s="268"/>
      <c r="G2" s="267">
        <f>IF(PREMIOS!$B13="","",PREMIOS!$B13)</f>
        <v>99</v>
      </c>
      <c r="H2" s="268"/>
      <c r="I2" s="267">
        <f>IF(PREMIOS!$B17="","",PREMIOS!$B17)</f>
        <v>66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40300</v>
      </c>
      <c r="D4" s="78">
        <v>500</v>
      </c>
      <c r="E4" s="206">
        <v>13000</v>
      </c>
      <c r="F4" s="78">
        <v>500</v>
      </c>
      <c r="G4" s="189">
        <v>3900</v>
      </c>
      <c r="H4" s="78">
        <f t="shared" ref="H4:H27" si="0">IF(G4="","",0)</f>
        <v>0</v>
      </c>
      <c r="I4" s="189">
        <v>4600</v>
      </c>
      <c r="J4" s="78">
        <f t="shared" ref="D4:J27" si="1">IF(I4="","",0)</f>
        <v>0</v>
      </c>
      <c r="L4" s="42">
        <f t="shared" ref="L4:L8" si="2">+C4+E4+G4+I4</f>
        <v>61800</v>
      </c>
      <c r="M4" s="42">
        <f>IF(D4=0,0,IF(F4="",D4,IF(H4="",D4+F4,IF(J4="",D4+F4+H4,D4+F4+H4+J4))))</f>
        <v>1000</v>
      </c>
    </row>
    <row r="5" spans="1:13" x14ac:dyDescent="0.35">
      <c r="A5" s="47">
        <v>2</v>
      </c>
      <c r="B5" s="178" t="str">
        <f>Vendedor2!$B$2</f>
        <v>PUESTO 2</v>
      </c>
      <c r="C5" s="180">
        <v>7850</v>
      </c>
      <c r="D5" s="30">
        <f t="shared" si="1"/>
        <v>0</v>
      </c>
      <c r="E5" s="207">
        <v>4950</v>
      </c>
      <c r="F5" s="30">
        <f t="shared" si="1"/>
        <v>0</v>
      </c>
      <c r="G5" s="180">
        <v>6600</v>
      </c>
      <c r="H5" s="30">
        <f t="shared" si="0"/>
        <v>0</v>
      </c>
      <c r="I5" s="180"/>
      <c r="J5" s="30" t="str">
        <f t="shared" ref="J5:J27" si="3">IF(I5="","",0)</f>
        <v/>
      </c>
      <c r="L5" s="42">
        <f t="shared" si="2"/>
        <v>19400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207"/>
      <c r="F6" s="30" t="str">
        <f t="shared" si="1"/>
        <v/>
      </c>
      <c r="G6" s="180"/>
      <c r="H6" s="30" t="str">
        <f t="shared" si="0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207"/>
      <c r="F7" s="30" t="str">
        <f t="shared" si="1"/>
        <v/>
      </c>
      <c r="G7" s="180"/>
      <c r="H7" s="30" t="str">
        <f t="shared" si="0"/>
        <v/>
      </c>
      <c r="I7" s="180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26000</v>
      </c>
      <c r="D8" s="30">
        <f t="shared" si="1"/>
        <v>0</v>
      </c>
      <c r="E8" s="207">
        <v>21550</v>
      </c>
      <c r="F8" s="30">
        <v>1500</v>
      </c>
      <c r="G8" s="180">
        <v>5100</v>
      </c>
      <c r="H8" s="30">
        <f t="shared" si="0"/>
        <v>0</v>
      </c>
      <c r="I8" s="180">
        <v>7000</v>
      </c>
      <c r="J8" s="30">
        <f t="shared" si="1"/>
        <v>0</v>
      </c>
      <c r="L8" s="42">
        <f t="shared" si="2"/>
        <v>59650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207"/>
      <c r="F9" s="30" t="str">
        <f t="shared" si="1"/>
        <v/>
      </c>
      <c r="G9" s="180"/>
      <c r="H9" s="30" t="str">
        <f t="shared" si="0"/>
        <v/>
      </c>
      <c r="I9" s="180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25500+44550</f>
        <v>70050</v>
      </c>
      <c r="D10" s="30">
        <f t="shared" si="1"/>
        <v>0</v>
      </c>
      <c r="E10" s="207">
        <f>15000+50550</f>
        <v>65550</v>
      </c>
      <c r="F10" s="30">
        <v>500</v>
      </c>
      <c r="G10" s="180">
        <f>7250+13900</f>
        <v>21150</v>
      </c>
      <c r="H10" s="30">
        <f>750+0</f>
        <v>750</v>
      </c>
      <c r="I10" s="180">
        <f>58150+26150</f>
        <v>84300</v>
      </c>
      <c r="J10" s="30">
        <f>1100+250</f>
        <v>1350</v>
      </c>
      <c r="L10" s="42">
        <f t="shared" si="5"/>
        <v>241050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1"/>
        <v/>
      </c>
      <c r="E11" s="207"/>
      <c r="F11" s="30" t="str">
        <f t="shared" si="1"/>
        <v/>
      </c>
      <c r="G11" s="180"/>
      <c r="H11" s="30" t="str">
        <f t="shared" si="1"/>
        <v/>
      </c>
      <c r="I11" s="180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44100</v>
      </c>
      <c r="D12" s="30">
        <v>850</v>
      </c>
      <c r="E12" s="207">
        <v>20500</v>
      </c>
      <c r="F12" s="30">
        <v>300</v>
      </c>
      <c r="G12" s="180"/>
      <c r="H12" s="30" t="str">
        <f t="shared" si="1"/>
        <v/>
      </c>
      <c r="I12" s="180"/>
      <c r="J12" s="30" t="str">
        <f t="shared" si="1"/>
        <v/>
      </c>
      <c r="L12" s="42">
        <f t="shared" si="5"/>
        <v>64600</v>
      </c>
      <c r="M12" s="42">
        <f t="shared" si="4"/>
        <v>1150</v>
      </c>
    </row>
    <row r="13" spans="1:13" x14ac:dyDescent="0.35">
      <c r="A13" s="47">
        <v>10</v>
      </c>
      <c r="B13" s="178" t="str">
        <f>Vendedor10!$B$2</f>
        <v>MARIALIZ</v>
      </c>
      <c r="C13" s="180">
        <v>49200</v>
      </c>
      <c r="D13" s="30">
        <f t="shared" si="1"/>
        <v>0</v>
      </c>
      <c r="E13" s="207">
        <v>19500</v>
      </c>
      <c r="F13" s="30">
        <f t="shared" si="1"/>
        <v>0</v>
      </c>
      <c r="G13" s="180">
        <v>3600</v>
      </c>
      <c r="H13" s="30">
        <v>100</v>
      </c>
      <c r="I13" s="180">
        <v>3250</v>
      </c>
      <c r="J13" s="30">
        <f t="shared" si="1"/>
        <v>0</v>
      </c>
      <c r="L13" s="42">
        <f t="shared" si="5"/>
        <v>75550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1"/>
        <v/>
      </c>
      <c r="E14" s="208"/>
      <c r="F14" s="185" t="str">
        <f t="shared" si="1"/>
        <v/>
      </c>
      <c r="G14" s="184"/>
      <c r="H14" s="185" t="str">
        <f t="shared" si="1"/>
        <v/>
      </c>
      <c r="I14" s="184"/>
      <c r="J14" s="185" t="str">
        <f t="shared" si="1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207"/>
      <c r="F15" s="30" t="str">
        <f t="shared" si="1"/>
        <v/>
      </c>
      <c r="G15" s="180"/>
      <c r="H15" s="30" t="str">
        <f t="shared" si="1"/>
        <v/>
      </c>
      <c r="I15" s="180"/>
      <c r="J15" s="30" t="str">
        <f t="shared" si="1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13850</v>
      </c>
      <c r="D16" s="30">
        <f t="shared" si="1"/>
        <v>0</v>
      </c>
      <c r="E16" s="207"/>
      <c r="F16" s="30" t="str">
        <f t="shared" si="1"/>
        <v/>
      </c>
      <c r="G16" s="180">
        <v>2650</v>
      </c>
      <c r="H16" s="30">
        <f t="shared" si="1"/>
        <v>0</v>
      </c>
      <c r="I16" s="180">
        <v>2000</v>
      </c>
      <c r="J16" s="30">
        <f t="shared" si="1"/>
        <v>0</v>
      </c>
      <c r="L16" s="42">
        <f t="shared" si="5"/>
        <v>18500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168950</v>
      </c>
      <c r="D17" s="30">
        <v>1200</v>
      </c>
      <c r="E17" s="207">
        <v>77300</v>
      </c>
      <c r="F17" s="30">
        <v>250</v>
      </c>
      <c r="G17" s="180">
        <v>52850</v>
      </c>
      <c r="H17" s="30">
        <v>600</v>
      </c>
      <c r="I17" s="180">
        <v>177450</v>
      </c>
      <c r="J17" s="30">
        <v>2150</v>
      </c>
      <c r="L17" s="42">
        <f t="shared" si="5"/>
        <v>476550</v>
      </c>
      <c r="M17" s="42">
        <f t="shared" si="4"/>
        <v>4200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70500</v>
      </c>
      <c r="D18" s="30">
        <f t="shared" si="1"/>
        <v>0</v>
      </c>
      <c r="E18" s="207">
        <v>48950</v>
      </c>
      <c r="F18" s="30">
        <v>2150</v>
      </c>
      <c r="G18" s="180">
        <v>55100</v>
      </c>
      <c r="H18" s="30">
        <v>1400</v>
      </c>
      <c r="I18" s="180">
        <v>42500</v>
      </c>
      <c r="J18" s="30">
        <v>1200</v>
      </c>
      <c r="L18" s="42">
        <f t="shared" si="5"/>
        <v>217050</v>
      </c>
      <c r="M18" s="42">
        <f t="shared" si="4"/>
        <v>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207"/>
      <c r="F19" s="30" t="str">
        <f t="shared" si="1"/>
        <v/>
      </c>
      <c r="G19" s="180"/>
      <c r="H19" s="30" t="str">
        <f t="shared" si="0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207"/>
      <c r="F20" s="30" t="str">
        <f t="shared" si="1"/>
        <v/>
      </c>
      <c r="G20" s="180"/>
      <c r="H20" s="30" t="str">
        <f t="shared" si="0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207"/>
      <c r="F21" s="30" t="str">
        <f t="shared" si="1"/>
        <v/>
      </c>
      <c r="G21" s="180"/>
      <c r="H21" s="30" t="str">
        <f t="shared" si="0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207"/>
      <c r="F22" s="30" t="str">
        <f t="shared" si="1"/>
        <v/>
      </c>
      <c r="G22" s="180"/>
      <c r="H22" s="30" t="str">
        <f t="shared" si="0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207"/>
      <c r="F23" s="30" t="str">
        <f t="shared" si="1"/>
        <v/>
      </c>
      <c r="G23" s="180"/>
      <c r="H23" s="30" t="str">
        <f t="shared" si="0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207"/>
      <c r="F24" s="30" t="str">
        <f t="shared" si="1"/>
        <v/>
      </c>
      <c r="G24" s="180"/>
      <c r="H24" s="30" t="str">
        <f t="shared" si="0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207"/>
      <c r="F25" s="30" t="str">
        <f t="shared" si="1"/>
        <v/>
      </c>
      <c r="G25" s="180"/>
      <c r="H25" s="30" t="str">
        <f t="shared" si="0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207"/>
      <c r="F26" s="30" t="str">
        <f t="shared" si="1"/>
        <v/>
      </c>
      <c r="G26" s="180"/>
      <c r="H26" s="30" t="str">
        <f t="shared" si="0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209"/>
      <c r="F27" s="50"/>
      <c r="G27" s="181"/>
      <c r="H27" s="50" t="str">
        <f t="shared" si="0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490800</v>
      </c>
      <c r="D32" s="44">
        <f t="shared" si="7"/>
        <v>2550</v>
      </c>
      <c r="E32" s="43">
        <f t="shared" si="7"/>
        <v>271300</v>
      </c>
      <c r="F32" s="44">
        <f t="shared" si="7"/>
        <v>5200</v>
      </c>
      <c r="G32" s="43">
        <f t="shared" si="7"/>
        <v>150950</v>
      </c>
      <c r="H32" s="44">
        <f t="shared" si="7"/>
        <v>2850</v>
      </c>
      <c r="I32" s="43">
        <f t="shared" si="7"/>
        <v>321100</v>
      </c>
      <c r="J32" s="44">
        <f t="shared" si="7"/>
        <v>4700</v>
      </c>
      <c r="L32" s="95">
        <f>SUM(L9:L31)</f>
        <v>1093300</v>
      </c>
      <c r="M32" s="95">
        <f>SUM(M9:M31)</f>
        <v>5350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97 Blanca</v>
      </c>
      <c r="D2" s="268"/>
      <c r="E2" s="267" t="str">
        <f>IF(E33=0,"",CONCATENATE(PREMIOS!$B11," ",PREMIOS!$B12))</f>
        <v>02 Roja</v>
      </c>
      <c r="F2" s="268"/>
      <c r="G2" s="267" t="str">
        <f>IF(G33=0,"",CONCATENATE(PREMIOS!$B15," ",PREMIOS!$B16))</f>
        <v>54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13500+14100</f>
        <v>27600</v>
      </c>
      <c r="D10" s="30">
        <f t="shared" si="0"/>
        <v>0</v>
      </c>
      <c r="E10" s="180">
        <f>9150+7200</f>
        <v>16350</v>
      </c>
      <c r="F10" s="30">
        <f t="shared" si="0"/>
        <v>0</v>
      </c>
      <c r="G10" s="180">
        <f>17300+12400</f>
        <v>29700</v>
      </c>
      <c r="H10" s="30">
        <f>500+0</f>
        <v>500</v>
      </c>
      <c r="J10" s="42">
        <f t="shared" si="3"/>
        <v>73650</v>
      </c>
      <c r="K10" s="42">
        <f t="shared" si="4"/>
        <v>500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2750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2750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500</v>
      </c>
      <c r="D16" s="195">
        <f t="shared" si="0"/>
        <v>0</v>
      </c>
      <c r="E16" s="194">
        <v>2000</v>
      </c>
      <c r="F16" s="195">
        <f t="shared" si="1"/>
        <v>0</v>
      </c>
      <c r="G16" s="194">
        <v>0</v>
      </c>
      <c r="H16" s="195">
        <f t="shared" si="0"/>
        <v>0</v>
      </c>
      <c r="J16" s="42">
        <f t="shared" si="3"/>
        <v>2500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19050</v>
      </c>
      <c r="D17" s="30">
        <f t="shared" si="0"/>
        <v>0</v>
      </c>
      <c r="E17" s="180">
        <v>13650</v>
      </c>
      <c r="F17" s="30">
        <v>100</v>
      </c>
      <c r="G17" s="180">
        <v>25350</v>
      </c>
      <c r="H17" s="30">
        <v>1000</v>
      </c>
      <c r="J17" s="42">
        <f t="shared" si="3"/>
        <v>58050</v>
      </c>
      <c r="K17" s="42">
        <f t="shared" si="4"/>
        <v>1100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21900</v>
      </c>
      <c r="D18" s="30">
        <f t="shared" si="0"/>
        <v>0</v>
      </c>
      <c r="E18" s="180">
        <v>21650</v>
      </c>
      <c r="F18" s="30">
        <v>300</v>
      </c>
      <c r="G18" s="180">
        <v>33200</v>
      </c>
      <c r="H18" s="30">
        <f t="shared" si="0"/>
        <v>0</v>
      </c>
      <c r="J18" s="42">
        <f t="shared" si="3"/>
        <v>76750</v>
      </c>
      <c r="K18" s="42">
        <f t="shared" si="4"/>
        <v>300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71800</v>
      </c>
      <c r="D33" s="44">
        <f t="shared" si="7"/>
        <v>0</v>
      </c>
      <c r="E33" s="43">
        <f t="shared" si="7"/>
        <v>53650</v>
      </c>
      <c r="F33" s="44">
        <f t="shared" si="7"/>
        <v>400</v>
      </c>
      <c r="G33" s="43">
        <f t="shared" si="7"/>
        <v>88250</v>
      </c>
      <c r="H33" s="44">
        <f t="shared" si="7"/>
        <v>1500</v>
      </c>
      <c r="J33" s="45">
        <f>SUM(J4:J32)</f>
        <v>213700</v>
      </c>
      <c r="K33" s="95">
        <f>SUM(K4:K32)</f>
        <v>1900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50</v>
      </c>
      <c r="D2" s="268"/>
      <c r="E2" s="267">
        <f>IF(PREMIOS!$C19="","",PREMIOS!$C19)</f>
        <v>75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5200</v>
      </c>
      <c r="D4" s="78">
        <f t="shared" ref="D4:F27" si="0">IF(C4="","",0)</f>
        <v>0</v>
      </c>
      <c r="E4" s="189">
        <v>1000</v>
      </c>
      <c r="F4" s="78">
        <f t="shared" si="0"/>
        <v>0</v>
      </c>
      <c r="H4" s="42">
        <f>+C4+E4</f>
        <v>6200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3700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3700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10400</v>
      </c>
      <c r="D8" s="30">
        <f t="shared" si="0"/>
        <v>0</v>
      </c>
      <c r="E8" s="194">
        <v>9150</v>
      </c>
      <c r="F8" s="195">
        <f t="shared" si="1"/>
        <v>0</v>
      </c>
      <c r="H8" s="42">
        <f t="shared" si="2"/>
        <v>19550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27100</v>
      </c>
      <c r="D10" s="30">
        <v>500</v>
      </c>
      <c r="E10" s="180">
        <v>11100</v>
      </c>
      <c r="F10" s="195">
        <f t="shared" si="1"/>
        <v>0</v>
      </c>
      <c r="H10" s="42">
        <f t="shared" si="2"/>
        <v>38200</v>
      </c>
      <c r="I10" s="42">
        <f t="shared" si="3"/>
        <v>500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42200</v>
      </c>
      <c r="D12" s="30">
        <v>950</v>
      </c>
      <c r="E12" s="194"/>
      <c r="F12" s="30" t="str">
        <f t="shared" si="0"/>
        <v/>
      </c>
      <c r="H12" s="42">
        <f t="shared" si="2"/>
        <v>42200</v>
      </c>
      <c r="I12" s="42">
        <f t="shared" si="3"/>
        <v>950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5450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5450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121750</v>
      </c>
      <c r="D17" s="195">
        <v>600</v>
      </c>
      <c r="E17" s="180">
        <v>24650</v>
      </c>
      <c r="F17" s="30">
        <v>400</v>
      </c>
      <c r="H17" s="42">
        <f t="shared" si="2"/>
        <v>146400</v>
      </c>
      <c r="I17" s="42">
        <f t="shared" si="3"/>
        <v>1000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56400</v>
      </c>
      <c r="D18" s="195">
        <v>200</v>
      </c>
      <c r="E18" s="180">
        <v>46700</v>
      </c>
      <c r="F18" s="30">
        <f t="shared" si="0"/>
        <v>0</v>
      </c>
      <c r="H18" s="42">
        <f t="shared" si="2"/>
        <v>103100</v>
      </c>
      <c r="I18" s="42">
        <f t="shared" si="3"/>
        <v>200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272200</v>
      </c>
      <c r="D33" s="44">
        <f>SUM(D4:D32)</f>
        <v>2250</v>
      </c>
      <c r="E33" s="43">
        <f>SUM(E4:E32)</f>
        <v>92600</v>
      </c>
      <c r="F33" s="44">
        <f>SUM(F4:F32)</f>
        <v>400</v>
      </c>
      <c r="H33" s="95">
        <f>SUM(H4:H32)</f>
        <v>364800</v>
      </c>
      <c r="I33" s="95">
        <f>SUM(I4:I32)</f>
        <v>2650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76</v>
      </c>
      <c r="D2" s="268"/>
      <c r="E2" s="267">
        <f>IF(PREMIOS!$C20="","",PREMIOS!$C20)</f>
        <v>41</v>
      </c>
      <c r="F2" s="268"/>
      <c r="G2" s="267">
        <f>IF(PREMIOS!$D20="","",PREMIOS!$D20)</f>
        <v>92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9650</v>
      </c>
      <c r="D10" s="195">
        <f t="shared" si="0"/>
        <v>0</v>
      </c>
      <c r="E10" s="180">
        <v>9800</v>
      </c>
      <c r="F10" s="30">
        <f t="shared" si="0"/>
        <v>0</v>
      </c>
      <c r="G10" s="180">
        <v>14900</v>
      </c>
      <c r="H10" s="195">
        <f t="shared" si="0"/>
        <v>0</v>
      </c>
      <c r="J10" s="42">
        <f t="shared" si="3"/>
        <v>34350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4700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4700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44150</v>
      </c>
      <c r="D17" s="195">
        <f t="shared" si="0"/>
        <v>0</v>
      </c>
      <c r="E17" s="194">
        <v>10850</v>
      </c>
      <c r="F17" s="195">
        <f t="shared" si="0"/>
        <v>0</v>
      </c>
      <c r="G17" s="194">
        <v>16050</v>
      </c>
      <c r="H17" s="195">
        <f t="shared" si="2"/>
        <v>0</v>
      </c>
      <c r="J17" s="42">
        <f t="shared" si="3"/>
        <v>71050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21100</v>
      </c>
      <c r="D18" s="195">
        <f t="shared" si="0"/>
        <v>0</v>
      </c>
      <c r="E18" s="180">
        <v>6500</v>
      </c>
      <c r="F18" s="30">
        <f t="shared" si="1"/>
        <v>0</v>
      </c>
      <c r="G18" s="180">
        <v>8400</v>
      </c>
      <c r="H18" s="30">
        <f t="shared" si="2"/>
        <v>0</v>
      </c>
      <c r="J18" s="42">
        <f t="shared" si="3"/>
        <v>36000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79600</v>
      </c>
      <c r="D33" s="44">
        <f t="shared" si="6"/>
        <v>0</v>
      </c>
      <c r="E33" s="43">
        <f t="shared" si="6"/>
        <v>27150</v>
      </c>
      <c r="F33" s="44">
        <f t="shared" si="6"/>
        <v>0</v>
      </c>
      <c r="G33" s="43">
        <f t="shared" si="6"/>
        <v>39350</v>
      </c>
      <c r="H33" s="44">
        <f t="shared" si="6"/>
        <v>0</v>
      </c>
      <c r="J33" s="45">
        <f>SUM(J4:J32)</f>
        <v>146100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85</v>
      </c>
      <c r="D2" s="268"/>
      <c r="E2" s="267">
        <f>IF(PREMIOS!$C21="","",PREMIOS!$C21)</f>
        <v>70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37000</v>
      </c>
      <c r="D10" s="30">
        <f t="shared" si="0"/>
        <v>0</v>
      </c>
      <c r="E10" s="180">
        <v>45200</v>
      </c>
      <c r="F10" s="30">
        <f t="shared" si="0"/>
        <v>0</v>
      </c>
      <c r="H10" s="42">
        <f t="shared" si="2"/>
        <v>82200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37000</v>
      </c>
      <c r="D33" s="44">
        <f>SUM(D4:D32)</f>
        <v>0</v>
      </c>
      <c r="E33" s="43">
        <f>SUM(E4:E32)</f>
        <v>45200</v>
      </c>
      <c r="F33" s="44">
        <f>SUM(F4:F32)</f>
        <v>0</v>
      </c>
      <c r="H33" s="45">
        <f>SUM(H4:H32)</f>
        <v>82200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2026-06-06T22:59:07Z</dcterms:modified>
  <dc:language>es-CR</dc:language>
</cp:coreProperties>
</file>
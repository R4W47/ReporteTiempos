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3" documentId="11_D52F855F27C6A9DA099D3AB5918169D9EA83FAEA" xr6:coauthVersionLast="47" xr6:coauthVersionMax="47" xr10:uidLastSave="{C8D80FDD-0B70-41C5-AFBF-F511AF456F7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K12" i="69" l="1"/>
  <c r="G10" i="62"/>
  <c r="J10" i="61"/>
  <c r="I10" i="61"/>
  <c r="G10" i="60"/>
  <c r="G17" i="60"/>
  <c r="G18" i="60"/>
  <c r="E10" i="62"/>
  <c r="G10" i="61"/>
  <c r="E10" i="60"/>
  <c r="E17" i="60"/>
  <c r="E18" i="60"/>
  <c r="D10" i="62" l="1"/>
  <c r="C10" i="62"/>
  <c r="F10" i="61"/>
  <c r="E10" i="61"/>
  <c r="C10" i="61"/>
  <c r="D18" i="60"/>
  <c r="C18" i="60"/>
  <c r="D17" i="60"/>
  <c r="C17" i="60"/>
  <c r="D10" i="60"/>
  <c r="C10" i="60"/>
  <c r="D18" i="64" l="1"/>
  <c r="D11" i="65"/>
  <c r="D18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2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2" i="60"/>
  <c r="D11" i="60"/>
  <c r="D9" i="60"/>
  <c r="D7" i="60"/>
  <c r="F18" i="23"/>
  <c r="F14" i="23"/>
  <c r="F10" i="23"/>
  <c r="F6" i="23"/>
  <c r="F6" i="14"/>
  <c r="F10" i="14"/>
  <c r="F14" i="14"/>
  <c r="F18" i="14"/>
  <c r="H10" i="64"/>
  <c r="D10" i="64"/>
  <c r="F18" i="62"/>
  <c r="F10" i="62"/>
  <c r="F16" i="61"/>
  <c r="D6" i="60"/>
  <c r="F18" i="60"/>
  <c r="F17" i="60"/>
  <c r="F16" i="60"/>
  <c r="F15" i="60"/>
  <c r="F14" i="60"/>
  <c r="F13" i="60"/>
  <c r="F12" i="60"/>
  <c r="F11" i="60"/>
  <c r="F9" i="60"/>
  <c r="F8" i="60"/>
  <c r="F7" i="60"/>
  <c r="F6" i="60"/>
  <c r="F5" i="60"/>
  <c r="F4" i="60"/>
  <c r="H16" i="60"/>
  <c r="H15" i="60"/>
  <c r="H14" i="60"/>
  <c r="H12" i="60"/>
  <c r="H11" i="60"/>
  <c r="H9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D36" i="60" l="1"/>
  <c r="H34" i="60"/>
  <c r="D35" i="60"/>
  <c r="F35" i="60"/>
  <c r="F34" i="60"/>
  <c r="D34" i="60"/>
  <c r="J8" i="14"/>
  <c r="D21" i="14"/>
  <c r="C12" i="71"/>
  <c r="D22" i="14"/>
  <c r="K15" i="14" s="1"/>
  <c r="G12" i="71"/>
  <c r="E19" i="16"/>
  <c r="D4" i="65"/>
  <c r="D20" i="16"/>
  <c r="F17" i="62"/>
  <c r="E11" i="16"/>
  <c r="H17" i="64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4" i="73"/>
  <c r="I24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D26" i="72"/>
  <c r="C26" i="72"/>
  <c r="B26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K24" i="64" s="1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1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C31" i="70"/>
  <c r="B31" i="70"/>
  <c r="F30" i="70"/>
  <c r="E30" i="70"/>
  <c r="D30" i="70"/>
  <c r="J30" i="70" s="1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29" i="64" l="1"/>
  <c r="H30" i="70"/>
  <c r="L24" i="71"/>
  <c r="M24" i="71" s="1"/>
  <c r="I15" i="72"/>
  <c r="N15" i="72" s="1"/>
  <c r="H23" i="72"/>
  <c r="I23" i="72" s="1"/>
  <c r="N23" i="72" s="1"/>
  <c r="H30" i="72"/>
  <c r="H26" i="72"/>
  <c r="N26" i="72" s="1"/>
  <c r="J22" i="71"/>
  <c r="J30" i="71"/>
  <c r="K30" i="71" s="1"/>
  <c r="E27" i="72"/>
  <c r="G33" i="64"/>
  <c r="E33" i="66"/>
  <c r="L20" i="71"/>
  <c r="M20" i="71" s="1"/>
  <c r="H25" i="72"/>
  <c r="I25" i="72" s="1"/>
  <c r="N25" i="72" s="1"/>
  <c r="J26" i="71"/>
  <c r="L29" i="71"/>
  <c r="M29" i="71" s="1"/>
  <c r="H24" i="72"/>
  <c r="H28" i="72"/>
  <c r="H31" i="72"/>
  <c r="J31" i="64"/>
  <c r="H28" i="70"/>
  <c r="J31" i="70"/>
  <c r="L28" i="71"/>
  <c r="M28" i="71" s="1"/>
  <c r="F25" i="29"/>
  <c r="F27" i="72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31" i="71"/>
  <c r="J26" i="72"/>
  <c r="K26" i="72" s="1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I18" i="66"/>
  <c r="J7" i="19"/>
  <c r="F25" i="19"/>
  <c r="L9" i="19" s="1"/>
  <c r="F18" i="72"/>
  <c r="J18" i="72" s="1"/>
  <c r="K18" i="72" s="1"/>
  <c r="H21" i="72"/>
  <c r="J21" i="70"/>
  <c r="K21" i="70" s="1"/>
  <c r="F16" i="71"/>
  <c r="L16" i="71" s="1"/>
  <c r="M16" i="71" s="1"/>
  <c r="F22" i="15"/>
  <c r="L8" i="15" s="1"/>
  <c r="G22" i="15"/>
  <c r="L25" i="71"/>
  <c r="M25" i="71" s="1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2" i="71" l="1"/>
  <c r="L27" i="70"/>
  <c r="K21" i="19"/>
  <c r="K10" i="19"/>
  <c r="L27" i="71"/>
  <c r="M27" i="71" s="1"/>
  <c r="K20" i="21"/>
  <c r="K10" i="21"/>
  <c r="K21" i="8"/>
  <c r="K10" i="8"/>
  <c r="N31" i="71"/>
  <c r="N27" i="7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4" i="23" l="1"/>
  <c r="L6" i="23"/>
  <c r="M24" i="52"/>
  <c r="N18" i="71"/>
  <c r="M25" i="52"/>
  <c r="J6" i="23"/>
  <c r="L5" i="23"/>
  <c r="M22" i="52"/>
  <c r="J5" i="23"/>
  <c r="M23" i="52"/>
  <c r="J4" i="23"/>
  <c r="M20" i="52"/>
  <c r="F17" i="52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1" l="1"/>
  <c r="H32" i="61"/>
  <c r="E32" i="60"/>
  <c r="L19" i="59"/>
  <c r="J19" i="70"/>
  <c r="K19" i="70" s="1"/>
  <c r="F32" i="60"/>
  <c r="K5" i="8"/>
  <c r="C32" i="61"/>
  <c r="I32" i="61"/>
  <c r="L6" i="22"/>
  <c r="M19" i="52"/>
  <c r="H32" i="60"/>
  <c r="H33" i="60" s="1"/>
  <c r="D32" i="61"/>
  <c r="K4" i="23"/>
  <c r="L6" i="25"/>
  <c r="F32" i="61"/>
  <c r="K5" i="23"/>
  <c r="K6" i="23"/>
  <c r="J32" i="61"/>
  <c r="M27" i="52"/>
  <c r="K5" i="19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19" i="25"/>
  <c r="N8" i="70"/>
  <c r="F7" i="22"/>
  <c r="L4" i="22" s="1"/>
  <c r="G5" i="29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K6" i="22"/>
  <c r="G2" i="62"/>
  <c r="G34" i="62"/>
  <c r="M5" i="52"/>
  <c r="D39" i="60"/>
  <c r="D38" i="60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4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15" l="1"/>
  <c r="F16" i="8"/>
  <c r="F16" i="19"/>
  <c r="F16" i="29"/>
  <c r="K6" i="52"/>
  <c r="C5" i="1" s="1"/>
  <c r="B5" i="1"/>
  <c r="F12" i="14"/>
  <c r="F12" i="8"/>
  <c r="F12" i="19"/>
  <c r="F12" i="15"/>
  <c r="K23" i="52"/>
  <c r="C22" i="1" s="1"/>
  <c r="B22" i="1"/>
  <c r="K4" i="52"/>
  <c r="C3" i="1" s="1"/>
  <c r="B3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G16" i="29" l="1"/>
  <c r="G27" i="29" s="1"/>
  <c r="F27" i="29"/>
  <c r="F22" i="74" s="1"/>
  <c r="G22" i="74" s="1"/>
  <c r="O27" i="52"/>
  <c r="D26" i="1" s="1"/>
  <c r="L6" i="15"/>
  <c r="F24" i="15"/>
  <c r="G12" i="15"/>
  <c r="G24" i="15" s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<sst xmlns="http://schemas.openxmlformats.org/spreadsheetml/2006/main" count="1294" uniqueCount="161">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</sst>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297100</v>
      </c>
      <c r="C3" s="9">
        <f>+HojaTICA!K4+HojaNICA!M4+HojaREVENTADO!K4+HojaPrimera!I4+HojaHonduras!K4+HojaDominicana!I4+HojaPANA!G4</f>
        <v>38650</v>
      </c>
      <c r="D3" s="9">
        <f>+HojaTICA!N4+HojaNICA!P4+HojaREVENTADO!O4+HojaPrimera!L4+HojaHonduras!N4+HojaDominicana!L4+HojaPANA!J4</f>
        <v>205250</v>
      </c>
      <c r="F3" s="10">
        <f t="shared" ref="F3:F27" si="0">+B3-C3-D3</f>
        <v>53200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239700</v>
      </c>
      <c r="C4" s="9">
        <f>+HojaTICA!K5+HojaNICA!M5+HojaREVENTADO!K5+HojaPrimera!I5+HojaHonduras!K5+HojaDominicana!I5+HojaPANA!G5</f>
        <v>31150</v>
      </c>
      <c r="D4" s="9">
        <f>+HojaTICA!N5+HojaNICA!P5+HojaREVENTADO!O5+HojaPrimera!L5+HojaHonduras!N5+HojaDominicana!L5+HojaPANA!J5</f>
        <v>182000</v>
      </c>
      <c r="F4" s="14">
        <f t="shared" si="0"/>
        <v>26550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381050</v>
      </c>
      <c r="C7" s="9">
        <f>+HojaTICA!K8+HojaNICA!M8+HojaREVENTADO!K8+HojaPrimera!I8+HojaHonduras!K8+HojaDominicana!I8+HojaPANA!G8</f>
        <v>45700</v>
      </c>
      <c r="D7" s="9">
        <f>+HojaTICA!N8+HojaNICA!P8+HojaREVENTADO!O8+HojaPrimera!L8+HojaHonduras!N8+HojaDominicana!L8+HojaPANA!J8</f>
        <v>563500</v>
      </c>
      <c r="F7" s="14">
        <f t="shared" si="0"/>
        <v>-228150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977300</v>
      </c>
      <c r="C9" s="9">
        <f>+HojaTICA!K10+HojaNICA!M10+HojaREVENTADO!K10+HojaPrimera!I10+HojaHonduras!K10+HojaDominicana!I10+HojaPANA!G10</f>
        <v>115700</v>
      </c>
      <c r="D9" s="9">
        <f>+HojaTICA!N10+HojaNICA!P10+HojaREVENTADO!O10+HojaPrimera!L10+HojaHonduras!N10+HojaDominicana!L10+HojaPANA!J10</f>
        <v>1134750</v>
      </c>
      <c r="F9" s="14">
        <f t="shared" si="0"/>
        <v>-273150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27250</v>
      </c>
      <c r="C10" s="9">
        <f>+HojaTICA!K11+HojaNICA!M11+HojaREVENTADO!K11+HojaPrimera!I11+HojaHonduras!K11+HojaDominicana!I11+HojaPANA!G11</f>
        <v>3250</v>
      </c>
      <c r="D10" s="9">
        <f>+HojaTICA!N11+HojaNICA!P11+HojaREVENTADO!O11+HojaPrimera!L11+HojaHonduras!N11+HojaDominicana!L11+HojaPANA!J11</f>
        <v>0</v>
      </c>
      <c r="F10" s="14">
        <f t="shared" si="0"/>
        <v>24000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101650</v>
      </c>
      <c r="C11" s="9">
        <f>+HojaTICA!K12+HojaNICA!M12+HojaREVENTADO!K12+HojaPrimera!I12+HojaHonduras!K12+HojaDominicana!I12+HojaPANA!G12</f>
        <v>12110</v>
      </c>
      <c r="D11" s="9">
        <f>+HojaTICA!N12+HojaNICA!P12+HojaREVENTADO!O12+HojaPrimera!L12+HojaHonduras!N12+HojaDominicana!L12+HojaPANA!J12</f>
        <v>46750</v>
      </c>
      <c r="F11" s="14">
        <f t="shared" si="0"/>
        <v>42790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142300</v>
      </c>
      <c r="C12" s="9">
        <f>+HojaTICA!K13+HojaNICA!M13+HojaREVENTADO!K13+HojaPrimera!I13+HojaHonduras!K13+HojaDominicana!I13+HojaPANA!G13</f>
        <v>17100</v>
      </c>
      <c r="D12" s="9">
        <f>+HojaTICA!N13+HojaNICA!P13+HojaREVENTADO!O13+HojaPrimera!L13+HojaHonduras!N13+HojaDominicana!L13+HojaPANA!J13</f>
        <v>277750</v>
      </c>
      <c r="F12" s="14">
        <f t="shared" si="0"/>
        <v>-152550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70350</v>
      </c>
      <c r="C13" s="9">
        <f>+HojaTICA!K14+HojaNICA!M14+HojaREVENTADO!K14+HojaPrimera!I14+HojaHonduras!K14+HojaDominicana!I14+HojaPANA!G14</f>
        <v>10550</v>
      </c>
      <c r="D13" s="9">
        <f>+HojaTICA!N14+HojaNICA!P14+HojaREVENTADO!O14+HojaPrimera!L14+HojaHonduras!N14+HojaDominicana!L14+HojaPANA!J14</f>
        <v>0</v>
      </c>
      <c r="F13" s="14">
        <f t="shared" si="0"/>
        <v>59800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112150</v>
      </c>
      <c r="C15" s="9">
        <f>+HojaTICA!K16+HojaNICA!M16+HojaREVENTADO!K16+HojaPrimera!I16+HojaHonduras!K16+HojaDominicana!I16+HojaPANA!G16</f>
        <v>13400</v>
      </c>
      <c r="D15" s="9">
        <f>+HojaTICA!N16+HojaNICA!P16+HojaREVENTADO!O16+HojaPrimera!L16+HojaHonduras!N16+HojaDominicana!L16+HojaPANA!J16</f>
        <v>29250</v>
      </c>
      <c r="F15" s="14">
        <f t="shared" si="0"/>
        <v>69500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1093550</v>
      </c>
      <c r="C16" s="9">
        <f>+HojaTICA!K17+HojaNICA!M17+HojaREVENTADO!K17+HojaPrimera!I17+HojaHonduras!K17+HojaDominicana!I17+HojaPANA!G17</f>
        <v>129845</v>
      </c>
      <c r="D16" s="9">
        <f>+HojaTICA!N17+HojaNICA!P17+HojaREVENTADO!O17+HojaPrimera!L17+HojaHonduras!N17+HojaDominicana!L17+HojaPANA!J17</f>
        <v>1185750</v>
      </c>
      <c r="F16" s="14">
        <f t="shared" si="0"/>
        <v>-222045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421850</v>
      </c>
      <c r="C17" s="9">
        <f>+HojaTICA!K18+HojaNICA!M18+HojaREVENTADO!K18+HojaPrimera!I18+HojaHonduras!K18+HojaDominicana!I18+HojaPANA!G18</f>
        <v>49835</v>
      </c>
      <c r="D17" s="9">
        <f>+HojaTICA!N18+HojaNICA!P18+HojaREVENTADO!O18+HojaPrimera!L18+HojaHonduras!N18+HojaDominicana!L18+HojaPANA!J18</f>
        <v>331500</v>
      </c>
      <c r="F17" s="14">
        <f t="shared" si="0"/>
        <v>40515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17800</v>
      </c>
      <c r="C26" s="9">
        <f>+HojaTICA!K27+HojaNICA!M27+HojaREVENTADO!K27+HojaPrimera!I27+HojaHonduras!K27+HojaDominicana!I27+HojaPANA!G27</f>
        <v>1780</v>
      </c>
      <c r="D26" s="9">
        <f>+HojaTICA!N27+HojaNICA!P27+HojaREVENTADO!O27+HojaPrimera!L27+HojaHonduras!N27+HojaDominicana!L27+HojaPANA!J27</f>
        <v>0</v>
      </c>
      <c r="F26" s="14">
        <f t="shared" si="0"/>
        <v>16020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3882050</v>
      </c>
      <c r="C28" s="17">
        <f t="shared" si="1"/>
        <v>469070</v>
      </c>
      <c r="D28" s="18">
        <f t="shared" si="1"/>
        <v>3956500</v>
      </c>
      <c r="F28" s="20">
        <f>SUM(F3:F27)</f>
        <v>-543520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21" sqref="D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28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 t="s">
        <v>160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94</v>
      </c>
      <c r="C19" s="132">
        <v>11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45</v>
      </c>
      <c r="C20" s="163">
        <v>65</v>
      </c>
      <c r="D20" s="166">
        <v>76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76</v>
      </c>
      <c r="C21" s="164">
        <v>23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00</v>
      </c>
      <c r="D2" s="268"/>
      <c r="E2" s="267">
        <f>DigitaTICA!E2</f>
        <v>97</v>
      </c>
      <c r="F2" s="268"/>
      <c r="G2" s="267">
        <f>DigitaTICA!G2</f>
        <v>52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87900</v>
      </c>
      <c r="D4" s="30">
        <f>IF(Vendedor1!$E$7="",0,Vendedor1!$E$7)</f>
        <v>1550</v>
      </c>
      <c r="E4" s="180">
        <f>IF(Vendedor1!$C$11="",0,Vendedor1!$C$11)</f>
        <v>45950</v>
      </c>
      <c r="F4" s="30">
        <f>IF(Vendedor1!$E$11="",0,Vendedor1!$E$11)</f>
        <v>0</v>
      </c>
      <c r="G4" s="180">
        <f>IF(Vendedor1!$C$15="",0,Vendedor1!$C$15)</f>
        <v>79250</v>
      </c>
      <c r="H4" s="30">
        <f>IF(Vendedor1!$E$15="",0,Vendedor1!$E$15)</f>
        <v>300</v>
      </c>
      <c r="J4" s="42">
        <f t="shared" ref="J4:J7" si="0">+C4+E4+G4</f>
        <v>213100</v>
      </c>
      <c r="K4" s="41">
        <f>MROUND(J4*Vendedor1!J$9,50)</f>
        <v>27700</v>
      </c>
      <c r="L4" s="42">
        <f t="shared" ref="L4:L7" si="1">+D4+F4+H4</f>
        <v>1850</v>
      </c>
      <c r="M4" s="42">
        <f t="shared" ref="M4:M7" si="2">+L4*85</f>
        <v>157250</v>
      </c>
      <c r="N4" s="42">
        <f>Vendedor1!$F$7+Vendedor1!$F$11+Vendedor1!$F$15</f>
        <v>157250</v>
      </c>
      <c r="P4" s="42">
        <f t="shared" ref="P4:P7" si="3">+J4-K4-N4</f>
        <v>28150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78000</v>
      </c>
      <c r="D5" s="30">
        <f>IF(Vendedor2!$E$7="",0,Vendedor2!$E$7)</f>
        <v>2000</v>
      </c>
      <c r="E5" s="180">
        <f>IF(Vendedor2!$C$11="",0,Vendedor2!$C$11)</f>
        <v>42700</v>
      </c>
      <c r="F5" s="30">
        <f>IF(Vendedor2!$E$11="",0,Vendedor2!$E$11)</f>
        <v>0</v>
      </c>
      <c r="G5" s="180">
        <f>IF(Vendedor2!$C$15="",0,Vendedor2!$C$15)</f>
        <v>77950</v>
      </c>
      <c r="H5" s="30">
        <f>IF(Vendedor2!$E$15="",0,Vendedor2!$E$15)</f>
        <v>0</v>
      </c>
      <c r="J5" s="42">
        <f t="shared" si="0"/>
        <v>198650</v>
      </c>
      <c r="K5" s="41">
        <f>MROUND(J5*Vendedor2!J$9,50)</f>
        <v>25800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2850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68550</v>
      </c>
      <c r="D8" s="30">
        <f>IF(Vendedor5!$E$7="",0,Vendedor5!$E$7)</f>
        <v>3000</v>
      </c>
      <c r="E8" s="180">
        <f>IF(Vendedor5!$C$11="",0,Vendedor5!$C$11)</f>
        <v>47350</v>
      </c>
      <c r="F8" s="30">
        <f>IF(Vendedor5!$E$11="",0,Vendedor5!$E$11)</f>
        <v>0</v>
      </c>
      <c r="G8" s="180">
        <f>IF(Vendedor5!$C$15="",0,Vendedor5!$C$15)</f>
        <v>44400</v>
      </c>
      <c r="H8" s="30">
        <f>IF(Vendedor5!$E$15="",0,Vendedor5!$E$15)</f>
        <v>100</v>
      </c>
      <c r="J8" s="42">
        <f t="shared" ref="J8" si="4">+C8+E8+G8</f>
        <v>160300</v>
      </c>
      <c r="K8" s="41">
        <f>MROUND(J8*Vendedor5!J$11,50)</f>
        <v>19250</v>
      </c>
      <c r="L8" s="42">
        <f t="shared" ref="L8" si="5">+D8+F8+H8</f>
        <v>3100</v>
      </c>
      <c r="M8" s="42">
        <f t="shared" ref="M8" si="6">+L8*85</f>
        <v>263500</v>
      </c>
      <c r="N8" s="42">
        <f>Vendedor5!$F$7+Vendedor5!$F$11+Vendedor5!$F$15</f>
        <v>263500</v>
      </c>
      <c r="P8" s="42">
        <f t="shared" ref="P8" si="7">+J8-K8-N8</f>
        <v>-122450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133900</v>
      </c>
      <c r="D10" s="30">
        <f>IF(Vendedor7!$E$7="",0,Vendedor7!$E$7)</f>
        <v>4300</v>
      </c>
      <c r="E10" s="180">
        <f>IF(Vendedor7!$C$11="",0,Vendedor7!$C$11)</f>
        <v>140050</v>
      </c>
      <c r="F10" s="30">
        <f>IF(Vendedor7!$E$11="",0,Vendedor7!$E$11)</f>
        <v>1100</v>
      </c>
      <c r="G10" s="180">
        <f>IF(Vendedor7!$C$15="",0,Vendedor7!$C$15)</f>
        <v>186000</v>
      </c>
      <c r="H10" s="30">
        <f>IF(Vendedor7!$E$15="",0,Vendedor7!$E$15)</f>
        <v>1750</v>
      </c>
      <c r="J10" s="42">
        <f t="shared" si="8"/>
        <v>459950</v>
      </c>
      <c r="K10" s="41">
        <f>MROUND(J10*Vendedor7!J$14,50)</f>
        <v>55200</v>
      </c>
      <c r="L10" s="42">
        <f t="shared" si="9"/>
        <v>7150</v>
      </c>
      <c r="M10" s="42">
        <f t="shared" si="10"/>
        <v>607750</v>
      </c>
      <c r="N10" s="42">
        <f>Vendedor7!$F$7+Vendedor7!$F$11+Vendedor7!$F$15</f>
        <v>607750</v>
      </c>
      <c r="P10" s="42">
        <f t="shared" si="11"/>
        <v>-203000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11750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15500</v>
      </c>
      <c r="H11" s="30">
        <f>IF(Vendedor8!$E$15="",0,Vendedor8!$E$15)</f>
        <v>0</v>
      </c>
      <c r="J11" s="42">
        <f t="shared" si="8"/>
        <v>27250</v>
      </c>
      <c r="K11" s="41">
        <f>MROUND(J11*Vendedor8!J$11,50)</f>
        <v>3250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24000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18450</v>
      </c>
      <c r="D12" s="30">
        <f>IF(Vendedor9!$E$7="",0,Vendedor9!$E$7)</f>
        <v>0</v>
      </c>
      <c r="E12" s="180">
        <f>IF(Vendedor9!$C$11="",0,Vendedor9!$C$11)</f>
        <v>7500</v>
      </c>
      <c r="F12" s="30">
        <f>IF(Vendedor9!$E$11="",0,Vendedor9!$E$11)</f>
        <v>0</v>
      </c>
      <c r="G12" s="180">
        <f>IF(Vendedor9!$C$15="",0,Vendedor9!$C$15)</f>
        <v>6700</v>
      </c>
      <c r="H12" s="30">
        <f>IF(Vendedor9!$E$15="",0,Vendedor9!$E$15)</f>
        <v>0</v>
      </c>
      <c r="J12" s="42">
        <f t="shared" si="8"/>
        <v>32650</v>
      </c>
      <c r="K12" s="41">
        <f>MROUND(J12*Vendedor9!J$11,50)</f>
        <v>3900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28750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35850</v>
      </c>
      <c r="D13" s="30">
        <f>IF(Vendedor10!$E$7="",0,Vendedor10!$E$7)</f>
        <v>1850</v>
      </c>
      <c r="E13" s="180">
        <f>IF(Vendedor10!$C$11="",0,Vendedor10!$C$11)</f>
        <v>25800</v>
      </c>
      <c r="F13" s="30">
        <f>IF(Vendedor10!$E$11="",0,Vendedor10!$E$11)</f>
        <v>0</v>
      </c>
      <c r="G13" s="180">
        <f>IF(Vendedor10!$C$15="",0,Vendedor10!$C$15)</f>
        <v>35800</v>
      </c>
      <c r="H13" s="30">
        <f>IF(Vendedor10!$E$15="",0,Vendedor10!$E$15)</f>
        <v>100</v>
      </c>
      <c r="J13" s="42">
        <f t="shared" si="8"/>
        <v>97450</v>
      </c>
      <c r="K13" s="41">
        <f>MROUND(J13*Vendedor10!J$9,50)</f>
        <v>11700</v>
      </c>
      <c r="L13" s="42">
        <f t="shared" si="9"/>
        <v>1950</v>
      </c>
      <c r="M13" s="42">
        <f t="shared" si="10"/>
        <v>165750</v>
      </c>
      <c r="N13" s="42">
        <f>Vendedor10!$F$7+Vendedor10!$F$11+Vendedor10!$F$15</f>
        <v>165750</v>
      </c>
      <c r="P13" s="42">
        <f t="shared" si="11"/>
        <v>-80000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28400</v>
      </c>
      <c r="D14" s="30">
        <f>IF(Vendedor11!$E$7="",0,Vendedor11!$E$7)</f>
        <v>0</v>
      </c>
      <c r="E14" s="180">
        <f>IF(Vendedor11!$C$11="",0,Vendedor11!$C$11)</f>
        <v>15050</v>
      </c>
      <c r="F14" s="30">
        <f>IF(Vendedor11!$E$11="",0,Vendedor11!$E$11)</f>
        <v>0</v>
      </c>
      <c r="G14" s="180">
        <f>IF(Vendedor11!$C$15="",0,Vendedor11!$C$15)</f>
        <v>26900</v>
      </c>
      <c r="H14" s="30">
        <f>IF(Vendedor11!$E$15="",0,Vendedor11!$E$15)</f>
        <v>0</v>
      </c>
      <c r="J14" s="42">
        <f t="shared" si="8"/>
        <v>70350</v>
      </c>
      <c r="K14" s="41">
        <f>MROUND(J14*Vendedor11!J$9,50)</f>
        <v>10550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59800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26900</v>
      </c>
      <c r="D16" s="30">
        <f>IF(Vendedor13!$E$7="",0,Vendedor13!$E$7)</f>
        <v>250</v>
      </c>
      <c r="E16" s="180">
        <f>IF(Vendedor13!$C$11="",0,Vendedor13!$C$11)</f>
        <v>17100</v>
      </c>
      <c r="F16" s="30">
        <f>IF(Vendedor13!$E$11="",0,Vendedor13!$E$11)</f>
        <v>0</v>
      </c>
      <c r="G16" s="180">
        <f>IF(Vendedor13!$C$15="",0,Vendedor13!$C$15)</f>
        <v>25300</v>
      </c>
      <c r="H16" s="30">
        <f>IF(Vendedor13!$E$15="",0,Vendedor13!$E$15)</f>
        <v>0</v>
      </c>
      <c r="J16" s="42">
        <f t="shared" si="8"/>
        <v>69300</v>
      </c>
      <c r="K16" s="41">
        <f>MROUND(J16*Vendedor13!J$11,50)</f>
        <v>8300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39750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133550</v>
      </c>
      <c r="D17" s="30">
        <f>IF(Vendedor14!$E$7="",0,Vendedor14!$E$7)</f>
        <v>2850</v>
      </c>
      <c r="E17" s="180">
        <f>IF(Vendedor14!$C$11="",0,Vendedor14!$C$11)</f>
        <v>125600</v>
      </c>
      <c r="F17" s="30">
        <f>IF(Vendedor14!$E$11="",0,Vendedor14!$E$11)</f>
        <v>0</v>
      </c>
      <c r="G17" s="180">
        <f>IF(Vendedor14!$C$15="",0,Vendedor14!$C$15)</f>
        <v>191550</v>
      </c>
      <c r="H17" s="30">
        <f>IF(Vendedor14!$E$15="",0,Vendedor14!$E$15)</f>
        <v>3000</v>
      </c>
      <c r="J17" s="42">
        <f t="shared" si="8"/>
        <v>450700</v>
      </c>
      <c r="K17" s="41">
        <f>MROUND(J17*Vendedor14!J$15,50)</f>
        <v>54100</v>
      </c>
      <c r="L17" s="42">
        <f t="shared" si="9"/>
        <v>5850</v>
      </c>
      <c r="M17" s="42">
        <f t="shared" si="10"/>
        <v>497250</v>
      </c>
      <c r="N17" s="42">
        <f>Vendedor14!$F$7+Vendedor14!$F$11+Vendedor14!$F$15</f>
        <v>497250</v>
      </c>
      <c r="P17" s="42">
        <f t="shared" si="11"/>
        <v>-100650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38400</v>
      </c>
      <c r="D18" s="30">
        <f>IF(Vendedor15!$E$7="",0,Vendedor15!$E$7)</f>
        <v>600</v>
      </c>
      <c r="E18" s="180">
        <f>IF(Vendedor15!$C$11="",0,Vendedor15!$C$11)</f>
        <v>50200</v>
      </c>
      <c r="F18" s="30">
        <f>IF(Vendedor15!$E$11="",0,Vendedor15!$E$11)</f>
        <v>0</v>
      </c>
      <c r="G18" s="180">
        <f>IF(Vendedor15!$C$15="",0,Vendedor15!$C$15)</f>
        <v>62600</v>
      </c>
      <c r="H18" s="30">
        <f>IF(Vendedor15!$E$15="",0,Vendedor15!$E$15)</f>
        <v>500</v>
      </c>
      <c r="J18" s="42">
        <f t="shared" ref="J18" si="12">+C18+E18+G18</f>
        <v>151200</v>
      </c>
      <c r="K18" s="41">
        <f>MROUND(J18*Vendedor15!J$15,50)</f>
        <v>18150</v>
      </c>
      <c r="L18" s="42">
        <f t="shared" ref="L18" si="13">+D18+F18+H18</f>
        <v>1100</v>
      </c>
      <c r="M18" s="42">
        <f t="shared" ref="M18" si="14">+L18*85</f>
        <v>93500</v>
      </c>
      <c r="N18" s="42">
        <f>Vendedor15!$F$7+Vendedor15!$F$11+Vendedor15!$F$15</f>
        <v>93500</v>
      </c>
      <c r="P18" s="42">
        <f t="shared" ref="P18" si="15">+J18-K18-N18</f>
        <v>39550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661650</v>
      </c>
      <c r="D32" s="44">
        <f t="shared" si="16"/>
        <v>16400</v>
      </c>
      <c r="E32" s="43">
        <f t="shared" si="16"/>
        <v>517300</v>
      </c>
      <c r="F32" s="44">
        <f t="shared" si="16"/>
        <v>1100</v>
      </c>
      <c r="G32" s="43">
        <f t="shared" si="16"/>
        <v>751950</v>
      </c>
      <c r="H32" s="44">
        <f t="shared" si="16"/>
        <v>5750</v>
      </c>
      <c r="J32" s="95">
        <f>SUM(J4:J31)</f>
        <v>1930900</v>
      </c>
      <c r="K32" s="45">
        <f>SUM(K7:K31)</f>
        <v>184400</v>
      </c>
      <c r="L32" s="95">
        <f>SUM(L4:L31)</f>
        <v>23250</v>
      </c>
      <c r="M32" s="95">
        <f>SUM(M4:M31)</f>
        <v>1976250</v>
      </c>
      <c r="N32" s="95">
        <f>SUM(N4:N31)</f>
        <v>1976250</v>
      </c>
      <c r="P32" s="79">
        <f>SUM(P4:P31)</f>
        <v>-283250</v>
      </c>
    </row>
    <row r="33" spans="3:13" x14ac:dyDescent="0.35">
      <c r="D33" s="99">
        <f>+D32*85</f>
        <v>1394000</v>
      </c>
      <c r="F33" s="99">
        <f>+F32*85</f>
        <v>93500</v>
      </c>
      <c r="H33" s="99">
        <f>+H32*85</f>
        <v>488750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1930900</v>
      </c>
      <c r="E36" s="43">
        <f>+D36-J4-J5-J6</f>
        <v>1519150</v>
      </c>
      <c r="G36" s="101"/>
    </row>
    <row r="37" spans="3:13" x14ac:dyDescent="0.35">
      <c r="C37" s="47" t="s">
        <v>33</v>
      </c>
      <c r="D37" s="48">
        <f>D36*13%</f>
        <v>251017</v>
      </c>
      <c r="E37">
        <f>+D37-K4-K5-K6</f>
        <v>197517</v>
      </c>
      <c r="G37" s="100"/>
      <c r="H37" s="100"/>
    </row>
    <row r="38" spans="3:13" ht="15" thickBot="1" x14ac:dyDescent="0.4">
      <c r="C38" s="47" t="s">
        <v>30</v>
      </c>
      <c r="D38" s="30">
        <f>M32</f>
        <v>1976250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-296367</v>
      </c>
      <c r="F39" s="98">
        <f>+P32-D39</f>
        <v>13117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-296367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94</v>
      </c>
      <c r="D2" s="268"/>
      <c r="E2" s="267">
        <f>DigitaNICA!E2</f>
        <v>41</v>
      </c>
      <c r="F2" s="268"/>
      <c r="G2" s="267">
        <f>DigitaNICA!G2</f>
        <v>28</v>
      </c>
      <c r="H2" s="268"/>
      <c r="I2" s="267" t="str">
        <f>DigitaNICA!I2</f>
        <v>04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38250</v>
      </c>
      <c r="D4" s="78">
        <f>IF(Vendedor1!$E$5="",0,Vendedor1!$E$5)</f>
        <v>100</v>
      </c>
      <c r="E4" s="189">
        <f>IF(Vendedor1!$C$9="",0,Vendedor1!$C$9)</f>
        <v>19250</v>
      </c>
      <c r="F4" s="78">
        <f>IF(Vendedor1!$E$9="",0,Vendedor1!$E$9)</f>
        <v>0</v>
      </c>
      <c r="G4" s="189">
        <f>IF(Vendedor1!$C$13="",0,Vendedor1!$C$13)</f>
        <v>10300</v>
      </c>
      <c r="H4" s="78">
        <f>IF(Vendedor1!$E$13="",0,Vendedor1!$E$13)</f>
        <v>0</v>
      </c>
      <c r="I4" s="189">
        <f>IF(Vendedor1!$C$17="",0,Vendedor1!$C$17)</f>
        <v>4000</v>
      </c>
      <c r="J4" s="78">
        <f>IF(Vendedor1!$E$17="",0,Vendedor1!$E$17)</f>
        <v>200</v>
      </c>
      <c r="L4" s="42">
        <f t="shared" ref="L4:L7" si="0">C4+E4+G4+I4</f>
        <v>71800</v>
      </c>
      <c r="M4" s="41">
        <f>MROUND(L4*Vendedor1!J$10,50)</f>
        <v>9350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36950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16850</v>
      </c>
      <c r="D5" s="30">
        <f>IF(Vendedor2!$E$5="",0,Vendedor2!$E$5)</f>
        <v>150</v>
      </c>
      <c r="E5" s="180">
        <f>IF(Vendedor2!$C$9="",0,Vendedor2!$C$9)</f>
        <v>13500</v>
      </c>
      <c r="F5" s="30">
        <f>IF(Vendedor2!$E$9="",0,Vendedor2!$E$9)</f>
        <v>0</v>
      </c>
      <c r="G5" s="180">
        <f>IF(Vendedor2!$C$13="",0,Vendedor2!$C$13)</f>
        <v>2500</v>
      </c>
      <c r="H5" s="30">
        <f>IF(Vendedor2!$E$13="",0,Vendedor2!$E$13)</f>
        <v>0</v>
      </c>
      <c r="I5" s="180">
        <f>IF(Vendedor2!$C$17="",0,Vendedor2!$C$17)</f>
        <v>6800</v>
      </c>
      <c r="J5" s="30">
        <f>IF(Vendedor2!$E$17="",0,Vendedor2!$E$17)</f>
        <v>0</v>
      </c>
      <c r="L5" s="42">
        <f t="shared" si="0"/>
        <v>39650</v>
      </c>
      <c r="M5" s="41">
        <f>MROUND(L5*Vendedor2!J$10,50)</f>
        <v>5150</v>
      </c>
      <c r="N5" s="42">
        <f t="shared" si="1"/>
        <v>150</v>
      </c>
      <c r="O5" s="41">
        <f t="shared" ref="O5:O27" si="3">IFERROR(N5*85,0)</f>
        <v>12750</v>
      </c>
      <c r="P5" s="42">
        <f>Vendedor2!$F$5+Vendedor2!$F$9+Vendedor2!$F$13+Vendedor2!$F$17</f>
        <v>12000</v>
      </c>
      <c r="Q5">
        <v>5</v>
      </c>
      <c r="R5" s="41">
        <f t="shared" si="2"/>
        <v>21750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71200</v>
      </c>
      <c r="D8" s="30">
        <f>IF(Vendedor5!$E$5="",0,Vendedor5!$E$5)</f>
        <v>600</v>
      </c>
      <c r="E8" s="180">
        <f>IF(Vendedor5!$C$9="",0,Vendedor5!$C$9)</f>
        <v>55850</v>
      </c>
      <c r="F8" s="30">
        <f>IF(Vendedor5!$E$9="",0,Vendedor5!$E$9)</f>
        <v>650</v>
      </c>
      <c r="G8" s="180">
        <f>IF(Vendedor5!$C$13="",0,Vendedor5!$C$13)</f>
        <v>19700</v>
      </c>
      <c r="H8" s="30">
        <f>IF(Vendedor5!$E$13="",0,Vendedor5!$E$13)</f>
        <v>0</v>
      </c>
      <c r="I8" s="180">
        <f>IF(Vendedor5!$C$17="",0,Vendedor5!$C$17)</f>
        <v>37550</v>
      </c>
      <c r="J8" s="30">
        <f>IF(Vendedor5!$E$17="",0,Vendedor5!$E$17)</f>
        <v>1600</v>
      </c>
      <c r="L8" s="42">
        <f t="shared" ref="L8" si="4">C8+E8+G8+I8</f>
        <v>184300</v>
      </c>
      <c r="M8" s="41">
        <f>MROUND(L8*Vendedor5!J$12,50)</f>
        <v>22100</v>
      </c>
      <c r="N8" s="42">
        <f t="shared" ref="N8" si="5">D8+F8+H8+J8</f>
        <v>2850</v>
      </c>
      <c r="O8" s="41">
        <f t="shared" si="3"/>
        <v>242250</v>
      </c>
      <c r="P8" s="42">
        <f>Vendedor5!$F$5+Vendedor5!$F$9+Vendedor5!$F$13+Vendedor5!$F$17</f>
        <v>228000</v>
      </c>
      <c r="Q8">
        <v>17</v>
      </c>
      <c r="R8" s="41">
        <f t="shared" ref="R8" si="6">+L8-M8-O8</f>
        <v>-80050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32100</v>
      </c>
      <c r="D10" s="30">
        <f>IF(Vendedor7!$E$5="",0,Vendedor7!$E$5)</f>
        <v>200</v>
      </c>
      <c r="E10" s="180">
        <f>IF(Vendedor7!$C$9="",0,Vendedor7!$C$9)</f>
        <v>90900</v>
      </c>
      <c r="F10" s="30">
        <f>IF(Vendedor7!$E$9="",0,Vendedor7!$E$9)</f>
        <v>500</v>
      </c>
      <c r="G10" s="180">
        <f>IF(Vendedor7!$C$13="",0,Vendedor7!$C$13)</f>
        <v>57250</v>
      </c>
      <c r="H10" s="30">
        <f>IF(Vendedor7!$E$13="",0,Vendedor7!$E$13)</f>
        <v>0</v>
      </c>
      <c r="I10" s="180">
        <f>IF(Vendedor7!$C$17="",0,Vendedor7!$C$17)</f>
        <v>97550</v>
      </c>
      <c r="J10" s="30">
        <f>IF(Vendedor7!$E$17="",0,Vendedor7!$E$17)</f>
        <v>2800</v>
      </c>
      <c r="L10" s="42">
        <f t="shared" si="7"/>
        <v>277800</v>
      </c>
      <c r="M10" s="41">
        <f>MROUND(L10*Vendedor7!J$15,50)</f>
        <v>33350</v>
      </c>
      <c r="N10" s="42">
        <f t="shared" ref="N10:N27" si="9">D10+F10+H10+J10</f>
        <v>3500</v>
      </c>
      <c r="O10" s="41">
        <f t="shared" si="3"/>
        <v>297500</v>
      </c>
      <c r="P10" s="42">
        <f>Vendedor7!$F$5+Vendedor7!$F$9+Vendedor7!$F$13+Vendedor7!$F$17</f>
        <v>297500</v>
      </c>
      <c r="R10" s="41">
        <f t="shared" si="8"/>
        <v>-53050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11600</v>
      </c>
      <c r="D12" s="30">
        <f>IF(Vendedor9!$E$5="",0,Vendedor9!$E$5)</f>
        <v>0</v>
      </c>
      <c r="E12" s="180">
        <f>IF(Vendedor9!$C$9="",0,Vendedor9!$C$9)</f>
        <v>22200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33800</v>
      </c>
      <c r="M12" s="41">
        <f>MROUND(L12*Vendedor9!J$12,50)</f>
        <v>4050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4250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23450</v>
      </c>
      <c r="D13" s="30">
        <f>IF(Vendedor10!$E$5="",0,Vendedor10!$E$5)</f>
        <v>200</v>
      </c>
      <c r="E13" s="180">
        <f>IF(Vendedor10!$C$9="",0,Vendedor10!$C$9)</f>
        <v>13200</v>
      </c>
      <c r="F13" s="30">
        <f>IF(Vendedor10!$E$9="",0,Vendedor10!$E$9)</f>
        <v>0</v>
      </c>
      <c r="G13" s="180">
        <f>IF(Vendedor10!$C$13="",0,Vendedor10!$C$13)</f>
        <v>800</v>
      </c>
      <c r="H13" s="30">
        <f>IF(Vendedor10!$E$13="",0,Vendedor10!$E$13)</f>
        <v>0</v>
      </c>
      <c r="I13" s="180">
        <f>IF(Vendedor10!$C$17="",0,Vendedor10!$C$17)</f>
        <v>7400</v>
      </c>
      <c r="J13" s="30">
        <f>IF(Vendedor10!$E$17="",0,Vendedor10!$E$17)</f>
        <v>1200</v>
      </c>
      <c r="L13" s="42">
        <f t="shared" si="7"/>
        <v>44850</v>
      </c>
      <c r="M13" s="41">
        <f>MROUND(L13*Vendedor10!J$10,50)</f>
        <v>5400</v>
      </c>
      <c r="N13" s="42">
        <f t="shared" si="9"/>
        <v>1400</v>
      </c>
      <c r="O13" s="41">
        <f t="shared" si="3"/>
        <v>119000</v>
      </c>
      <c r="P13" s="42">
        <f>Vendedor10!$F$5+Vendedor10!$F$9+Vendedor10!$F$13+Vendedor10!$F$17</f>
        <v>112000</v>
      </c>
      <c r="R13" s="41">
        <f t="shared" si="8"/>
        <v>-79550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11400</v>
      </c>
      <c r="D16" s="30">
        <f>IF(Vendedor13!$E$5="",0,Vendedor13!$E$5)</f>
        <v>100</v>
      </c>
      <c r="E16" s="180">
        <f>IF(Vendedor13!$C$9="",0,Vendedor13!$C$9)</f>
        <v>14250</v>
      </c>
      <c r="F16" s="30">
        <f>IF(Vendedor13!$E$9="",0,Vendedor13!$E$9)</f>
        <v>0</v>
      </c>
      <c r="G16" s="180">
        <f>IF(Vendedor13!$C$13="",0,Vendedor13!$C$13)</f>
        <v>5900</v>
      </c>
      <c r="H16" s="30">
        <f>IF(Vendedor13!$E$13="",0,Vendedor13!$E$13)</f>
        <v>0</v>
      </c>
      <c r="I16" s="180">
        <f>IF(Vendedor13!$C$17="",0,Vendedor13!$C$17)</f>
        <v>5000</v>
      </c>
      <c r="J16" s="30">
        <f>IF(Vendedor13!$E$17="",0,Vendedor13!$E$17)</f>
        <v>0</v>
      </c>
      <c r="L16" s="42">
        <f t="shared" si="7"/>
        <v>36550</v>
      </c>
      <c r="M16" s="41">
        <f>MROUND(L16*Vendedor13!J$12,50)</f>
        <v>4400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23650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114300</v>
      </c>
      <c r="D17" s="30">
        <f>IF(Vendedor14!$E$5="",0,Vendedor14!$E$5)</f>
        <v>250</v>
      </c>
      <c r="E17" s="180">
        <f>IF(Vendedor14!$C$9="",0,Vendedor14!$C$9)</f>
        <v>94950</v>
      </c>
      <c r="F17" s="30">
        <f>IF(Vendedor14!$E$9="",0,Vendedor14!$E$9)</f>
        <v>250</v>
      </c>
      <c r="G17" s="180">
        <f>IF(Vendedor14!$C$13="",0,Vendedor14!$C$13)</f>
        <v>62300</v>
      </c>
      <c r="H17" s="30">
        <f>IF(Vendedor14!$E$13="",0,Vendedor14!$E$13)</f>
        <v>400</v>
      </c>
      <c r="I17" s="180">
        <f>IF(Vendedor14!$C$17="",0,Vendedor14!$C$17)</f>
        <v>147400</v>
      </c>
      <c r="J17" s="30">
        <f>IF(Vendedor14!$E$17="",0,Vendedor14!$E$17)</f>
        <v>5500</v>
      </c>
      <c r="L17" s="42">
        <f>C17+E17+G17+I17</f>
        <v>418950</v>
      </c>
      <c r="M17" s="41">
        <f>MROUND(L17*Vendedor14!J$16,50)</f>
        <v>50250</v>
      </c>
      <c r="N17" s="42">
        <f t="shared" si="9"/>
        <v>6400</v>
      </c>
      <c r="O17" s="41">
        <f t="shared" si="3"/>
        <v>544000</v>
      </c>
      <c r="P17" s="42">
        <f>Vendedor14!$F$5+Vendedor14!$F$9+Vendedor14!$F$13+Vendedor14!$F$17</f>
        <v>544000</v>
      </c>
      <c r="R17" s="41">
        <f t="shared" si="8"/>
        <v>-175300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32350</v>
      </c>
      <c r="D18" s="30">
        <f>IF(Vendedor15!$E$5="",0,Vendedor15!$E$5)</f>
        <v>0</v>
      </c>
      <c r="E18" s="180">
        <f>IF(Vendedor15!$C$9="",0,Vendedor15!$C$9)</f>
        <v>39900</v>
      </c>
      <c r="F18" s="30">
        <f>IF(Vendedor15!$E$9="",0,Vendedor15!$E$9)</f>
        <v>150</v>
      </c>
      <c r="G18" s="180">
        <f>IF(Vendedor15!$C$13="",0,Vendedor15!$C$13)</f>
        <v>34050</v>
      </c>
      <c r="H18" s="30">
        <f>IF(Vendedor15!$E$13="",0,Vendedor15!$E$13)</f>
        <v>150</v>
      </c>
      <c r="I18" s="180">
        <f>IF(Vendedor15!$C$17="",0,Vendedor15!$C$17)</f>
        <v>12600</v>
      </c>
      <c r="J18" s="30">
        <f>IF(Vendedor15!$E$17="",0,Vendedor15!$E$17)</f>
        <v>1000</v>
      </c>
      <c r="L18" s="42">
        <f t="shared" ref="L18:L27" si="10">C18+E18+G18+I18</f>
        <v>118900</v>
      </c>
      <c r="M18" s="41">
        <f>MROUND(L18*Vendedor15!J$16,50)</f>
        <v>14250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-5850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351500</v>
      </c>
      <c r="D32" s="44">
        <f t="shared" si="14"/>
        <v>1600</v>
      </c>
      <c r="E32" s="43">
        <f t="shared" si="14"/>
        <v>364000</v>
      </c>
      <c r="F32" s="44">
        <f t="shared" si="14"/>
        <v>1850</v>
      </c>
      <c r="G32" s="43">
        <f t="shared" si="14"/>
        <v>192800</v>
      </c>
      <c r="H32" s="44">
        <f t="shared" si="14"/>
        <v>550</v>
      </c>
      <c r="I32" s="43">
        <f t="shared" si="14"/>
        <v>318300</v>
      </c>
      <c r="J32" s="44">
        <f t="shared" si="14"/>
        <v>12300</v>
      </c>
      <c r="L32" s="45">
        <f>SUM(L4:L31)</f>
        <v>1226600</v>
      </c>
      <c r="M32" s="45">
        <f>SUM(M7:M31)</f>
        <v>133800</v>
      </c>
      <c r="N32" s="95">
        <f>SUM(N4:N31)</f>
        <v>16300</v>
      </c>
      <c r="O32" s="46">
        <f>SUM(O4:O31)</f>
        <v>1385500</v>
      </c>
      <c r="P32" s="140">
        <f>SUM(P4:P31)</f>
        <v>1361500</v>
      </c>
      <c r="R32" s="79">
        <f>SUM(R4:R31)</f>
        <v>-307200</v>
      </c>
    </row>
    <row r="33" spans="3:15" x14ac:dyDescent="0.35">
      <c r="D33" s="120">
        <f>+D32*85</f>
        <v>136000</v>
      </c>
      <c r="F33" s="120">
        <f>+F32*85</f>
        <v>157250</v>
      </c>
      <c r="H33" s="120">
        <f>+H32*85</f>
        <v>46750</v>
      </c>
      <c r="J33" s="120">
        <f>+J32*85</f>
        <v>1045500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1226600</v>
      </c>
      <c r="E36" s="43">
        <f>+D36-L4-L5-L6</f>
        <v>1115150</v>
      </c>
    </row>
    <row r="37" spans="3:15" x14ac:dyDescent="0.35">
      <c r="C37" s="47" t="s">
        <v>33</v>
      </c>
      <c r="D37" s="48">
        <f>D36*13%</f>
        <v>159458</v>
      </c>
      <c r="E37">
        <f>+D37-M4-M5-M6</f>
        <v>144958</v>
      </c>
    </row>
    <row r="38" spans="3:15" x14ac:dyDescent="0.35">
      <c r="C38" s="47" t="s">
        <v>30</v>
      </c>
      <c r="D38" s="30">
        <f>SUM(O4:O27)</f>
        <v>1385500</v>
      </c>
      <c r="G38" s="100"/>
    </row>
    <row r="39" spans="3:15" ht="15" thickBot="1" x14ac:dyDescent="0.4">
      <c r="C39" s="49" t="s">
        <v>4</v>
      </c>
      <c r="D39" s="80">
        <f>+D36-D37-D38</f>
        <v>-318358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-318358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00 Blanca</v>
      </c>
      <c r="D2" s="268"/>
      <c r="E2" s="267" t="str">
        <f>IF(E33=0,"",CONCATENATE(PREMIOS!$B11," ",PREMIOS!$B12))</f>
        <v>97 Blanca</v>
      </c>
      <c r="F2" s="268"/>
      <c r="G2" s="267" t="str">
        <f>IF(G33=0,"",CONCATENATE(PREMIOS!$B15," ",PREMIOS!$B16))</f>
        <v>52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19150</v>
      </c>
      <c r="D10" s="30">
        <f>IF(Vendedor7!$E$8="",0,Vendedor7!$E$8)</f>
        <v>500</v>
      </c>
      <c r="E10" s="180">
        <f>IF(Vendedor7!$C$12="",0,Vendedor7!$C$12)</f>
        <v>25500</v>
      </c>
      <c r="F10" s="30">
        <f>IF(Vendedor7!$E$12="",0,Vendedor7!$E$12)</f>
        <v>0</v>
      </c>
      <c r="G10" s="180">
        <f>IF(Vendedor7!$C$16="",0,Vendedor7!$C$16)</f>
        <v>34850</v>
      </c>
      <c r="H10" s="30">
        <f>IF(Vendedor7!$E$16="",0,Vendedor7!$E$16)</f>
        <v>1000</v>
      </c>
      <c r="J10" s="42">
        <f t="shared" si="1"/>
        <v>79500</v>
      </c>
      <c r="K10" s="41">
        <f>J10*Vendedor7!J$16</f>
        <v>7950</v>
      </c>
      <c r="L10" s="42">
        <f t="shared" si="2"/>
        <v>0</v>
      </c>
      <c r="M10" s="42">
        <f t="shared" si="3"/>
        <v>1500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71550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1250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850</v>
      </c>
      <c r="H12" s="30">
        <f>IF(Vendedor9!$E$16="",0,Vendedor9!$E$16)</f>
        <v>0</v>
      </c>
      <c r="J12" s="42">
        <f t="shared" si="1"/>
        <v>3100</v>
      </c>
      <c r="K12" s="41">
        <f>J12*Vendedor9!J$13</f>
        <v>310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2790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19750</v>
      </c>
      <c r="D17" s="30">
        <f>IF(Vendedor14!$E$8="",0,Vendedor14!$E$8)</f>
        <v>900</v>
      </c>
      <c r="E17" s="180">
        <f>IF(Vendedor14!$C$12="",0,Vendedor14!$C$12)</f>
        <v>28850</v>
      </c>
      <c r="F17" s="30">
        <f>IF(Vendedor14!$E$12="",0,Vendedor14!$E$12)</f>
        <v>0</v>
      </c>
      <c r="G17" s="180">
        <f>IF(Vendedor14!$C$16="",0,Vendedor14!$C$16)</f>
        <v>21850</v>
      </c>
      <c r="H17" s="30">
        <f>IF(Vendedor14!$E$16="",0,Vendedor14!$E$16)</f>
        <v>0</v>
      </c>
      <c r="J17" s="42">
        <f t="shared" si="1"/>
        <v>70450</v>
      </c>
      <c r="K17" s="41">
        <f>J17*Vendedor14!J$17</f>
        <v>7045</v>
      </c>
      <c r="L17" s="42">
        <f t="shared" si="2"/>
        <v>0</v>
      </c>
      <c r="M17" s="42">
        <f t="shared" si="3"/>
        <v>900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63405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10300</v>
      </c>
      <c r="D18" s="30">
        <f>IF(Vendedor15!$E$8="",0,Vendedor15!$E$8)</f>
        <v>200</v>
      </c>
      <c r="E18" s="180">
        <f>IF(Vendedor15!$C$12="",0,Vendedor15!$C$12)</f>
        <v>9250</v>
      </c>
      <c r="F18" s="30">
        <f>IF(Vendedor15!$E$12="",0,Vendedor15!$E$12)</f>
        <v>0</v>
      </c>
      <c r="G18" s="180">
        <f>IF(Vendedor15!$C$16="",0,Vendedor15!$C$16)</f>
        <v>17800</v>
      </c>
      <c r="H18" s="30">
        <f>IF(Vendedor15!$E$16="",0,Vendedor15!$E$16)</f>
        <v>500</v>
      </c>
      <c r="J18" s="42">
        <f t="shared" ref="J18" si="5">+C18+E18+G18</f>
        <v>37350</v>
      </c>
      <c r="K18" s="41">
        <f>J18*Vendedor15!J$17</f>
        <v>3735</v>
      </c>
      <c r="L18" s="42">
        <f t="shared" si="2"/>
        <v>0</v>
      </c>
      <c r="M18" s="42">
        <f t="shared" si="3"/>
        <v>700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33615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17800</v>
      </c>
      <c r="H27" s="50">
        <f>IF(Vendedor24!$E$16="",0,Vendedor24!$E$16)</f>
        <v>500</v>
      </c>
      <c r="J27" s="42">
        <f t="shared" si="1"/>
        <v>17800</v>
      </c>
      <c r="K27" s="41">
        <f>J27*Vendedor24!J$11</f>
        <v>1780</v>
      </c>
      <c r="L27" s="42">
        <f t="shared" si="2"/>
        <v>0</v>
      </c>
      <c r="M27" s="42">
        <f t="shared" si="3"/>
        <v>500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16020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51450</v>
      </c>
      <c r="D33" s="44">
        <f>IF(PREMIOS!E8&lt;&gt;0,SUM(D4:D32),0)</f>
        <v>0</v>
      </c>
      <c r="E33" s="43">
        <f>SUM(E4:E32)</f>
        <v>64600</v>
      </c>
      <c r="F33" s="44">
        <f>IF(PREMIOS!E12&lt;&gt;0,SUM(F4:F32),0)</f>
        <v>0</v>
      </c>
      <c r="G33" s="43">
        <f>SUM(G4:G32)</f>
        <v>94150</v>
      </c>
      <c r="H33" s="44">
        <f>IF(PREMIOS!E16&lt;&gt;0,SUM(H4:H32),0)</f>
        <v>0</v>
      </c>
      <c r="J33" s="45">
        <f>SUM(J4:J32)</f>
        <v>210200</v>
      </c>
      <c r="K33" s="45">
        <f>SUM(K7:K32)</f>
        <v>21020</v>
      </c>
      <c r="L33" s="95">
        <f>SUM(L7:L32)</f>
        <v>0</v>
      </c>
      <c r="M33" s="95">
        <f>SUM(M7:M32)</f>
        <v>3600</v>
      </c>
      <c r="N33" s="95">
        <f>SUM(N4:N27)</f>
        <v>0</v>
      </c>
      <c r="O33" s="95">
        <f>SUM(O4:O27)</f>
        <v>0</v>
      </c>
      <c r="Q33" s="79">
        <f>SUM(Q4:Q32)</f>
        <v>189180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210200</v>
      </c>
      <c r="E37" s="43">
        <f>+D37-J4-J5-J6</f>
        <v>210200</v>
      </c>
      <c r="F37" s="275"/>
      <c r="G37" s="275"/>
    </row>
    <row r="38" spans="3:17" ht="15" thickBot="1" x14ac:dyDescent="0.4">
      <c r="C38" s="47" t="s">
        <v>33</v>
      </c>
      <c r="D38" s="30">
        <f>D37*10%</f>
        <v>21020</v>
      </c>
      <c r="E38" s="43">
        <f>+D38-K4-K5-K6</f>
        <v>21020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189180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189180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94</v>
      </c>
      <c r="D2" s="268"/>
      <c r="E2" s="267">
        <f>DigitaPRIMERA!E2</f>
        <v>11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9600</v>
      </c>
      <c r="D4" s="78">
        <f>IF(Vendedor1!$E$19="",0,Vendedor1!$E$19)</f>
        <v>0</v>
      </c>
      <c r="E4" s="189">
        <f>IF(Vendedor1!$C$20="",0,Vendedor1!$C$20)</f>
        <v>2600</v>
      </c>
      <c r="F4" s="78">
        <f>IF(Vendedor1!$E$20="",0,Vendedor1!$E$20)</f>
        <v>300</v>
      </c>
      <c r="H4" s="42">
        <f>+C4+E4</f>
        <v>12200</v>
      </c>
      <c r="I4" s="41">
        <f>MROUND(H4*Vendedor1!J$9,50)</f>
        <v>1600</v>
      </c>
      <c r="J4" s="42">
        <f>+D4+F4</f>
        <v>300</v>
      </c>
      <c r="K4" s="42">
        <f>+J4*85</f>
        <v>25500</v>
      </c>
      <c r="L4" s="42">
        <f>Vendedor1!$F$19+Vendedor1!$F$20</f>
        <v>24000</v>
      </c>
      <c r="N4" s="42">
        <f t="shared" ref="N4:N31" si="0">+H4-I4-L4</f>
        <v>-13400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18100</v>
      </c>
      <c r="D8" s="30">
        <f>IF(Vendedor5!$E$19="",0,Vendedor5!$E$19)</f>
        <v>400</v>
      </c>
      <c r="E8" s="180">
        <f>IF(Vendedor5!$C$20="",0,Vendedor5!$C$20)</f>
        <v>18350</v>
      </c>
      <c r="F8" s="30">
        <f>IF(Vendedor5!$E$20="",0,Vendedor5!$E$20)</f>
        <v>500</v>
      </c>
      <c r="H8" s="133">
        <f t="shared" si="1"/>
        <v>36450</v>
      </c>
      <c r="I8" s="148">
        <f>MROUND(H8*Vendedor5!J$11,50)</f>
        <v>4350</v>
      </c>
      <c r="J8" s="133">
        <f t="shared" si="2"/>
        <v>900</v>
      </c>
      <c r="K8" s="133">
        <f t="shared" si="3"/>
        <v>76500</v>
      </c>
      <c r="L8" s="133">
        <f>Vendedor5!$F$19+Vendedor5!$F$20</f>
        <v>72000</v>
      </c>
      <c r="M8" s="155"/>
      <c r="N8" s="133">
        <f t="shared" si="0"/>
        <v>-39900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21550</v>
      </c>
      <c r="D10" s="30">
        <f>IF(Vendedor7!$E$19="",0,Vendedor7!$E$19)</f>
        <v>300</v>
      </c>
      <c r="E10" s="180">
        <f>IF(Vendedor7!$C$20="",0,Vendedor7!$C$20)</f>
        <v>23450</v>
      </c>
      <c r="F10" s="30">
        <f>IF(Vendedor7!$E$20="",0,Vendedor7!$E$20)</f>
        <v>400</v>
      </c>
      <c r="H10" s="42">
        <f t="shared" si="1"/>
        <v>45000</v>
      </c>
      <c r="I10" s="41">
        <f>MROUND(H10*Vendedor7!J$14,50)</f>
        <v>5400</v>
      </c>
      <c r="J10" s="42">
        <f t="shared" si="2"/>
        <v>700</v>
      </c>
      <c r="K10" s="42">
        <f t="shared" si="3"/>
        <v>59500</v>
      </c>
      <c r="L10" s="42">
        <f>Vendedor7!$F$19+Vendedor7!$F$20</f>
        <v>59500</v>
      </c>
      <c r="N10" s="42">
        <f t="shared" si="0"/>
        <v>-19900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32100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32100</v>
      </c>
      <c r="I12" s="148">
        <f>MROUND(H12*Vendedor9!J$11,50)</f>
        <v>3850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7000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3500</v>
      </c>
      <c r="D16" s="30">
        <f>IF(Vendedor13!$E$19="",0,Vendedor13!$E$19)</f>
        <v>0</v>
      </c>
      <c r="E16" s="180">
        <f>IF(Vendedor13!$C$20="",0,Vendedor13!$C$20)</f>
        <v>800</v>
      </c>
      <c r="F16" s="30">
        <f>IF(Vendedor13!$E$20="",0,Vendedor13!$E$20)</f>
        <v>0</v>
      </c>
      <c r="H16" s="133">
        <f t="shared" si="1"/>
        <v>4300</v>
      </c>
      <c r="I16" s="148">
        <f>MROUND(H16*Vendedor13!J$11,50)</f>
        <v>500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3800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57300</v>
      </c>
      <c r="D17" s="30">
        <f>IF(Vendedor14!$E$19="",0,Vendedor14!$E$19)</f>
        <v>550</v>
      </c>
      <c r="E17" s="180">
        <f>IF(Vendedor14!$C$20="",0,Vendedor14!$C$20)</f>
        <v>22500</v>
      </c>
      <c r="F17" s="30">
        <f>IF(Vendedor14!$E$20="",0,Vendedor14!$E$20)</f>
        <v>500</v>
      </c>
      <c r="H17" s="42">
        <f t="shared" si="1"/>
        <v>79800</v>
      </c>
      <c r="I17" s="41">
        <f>MROUND(H17*Vendedor14!J$15,50)</f>
        <v>9600</v>
      </c>
      <c r="J17" s="42">
        <f t="shared" si="2"/>
        <v>1050</v>
      </c>
      <c r="K17" s="42">
        <f t="shared" si="3"/>
        <v>89250</v>
      </c>
      <c r="L17" s="42">
        <f>Vendedor14!$F$19+Vendedor14!$F$20</f>
        <v>89250</v>
      </c>
      <c r="N17" s="42">
        <f t="shared" si="0"/>
        <v>-19050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39650</v>
      </c>
      <c r="D18" s="30">
        <f>IF(Vendedor15!$E$19="",0,Vendedor15!$E$19)</f>
        <v>100</v>
      </c>
      <c r="E18" s="180">
        <f>IF(Vendedor15!$C$20="",0,Vendedor15!$C$20)</f>
        <v>35950</v>
      </c>
      <c r="F18" s="30">
        <f>IF(Vendedor15!$E$20="",0,Vendedor15!$E$20)</f>
        <v>400</v>
      </c>
      <c r="H18" s="42">
        <f t="shared" si="1"/>
        <v>75600</v>
      </c>
      <c r="I18" s="41">
        <f>MROUND(H18*Vendedor15!J$15,50)</f>
        <v>9050</v>
      </c>
      <c r="J18" s="42">
        <f t="shared" si="2"/>
        <v>500</v>
      </c>
      <c r="K18" s="42">
        <f t="shared" si="3"/>
        <v>42500</v>
      </c>
      <c r="L18" s="42">
        <f>Vendedor15!$F$19+Vendedor15!$F$20</f>
        <v>42500</v>
      </c>
      <c r="N18" s="42">
        <f t="shared" si="0"/>
        <v>24050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183200</v>
      </c>
      <c r="D32" s="44">
        <f>SUM(D4:D31)</f>
        <v>1600</v>
      </c>
      <c r="E32" s="43">
        <f>SUM(E4:E31)</f>
        <v>103650</v>
      </c>
      <c r="F32" s="44">
        <f>SUM(F4:F31)</f>
        <v>2100</v>
      </c>
      <c r="H32" s="95">
        <f>SUM(H4:H31)</f>
        <v>286850</v>
      </c>
      <c r="I32" s="45">
        <f>SUM(I7:I31)</f>
        <v>32750</v>
      </c>
      <c r="J32" s="95"/>
      <c r="K32" s="95">
        <f>SUM(K4:K31)</f>
        <v>314500</v>
      </c>
      <c r="L32" s="95">
        <f>SUM(L4:L31)</f>
        <v>308500</v>
      </c>
      <c r="N32" s="79">
        <f>SUM(N4:N31)</f>
        <v>-56200</v>
      </c>
    </row>
    <row r="33" spans="3:6" x14ac:dyDescent="0.35">
      <c r="D33" s="99">
        <f>+D32*85</f>
        <v>136000</v>
      </c>
      <c r="F33" s="99">
        <f>+F32*85</f>
        <v>178500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286850</v>
      </c>
      <c r="E36" s="43">
        <f>+D36-H4-H5-H6</f>
        <v>273250</v>
      </c>
    </row>
    <row r="37" spans="3:6" x14ac:dyDescent="0.35">
      <c r="C37" s="47" t="s">
        <v>33</v>
      </c>
      <c r="D37" s="48">
        <f>D36*13%</f>
        <v>37290.5</v>
      </c>
      <c r="E37">
        <f>+D37-I4-I5-I6</f>
        <v>35490.5</v>
      </c>
    </row>
    <row r="38" spans="3:6" ht="15" thickBot="1" x14ac:dyDescent="0.4">
      <c r="C38" s="47" t="s">
        <v>30</v>
      </c>
      <c r="D38" s="30">
        <f>SUM(K4:K27)</f>
        <v>314500</v>
      </c>
    </row>
    <row r="39" spans="3:6" ht="15" thickBot="1" x14ac:dyDescent="0.4">
      <c r="C39" s="49" t="s">
        <v>4</v>
      </c>
      <c r="D39" s="80">
        <f>+D36-D37-D38</f>
        <v>-64940.5</v>
      </c>
      <c r="F39" s="98">
        <f>+N32-D39</f>
        <v>8740.5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-64940.5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45</v>
      </c>
      <c r="D2" s="268"/>
      <c r="E2" s="267">
        <f>DigitaHONDURAS!E2</f>
        <v>65</v>
      </c>
      <c r="F2" s="268"/>
      <c r="G2" s="267">
        <f>DigitaHONDURAS!G2</f>
        <v>76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5150</v>
      </c>
      <c r="D10" s="30">
        <f>IF(Vendedor7!$E$21="",0,Vendedor7!$E$21)</f>
        <v>0</v>
      </c>
      <c r="E10" s="180">
        <f>IF(Vendedor7!$C$22="",0,Vendedor7!$C$22)</f>
        <v>2100</v>
      </c>
      <c r="F10" s="30">
        <f>IF(Vendedor7!$E$22="",0,Vendedor7!$E$22)</f>
        <v>0</v>
      </c>
      <c r="G10" s="180">
        <f>IF(Vendedor7!$C$23="",0,Vendedor7!$C$23)</f>
        <v>2900</v>
      </c>
      <c r="H10" s="30">
        <f>IF(Vendedor7!$E$23="",0,Vendedor7!$E$23)</f>
        <v>0</v>
      </c>
      <c r="J10" s="42">
        <f t="shared" si="0"/>
        <v>10150</v>
      </c>
      <c r="K10" s="41">
        <f>MROUND(J10*Vendedor7!J$14,50)</f>
        <v>1200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8950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38750</v>
      </c>
      <c r="D17" s="30">
        <f>IF(Vendedor14!$E$21="",0,Vendedor14!$E$21)</f>
        <v>550</v>
      </c>
      <c r="E17" s="180">
        <f>IF(Vendedor14!$C$22="",0,Vendedor14!$C$22)</f>
        <v>8900</v>
      </c>
      <c r="F17" s="30">
        <f>IF(Vendedor14!$E$22="",0,Vendedor14!$E$22)</f>
        <v>100</v>
      </c>
      <c r="G17" s="180">
        <f>IF(Vendedor14!$C$23="",0,Vendedor14!$C$23)</f>
        <v>26000</v>
      </c>
      <c r="H17" s="30">
        <f>IF(Vendedor14!$E$23="",0,Vendedor14!$E$23)</f>
        <v>0</v>
      </c>
      <c r="J17" s="42">
        <f t="shared" si="0"/>
        <v>73650</v>
      </c>
      <c r="K17" s="41">
        <f>MROUND(J17*Vendedor14!J$15,50)</f>
        <v>8850</v>
      </c>
      <c r="L17" s="42">
        <f t="shared" si="1"/>
        <v>650</v>
      </c>
      <c r="M17" s="42">
        <f t="shared" si="3"/>
        <v>55250</v>
      </c>
      <c r="N17" s="42">
        <f>Vendedor14!$F$21+Vendedor14!$F$22+Vendedor14!$F$23</f>
        <v>55250</v>
      </c>
      <c r="P17" s="42">
        <f t="shared" si="2"/>
        <v>9550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16800</v>
      </c>
      <c r="D18" s="30">
        <f>IF(Vendedor15!$E$21="",0,Vendedor15!$E$21)</f>
        <v>0</v>
      </c>
      <c r="E18" s="180">
        <f>IF(Vendedor15!$C$22="",0,Vendedor15!$C$22)</f>
        <v>17000</v>
      </c>
      <c r="F18" s="30">
        <f>IF(Vendedor15!$E$22="",0,Vendedor15!$E$22)</f>
        <v>1000</v>
      </c>
      <c r="G18" s="180">
        <f>IF(Vendedor15!$C$23="",0,Vendedor15!$C$23)</f>
        <v>5000</v>
      </c>
      <c r="H18" s="30">
        <f>IF(Vendedor15!$E$23="",0,Vendedor15!$E$23)</f>
        <v>0</v>
      </c>
      <c r="J18" s="42">
        <f t="shared" si="0"/>
        <v>38800</v>
      </c>
      <c r="K18" s="41">
        <f>MROUND(J18*Vendedor15!J$15,50)</f>
        <v>4650</v>
      </c>
      <c r="L18" s="42">
        <f t="shared" si="1"/>
        <v>1000</v>
      </c>
      <c r="M18" s="42">
        <f t="shared" si="3"/>
        <v>85000</v>
      </c>
      <c r="N18" s="42">
        <f>Vendedor15!$F$21+Vendedor15!$F$22+Vendedor15!$F$23</f>
        <v>85000</v>
      </c>
      <c r="P18" s="42">
        <f t="shared" si="2"/>
        <v>-50850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60700</v>
      </c>
      <c r="D32" s="44">
        <f t="shared" si="8"/>
        <v>550</v>
      </c>
      <c r="E32" s="43">
        <f t="shared" si="8"/>
        <v>28000</v>
      </c>
      <c r="F32" s="44">
        <f t="shared" si="8"/>
        <v>1100</v>
      </c>
      <c r="G32" s="43">
        <f t="shared" si="8"/>
        <v>33900</v>
      </c>
      <c r="H32" s="44">
        <f t="shared" si="8"/>
        <v>0</v>
      </c>
      <c r="J32" s="95">
        <f>SUM(J4:J31)</f>
        <v>122600</v>
      </c>
      <c r="K32" s="45">
        <f>SUM(K7:K31)</f>
        <v>14700</v>
      </c>
      <c r="L32" s="95"/>
      <c r="M32" s="95">
        <f>SUM(M4:M31)</f>
        <v>140250</v>
      </c>
      <c r="N32" s="95">
        <f>SUM(N4:N31)</f>
        <v>140250</v>
      </c>
      <c r="P32" s="79">
        <f>SUM(P4:P31)</f>
        <v>-32350</v>
      </c>
    </row>
    <row r="33" spans="3:8" x14ac:dyDescent="0.35">
      <c r="D33" s="99">
        <f>+D32*85</f>
        <v>46750</v>
      </c>
      <c r="F33" s="99">
        <f>+F32*85</f>
        <v>93500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122600</v>
      </c>
      <c r="E36" s="43">
        <f>+D36-J4-J5-J6</f>
        <v>122600</v>
      </c>
    </row>
    <row r="37" spans="3:8" x14ac:dyDescent="0.35">
      <c r="C37" s="47" t="s">
        <v>33</v>
      </c>
      <c r="D37" s="48">
        <f>D36*13%</f>
        <v>15938</v>
      </c>
      <c r="E37">
        <f>+D37-K4-K5-K6</f>
        <v>15938</v>
      </c>
    </row>
    <row r="38" spans="3:8" ht="15" thickBot="1" x14ac:dyDescent="0.4">
      <c r="C38" s="47" t="s">
        <v>30</v>
      </c>
      <c r="D38" s="30">
        <f>SUM(M4:M27)</f>
        <v>140250</v>
      </c>
      <c r="G38" s="100"/>
    </row>
    <row r="39" spans="3:8" ht="15" thickBot="1" x14ac:dyDescent="0.4">
      <c r="C39" s="49" t="s">
        <v>4</v>
      </c>
      <c r="D39" s="80">
        <f>+D36-D37-D38</f>
        <v>-33588</v>
      </c>
      <c r="F39" s="98">
        <f>+P32-D39</f>
        <v>1238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-33588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76</v>
      </c>
      <c r="D2" s="268"/>
      <c r="E2" s="267">
        <f>DigitaDOMINICANA!E2</f>
        <v>23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50200</v>
      </c>
      <c r="D10" s="30">
        <f>IF(Vendedor7!$E$24="",0,Vendedor7!$E$24)</f>
        <v>1000</v>
      </c>
      <c r="E10" s="180">
        <f>IF(Vendedor7!$C$25="",0,Vendedor7!$C$25)</f>
        <v>54700</v>
      </c>
      <c r="F10" s="30">
        <f>IF(Vendedor7!$E$25="",0,Vendedor7!$E$25)</f>
        <v>1000</v>
      </c>
      <c r="H10" s="42">
        <f t="shared" si="1"/>
        <v>104900</v>
      </c>
      <c r="I10" s="41">
        <f>MROUND(H10*Vendedor7!J$14,50)</f>
        <v>12600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-77700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50200</v>
      </c>
      <c r="D32" s="44">
        <f>SUM(D4:D31)</f>
        <v>1000</v>
      </c>
      <c r="E32" s="43">
        <f>SUM(E4:E31)</f>
        <v>54700</v>
      </c>
      <c r="F32" s="44">
        <f>SUM(F4:F31)</f>
        <v>1000</v>
      </c>
      <c r="H32" s="95">
        <f>SUM(H4:H31)</f>
        <v>104900</v>
      </c>
      <c r="I32" s="45">
        <f>SUM(I7:I31)</f>
        <v>12600</v>
      </c>
      <c r="J32" s="95"/>
      <c r="K32" s="95">
        <f>SUM(K4:K31)</f>
        <v>170000</v>
      </c>
      <c r="L32" s="95">
        <f>SUM(L4:L31)</f>
        <v>170000</v>
      </c>
      <c r="N32" s="79">
        <f>SUM(N4:N31)</f>
        <v>-77700</v>
      </c>
    </row>
    <row r="33" spans="3:6" x14ac:dyDescent="0.35">
      <c r="D33" s="99">
        <f>+D32*85</f>
        <v>85000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104900</v>
      </c>
      <c r="E36" s="43">
        <f>+D36-H4-H5-H6</f>
        <v>104900</v>
      </c>
    </row>
    <row r="37" spans="3:6" x14ac:dyDescent="0.35">
      <c r="C37" s="47" t="s">
        <v>33</v>
      </c>
      <c r="D37" s="48">
        <f>D36*13%</f>
        <v>13637</v>
      </c>
      <c r="E37">
        <f>+D37-I4-I5-I6</f>
        <v>13637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0">
        <f>+D36-D37-D38</f>
        <v>-78737</v>
      </c>
      <c r="F39" s="98">
        <f>+N32-D39</f>
        <v>1037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-78737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1115150</v>
      </c>
      <c r="C4" s="157">
        <f>HojaNICA!M32</f>
        <v>133800</v>
      </c>
      <c r="D4" s="150">
        <f>HojaNICA!E37</f>
        <v>144958</v>
      </c>
      <c r="E4" s="150">
        <f>HojaNICA!P32</f>
        <v>1361500</v>
      </c>
      <c r="F4" s="150">
        <f>HojaNICA!O32</f>
        <v>1385500</v>
      </c>
      <c r="G4" s="151">
        <f t="shared" ref="G4:G10" si="0">+D4-C4+F4-E4</f>
        <v>35158</v>
      </c>
      <c r="H4" s="21"/>
      <c r="I4" s="182"/>
    </row>
    <row r="5" spans="1:9" x14ac:dyDescent="0.35">
      <c r="A5" s="28" t="s">
        <v>19</v>
      </c>
      <c r="B5" s="156">
        <f>HojaTICA!$E$36</f>
        <v>1519150</v>
      </c>
      <c r="C5" s="157">
        <f>HojaTICA!K32</f>
        <v>184400</v>
      </c>
      <c r="D5" s="150">
        <f>HojaTICA!E37</f>
        <v>197517</v>
      </c>
      <c r="E5" s="150">
        <f>HojaTICA!N32</f>
        <v>1976250</v>
      </c>
      <c r="F5" s="150">
        <f>HojaTICA!D38</f>
        <v>1976250</v>
      </c>
      <c r="G5" s="151">
        <f t="shared" si="0"/>
        <v>13117</v>
      </c>
      <c r="H5" s="21"/>
      <c r="I5" s="182"/>
    </row>
    <row r="6" spans="1:9" x14ac:dyDescent="0.35">
      <c r="A6" s="28" t="s">
        <v>125</v>
      </c>
      <c r="B6" s="156">
        <f>HojaREVENTADO!$E$37</f>
        <v>210200</v>
      </c>
      <c r="C6" s="157">
        <f>HojaREVENTADO!K33</f>
        <v>21020</v>
      </c>
      <c r="D6" s="150">
        <f>HojaREVENTADO!E38</f>
        <v>21020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273250</v>
      </c>
      <c r="C7" s="157">
        <f>HojaPrimera!I32</f>
        <v>32750</v>
      </c>
      <c r="D7" s="150">
        <f>HojaPrimera!E37</f>
        <v>35490.5</v>
      </c>
      <c r="E7" s="150">
        <f>HojaPrimera!L32</f>
        <v>308500</v>
      </c>
      <c r="F7" s="150">
        <f>HojaPrimera!K32</f>
        <v>314500</v>
      </c>
      <c r="G7" s="151">
        <f t="shared" si="0"/>
        <v>8740.5</v>
      </c>
      <c r="H7" s="21"/>
      <c r="I7" s="21"/>
    </row>
    <row r="8" spans="1:9" x14ac:dyDescent="0.35">
      <c r="A8" s="28" t="s">
        <v>104</v>
      </c>
      <c r="B8" s="156">
        <f>HojaHonduras!$E$36</f>
        <v>122600</v>
      </c>
      <c r="C8" s="157">
        <f>HojaHonduras!K32</f>
        <v>14700</v>
      </c>
      <c r="D8" s="150">
        <f>HojaHonduras!E37</f>
        <v>15938</v>
      </c>
      <c r="E8" s="150">
        <f>HojaHonduras!N32</f>
        <v>140250</v>
      </c>
      <c r="F8" s="150">
        <f>HojaHonduras!M32</f>
        <v>140250</v>
      </c>
      <c r="G8" s="151">
        <f t="shared" si="0"/>
        <v>1238</v>
      </c>
      <c r="H8" s="21"/>
      <c r="I8" s="21"/>
    </row>
    <row r="9" spans="1:9" x14ac:dyDescent="0.35">
      <c r="A9" s="28" t="s">
        <v>20</v>
      </c>
      <c r="B9" s="156">
        <f>HojaDominicana!$E$36</f>
        <v>104900</v>
      </c>
      <c r="C9" s="157">
        <f>HojaDominicana!I32</f>
        <v>12600</v>
      </c>
      <c r="D9" s="150">
        <f>HojaDominicana!E37</f>
        <v>13637</v>
      </c>
      <c r="E9" s="150">
        <f>HojaDominicana!L32</f>
        <v>170000</v>
      </c>
      <c r="F9" s="150">
        <f>HojaDominicana!K32</f>
        <v>170000</v>
      </c>
      <c r="G9" s="151">
        <f t="shared" si="0"/>
        <v>1037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3345250</v>
      </c>
      <c r="C11" s="175">
        <f>SUM(C4:C10)</f>
        <v>399270</v>
      </c>
      <c r="D11" s="175">
        <f t="shared" ref="D11:F11" si="1">SUM(D4:D10)</f>
        <v>428560.5</v>
      </c>
      <c r="E11" s="175">
        <f t="shared" si="1"/>
        <v>3956500</v>
      </c>
      <c r="F11" s="175">
        <f t="shared" si="1"/>
        <v>3986500</v>
      </c>
      <c r="G11" s="176">
        <f>SUM(G4:G10)</f>
        <v>59290.5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24290.5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297100</v>
      </c>
      <c r="E16" s="157">
        <f>+Vendedor1!D21</f>
        <v>38623</v>
      </c>
      <c r="F16" s="158">
        <f>IF(D16&lt;&gt;0,15000,0)</f>
        <v>15000</v>
      </c>
      <c r="G16" s="151">
        <f>+E16-F16</f>
        <v>23623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239700</v>
      </c>
      <c r="E17" s="157">
        <f>+Vendedor2!D21</f>
        <v>31161</v>
      </c>
      <c r="F17" s="158">
        <f>IF(D17&lt;&gt;0,15000,0)</f>
        <v>15000</v>
      </c>
      <c r="G17" s="151">
        <f>+E17-F17</f>
        <v>16161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536800</v>
      </c>
      <c r="E19" s="159">
        <f>SUM(E16:E18)</f>
        <v>69784</v>
      </c>
      <c r="F19" s="160">
        <f>SUM(F16:F18)</f>
        <v>30000</v>
      </c>
      <c r="G19" s="161">
        <f>SUM(G16:G18)</f>
        <v>39784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-17800</v>
      </c>
      <c r="E22" s="157">
        <f>-Vendedor24!D27</f>
        <v>-1780</v>
      </c>
      <c r="F22" s="158">
        <f>-Vendedor24!F27</f>
        <v>0</v>
      </c>
      <c r="G22" s="151">
        <f>+D22-E22-F22</f>
        <v>-16020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48054.5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1226600</v>
      </c>
      <c r="C5" s="150">
        <f>HojaNICA!D37</f>
        <v>159458</v>
      </c>
      <c r="D5" s="150">
        <f>HojaNICA!D38</f>
        <v>1385500</v>
      </c>
      <c r="E5" s="150"/>
      <c r="F5" s="151">
        <f>+B5-C5-D5+E5</f>
        <v>-318358</v>
      </c>
      <c r="H5" s="249" t="s">
        <v>105</v>
      </c>
      <c r="I5" s="243">
        <f ca="1">TODAY()-1</f>
        <v>46147</v>
      </c>
      <c r="O5" s="119"/>
    </row>
    <row r="6" spans="1:15" ht="15" thickBot="1" x14ac:dyDescent="0.4">
      <c r="A6" s="47" t="s">
        <v>36</v>
      </c>
      <c r="B6" s="150">
        <f>HojaTICA!D36</f>
        <v>1930900</v>
      </c>
      <c r="C6" s="150">
        <f>HojaTICA!D37</f>
        <v>251017</v>
      </c>
      <c r="D6" s="150">
        <f>HojaTICA!D38</f>
        <v>1976250</v>
      </c>
      <c r="E6" s="150"/>
      <c r="F6" s="151">
        <f t="shared" ref="F6:F11" si="0">+B6-C6-D6+E6</f>
        <v>-296367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210200</v>
      </c>
      <c r="C7" s="150">
        <f>HojaREVENTADO!D38</f>
        <v>21020</v>
      </c>
      <c r="D7" s="150">
        <f>HojaREVENTADO!D39</f>
        <v>0</v>
      </c>
      <c r="E7" s="150"/>
      <c r="F7" s="151">
        <f t="shared" si="0"/>
        <v>189180</v>
      </c>
    </row>
    <row r="8" spans="1:15" x14ac:dyDescent="0.35">
      <c r="A8" s="47" t="s">
        <v>96</v>
      </c>
      <c r="B8" s="150">
        <f>HojaPrimera!$D36</f>
        <v>286850</v>
      </c>
      <c r="C8" s="150">
        <f>HojaPrimera!$D37</f>
        <v>37290.5</v>
      </c>
      <c r="D8" s="150">
        <f>HojaPrimera!$D38</f>
        <v>314500</v>
      </c>
      <c r="E8" s="150"/>
      <c r="F8" s="151">
        <f t="shared" si="0"/>
        <v>-64940.5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122600</v>
      </c>
      <c r="C9" s="150">
        <f>HojaHonduras!$D37</f>
        <v>15938</v>
      </c>
      <c r="D9" s="150">
        <f>HojaHonduras!$D38</f>
        <v>140250</v>
      </c>
      <c r="E9" s="150"/>
      <c r="F9" s="151">
        <f t="shared" si="0"/>
        <v>-33588</v>
      </c>
      <c r="H9" s="250">
        <f>+K12-K10-H6</f>
        <v>-602810.5</v>
      </c>
    </row>
    <row r="10" spans="1:15" ht="15" thickBot="1" x14ac:dyDescent="0.4">
      <c r="A10" s="47" t="s">
        <v>20</v>
      </c>
      <c r="B10" s="150">
        <f>HojaDominicana!$D36</f>
        <v>104900</v>
      </c>
      <c r="C10" s="150">
        <f>HojaDominicana!$D37</f>
        <v>13637</v>
      </c>
      <c r="D10" s="150">
        <f>HojaDominicana!$D38</f>
        <v>170000</v>
      </c>
      <c r="E10" s="150"/>
      <c r="F10" s="151">
        <f t="shared" si="0"/>
        <v>-78737</v>
      </c>
      <c r="H10" s="154"/>
      <c r="J10" t="s">
        <v>148</v>
      </c>
      <c r="K10" s="252">
        <v>4890966.45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4288155.95</v>
      </c>
    </row>
    <row r="12" spans="1:15" ht="16" thickBot="1" x14ac:dyDescent="0.4">
      <c r="A12" s="144" t="s">
        <v>5</v>
      </c>
      <c r="B12" s="152">
        <f>SUM(B5:B11)</f>
        <v>3882050</v>
      </c>
      <c r="C12" s="152">
        <f>SUM(C5:C11)</f>
        <v>498360.5</v>
      </c>
      <c r="D12" s="152">
        <f>SUM(D5:D11)</f>
        <v>3986500</v>
      </c>
      <c r="E12" s="152"/>
      <c r="F12" s="255">
        <f>SUM(F5:F11)</f>
        <v>-602810.5</v>
      </c>
      <c r="H12" s="251">
        <f>K12</f>
        <v>4288155.95</v>
      </c>
      <c r="J12" t="s">
        <v>140</v>
      </c>
      <c r="K12" s="254">
        <f>-2630734.37+3953915.74+1840068.6+1124905.98</f>
        <v>4288155.95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213100</v>
      </c>
      <c r="K4" s="231">
        <f t="shared" ref="K4" si="0">D7+D11+D15</f>
        <v>27703</v>
      </c>
      <c r="L4" s="220">
        <f>F7+F11+F15</f>
        <v>157250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IF(DigitaNICA!C4&lt;&gt;"",DigitaNICA!C4,"")</f>
        <v>38250</v>
      </c>
      <c r="D5" s="42">
        <f>IF(C5="",0,C5*J$10)</f>
        <v>4972.5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25277.5</v>
      </c>
      <c r="I5" s="241" t="s">
        <v>37</v>
      </c>
      <c r="J5" s="221">
        <f>SUM(IF(C5="",0,C5),IF(C9="",0,C9),IF(C13="",0,C13),IF(C17="",0,C17))</f>
        <v>71800</v>
      </c>
      <c r="K5" s="225">
        <f t="shared" ref="K5" si="2">D5+D9+D13+D17</f>
        <v>9334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12200</v>
      </c>
      <c r="K6" s="228">
        <f>D19+D20</f>
        <v>1586</v>
      </c>
      <c r="L6" s="229">
        <f>F19+F20</f>
        <v>24000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IF(DigitaTICA!C4&lt;&gt;"",DigitaTICA!C4,"")</f>
        <v>87900</v>
      </c>
      <c r="D7" s="42">
        <f>IF(C7="",0,C7*J$9)</f>
        <v>11427</v>
      </c>
      <c r="E7" s="29">
        <f>IF(DigitaTICA!D4&lt;&gt;"",DigitaTICA!D4,"")</f>
        <v>1550</v>
      </c>
      <c r="F7" s="42">
        <f>IF(E7="",0,E7*PREMIOS!F7)</f>
        <v>131750</v>
      </c>
      <c r="G7" s="30">
        <f t="shared" si="1"/>
        <v>-55277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IF(DigitaNICA!E4&lt;&gt;"",DigitaNICA!E4,"")</f>
        <v>19250</v>
      </c>
      <c r="D9" s="42">
        <f>IF(C9="",0,C9*J$10)</f>
        <v>2502.5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16747.5</v>
      </c>
      <c r="I9" s="76" t="s">
        <v>36</v>
      </c>
      <c r="J9" s="77">
        <v>0.13</v>
      </c>
      <c r="K9" s="78">
        <f>MROUND(D7+D11+D15,50)</f>
        <v>27700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9350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IF(DigitaTICA!E4&lt;&gt;"",DigitaTICA!E4,"")</f>
        <v>45950</v>
      </c>
      <c r="D11" s="42">
        <f>IF(C11="",0,C11*J$9)</f>
        <v>5973.5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39976.5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1600</v>
      </c>
    </row>
    <row r="13" spans="1:12" x14ac:dyDescent="0.35">
      <c r="A13" s="28" t="s">
        <v>50</v>
      </c>
      <c r="B13" s="132">
        <f>IF(DigitaNICA!G2&lt;&gt;"",DigitaNICA!G2,"")</f>
        <v>28</v>
      </c>
      <c r="C13" s="29">
        <f>IF(DigitaNICA!G4&lt;&gt;"",DigitaNICA!G4,"")</f>
        <v>10300</v>
      </c>
      <c r="D13" s="42">
        <f>IF(C13="",0,C13*J$10)</f>
        <v>1339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8961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IF(DigitaTICA!G4&lt;&gt;"",DigitaTICA!G4,"")</f>
        <v>79250</v>
      </c>
      <c r="D15" s="42">
        <f>IF(C15="",0,C15*J$9)</f>
        <v>10302.5</v>
      </c>
      <c r="E15" s="29">
        <f>IF(DigitaTICA!H4&lt;&gt;"",DigitaTICA!H4,"")</f>
        <v>300</v>
      </c>
      <c r="F15" s="42">
        <f>IF(E15="",0,E15*PREMIOS!F15)</f>
        <v>25500</v>
      </c>
      <c r="G15" s="30">
        <f t="shared" si="3"/>
        <v>43447.5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200</v>
      </c>
      <c r="F17" s="42">
        <f>IF(E17="",0,E17*PREMIOS!E17)</f>
        <v>16000</v>
      </c>
      <c r="G17" s="30">
        <f t="shared" si="3"/>
        <v>-12520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IF(DigitaPRIMERA!C4&lt;&gt;"",DigitaPRIMERA!C4,"")</f>
        <v>9600</v>
      </c>
      <c r="D19" s="42">
        <f>IF(C19="",0,C19*J$12)</f>
        <v>1248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8352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>
        <f>IF(DigitaPRIMERA!E4&lt;&gt;"",DigitaPRIMERA!E4,"")</f>
        <v>2600</v>
      </c>
      <c r="D20" s="42">
        <f>IF(C20="",0,C20*J$12)</f>
        <v>338</v>
      </c>
      <c r="E20" s="29">
        <f>IF(DigitaPRIMERA!F4&lt;&gt;"",DigitaPRIMERA!F4,"")</f>
        <v>300</v>
      </c>
      <c r="F20" s="42">
        <f>IF(E20="",0,E20*PREMIOS!E19)</f>
        <v>24000</v>
      </c>
      <c r="G20" s="30">
        <f t="shared" ref="G20" si="5">IF(OR(C20="",E20=""),0,C20-D20-F20)</f>
        <v>-21738</v>
      </c>
    </row>
    <row r="21" spans="1:7" ht="15" thickBot="1" x14ac:dyDescent="0.4">
      <c r="A21" s="121" t="s">
        <v>5</v>
      </c>
      <c r="B21" s="128"/>
      <c r="C21" s="122">
        <f>SUM(C5:C20)</f>
        <v>297100</v>
      </c>
      <c r="D21" s="122">
        <f t="shared" ref="D21:G21" si="6">SUM(D5:D20)</f>
        <v>38623</v>
      </c>
      <c r="E21" s="122">
        <f t="shared" si="6"/>
        <v>2450</v>
      </c>
      <c r="F21" s="122">
        <f t="shared" si="6"/>
        <v>205250</v>
      </c>
      <c r="G21" s="123">
        <f t="shared" si="6"/>
        <v>53227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198650</v>
      </c>
      <c r="K4" s="231">
        <f t="shared" ref="K4" si="0">D7+D11+D15</f>
        <v>25824.5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IF(DigitaNICA!C5&lt;&gt;"",DigitaNICA!C5,"")</f>
        <v>16850</v>
      </c>
      <c r="D5" s="42">
        <f>IF(C5="",0,C5*J$10)</f>
        <v>2190.5</v>
      </c>
      <c r="E5" s="29">
        <f>IF(DigitaNICA!D5&lt;&gt;"",DigitaNICA!D5,"")</f>
        <v>150</v>
      </c>
      <c r="F5" s="42">
        <f>IF(E5="",0,E5*PREMIOS!E5)</f>
        <v>12000</v>
      </c>
      <c r="G5" s="30">
        <f t="shared" ref="G5:G12" si="1">IF(OR(C5="",E5=""),0,C5-D5-F5)</f>
        <v>2659.5</v>
      </c>
      <c r="I5" s="241" t="s">
        <v>37</v>
      </c>
      <c r="J5" s="221">
        <f>SUM(IF(C5="",0,C5),IF(C9="",0,C9),IF(C13="",0,C13),IF(C17="",0,C17))</f>
        <v>39650</v>
      </c>
      <c r="K5" s="225">
        <f t="shared" ref="K5" si="2">D5+D9+D13+D17</f>
        <v>5154.5</v>
      </c>
      <c r="L5" s="222">
        <f>F5+F9+F13+F17</f>
        <v>12000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1400</v>
      </c>
      <c r="K6" s="228">
        <f>D19+D20</f>
        <v>182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IF(DigitaTICA!C5&lt;&gt;"",DigitaTICA!C5,"")</f>
        <v>78000</v>
      </c>
      <c r="D7" s="42">
        <f>IF(C7="",0,C7*J$9)</f>
        <v>10140</v>
      </c>
      <c r="E7" s="29">
        <f>IF(DigitaTICA!D5&lt;&gt;"",DigitaTICA!D5,"")</f>
        <v>2000</v>
      </c>
      <c r="F7" s="42">
        <f>IF(E7="",0,E7*PREMIOS!F7)</f>
        <v>170000</v>
      </c>
      <c r="G7" s="30">
        <f t="shared" si="1"/>
        <v>-102140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IF(DigitaNICA!E5&lt;&gt;"",DigitaNICA!E5,"")</f>
        <v>13500</v>
      </c>
      <c r="D9" s="42">
        <f>IF(C9="",0,C9*J$10)</f>
        <v>1755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11745</v>
      </c>
      <c r="I9" s="60" t="s">
        <v>36</v>
      </c>
      <c r="J9" s="61">
        <v>0.13</v>
      </c>
      <c r="K9" s="62">
        <f>MROUND(D7+D11+D15,50)</f>
        <v>25800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5150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IF(DigitaTICA!E5&lt;&gt;"",DigitaTICA!E5,"")</f>
        <v>42700</v>
      </c>
      <c r="D11" s="42">
        <f>IF(C11="",0,C11*J$9)</f>
        <v>5551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37149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>
        <f>IF(DigitaNICA!G2&lt;&gt;"",DigitaNICA!G2,"")</f>
        <v>28</v>
      </c>
      <c r="C13" s="29">
        <f>IF(DigitaNICA!G5&lt;&gt;"",DigitaNICA!G5,"")</f>
        <v>2500</v>
      </c>
      <c r="D13" s="42">
        <f>IF(C13="",0,C13*J$10)</f>
        <v>325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2175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IF(DigitaTICA!G5&lt;&gt;"",DigitaTICA!G5,"")</f>
        <v>77950</v>
      </c>
      <c r="D15" s="42">
        <f>IF(C15="",0,C15*J$9)</f>
        <v>10133.5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67816.5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IF(DigitaNICA!I5&lt;&gt;"",DigitaNICA!I5,"")</f>
        <v>6800</v>
      </c>
      <c r="D17" s="42">
        <f>IF(C17="",0,C17*J$10)</f>
        <v>884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5916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IF(DigitaPRIMERA!C5&lt;&gt;"",DigitaPRIMERA!C5,"")</f>
        <v>1400</v>
      </c>
      <c r="D19" s="42">
        <f>IF(C19="",0,C19*J$12)</f>
        <v>182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1218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239700</v>
      </c>
      <c r="D21" s="68">
        <f t="shared" ref="D21:G21" si="4">SUM(D5:D20)</f>
        <v>31161</v>
      </c>
      <c r="E21" s="68">
        <f t="shared" si="4"/>
        <v>2150</v>
      </c>
      <c r="F21" s="68">
        <f t="shared" si="4"/>
        <v>182000</v>
      </c>
      <c r="G21" s="88">
        <f t="shared" si="4"/>
        <v>26539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160300</v>
      </c>
      <c r="K4" s="231">
        <f t="shared" ref="K4" si="0">D7+D11+D15</f>
        <v>19236</v>
      </c>
      <c r="L4" s="220">
        <f>F7+F11+F15</f>
        <v>263500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IF(DigitaNICA!C8&lt;&gt;"",DigitaNICA!C8,"")</f>
        <v>71200</v>
      </c>
      <c r="D5" s="42">
        <f>IF(C5="",0,C5*J$12)</f>
        <v>8544</v>
      </c>
      <c r="E5" s="29">
        <f>IF(DigitaNICA!D8&lt;&gt;"",DigitaNICA!D8,"")</f>
        <v>600</v>
      </c>
      <c r="F5" s="42">
        <f>IF(E5="",0,E5*PREMIOS!E5)</f>
        <v>48000</v>
      </c>
      <c r="G5" s="30">
        <f t="shared" ref="G5:G12" si="1">IF(OR(C5="",E5=""),0,C5-D5-F5)</f>
        <v>14656</v>
      </c>
      <c r="I5" s="241" t="s">
        <v>37</v>
      </c>
      <c r="J5" s="221">
        <f>SUM(IF(C5="",0,C5),IF(C9="",0,C9),IF(C13="",0,C13),IF(C17="",0,C17))</f>
        <v>184300</v>
      </c>
      <c r="K5" s="225">
        <f t="shared" ref="K5" si="2">D5+D9+D13+D17</f>
        <v>22116</v>
      </c>
      <c r="L5" s="222">
        <f>F5+F9+F13+F17</f>
        <v>228000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IF(DigitaTICA!C8&lt;&gt;"",DigitaTICA!C8,"")</f>
        <v>68550</v>
      </c>
      <c r="D7" s="42">
        <f>IF(C7="",0,C7*J$11)</f>
        <v>8226</v>
      </c>
      <c r="E7" s="29">
        <f>IF(DigitaTICA!D8&lt;&gt;"",DigitaTICA!D8,"")</f>
        <v>3000</v>
      </c>
      <c r="F7" s="42">
        <f>IF(E7="",0,E7*PREMIOS!F7)</f>
        <v>255000</v>
      </c>
      <c r="G7" s="30">
        <f t="shared" si="1"/>
        <v>-194676</v>
      </c>
      <c r="I7" s="242" t="s">
        <v>96</v>
      </c>
      <c r="J7" s="224">
        <f>SUM(IF(C19="",0,C19),IF(C20="",0,C20))</f>
        <v>36450</v>
      </c>
      <c r="K7" s="228">
        <f>+D19+D20</f>
        <v>4374</v>
      </c>
      <c r="L7" s="229">
        <f>+F19+F20</f>
        <v>72000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>
        <f>IF(DigitaNICA!E8&lt;&gt;"",DigitaNICA!E8,"")</f>
        <v>55850</v>
      </c>
      <c r="D9" s="42">
        <f>IF(C9="",0,C9*J$12)</f>
        <v>6702</v>
      </c>
      <c r="E9" s="29">
        <f>IF(DigitaNICA!F8&lt;&gt;"",DigitaNICA!F8,"")</f>
        <v>650</v>
      </c>
      <c r="F9" s="42">
        <f>IF(E9="",0,E9*PREMIOS!E9)</f>
        <v>52000</v>
      </c>
      <c r="G9" s="30">
        <f t="shared" si="1"/>
        <v>-2852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IF(DigitaTICA!E8&lt;&gt;"",DigitaTICA!E8,"")</f>
        <v>47350</v>
      </c>
      <c r="D11" s="42">
        <f>IF(C11="",0,C11*J$11)</f>
        <v>5682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41668</v>
      </c>
      <c r="I11" s="60" t="s">
        <v>36</v>
      </c>
      <c r="J11" s="61">
        <v>0.12</v>
      </c>
      <c r="K11" s="62">
        <f>MROUND(D7+D11+D15,50)</f>
        <v>19250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22100</v>
      </c>
    </row>
    <row r="13" spans="1:12" x14ac:dyDescent="0.35">
      <c r="A13" s="28" t="s">
        <v>50</v>
      </c>
      <c r="B13" s="132">
        <f>IF(DigitaNICA!G2&lt;&gt;"",DigitaNICA!G2,"")</f>
        <v>28</v>
      </c>
      <c r="C13" s="29">
        <f>IF(DigitaNICA!G8&lt;&gt;"",DigitaNICA!G8,"")</f>
        <v>19700</v>
      </c>
      <c r="D13" s="42">
        <f>IF(C13="",0,C13*J$12)</f>
        <v>2364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17336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4350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IF(DigitaTICA!G8&lt;&gt;"",DigitaTICA!G8,"")</f>
        <v>44400</v>
      </c>
      <c r="D15" s="42">
        <f>IF(C15="",0,C15*J$11)</f>
        <v>5328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30572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IF(DigitaNICA!I8&lt;&gt;"",DigitaNICA!I8,"")</f>
        <v>37550</v>
      </c>
      <c r="D17" s="42">
        <f>IF(C17="",0,C17*J$12)</f>
        <v>4506</v>
      </c>
      <c r="E17" s="29">
        <f>IF(DigitaNICA!J8&lt;&gt;"",DigitaNICA!J8,"")</f>
        <v>1600</v>
      </c>
      <c r="F17" s="42">
        <f>IF(E17="",0,E17*PREMIOS!E17)</f>
        <v>128000</v>
      </c>
      <c r="G17" s="30">
        <f t="shared" si="4"/>
        <v>-94956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IF(DigitaPRIMERA!C8&lt;&gt;"",DigitaPRIMERA!C8,"")</f>
        <v>18100</v>
      </c>
      <c r="D19" s="42">
        <f>IF(C19="",0,C19*J$14)</f>
        <v>2172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-16072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>
        <f>IF(DigitaPRIMERA!E8&lt;&gt;"",DigitaPRIMERA!E8,"")</f>
        <v>18350</v>
      </c>
      <c r="D20" s="42">
        <f>IF(C20="",0,C20*J$14)</f>
        <v>2202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-23852</v>
      </c>
    </row>
    <row r="21" spans="1:7" ht="15" thickBot="1" x14ac:dyDescent="0.4">
      <c r="A21" s="121" t="s">
        <v>5</v>
      </c>
      <c r="B21" s="128"/>
      <c r="C21" s="122">
        <f>SUM(C5:C20)</f>
        <v>381050</v>
      </c>
      <c r="D21" s="122">
        <f t="shared" ref="D21:G21" si="5">SUM(D5:D20)</f>
        <v>45726</v>
      </c>
      <c r="E21" s="122">
        <f t="shared" si="5"/>
        <v>6850</v>
      </c>
      <c r="F21" s="122">
        <f t="shared" si="5"/>
        <v>563500</v>
      </c>
      <c r="G21" s="123">
        <f t="shared" si="5"/>
        <v>-228176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459950</v>
      </c>
      <c r="K4" s="231">
        <f t="shared" ref="K4" si="0">D7+D11+D15</f>
        <v>55194</v>
      </c>
      <c r="L4" s="220">
        <f>F7+F11+F15</f>
        <v>607750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IF(DigitaNICA!C10&lt;&gt;"",DigitaNICA!C10,"")</f>
        <v>32100</v>
      </c>
      <c r="D5" s="42">
        <f>IF(C5="",0,C5*J$15)</f>
        <v>3852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11248</v>
      </c>
      <c r="I5" s="217" t="s">
        <v>37</v>
      </c>
      <c r="J5" s="221">
        <f>SUM(IF(C5="",0,C5),IF(C9="",0,C9),IF(C13="",0,C13),IF(C17="",0,C17))</f>
        <v>277800</v>
      </c>
      <c r="K5" s="225">
        <f t="shared" ref="K5" si="2">D5+D9+D13+D17</f>
        <v>33336</v>
      </c>
      <c r="L5" s="222">
        <f>F5+F9+F13+F17</f>
        <v>297500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79500</v>
      </c>
      <c r="K6" s="226">
        <f t="shared" ref="K6" si="3">+D8+D12+D16</f>
        <v>7950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29">
        <f>IF(DigitaTICA!C10&lt;&gt;"",DigitaTICA!C10,"")</f>
        <v>133900</v>
      </c>
      <c r="D7" s="42">
        <f>IF(C7="",0,C7*J$14)</f>
        <v>16068</v>
      </c>
      <c r="E7" s="29">
        <f>IF(DigitaTICA!D10&lt;&gt;"",DigitaTICA!D10,"")</f>
        <v>4300</v>
      </c>
      <c r="F7" s="42">
        <f>IF(E7="",0,E7*PREMIOS!F7)</f>
        <v>365500</v>
      </c>
      <c r="G7" s="30">
        <f t="shared" si="1"/>
        <v>-247668</v>
      </c>
      <c r="I7" s="217" t="s">
        <v>96</v>
      </c>
      <c r="J7" s="223">
        <f>SUM(IF(C19="",0,C19),IF(C20="",0,C20))</f>
        <v>45000</v>
      </c>
      <c r="K7" s="226">
        <f>+D19+D20</f>
        <v>5400</v>
      </c>
      <c r="L7" s="227">
        <f>+F19+F20</f>
        <v>59500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19150</v>
      </c>
      <c r="D8" s="42">
        <f>IF(C8="",0,C8*J$16)</f>
        <v>1915</v>
      </c>
      <c r="E8" s="29">
        <f>IF(DigitaREVENTADO!D10&lt;&gt;"",DigitaREVENTADO!D10,"")</f>
        <v>500</v>
      </c>
      <c r="F8" s="42">
        <f>IF(E8="",0,E8*PREMIOS!F8)</f>
        <v>0</v>
      </c>
      <c r="G8" s="30">
        <f t="shared" si="1"/>
        <v>17235</v>
      </c>
      <c r="I8" s="217" t="s">
        <v>104</v>
      </c>
      <c r="J8" s="223">
        <f>SUM(IF(C21="",0,C21),IF(C22="",0,C22),IF(C23="",0,C23))</f>
        <v>10150</v>
      </c>
      <c r="K8" s="226">
        <f t="shared" ref="K8" si="4">D21+D22+D23</f>
        <v>1218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IF(DigitaNICA!E10&lt;&gt;"",DigitaNICA!E10,"")</f>
        <v>90900</v>
      </c>
      <c r="D9" s="42">
        <f>IF(C9="",0,C9*J$15)</f>
        <v>10908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37492</v>
      </c>
      <c r="I9" s="217" t="s">
        <v>20</v>
      </c>
      <c r="J9" s="223">
        <f>SUM(IF(C24="",0,C24),IF(C25="",0,C25))</f>
        <v>104900</v>
      </c>
      <c r="K9" s="226">
        <f t="shared" ref="K9" si="5">+D24+D25</f>
        <v>12588</v>
      </c>
      <c r="L9" s="227">
        <f>F24+F25</f>
        <v>170000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IF(DigitaTICA!E10&lt;&gt;"",DigitaTICA!E10,"")</f>
        <v>140050</v>
      </c>
      <c r="D11" s="42">
        <f>IF(C11="",0,C11*J$14)</f>
        <v>16806</v>
      </c>
      <c r="E11" s="29">
        <f>IF(DigitaTICA!F10&lt;&gt;"",DigitaTICA!F10,"")</f>
        <v>1100</v>
      </c>
      <c r="F11" s="42">
        <f>IF(E11="",0,E11*PREMIOS!F11)</f>
        <v>93500</v>
      </c>
      <c r="G11" s="30">
        <f t="shared" si="1"/>
        <v>29744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25500</v>
      </c>
      <c r="D12" s="42">
        <f>IF(C12="",0,C12*J$16)</f>
        <v>2550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22950</v>
      </c>
    </row>
    <row r="13" spans="1:12" ht="15" thickBot="1" x14ac:dyDescent="0.4">
      <c r="A13" s="28" t="s">
        <v>50</v>
      </c>
      <c r="B13" s="132">
        <f>IF(DigitaNICA!G2&lt;&gt;"",DigitaNICA!G2,"")</f>
        <v>28</v>
      </c>
      <c r="C13" s="29">
        <f>IF(DigitaNICA!G10&lt;&gt;"",DigitaNICA!G10,"")</f>
        <v>57250</v>
      </c>
      <c r="D13" s="42">
        <f>IF(C13="",0,C13*J$15)</f>
        <v>6870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50380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55200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IF(DigitaTICA!G10&lt;&gt;"",DigitaTICA!G10,"")</f>
        <v>186000</v>
      </c>
      <c r="D15" s="42">
        <f>IF(C15="",0,C15*J$14)</f>
        <v>22320</v>
      </c>
      <c r="E15" s="29">
        <f>IF(DigitaTICA!H10&lt;&gt;"",DigitaTICA!H10,"")</f>
        <v>1750</v>
      </c>
      <c r="F15" s="42">
        <f>IF(E15="",0,E15*PREMIOS!F15)</f>
        <v>148750</v>
      </c>
      <c r="G15" s="30">
        <f t="shared" si="6"/>
        <v>14930</v>
      </c>
      <c r="I15" s="63" t="s">
        <v>37</v>
      </c>
      <c r="J15" s="64">
        <v>0.12</v>
      </c>
      <c r="K15" s="30">
        <f>MROUND(D5+D9+D13+D17,50)</f>
        <v>33350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34850</v>
      </c>
      <c r="D16" s="42">
        <f>IF(C16="",0,C16*J$16)</f>
        <v>3485</v>
      </c>
      <c r="E16" s="29">
        <f>IF(DigitaREVENTADO!H10&lt;&gt;"",DigitaREVENTADO!H10,"")</f>
        <v>1000</v>
      </c>
      <c r="F16" s="42">
        <f>IF(E16="",0,E16*PREMIOS!F16)</f>
        <v>0</v>
      </c>
      <c r="G16" s="30">
        <f t="shared" si="6"/>
        <v>31365</v>
      </c>
      <c r="I16" s="63" t="s">
        <v>38</v>
      </c>
      <c r="J16" s="64">
        <v>0.1</v>
      </c>
      <c r="K16" s="30">
        <f>MROUND(D6+D8+D10+D12+D14+D16+D18,50)</f>
        <v>7950</v>
      </c>
    </row>
    <row r="17" spans="1:11" x14ac:dyDescent="0.35">
      <c r="A17" s="28" t="s">
        <v>52</v>
      </c>
      <c r="B17" s="132" t="str">
        <f>IF(DigitaNICA!I2&lt;&gt;"",DigitaNICA!I2,"")</f>
        <v>04</v>
      </c>
      <c r="C17" s="29">
        <f>IF(DigitaNICA!I10&lt;&gt;"",DigitaNICA!I10,"")</f>
        <v>97550</v>
      </c>
      <c r="D17" s="42">
        <f>IF(C17="",0,C17*J$15)</f>
        <v>11706</v>
      </c>
      <c r="E17" s="29">
        <f>IF(DigitaNICA!J10&lt;&gt;"",DigitaNICA!J10,"")</f>
        <v>2800</v>
      </c>
      <c r="F17" s="42">
        <f>IF(E17="",0,E17*PREMIOS!F17)</f>
        <v>238000</v>
      </c>
      <c r="G17" s="30">
        <f t="shared" si="6"/>
        <v>-152156</v>
      </c>
      <c r="I17" s="63" t="s">
        <v>96</v>
      </c>
      <c r="J17" s="64">
        <v>0.12</v>
      </c>
      <c r="K17" s="30">
        <f>MROUND(D19+D20,50)</f>
        <v>5400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1200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IF(DigitaPRIMERA!$C$10&lt;&gt;"",DigitaPRIMERA!$C$10,"")</f>
        <v>21550</v>
      </c>
      <c r="D19" s="42">
        <f>IF(C19="",0,C19*J$17)</f>
        <v>2586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-6536</v>
      </c>
      <c r="I19" s="63" t="s">
        <v>20</v>
      </c>
      <c r="J19" s="64">
        <v>0.12</v>
      </c>
      <c r="K19" s="30">
        <f>MROUND(D24+D25,50)</f>
        <v>12600</v>
      </c>
    </row>
    <row r="20" spans="1:11" ht="15" thickBot="1" x14ac:dyDescent="0.4">
      <c r="A20" s="28" t="s">
        <v>98</v>
      </c>
      <c r="B20" s="132">
        <f>IF(DigitaPRIMERA!E2&lt;&gt;"",DigitaPRIMERA!E2,"")</f>
        <v>11</v>
      </c>
      <c r="C20" s="29">
        <f>IF(DigitaPRIMERA!$E$10&lt;&gt;"",DigitaPRIMERA!$E$10,"")</f>
        <v>23450</v>
      </c>
      <c r="D20" s="42">
        <f>IF(C20="",0,C20*J$17)</f>
        <v>2814</v>
      </c>
      <c r="E20" s="29">
        <f>IF(DigitaPRIMERA!$F$10&lt;&gt;"",DigitaPRIMERA!$F$10,"")</f>
        <v>400</v>
      </c>
      <c r="F20" s="42">
        <f>IF(E20="",0,E20*PREMIOS!F19)</f>
        <v>34000</v>
      </c>
      <c r="G20" s="30">
        <f t="shared" si="7"/>
        <v>-13364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45</v>
      </c>
      <c r="C21" s="29">
        <f>IF(DigitaHONDURAS!$C$10&lt;&gt;"",DigitaHONDURAS!$C$10,"")</f>
        <v>5150</v>
      </c>
      <c r="D21" s="42">
        <f>IF(C21="",0,C21*J$18)</f>
        <v>618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4532</v>
      </c>
    </row>
    <row r="22" spans="1:11" x14ac:dyDescent="0.35">
      <c r="A22" s="28" t="s">
        <v>100</v>
      </c>
      <c r="B22" s="132">
        <f>IF(DigitaHONDURAS!E2&lt;&gt;"",DigitaHONDURAS!E2,"")</f>
        <v>65</v>
      </c>
      <c r="C22" s="29">
        <f>IF(DigitaHONDURAS!$E$10&lt;&gt;"",DigitaHONDURAS!$E$10,"")</f>
        <v>2100</v>
      </c>
      <c r="D22" s="42">
        <f>IF(C22="",0,C22*J$18)</f>
        <v>252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1848</v>
      </c>
    </row>
    <row r="23" spans="1:11" x14ac:dyDescent="0.35">
      <c r="A23" s="28" t="s">
        <v>101</v>
      </c>
      <c r="B23" s="132">
        <f>IF(DigitaHONDURAS!G2&lt;&gt;"",DigitaHONDURAS!G2,"")</f>
        <v>76</v>
      </c>
      <c r="C23" s="29">
        <f>IF(DigitaHONDURAS!$G$10&lt;&gt;"",DigitaHONDURAS!$G$10,"")</f>
        <v>2900</v>
      </c>
      <c r="D23" s="42">
        <f>IF(C23="",0,C23*J$18)</f>
        <v>348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2552</v>
      </c>
    </row>
    <row r="24" spans="1:11" x14ac:dyDescent="0.35">
      <c r="A24" s="28" t="s">
        <v>107</v>
      </c>
      <c r="B24" s="132">
        <f>IF(DigitaDOMINICANA!C2&lt;&gt;"",DigitaDOMINICANA!C2,"")</f>
        <v>76</v>
      </c>
      <c r="C24" s="29">
        <f>IF(DigitaDOMINICANA!$C$10&lt;&gt;"",DigitaDOMINICANA!$C$10,"")</f>
        <v>50200</v>
      </c>
      <c r="D24" s="42">
        <f>IF(C24="",0,C24*J$19)</f>
        <v>6024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-40824</v>
      </c>
    </row>
    <row r="25" spans="1:11" x14ac:dyDescent="0.35">
      <c r="A25" s="28" t="s">
        <v>108</v>
      </c>
      <c r="B25" s="132">
        <f>IF(DigitaDOMINICANA!E2&lt;&gt;"",DigitaDOMINICANA!E2,"")</f>
        <v>23</v>
      </c>
      <c r="C25" s="29">
        <f>IF(DigitaDOMINICANA!$E$10&lt;&gt;"",DigitaDOMINICANA!$E$10,"")</f>
        <v>54700</v>
      </c>
      <c r="D25" s="42">
        <f>IF(C25="",0,C25*J$19)</f>
        <v>6564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-36864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977300</v>
      </c>
      <c r="D27" s="68">
        <f t="shared" ref="D27:F27" si="9">SUM(D5:D26)</f>
        <v>115686</v>
      </c>
      <c r="E27" s="68">
        <f t="shared" si="9"/>
        <v>14850</v>
      </c>
      <c r="F27" s="68">
        <f t="shared" si="9"/>
        <v>1134750</v>
      </c>
      <c r="G27" s="88">
        <f>SUM(G5:G26)</f>
        <v>-273136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27250</v>
      </c>
      <c r="K4" s="231">
        <f t="shared" ref="K4" si="0">D7+D11+D15</f>
        <v>3270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IF(DigitaTICA!C11&lt;&gt;"",DigitaTICA!C11,"")</f>
        <v>11750</v>
      </c>
      <c r="D7" s="42">
        <f>IF(C7="",0,C7*J$11)</f>
        <v>1410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10340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IF(DigitaTICA!G11&lt;&gt;"",DigitaTICA!G11,"")</f>
        <v>15500</v>
      </c>
      <c r="D15" s="42">
        <f>IF(C15="",0,C15*J$11)</f>
        <v>1860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13640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27250</v>
      </c>
      <c r="D21" s="122">
        <f t="shared" ref="D21:G21" si="5">SUM(D5:D20)</f>
        <v>3270</v>
      </c>
      <c r="E21" s="122">
        <f t="shared" si="5"/>
        <v>0</v>
      </c>
      <c r="F21" s="122">
        <f t="shared" si="5"/>
        <v>0</v>
      </c>
      <c r="G21" s="123">
        <f t="shared" si="5"/>
        <v>23980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6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32650</v>
      </c>
      <c r="K4" s="231">
        <f>D7+D11+D15</f>
        <v>3918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IF(DigitaNICA!C12&lt;&gt;"",DigitaNICA!C12,"")</f>
        <v>11600</v>
      </c>
      <c r="D5" s="42">
        <f>IF(C5="",0,C5*J$12)</f>
        <v>1392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10208</v>
      </c>
      <c r="I5" s="217" t="s">
        <v>37</v>
      </c>
      <c r="J5" s="221">
        <f>SUM(IF(C5="",0,C5),IF(C9="",0,C9),IF(C13="",0,C13),IF(C17="",0,C17))</f>
        <v>33800</v>
      </c>
      <c r="K5" s="225">
        <f t="shared" ref="K5" si="1">D5+D9+D13+D17</f>
        <v>4056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3100</v>
      </c>
      <c r="K6" s="226">
        <f t="shared" ref="K6" si="2">+D8+D12+D16</f>
        <v>310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29">
        <f>IF(DigitaTICA!C12&lt;&gt;"",DigitaTICA!C12,"")</f>
        <v>18450</v>
      </c>
      <c r="D7" s="42">
        <f>IF(C7="",0,C7*J$11)</f>
        <v>2214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16236</v>
      </c>
      <c r="I7" s="217" t="s">
        <v>96</v>
      </c>
      <c r="J7" s="223">
        <f>SUM(IF(C19="",0,C19),IF(C20="",0,C20))</f>
        <v>32100</v>
      </c>
      <c r="K7" s="226">
        <f>+D19+D20</f>
        <v>3852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1250</v>
      </c>
      <c r="D8" s="42">
        <f>IF(C8="",0,C8*J$13)</f>
        <v>125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1125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>
        <f>IF(DigitaNICA!E12&lt;&gt;"",DigitaNICA!E12,"")</f>
        <v>22200</v>
      </c>
      <c r="D9" s="42">
        <f>IF(C9="",0,C9*J$12)</f>
        <v>2664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-5964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IF(DigitaTICA!E12&lt;&gt;"",DigitaTICA!E12,"")</f>
        <v>7500</v>
      </c>
      <c r="D11" s="42">
        <f>IF(C11="",0,C11*J$11)</f>
        <v>900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6600</v>
      </c>
      <c r="I11" s="60" t="s">
        <v>36</v>
      </c>
      <c r="J11" s="61">
        <v>0.12</v>
      </c>
      <c r="K11" s="62">
        <f>MROUND(D7+D11+D15,50)</f>
        <v>3900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4050</v>
      </c>
    </row>
    <row r="13" spans="1:12" x14ac:dyDescent="0.35">
      <c r="A13" s="28" t="s">
        <v>50</v>
      </c>
      <c r="B13" s="132">
        <f>IF(DigitaNICA!G2&lt;&gt;"",DigitaNICA!G2,"")</f>
        <v>28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3850</v>
      </c>
    </row>
    <row r="15" spans="1:12" ht="15" thickBot="1" x14ac:dyDescent="0.4">
      <c r="A15" s="28" t="s">
        <v>61</v>
      </c>
      <c r="B15" s="132">
        <f>IF(DigitaTICA!G2&lt;&gt;"",DigitaTICA!G2,"")</f>
        <v>52</v>
      </c>
      <c r="C15" s="29">
        <f>IF(DigitaTICA!G12&lt;&gt;"",DigitaTICA!G12,"")</f>
        <v>6700</v>
      </c>
      <c r="D15" s="42">
        <f>IF(C15="",0,C15*J$11)</f>
        <v>804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5896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850</v>
      </c>
      <c r="D16" s="42">
        <f>IF(C16="",0,C16*J$13)</f>
        <v>85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765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IF(DigitaPRIMERA!$C$12&lt;&gt;"",DigitaPRIMERA!$C$12,"")</f>
        <v>32100</v>
      </c>
      <c r="D19" s="42">
        <f>IF(C19="",0,C19*J$14)</f>
        <v>3852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6998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101650</v>
      </c>
      <c r="D24" s="68">
        <f t="shared" ref="D24:G24" si="4">SUM(D5:D23)</f>
        <v>12136</v>
      </c>
      <c r="E24" s="68">
        <f t="shared" si="4"/>
        <v>550</v>
      </c>
      <c r="F24" s="68">
        <f t="shared" si="4"/>
        <v>46750</v>
      </c>
      <c r="G24" s="88">
        <f t="shared" si="4"/>
        <v>42764</v>
      </c>
    </row>
    <row r="27" spans="1:7" x14ac:dyDescent="0.35">
      <c r="G27" s="21">
        <v>443106</v>
      </c>
    </row>
    <row r="28" spans="1:7" x14ac:dyDescent="0.35">
      <c r="G28" s="141">
        <f>+G24+G27</f>
        <v>485870</v>
      </c>
    </row>
    <row r="29" spans="1:7" x14ac:dyDescent="0.35">
      <c r="G29" s="21">
        <v>250000</v>
      </c>
    </row>
    <row r="30" spans="1:7" x14ac:dyDescent="0.35">
      <c r="G30" s="141">
        <f>+G28-G29</f>
        <v>235870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97450</v>
      </c>
      <c r="K4" s="231">
        <f t="shared" ref="K4" si="0">D7+D11+D15</f>
        <v>11694</v>
      </c>
      <c r="L4" s="220">
        <f>F7+F11+F15</f>
        <v>165750</v>
      </c>
    </row>
    <row r="5" spans="1:12" ht="15" thickBot="1" x14ac:dyDescent="0.4">
      <c r="A5" s="28" t="s">
        <v>43</v>
      </c>
      <c r="B5" s="132">
        <f>IF(DigitaNICA!C2&lt;&gt;"",DigitaNICA!C2,"")</f>
        <v>94</v>
      </c>
      <c r="C5" s="29">
        <f>IF(DigitaNICA!C13&lt;&gt;"",DigitaNICA!C13,"")</f>
        <v>23450</v>
      </c>
      <c r="D5" s="42">
        <f>IF(C5="",0,C5*J$10)</f>
        <v>2814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4636</v>
      </c>
      <c r="I5" s="218" t="s">
        <v>37</v>
      </c>
      <c r="J5" s="232">
        <f>SUM(IF(C5="",0,C5),IF(C9="",0,C9),IF(C13="",0,C13),IF(C17="",0,C17))</f>
        <v>44850</v>
      </c>
      <c r="K5" s="233">
        <f t="shared" ref="K5" si="2">D5+D9+D13+D17</f>
        <v>5382</v>
      </c>
      <c r="L5" s="234">
        <f>F5+F9+F13+F17</f>
        <v>112000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IF(DigitaTICA!C13&lt;&gt;"",DigitaTICA!C13,"")</f>
        <v>35850</v>
      </c>
      <c r="D7" s="42">
        <f>IF(C7="",0,C7*J$9)</f>
        <v>4302</v>
      </c>
      <c r="E7" s="29">
        <f>IF(DigitaTICA!D13&lt;&gt;"",DigitaTICA!D13,"")</f>
        <v>1850</v>
      </c>
      <c r="F7" s="133">
        <f>IF(E7="",0,E7*PREMIOS!F7)</f>
        <v>157250</v>
      </c>
      <c r="G7" s="30">
        <f t="shared" si="1"/>
        <v>-125702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IF(DigitaNICA!E13&lt;&gt;"",DigitaNICA!E13,"")</f>
        <v>13200</v>
      </c>
      <c r="D9" s="42">
        <f>IF(C9="",0,C9*J$10)</f>
        <v>1584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11616</v>
      </c>
      <c r="I9" s="60" t="s">
        <v>36</v>
      </c>
      <c r="J9" s="61">
        <v>0.12</v>
      </c>
      <c r="K9" s="62">
        <f>MROUND(D7+D11+D15,50)</f>
        <v>11700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5400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29">
        <f>IF(DigitaTICA!E13&lt;&gt;"",DigitaTICA!E13,"")</f>
        <v>25800</v>
      </c>
      <c r="D11" s="42">
        <f>IF(C11="",0,C11*J$9)</f>
        <v>3096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22704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29">
        <f>IF(DigitaNICA!G13&lt;&gt;"",DigitaNICA!G13,"")</f>
        <v>800</v>
      </c>
      <c r="D13" s="42">
        <f>IF(C13="",0,C13*J$10)</f>
        <v>96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704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IF(DigitaTICA!G13&lt;&gt;"",DigitaTICA!G13,"")</f>
        <v>35800</v>
      </c>
      <c r="D15" s="42">
        <f>IF(C15="",0,C15*J$9)</f>
        <v>4296</v>
      </c>
      <c r="E15" s="29">
        <f>IF(DigitaTICA!H13&lt;&gt;"",DigitaTICA!H13,"")</f>
        <v>100</v>
      </c>
      <c r="F15" s="133">
        <f>IF(E15="",0,E15*PREMIOS!F15)</f>
        <v>8500</v>
      </c>
      <c r="G15" s="30">
        <f t="shared" si="3"/>
        <v>23004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IF(DigitaNICA!I13&lt;&gt;"",DigitaNICA!I13,"")</f>
        <v>7400</v>
      </c>
      <c r="D17" s="42">
        <f>IF(C17="",0,C17*J$10)</f>
        <v>888</v>
      </c>
      <c r="E17" s="29">
        <f>IF(DigitaNICA!J13&lt;&gt;"",DigitaNICA!J13,"")</f>
        <v>1200</v>
      </c>
      <c r="F17" s="42">
        <f>IF(E17="",0,E17*PREMIOS!E17)</f>
        <v>96000</v>
      </c>
      <c r="G17" s="30">
        <f t="shared" si="3"/>
        <v>-89488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142300</v>
      </c>
      <c r="D19" s="68">
        <f>MROUND(SUM(D5:D18),50)</f>
        <v>17100</v>
      </c>
      <c r="E19" s="68">
        <f>SUM(E5:E18)</f>
        <v>3350</v>
      </c>
      <c r="F19" s="68">
        <f>SUM(F5:F18)</f>
        <v>277750</v>
      </c>
      <c r="G19" s="88">
        <f>SUM(G5:G18)</f>
        <v>-152526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70350</v>
      </c>
      <c r="K4" s="236">
        <f t="shared" ref="K4" si="0">D7+D11+D15</f>
        <v>10552.5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94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IF(DigitaTICA!C14&lt;&gt;"",DigitaTICA!C14,"")</f>
        <v>28400</v>
      </c>
      <c r="D7" s="42">
        <f>IF(C7="",0,C7*J$9)</f>
        <v>4260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24140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29">
        <f>IF(DigitaTICA!E14&lt;&gt;"",DigitaTICA!E14,"")</f>
        <v>15050</v>
      </c>
      <c r="D11" s="42">
        <f>IF(C11="",0,C11*J$9)</f>
        <v>2257.5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12792.5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>
        <f>IF(DigitaTICA!G14&lt;&gt;"",DigitaTICA!G14,"")</f>
        <v>26900</v>
      </c>
      <c r="D15" s="42">
        <f>IF(C15="",0,C15*J$9)</f>
        <v>4035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22865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70350</v>
      </c>
      <c r="D19" s="68">
        <f>MROUND(SUM(D5:D18),50)</f>
        <v>10550</v>
      </c>
      <c r="E19" s="68">
        <f>SUM(E5:E18)</f>
        <v>0</v>
      </c>
      <c r="F19" s="68">
        <f>SUM(F5:F18)</f>
        <v>0</v>
      </c>
      <c r="G19" s="88">
        <f>SUM(G5:G18)</f>
        <v>59797.5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69300</v>
      </c>
      <c r="K4" s="231">
        <f>D7+D11+D15</f>
        <v>8316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94</v>
      </c>
      <c r="C5" s="29">
        <f>IF(DigitaNICA!C16&lt;&gt;"",DigitaNICA!C16,"")</f>
        <v>11400</v>
      </c>
      <c r="D5" s="42">
        <f>IF(C5="",0,C5*J$12)</f>
        <v>1368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2032</v>
      </c>
      <c r="I5" s="63" t="s">
        <v>37</v>
      </c>
      <c r="J5" s="225">
        <f>SUM(IF(C5="",0,C5),IF(C9="",0,C9),IF(C13="",0,C13),IF(C17="",0,C17))</f>
        <v>36550</v>
      </c>
      <c r="K5" s="225">
        <f t="shared" ref="K5" si="1">D5+D9+D13+D17</f>
        <v>4386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29">
        <f>IF(DigitaTICA!C16&lt;&gt;"",DigitaTICA!C16,"")</f>
        <v>26900</v>
      </c>
      <c r="D7" s="42">
        <f>IF(C7="",0,C7*J$11)</f>
        <v>3228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2422</v>
      </c>
      <c r="I7" s="63" t="s">
        <v>96</v>
      </c>
      <c r="J7" s="226">
        <f>SUM(IF(C19="",0,C19),IF(C20="",0,C20))</f>
        <v>4300</v>
      </c>
      <c r="K7" s="226">
        <f>+D19+D20</f>
        <v>516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>
        <f>IF(DigitaNICA!E16&lt;&gt;"",DigitaNICA!E16,"")</f>
        <v>14250</v>
      </c>
      <c r="D9" s="42">
        <f>IF(C9="",0,C9*J$12)</f>
        <v>1710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12540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IF(DigitaTICA!E16&lt;&gt;"",DigitaTICA!E16,"")</f>
        <v>17100</v>
      </c>
      <c r="D11" s="42">
        <f>IF(C11="",0,C11*J$11)</f>
        <v>2052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15048</v>
      </c>
      <c r="I11" s="76" t="s">
        <v>36</v>
      </c>
      <c r="J11" s="77">
        <v>0.12</v>
      </c>
      <c r="K11" s="78">
        <f>MROUND(D7+D11+D15,50)</f>
        <v>8300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2">
        <f>IF(DigitaNICA!G2&lt;&gt;"",DigitaNICA!G2,"")</f>
        <v>28</v>
      </c>
      <c r="C13" s="29">
        <f>IF(DigitaNICA!G16&lt;&gt;"",DigitaNICA!G16,"")</f>
        <v>5900</v>
      </c>
      <c r="D13" s="42">
        <f>IF(C13="",0,C13*J$12)</f>
        <v>708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5192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2">
        <f>IF(DigitaTICA!G2&lt;&gt;"",DigitaTICA!G2,"")</f>
        <v>52</v>
      </c>
      <c r="C15" s="29">
        <f>IF(DigitaTICA!G16&lt;&gt;"",DigitaTICA!G16,"")</f>
        <v>25300</v>
      </c>
      <c r="D15" s="42">
        <f>IF(C15="",0,C15*J$11)</f>
        <v>3036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22264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>
        <f>IF(DigitaNICA!I16&lt;&gt;"",DigitaNICA!I16,"")</f>
        <v>5000</v>
      </c>
      <c r="D17" s="42">
        <f>IF(C17="",0,C17*J$12)</f>
        <v>600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4400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94</v>
      </c>
      <c r="C19" s="29">
        <f>IF(DigitaPRIMERA!C16&lt;&gt;"",DigitaPRIMERA!C16,"")</f>
        <v>3500</v>
      </c>
      <c r="D19" s="42">
        <f>IF(C19="",0,C19*J$14)</f>
        <v>420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3080</v>
      </c>
    </row>
    <row r="20" spans="1:7" x14ac:dyDescent="0.35">
      <c r="A20" s="28" t="s">
        <v>98</v>
      </c>
      <c r="B20" s="132">
        <f>IF(DigitaPRIMERA!E2&lt;&gt;"",DigitaPRIMERA!E2,"")</f>
        <v>11</v>
      </c>
      <c r="C20" s="29">
        <f>IF(DigitaPRIMERA!E16&lt;&gt;"",DigitaPRIMERA!E16,"")</f>
        <v>800</v>
      </c>
      <c r="D20" s="42">
        <f>IF(C20="",0,C20*J$14)</f>
        <v>96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704</v>
      </c>
    </row>
    <row r="21" spans="1:7" x14ac:dyDescent="0.35">
      <c r="A21" s="28" t="s">
        <v>99</v>
      </c>
      <c r="B21" s="132">
        <f>IF(DigitaHONDURAS!C2&lt;&gt;"",DigitaHONDURAS!C2,"")</f>
        <v>45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112150</v>
      </c>
      <c r="D24" s="122">
        <f t="shared" ref="D24:G24" si="5">SUM(D5:D23)</f>
        <v>13418</v>
      </c>
      <c r="E24" s="122">
        <f t="shared" si="5"/>
        <v>350</v>
      </c>
      <c r="F24" s="122">
        <f t="shared" si="5"/>
        <v>29250</v>
      </c>
      <c r="G24" s="123">
        <f t="shared" si="5"/>
        <v>69482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450700</v>
      </c>
      <c r="K4" s="231">
        <f t="shared" ref="K4" si="0">D7+D11+D15</f>
        <v>54084</v>
      </c>
      <c r="L4" s="220">
        <f>F7+F11+F15</f>
        <v>497250</v>
      </c>
    </row>
    <row r="5" spans="1:12" x14ac:dyDescent="0.35">
      <c r="A5" s="28" t="s">
        <v>43</v>
      </c>
      <c r="B5" s="132">
        <f>IF(DigitaNICA!C2&lt;&gt;"",DigitaNICA!C2,"")</f>
        <v>94</v>
      </c>
      <c r="C5" s="89">
        <f>IF(DigitaNICA!C17&lt;&gt;"",DigitaNICA!C17,"")</f>
        <v>114300</v>
      </c>
      <c r="D5" s="42">
        <f>IF(C5="",0,C5*J$16)</f>
        <v>13716</v>
      </c>
      <c r="E5" s="89">
        <f>IF(DigitaNICA!D17&lt;&gt;"",DigitaNICA!D17,"")</f>
        <v>250</v>
      </c>
      <c r="F5" s="42">
        <f>IF(E5="",0,E5*PREMIOS!F5)</f>
        <v>21250</v>
      </c>
      <c r="G5" s="90">
        <f t="shared" ref="G5:G12" si="1">IF(OR(C5="",E5=""),0,C5-D5-F5)</f>
        <v>79334</v>
      </c>
      <c r="I5" s="217" t="s">
        <v>37</v>
      </c>
      <c r="J5" s="221">
        <f>SUM(IF(C5="",0,C5),IF(C9="",0,C9),IF(C13="",0,C13),IF(C17="",0,C17))</f>
        <v>418950</v>
      </c>
      <c r="K5" s="225">
        <f t="shared" ref="K5" si="2">D5+D9+D13+D17</f>
        <v>50274</v>
      </c>
      <c r="L5" s="222">
        <f>F5+F9+F13+F17</f>
        <v>544000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70450</v>
      </c>
      <c r="K6" s="226">
        <f t="shared" ref="K6" si="3">+D8+D12+D16</f>
        <v>7045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89">
        <f>IF(DigitaTICA!C17&lt;&gt;"",DigitaTICA!C17,"")</f>
        <v>133550</v>
      </c>
      <c r="D7" s="42">
        <f>IF(C7="",0,C7*J$15)</f>
        <v>16026</v>
      </c>
      <c r="E7" s="89">
        <f>IF(DigitaTICA!D17&lt;&gt;"",DigitaTICA!D17,"")</f>
        <v>2850</v>
      </c>
      <c r="F7" s="42">
        <f>IF(E7="",0,E7*PREMIOS!F7)</f>
        <v>242250</v>
      </c>
      <c r="G7" s="90">
        <f t="shared" si="1"/>
        <v>-124726</v>
      </c>
      <c r="I7" s="217" t="s">
        <v>96</v>
      </c>
      <c r="J7" s="223">
        <f>SUM(IF(C19="",0,C19),IF(C20="",0,C20))</f>
        <v>79800</v>
      </c>
      <c r="K7" s="226">
        <f>+D19+D20</f>
        <v>9576</v>
      </c>
      <c r="L7" s="227">
        <f>+F19+F20</f>
        <v>89250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19750</v>
      </c>
      <c r="D8" s="42">
        <f>IF(C8="",0,C8*J$17)</f>
        <v>1975</v>
      </c>
      <c r="E8" s="89">
        <f>IF(DigitaREVENTADO!D17&lt;&gt;"",DigitaREVENTADO!D17,"")</f>
        <v>900</v>
      </c>
      <c r="F8" s="42">
        <f>IF(E8="",0,E8*PREMIOS!F8)</f>
        <v>0</v>
      </c>
      <c r="G8" s="90">
        <f t="shared" si="1"/>
        <v>17775</v>
      </c>
      <c r="I8" s="217" t="s">
        <v>104</v>
      </c>
      <c r="J8" s="223">
        <f>SUM(IF(C21="",0,C21),IF(C22="",0,C22),IF(C23="",0,C23))</f>
        <v>73650</v>
      </c>
      <c r="K8" s="226">
        <f t="shared" ref="K8" si="4">D21+D22+D23</f>
        <v>8838</v>
      </c>
      <c r="L8" s="227">
        <f>F21+F22+F23</f>
        <v>55250</v>
      </c>
    </row>
    <row r="9" spans="1:12" x14ac:dyDescent="0.35">
      <c r="A9" s="28" t="s">
        <v>48</v>
      </c>
      <c r="B9" s="132">
        <f>IF(DigitaNICA!E2&lt;&gt;"",DigitaNICA!E2,"")</f>
        <v>41</v>
      </c>
      <c r="C9" s="89">
        <f>IF(DigitaNICA!E17&lt;&gt;"",DigitaNICA!E17,"")</f>
        <v>94950</v>
      </c>
      <c r="D9" s="42">
        <f>IF(C9="",0,C9*J$16)</f>
        <v>11394</v>
      </c>
      <c r="E9" s="89">
        <f>IF(DigitaNICA!F17&lt;&gt;"",DigitaNICA!F17,"")</f>
        <v>250</v>
      </c>
      <c r="F9" s="42">
        <f>IF(E9="",0,E9*PREMIOS!F9)</f>
        <v>21250</v>
      </c>
      <c r="G9" s="90">
        <f t="shared" si="1"/>
        <v>62306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89">
        <f>IF(DigitaTICA!E17&lt;&gt;"",DigitaTICA!E17,"")</f>
        <v>125600</v>
      </c>
      <c r="D11" s="42">
        <f>IF(C11="",0,C11*J$15)</f>
        <v>15072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110528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28850</v>
      </c>
      <c r="D12" s="42">
        <f>IF(C12="",0,C12*J$17)</f>
        <v>2885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25965</v>
      </c>
    </row>
    <row r="13" spans="1:12" ht="15" thickBot="1" x14ac:dyDescent="0.4">
      <c r="A13" s="28" t="s">
        <v>50</v>
      </c>
      <c r="B13" s="132">
        <f>IF(DigitaNICA!G2&lt;&gt;"",DigitaNICA!G2,"")</f>
        <v>28</v>
      </c>
      <c r="C13" s="89">
        <f>IF(DigitaNICA!G17&lt;&gt;"",DigitaNICA!G17,"")</f>
        <v>62300</v>
      </c>
      <c r="D13" s="42">
        <f>IF(C13="",0,C13*J$16)</f>
        <v>7476</v>
      </c>
      <c r="E13" s="89">
        <f>IF(DigitaNICA!H17&lt;&gt;"",DigitaNICA!H17,"")</f>
        <v>400</v>
      </c>
      <c r="F13" s="42">
        <f>IF(E13="",0,E13*PREMIOS!F13)</f>
        <v>34000</v>
      </c>
      <c r="G13" s="90">
        <f>IF(OR(C13="",E13=""),0,C13-D13-F13)</f>
        <v>20824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52</v>
      </c>
      <c r="C15" s="89">
        <f>IF(DigitaTICA!G17&lt;&gt;"",DigitaTICA!G17,"")</f>
        <v>191550</v>
      </c>
      <c r="D15" s="42">
        <f>IF(C15="",0,C15*J$15)</f>
        <v>22986</v>
      </c>
      <c r="E15" s="89">
        <f>IF(DigitaTICA!H17&lt;&gt;"",DigitaTICA!H17,"")</f>
        <v>3000</v>
      </c>
      <c r="F15" s="42">
        <f>IF(E15="",0,E15*PREMIOS!F15)</f>
        <v>255000</v>
      </c>
      <c r="G15" s="90">
        <f t="shared" si="6"/>
        <v>-86436</v>
      </c>
      <c r="I15" s="76" t="s">
        <v>36</v>
      </c>
      <c r="J15" s="77">
        <v>0.12</v>
      </c>
      <c r="K15" s="78">
        <f>MROUND(D7+D11+D15,50)</f>
        <v>54100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21850</v>
      </c>
      <c r="D16" s="42">
        <f>IF(C16="",0,C16*J$17)</f>
        <v>2185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19665</v>
      </c>
      <c r="I16" s="63" t="s">
        <v>37</v>
      </c>
      <c r="J16" s="64">
        <v>0.12</v>
      </c>
      <c r="K16" s="30">
        <f>MROUND(D5+D9+D13+D17,50)</f>
        <v>50250</v>
      </c>
    </row>
    <row r="17" spans="1:11" x14ac:dyDescent="0.35">
      <c r="A17" s="28" t="s">
        <v>52</v>
      </c>
      <c r="B17" s="132" t="str">
        <f>IF(DigitaNICA!I2&lt;&gt;"",DigitaNICA!I2,"")</f>
        <v>04</v>
      </c>
      <c r="C17" s="89">
        <f>IF(DigitaNICA!I17&lt;&gt;"",DigitaNICA!I17,"")</f>
        <v>147400</v>
      </c>
      <c r="D17" s="42">
        <f>IF(C17="",0,C17*J$16)</f>
        <v>17688</v>
      </c>
      <c r="E17" s="89">
        <f>IF(DigitaNICA!J17&lt;&gt;"",DigitaNICA!J17,"")</f>
        <v>5500</v>
      </c>
      <c r="F17" s="42">
        <f>IF(E17="",0,E17*PREMIOS!F17)</f>
        <v>467500</v>
      </c>
      <c r="G17" s="90">
        <f t="shared" si="6"/>
        <v>-337788</v>
      </c>
      <c r="I17" s="63" t="s">
        <v>38</v>
      </c>
      <c r="J17" s="64">
        <v>0.1</v>
      </c>
      <c r="K17" s="30">
        <f>MROUND(D6+D8+D10+D12+D14+D16+D18,50)</f>
        <v>7050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9600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IF(DigitaPRIMERA!$C$17&lt;&gt;"",DigitaPRIMERA!$C$17,"")</f>
        <v>57300</v>
      </c>
      <c r="D19" s="42">
        <f>IF(C19="",0,C19*J$18)</f>
        <v>6876</v>
      </c>
      <c r="E19" s="29">
        <f>IF(DigitaPRIMERA!$D$17&lt;&gt;"",DigitaPRIMERA!$D$17,"")</f>
        <v>550</v>
      </c>
      <c r="F19" s="42">
        <f>IF(E19="",0,E19*PREMIOS!F19)</f>
        <v>46750</v>
      </c>
      <c r="G19" s="30">
        <f t="shared" si="6"/>
        <v>3674</v>
      </c>
      <c r="I19" s="63" t="s">
        <v>104</v>
      </c>
      <c r="J19" s="64">
        <v>0.12</v>
      </c>
      <c r="K19" s="30">
        <f>MROUND(D21+D22+D23,50)</f>
        <v>8850</v>
      </c>
    </row>
    <row r="20" spans="1:11" x14ac:dyDescent="0.35">
      <c r="A20" s="28" t="s">
        <v>98</v>
      </c>
      <c r="B20" s="132">
        <f>IF(DigitaPRIMERA!E2&lt;&gt;"",DigitaPRIMERA!E2,"")</f>
        <v>11</v>
      </c>
      <c r="C20" s="29">
        <f>IF(DigitaPRIMERA!$E$17&lt;&gt;"",DigitaPRIMERA!$E$17,"")</f>
        <v>22500</v>
      </c>
      <c r="D20" s="42">
        <f>IF(C20="",0,C20*J$18)</f>
        <v>2700</v>
      </c>
      <c r="E20" s="29">
        <f>IF(DigitaPRIMERA!$F$17&lt;&gt;"",DigitaPRIMERA!$F$17,"")</f>
        <v>500</v>
      </c>
      <c r="F20" s="42">
        <f>IF(E20="",0,E20*PREMIOS!F19)</f>
        <v>42500</v>
      </c>
      <c r="G20" s="30">
        <f t="shared" si="6"/>
        <v>-22700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45</v>
      </c>
      <c r="C21" s="29">
        <f>IF(DigitaHONDURAS!$C$17&lt;&gt;"",DigitaHONDURAS!$C$17,"")</f>
        <v>38750</v>
      </c>
      <c r="D21" s="42">
        <f>IF(C21="",0,C21*J$19)</f>
        <v>4650</v>
      </c>
      <c r="E21" s="29">
        <f>IF(DigitaHONDURAS!$D$17&lt;&gt;"",DigitaHONDURAS!$D$17,"")</f>
        <v>550</v>
      </c>
      <c r="F21" s="42">
        <f>IF(E21="",0,E21*PREMIOS!F20)</f>
        <v>46750</v>
      </c>
      <c r="G21" s="30">
        <f t="shared" si="6"/>
        <v>-12650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65</v>
      </c>
      <c r="C22" s="29">
        <f>IF(DigitaHONDURAS!$E$17&lt;&gt;"",DigitaHONDURAS!$E$17,"")</f>
        <v>8900</v>
      </c>
      <c r="D22" s="42">
        <f>IF(C22="",0,C22*J$19)</f>
        <v>1068</v>
      </c>
      <c r="E22" s="29">
        <f>IF(DigitaHONDURAS!$F$17&lt;&gt;"",DigitaHONDURAS!$F$17,"")</f>
        <v>100</v>
      </c>
      <c r="F22" s="42">
        <f>IF(E22="",0,E22*PREMIOS!F20)</f>
        <v>8500</v>
      </c>
      <c r="G22" s="30">
        <f t="shared" si="6"/>
        <v>-668</v>
      </c>
    </row>
    <row r="23" spans="1:11" x14ac:dyDescent="0.35">
      <c r="A23" s="28" t="s">
        <v>101</v>
      </c>
      <c r="B23" s="132">
        <f>IF(DigitaHONDURAS!G2&lt;&gt;"",DigitaHONDURAS!G2,"")</f>
        <v>76</v>
      </c>
      <c r="C23" s="29">
        <f>IF(DigitaHONDURAS!$G$17&lt;&gt;"",DigitaHONDURAS!$G$17,"")</f>
        <v>26000</v>
      </c>
      <c r="D23" s="42">
        <f>IF(C23="",0,C23*J$19)</f>
        <v>3120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22880</v>
      </c>
    </row>
    <row r="24" spans="1:11" x14ac:dyDescent="0.35">
      <c r="A24" s="28" t="s">
        <v>102</v>
      </c>
      <c r="B24" s="132">
        <f>IF(DigitaDOMINICANA!C2&lt;&gt;"",DigitaDOMINICANA!C2,"")</f>
        <v>76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1093550</v>
      </c>
      <c r="D27" s="68">
        <f t="shared" ref="D27:G27" si="7">SUM(D5:D26)</f>
        <v>129817</v>
      </c>
      <c r="E27" s="68">
        <f t="shared" si="7"/>
        <v>14850</v>
      </c>
      <c r="F27" s="68">
        <f t="shared" si="7"/>
        <v>1185750</v>
      </c>
      <c r="G27" s="88">
        <f t="shared" si="7"/>
        <v>-222017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151200</v>
      </c>
      <c r="K4" s="231">
        <f t="shared" ref="K4" si="0">D7+D11+D15</f>
        <v>18144</v>
      </c>
      <c r="L4" s="220">
        <f>F7+F11+F15</f>
        <v>93500</v>
      </c>
    </row>
    <row r="5" spans="1:12" x14ac:dyDescent="0.35">
      <c r="A5" s="28" t="str">
        <f>+Vendedor1!A5</f>
        <v>Nica 11am</v>
      </c>
      <c r="B5" s="132">
        <f>IF(DigitaNICA!C2&lt;&gt;"",DigitaNICA!C2,"")</f>
        <v>94</v>
      </c>
      <c r="C5" s="29">
        <f>IF(DigitaNICA!C18&lt;&gt;"",DigitaNICA!C18,"")</f>
        <v>32350</v>
      </c>
      <c r="D5" s="42">
        <f>IF(C5="",0,C5*J$16)</f>
        <v>3882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28468</v>
      </c>
      <c r="I5" s="217" t="s">
        <v>37</v>
      </c>
      <c r="J5" s="221">
        <f>SUM(IF(C5="",0,C5),IF(C9="",0,C9),IF(C13="",0,C13),IF(C17="",0,C17))</f>
        <v>118900</v>
      </c>
      <c r="K5" s="225">
        <f t="shared" ref="K5" si="2">D5+D9+D13+D17</f>
        <v>14268</v>
      </c>
      <c r="L5" s="222">
        <f>F5+F9+F13+F17</f>
        <v>110500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37350</v>
      </c>
      <c r="K6" s="226">
        <f t="shared" ref="K6" si="3">+D8+D12+D16</f>
        <v>3735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00</v>
      </c>
      <c r="C7" s="29">
        <f>IF(DigitaTICA!C18&lt;&gt;"",DigitaTICA!C18,"")</f>
        <v>38400</v>
      </c>
      <c r="D7" s="42">
        <f>IF(C7="",0,C7*J$15)</f>
        <v>4608</v>
      </c>
      <c r="E7" s="29">
        <f>IF(DigitaTICA!D18&lt;&gt;"",DigitaTICA!D18,"")</f>
        <v>600</v>
      </c>
      <c r="F7" s="42">
        <f>IF(E7="",0,E7*PREMIOS!F7)</f>
        <v>51000</v>
      </c>
      <c r="G7" s="30">
        <f t="shared" si="1"/>
        <v>-17208</v>
      </c>
      <c r="I7" s="217" t="s">
        <v>96</v>
      </c>
      <c r="J7" s="223">
        <f>SUM(IF(C19="",0,C19),IF(C20="",0,C20))</f>
        <v>75600</v>
      </c>
      <c r="K7" s="226">
        <f>+D19+D20</f>
        <v>9072</v>
      </c>
      <c r="L7" s="227">
        <f>+F19+F20</f>
        <v>42500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10300</v>
      </c>
      <c r="D8" s="42">
        <f>IF(C8="",0,C8*J$17)</f>
        <v>1030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9270</v>
      </c>
      <c r="I8" s="217" t="s">
        <v>104</v>
      </c>
      <c r="J8" s="223">
        <f>SUM(IF(C21="",0,C21),IF(C22="",0,C22),IF(C23="",0,C23))</f>
        <v>38800</v>
      </c>
      <c r="K8" s="226">
        <f t="shared" ref="K8" si="4">D21+D22+D23</f>
        <v>4656</v>
      </c>
      <c r="L8" s="227">
        <f>F21+F22+F23</f>
        <v>85000</v>
      </c>
    </row>
    <row r="9" spans="1:12" x14ac:dyDescent="0.35">
      <c r="A9" s="28" t="str">
        <f>+Vendedor1!A9</f>
        <v>Nica 3pm</v>
      </c>
      <c r="B9" s="132">
        <f>IF(DigitaNICA!E2&lt;&gt;"",DigitaNICA!E2,"")</f>
        <v>41</v>
      </c>
      <c r="C9" s="29">
        <f>IF(DigitaNICA!E18&lt;&gt;"",DigitaNICA!E18,"")</f>
        <v>39900</v>
      </c>
      <c r="D9" s="42">
        <f>IF(C9="",0,C9*J$16)</f>
        <v>4788</v>
      </c>
      <c r="E9" s="29">
        <f>IF(DigitaNICA!F18&lt;&gt;"",DigitaNICA!F18,"")</f>
        <v>150</v>
      </c>
      <c r="F9" s="42">
        <f>IF(E9="",0,E9*PREMIOS!F9)</f>
        <v>12750</v>
      </c>
      <c r="G9" s="30">
        <f t="shared" si="1"/>
        <v>22362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IF(DigitaTICA!E18&lt;&gt;"",DigitaTICA!E18,"")</f>
        <v>50200</v>
      </c>
      <c r="D11" s="42">
        <f>IF(C11="",0,C11*J$15)</f>
        <v>6024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44176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9250</v>
      </c>
      <c r="D12" s="42">
        <f>IF(C12="",0,C12*J$17)</f>
        <v>925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8325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28</v>
      </c>
      <c r="C13" s="29">
        <f>IF(DigitaNICA!G18&lt;&gt;"",DigitaNICA!G18,"")</f>
        <v>34050</v>
      </c>
      <c r="D13" s="42">
        <f>IF(C13="",0,C13*J$16)</f>
        <v>4086</v>
      </c>
      <c r="E13" s="29">
        <f>IF(DigitaNICA!H18&lt;&gt;"",DigitaNICA!H18,"")</f>
        <v>150</v>
      </c>
      <c r="F13" s="42">
        <f>IF(E13="",0,E13*PREMIOS!F13)</f>
        <v>12750</v>
      </c>
      <c r="G13" s="30">
        <f>IF(OR(C13="",E13=""),0,C13-D13-F13)</f>
        <v>17214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52</v>
      </c>
      <c r="C15" s="29">
        <f>IF(DigitaTICA!G18&lt;&gt;"",DigitaTICA!G18,"")</f>
        <v>62600</v>
      </c>
      <c r="D15" s="42">
        <f>IF(C15="",0,C15*J$15)</f>
        <v>7512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12588</v>
      </c>
      <c r="I15" s="76" t="s">
        <v>36</v>
      </c>
      <c r="J15" s="77">
        <v>0.12</v>
      </c>
      <c r="K15" s="78">
        <f>MROUND(D7+D11+D15,50)</f>
        <v>18150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17800</v>
      </c>
      <c r="D16" s="42">
        <f>IF(C16="",0,C16*J$17)</f>
        <v>1780</v>
      </c>
      <c r="E16" s="29">
        <f>IF(DigitaREVENTADO!H18&lt;&gt;"",DigitaREVENTADO!H18,"")</f>
        <v>500</v>
      </c>
      <c r="F16" s="42">
        <f>IF(E16="",0,E16*PREMIOS!F16)</f>
        <v>0</v>
      </c>
      <c r="G16" s="30">
        <f t="shared" si="6"/>
        <v>16020</v>
      </c>
      <c r="I16" s="63" t="s">
        <v>37</v>
      </c>
      <c r="J16" s="64">
        <v>0.12</v>
      </c>
      <c r="K16" s="30">
        <f>MROUND(D5+D9+D13+D17,50)</f>
        <v>14250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04</v>
      </c>
      <c r="C17" s="29">
        <f>IF(DigitaNICA!I18&lt;&gt;"",DigitaNICA!I18,"")</f>
        <v>12600</v>
      </c>
      <c r="D17" s="42">
        <f>IF(C17="",0,C17*J$16)</f>
        <v>1512</v>
      </c>
      <c r="E17" s="29">
        <f>IF(DigitaNICA!J18&lt;&gt;"",DigitaNICA!J18,"")</f>
        <v>1000</v>
      </c>
      <c r="F17" s="42">
        <f>IF(E17="",0,E17*PREMIOS!F17)</f>
        <v>85000</v>
      </c>
      <c r="G17" s="30">
        <f t="shared" si="6"/>
        <v>-73912</v>
      </c>
      <c r="I17" s="63" t="s">
        <v>38</v>
      </c>
      <c r="J17" s="64">
        <v>0.1</v>
      </c>
      <c r="K17" s="30">
        <f>MROUND(D6+D8+D10+D12+D14+D16+D18,50)</f>
        <v>3750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9050</v>
      </c>
    </row>
    <row r="19" spans="1:11" x14ac:dyDescent="0.35">
      <c r="A19" s="28" t="s">
        <v>97</v>
      </c>
      <c r="B19" s="132">
        <f>IF(DigitaPRIMERA!C2&lt;&gt;"",DigitaPRIMERA!C2,"")</f>
        <v>94</v>
      </c>
      <c r="C19" s="29">
        <f>IF(DigitaPRIMERA!$C$18&lt;&gt;"",DigitaPRIMERA!$C$18,"")</f>
        <v>39650</v>
      </c>
      <c r="D19" s="42">
        <f>IF(C19="",0,C19*J$18)</f>
        <v>4758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26392</v>
      </c>
      <c r="I19" s="63" t="s">
        <v>104</v>
      </c>
      <c r="J19" s="64">
        <v>0.12</v>
      </c>
      <c r="K19" s="30">
        <f>MROUND(D21+D22+D23,50)</f>
        <v>4650</v>
      </c>
    </row>
    <row r="20" spans="1:11" x14ac:dyDescent="0.35">
      <c r="A20" s="28" t="s">
        <v>98</v>
      </c>
      <c r="B20" s="132">
        <f>IF(DigitaPRIMERA!E2&lt;&gt;"",DigitaPRIMERA!E2,"")</f>
        <v>11</v>
      </c>
      <c r="C20" s="29">
        <f>IF(DigitaPRIMERA!$E$18&lt;&gt;"",DigitaPRIMERA!$E$18,"")</f>
        <v>35950</v>
      </c>
      <c r="D20" s="42">
        <f>IF(C20="",0,C20*J$18)</f>
        <v>4314</v>
      </c>
      <c r="E20" s="29">
        <f>IF(DigitaPRIMERA!$F$18&lt;&gt;"",DigitaPRIMERA!$F$18,"")</f>
        <v>400</v>
      </c>
      <c r="F20" s="42">
        <f>IF(E20="",0,E20*PREMIOS!F19)</f>
        <v>34000</v>
      </c>
      <c r="G20" s="30">
        <f t="shared" si="6"/>
        <v>-2364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45</v>
      </c>
      <c r="C21" s="29">
        <f>IF(DigitaHONDURAS!$C$18&lt;&gt;"",DigitaHONDURAS!$C$18,"")</f>
        <v>16800</v>
      </c>
      <c r="D21" s="42">
        <f>IF(C21="",0,C21*J$19)</f>
        <v>2016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14784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65</v>
      </c>
      <c r="C22" s="29">
        <f>IF(DigitaHONDURAS!$E$18&lt;&gt;"",DigitaHONDURAS!$E$18,"")</f>
        <v>17000</v>
      </c>
      <c r="D22" s="42">
        <f>IF(C22="",0,C22*J$19)</f>
        <v>2040</v>
      </c>
      <c r="E22" s="29">
        <f>IF(DigitaHONDURAS!$F$18&lt;&gt;"",DigitaHONDURAS!$F$18,"")</f>
        <v>1000</v>
      </c>
      <c r="F22" s="42">
        <f>IF(E22="",0,E22*PREMIOS!F20)</f>
        <v>85000</v>
      </c>
      <c r="G22" s="30">
        <f t="shared" si="6"/>
        <v>-70040</v>
      </c>
    </row>
    <row r="23" spans="1:11" x14ac:dyDescent="0.35">
      <c r="A23" s="28" t="s">
        <v>101</v>
      </c>
      <c r="B23" s="132">
        <f>IF(DigitaHONDURAS!G2&lt;&gt;"",DigitaHONDURAS!G2,"")</f>
        <v>76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4400</v>
      </c>
    </row>
    <row r="24" spans="1:11" x14ac:dyDescent="0.35">
      <c r="A24" s="28" t="s">
        <v>102</v>
      </c>
      <c r="B24" s="132">
        <f>IF(DigitaDOMINICANA!C2&lt;&gt;"",DigitaDOMINICANA!C2,"")</f>
        <v>76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421850</v>
      </c>
      <c r="D27" s="68">
        <f t="shared" ref="D27:G27" si="7">SUM(D5:D26)</f>
        <v>49875</v>
      </c>
      <c r="E27" s="68">
        <f t="shared" si="7"/>
        <v>4600</v>
      </c>
      <c r="F27" s="68">
        <f t="shared" si="7"/>
        <v>331500</v>
      </c>
      <c r="G27" s="88">
        <f t="shared" si="7"/>
        <v>40475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28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500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1800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>
        <f>IF(DigitaREVENTADO!G27&lt;&gt;"",DigitaREVENTADO!G27,"")</f>
        <v>17800</v>
      </c>
      <c r="D16" s="42">
        <f>IF(C16="",0,C16*J$11)</f>
        <v>1780</v>
      </c>
      <c r="E16" s="29">
        <f>IF(DigitaREVENTADO!H27&lt;&gt;"",DigitaREVENTADO!H27,"")</f>
        <v>500</v>
      </c>
      <c r="F16" s="42">
        <f>IF(E16="",0,E16*PREMIOS!F16)</f>
        <v>0</v>
      </c>
      <c r="G16" s="30">
        <f t="shared" si="1"/>
        <v>16020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17800</v>
      </c>
      <c r="D27" s="68">
        <f t="shared" ref="D27:G27" si="2">SUM(D5:D26)</f>
        <v>1780</v>
      </c>
      <c r="E27" s="68">
        <f t="shared" si="2"/>
        <v>500</v>
      </c>
      <c r="F27" s="68">
        <f t="shared" si="2"/>
        <v>0</v>
      </c>
      <c r="G27" s="88">
        <f t="shared" si="2"/>
        <v>16020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9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00</v>
      </c>
      <c r="D2" s="268"/>
      <c r="E2" s="267">
        <f>IF(PREMIOS!$B11="","",PREMIOS!$B11)</f>
        <v>97</v>
      </c>
      <c r="F2" s="268"/>
      <c r="G2" s="267">
        <f>IF(PREMIOS!$B15="","",PREMIOS!$B15)</f>
        <v>52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87900</v>
      </c>
      <c r="D4" s="78">
        <v>1550</v>
      </c>
      <c r="E4" s="189">
        <v>45950</v>
      </c>
      <c r="F4" s="78">
        <f t="shared" ref="D4:H27" si="0">IF(E4="","",0)</f>
        <v>0</v>
      </c>
      <c r="G4" s="189">
        <v>79250</v>
      </c>
      <c r="H4" s="78">
        <v>300</v>
      </c>
      <c r="J4" s="42">
        <f t="shared" ref="J4:J8" si="1">+C4+E4+G4</f>
        <v>213100</v>
      </c>
      <c r="K4" s="42">
        <f>IF(D4="",0,IF(F4="",D4,IF(H4="",D4+F4,D4+F4+H4)))</f>
        <v>1850</v>
      </c>
    </row>
    <row r="5" spans="1:11" x14ac:dyDescent="0.35">
      <c r="A5" s="47">
        <v>2</v>
      </c>
      <c r="B5" s="178" t="str">
        <f>Vendedor2!$B$2</f>
        <v>PUESTO 2</v>
      </c>
      <c r="C5" s="180">
        <v>78000</v>
      </c>
      <c r="D5" s="30">
        <v>2000</v>
      </c>
      <c r="E5" s="180">
        <v>42700</v>
      </c>
      <c r="F5" s="30">
        <f t="shared" si="0"/>
        <v>0</v>
      </c>
      <c r="G5" s="180">
        <v>77950</v>
      </c>
      <c r="H5" s="30">
        <f t="shared" si="0"/>
        <v>0</v>
      </c>
      <c r="J5" s="42">
        <f t="shared" si="1"/>
        <v>198650</v>
      </c>
      <c r="K5" s="42">
        <f t="shared" ref="K5:K27" si="2">IF(D5="",0,IF(F5="",D5,IF(H5="",D5+F5,D5+F5+H5)))</f>
        <v>2000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68550</v>
      </c>
      <c r="D8" s="30">
        <v>3000</v>
      </c>
      <c r="E8" s="180">
        <v>47350</v>
      </c>
      <c r="F8" s="30">
        <f t="shared" si="0"/>
        <v>0</v>
      </c>
      <c r="G8" s="180">
        <v>44400</v>
      </c>
      <c r="H8" s="30">
        <v>100</v>
      </c>
      <c r="J8" s="42">
        <f t="shared" si="1"/>
        <v>160300</v>
      </c>
      <c r="K8" s="42">
        <f t="shared" si="2"/>
        <v>3100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42500+91400</f>
        <v>133900</v>
      </c>
      <c r="D10" s="30">
        <f>1850+2450</f>
        <v>4300</v>
      </c>
      <c r="E10" s="180">
        <f>46300+93750</f>
        <v>140050</v>
      </c>
      <c r="F10" s="30">
        <v>1100</v>
      </c>
      <c r="G10" s="180">
        <f>62550+123450</f>
        <v>186000</v>
      </c>
      <c r="H10" s="30">
        <v>1750</v>
      </c>
      <c r="J10" s="42">
        <f t="shared" si="3"/>
        <v>459950</v>
      </c>
      <c r="K10" s="42">
        <f t="shared" si="2"/>
        <v>7150</v>
      </c>
    </row>
    <row r="11" spans="1:11" x14ac:dyDescent="0.35">
      <c r="A11" s="47">
        <v>8</v>
      </c>
      <c r="B11" s="178" t="str">
        <f>Vendedor8!$B$2</f>
        <v>ISA</v>
      </c>
      <c r="C11" s="180">
        <v>11750</v>
      </c>
      <c r="D11" s="30">
        <f t="shared" si="0"/>
        <v>0</v>
      </c>
      <c r="E11" s="180"/>
      <c r="F11" s="30" t="str">
        <f t="shared" si="0"/>
        <v/>
      </c>
      <c r="G11" s="180">
        <v>15500</v>
      </c>
      <c r="H11" s="30">
        <f t="shared" si="0"/>
        <v>0</v>
      </c>
      <c r="J11" s="42">
        <f t="shared" si="3"/>
        <v>27250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18450</v>
      </c>
      <c r="D12" s="30">
        <f t="shared" si="0"/>
        <v>0</v>
      </c>
      <c r="E12" s="180">
        <v>7500</v>
      </c>
      <c r="F12" s="30">
        <f t="shared" si="0"/>
        <v>0</v>
      </c>
      <c r="G12" s="180">
        <v>6700</v>
      </c>
      <c r="H12" s="30">
        <f t="shared" si="0"/>
        <v>0</v>
      </c>
      <c r="J12" s="42">
        <f t="shared" si="3"/>
        <v>32650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35850</v>
      </c>
      <c r="D13" s="30">
        <v>1850</v>
      </c>
      <c r="E13" s="180">
        <v>25800</v>
      </c>
      <c r="F13" s="30">
        <f t="shared" si="0"/>
        <v>0</v>
      </c>
      <c r="G13" s="180">
        <v>35800</v>
      </c>
      <c r="H13" s="30">
        <v>100</v>
      </c>
      <c r="J13" s="42">
        <f t="shared" si="3"/>
        <v>97450</v>
      </c>
      <c r="K13" s="42">
        <f t="shared" si="2"/>
        <v>1950</v>
      </c>
    </row>
    <row r="14" spans="1:11" x14ac:dyDescent="0.35">
      <c r="A14" s="47">
        <v>11</v>
      </c>
      <c r="B14" s="178" t="str">
        <f>Vendedor11!$B$2</f>
        <v>CHARLY</v>
      </c>
      <c r="C14" s="180">
        <v>28400</v>
      </c>
      <c r="D14" s="30">
        <f t="shared" si="0"/>
        <v>0</v>
      </c>
      <c r="E14" s="180">
        <v>15050</v>
      </c>
      <c r="F14" s="30">
        <f t="shared" si="0"/>
        <v>0</v>
      </c>
      <c r="G14" s="180">
        <v>26900</v>
      </c>
      <c r="H14" s="30">
        <f t="shared" si="0"/>
        <v>0</v>
      </c>
      <c r="J14" s="42">
        <f t="shared" si="3"/>
        <v>70350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26900</v>
      </c>
      <c r="D16" s="30">
        <v>250</v>
      </c>
      <c r="E16" s="180">
        <v>17100</v>
      </c>
      <c r="F16" s="30">
        <f t="shared" si="0"/>
        <v>0</v>
      </c>
      <c r="G16" s="180">
        <v>25300</v>
      </c>
      <c r="H16" s="30">
        <f t="shared" si="0"/>
        <v>0</v>
      </c>
      <c r="J16" s="42">
        <f t="shared" si="3"/>
        <v>69300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109550+24000</f>
        <v>133550</v>
      </c>
      <c r="D17" s="30">
        <f>1850+1000</f>
        <v>2850</v>
      </c>
      <c r="E17" s="180">
        <f>39150+86450</f>
        <v>125600</v>
      </c>
      <c r="F17" s="30">
        <f t="shared" si="0"/>
        <v>0</v>
      </c>
      <c r="G17" s="180">
        <f>28550+163000</f>
        <v>191550</v>
      </c>
      <c r="H17" s="30">
        <v>3000</v>
      </c>
      <c r="J17" s="42">
        <f t="shared" si="3"/>
        <v>450700</v>
      </c>
      <c r="K17" s="42">
        <f t="shared" si="2"/>
        <v>5850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28100+10300</f>
        <v>38400</v>
      </c>
      <c r="D18" s="30">
        <f>400+200</f>
        <v>600</v>
      </c>
      <c r="E18" s="180">
        <f>9650+40550</f>
        <v>50200</v>
      </c>
      <c r="F18" s="30">
        <f t="shared" si="0"/>
        <v>0</v>
      </c>
      <c r="G18" s="180">
        <f>43450+19150</f>
        <v>62600</v>
      </c>
      <c r="H18" s="30">
        <v>500</v>
      </c>
      <c r="J18" s="42">
        <f t="shared" si="3"/>
        <v>151200</v>
      </c>
      <c r="K18" s="42">
        <f t="shared" si="2"/>
        <v>1100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661650</v>
      </c>
      <c r="D32" s="44">
        <f t="shared" si="6"/>
        <v>16400</v>
      </c>
      <c r="E32" s="43">
        <f t="shared" si="6"/>
        <v>517300</v>
      </c>
      <c r="F32" s="44">
        <f t="shared" si="6"/>
        <v>1100</v>
      </c>
      <c r="G32" s="43">
        <f t="shared" si="6"/>
        <v>751950</v>
      </c>
      <c r="H32" s="44">
        <f t="shared" si="6"/>
        <v>5750</v>
      </c>
      <c r="J32" s="95">
        <f>SUM(J4:J31)</f>
        <v>1930900</v>
      </c>
      <c r="K32" s="95"/>
    </row>
    <row r="33" spans="2:8" x14ac:dyDescent="0.35">
      <c r="D33" s="99">
        <f>+D32*85</f>
        <v>1394000</v>
      </c>
      <c r="F33" s="99">
        <f>+F32*85</f>
        <v>93500</v>
      </c>
      <c r="H33" s="99">
        <f>+H32*85</f>
        <v>488750</v>
      </c>
    </row>
    <row r="34" spans="2:8" x14ac:dyDescent="0.35">
      <c r="B34" s="247" t="s">
        <v>149</v>
      </c>
      <c r="C34" s="43">
        <f t="shared" ref="C34:H34" si="7">+C4+C5+C6+C8+C13</f>
        <v>270300</v>
      </c>
      <c r="D34" s="43" t="e">
        <f t="shared" si="7"/>
        <v>#VALUE!</v>
      </c>
      <c r="E34" s="43">
        <f t="shared" si="7"/>
        <v>161800</v>
      </c>
      <c r="F34" s="43" t="e">
        <f t="shared" si="7"/>
        <v>#VALUE!</v>
      </c>
      <c r="G34" s="43">
        <f t="shared" si="7"/>
        <v>237400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212100</v>
      </c>
      <c r="D35" s="43" t="e">
        <f t="shared" ref="D35:H35" si="8">+D11+D14+D15+D17+D18</f>
        <v>#VALUE!</v>
      </c>
      <c r="E35" s="43">
        <f t="shared" si="8"/>
        <v>190850</v>
      </c>
      <c r="F35" s="43" t="e">
        <f t="shared" si="8"/>
        <v>#VALUE!</v>
      </c>
      <c r="G35" s="43">
        <f t="shared" si="8"/>
        <v>296550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152350</v>
      </c>
      <c r="D36" s="43" t="e">
        <f t="shared" ref="D36:H36" si="9">+D10+D12+D27</f>
        <v>#VALUE!</v>
      </c>
      <c r="E36" s="43">
        <f t="shared" si="9"/>
        <v>147550</v>
      </c>
      <c r="F36" s="43" t="e">
        <f t="shared" si="9"/>
        <v>#VALUE!</v>
      </c>
      <c r="G36" s="43">
        <f t="shared" si="9"/>
        <v>192700</v>
      </c>
      <c r="H36" s="43" t="e">
        <f t="shared" si="9"/>
        <v>#VALUE!</v>
      </c>
    </row>
    <row r="38" spans="2:8" x14ac:dyDescent="0.35">
      <c r="D38">
        <f>+C32*4.5%</f>
        <v>29774.25</v>
      </c>
    </row>
    <row r="39" spans="2:8" x14ac:dyDescent="0.35">
      <c r="D39">
        <f>+C32*3.5%</f>
        <v>23157.750000000004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94</v>
      </c>
      <c r="D2" s="268"/>
      <c r="E2" s="267">
        <f>IF(PREMIOS!$B9="","",PREMIOS!$B9)</f>
        <v>41</v>
      </c>
      <c r="F2" s="268"/>
      <c r="G2" s="267">
        <f>IF(PREMIOS!$B13="","",PREMIOS!$B13)</f>
        <v>28</v>
      </c>
      <c r="H2" s="268"/>
      <c r="I2" s="267" t="str">
        <f>IF(PREMIOS!$B17="","",PREMIOS!$B17)</f>
        <v>04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38250</v>
      </c>
      <c r="D4" s="78">
        <v>100</v>
      </c>
      <c r="E4" s="206">
        <v>19250</v>
      </c>
      <c r="F4" s="78">
        <f t="shared" ref="D4:J27" si="0">IF(E4="","",0)</f>
        <v>0</v>
      </c>
      <c r="G4" s="189">
        <v>10300</v>
      </c>
      <c r="H4" s="78">
        <f t="shared" ref="H4:H27" si="1">IF(G4="","",0)</f>
        <v>0</v>
      </c>
      <c r="I4" s="189">
        <v>4000</v>
      </c>
      <c r="J4" s="78">
        <v>200</v>
      </c>
      <c r="L4" s="42">
        <f t="shared" ref="L4:L8" si="2">+C4+E4+G4+I4</f>
        <v>71800</v>
      </c>
      <c r="M4" s="42">
        <f>IF(D4=0,0,IF(F4="",D4,IF(H4="",D4+F4,IF(J4="",D4+F4+H4,D4+F4+H4+J4))))</f>
        <v>300</v>
      </c>
    </row>
    <row r="5" spans="1:13" x14ac:dyDescent="0.35">
      <c r="A5" s="47">
        <v>2</v>
      </c>
      <c r="B5" s="178" t="str">
        <f>Vendedor2!$B$2</f>
        <v>PUESTO 2</v>
      </c>
      <c r="C5" s="180">
        <v>16850</v>
      </c>
      <c r="D5" s="30">
        <v>150</v>
      </c>
      <c r="E5" s="207">
        <v>13500</v>
      </c>
      <c r="F5" s="30">
        <f t="shared" si="0"/>
        <v>0</v>
      </c>
      <c r="G5" s="180">
        <v>2500</v>
      </c>
      <c r="H5" s="30">
        <f t="shared" si="1"/>
        <v>0</v>
      </c>
      <c r="I5" s="180">
        <v>6800</v>
      </c>
      <c r="J5" s="30">
        <f t="shared" ref="J5:J27" si="3">IF(I5="","",0)</f>
        <v>0</v>
      </c>
      <c r="L5" s="42">
        <f t="shared" si="2"/>
        <v>39650</v>
      </c>
      <c r="M5" s="42">
        <f t="shared" ref="M5:M27" si="4">IF(D5=0,0,IF(F5="",D5,IF(H5="",D5+F5,IF(J5="",D5+F5+H5,D5+F5+H5+J5))))</f>
        <v>150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71200</v>
      </c>
      <c r="D8" s="30">
        <v>600</v>
      </c>
      <c r="E8" s="207">
        <v>55850</v>
      </c>
      <c r="F8" s="30">
        <v>650</v>
      </c>
      <c r="G8" s="180">
        <v>19700</v>
      </c>
      <c r="H8" s="30">
        <f t="shared" si="1"/>
        <v>0</v>
      </c>
      <c r="I8" s="180">
        <v>37550</v>
      </c>
      <c r="J8" s="30">
        <v>1600</v>
      </c>
      <c r="L8" s="42">
        <f t="shared" si="2"/>
        <v>184300</v>
      </c>
      <c r="M8" s="42">
        <f t="shared" si="4"/>
        <v>2850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10950+21150</f>
        <v>32100</v>
      </c>
      <c r="D10" s="30">
        <v>200</v>
      </c>
      <c r="E10" s="207">
        <f>52150+38750</f>
        <v>90900</v>
      </c>
      <c r="F10" s="30">
        <f>100+400</f>
        <v>500</v>
      </c>
      <c r="G10" s="180">
        <f>29250+28000</f>
        <v>57250</v>
      </c>
      <c r="H10" s="30">
        <f t="shared" si="0"/>
        <v>0</v>
      </c>
      <c r="I10" s="180">
        <f>47000+50550</f>
        <v>97550</v>
      </c>
      <c r="J10" s="30">
        <f>1500+1300</f>
        <v>2800</v>
      </c>
      <c r="L10" s="42">
        <f t="shared" si="5"/>
        <v>277800</v>
      </c>
      <c r="M10" s="42">
        <f t="shared" si="4"/>
        <v>3500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11600</v>
      </c>
      <c r="D12" s="30">
        <f t="shared" si="0"/>
        <v>0</v>
      </c>
      <c r="E12" s="207">
        <v>22200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33800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23450</v>
      </c>
      <c r="D13" s="30">
        <v>200</v>
      </c>
      <c r="E13" s="207">
        <v>13200</v>
      </c>
      <c r="F13" s="30">
        <f t="shared" si="0"/>
        <v>0</v>
      </c>
      <c r="G13" s="180">
        <v>800</v>
      </c>
      <c r="H13" s="30">
        <f t="shared" si="0"/>
        <v>0</v>
      </c>
      <c r="I13" s="180">
        <v>7400</v>
      </c>
      <c r="J13" s="30">
        <v>1200</v>
      </c>
      <c r="L13" s="42">
        <f t="shared" si="5"/>
        <v>44850</v>
      </c>
      <c r="M13" s="42">
        <f t="shared" si="4"/>
        <v>1400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11400</v>
      </c>
      <c r="D16" s="30">
        <v>100</v>
      </c>
      <c r="E16" s="207">
        <v>14250</v>
      </c>
      <c r="F16" s="30">
        <f t="shared" si="0"/>
        <v>0</v>
      </c>
      <c r="G16" s="180">
        <v>5900</v>
      </c>
      <c r="H16" s="30">
        <f t="shared" si="0"/>
        <v>0</v>
      </c>
      <c r="I16" s="180">
        <v>5000</v>
      </c>
      <c r="J16" s="30">
        <f t="shared" si="0"/>
        <v>0</v>
      </c>
      <c r="L16" s="42">
        <f t="shared" si="5"/>
        <v>36550</v>
      </c>
      <c r="M16" s="42">
        <f t="shared" si="4"/>
        <v>100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114300</v>
      </c>
      <c r="D17" s="30">
        <v>250</v>
      </c>
      <c r="E17" s="207">
        <v>94950</v>
      </c>
      <c r="F17" s="30">
        <v>250</v>
      </c>
      <c r="G17" s="180">
        <v>62300</v>
      </c>
      <c r="H17" s="30">
        <v>400</v>
      </c>
      <c r="I17" s="180">
        <v>147400</v>
      </c>
      <c r="J17" s="30">
        <v>5500</v>
      </c>
      <c r="L17" s="42">
        <f t="shared" si="5"/>
        <v>418950</v>
      </c>
      <c r="M17" s="42">
        <f t="shared" si="4"/>
        <v>6400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32350</v>
      </c>
      <c r="D18" s="30">
        <f t="shared" si="0"/>
        <v>0</v>
      </c>
      <c r="E18" s="207">
        <v>39900</v>
      </c>
      <c r="F18" s="30">
        <v>150</v>
      </c>
      <c r="G18" s="180">
        <v>34050</v>
      </c>
      <c r="H18" s="30">
        <v>150</v>
      </c>
      <c r="I18" s="180">
        <v>12600</v>
      </c>
      <c r="J18" s="30">
        <v>1000</v>
      </c>
      <c r="L18" s="42">
        <f t="shared" si="5"/>
        <v>118900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351500</v>
      </c>
      <c r="D32" s="44">
        <f t="shared" si="7"/>
        <v>1600</v>
      </c>
      <c r="E32" s="43">
        <f t="shared" si="7"/>
        <v>364000</v>
      </c>
      <c r="F32" s="44">
        <f t="shared" si="7"/>
        <v>1850</v>
      </c>
      <c r="G32" s="43">
        <f t="shared" si="7"/>
        <v>192800</v>
      </c>
      <c r="H32" s="44">
        <f t="shared" si="7"/>
        <v>550</v>
      </c>
      <c r="I32" s="43">
        <f t="shared" si="7"/>
        <v>318300</v>
      </c>
      <c r="J32" s="44">
        <f t="shared" si="7"/>
        <v>12300</v>
      </c>
      <c r="L32" s="95">
        <f>SUM(L9:L31)</f>
        <v>930850</v>
      </c>
      <c r="M32" s="95">
        <f>SUM(M9:M31)</f>
        <v>11400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4"/>
  <sheetViews>
    <sheetView showGridLines="0" zoomScale="90" zoomScaleNormal="90" workbookViewId="0">
      <selection activeCell="H15" sqref="H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00 Blanca</v>
      </c>
      <c r="D2" s="268"/>
      <c r="E2" s="267" t="str">
        <f>IF(E33=0,"",CONCATENATE(PREMIOS!$B11," ",PREMIOS!$B12))</f>
        <v>97 Blanca</v>
      </c>
      <c r="F2" s="268"/>
      <c r="G2" s="267" t="str">
        <f>IF(G33=0,"",CONCATENATE(PREMIOS!$B15," ",PREMIOS!$B16))</f>
        <v>52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6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11350+7800</f>
        <v>19150</v>
      </c>
      <c r="D10" s="30">
        <f>500+0</f>
        <v>500</v>
      </c>
      <c r="E10" s="180">
        <f>16750+8750</f>
        <v>25500</v>
      </c>
      <c r="F10" s="30">
        <f t="shared" si="0"/>
        <v>0</v>
      </c>
      <c r="G10" s="180">
        <f>22150+12700</f>
        <v>34850</v>
      </c>
      <c r="H10" s="30">
        <v>1000</v>
      </c>
      <c r="J10" s="42">
        <f t="shared" si="3"/>
        <v>79500</v>
      </c>
      <c r="K10" s="42">
        <f t="shared" si="4"/>
        <v>1500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1250</v>
      </c>
      <c r="D12" s="30">
        <f t="shared" si="0"/>
        <v>0</v>
      </c>
      <c r="E12" s="180">
        <v>1000</v>
      </c>
      <c r="F12" s="30">
        <f t="shared" si="1"/>
        <v>0</v>
      </c>
      <c r="G12" s="180">
        <v>850</v>
      </c>
      <c r="H12" s="30">
        <f t="shared" si="0"/>
        <v>0</v>
      </c>
      <c r="J12" s="42">
        <f t="shared" si="3"/>
        <v>3100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19750</v>
      </c>
      <c r="D17" s="30">
        <v>900</v>
      </c>
      <c r="E17" s="180">
        <v>28850</v>
      </c>
      <c r="F17" s="30">
        <f t="shared" si="0"/>
        <v>0</v>
      </c>
      <c r="G17" s="180">
        <v>21850</v>
      </c>
      <c r="H17" s="30">
        <f t="shared" si="0"/>
        <v>0</v>
      </c>
      <c r="J17" s="42">
        <f t="shared" si="3"/>
        <v>70450</v>
      </c>
      <c r="K17" s="42">
        <f t="shared" si="4"/>
        <v>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10300</v>
      </c>
      <c r="D18" s="30">
        <v>200</v>
      </c>
      <c r="E18" s="180">
        <v>9250</v>
      </c>
      <c r="F18" s="30">
        <f t="shared" si="0"/>
        <v>0</v>
      </c>
      <c r="G18" s="180">
        <v>17800</v>
      </c>
      <c r="H18" s="30">
        <v>500</v>
      </c>
      <c r="J18" s="42">
        <f t="shared" si="3"/>
        <v>37350</v>
      </c>
      <c r="K18" s="42">
        <f t="shared" si="4"/>
        <v>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>
        <v>17800</v>
      </c>
      <c r="H27" s="50">
        <v>500</v>
      </c>
      <c r="J27" s="42">
        <f t="shared" si="3"/>
        <v>17800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51450</v>
      </c>
      <c r="D33" s="44">
        <f t="shared" si="7"/>
        <v>1600</v>
      </c>
      <c r="E33" s="43">
        <f t="shared" si="7"/>
        <v>64600</v>
      </c>
      <c r="F33" s="44">
        <f t="shared" si="7"/>
        <v>0</v>
      </c>
      <c r="G33" s="43">
        <f t="shared" si="7"/>
        <v>94150</v>
      </c>
      <c r="H33" s="44">
        <f t="shared" si="7"/>
        <v>2000</v>
      </c>
      <c r="J33" s="45">
        <f>SUM(J4:J32)</f>
        <v>210200</v>
      </c>
      <c r="K33" s="95">
        <f>SUM(K4:K32)</f>
        <v>3100</v>
      </c>
    </row>
    <row r="34" spans="3:11" x14ac:dyDescent="0.35">
      <c r="G34" s="43">
        <f>+G33-94150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94</v>
      </c>
      <c r="D2" s="268"/>
      <c r="E2" s="267">
        <f>IF(PREMIOS!$C19="","",PREMIOS!$C19)</f>
        <v>11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9600</v>
      </c>
      <c r="D4" s="78">
        <f t="shared" ref="D4:F27" si="0">IF(C4="","",0)</f>
        <v>0</v>
      </c>
      <c r="E4" s="189">
        <v>2600</v>
      </c>
      <c r="F4" s="78">
        <v>300</v>
      </c>
      <c r="H4" s="42">
        <f>+C4+E4</f>
        <v>12200</v>
      </c>
      <c r="I4" s="42">
        <f>IF(D4="",0,IF(F4="",D4,D4+F4))</f>
        <v>300</v>
      </c>
    </row>
    <row r="5" spans="1:9" x14ac:dyDescent="0.35">
      <c r="A5" s="47">
        <v>2</v>
      </c>
      <c r="B5" s="178" t="str">
        <f>Vendedor2!$B$2</f>
        <v>PUESTO 2</v>
      </c>
      <c r="C5" s="180">
        <v>1400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18100</v>
      </c>
      <c r="D8" s="30">
        <v>400</v>
      </c>
      <c r="E8" s="194">
        <v>18350</v>
      </c>
      <c r="F8" s="195">
        <v>500</v>
      </c>
      <c r="H8" s="42">
        <f t="shared" si="2"/>
        <v>36450</v>
      </c>
      <c r="I8" s="42">
        <f t="shared" si="3"/>
        <v>900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21550</v>
      </c>
      <c r="D10" s="30">
        <v>300</v>
      </c>
      <c r="E10" s="180">
        <v>23450</v>
      </c>
      <c r="F10" s="195">
        <v>400</v>
      </c>
      <c r="H10" s="42">
        <f t="shared" si="2"/>
        <v>45000</v>
      </c>
      <c r="I10" s="42">
        <f t="shared" si="3"/>
        <v>700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32100</v>
      </c>
      <c r="D12" s="30">
        <v>250</v>
      </c>
      <c r="E12" s="194"/>
      <c r="F12" s="30" t="str">
        <f t="shared" si="0"/>
        <v/>
      </c>
      <c r="H12" s="42">
        <f t="shared" si="2"/>
        <v>32100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3500</v>
      </c>
      <c r="D16" s="195">
        <f t="shared" si="0"/>
        <v>0</v>
      </c>
      <c r="E16" s="194">
        <v>800</v>
      </c>
      <c r="F16" s="195">
        <f t="shared" si="0"/>
        <v>0</v>
      </c>
      <c r="H16" s="42">
        <f t="shared" si="2"/>
        <v>4300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57300</v>
      </c>
      <c r="D17" s="195">
        <v>550</v>
      </c>
      <c r="E17" s="180">
        <v>22500</v>
      </c>
      <c r="F17" s="30">
        <v>500</v>
      </c>
      <c r="H17" s="42">
        <f t="shared" si="2"/>
        <v>79800</v>
      </c>
      <c r="I17" s="42">
        <f t="shared" si="3"/>
        <v>1050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39650</v>
      </c>
      <c r="D18" s="195">
        <v>100</v>
      </c>
      <c r="E18" s="180">
        <v>35950</v>
      </c>
      <c r="F18" s="30">
        <v>400</v>
      </c>
      <c r="H18" s="42">
        <f t="shared" si="2"/>
        <v>75600</v>
      </c>
      <c r="I18" s="42">
        <f t="shared" si="3"/>
        <v>500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183200</v>
      </c>
      <c r="D33" s="44">
        <f>SUM(D4:D32)</f>
        <v>1600</v>
      </c>
      <c r="E33" s="43">
        <f>SUM(E4:E32)</f>
        <v>103650</v>
      </c>
      <c r="F33" s="44">
        <f>SUM(F4:F32)</f>
        <v>2100</v>
      </c>
      <c r="H33" s="95">
        <f>SUM(H4:H32)</f>
        <v>286850</v>
      </c>
      <c r="I33" s="95">
        <f>SUM(I4:I32)</f>
        <v>3700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45</v>
      </c>
      <c r="D2" s="268"/>
      <c r="E2" s="267">
        <f>IF(PREMIOS!$C20="","",PREMIOS!$C20)</f>
        <v>65</v>
      </c>
      <c r="F2" s="268"/>
      <c r="G2" s="267">
        <f>IF(PREMIOS!$D20="","",PREMIOS!$D20)</f>
        <v>76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5150</v>
      </c>
      <c r="D10" s="195">
        <f t="shared" si="0"/>
        <v>0</v>
      </c>
      <c r="E10" s="180">
        <v>2100</v>
      </c>
      <c r="F10" s="30">
        <f t="shared" si="0"/>
        <v>0</v>
      </c>
      <c r="G10" s="180">
        <v>2900</v>
      </c>
      <c r="H10" s="195">
        <f t="shared" si="0"/>
        <v>0</v>
      </c>
      <c r="J10" s="42">
        <f t="shared" si="3"/>
        <v>10150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38750</v>
      </c>
      <c r="D17" s="195">
        <v>550</v>
      </c>
      <c r="E17" s="194">
        <v>8900</v>
      </c>
      <c r="F17" s="195">
        <v>100</v>
      </c>
      <c r="G17" s="194">
        <v>26000</v>
      </c>
      <c r="H17" s="195">
        <f t="shared" si="2"/>
        <v>0</v>
      </c>
      <c r="J17" s="42">
        <f t="shared" si="3"/>
        <v>73650</v>
      </c>
      <c r="K17" s="42">
        <f t="shared" si="4"/>
        <v>650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16800</v>
      </c>
      <c r="D18" s="195">
        <f t="shared" si="0"/>
        <v>0</v>
      </c>
      <c r="E18" s="180">
        <v>17000</v>
      </c>
      <c r="F18" s="30">
        <v>1000</v>
      </c>
      <c r="G18" s="180">
        <v>5000</v>
      </c>
      <c r="H18" s="30">
        <f t="shared" si="2"/>
        <v>0</v>
      </c>
      <c r="J18" s="42">
        <f t="shared" si="3"/>
        <v>38800</v>
      </c>
      <c r="K18" s="42">
        <f t="shared" si="4"/>
        <v>1000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60700</v>
      </c>
      <c r="D33" s="44">
        <f t="shared" si="6"/>
        <v>550</v>
      </c>
      <c r="E33" s="43">
        <f t="shared" si="6"/>
        <v>28000</v>
      </c>
      <c r="F33" s="44">
        <f t="shared" si="6"/>
        <v>1100</v>
      </c>
      <c r="G33" s="43">
        <f t="shared" si="6"/>
        <v>33900</v>
      </c>
      <c r="H33" s="44">
        <f t="shared" si="6"/>
        <v>0</v>
      </c>
      <c r="J33" s="45">
        <f>SUM(J4:J32)</f>
        <v>122600</v>
      </c>
      <c r="K33" s="95">
        <f>SUM(K4:K32)</f>
        <v>1650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76</v>
      </c>
      <c r="D2" s="268"/>
      <c r="E2" s="267">
        <f>IF(PREMIOS!$C21="","",PREMIOS!$C21)</f>
        <v>23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50200</v>
      </c>
      <c r="D10" s="30">
        <v>1000</v>
      </c>
      <c r="E10" s="180">
        <v>54700</v>
      </c>
      <c r="F10" s="30">
        <v>1000</v>
      </c>
      <c r="H10" s="42">
        <f t="shared" si="2"/>
        <v>104900</v>
      </c>
      <c r="I10" s="42">
        <f t="shared" si="3"/>
        <v>2000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50200</v>
      </c>
      <c r="D33" s="44">
        <f>SUM(D4:D32)</f>
        <v>1000</v>
      </c>
      <c r="E33" s="43">
        <f>SUM(E4:E32)</f>
        <v>54700</v>
      </c>
      <c r="F33" s="44">
        <f>SUM(F4:F32)</f>
        <v>1000</v>
      </c>
      <c r="H33" s="45">
        <f>SUM(H4:H32)</f>
        <v>104900</v>
      </c>
      <c r="I33" s="95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2026-05-06T17:06:22Z</dcterms:modified>
  <dc:language>es-CR</dc:language>
</cp:coreProperties>
</file>
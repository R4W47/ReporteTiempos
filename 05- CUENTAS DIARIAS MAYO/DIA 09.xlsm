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65" documentId="13_ncr:1_{95B45B54-8E14-4423-9699-AA1D800BBE80}" xr6:coauthVersionLast="47" xr6:coauthVersionMax="47" xr10:uidLastSave="{5DF21639-D093-4A97-9B87-146746F5EE8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H10" i="60"/>
  <c r="G10" i="60"/>
  <c r="H17" i="60"/>
  <c r="G17" i="60"/>
  <c r="H18" i="60"/>
  <c r="G18" i="60"/>
  <c r="G10" i="61"/>
  <c r="E10" i="65"/>
  <c r="E10" i="64"/>
  <c r="E10" i="62"/>
  <c r="E10" i="61"/>
  <c r="F17" i="60"/>
  <c r="E17" i="60"/>
  <c r="F10" i="60"/>
  <c r="E10" i="60"/>
  <c r="F18" i="60"/>
  <c r="E18" i="60"/>
  <c r="C10" i="66"/>
  <c r="C10" i="62"/>
  <c r="C10" i="60"/>
  <c r="D17" i="60"/>
  <c r="C17" i="60"/>
  <c r="C18" i="60"/>
  <c r="D10" i="61"/>
  <c r="C10" i="61"/>
  <c r="C10" i="64"/>
  <c r="C10" i="65"/>
  <c r="D18" i="64" l="1"/>
  <c r="D11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2" i="60"/>
  <c r="D11" i="60"/>
  <c r="D36" i="60"/>
  <c r="D9" i="60"/>
  <c r="D7" i="60"/>
  <c r="D3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D5" i="61"/>
  <c r="F16" i="61"/>
  <c r="D6" i="60"/>
  <c r="F16" i="60"/>
  <c r="F15" i="60"/>
  <c r="F14" i="60"/>
  <c r="F35" i="60" s="1"/>
  <c r="F13" i="60"/>
  <c r="F11" i="60"/>
  <c r="F36" i="60"/>
  <c r="F9" i="60"/>
  <c r="F7" i="60"/>
  <c r="F6" i="60"/>
  <c r="H15" i="60"/>
  <c r="H12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6" i="60" l="1"/>
  <c r="H34" i="60"/>
  <c r="F34" i="60"/>
  <c r="D35" i="60"/>
  <c r="E7" i="16"/>
  <c r="L8" i="15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F17" i="52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K5" i="8"/>
  <c r="F24" i="1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<sst xmlns="http://schemas.openxmlformats.org/spreadsheetml/2006/main" count="1292" uniqueCount="159">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</sst>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318900</v>
      </c>
      <c r="C3" s="9">
        <f>+HojaTICA!K4+HojaNICA!M4+HojaREVENTADO!K4+HojaPrimera!I4+HojaHonduras!K4+HojaDominicana!I4+HojaPANA!G4</f>
        <v>41450</v>
      </c>
      <c r="D3" s="9">
        <f>+HojaTICA!N4+HojaNICA!P4+HojaREVENTADO!O4+HojaPrimera!L4+HojaHonduras!N4+HojaDominicana!L4+HojaPANA!J4</f>
        <v>204750</v>
      </c>
      <c r="F3" s="10">
        <f t="shared" ref="F3:F27" si="0">+B3-C3-D3</f>
        <v>72700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204050</v>
      </c>
      <c r="C4" s="9">
        <f>+HojaTICA!K5+HojaNICA!M5+HojaREVENTADO!K5+HojaPrimera!I5+HojaHonduras!K5+HojaDominicana!I5+HojaPANA!G5</f>
        <v>26550</v>
      </c>
      <c r="D4" s="9">
        <f>+HojaTICA!N5+HojaNICA!P5+HojaREVENTADO!O5+HojaPrimera!L5+HojaHonduras!N5+HojaDominicana!L5+HojaPANA!J5</f>
        <v>255000</v>
      </c>
      <c r="F4" s="14">
        <f t="shared" si="0"/>
        <v>-77500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377700</v>
      </c>
      <c r="C7" s="9">
        <f>+HojaTICA!K8+HojaNICA!M8+HojaREVENTADO!K8+HojaPrimera!I8+HojaHonduras!K8+HojaDominicana!I8+HojaPANA!G8</f>
        <v>45300</v>
      </c>
      <c r="D7" s="9">
        <f>+HojaTICA!N8+HojaNICA!P8+HojaREVENTADO!O8+HojaPrimera!L8+HojaHonduras!N8+HojaDominicana!L8+HojaPANA!J8</f>
        <v>380000</v>
      </c>
      <c r="F7" s="14">
        <f t="shared" si="0"/>
        <v>-47600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1121300</v>
      </c>
      <c r="C9" s="9">
        <f>+HojaTICA!K10+HojaNICA!M10+HojaREVENTADO!K10+HojaPrimera!I10+HojaHonduras!K10+HojaDominicana!I10+HojaPANA!G10</f>
        <v>132725</v>
      </c>
      <c r="D9" s="9">
        <f>+HojaTICA!N10+HojaNICA!P10+HojaREVENTADO!O10+HojaPrimera!L10+HojaHonduras!N10+HojaDominicana!L10+HojaPANA!J10</f>
        <v>424000</v>
      </c>
      <c r="F9" s="14">
        <f t="shared" si="0"/>
        <v>564575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21200</v>
      </c>
      <c r="C10" s="9">
        <f>+HojaTICA!K11+HojaNICA!M11+HojaREVENTADO!K11+HojaPrimera!I11+HojaHonduras!K11+HojaDominicana!I11+HojaPANA!G11</f>
        <v>2550</v>
      </c>
      <c r="D10" s="9">
        <f>+HojaTICA!N11+HojaNICA!P11+HojaREVENTADO!O11+HojaPrimera!L11+HojaHonduras!N11+HojaDominicana!L11+HojaPANA!J11</f>
        <v>0</v>
      </c>
      <c r="F10" s="14">
        <f t="shared" si="0"/>
        <v>18650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111500</v>
      </c>
      <c r="C11" s="9">
        <f>+HojaTICA!K12+HojaNICA!M12+HojaREVENTADO!K12+HojaPrimera!I12+HojaHonduras!K12+HojaDominicana!I12+HojaPANA!G12</f>
        <v>13400</v>
      </c>
      <c r="D11" s="9">
        <f>+HojaTICA!N12+HojaNICA!P12+HojaREVENTADO!O12+HojaPrimera!L12+HojaHonduras!N12+HojaDominicana!L12+HojaPANA!J12</f>
        <v>119000</v>
      </c>
      <c r="F11" s="14">
        <f t="shared" si="0"/>
        <v>-20900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238200</v>
      </c>
      <c r="C12" s="9">
        <f>+HojaTICA!K13+HojaNICA!M13+HojaREVENTADO!K13+HojaPrimera!I13+HojaHonduras!K13+HojaDominicana!I13+HojaPANA!G13</f>
        <v>28600</v>
      </c>
      <c r="D12" s="9">
        <f>+HojaTICA!N13+HojaNICA!P13+HojaREVENTADO!O13+HojaPrimera!L13+HojaHonduras!N13+HojaDominicana!L13+HojaPANA!J13</f>
        <v>395250</v>
      </c>
      <c r="F12" s="14">
        <f t="shared" si="0"/>
        <v>-185650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66600</v>
      </c>
      <c r="C13" s="9">
        <f>+HojaTICA!K14+HojaNICA!M14+HojaREVENTADO!K14+HojaPrimera!I14+HojaHonduras!K14+HojaDominicana!I14+HojaPANA!G14</f>
        <v>10000</v>
      </c>
      <c r="D13" s="9">
        <f>+HojaTICA!N14+HojaNICA!P14+HojaREVENTADO!O14+HojaPrimera!L14+HojaHonduras!N14+HojaDominicana!L14+HojaPANA!J14</f>
        <v>372000</v>
      </c>
      <c r="F13" s="14">
        <f t="shared" si="0"/>
        <v>-315400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88250</v>
      </c>
      <c r="C15" s="9">
        <f>+HojaTICA!K16+HojaNICA!M16+HojaREVENTADO!K16+HojaPrimera!I16+HojaHonduras!K16+HojaDominicana!I16+HojaPANA!G16</f>
        <v>10550</v>
      </c>
      <c r="D15" s="9">
        <f>+HojaTICA!N16+HojaNICA!P16+HojaREVENTADO!O16+HojaPrimera!L16+HojaHonduras!N16+HojaDominicana!L16+HojaPANA!J16</f>
        <v>63750</v>
      </c>
      <c r="F15" s="14">
        <f t="shared" si="0"/>
        <v>13950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1011150</v>
      </c>
      <c r="C16" s="9">
        <f>+HojaTICA!K17+HojaNICA!M17+HojaREVENTADO!K17+HojaPrimera!I17+HojaHonduras!K17+HojaDominicana!I17+HojaPANA!G17</f>
        <v>120075</v>
      </c>
      <c r="D16" s="9">
        <f>+HojaTICA!N17+HojaNICA!P17+HojaREVENTADO!O17+HojaPrimera!L17+HojaHonduras!N17+HojaDominicana!L17+HojaPANA!J17</f>
        <v>1150750</v>
      </c>
      <c r="F16" s="14">
        <f t="shared" si="0"/>
        <v>-259675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589050</v>
      </c>
      <c r="C17" s="9">
        <f>+HojaTICA!K18+HojaNICA!M18+HojaREVENTADO!K18+HojaPrimera!I18+HojaHonduras!K18+HojaDominicana!I18+HojaPANA!G18</f>
        <v>69655</v>
      </c>
      <c r="D17" s="9">
        <f>+HojaTICA!N18+HojaNICA!P18+HojaREVENTADO!O18+HojaPrimera!L18+HojaHonduras!N18+HojaDominicana!L18+HojaPANA!J18</f>
        <v>474000</v>
      </c>
      <c r="F17" s="14">
        <f t="shared" si="0"/>
        <v>45395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-31300</v>
      </c>
      <c r="C26" s="9">
        <f>+HojaTICA!K27+HojaNICA!M27+HojaREVENTADO!K27+HojaPrimera!I27+HojaHonduras!K27+HojaDominicana!I27+HojaPANA!G27</f>
        <v>-3750</v>
      </c>
      <c r="D26" s="9">
        <f>+HojaTICA!N27+HojaNICA!P27+HojaREVENTADO!O27+HojaPrimera!L27+HojaHonduras!N27+HojaDominicana!L27+HojaPANA!J27</f>
        <v>0</v>
      </c>
      <c r="F26" s="14">
        <f t="shared" si="0"/>
        <v>-27550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4116600</v>
      </c>
      <c r="C28" s="17">
        <f t="shared" si="1"/>
        <v>497105</v>
      </c>
      <c r="D28" s="18">
        <f t="shared" si="1"/>
        <v>3838500</v>
      </c>
      <c r="F28" s="20">
        <f>SUM(F3:F27)</f>
        <v>-219005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56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89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54</v>
      </c>
      <c r="C19" s="132">
        <v>37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63</v>
      </c>
      <c r="C20" s="163">
        <v>11</v>
      </c>
      <c r="D20" s="166">
        <v>47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73</v>
      </c>
      <c r="C21" s="164">
        <v>38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51</v>
      </c>
      <c r="D2" s="268"/>
      <c r="E2" s="267">
        <f>DigitaTICA!E2</f>
        <v>29</v>
      </c>
      <c r="F2" s="268"/>
      <c r="G2" s="267">
        <f>DigitaTICA!G2</f>
        <v>10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73950</v>
      </c>
      <c r="D4" s="30">
        <f>IF(Vendedor1!$E$7="",0,Vendedor1!$E$7)</f>
        <v>500</v>
      </c>
      <c r="E4" s="180">
        <f>IF(Vendedor1!$C$11="",0,Vendedor1!$C$11)</f>
        <v>37000</v>
      </c>
      <c r="F4" s="30">
        <f>IF(Vendedor1!$E$11="",0,Vendedor1!$E$11)</f>
        <v>250</v>
      </c>
      <c r="G4" s="180">
        <f>IF(Vendedor1!$C$15="",0,Vendedor1!$C$15)</f>
        <v>81300</v>
      </c>
      <c r="H4" s="30">
        <f>IF(Vendedor1!$E$15="",0,Vendedor1!$E$15)</f>
        <v>1000</v>
      </c>
      <c r="J4" s="42">
        <f t="shared" ref="J4:J7" si="0">+C4+E4+G4</f>
        <v>192250</v>
      </c>
      <c r="K4" s="41">
        <f>MROUND(J4*Vendedor1!J$9,50)</f>
        <v>25000</v>
      </c>
      <c r="L4" s="42">
        <f t="shared" ref="L4:L7" si="1">+D4+F4+H4</f>
        <v>1750</v>
      </c>
      <c r="M4" s="42">
        <f t="shared" ref="M4:M7" si="2">+L4*85</f>
        <v>148750</v>
      </c>
      <c r="N4" s="42">
        <f>Vendedor1!$F$7+Vendedor1!$F$11+Vendedor1!$F$15</f>
        <v>148750</v>
      </c>
      <c r="P4" s="42">
        <f t="shared" ref="P4:P7" si="3">+J4-K4-N4</f>
        <v>18500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44950</v>
      </c>
      <c r="D5" s="30">
        <f>IF(Vendedor2!$E$7="",0,Vendedor2!$E$7)</f>
        <v>250</v>
      </c>
      <c r="E5" s="180">
        <f>IF(Vendedor2!$C$11="",0,Vendedor2!$C$11)</f>
        <v>34850</v>
      </c>
      <c r="F5" s="30">
        <f>IF(Vendedor2!$E$11="",0,Vendedor2!$E$11)</f>
        <v>1000</v>
      </c>
      <c r="G5" s="180">
        <f>IF(Vendedor2!$C$15="",0,Vendedor2!$C$15)</f>
        <v>66050</v>
      </c>
      <c r="H5" s="30">
        <f>IF(Vendedor2!$E$15="",0,Vendedor2!$E$15)</f>
        <v>1750</v>
      </c>
      <c r="J5" s="42">
        <f t="shared" si="0"/>
        <v>145850</v>
      </c>
      <c r="K5" s="41">
        <f>MROUND(J5*Vendedor2!J$9,50)</f>
        <v>18950</v>
      </c>
      <c r="L5" s="42">
        <f t="shared" si="1"/>
        <v>3000</v>
      </c>
      <c r="M5" s="42">
        <f t="shared" si="2"/>
        <v>255000</v>
      </c>
      <c r="N5" s="42">
        <f>Vendedor2!$F$7+Vendedor2!$F$11+Vendedor2!$F$15</f>
        <v>255000</v>
      </c>
      <c r="P5" s="42">
        <f t="shared" si="3"/>
        <v>-128100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66000</v>
      </c>
      <c r="D8" s="30">
        <f>IF(Vendedor5!$E$7="",0,Vendedor5!$E$7)</f>
        <v>450</v>
      </c>
      <c r="E8" s="180">
        <f>IF(Vendedor5!$C$11="",0,Vendedor5!$C$11)</f>
        <v>63900</v>
      </c>
      <c r="F8" s="30">
        <f>IF(Vendedor5!$E$11="",0,Vendedor5!$E$11)</f>
        <v>350</v>
      </c>
      <c r="G8" s="180">
        <f>IF(Vendedor5!$C$15="",0,Vendedor5!$C$15)</f>
        <v>41900</v>
      </c>
      <c r="H8" s="30">
        <f>IF(Vendedor5!$E$15="",0,Vendedor5!$E$15)</f>
        <v>2400</v>
      </c>
      <c r="J8" s="42">
        <f t="shared" ref="J8" si="4">+C8+E8+G8</f>
        <v>171800</v>
      </c>
      <c r="K8" s="41">
        <f>MROUND(J8*Vendedor5!J$11,50)</f>
        <v>20600</v>
      </c>
      <c r="L8" s="42">
        <f t="shared" ref="L8" si="5">+D8+F8+H8</f>
        <v>3200</v>
      </c>
      <c r="M8" s="42">
        <f t="shared" ref="M8" si="6">+L8*85</f>
        <v>272000</v>
      </c>
      <c r="N8" s="42">
        <f>Vendedor5!$F$7+Vendedor5!$F$11+Vendedor5!$F$15</f>
        <v>272000</v>
      </c>
      <c r="P8" s="42">
        <f t="shared" ref="P8" si="7">+J8-K8-N8</f>
        <v>-120800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169700</v>
      </c>
      <c r="D10" s="30">
        <f>IF(Vendedor7!$E$7="",0,Vendedor7!$E$7)</f>
        <v>200</v>
      </c>
      <c r="E10" s="180">
        <f>IF(Vendedor7!$C$11="",0,Vendedor7!$C$11)</f>
        <v>131750</v>
      </c>
      <c r="F10" s="30">
        <f>IF(Vendedor7!$E$11="",0,Vendedor7!$E$11)</f>
        <v>350</v>
      </c>
      <c r="G10" s="180">
        <f>IF(Vendedor7!$C$15="",0,Vendedor7!$C$15)</f>
        <v>168350</v>
      </c>
      <c r="H10" s="30">
        <f>IF(Vendedor7!$E$15="",0,Vendedor7!$E$15)</f>
        <v>2900</v>
      </c>
      <c r="J10" s="42">
        <f t="shared" si="8"/>
        <v>469800</v>
      </c>
      <c r="K10" s="41">
        <f>MROUND(J10*Vendedor7!J$14,50)</f>
        <v>56400</v>
      </c>
      <c r="L10" s="42">
        <f t="shared" si="9"/>
        <v>3450</v>
      </c>
      <c r="M10" s="42">
        <f t="shared" si="10"/>
        <v>293250</v>
      </c>
      <c r="N10" s="42">
        <f>Vendedor7!$F$7+Vendedor7!$F$11+Vendedor7!$F$15</f>
        <v>293250</v>
      </c>
      <c r="P10" s="42">
        <f t="shared" si="11"/>
        <v>120150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18200</v>
      </c>
      <c r="H11" s="30">
        <f>IF(Vendedor8!$E$15="",0,Vendedor8!$E$15)</f>
        <v>0</v>
      </c>
      <c r="J11" s="42">
        <f t="shared" si="8"/>
        <v>21200</v>
      </c>
      <c r="K11" s="41">
        <f>MROUND(J11*Vendedor8!J$11,50)</f>
        <v>2550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18650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14600</v>
      </c>
      <c r="D12" s="30">
        <f>IF(Vendedor9!$E$7="",0,Vendedor9!$E$7)</f>
        <v>0</v>
      </c>
      <c r="E12" s="180">
        <f>IF(Vendedor9!$C$11="",0,Vendedor9!$C$11)</f>
        <v>15100</v>
      </c>
      <c r="F12" s="30">
        <f>IF(Vendedor9!$E$11="",0,Vendedor9!$E$11)</f>
        <v>300</v>
      </c>
      <c r="G12" s="180">
        <f>IF(Vendedor9!$C$15="",0,Vendedor9!$C$15)</f>
        <v>2400</v>
      </c>
      <c r="H12" s="30">
        <f>IF(Vendedor9!$E$15="",0,Vendedor9!$E$15)</f>
        <v>0</v>
      </c>
      <c r="J12" s="42">
        <f t="shared" si="8"/>
        <v>32100</v>
      </c>
      <c r="K12" s="41">
        <f>MROUND(J12*Vendedor9!J$11,50)</f>
        <v>3850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2750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51200</v>
      </c>
      <c r="D13" s="30">
        <f>IF(Vendedor10!$E$7="",0,Vendedor10!$E$7)</f>
        <v>250</v>
      </c>
      <c r="E13" s="180">
        <f>IF(Vendedor10!$C$11="",0,Vendedor10!$C$11)</f>
        <v>23000</v>
      </c>
      <c r="F13" s="30">
        <f>IF(Vendedor10!$E$11="",0,Vendedor10!$E$11)</f>
        <v>0</v>
      </c>
      <c r="G13" s="180">
        <f>IF(Vendedor10!$C$15="",0,Vendedor10!$C$15)</f>
        <v>64550</v>
      </c>
      <c r="H13" s="30">
        <f>IF(Vendedor10!$E$15="",0,Vendedor10!$E$15)</f>
        <v>2800</v>
      </c>
      <c r="J13" s="42">
        <f t="shared" si="8"/>
        <v>138750</v>
      </c>
      <c r="K13" s="41">
        <f>MROUND(J13*Vendedor10!J$9,50)</f>
        <v>16650</v>
      </c>
      <c r="L13" s="42">
        <f t="shared" si="9"/>
        <v>3050</v>
      </c>
      <c r="M13" s="42">
        <f t="shared" si="10"/>
        <v>259250</v>
      </c>
      <c r="N13" s="42">
        <f>Vendedor10!$F$7+Vendedor10!$F$11+Vendedor10!$F$15</f>
        <v>259250</v>
      </c>
      <c r="P13" s="42">
        <f t="shared" si="11"/>
        <v>-137150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32000</v>
      </c>
      <c r="D14" s="30">
        <f>IF(Vendedor11!$E$7="",0,Vendedor11!$E$7)</f>
        <v>4150</v>
      </c>
      <c r="E14" s="180">
        <f>IF(Vendedor11!$C$11="",0,Vendedor11!$C$11)</f>
        <v>12300</v>
      </c>
      <c r="F14" s="30">
        <f>IF(Vendedor11!$E$11="",0,Vendedor11!$E$11)</f>
        <v>0</v>
      </c>
      <c r="G14" s="180">
        <f>IF(Vendedor11!$C$15="",0,Vendedor11!$C$15)</f>
        <v>22300</v>
      </c>
      <c r="H14" s="30">
        <f>IF(Vendedor11!$E$15="",0,Vendedor11!$E$15)</f>
        <v>500</v>
      </c>
      <c r="J14" s="42">
        <f t="shared" si="8"/>
        <v>66600</v>
      </c>
      <c r="K14" s="41">
        <f>MROUND(J14*Vendedor11!J$9,50)</f>
        <v>10000</v>
      </c>
      <c r="L14" s="42">
        <f t="shared" si="9"/>
        <v>4650</v>
      </c>
      <c r="M14" s="42">
        <f t="shared" si="10"/>
        <v>395250</v>
      </c>
      <c r="N14" s="42">
        <f>Vendedor11!$F$7+Vendedor11!$F$11+Vendedor11!$F$15</f>
        <v>372000</v>
      </c>
      <c r="P14" s="42">
        <f t="shared" si="11"/>
        <v>-315400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10800</v>
      </c>
      <c r="D16" s="30">
        <f>IF(Vendedor13!$E$7="",0,Vendedor13!$E$7)</f>
        <v>0</v>
      </c>
      <c r="E16" s="180">
        <f>IF(Vendedor13!$C$11="",0,Vendedor13!$C$11)</f>
        <v>13000</v>
      </c>
      <c r="F16" s="30">
        <f>IF(Vendedor13!$E$11="",0,Vendedor13!$E$11)</f>
        <v>0</v>
      </c>
      <c r="G16" s="180">
        <f>IF(Vendedor13!$C$15="",0,Vendedor13!$C$15)</f>
        <v>36300</v>
      </c>
      <c r="H16" s="30">
        <f>IF(Vendedor13!$E$15="",0,Vendedor13!$E$15)</f>
        <v>750</v>
      </c>
      <c r="J16" s="42">
        <f t="shared" si="8"/>
        <v>60100</v>
      </c>
      <c r="K16" s="41">
        <f>MROUND(J16*Vendedor13!J$11,50)</f>
        <v>7200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-10850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129750</v>
      </c>
      <c r="D17" s="30">
        <f>IF(Vendedor14!$E$7="",0,Vendedor14!$E$7)</f>
        <v>1500</v>
      </c>
      <c r="E17" s="180">
        <f>IF(Vendedor14!$C$11="",0,Vendedor14!$C$11)</f>
        <v>108550</v>
      </c>
      <c r="F17" s="30">
        <f>IF(Vendedor14!$E$11="",0,Vendedor14!$E$11)</f>
        <v>950</v>
      </c>
      <c r="G17" s="180">
        <f>IF(Vendedor14!$C$15="",0,Vendedor14!$C$15)</f>
        <v>149500</v>
      </c>
      <c r="H17" s="30">
        <f>IF(Vendedor14!$E$15="",0,Vendedor14!$E$15)</f>
        <v>4750</v>
      </c>
      <c r="J17" s="42">
        <f t="shared" si="8"/>
        <v>387800</v>
      </c>
      <c r="K17" s="41">
        <f>MROUND(J17*Vendedor14!J$15,50)</f>
        <v>46550</v>
      </c>
      <c r="L17" s="42">
        <f t="shared" si="9"/>
        <v>7200</v>
      </c>
      <c r="M17" s="42">
        <f t="shared" si="10"/>
        <v>612000</v>
      </c>
      <c r="N17" s="42">
        <f>Vendedor14!$F$7+Vendedor14!$F$11+Vendedor14!$F$15</f>
        <v>612000</v>
      </c>
      <c r="P17" s="42">
        <f t="shared" si="11"/>
        <v>-270750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70050</v>
      </c>
      <c r="D18" s="30">
        <f>IF(Vendedor15!$E$7="",0,Vendedor15!$E$7)</f>
        <v>0</v>
      </c>
      <c r="E18" s="180">
        <f>IF(Vendedor15!$C$11="",0,Vendedor15!$C$11)</f>
        <v>48150</v>
      </c>
      <c r="F18" s="30">
        <f>IF(Vendedor15!$E$11="",0,Vendedor15!$E$11)</f>
        <v>250</v>
      </c>
      <c r="G18" s="180">
        <f>IF(Vendedor15!$C$15="",0,Vendedor15!$C$15)</f>
        <v>69200</v>
      </c>
      <c r="H18" s="30">
        <f>IF(Vendedor15!$E$15="",0,Vendedor15!$E$15)</f>
        <v>1500</v>
      </c>
      <c r="J18" s="42">
        <f t="shared" ref="J18" si="12">+C18+E18+G18</f>
        <v>187400</v>
      </c>
      <c r="K18" s="41">
        <f>MROUND(J18*Vendedor15!J$15,50)</f>
        <v>22500</v>
      </c>
      <c r="L18" s="42">
        <f t="shared" ref="L18" si="13">+D18+F18+H18</f>
        <v>1750</v>
      </c>
      <c r="M18" s="42">
        <f t="shared" ref="M18" si="14">+L18*85</f>
        <v>148750</v>
      </c>
      <c r="N18" s="42">
        <f>Vendedor15!$F$7+Vendedor15!$F$11+Vendedor15!$F$15</f>
        <v>148750</v>
      </c>
      <c r="P18" s="42">
        <f t="shared" ref="P18" si="15">+J18-K18-N18</f>
        <v>16150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666000</v>
      </c>
      <c r="D32" s="44">
        <f t="shared" si="16"/>
        <v>7300</v>
      </c>
      <c r="E32" s="43">
        <f t="shared" si="16"/>
        <v>487600</v>
      </c>
      <c r="F32" s="44">
        <f t="shared" si="16"/>
        <v>3450</v>
      </c>
      <c r="G32" s="43">
        <f t="shared" si="16"/>
        <v>720050</v>
      </c>
      <c r="H32" s="44">
        <f t="shared" si="16"/>
        <v>18350</v>
      </c>
      <c r="J32" s="95">
        <f>SUM(J4:J31)</f>
        <v>1873650</v>
      </c>
      <c r="K32" s="45">
        <f>SUM(K7:K31)</f>
        <v>186300</v>
      </c>
      <c r="L32" s="95">
        <f>SUM(L4:L31)</f>
        <v>29100</v>
      </c>
      <c r="M32" s="95">
        <f>SUM(M4:M31)</f>
        <v>2473500</v>
      </c>
      <c r="N32" s="95">
        <f>SUM(N4:N31)</f>
        <v>2450250</v>
      </c>
      <c r="P32" s="79">
        <f>SUM(P4:P31)</f>
        <v>-806850</v>
      </c>
    </row>
    <row r="33" spans="3:13" x14ac:dyDescent="0.35">
      <c r="D33" s="99">
        <f>+D32*85</f>
        <v>620500</v>
      </c>
      <c r="F33" s="99">
        <f>+F32*85</f>
        <v>293250</v>
      </c>
      <c r="H33" s="99">
        <f>+H32*85</f>
        <v>1559750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1873650</v>
      </c>
      <c r="E36" s="43">
        <f>+D36-J4-J5-J6</f>
        <v>1535550</v>
      </c>
      <c r="G36" s="101"/>
    </row>
    <row r="37" spans="3:13" x14ac:dyDescent="0.35">
      <c r="C37" s="47" t="s">
        <v>33</v>
      </c>
      <c r="D37" s="48">
        <f>D36*13%</f>
        <v>243574.5</v>
      </c>
      <c r="E37">
        <f>+D37-K4-K5-K6</f>
        <v>199624.5</v>
      </c>
      <c r="G37" s="100"/>
      <c r="H37" s="100"/>
    </row>
    <row r="38" spans="3:13" ht="15" thickBot="1" x14ac:dyDescent="0.4">
      <c r="C38" s="47" t="s">
        <v>30</v>
      </c>
      <c r="D38" s="30">
        <f>M32</f>
        <v>2473500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-843424.5</v>
      </c>
      <c r="F39" s="98">
        <f>+P32-D39</f>
        <v>36574.5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-843424.5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50</v>
      </c>
      <c r="D2" s="268"/>
      <c r="E2" s="267">
        <f>DigitaNICA!E2</f>
        <v>31</v>
      </c>
      <c r="F2" s="268"/>
      <c r="G2" s="267">
        <f>DigitaNICA!G2</f>
        <v>56</v>
      </c>
      <c r="H2" s="268"/>
      <c r="I2" s="267">
        <f>DigitaNICA!I2</f>
        <v>89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40150</v>
      </c>
      <c r="D4" s="78">
        <f>IF(Vendedor1!$E$5="",0,Vendedor1!$E$5)</f>
        <v>0</v>
      </c>
      <c r="E4" s="189">
        <f>IF(Vendedor1!$C$9="",0,Vendedor1!$C$9)</f>
        <v>39650</v>
      </c>
      <c r="F4" s="78">
        <f>IF(Vendedor1!$E$9="",0,Vendedor1!$E$9)</f>
        <v>0</v>
      </c>
      <c r="G4" s="189">
        <f>IF(Vendedor1!$C$13="",0,Vendedor1!$C$13)</f>
        <v>26950</v>
      </c>
      <c r="H4" s="78">
        <f>IF(Vendedor1!$E$13="",0,Vendedor1!$E$13)</f>
        <v>500</v>
      </c>
      <c r="I4" s="189">
        <f>IF(Vendedor1!$C$17="",0,Vendedor1!$C$17)</f>
        <v>2250</v>
      </c>
      <c r="J4" s="78">
        <f>IF(Vendedor1!$E$17="",0,Vendedor1!$E$17)</f>
        <v>0</v>
      </c>
      <c r="L4" s="42">
        <f t="shared" ref="L4:L7" si="0">C4+E4+G4+I4</f>
        <v>109000</v>
      </c>
      <c r="M4" s="41">
        <f>MROUND(L4*Vendedor1!J$10,50)</f>
        <v>14150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52350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28350</v>
      </c>
      <c r="D5" s="30">
        <f>IF(Vendedor2!$E$5="",0,Vendedor2!$E$5)</f>
        <v>0</v>
      </c>
      <c r="E5" s="180">
        <f>IF(Vendedor2!$C$9="",0,Vendedor2!$C$9)</f>
        <v>19750</v>
      </c>
      <c r="F5" s="30">
        <f>IF(Vendedor2!$E$9="",0,Vendedor2!$E$9)</f>
        <v>0</v>
      </c>
      <c r="G5" s="180">
        <f>IF(Vendedor2!$C$13="",0,Vendedor2!$C$13)</f>
        <v>4700</v>
      </c>
      <c r="H5" s="30">
        <f>IF(Vendedor2!$E$13="",0,Vendedor2!$E$13)</f>
        <v>0</v>
      </c>
      <c r="I5" s="180">
        <f>IF(Vendedor2!$C$17="",0,Vendedor2!$C$17)</f>
        <v>4000</v>
      </c>
      <c r="J5" s="30">
        <f>IF(Vendedor2!$E$17="",0,Vendedor2!$E$17)</f>
        <v>0</v>
      </c>
      <c r="L5" s="42">
        <f t="shared" si="0"/>
        <v>56800</v>
      </c>
      <c r="M5" s="41">
        <f>MROUND(L5*Vendedor2!J$10,50)</f>
        <v>7400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49400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70650</v>
      </c>
      <c r="D8" s="30">
        <f>IF(Vendedor5!$E$5="",0,Vendedor5!$E$5)</f>
        <v>650</v>
      </c>
      <c r="E8" s="180">
        <f>IF(Vendedor5!$C$9="",0,Vendedor5!$C$9)</f>
        <v>57400</v>
      </c>
      <c r="F8" s="30">
        <f>IF(Vendedor5!$E$9="",0,Vendedor5!$E$9)</f>
        <v>450</v>
      </c>
      <c r="G8" s="180">
        <f>IF(Vendedor5!$C$13="",0,Vendedor5!$C$13)</f>
        <v>6450</v>
      </c>
      <c r="H8" s="30">
        <f>IF(Vendedor5!$E$13="",0,Vendedor5!$E$13)</f>
        <v>250</v>
      </c>
      <c r="I8" s="180">
        <f>IF(Vendedor5!$C$17="",0,Vendedor5!$C$17)</f>
        <v>18500</v>
      </c>
      <c r="J8" s="30">
        <f>IF(Vendedor5!$E$17="",0,Vendedor5!$E$17)</f>
        <v>0</v>
      </c>
      <c r="L8" s="42">
        <f t="shared" ref="L8" si="4">C8+E8+G8+I8</f>
        <v>153000</v>
      </c>
      <c r="M8" s="41">
        <f>MROUND(L8*Vendedor5!J$12,50)</f>
        <v>18350</v>
      </c>
      <c r="N8" s="42">
        <f t="shared" ref="N8" si="5">D8+F8+H8+J8</f>
        <v>1350</v>
      </c>
      <c r="O8" s="41">
        <f t="shared" si="3"/>
        <v>114750</v>
      </c>
      <c r="P8" s="42">
        <f>Vendedor5!$F$5+Vendedor5!$F$9+Vendedor5!$F$13+Vendedor5!$F$17</f>
        <v>108000</v>
      </c>
      <c r="Q8">
        <v>17</v>
      </c>
      <c r="R8" s="41">
        <f t="shared" ref="R8" si="6">+L8-M8-O8</f>
        <v>19900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107000</v>
      </c>
      <c r="D10" s="30">
        <f>IF(Vendedor7!$E$5="",0,Vendedor7!$E$5)</f>
        <v>450</v>
      </c>
      <c r="E10" s="180">
        <f>IF(Vendedor7!$C$9="",0,Vendedor7!$C$9)</f>
        <v>89950</v>
      </c>
      <c r="F10" s="30">
        <f>IF(Vendedor7!$E$9="",0,Vendedor7!$E$9)</f>
        <v>0</v>
      </c>
      <c r="G10" s="180">
        <f>IF(Vendedor7!$C$13="",0,Vendedor7!$C$13)</f>
        <v>57850</v>
      </c>
      <c r="H10" s="30">
        <f>IF(Vendedor7!$E$13="",0,Vendedor7!$E$13)</f>
        <v>0</v>
      </c>
      <c r="I10" s="180">
        <f>IF(Vendedor7!$C$17="",0,Vendedor7!$C$17)</f>
        <v>103600</v>
      </c>
      <c r="J10" s="30">
        <f>IF(Vendedor7!$E$17="",0,Vendedor7!$E$17)</f>
        <v>400</v>
      </c>
      <c r="L10" s="42">
        <f t="shared" si="7"/>
        <v>358400</v>
      </c>
      <c r="M10" s="41">
        <f>MROUND(L10*Vendedor7!J$15,50)</f>
        <v>43000</v>
      </c>
      <c r="N10" s="42">
        <f t="shared" ref="N10:N27" si="9">D10+F10+H10+J10</f>
        <v>850</v>
      </c>
      <c r="O10" s="41">
        <f t="shared" si="3"/>
        <v>72250</v>
      </c>
      <c r="P10" s="42">
        <f>Vendedor7!$F$5+Vendedor7!$F$9+Vendedor7!$F$13+Vendedor7!$F$17</f>
        <v>72250</v>
      </c>
      <c r="R10" s="41">
        <f t="shared" si="8"/>
        <v>243150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24000</v>
      </c>
      <c r="D12" s="30">
        <f>IF(Vendedor9!$E$5="",0,Vendedor9!$E$5)</f>
        <v>700</v>
      </c>
      <c r="E12" s="180">
        <f>IF(Vendedor9!$C$9="",0,Vendedor9!$C$9)</f>
        <v>10100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34100</v>
      </c>
      <c r="M12" s="41">
        <f>MROUND(L12*Vendedor9!J$12,50)</f>
        <v>4100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-29500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33250</v>
      </c>
      <c r="D13" s="30">
        <f>IF(Vendedor10!$E$5="",0,Vendedor10!$E$5)</f>
        <v>700</v>
      </c>
      <c r="E13" s="180">
        <f>IF(Vendedor10!$C$9="",0,Vendedor10!$C$9)</f>
        <v>36050</v>
      </c>
      <c r="F13" s="30">
        <f>IF(Vendedor10!$E$9="",0,Vendedor10!$E$9)</f>
        <v>0</v>
      </c>
      <c r="G13" s="180">
        <f>IF(Vendedor10!$C$13="",0,Vendedor10!$C$13)</f>
        <v>25050</v>
      </c>
      <c r="H13" s="30">
        <f>IF(Vendedor10!$E$13="",0,Vendedor10!$E$13)</f>
        <v>0</v>
      </c>
      <c r="I13" s="180">
        <f>IF(Vendedor10!$C$17="",0,Vendedor10!$C$17)</f>
        <v>5100</v>
      </c>
      <c r="J13" s="30">
        <f>IF(Vendedor10!$E$17="",0,Vendedor10!$E$17)</f>
        <v>1000</v>
      </c>
      <c r="L13" s="42">
        <f t="shared" si="7"/>
        <v>99450</v>
      </c>
      <c r="M13" s="41">
        <f>MROUND(L13*Vendedor10!J$10,50)</f>
        <v>11950</v>
      </c>
      <c r="N13" s="42">
        <f t="shared" si="9"/>
        <v>1700</v>
      </c>
      <c r="O13" s="41">
        <f t="shared" si="3"/>
        <v>144500</v>
      </c>
      <c r="P13" s="42">
        <f>Vendedor10!$F$5+Vendedor10!$F$9+Vendedor10!$F$13+Vendedor10!$F$17</f>
        <v>136000</v>
      </c>
      <c r="R13" s="41">
        <f t="shared" si="8"/>
        <v>-57000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5400</v>
      </c>
      <c r="D16" s="30">
        <f>IF(Vendedor13!$E$5="",0,Vendedor13!$E$5)</f>
        <v>0</v>
      </c>
      <c r="E16" s="180">
        <f>IF(Vendedor13!$C$9="",0,Vendedor13!$C$9)</f>
        <v>1000</v>
      </c>
      <c r="F16" s="30">
        <f>IF(Vendedor13!$E$9="",0,Vendedor13!$E$9)</f>
        <v>0</v>
      </c>
      <c r="G16" s="180">
        <f>IF(Vendedor13!$C$13="",0,Vendedor13!$C$13)</f>
        <v>300</v>
      </c>
      <c r="H16" s="30">
        <f>IF(Vendedor13!$E$13="",0,Vendedor13!$E$13)</f>
        <v>0</v>
      </c>
      <c r="I16" s="180">
        <f>IF(Vendedor13!$C$17="",0,Vendedor13!$C$17)</f>
        <v>19450</v>
      </c>
      <c r="J16" s="30">
        <f>IF(Vendedor13!$E$17="",0,Vendedor13!$E$17)</f>
        <v>0</v>
      </c>
      <c r="L16" s="42">
        <f t="shared" si="7"/>
        <v>26150</v>
      </c>
      <c r="M16" s="41">
        <f>MROUND(L16*Vendedor13!J$12,50)</f>
        <v>3150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23000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88800</v>
      </c>
      <c r="D17" s="30">
        <f>IF(Vendedor14!$E$5="",0,Vendedor14!$E$5)</f>
        <v>1500</v>
      </c>
      <c r="E17" s="180">
        <f>IF(Vendedor14!$C$9="",0,Vendedor14!$C$9)</f>
        <v>75800</v>
      </c>
      <c r="F17" s="30">
        <f>IF(Vendedor14!$E$9="",0,Vendedor14!$E$9)</f>
        <v>600</v>
      </c>
      <c r="G17" s="180">
        <f>IF(Vendedor14!$C$13="",0,Vendedor14!$C$13)</f>
        <v>62450</v>
      </c>
      <c r="H17" s="30">
        <f>IF(Vendedor14!$E$13="",0,Vendedor14!$E$13)</f>
        <v>400</v>
      </c>
      <c r="I17" s="180">
        <f>IF(Vendedor14!$C$17="",0,Vendedor14!$C$17)</f>
        <v>163150</v>
      </c>
      <c r="J17" s="30">
        <f>IF(Vendedor14!$E$17="",0,Vendedor14!$E$17)</f>
        <v>850</v>
      </c>
      <c r="L17" s="42">
        <f>C17+E17+G17+I17</f>
        <v>390200</v>
      </c>
      <c r="M17" s="41">
        <f>MROUND(L17*Vendedor14!J$16,50)</f>
        <v>46800</v>
      </c>
      <c r="N17" s="42">
        <f t="shared" si="9"/>
        <v>3350</v>
      </c>
      <c r="O17" s="41">
        <f t="shared" si="3"/>
        <v>284750</v>
      </c>
      <c r="P17" s="42">
        <f>Vendedor14!$F$5+Vendedor14!$F$9+Vendedor14!$F$13+Vendedor14!$F$17</f>
        <v>284750</v>
      </c>
      <c r="R17" s="41">
        <f t="shared" si="8"/>
        <v>58650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57900</v>
      </c>
      <c r="D18" s="30">
        <f>IF(Vendedor15!$E$5="",0,Vendedor15!$E$5)</f>
        <v>1050</v>
      </c>
      <c r="E18" s="180">
        <f>IF(Vendedor15!$C$9="",0,Vendedor15!$C$9)</f>
        <v>71650</v>
      </c>
      <c r="F18" s="30">
        <f>IF(Vendedor15!$E$9="",0,Vendedor15!$E$9)</f>
        <v>150</v>
      </c>
      <c r="G18" s="180">
        <f>IF(Vendedor15!$C$13="",0,Vendedor15!$C$13)</f>
        <v>61800</v>
      </c>
      <c r="H18" s="30">
        <f>IF(Vendedor15!$E$13="",0,Vendedor15!$E$13)</f>
        <v>0</v>
      </c>
      <c r="I18" s="180">
        <f>IF(Vendedor15!$C$17="",0,Vendedor15!$C$17)</f>
        <v>31950</v>
      </c>
      <c r="J18" s="30">
        <f>IF(Vendedor15!$E$17="",0,Vendedor15!$E$17)</f>
        <v>0</v>
      </c>
      <c r="L18" s="42">
        <f t="shared" ref="L18:L27" si="10">C18+E18+G18+I18</f>
        <v>223300</v>
      </c>
      <c r="M18" s="41">
        <f>MROUND(L18*Vendedor15!J$16,50)</f>
        <v>26800</v>
      </c>
      <c r="N18" s="42">
        <f t="shared" si="9"/>
        <v>1200</v>
      </c>
      <c r="O18" s="41">
        <f t="shared" si="3"/>
        <v>102000</v>
      </c>
      <c r="P18" s="42">
        <f>Vendedor15!$F$5+Vendedor15!$F$9+Vendedor15!$F$13+Vendedor15!$F$17</f>
        <v>102000</v>
      </c>
      <c r="R18" s="41">
        <f t="shared" si="8"/>
        <v>94500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455500</v>
      </c>
      <c r="D32" s="44">
        <f t="shared" si="14"/>
        <v>5050</v>
      </c>
      <c r="E32" s="43">
        <f t="shared" si="14"/>
        <v>401350</v>
      </c>
      <c r="F32" s="44">
        <f t="shared" si="14"/>
        <v>1200</v>
      </c>
      <c r="G32" s="43">
        <f t="shared" si="14"/>
        <v>245550</v>
      </c>
      <c r="H32" s="44">
        <f t="shared" si="14"/>
        <v>1150</v>
      </c>
      <c r="I32" s="43">
        <f t="shared" si="14"/>
        <v>348000</v>
      </c>
      <c r="J32" s="44">
        <f t="shared" si="14"/>
        <v>2250</v>
      </c>
      <c r="L32" s="45">
        <f>SUM(L4:L31)</f>
        <v>1450400</v>
      </c>
      <c r="M32" s="45">
        <f>SUM(M7:M31)</f>
        <v>154150</v>
      </c>
      <c r="N32" s="95">
        <f>SUM(N4:N31)</f>
        <v>9650</v>
      </c>
      <c r="O32" s="46">
        <f>SUM(O4:O31)</f>
        <v>820250</v>
      </c>
      <c r="P32" s="140">
        <f>SUM(P4:P31)</f>
        <v>802500</v>
      </c>
      <c r="R32" s="79">
        <f>SUM(R4:R31)</f>
        <v>454450</v>
      </c>
    </row>
    <row r="33" spans="3:15" x14ac:dyDescent="0.35">
      <c r="D33" s="120">
        <f>+D32*85</f>
        <v>429250</v>
      </c>
      <c r="F33" s="120">
        <f>+F32*85</f>
        <v>102000</v>
      </c>
      <c r="H33" s="120">
        <f>+H32*85</f>
        <v>97750</v>
      </c>
      <c r="J33" s="120">
        <f>+J32*85</f>
        <v>191250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1450400</v>
      </c>
      <c r="E36" s="43">
        <f>+D36-L4-L5-L6</f>
        <v>1284600</v>
      </c>
    </row>
    <row r="37" spans="3:15" x14ac:dyDescent="0.35">
      <c r="C37" s="47" t="s">
        <v>33</v>
      </c>
      <c r="D37" s="48">
        <f>D36*13%</f>
        <v>188552</v>
      </c>
      <c r="E37">
        <f>+D37-M4-M5-M6</f>
        <v>167002</v>
      </c>
    </row>
    <row r="38" spans="3:15" x14ac:dyDescent="0.35">
      <c r="C38" s="47" t="s">
        <v>30</v>
      </c>
      <c r="D38" s="30">
        <f>SUM(O4:O27)</f>
        <v>820250</v>
      </c>
      <c r="G38" s="100"/>
    </row>
    <row r="39" spans="3:15" ht="15" thickBot="1" x14ac:dyDescent="0.4">
      <c r="C39" s="49" t="s">
        <v>4</v>
      </c>
      <c r="D39" s="80">
        <f>+D36-D37-D38</f>
        <v>441598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441598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51 Blanca</v>
      </c>
      <c r="D2" s="268"/>
      <c r="E2" s="267" t="str">
        <f>IF(E33=0,"",CONCATENATE(PREMIOS!$B11," ",PREMIOS!$B12))</f>
        <v>29 Roja</v>
      </c>
      <c r="F2" s="268"/>
      <c r="G2" s="267" t="str">
        <f>IF(G33=0,"",CONCATENATE(PREMIOS!$B15," ",PREMIOS!$B16))</f>
        <v>10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29350</v>
      </c>
      <c r="D10" s="30">
        <f>IF(Vendedor7!$E$8="",0,Vendedor7!$E$8)</f>
        <v>0</v>
      </c>
      <c r="E10" s="180">
        <f>IF(Vendedor7!$C$12="",0,Vendedor7!$C$12)</f>
        <v>25350</v>
      </c>
      <c r="F10" s="30">
        <f>IF(Vendedor7!$E$12="",0,Vendedor7!$E$12)</f>
        <v>250</v>
      </c>
      <c r="G10" s="180">
        <f>IF(Vendedor7!$C$16="",0,Vendedor7!$C$16)</f>
        <v>37550</v>
      </c>
      <c r="H10" s="30">
        <f>IF(Vendedor7!$E$16="",0,Vendedor7!$E$16)</f>
        <v>0</v>
      </c>
      <c r="J10" s="42">
        <f t="shared" si="1"/>
        <v>92250</v>
      </c>
      <c r="K10" s="41">
        <f>J10*Vendedor7!J$16</f>
        <v>9225</v>
      </c>
      <c r="L10" s="42">
        <f t="shared" si="2"/>
        <v>250</v>
      </c>
      <c r="M10" s="42">
        <f t="shared" si="3"/>
        <v>250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33025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24500</v>
      </c>
      <c r="D17" s="30">
        <f>IF(Vendedor14!$E$8="",0,Vendedor14!$E$8)</f>
        <v>0</v>
      </c>
      <c r="E17" s="180">
        <f>IF(Vendedor14!$C$12="",0,Vendedor14!$C$12)</f>
        <v>13900</v>
      </c>
      <c r="F17" s="30">
        <f>IF(Vendedor14!$E$12="",0,Vendedor14!$E$12)</f>
        <v>250</v>
      </c>
      <c r="G17" s="180">
        <f>IF(Vendedor14!$C$16="",0,Vendedor14!$C$16)</f>
        <v>22850</v>
      </c>
      <c r="H17" s="30">
        <f>IF(Vendedor14!$E$16="",0,Vendedor14!$E$16)</f>
        <v>850</v>
      </c>
      <c r="J17" s="42">
        <f t="shared" si="1"/>
        <v>61250</v>
      </c>
      <c r="K17" s="41">
        <f>J17*Vendedor14!J$17</f>
        <v>6125</v>
      </c>
      <c r="L17" s="42">
        <f t="shared" si="2"/>
        <v>1100</v>
      </c>
      <c r="M17" s="42">
        <f t="shared" si="3"/>
        <v>1100</v>
      </c>
      <c r="N17" s="42">
        <f t="shared" si="0"/>
        <v>242000</v>
      </c>
      <c r="O17" s="42">
        <f>Vendedor14!$F$8+Vendedor14!$F$12+Vendedor14!$F$16</f>
        <v>220000</v>
      </c>
      <c r="Q17" s="42">
        <f t="shared" si="4"/>
        <v>-164875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18600</v>
      </c>
      <c r="D18" s="30">
        <f>IF(Vendedor15!$E$8="",0,Vendedor15!$E$8)</f>
        <v>0</v>
      </c>
      <c r="E18" s="180">
        <f>IF(Vendedor15!$C$12="",0,Vendedor15!$C$12)</f>
        <v>18700</v>
      </c>
      <c r="F18" s="30">
        <f>IF(Vendedor15!$E$12="",0,Vendedor15!$E$12)</f>
        <v>0</v>
      </c>
      <c r="G18" s="180">
        <f>IF(Vendedor15!$C$16="",0,Vendedor15!$C$16)</f>
        <v>16250</v>
      </c>
      <c r="H18" s="30">
        <f>IF(Vendedor15!$E$16="",0,Vendedor15!$E$16)</f>
        <v>500</v>
      </c>
      <c r="J18" s="42">
        <f t="shared" ref="J18" si="5">+C18+E18+G18</f>
        <v>53550</v>
      </c>
      <c r="K18" s="41">
        <f>J18*Vendedor15!J$17</f>
        <v>5355</v>
      </c>
      <c r="L18" s="42">
        <f t="shared" si="2"/>
        <v>500</v>
      </c>
      <c r="M18" s="42">
        <f t="shared" si="3"/>
        <v>500</v>
      </c>
      <c r="N18" s="42">
        <f t="shared" si="0"/>
        <v>110000</v>
      </c>
      <c r="O18" s="42">
        <f>Vendedor15!$F$8+Vendedor15!$F$12+Vendedor15!$F$16</f>
        <v>100000</v>
      </c>
      <c r="Q18" s="42">
        <f t="shared" si="4"/>
        <v>-51805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74450</v>
      </c>
      <c r="D33" s="44">
        <f>IF(PREMIOS!E8&lt;&gt;0,SUM(D4:D32),0)</f>
        <v>0</v>
      </c>
      <c r="E33" s="43">
        <f>SUM(E4:E32)</f>
        <v>57950</v>
      </c>
      <c r="F33" s="44">
        <f>IF(PREMIOS!E12&lt;&gt;0,SUM(F4:F32),0)</f>
        <v>500</v>
      </c>
      <c r="G33" s="43">
        <f>SUM(G4:G32)</f>
        <v>76650</v>
      </c>
      <c r="H33" s="44">
        <f>IF(PREMIOS!E16&lt;&gt;0,SUM(H4:H32),0)</f>
        <v>1350</v>
      </c>
      <c r="J33" s="45">
        <f>SUM(J4:J32)</f>
        <v>209050</v>
      </c>
      <c r="K33" s="45">
        <f>SUM(K7:K32)</f>
        <v>20905</v>
      </c>
      <c r="L33" s="95">
        <f>SUM(L7:L32)</f>
        <v>1850</v>
      </c>
      <c r="M33" s="95">
        <f>SUM(M7:M32)</f>
        <v>1850</v>
      </c>
      <c r="N33" s="95">
        <f>SUM(N4:N27)</f>
        <v>407000</v>
      </c>
      <c r="O33" s="95">
        <f>SUM(O4:O27)</f>
        <v>370000</v>
      </c>
      <c r="Q33" s="79">
        <f>SUM(Q4:Q32)</f>
        <v>-181855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110000</v>
      </c>
      <c r="H34" s="118">
        <f>IF(PREMIOS!$D16=PREMIOS!$J$10,H33*$G$38,IF(PREMIOS!$D16=PREMIOS!$J$11,H33*$F$38,IF(PREMIOS!$D16=PREMIOS!$J$12,0,"")))</f>
        <v>297000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209050</v>
      </c>
      <c r="E37" s="43">
        <f>+D37-J4-J5-J6</f>
        <v>209050</v>
      </c>
      <c r="F37" s="275"/>
      <c r="G37" s="275"/>
    </row>
    <row r="38" spans="3:17" ht="15" thickBot="1" x14ac:dyDescent="0.4">
      <c r="C38" s="47" t="s">
        <v>33</v>
      </c>
      <c r="D38" s="30">
        <f>D37*10%</f>
        <v>20905</v>
      </c>
      <c r="E38" s="43">
        <f>+D38-K4-K5-K6</f>
        <v>20905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407000</v>
      </c>
    </row>
    <row r="40" spans="3:17" ht="15" thickBot="1" x14ac:dyDescent="0.4">
      <c r="C40" s="49" t="s">
        <v>4</v>
      </c>
      <c r="D40" s="80">
        <f>+D37-D38-D39</f>
        <v>-218855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-218855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54</v>
      </c>
      <c r="D2" s="268"/>
      <c r="E2" s="267">
        <f>DigitaPRIMERA!E2</f>
        <v>37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15200</v>
      </c>
      <c r="D4" s="78">
        <f>IF(Vendedor1!$E$19="",0,Vendedor1!$E$19)</f>
        <v>200</v>
      </c>
      <c r="E4" s="189">
        <f>IF(Vendedor1!$C$20="",0,Vendedor1!$C$20)</f>
        <v>2450</v>
      </c>
      <c r="F4" s="78">
        <f>IF(Vendedor1!$E$20="",0,Vendedor1!$E$20)</f>
        <v>0</v>
      </c>
      <c r="H4" s="42">
        <f>+C4+E4</f>
        <v>17650</v>
      </c>
      <c r="I4" s="41">
        <f>MROUND(H4*Vendedor1!J$9,50)</f>
        <v>2300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-650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40950</v>
      </c>
      <c r="D8" s="30">
        <f>IF(Vendedor5!$E$19="",0,Vendedor5!$E$19)</f>
        <v>0</v>
      </c>
      <c r="E8" s="180">
        <f>IF(Vendedor5!$C$20="",0,Vendedor5!$C$20)</f>
        <v>11950</v>
      </c>
      <c r="F8" s="30">
        <f>IF(Vendedor5!$E$20="",0,Vendedor5!$E$20)</f>
        <v>0</v>
      </c>
      <c r="H8" s="133">
        <f t="shared" si="1"/>
        <v>52900</v>
      </c>
      <c r="I8" s="148">
        <f>MROUND(H8*Vendedor5!J$11,50)</f>
        <v>6350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46550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61850</v>
      </c>
      <c r="D10" s="30">
        <f>IF(Vendedor7!$E$19="",0,Vendedor7!$E$19)</f>
        <v>100</v>
      </c>
      <c r="E10" s="180">
        <f>IF(Vendedor7!$C$20="",0,Vendedor7!$C$20)</f>
        <v>17800</v>
      </c>
      <c r="F10" s="30">
        <f>IF(Vendedor7!$E$20="",0,Vendedor7!$E$20)</f>
        <v>0</v>
      </c>
      <c r="H10" s="42">
        <f t="shared" si="1"/>
        <v>79650</v>
      </c>
      <c r="I10" s="41">
        <f>MROUND(H10*Vendedor7!J$14,50)</f>
        <v>9550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61600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45300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45300</v>
      </c>
      <c r="I12" s="148">
        <f>MROUND(H12*Vendedor9!J$11,50)</f>
        <v>5450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5850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68900</v>
      </c>
      <c r="D17" s="30">
        <f>IF(Vendedor14!$E$19="",0,Vendedor14!$E$19)</f>
        <v>400</v>
      </c>
      <c r="E17" s="180">
        <f>IF(Vendedor14!$C$20="",0,Vendedor14!$C$20)</f>
        <v>28700</v>
      </c>
      <c r="F17" s="30">
        <f>IF(Vendedor14!$E$20="",0,Vendedor14!$E$20)</f>
        <v>0</v>
      </c>
      <c r="H17" s="42">
        <f t="shared" si="1"/>
        <v>97600</v>
      </c>
      <c r="I17" s="41">
        <f>MROUND(H17*Vendedor14!J$15,50)</f>
        <v>11700</v>
      </c>
      <c r="J17" s="42">
        <f t="shared" si="2"/>
        <v>400</v>
      </c>
      <c r="K17" s="42">
        <f t="shared" si="3"/>
        <v>34000</v>
      </c>
      <c r="L17" s="42">
        <f>Vendedor14!$F$19+Vendedor14!$F$20</f>
        <v>34000</v>
      </c>
      <c r="N17" s="42">
        <f t="shared" si="0"/>
        <v>51900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48900</v>
      </c>
      <c r="D18" s="30">
        <f>IF(Vendedor15!$E$19="",0,Vendedor15!$E$19)</f>
        <v>150</v>
      </c>
      <c r="E18" s="180">
        <f>IF(Vendedor15!$C$20="",0,Vendedor15!$C$20)</f>
        <v>46500</v>
      </c>
      <c r="F18" s="30">
        <f>IF(Vendedor15!$E$20="",0,Vendedor15!$E$20)</f>
        <v>1300</v>
      </c>
      <c r="H18" s="42">
        <f t="shared" si="1"/>
        <v>95400</v>
      </c>
      <c r="I18" s="41">
        <f>MROUND(H18*Vendedor15!J$15,50)</f>
        <v>11450</v>
      </c>
      <c r="J18" s="42">
        <f t="shared" si="2"/>
        <v>1450</v>
      </c>
      <c r="K18" s="42">
        <f t="shared" si="3"/>
        <v>123250</v>
      </c>
      <c r="L18" s="42">
        <f>Vendedor15!$F$19+Vendedor15!$F$20</f>
        <v>123250</v>
      </c>
      <c r="N18" s="42">
        <f t="shared" si="0"/>
        <v>-39300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282500</v>
      </c>
      <c r="D32" s="44">
        <f>SUM(D4:D31)</f>
        <v>1250</v>
      </c>
      <c r="E32" s="43">
        <f>SUM(E4:E31)</f>
        <v>107400</v>
      </c>
      <c r="F32" s="44">
        <f>SUM(F4:F31)</f>
        <v>1300</v>
      </c>
      <c r="H32" s="95">
        <f>SUM(H4:H31)</f>
        <v>389900</v>
      </c>
      <c r="I32" s="45">
        <f>SUM(I7:I31)</f>
        <v>44500</v>
      </c>
      <c r="J32" s="95"/>
      <c r="K32" s="95">
        <f>SUM(K4:K31)</f>
        <v>216750</v>
      </c>
      <c r="L32" s="95">
        <f>SUM(L4:L31)</f>
        <v>215750</v>
      </c>
      <c r="N32" s="79">
        <f>SUM(N4:N31)</f>
        <v>127150</v>
      </c>
    </row>
    <row r="33" spans="3:6" x14ac:dyDescent="0.35">
      <c r="D33" s="99">
        <f>+D32*85</f>
        <v>106250</v>
      </c>
      <c r="F33" s="99">
        <f>+F32*85</f>
        <v>110500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389900</v>
      </c>
      <c r="E36" s="43">
        <f>+D36-H4-H5-H6</f>
        <v>370850</v>
      </c>
    </row>
    <row r="37" spans="3:6" x14ac:dyDescent="0.35">
      <c r="C37" s="47" t="s">
        <v>33</v>
      </c>
      <c r="D37" s="48">
        <f>D36*13%</f>
        <v>50687</v>
      </c>
      <c r="E37">
        <f>+D37-I4-I5-I6</f>
        <v>48187</v>
      </c>
    </row>
    <row r="38" spans="3:6" ht="15" thickBot="1" x14ac:dyDescent="0.4">
      <c r="C38" s="47" t="s">
        <v>30</v>
      </c>
      <c r="D38" s="30">
        <f>SUM(K4:K27)</f>
        <v>216750</v>
      </c>
    </row>
    <row r="39" spans="3:6" ht="15" thickBot="1" x14ac:dyDescent="0.4">
      <c r="C39" s="49" t="s">
        <v>4</v>
      </c>
      <c r="D39" s="80">
        <f>+D36-D37-D38</f>
        <v>122463</v>
      </c>
      <c r="F39" s="98">
        <f>+N32-D39</f>
        <v>4687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122463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63</v>
      </c>
      <c r="D2" s="268"/>
      <c r="E2" s="267">
        <f>DigitaHONDURAS!E2</f>
        <v>11</v>
      </c>
      <c r="F2" s="268"/>
      <c r="G2" s="267">
        <f>DigitaHONDURAS!G2</f>
        <v>47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12200</v>
      </c>
      <c r="D10" s="30">
        <f>IF(Vendedor7!$E$21="",0,Vendedor7!$E$21)</f>
        <v>0</v>
      </c>
      <c r="E10" s="180">
        <f>IF(Vendedor7!$C$22="",0,Vendedor7!$C$22)</f>
        <v>4700</v>
      </c>
      <c r="F10" s="30">
        <f>IF(Vendedor7!$E$22="",0,Vendedor7!$E$22)</f>
        <v>0</v>
      </c>
      <c r="G10" s="180">
        <f>IF(Vendedor7!$C$23="",0,Vendedor7!$C$23)</f>
        <v>31300</v>
      </c>
      <c r="H10" s="30">
        <f>IF(Vendedor7!$E$23="",0,Vendedor7!$E$23)</f>
        <v>0</v>
      </c>
      <c r="J10" s="42">
        <f t="shared" si="0"/>
        <v>48200</v>
      </c>
      <c r="K10" s="41">
        <f>MROUND(J10*Vendedor7!J$14,50)</f>
        <v>5800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42400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35000</v>
      </c>
      <c r="D17" s="30">
        <f>IF(Vendedor14!$E$21="",0,Vendedor14!$E$21)</f>
        <v>0</v>
      </c>
      <c r="E17" s="180">
        <f>IF(Vendedor14!$C$22="",0,Vendedor14!$C$22)</f>
        <v>9300</v>
      </c>
      <c r="F17" s="30">
        <f>IF(Vendedor14!$E$22="",0,Vendedor14!$E$22)</f>
        <v>0</v>
      </c>
      <c r="G17" s="180">
        <f>IF(Vendedor14!$C$23="",0,Vendedor14!$C$23)</f>
        <v>30000</v>
      </c>
      <c r="H17" s="30">
        <f>IF(Vendedor14!$E$23="",0,Vendedor14!$E$23)</f>
        <v>0</v>
      </c>
      <c r="J17" s="42">
        <f t="shared" si="0"/>
        <v>74300</v>
      </c>
      <c r="K17" s="41">
        <f>MROUND(J17*Vendedor14!J$15,50)</f>
        <v>8900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65400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19400</v>
      </c>
      <c r="D18" s="30">
        <f>IF(Vendedor15!$E$21="",0,Vendedor15!$E$21)</f>
        <v>0</v>
      </c>
      <c r="E18" s="180">
        <f>IF(Vendedor15!$C$22="",0,Vendedor15!$C$22)</f>
        <v>5000</v>
      </c>
      <c r="F18" s="30">
        <f>IF(Vendedor15!$E$22="",0,Vendedor15!$E$22)</f>
        <v>0</v>
      </c>
      <c r="G18" s="180">
        <f>IF(Vendedor15!$C$23="",0,Vendedor15!$C$23)</f>
        <v>5000</v>
      </c>
      <c r="H18" s="30">
        <f>IF(Vendedor15!$E$23="",0,Vendedor15!$E$23)</f>
        <v>0</v>
      </c>
      <c r="J18" s="42">
        <f t="shared" si="0"/>
        <v>29400</v>
      </c>
      <c r="K18" s="41">
        <f>MROUND(J18*Vendedor15!J$15,50)</f>
        <v>3550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25850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-31300</v>
      </c>
      <c r="H27" s="50">
        <f>IF(Vendedor24!$E$23="",0,Vendedor24!$E$23)</f>
        <v>0</v>
      </c>
      <c r="J27" s="42">
        <f t="shared" si="0"/>
        <v>-31300</v>
      </c>
      <c r="K27" s="41">
        <f>IF(J27*Vendedor24!J$9&gt;0,MROUND(J27*Vendedor24!J$9,50),MROUND(J27*Vendedor24!J$9,-50))</f>
        <v>-3750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-27550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66600</v>
      </c>
      <c r="D32" s="44">
        <f t="shared" si="8"/>
        <v>0</v>
      </c>
      <c r="E32" s="43">
        <f t="shared" si="8"/>
        <v>19000</v>
      </c>
      <c r="F32" s="44">
        <f t="shared" si="8"/>
        <v>0</v>
      </c>
      <c r="G32" s="43">
        <f t="shared" si="8"/>
        <v>35000</v>
      </c>
      <c r="H32" s="44">
        <f t="shared" si="8"/>
        <v>0</v>
      </c>
      <c r="J32" s="95">
        <f>SUM(J4:J31)</f>
        <v>120600</v>
      </c>
      <c r="K32" s="45">
        <f>SUM(K7:K31)</f>
        <v>14500</v>
      </c>
      <c r="L32" s="95"/>
      <c r="M32" s="95">
        <f>SUM(M4:M31)</f>
        <v>0</v>
      </c>
      <c r="N32" s="95">
        <f>SUM(N4:N31)</f>
        <v>0</v>
      </c>
      <c r="P32" s="79">
        <f>SUM(P4:P31)</f>
        <v>106100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120600</v>
      </c>
      <c r="E36" s="43">
        <f>+D36-J4-J5-J6</f>
        <v>120600</v>
      </c>
    </row>
    <row r="37" spans="3:8" x14ac:dyDescent="0.35">
      <c r="C37" s="47" t="s">
        <v>33</v>
      </c>
      <c r="D37" s="48">
        <f>D36*13%</f>
        <v>15678</v>
      </c>
      <c r="E37">
        <f>+D37-K4-K5-K6</f>
        <v>15678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104922</v>
      </c>
      <c r="F39" s="98">
        <f>+P32-D39</f>
        <v>1178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104922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73</v>
      </c>
      <c r="D2" s="268"/>
      <c r="E2" s="267">
        <f>DigitaDOMINICANA!E2</f>
        <v>38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32500</v>
      </c>
      <c r="D10" s="30">
        <f>IF(Vendedor7!$E$24="",0,Vendedor7!$E$24)</f>
        <v>0</v>
      </c>
      <c r="E10" s="180">
        <f>IF(Vendedor7!$C$25="",0,Vendedor7!$C$25)</f>
        <v>40500</v>
      </c>
      <c r="F10" s="30">
        <f>IF(Vendedor7!$E$25="",0,Vendedor7!$E$25)</f>
        <v>0</v>
      </c>
      <c r="H10" s="42">
        <f t="shared" si="1"/>
        <v>73000</v>
      </c>
      <c r="I10" s="41">
        <f>MROUND(H10*Vendedor7!J$14,50)</f>
        <v>8750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64250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32500</v>
      </c>
      <c r="D32" s="44">
        <f>SUM(D4:D31)</f>
        <v>0</v>
      </c>
      <c r="E32" s="43">
        <f>SUM(E4:E31)</f>
        <v>40500</v>
      </c>
      <c r="F32" s="44">
        <f>SUM(F4:F31)</f>
        <v>0</v>
      </c>
      <c r="H32" s="95">
        <f>SUM(H4:H31)</f>
        <v>73000</v>
      </c>
      <c r="I32" s="45">
        <f>SUM(I7:I31)</f>
        <v>8750</v>
      </c>
      <c r="J32" s="95"/>
      <c r="K32" s="95">
        <f>SUM(K4:K31)</f>
        <v>0</v>
      </c>
      <c r="L32" s="95">
        <f>SUM(L4:L31)</f>
        <v>0</v>
      </c>
      <c r="N32" s="79">
        <f>SUM(N4:N31)</f>
        <v>64250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73000</v>
      </c>
      <c r="E36" s="43">
        <f>+D36-H4-H5-H6</f>
        <v>73000</v>
      </c>
    </row>
    <row r="37" spans="3:6" x14ac:dyDescent="0.35">
      <c r="C37" s="47" t="s">
        <v>33</v>
      </c>
      <c r="D37" s="48">
        <f>D36*13%</f>
        <v>9490</v>
      </c>
      <c r="E37">
        <f>+D37-I4-I5-I6</f>
        <v>9490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63510</v>
      </c>
      <c r="F39" s="98">
        <f>+N32-D39</f>
        <v>740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63510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13-05-2026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1284600</v>
      </c>
      <c r="C4" s="157">
        <f>HojaNICA!M32</f>
        <v>154150</v>
      </c>
      <c r="D4" s="150">
        <f>HojaNICA!E37</f>
        <v>167002</v>
      </c>
      <c r="E4" s="150">
        <f>HojaNICA!P32</f>
        <v>802500</v>
      </c>
      <c r="F4" s="150">
        <f>HojaNICA!O32</f>
        <v>820250</v>
      </c>
      <c r="G4" s="151">
        <f t="shared" ref="G4:G10" si="0">+D4-C4+F4-E4</f>
        <v>30602</v>
      </c>
      <c r="H4" s="21"/>
      <c r="I4" s="182"/>
    </row>
    <row r="5" spans="1:9" x14ac:dyDescent="0.35">
      <c r="A5" s="28" t="s">
        <v>19</v>
      </c>
      <c r="B5" s="156">
        <f>HojaTICA!$E$36</f>
        <v>1535550</v>
      </c>
      <c r="C5" s="157">
        <f>HojaTICA!K32</f>
        <v>186300</v>
      </c>
      <c r="D5" s="150">
        <f>HojaTICA!E37</f>
        <v>199624.5</v>
      </c>
      <c r="E5" s="150">
        <f>HojaTICA!N32</f>
        <v>2450250</v>
      </c>
      <c r="F5" s="150">
        <f>HojaTICA!D38</f>
        <v>2473500</v>
      </c>
      <c r="G5" s="151">
        <f t="shared" si="0"/>
        <v>36574.5</v>
      </c>
      <c r="H5" s="21"/>
      <c r="I5" s="182"/>
    </row>
    <row r="6" spans="1:9" x14ac:dyDescent="0.35">
      <c r="A6" s="28" t="s">
        <v>125</v>
      </c>
      <c r="B6" s="156">
        <f>HojaREVENTADO!$E$37</f>
        <v>209050</v>
      </c>
      <c r="C6" s="157">
        <f>HojaREVENTADO!K33</f>
        <v>20905</v>
      </c>
      <c r="D6" s="150">
        <f>HojaREVENTADO!E38</f>
        <v>20905</v>
      </c>
      <c r="E6" s="150">
        <f>HojaREVENTADO!O33</f>
        <v>370000</v>
      </c>
      <c r="F6" s="150">
        <f>HojaREVENTADO!N33</f>
        <v>407000</v>
      </c>
      <c r="G6" s="151">
        <f t="shared" si="0"/>
        <v>37000</v>
      </c>
      <c r="H6" s="21"/>
      <c r="I6" s="182"/>
    </row>
    <row r="7" spans="1:9" x14ac:dyDescent="0.35">
      <c r="A7" s="28" t="s">
        <v>96</v>
      </c>
      <c r="B7" s="156">
        <f>HojaPrimera!$E$36</f>
        <v>370850</v>
      </c>
      <c r="C7" s="157">
        <f>HojaPrimera!I32</f>
        <v>44500</v>
      </c>
      <c r="D7" s="150">
        <f>HojaPrimera!E37</f>
        <v>48187</v>
      </c>
      <c r="E7" s="150">
        <f>HojaPrimera!L32</f>
        <v>215750</v>
      </c>
      <c r="F7" s="150">
        <f>HojaPrimera!K32</f>
        <v>216750</v>
      </c>
      <c r="G7" s="151">
        <f t="shared" si="0"/>
        <v>4687</v>
      </c>
      <c r="H7" s="21"/>
      <c r="I7" s="21"/>
    </row>
    <row r="8" spans="1:9" x14ac:dyDescent="0.35">
      <c r="A8" s="28" t="s">
        <v>104</v>
      </c>
      <c r="B8" s="156">
        <f>HojaHonduras!$E$36</f>
        <v>120600</v>
      </c>
      <c r="C8" s="157">
        <f>HojaHonduras!K32</f>
        <v>14500</v>
      </c>
      <c r="D8" s="150">
        <f>HojaHonduras!E37</f>
        <v>15678</v>
      </c>
      <c r="E8" s="150">
        <f>HojaHonduras!N32</f>
        <v>0</v>
      </c>
      <c r="F8" s="150">
        <f>HojaHonduras!M32</f>
        <v>0</v>
      </c>
      <c r="G8" s="151">
        <f t="shared" si="0"/>
        <v>1178</v>
      </c>
      <c r="H8" s="21"/>
      <c r="I8" s="21"/>
    </row>
    <row r="9" spans="1:9" x14ac:dyDescent="0.35">
      <c r="A9" s="28" t="s">
        <v>20</v>
      </c>
      <c r="B9" s="156">
        <f>HojaDominicana!$E$36</f>
        <v>73000</v>
      </c>
      <c r="C9" s="157">
        <f>HojaDominicana!I32</f>
        <v>8750</v>
      </c>
      <c r="D9" s="150">
        <f>HojaDominicana!E37</f>
        <v>9490</v>
      </c>
      <c r="E9" s="150">
        <f>HojaDominicana!L32</f>
        <v>0</v>
      </c>
      <c r="F9" s="150">
        <f>HojaDominicana!K32</f>
        <v>0</v>
      </c>
      <c r="G9" s="151">
        <f t="shared" si="0"/>
        <v>740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3593650</v>
      </c>
      <c r="C11" s="175">
        <f>SUM(C4:C10)</f>
        <v>429105</v>
      </c>
      <c r="D11" s="175">
        <f t="shared" ref="D11:F11" si="1">SUM(D4:D10)</f>
        <v>460886.5</v>
      </c>
      <c r="E11" s="175">
        <f t="shared" si="1"/>
        <v>3838500</v>
      </c>
      <c r="F11" s="175">
        <f t="shared" si="1"/>
        <v>3917500</v>
      </c>
      <c r="G11" s="176">
        <f>SUM(G4:G10)</f>
        <v>110781.5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90781.5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318900</v>
      </c>
      <c r="E16" s="157">
        <f>+Vendedor1!D21</f>
        <v>41457</v>
      </c>
      <c r="F16" s="158">
        <f>IF(D16&lt;&gt;0,15000,0)</f>
        <v>15000</v>
      </c>
      <c r="G16" s="151">
        <f>+E16-F16</f>
        <v>26457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204050</v>
      </c>
      <c r="E17" s="157">
        <f>+Vendedor2!D21</f>
        <v>26526.5</v>
      </c>
      <c r="F17" s="158">
        <f>IF(D17&lt;&gt;0,15000,0)</f>
        <v>15000</v>
      </c>
      <c r="G17" s="151">
        <f>+E17-F17</f>
        <v>11526.5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522950</v>
      </c>
      <c r="E19" s="159">
        <f>SUM(E16:E18)</f>
        <v>67983.5</v>
      </c>
      <c r="F19" s="160">
        <f>SUM(F16:F18)</f>
        <v>30000</v>
      </c>
      <c r="G19" s="161">
        <f>SUM(G16:G18)</f>
        <v>37983.5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31300</v>
      </c>
      <c r="E22" s="157">
        <f>-Vendedor24!D27</f>
        <v>3756</v>
      </c>
      <c r="F22" s="158">
        <f>-Vendedor24!F27</f>
        <v>0</v>
      </c>
      <c r="G22" s="151">
        <f>+D22-E22-F22</f>
        <v>27544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156309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13-05-2026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1450400</v>
      </c>
      <c r="C5" s="150">
        <f>HojaNICA!D37</f>
        <v>188552</v>
      </c>
      <c r="D5" s="150">
        <f>HojaNICA!D38</f>
        <v>820250</v>
      </c>
      <c r="E5" s="150"/>
      <c r="F5" s="151">
        <f>+B5-C5-D5+E5</f>
        <v>441598</v>
      </c>
      <c r="H5" s="249" t="s">
        <v>105</v>
      </c>
      <c r="I5" s="243">
        <f ca="1">TODAY()-2</f>
        <v>46155</v>
      </c>
      <c r="O5" s="119"/>
    </row>
    <row r="6" spans="1:15" ht="15" thickBot="1" x14ac:dyDescent="0.4">
      <c r="A6" s="47" t="s">
        <v>36</v>
      </c>
      <c r="B6" s="150">
        <f>HojaTICA!D36</f>
        <v>1873650</v>
      </c>
      <c r="C6" s="150">
        <f>HojaTICA!D37</f>
        <v>243574.5</v>
      </c>
      <c r="D6" s="150">
        <f>HojaTICA!D38</f>
        <v>2473500</v>
      </c>
      <c r="E6" s="150"/>
      <c r="F6" s="151">
        <f t="shared" ref="F6:F11" si="0">+B6-C6-D6+E6</f>
        <v>-843424.5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209050</v>
      </c>
      <c r="C7" s="150">
        <f>HojaREVENTADO!D38</f>
        <v>20905</v>
      </c>
      <c r="D7" s="150">
        <f>HojaREVENTADO!D39</f>
        <v>407000</v>
      </c>
      <c r="E7" s="150"/>
      <c r="F7" s="151">
        <f t="shared" si="0"/>
        <v>-218855</v>
      </c>
    </row>
    <row r="8" spans="1:15" x14ac:dyDescent="0.35">
      <c r="A8" s="47" t="s">
        <v>96</v>
      </c>
      <c r="B8" s="150">
        <f>HojaPrimera!$D36</f>
        <v>389900</v>
      </c>
      <c r="C8" s="150">
        <f>HojaPrimera!$D37</f>
        <v>50687</v>
      </c>
      <c r="D8" s="150">
        <f>HojaPrimera!$D38</f>
        <v>216750</v>
      </c>
      <c r="E8" s="150"/>
      <c r="F8" s="151">
        <f t="shared" si="0"/>
        <v>122463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120600</v>
      </c>
      <c r="C9" s="150">
        <f>HojaHonduras!$D37</f>
        <v>15678</v>
      </c>
      <c r="D9" s="150">
        <f>HojaHonduras!$D38</f>
        <v>0</v>
      </c>
      <c r="E9" s="150"/>
      <c r="F9" s="151">
        <f t="shared" si="0"/>
        <v>104922</v>
      </c>
      <c r="H9" s="250">
        <f>+K12-K10-H6</f>
        <v>-329786.5</v>
      </c>
    </row>
    <row r="10" spans="1:15" ht="15" thickBot="1" x14ac:dyDescent="0.4">
      <c r="A10" s="47" t="s">
        <v>20</v>
      </c>
      <c r="B10" s="150">
        <f>HojaDominicana!$D36</f>
        <v>73000</v>
      </c>
      <c r="C10" s="150">
        <f>HojaDominicana!$D37</f>
        <v>9490</v>
      </c>
      <c r="D10" s="150">
        <f>HojaDominicana!$D38</f>
        <v>0</v>
      </c>
      <c r="E10" s="150"/>
      <c r="F10" s="151">
        <f t="shared" si="0"/>
        <v>63510</v>
      </c>
      <c r="H10" s="154"/>
      <c r="J10" t="s">
        <v>148</v>
      </c>
      <c r="K10" s="252">
        <v>6021194.4500000011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5691407.9500000011</v>
      </c>
    </row>
    <row r="12" spans="1:15" ht="16" thickBot="1" x14ac:dyDescent="0.4">
      <c r="A12" s="144" t="s">
        <v>5</v>
      </c>
      <c r="B12" s="152">
        <f>SUM(B5:B11)</f>
        <v>4116600</v>
      </c>
      <c r="C12" s="152">
        <f>SUM(C5:C11)</f>
        <v>528886.5</v>
      </c>
      <c r="D12" s="152">
        <f>SUM(D5:D11)</f>
        <v>3917500</v>
      </c>
      <c r="E12" s="152"/>
      <c r="F12" s="255">
        <f>SUM(F5:F11)</f>
        <v>-329786.5</v>
      </c>
      <c r="H12" s="251">
        <f>K12</f>
        <v>5691407.9500000011</v>
      </c>
      <c r="J12" t="s">
        <v>140</v>
      </c>
      <c r="K12" s="254">
        <f>-2682283.87+5158750.74+1816248.6+1398692.48</f>
        <v>5691407.9500000011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192250</v>
      </c>
      <c r="K4" s="231">
        <f t="shared" ref="K4" si="0">D7+D11+D15</f>
        <v>24992.5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IF(DigitaNICA!C4&lt;&gt;"",DigitaNICA!C4,"")</f>
        <v>40150</v>
      </c>
      <c r="D5" s="42">
        <f>IF(C5="",0,C5*J$10)</f>
        <v>5219.5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34930.5</v>
      </c>
      <c r="I5" s="241" t="s">
        <v>37</v>
      </c>
      <c r="J5" s="221">
        <f>SUM(IF(C5="",0,C5),IF(C9="",0,C9),IF(C13="",0,C13),IF(C17="",0,C17))</f>
        <v>109000</v>
      </c>
      <c r="K5" s="225">
        <f t="shared" ref="K5" si="2">D5+D9+D13+D17</f>
        <v>14170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17650</v>
      </c>
      <c r="K6" s="228">
        <f>D19+D20</f>
        <v>2294.5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IF(DigitaTICA!C4&lt;&gt;"",DigitaTICA!C4,"")</f>
        <v>73950</v>
      </c>
      <c r="D7" s="42">
        <f>IF(C7="",0,C7*J$9)</f>
        <v>9613.5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21836.5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IF(DigitaNICA!E4&lt;&gt;"",DigitaNICA!E4,"")</f>
        <v>39650</v>
      </c>
      <c r="D9" s="42">
        <f>IF(C9="",0,C9*J$10)</f>
        <v>5154.5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34495.5</v>
      </c>
      <c r="I9" s="76" t="s">
        <v>36</v>
      </c>
      <c r="J9" s="77">
        <v>0.13</v>
      </c>
      <c r="K9" s="78">
        <f>MROUND(D7+D11+D15,50)</f>
        <v>25000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14150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IF(DigitaTICA!E4&lt;&gt;"",DigitaTICA!E4,"")</f>
        <v>37000</v>
      </c>
      <c r="D11" s="42">
        <f>IF(C11="",0,C11*J$9)</f>
        <v>4810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10940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2300</v>
      </c>
    </row>
    <row r="13" spans="1:12" x14ac:dyDescent="0.35">
      <c r="A13" s="28" t="s">
        <v>50</v>
      </c>
      <c r="B13" s="132">
        <f>IF(DigitaNICA!G2&lt;&gt;"",DigitaNICA!G2,"")</f>
        <v>56</v>
      </c>
      <c r="C13" s="29">
        <f>IF(DigitaNICA!G4&lt;&gt;"",DigitaNICA!G4,"")</f>
        <v>26950</v>
      </c>
      <c r="D13" s="42">
        <f>IF(C13="",0,C13*J$10)</f>
        <v>3503.5</v>
      </c>
      <c r="E13" s="29">
        <f>IF(DigitaNICA!H4&lt;&gt;"",DigitaNICA!H4,"")</f>
        <v>500</v>
      </c>
      <c r="F13" s="42">
        <f>IF(E13="",0,E13*PREMIOS!E13)</f>
        <v>40000</v>
      </c>
      <c r="G13" s="30">
        <f>IF(OR(C13="",E13=""),0,C13-D13-F13)</f>
        <v>-16553.5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IF(DigitaTICA!G4&lt;&gt;"",DigitaTICA!G4,"")</f>
        <v>81300</v>
      </c>
      <c r="D15" s="42">
        <f>IF(C15="",0,C15*J$9)</f>
        <v>10569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-14269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IF(DigitaNICA!I4&lt;&gt;"",DigitaNICA!I4,"")</f>
        <v>2250</v>
      </c>
      <c r="D17" s="42">
        <f>IF(C17="",0,C17*J$10)</f>
        <v>292.5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1957.5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IF(DigitaPRIMERA!C4&lt;&gt;"",DigitaPRIMERA!C4,"")</f>
        <v>15200</v>
      </c>
      <c r="D19" s="42">
        <f>IF(C19="",0,C19*J$12)</f>
        <v>1976</v>
      </c>
      <c r="E19" s="29">
        <f>IF(DigitaPRIMERA!D4&lt;&gt;"",DigitaPRIMERA!D4,"")</f>
        <v>200</v>
      </c>
      <c r="F19" s="42">
        <f>IF(E19="",0,E19*PREMIOS!E19)</f>
        <v>16000</v>
      </c>
      <c r="G19" s="30">
        <f t="shared" ref="G19" si="4">IF(OR(C19="",E19=""),0,C19-D19-F19)</f>
        <v>-2776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>
        <f>IF(DigitaPRIMERA!E4&lt;&gt;"",DigitaPRIMERA!E4,"")</f>
        <v>2450</v>
      </c>
      <c r="D20" s="42">
        <f>IF(C20="",0,C20*J$12)</f>
        <v>318.5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2131.5</v>
      </c>
    </row>
    <row r="21" spans="1:7" ht="15" thickBot="1" x14ac:dyDescent="0.4">
      <c r="A21" s="121" t="s">
        <v>5</v>
      </c>
      <c r="B21" s="128"/>
      <c r="C21" s="122">
        <f>SUM(C5:C20)</f>
        <v>318900</v>
      </c>
      <c r="D21" s="122">
        <f t="shared" ref="D21:G21" si="6">SUM(D5:D20)</f>
        <v>41457</v>
      </c>
      <c r="E21" s="122">
        <f t="shared" si="6"/>
        <v>2450</v>
      </c>
      <c r="F21" s="122">
        <f t="shared" si="6"/>
        <v>204750</v>
      </c>
      <c r="G21" s="123">
        <f t="shared" si="6"/>
        <v>72693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145850</v>
      </c>
      <c r="K4" s="231">
        <f t="shared" ref="K4" si="0">D7+D11+D15</f>
        <v>18960.5</v>
      </c>
      <c r="L4" s="220">
        <f>F7+F11+F15</f>
        <v>255000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IF(DigitaNICA!C5&lt;&gt;"",DigitaNICA!C5,"")</f>
        <v>28350</v>
      </c>
      <c r="D5" s="42">
        <f>IF(C5="",0,C5*J$10)</f>
        <v>3685.5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24664.5</v>
      </c>
      <c r="I5" s="241" t="s">
        <v>37</v>
      </c>
      <c r="J5" s="221">
        <f>SUM(IF(C5="",0,C5),IF(C9="",0,C9),IF(C13="",0,C13),IF(C17="",0,C17))</f>
        <v>56800</v>
      </c>
      <c r="K5" s="225">
        <f t="shared" ref="K5" si="2">D5+D9+D13+D17</f>
        <v>7384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1400</v>
      </c>
      <c r="K6" s="228">
        <f>D19+D20</f>
        <v>182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IF(DigitaTICA!C5&lt;&gt;"",DigitaTICA!C5,"")</f>
        <v>44950</v>
      </c>
      <c r="D7" s="42">
        <f>IF(C7="",0,C7*J$9)</f>
        <v>5843.5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17856.5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IF(DigitaNICA!E5&lt;&gt;"",DigitaNICA!E5,"")</f>
        <v>19750</v>
      </c>
      <c r="D9" s="42">
        <f>IF(C9="",0,C9*J$10)</f>
        <v>2567.5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17182.5</v>
      </c>
      <c r="I9" s="60" t="s">
        <v>36</v>
      </c>
      <c r="J9" s="61">
        <v>0.13</v>
      </c>
      <c r="K9" s="62">
        <f>MROUND(D7+D11+D15,50)</f>
        <v>18950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7400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IF(DigitaTICA!E5&lt;&gt;"",DigitaTICA!E5,"")</f>
        <v>34850</v>
      </c>
      <c r="D11" s="42">
        <f>IF(C11="",0,C11*J$9)</f>
        <v>4530.5</v>
      </c>
      <c r="E11" s="29">
        <f>IF(DigitaTICA!F5&lt;&gt;"",DigitaTICA!F5,"")</f>
        <v>1000</v>
      </c>
      <c r="F11" s="42">
        <f>IF(E11="",0,E11*PREMIOS!F11)</f>
        <v>85000</v>
      </c>
      <c r="G11" s="30">
        <f t="shared" si="1"/>
        <v>-54680.5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>
        <f>IF(DigitaNICA!G2&lt;&gt;"",DigitaNICA!G2,"")</f>
        <v>56</v>
      </c>
      <c r="C13" s="29">
        <f>IF(DigitaNICA!G5&lt;&gt;"",DigitaNICA!G5,"")</f>
        <v>4700</v>
      </c>
      <c r="D13" s="42">
        <f>IF(C13="",0,C13*J$10)</f>
        <v>611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IF(DigitaTICA!G5&lt;&gt;"",DigitaTICA!G5,"")</f>
        <v>66050</v>
      </c>
      <c r="D15" s="42">
        <f>IF(C15="",0,C15*J$9)</f>
        <v>8586.5</v>
      </c>
      <c r="E15" s="29">
        <f>IF(DigitaTICA!H5&lt;&gt;"",DigitaTICA!H5,"")</f>
        <v>1750</v>
      </c>
      <c r="F15" s="42">
        <f>IF(E15="",0,E15*PREMIOS!F15)</f>
        <v>148750</v>
      </c>
      <c r="G15" s="30">
        <f t="shared" si="3"/>
        <v>-91286.5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IF(DigitaNICA!I5&lt;&gt;"",DigitaNICA!I5,"")</f>
        <v>4000</v>
      </c>
      <c r="D17" s="42">
        <f>IF(C17="",0,C17*J$10)</f>
        <v>520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IF(DigitaPRIMERA!C5&lt;&gt;"",DigitaPRIMERA!C5,"")</f>
        <v>1400</v>
      </c>
      <c r="D19" s="42">
        <f>IF(C19="",0,C19*J$12)</f>
        <v>182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1218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204050</v>
      </c>
      <c r="D21" s="68">
        <f t="shared" ref="D21:G21" si="4">SUM(D5:D20)</f>
        <v>26526.5</v>
      </c>
      <c r="E21" s="68">
        <f t="shared" si="4"/>
        <v>3000</v>
      </c>
      <c r="F21" s="68">
        <f t="shared" si="4"/>
        <v>255000</v>
      </c>
      <c r="G21" s="88">
        <f t="shared" si="4"/>
        <v>-77476.5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171800</v>
      </c>
      <c r="K4" s="231">
        <f t="shared" ref="K4" si="0">D7+D11+D15</f>
        <v>20616</v>
      </c>
      <c r="L4" s="220">
        <f>F7+F11+F15</f>
        <v>272000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IF(DigitaNICA!C8&lt;&gt;"",DigitaNICA!C8,"")</f>
        <v>70650</v>
      </c>
      <c r="D5" s="42">
        <f>IF(C5="",0,C5*J$12)</f>
        <v>8478</v>
      </c>
      <c r="E5" s="29">
        <f>IF(DigitaNICA!D8&lt;&gt;"",DigitaNICA!D8,"")</f>
        <v>650</v>
      </c>
      <c r="F5" s="42">
        <f>IF(E5="",0,E5*PREMIOS!E5)</f>
        <v>52000</v>
      </c>
      <c r="G5" s="30">
        <f t="shared" ref="G5:G12" si="1">IF(OR(C5="",E5=""),0,C5-D5-F5)</f>
        <v>10172</v>
      </c>
      <c r="I5" s="241" t="s">
        <v>37</v>
      </c>
      <c r="J5" s="221">
        <f>SUM(IF(C5="",0,C5),IF(C9="",0,C9),IF(C13="",0,C13),IF(C17="",0,C17))</f>
        <v>153000</v>
      </c>
      <c r="K5" s="225">
        <f t="shared" ref="K5" si="2">D5+D9+D13+D17</f>
        <v>18360</v>
      </c>
      <c r="L5" s="222">
        <f>F5+F9+F13+F17</f>
        <v>108000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IF(DigitaTICA!C8&lt;&gt;"",DigitaTICA!C8,"")</f>
        <v>66000</v>
      </c>
      <c r="D7" s="42">
        <f>IF(C7="",0,C7*J$11)</f>
        <v>7920</v>
      </c>
      <c r="E7" s="29">
        <f>IF(DigitaTICA!D8&lt;&gt;"",DigitaTICA!D8,"")</f>
        <v>450</v>
      </c>
      <c r="F7" s="42">
        <f>IF(E7="",0,E7*PREMIOS!F7)</f>
        <v>38250</v>
      </c>
      <c r="G7" s="30">
        <f t="shared" si="1"/>
        <v>19830</v>
      </c>
      <c r="I7" s="242" t="s">
        <v>96</v>
      </c>
      <c r="J7" s="224">
        <f>SUM(IF(C19="",0,C19),IF(C20="",0,C20))</f>
        <v>52900</v>
      </c>
      <c r="K7" s="228">
        <f>+D19+D20</f>
        <v>6348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>
        <f>IF(DigitaNICA!E8&lt;&gt;"",DigitaNICA!E8,"")</f>
        <v>57400</v>
      </c>
      <c r="D9" s="42">
        <f>IF(C9="",0,C9*J$12)</f>
        <v>6888</v>
      </c>
      <c r="E9" s="29">
        <f>IF(DigitaNICA!F8&lt;&gt;"",DigitaNICA!F8,"")</f>
        <v>450</v>
      </c>
      <c r="F9" s="42">
        <f>IF(E9="",0,E9*PREMIOS!E9)</f>
        <v>36000</v>
      </c>
      <c r="G9" s="30">
        <f t="shared" si="1"/>
        <v>14512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IF(DigitaTICA!E8&lt;&gt;"",DigitaTICA!E8,"")</f>
        <v>63900</v>
      </c>
      <c r="D11" s="42">
        <f>IF(C11="",0,C11*J$11)</f>
        <v>7668</v>
      </c>
      <c r="E11" s="29">
        <f>IF(DigitaTICA!F8&lt;&gt;"",DigitaTICA!F8,"")</f>
        <v>350</v>
      </c>
      <c r="F11" s="42">
        <f>IF(E11="",0,E11*PREMIOS!F11)</f>
        <v>29750</v>
      </c>
      <c r="G11" s="30">
        <f t="shared" si="1"/>
        <v>26482</v>
      </c>
      <c r="I11" s="60" t="s">
        <v>36</v>
      </c>
      <c r="J11" s="61">
        <v>0.12</v>
      </c>
      <c r="K11" s="62">
        <f>MROUND(D7+D11+D15,50)</f>
        <v>20600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18350</v>
      </c>
    </row>
    <row r="13" spans="1:12" x14ac:dyDescent="0.35">
      <c r="A13" s="28" t="s">
        <v>50</v>
      </c>
      <c r="B13" s="132">
        <f>IF(DigitaNICA!G2&lt;&gt;"",DigitaNICA!G2,"")</f>
        <v>56</v>
      </c>
      <c r="C13" s="29">
        <f>IF(DigitaNICA!G8&lt;&gt;"",DigitaNICA!G8,"")</f>
        <v>6450</v>
      </c>
      <c r="D13" s="42">
        <f>IF(C13="",0,C13*J$12)</f>
        <v>774</v>
      </c>
      <c r="E13" s="29">
        <f>IF(DigitaNICA!H8&lt;&gt;"",DigitaNICA!H8,"")</f>
        <v>250</v>
      </c>
      <c r="F13" s="42">
        <f>IF(E13="",0,E13*PREMIOS!E13)</f>
        <v>20000</v>
      </c>
      <c r="G13" s="30">
        <f>IF(OR(C13="",E13=""),0,C13-D13-F13)</f>
        <v>-14324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6350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IF(DigitaTICA!G8&lt;&gt;"",DigitaTICA!G8,"")</f>
        <v>41900</v>
      </c>
      <c r="D15" s="42">
        <f>IF(C15="",0,C15*J$11)</f>
        <v>5028</v>
      </c>
      <c r="E15" s="29">
        <f>IF(DigitaTICA!H8&lt;&gt;"",DigitaTICA!H8,"")</f>
        <v>2400</v>
      </c>
      <c r="F15" s="42">
        <f>IF(E15="",0,E15*PREMIOS!F15)</f>
        <v>204000</v>
      </c>
      <c r="G15" s="30">
        <f t="shared" si="4"/>
        <v>-167128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IF(DigitaNICA!I8&lt;&gt;"",DigitaNICA!I8,"")</f>
        <v>18500</v>
      </c>
      <c r="D17" s="42">
        <f>IF(C17="",0,C17*J$12)</f>
        <v>2220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16280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IF(DigitaPRIMERA!C8&lt;&gt;"",DigitaPRIMERA!C8,"")</f>
        <v>40950</v>
      </c>
      <c r="D19" s="42">
        <f>IF(C19="",0,C19*J$14)</f>
        <v>4914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36036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>
        <f>IF(DigitaPRIMERA!E8&lt;&gt;"",DigitaPRIMERA!E8,"")</f>
        <v>11950</v>
      </c>
      <c r="D20" s="42">
        <f>IF(C20="",0,C20*J$14)</f>
        <v>1434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10516</v>
      </c>
    </row>
    <row r="21" spans="1:7" ht="15" thickBot="1" x14ac:dyDescent="0.4">
      <c r="A21" s="121" t="s">
        <v>5</v>
      </c>
      <c r="B21" s="128"/>
      <c r="C21" s="122">
        <f>SUM(C5:C20)</f>
        <v>377700</v>
      </c>
      <c r="D21" s="122">
        <f t="shared" ref="D21:G21" si="5">SUM(D5:D20)</f>
        <v>45324</v>
      </c>
      <c r="E21" s="122">
        <f t="shared" si="5"/>
        <v>4550</v>
      </c>
      <c r="F21" s="122">
        <f t="shared" si="5"/>
        <v>380000</v>
      </c>
      <c r="G21" s="123">
        <f t="shared" si="5"/>
        <v>-47624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469800</v>
      </c>
      <c r="K4" s="231">
        <f t="shared" ref="K4" si="0">D7+D11+D15</f>
        <v>56376</v>
      </c>
      <c r="L4" s="220">
        <f>F7+F11+F15</f>
        <v>293250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IF(DigitaNICA!C10&lt;&gt;"",DigitaNICA!C10,"")</f>
        <v>107000</v>
      </c>
      <c r="D5" s="42">
        <f>IF(C5="",0,C5*J$15)</f>
        <v>12840</v>
      </c>
      <c r="E5" s="29">
        <f>IF(DigitaNICA!D10&lt;&gt;"",DigitaNICA!D10,"")</f>
        <v>450</v>
      </c>
      <c r="F5" s="42">
        <f>IF(E5="",0,E5*PREMIOS!F5)</f>
        <v>38250</v>
      </c>
      <c r="G5" s="30">
        <f t="shared" ref="G5:G12" si="1">IF(OR(C5="",E5=""),0,C5-D5-F5)</f>
        <v>55910</v>
      </c>
      <c r="I5" s="217" t="s">
        <v>37</v>
      </c>
      <c r="J5" s="221">
        <f>SUM(IF(C5="",0,C5),IF(C9="",0,C9),IF(C13="",0,C13),IF(C17="",0,C17))</f>
        <v>358400</v>
      </c>
      <c r="K5" s="225">
        <f t="shared" ref="K5" si="2">D5+D9+D13+D17</f>
        <v>43008</v>
      </c>
      <c r="L5" s="222">
        <f>F5+F9+F13+F17</f>
        <v>72250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92250</v>
      </c>
      <c r="K6" s="226">
        <f t="shared" ref="K6" si="3">+D8+D12+D16</f>
        <v>9225</v>
      </c>
      <c r="L6" s="227">
        <f>F8+F12+F16</f>
        <v>50000</v>
      </c>
    </row>
    <row r="7" spans="1:12" x14ac:dyDescent="0.35">
      <c r="A7" s="28" t="s">
        <v>46</v>
      </c>
      <c r="B7" s="132">
        <f>IF(DigitaTICA!C2&lt;&gt;"",DigitaTICA!C2,"")</f>
        <v>51</v>
      </c>
      <c r="C7" s="29">
        <f>IF(DigitaTICA!C10&lt;&gt;"",DigitaTICA!C10,"")</f>
        <v>169700</v>
      </c>
      <c r="D7" s="42">
        <f>IF(C7="",0,C7*J$14)</f>
        <v>20364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132336</v>
      </c>
      <c r="I7" s="217" t="s">
        <v>96</v>
      </c>
      <c r="J7" s="223">
        <f>SUM(IF(C19="",0,C19),IF(C20="",0,C20))</f>
        <v>79650</v>
      </c>
      <c r="K7" s="226">
        <f>+D19+D20</f>
        <v>9558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29350</v>
      </c>
      <c r="D8" s="42">
        <f>IF(C8="",0,C8*J$16)</f>
        <v>2935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26415</v>
      </c>
      <c r="I8" s="217" t="s">
        <v>104</v>
      </c>
      <c r="J8" s="223">
        <f>SUM(IF(C21="",0,C21),IF(C22="",0,C22),IF(C23="",0,C23))</f>
        <v>48200</v>
      </c>
      <c r="K8" s="226">
        <f t="shared" ref="K8" si="4">D21+D22+D23</f>
        <v>5784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IF(DigitaNICA!E10&lt;&gt;"",DigitaNICA!E10,"")</f>
        <v>89950</v>
      </c>
      <c r="D9" s="42">
        <f>IF(C9="",0,C9*J$15)</f>
        <v>10794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79156</v>
      </c>
      <c r="I9" s="217" t="s">
        <v>20</v>
      </c>
      <c r="J9" s="223">
        <f>SUM(IF(C24="",0,C24),IF(C25="",0,C25))</f>
        <v>73000</v>
      </c>
      <c r="K9" s="226">
        <f t="shared" ref="K9" si="5">+D24+D25</f>
        <v>8760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IF(DigitaTICA!E10&lt;&gt;"",DigitaTICA!E10,"")</f>
        <v>131750</v>
      </c>
      <c r="D11" s="42">
        <f>IF(C11="",0,C11*J$14)</f>
        <v>15810</v>
      </c>
      <c r="E11" s="29">
        <f>IF(DigitaTICA!F10&lt;&gt;"",DigitaTICA!F10,"")</f>
        <v>350</v>
      </c>
      <c r="F11" s="42">
        <f>IF(E11="",0,E11*PREMIOS!F11)</f>
        <v>29750</v>
      </c>
      <c r="G11" s="30">
        <f t="shared" si="1"/>
        <v>86190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25350</v>
      </c>
      <c r="D12" s="42">
        <f>IF(C12="",0,C12*J$16)</f>
        <v>2535</v>
      </c>
      <c r="E12" s="29">
        <f>IF(DigitaREVENTADO!F10&lt;&gt;"",DigitaREVENTADO!F10,"")</f>
        <v>250</v>
      </c>
      <c r="F12" s="42">
        <f>IF(E12="",0,E12*PREMIOS!F12)</f>
        <v>50000</v>
      </c>
      <c r="G12" s="30">
        <f t="shared" si="1"/>
        <v>-27185</v>
      </c>
    </row>
    <row r="13" spans="1:12" ht="15" thickBot="1" x14ac:dyDescent="0.4">
      <c r="A13" s="28" t="s">
        <v>50</v>
      </c>
      <c r="B13" s="132">
        <f>IF(DigitaNICA!G2&lt;&gt;"",DigitaNICA!G2,"")</f>
        <v>56</v>
      </c>
      <c r="C13" s="29">
        <f>IF(DigitaNICA!G10&lt;&gt;"",DigitaNICA!G10,"")</f>
        <v>57850</v>
      </c>
      <c r="D13" s="42">
        <f>IF(C13="",0,C13*J$15)</f>
        <v>6942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50908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56400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IF(DigitaTICA!G10&lt;&gt;"",DigitaTICA!G10,"")</f>
        <v>168350</v>
      </c>
      <c r="D15" s="42">
        <f>IF(C15="",0,C15*J$14)</f>
        <v>20202</v>
      </c>
      <c r="E15" s="29">
        <f>IF(DigitaTICA!H10&lt;&gt;"",DigitaTICA!H10,"")</f>
        <v>2900</v>
      </c>
      <c r="F15" s="42">
        <f>IF(E15="",0,E15*PREMIOS!F15)</f>
        <v>246500</v>
      </c>
      <c r="G15" s="30">
        <f t="shared" si="6"/>
        <v>-98352</v>
      </c>
      <c r="I15" s="63" t="s">
        <v>37</v>
      </c>
      <c r="J15" s="64">
        <v>0.12</v>
      </c>
      <c r="K15" s="30">
        <f>MROUND(D5+D9+D13+D17,50)</f>
        <v>43000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37550</v>
      </c>
      <c r="D16" s="42">
        <f>IF(C16="",0,C16*J$16)</f>
        <v>3755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33795</v>
      </c>
      <c r="I16" s="63" t="s">
        <v>38</v>
      </c>
      <c r="J16" s="64">
        <v>0.1</v>
      </c>
      <c r="K16" s="30">
        <f>MROUND(D6+D8+D10+D12+D14+D16+D18,50)</f>
        <v>9250</v>
      </c>
    </row>
    <row r="17" spans="1:11" x14ac:dyDescent="0.35">
      <c r="A17" s="28" t="s">
        <v>52</v>
      </c>
      <c r="B17" s="132">
        <f>IF(DigitaNICA!I2&lt;&gt;"",DigitaNICA!I2,"")</f>
        <v>89</v>
      </c>
      <c r="C17" s="29">
        <f>IF(DigitaNICA!I10&lt;&gt;"",DigitaNICA!I10,"")</f>
        <v>103600</v>
      </c>
      <c r="D17" s="42">
        <f>IF(C17="",0,C17*J$15)</f>
        <v>12432</v>
      </c>
      <c r="E17" s="29">
        <f>IF(DigitaNICA!J10&lt;&gt;"",DigitaNICA!J10,"")</f>
        <v>400</v>
      </c>
      <c r="F17" s="42">
        <f>IF(E17="",0,E17*PREMIOS!F17)</f>
        <v>34000</v>
      </c>
      <c r="G17" s="30">
        <f t="shared" si="6"/>
        <v>57168</v>
      </c>
      <c r="I17" s="63" t="s">
        <v>96</v>
      </c>
      <c r="J17" s="64">
        <v>0.12</v>
      </c>
      <c r="K17" s="30">
        <f>MROUND(D19+D20,50)</f>
        <v>9550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5800</v>
      </c>
    </row>
    <row r="19" spans="1:11" x14ac:dyDescent="0.35">
      <c r="A19" s="28" t="s">
        <v>97</v>
      </c>
      <c r="B19" s="132">
        <f>IF(DigitaPRIMERA!C2&lt;&gt;"",DigitaPRIMERA!C2,"")</f>
        <v>54</v>
      </c>
      <c r="C19" s="29">
        <f>IF(DigitaPRIMERA!$C$10&lt;&gt;"",DigitaPRIMERA!$C$10,"")</f>
        <v>61850</v>
      </c>
      <c r="D19" s="42">
        <f>IF(C19="",0,C19*J$17)</f>
        <v>7422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45928</v>
      </c>
      <c r="I19" s="63" t="s">
        <v>20</v>
      </c>
      <c r="J19" s="64">
        <v>0.12</v>
      </c>
      <c r="K19" s="30">
        <f>MROUND(D24+D25,50)</f>
        <v>8750</v>
      </c>
    </row>
    <row r="20" spans="1:11" ht="15" thickBot="1" x14ac:dyDescent="0.4">
      <c r="A20" s="28" t="s">
        <v>98</v>
      </c>
      <c r="B20" s="132">
        <f>IF(DigitaPRIMERA!E2&lt;&gt;"",DigitaPRIMERA!E2,"")</f>
        <v>37</v>
      </c>
      <c r="C20" s="29">
        <f>IF(DigitaPRIMERA!$E$10&lt;&gt;"",DigitaPRIMERA!$E$10,"")</f>
        <v>17800</v>
      </c>
      <c r="D20" s="42">
        <f>IF(C20="",0,C20*J$17)</f>
        <v>2136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15664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63</v>
      </c>
      <c r="C21" s="29">
        <f>IF(DigitaHONDURAS!$C$10&lt;&gt;"",DigitaHONDURAS!$C$10,"")</f>
        <v>12200</v>
      </c>
      <c r="D21" s="42">
        <f>IF(C21="",0,C21*J$18)</f>
        <v>1464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10736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>
        <f>IF(DigitaHONDURAS!$E$10&lt;&gt;"",DigitaHONDURAS!$E$10,"")</f>
        <v>4700</v>
      </c>
      <c r="D22" s="42">
        <f>IF(C22="",0,C22*J$18)</f>
        <v>564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4136</v>
      </c>
    </row>
    <row r="23" spans="1:11" x14ac:dyDescent="0.35">
      <c r="A23" s="28" t="s">
        <v>101</v>
      </c>
      <c r="B23" s="132">
        <f>IF(DigitaHONDURAS!G2&lt;&gt;"",DigitaHONDURAS!G2,"")</f>
        <v>47</v>
      </c>
      <c r="C23" s="29">
        <f>IF(DigitaHONDURAS!$G$10&lt;&gt;"",DigitaHONDURAS!$G$10,"")</f>
        <v>31300</v>
      </c>
      <c r="D23" s="42">
        <f>IF(C23="",0,C23*J$18)</f>
        <v>3756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27544</v>
      </c>
    </row>
    <row r="24" spans="1:11" x14ac:dyDescent="0.35">
      <c r="A24" s="28" t="s">
        <v>107</v>
      </c>
      <c r="B24" s="132">
        <f>IF(DigitaDOMINICANA!C2&lt;&gt;"",DigitaDOMINICANA!C2,"")</f>
        <v>73</v>
      </c>
      <c r="C24" s="29">
        <f>IF(DigitaDOMINICANA!$C$10&lt;&gt;"",DigitaDOMINICANA!$C$10,"")</f>
        <v>32500</v>
      </c>
      <c r="D24" s="42">
        <f>IF(C24="",0,C24*J$19)</f>
        <v>3900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28600</v>
      </c>
    </row>
    <row r="25" spans="1:11" x14ac:dyDescent="0.35">
      <c r="A25" s="28" t="s">
        <v>108</v>
      </c>
      <c r="B25" s="132">
        <f>IF(DigitaDOMINICANA!E2&lt;&gt;"",DigitaDOMINICANA!E2,"")</f>
        <v>38</v>
      </c>
      <c r="C25" s="29">
        <f>IF(DigitaDOMINICANA!$E$10&lt;&gt;"",DigitaDOMINICANA!$E$10,"")</f>
        <v>40500</v>
      </c>
      <c r="D25" s="42">
        <f>IF(C25="",0,C25*J$19)</f>
        <v>4860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35640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1121300</v>
      </c>
      <c r="D27" s="68">
        <f t="shared" ref="D27:F27" si="9">SUM(D5:D26)</f>
        <v>132711</v>
      </c>
      <c r="E27" s="68">
        <f t="shared" si="9"/>
        <v>4650</v>
      </c>
      <c r="F27" s="68">
        <f t="shared" si="9"/>
        <v>424000</v>
      </c>
      <c r="G27" s="88">
        <f>SUM(G5:G26)</f>
        <v>564589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21200</v>
      </c>
      <c r="K4" s="231">
        <f t="shared" ref="K4" si="0">D7+D11+D15</f>
        <v>2544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2550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IF(DigitaTICA!G11&lt;&gt;"",DigitaTICA!G11,"")</f>
        <v>18200</v>
      </c>
      <c r="D15" s="42">
        <f>IF(C15="",0,C15*J$11)</f>
        <v>2184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16016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21200</v>
      </c>
      <c r="D21" s="122">
        <f t="shared" ref="D21:G21" si="5">SUM(D5:D20)</f>
        <v>2544</v>
      </c>
      <c r="E21" s="122">
        <f t="shared" si="5"/>
        <v>0</v>
      </c>
      <c r="F21" s="122">
        <f t="shared" si="5"/>
        <v>0</v>
      </c>
      <c r="G21" s="123">
        <f t="shared" si="5"/>
        <v>18656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32100</v>
      </c>
      <c r="K4" s="231">
        <f>D7+D11+D15</f>
        <v>3852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IF(DigitaNICA!C12&lt;&gt;"",DigitaNICA!C12,"")</f>
        <v>24000</v>
      </c>
      <c r="D5" s="42">
        <f>IF(C5="",0,C5*J$12)</f>
        <v>2880</v>
      </c>
      <c r="E5" s="29">
        <f>IF(DigitaNICA!D12&lt;&gt;"",DigitaNICA!D12,"")</f>
        <v>700</v>
      </c>
      <c r="F5" s="42">
        <f>IF(E5="",0,E5*PREMIOS!F5)</f>
        <v>59500</v>
      </c>
      <c r="G5" s="30">
        <f t="shared" ref="G5:G12" si="0">IF(OR(C5="",E5=""),0,C5-D5-F5)</f>
        <v>-38380</v>
      </c>
      <c r="I5" s="217" t="s">
        <v>37</v>
      </c>
      <c r="J5" s="221">
        <f>SUM(IF(C5="",0,C5),IF(C9="",0,C9),IF(C13="",0,C13),IF(C17="",0,C17))</f>
        <v>34100</v>
      </c>
      <c r="K5" s="225">
        <f t="shared" ref="K5" si="1">D5+D9+D13+D17</f>
        <v>4092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51</v>
      </c>
      <c r="C7" s="29">
        <f>IF(DigitaTICA!C12&lt;&gt;"",DigitaTICA!C12,"")</f>
        <v>14600</v>
      </c>
      <c r="D7" s="42">
        <f>IF(C7="",0,C7*J$11)</f>
        <v>1752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12848</v>
      </c>
      <c r="I7" s="217" t="s">
        <v>96</v>
      </c>
      <c r="J7" s="223">
        <f>SUM(IF(C19="",0,C19),IF(C20="",0,C20))</f>
        <v>45300</v>
      </c>
      <c r="K7" s="226">
        <f>+D19+D20</f>
        <v>5436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>
        <f>IF(DigitaNICA!E12&lt;&gt;"",DigitaNICA!E12,"")</f>
        <v>10100</v>
      </c>
      <c r="D9" s="42">
        <f>IF(C9="",0,C9*J$12)</f>
        <v>1212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8888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IF(DigitaTICA!E12&lt;&gt;"",DigitaTICA!E12,"")</f>
        <v>15100</v>
      </c>
      <c r="D11" s="42">
        <f>IF(C11="",0,C11*J$11)</f>
        <v>1812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-12212</v>
      </c>
      <c r="I11" s="60" t="s">
        <v>36</v>
      </c>
      <c r="J11" s="61">
        <v>0.12</v>
      </c>
      <c r="K11" s="62">
        <f>MROUND(D7+D11+D15,50)</f>
        <v>3850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4100</v>
      </c>
    </row>
    <row r="13" spans="1:12" x14ac:dyDescent="0.35">
      <c r="A13" s="28" t="s">
        <v>50</v>
      </c>
      <c r="B13" s="132">
        <f>IF(DigitaNICA!G2&lt;&gt;"",DigitaNICA!G2,"")</f>
        <v>56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5450</v>
      </c>
    </row>
    <row r="15" spans="1:12" ht="15" thickBot="1" x14ac:dyDescent="0.4">
      <c r="A15" s="28" t="s">
        <v>61</v>
      </c>
      <c r="B15" s="132">
        <f>IF(DigitaTICA!G2&lt;&gt;"",DigitaTICA!G2,"")</f>
        <v>10</v>
      </c>
      <c r="C15" s="29">
        <f>IF(DigitaTICA!G12&lt;&gt;"",DigitaTICA!G12,"")</f>
        <v>2400</v>
      </c>
      <c r="D15" s="42">
        <f>IF(C15="",0,C15*J$11)</f>
        <v>288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2112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IF(DigitaPRIMERA!$C$12&lt;&gt;"",DigitaPRIMERA!$C$12,"")</f>
        <v>45300</v>
      </c>
      <c r="D19" s="42">
        <f>IF(C19="",0,C19*J$14)</f>
        <v>5436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5864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111500</v>
      </c>
      <c r="D24" s="68">
        <f t="shared" ref="D24:G24" si="4">SUM(D5:D23)</f>
        <v>13380</v>
      </c>
      <c r="E24" s="68">
        <f t="shared" si="4"/>
        <v>1400</v>
      </c>
      <c r="F24" s="68">
        <f t="shared" si="4"/>
        <v>119000</v>
      </c>
      <c r="G24" s="88">
        <f t="shared" si="4"/>
        <v>-20880</v>
      </c>
    </row>
    <row r="27" spans="1:7" x14ac:dyDescent="0.35">
      <c r="G27" s="21">
        <v>396448</v>
      </c>
    </row>
    <row r="28" spans="1:7" x14ac:dyDescent="0.35">
      <c r="G28" s="141">
        <f>+G24+G27</f>
        <v>375568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138750</v>
      </c>
      <c r="K4" s="231">
        <f t="shared" ref="K4" si="0">D7+D11+D15</f>
        <v>16650</v>
      </c>
      <c r="L4" s="220">
        <f>F7+F11+F15</f>
        <v>259250</v>
      </c>
    </row>
    <row r="5" spans="1:12" ht="15" thickBot="1" x14ac:dyDescent="0.4">
      <c r="A5" s="28" t="s">
        <v>43</v>
      </c>
      <c r="B5" s="132">
        <f>IF(DigitaNICA!C2&lt;&gt;"",DigitaNICA!C2,"")</f>
        <v>50</v>
      </c>
      <c r="C5" s="29">
        <f>IF(DigitaNICA!C13&lt;&gt;"",DigitaNICA!C13,"")</f>
        <v>33250</v>
      </c>
      <c r="D5" s="42">
        <f>IF(C5="",0,C5*J$10)</f>
        <v>3990</v>
      </c>
      <c r="E5" s="29">
        <f>IF(DigitaNICA!D13&lt;&gt;"",DigitaNICA!D13,"")</f>
        <v>700</v>
      </c>
      <c r="F5" s="42">
        <f>IF(E5="",0,E5*PREMIOS!E5)</f>
        <v>56000</v>
      </c>
      <c r="G5" s="30">
        <f t="shared" ref="G5:G12" si="1">IF(OR(C5="",E5=""),0,C5-D5-F5)</f>
        <v>-26740</v>
      </c>
      <c r="I5" s="218" t="s">
        <v>37</v>
      </c>
      <c r="J5" s="232">
        <f>SUM(IF(C5="",0,C5),IF(C9="",0,C9),IF(C13="",0,C13),IF(C17="",0,C17))</f>
        <v>99450</v>
      </c>
      <c r="K5" s="233">
        <f t="shared" ref="K5" si="2">D5+D9+D13+D17</f>
        <v>11934</v>
      </c>
      <c r="L5" s="234">
        <f>F5+F9+F13+F17</f>
        <v>136000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IF(DigitaTICA!C13&lt;&gt;"",DigitaTICA!C13,"")</f>
        <v>51200</v>
      </c>
      <c r="D7" s="42">
        <f>IF(C7="",0,C7*J$9)</f>
        <v>6144</v>
      </c>
      <c r="E7" s="29">
        <f>IF(DigitaTICA!D13&lt;&gt;"",DigitaTICA!D13,"")</f>
        <v>250</v>
      </c>
      <c r="F7" s="133">
        <f>IF(E7="",0,E7*PREMIOS!F7)</f>
        <v>21250</v>
      </c>
      <c r="G7" s="30">
        <f t="shared" si="1"/>
        <v>23806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IF(DigitaNICA!E13&lt;&gt;"",DigitaNICA!E13,"")</f>
        <v>36050</v>
      </c>
      <c r="D9" s="42">
        <f>IF(C9="",0,C9*J$10)</f>
        <v>4326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31724</v>
      </c>
      <c r="I9" s="60" t="s">
        <v>36</v>
      </c>
      <c r="J9" s="61">
        <v>0.12</v>
      </c>
      <c r="K9" s="62">
        <f>MROUND(D7+D11+D15,50)</f>
        <v>16650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11950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IF(DigitaTICA!E13&lt;&gt;"",DigitaTICA!E13,"")</f>
        <v>23000</v>
      </c>
      <c r="D11" s="42">
        <f>IF(C11="",0,C11*J$9)</f>
        <v>2760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20240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29">
        <f>IF(DigitaNICA!G13&lt;&gt;"",DigitaNICA!G13,"")</f>
        <v>25050</v>
      </c>
      <c r="D13" s="42">
        <f>IF(C13="",0,C13*J$10)</f>
        <v>3006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22044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IF(DigitaTICA!G13&lt;&gt;"",DigitaTICA!G13,"")</f>
        <v>64550</v>
      </c>
      <c r="D15" s="42">
        <f>IF(C15="",0,C15*J$9)</f>
        <v>7746</v>
      </c>
      <c r="E15" s="29">
        <f>IF(DigitaTICA!H13&lt;&gt;"",DigitaTICA!H13,"")</f>
        <v>2800</v>
      </c>
      <c r="F15" s="133">
        <f>IF(E15="",0,E15*PREMIOS!F15)</f>
        <v>238000</v>
      </c>
      <c r="G15" s="30">
        <f t="shared" si="3"/>
        <v>-181196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IF(DigitaNICA!I13&lt;&gt;"",DigitaNICA!I13,"")</f>
        <v>5100</v>
      </c>
      <c r="D17" s="42">
        <f>IF(C17="",0,C17*J$10)</f>
        <v>612</v>
      </c>
      <c r="E17" s="29">
        <f>IF(DigitaNICA!J13&lt;&gt;"",DigitaNICA!J13,"")</f>
        <v>1000</v>
      </c>
      <c r="F17" s="42">
        <f>IF(E17="",0,E17*PREMIOS!E17)</f>
        <v>80000</v>
      </c>
      <c r="G17" s="30">
        <f t="shared" si="3"/>
        <v>-75512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238200</v>
      </c>
      <c r="D19" s="68">
        <f>MROUND(SUM(D5:D18),50)</f>
        <v>28600</v>
      </c>
      <c r="E19" s="68">
        <f>SUM(E5:E18)</f>
        <v>4750</v>
      </c>
      <c r="F19" s="68">
        <f>SUM(F5:F18)</f>
        <v>395250</v>
      </c>
      <c r="G19" s="88">
        <f>SUM(G5:G18)</f>
        <v>-185634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66600</v>
      </c>
      <c r="K4" s="236">
        <f t="shared" ref="K4" si="0">D7+D11+D15</f>
        <v>9990</v>
      </c>
      <c r="L4" s="237">
        <f>F7+F11+F15</f>
        <v>372000</v>
      </c>
    </row>
    <row r="5" spans="1:12" x14ac:dyDescent="0.35">
      <c r="A5" s="28" t="s">
        <v>43</v>
      </c>
      <c r="B5" s="132">
        <f>IF(DigitaNICA!C2&lt;&gt;"",DigitaNICA!C2,"")</f>
        <v>50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IF(DigitaTICA!C14&lt;&gt;"",DigitaTICA!C14,"")</f>
        <v>32000</v>
      </c>
      <c r="D7" s="42">
        <f>IF(C7="",0,C7*J$9)</f>
        <v>4800</v>
      </c>
      <c r="E7" s="29">
        <f>IF(DigitaTICA!D14&lt;&gt;"",DigitaTICA!D14,"")</f>
        <v>4150</v>
      </c>
      <c r="F7" s="42">
        <f>IF(E7="",0,E7*PREMIOS!E7)</f>
        <v>332000</v>
      </c>
      <c r="G7" s="30">
        <f t="shared" si="1"/>
        <v>-304800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IF(DigitaTICA!E14&lt;&gt;"",DigitaTICA!E14,"")</f>
        <v>12300</v>
      </c>
      <c r="D11" s="42">
        <f>IF(C11="",0,C11*J$9)</f>
        <v>1845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10455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IF(DigitaTICA!G14&lt;&gt;"",DigitaTICA!G14,"")</f>
        <v>22300</v>
      </c>
      <c r="D15" s="42">
        <f>IF(C15="",0,C15*J$9)</f>
        <v>3345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-21045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66600</v>
      </c>
      <c r="D19" s="68">
        <f>MROUND(SUM(D5:D18),50)</f>
        <v>10000</v>
      </c>
      <c r="E19" s="68">
        <f>SUM(E5:E18)</f>
        <v>4650</v>
      </c>
      <c r="F19" s="68">
        <f>SUM(F5:F18)</f>
        <v>372000</v>
      </c>
      <c r="G19" s="88">
        <f>SUM(G5:G18)</f>
        <v>-315390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60100</v>
      </c>
      <c r="K4" s="231">
        <f>D7+D11+D15</f>
        <v>7212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63" t="s">
        <v>37</v>
      </c>
      <c r="J5" s="225">
        <f>SUM(IF(C5="",0,C5),IF(C9="",0,C9),IF(C13="",0,C13),IF(C17="",0,C17))</f>
        <v>26150</v>
      </c>
      <c r="K5" s="225">
        <f t="shared" ref="K5" si="1">D5+D9+D13+D17</f>
        <v>3138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51</v>
      </c>
      <c r="C7" s="29">
        <f>IF(DigitaTICA!C16&lt;&gt;"",DigitaTICA!C16,"")</f>
        <v>10800</v>
      </c>
      <c r="D7" s="42">
        <f>IF(C7="",0,C7*J$11)</f>
        <v>1296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9504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IF(DigitaTICA!E16&lt;&gt;"",DigitaTICA!E16,"")</f>
        <v>13000</v>
      </c>
      <c r="D11" s="42">
        <f>IF(C11="",0,C11*J$11)</f>
        <v>1560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11440</v>
      </c>
      <c r="I11" s="76" t="s">
        <v>36</v>
      </c>
      <c r="J11" s="77">
        <v>0.12</v>
      </c>
      <c r="K11" s="78">
        <f>MROUND(D7+D11+D15,50)</f>
        <v>7200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3150</v>
      </c>
    </row>
    <row r="13" spans="1:12" x14ac:dyDescent="0.35">
      <c r="A13" s="28" t="s">
        <v>50</v>
      </c>
      <c r="B13" s="132">
        <f>IF(DigitaNICA!G2&lt;&gt;"",DigitaNICA!G2,"")</f>
        <v>56</v>
      </c>
      <c r="C13" s="29">
        <f>IF(DigitaNICA!G16&lt;&gt;"",DigitaNICA!G16,"")</f>
        <v>300</v>
      </c>
      <c r="D13" s="42">
        <f>IF(C13="",0,C13*J$12)</f>
        <v>36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264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10</v>
      </c>
      <c r="C15" s="29">
        <f>IF(DigitaTICA!G16&lt;&gt;"",DigitaTICA!G16,"")</f>
        <v>36300</v>
      </c>
      <c r="D15" s="42">
        <f>IF(C15="",0,C15*J$11)</f>
        <v>4356</v>
      </c>
      <c r="E15" s="29">
        <f>IF(DigitaTICA!H16&lt;&gt;"",DigitaTICA!H16,"")</f>
        <v>750</v>
      </c>
      <c r="F15" s="133">
        <f>IF(E15="",0,E15*PREMIOS!F15)</f>
        <v>63750</v>
      </c>
      <c r="G15" s="30">
        <f t="shared" si="3"/>
        <v>-31806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IF(DigitaNICA!I16&lt;&gt;"",DigitaNICA!I16,"")</f>
        <v>19450</v>
      </c>
      <c r="D17" s="42">
        <f>IF(C17="",0,C17*J$12)</f>
        <v>2334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17116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88250</v>
      </c>
      <c r="D24" s="122">
        <f t="shared" ref="D24:G24" si="5">SUM(D5:D23)</f>
        <v>10550</v>
      </c>
      <c r="E24" s="122">
        <f t="shared" si="5"/>
        <v>750</v>
      </c>
      <c r="F24" s="122">
        <f t="shared" si="5"/>
        <v>63750</v>
      </c>
      <c r="G24" s="123">
        <f t="shared" si="5"/>
        <v>13950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387800</v>
      </c>
      <c r="K4" s="231">
        <f t="shared" ref="K4" si="0">D7+D11+D15</f>
        <v>46536</v>
      </c>
      <c r="L4" s="220">
        <f>F7+F11+F15</f>
        <v>612000</v>
      </c>
    </row>
    <row r="5" spans="1:12" x14ac:dyDescent="0.35">
      <c r="A5" s="28" t="s">
        <v>43</v>
      </c>
      <c r="B5" s="132">
        <f>IF(DigitaNICA!C2&lt;&gt;"",DigitaNICA!C2,"")</f>
        <v>50</v>
      </c>
      <c r="C5" s="89">
        <f>IF(DigitaNICA!C17&lt;&gt;"",DigitaNICA!C17,"")</f>
        <v>88800</v>
      </c>
      <c r="D5" s="42">
        <f>IF(C5="",0,C5*J$16)</f>
        <v>10656</v>
      </c>
      <c r="E5" s="89">
        <f>IF(DigitaNICA!D17&lt;&gt;"",DigitaNICA!D17,"")</f>
        <v>1500</v>
      </c>
      <c r="F5" s="42">
        <f>IF(E5="",0,E5*PREMIOS!F5)</f>
        <v>127500</v>
      </c>
      <c r="G5" s="90">
        <f t="shared" ref="G5:G12" si="1">IF(OR(C5="",E5=""),0,C5-D5-F5)</f>
        <v>-49356</v>
      </c>
      <c r="I5" s="217" t="s">
        <v>37</v>
      </c>
      <c r="J5" s="221">
        <f>SUM(IF(C5="",0,C5),IF(C9="",0,C9),IF(C13="",0,C13),IF(C17="",0,C17))</f>
        <v>390200</v>
      </c>
      <c r="K5" s="225">
        <f t="shared" ref="K5" si="2">D5+D9+D13+D17</f>
        <v>46824</v>
      </c>
      <c r="L5" s="222">
        <f>F5+F9+F13+F17</f>
        <v>284750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61250</v>
      </c>
      <c r="K6" s="226">
        <f t="shared" ref="K6" si="3">+D8+D12+D16</f>
        <v>6125</v>
      </c>
      <c r="L6" s="227">
        <f>+F8+F12+F16</f>
        <v>220000</v>
      </c>
    </row>
    <row r="7" spans="1:12" x14ac:dyDescent="0.35">
      <c r="A7" s="28" t="s">
        <v>46</v>
      </c>
      <c r="B7" s="132">
        <f>IF(DigitaTICA!C2&lt;&gt;"",DigitaTICA!C2,"")</f>
        <v>51</v>
      </c>
      <c r="C7" s="89">
        <f>IF(DigitaTICA!C17&lt;&gt;"",DigitaTICA!C17,"")</f>
        <v>129750</v>
      </c>
      <c r="D7" s="42">
        <f>IF(C7="",0,C7*J$15)</f>
        <v>15570</v>
      </c>
      <c r="E7" s="89">
        <f>IF(DigitaTICA!D17&lt;&gt;"",DigitaTICA!D17,"")</f>
        <v>1500</v>
      </c>
      <c r="F7" s="42">
        <f>IF(E7="",0,E7*PREMIOS!F7)</f>
        <v>127500</v>
      </c>
      <c r="G7" s="90">
        <f t="shared" si="1"/>
        <v>-13320</v>
      </c>
      <c r="I7" s="217" t="s">
        <v>96</v>
      </c>
      <c r="J7" s="223">
        <f>SUM(IF(C19="",0,C19),IF(C20="",0,C20))</f>
        <v>97600</v>
      </c>
      <c r="K7" s="226">
        <f>+D19+D20</f>
        <v>11712</v>
      </c>
      <c r="L7" s="227">
        <f>+F19+F20</f>
        <v>34000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24500</v>
      </c>
      <c r="D8" s="42">
        <f>IF(C8="",0,C8*J$17)</f>
        <v>2450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22050</v>
      </c>
      <c r="I8" s="217" t="s">
        <v>104</v>
      </c>
      <c r="J8" s="223">
        <f>SUM(IF(C21="",0,C21),IF(C22="",0,C22),IF(C23="",0,C23))</f>
        <v>74300</v>
      </c>
      <c r="K8" s="226">
        <f t="shared" ref="K8" si="4">D21+D22+D23</f>
        <v>8916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31</v>
      </c>
      <c r="C9" s="89">
        <f>IF(DigitaNICA!E17&lt;&gt;"",DigitaNICA!E17,"")</f>
        <v>75800</v>
      </c>
      <c r="D9" s="42">
        <f>IF(C9="",0,C9*J$16)</f>
        <v>9096</v>
      </c>
      <c r="E9" s="89">
        <f>IF(DigitaNICA!F17&lt;&gt;"",DigitaNICA!F17,"")</f>
        <v>600</v>
      </c>
      <c r="F9" s="42">
        <f>IF(E9="",0,E9*PREMIOS!F9)</f>
        <v>51000</v>
      </c>
      <c r="G9" s="90">
        <f t="shared" si="1"/>
        <v>15704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89">
        <f>IF(DigitaTICA!E17&lt;&gt;"",DigitaTICA!E17,"")</f>
        <v>108550</v>
      </c>
      <c r="D11" s="42">
        <f>IF(C11="",0,C11*J$15)</f>
        <v>13026</v>
      </c>
      <c r="E11" s="89">
        <f>IF(DigitaTICA!F17&lt;&gt;"",DigitaTICA!F17,"")</f>
        <v>950</v>
      </c>
      <c r="F11" s="42">
        <f>IF(E11="",0,E11*PREMIOS!F11)</f>
        <v>80750</v>
      </c>
      <c r="G11" s="90">
        <f t="shared" si="1"/>
        <v>14774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13900</v>
      </c>
      <c r="D12" s="42">
        <f>IF(C12="",0,C12*J$17)</f>
        <v>1390</v>
      </c>
      <c r="E12" s="89">
        <f>IF(DigitaREVENTADO!F17&lt;&gt;"",DigitaREVENTADO!F17,"")</f>
        <v>250</v>
      </c>
      <c r="F12" s="42">
        <f>IF(E12="",0,E12*PREMIOS!F12)</f>
        <v>50000</v>
      </c>
      <c r="G12" s="90">
        <f t="shared" si="1"/>
        <v>-37490</v>
      </c>
    </row>
    <row r="13" spans="1:12" ht="15" thickBot="1" x14ac:dyDescent="0.4">
      <c r="A13" s="28" t="s">
        <v>50</v>
      </c>
      <c r="B13" s="132">
        <f>IF(DigitaNICA!G2&lt;&gt;"",DigitaNICA!G2,"")</f>
        <v>56</v>
      </c>
      <c r="C13" s="89">
        <f>IF(DigitaNICA!G17&lt;&gt;"",DigitaNICA!G17,"")</f>
        <v>62450</v>
      </c>
      <c r="D13" s="42">
        <f>IF(C13="",0,C13*J$16)</f>
        <v>7494</v>
      </c>
      <c r="E13" s="89">
        <f>IF(DigitaNICA!H17&lt;&gt;"",DigitaNICA!H17,"")</f>
        <v>400</v>
      </c>
      <c r="F13" s="42">
        <f>IF(E13="",0,E13*PREMIOS!F13)</f>
        <v>34000</v>
      </c>
      <c r="G13" s="90">
        <f>IF(OR(C13="",E13=""),0,C13-D13-F13)</f>
        <v>20956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10</v>
      </c>
      <c r="C15" s="89">
        <f>IF(DigitaTICA!G17&lt;&gt;"",DigitaTICA!G17,"")</f>
        <v>149500</v>
      </c>
      <c r="D15" s="42">
        <f>IF(C15="",0,C15*J$15)</f>
        <v>17940</v>
      </c>
      <c r="E15" s="89">
        <f>IF(DigitaTICA!H17&lt;&gt;"",DigitaTICA!H17,"")</f>
        <v>4750</v>
      </c>
      <c r="F15" s="42">
        <f>IF(E15="",0,E15*PREMIOS!F15)</f>
        <v>403750</v>
      </c>
      <c r="G15" s="90">
        <f t="shared" si="6"/>
        <v>-272190</v>
      </c>
      <c r="I15" s="76" t="s">
        <v>36</v>
      </c>
      <c r="J15" s="77">
        <v>0.12</v>
      </c>
      <c r="K15" s="78">
        <f>MROUND(D7+D11+D15,50)</f>
        <v>46550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22850</v>
      </c>
      <c r="D16" s="42">
        <f>IF(C16="",0,C16*J$17)</f>
        <v>2285</v>
      </c>
      <c r="E16" s="89">
        <f>IF(DigitaREVENTADO!H17&lt;&gt;"",DigitaREVENTADO!H17,"")</f>
        <v>850</v>
      </c>
      <c r="F16" s="42">
        <f>IF(E16="",0,E16*PREMIOS!F16)</f>
        <v>170000</v>
      </c>
      <c r="G16" s="90">
        <f t="shared" si="6"/>
        <v>-149435</v>
      </c>
      <c r="I16" s="63" t="s">
        <v>37</v>
      </c>
      <c r="J16" s="64">
        <v>0.12</v>
      </c>
      <c r="K16" s="30">
        <f>MROUND(D5+D9+D13+D17,50)</f>
        <v>46800</v>
      </c>
    </row>
    <row r="17" spans="1:11" x14ac:dyDescent="0.35">
      <c r="A17" s="28" t="s">
        <v>52</v>
      </c>
      <c r="B17" s="132">
        <f>IF(DigitaNICA!I2&lt;&gt;"",DigitaNICA!I2,"")</f>
        <v>89</v>
      </c>
      <c r="C17" s="89">
        <f>IF(DigitaNICA!I17&lt;&gt;"",DigitaNICA!I17,"")</f>
        <v>163150</v>
      </c>
      <c r="D17" s="42">
        <f>IF(C17="",0,C17*J$16)</f>
        <v>19578</v>
      </c>
      <c r="E17" s="89">
        <f>IF(DigitaNICA!J17&lt;&gt;"",DigitaNICA!J17,"")</f>
        <v>850</v>
      </c>
      <c r="F17" s="42">
        <f>IF(E17="",0,E17*PREMIOS!F17)</f>
        <v>72250</v>
      </c>
      <c r="G17" s="90">
        <f t="shared" si="6"/>
        <v>71322</v>
      </c>
      <c r="I17" s="63" t="s">
        <v>38</v>
      </c>
      <c r="J17" s="64">
        <v>0.1</v>
      </c>
      <c r="K17" s="30">
        <f>MROUND(D6+D8+D10+D12+D14+D16+D18,50)</f>
        <v>6150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11700</v>
      </c>
    </row>
    <row r="19" spans="1:11" x14ac:dyDescent="0.35">
      <c r="A19" s="28" t="s">
        <v>97</v>
      </c>
      <c r="B19" s="132">
        <f>IF(DigitaPRIMERA!C2&lt;&gt;"",DigitaPRIMERA!C2,"")</f>
        <v>54</v>
      </c>
      <c r="C19" s="29">
        <f>IF(DigitaPRIMERA!$C$17&lt;&gt;"",DigitaPRIMERA!$C$17,"")</f>
        <v>68900</v>
      </c>
      <c r="D19" s="42">
        <f>IF(C19="",0,C19*J$18)</f>
        <v>8268</v>
      </c>
      <c r="E19" s="29">
        <f>IF(DigitaPRIMERA!$D$17&lt;&gt;"",DigitaPRIMERA!$D$17,"")</f>
        <v>400</v>
      </c>
      <c r="F19" s="42">
        <f>IF(E19="",0,E19*PREMIOS!F19)</f>
        <v>34000</v>
      </c>
      <c r="G19" s="30">
        <f t="shared" si="6"/>
        <v>26632</v>
      </c>
      <c r="I19" s="63" t="s">
        <v>104</v>
      </c>
      <c r="J19" s="64">
        <v>0.12</v>
      </c>
      <c r="K19" s="30">
        <f>MROUND(D21+D22+D23,50)</f>
        <v>8900</v>
      </c>
    </row>
    <row r="20" spans="1:11" x14ac:dyDescent="0.35">
      <c r="A20" s="28" t="s">
        <v>98</v>
      </c>
      <c r="B20" s="132">
        <f>IF(DigitaPRIMERA!E2&lt;&gt;"",DigitaPRIMERA!E2,"")</f>
        <v>37</v>
      </c>
      <c r="C20" s="29">
        <f>IF(DigitaPRIMERA!$E$17&lt;&gt;"",DigitaPRIMERA!$E$17,"")</f>
        <v>28700</v>
      </c>
      <c r="D20" s="42">
        <f>IF(C20="",0,C20*J$18)</f>
        <v>3444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25256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63</v>
      </c>
      <c r="C21" s="29">
        <f>IF(DigitaHONDURAS!$C$17&lt;&gt;"",DigitaHONDURAS!$C$17,"")</f>
        <v>35000</v>
      </c>
      <c r="D21" s="42">
        <f>IF(C21="",0,C21*J$19)</f>
        <v>4200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30800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>
        <f>IF(DigitaHONDURAS!$E$17&lt;&gt;"",DigitaHONDURAS!$E$17,"")</f>
        <v>9300</v>
      </c>
      <c r="D22" s="42">
        <f>IF(C22="",0,C22*J$19)</f>
        <v>1116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8184</v>
      </c>
    </row>
    <row r="23" spans="1:11" x14ac:dyDescent="0.35">
      <c r="A23" s="28" t="s">
        <v>101</v>
      </c>
      <c r="B23" s="132">
        <f>IF(DigitaHONDURAS!G2&lt;&gt;"",DigitaHONDURAS!G2,"")</f>
        <v>47</v>
      </c>
      <c r="C23" s="29">
        <f>IF(DigitaHONDURAS!$G$17&lt;&gt;"",DigitaHONDURAS!$G$17,"")</f>
        <v>30000</v>
      </c>
      <c r="D23" s="42">
        <f>IF(C23="",0,C23*J$19)</f>
        <v>3600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26400</v>
      </c>
    </row>
    <row r="24" spans="1:11" x14ac:dyDescent="0.35">
      <c r="A24" s="28" t="s">
        <v>102</v>
      </c>
      <c r="B24" s="132">
        <f>IF(DigitaDOMINICANA!C2&lt;&gt;"",DigitaDOMINICANA!C2,"")</f>
        <v>73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1011150</v>
      </c>
      <c r="D27" s="68">
        <f t="shared" ref="D27:G27" si="7">SUM(D5:D26)</f>
        <v>120113</v>
      </c>
      <c r="E27" s="68">
        <f t="shared" si="7"/>
        <v>12050</v>
      </c>
      <c r="F27" s="68">
        <f t="shared" si="7"/>
        <v>1150750</v>
      </c>
      <c r="G27" s="88">
        <f t="shared" si="7"/>
        <v>-259713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187400</v>
      </c>
      <c r="K4" s="231">
        <f t="shared" ref="K4" si="0">D7+D11+D15</f>
        <v>22488</v>
      </c>
      <c r="L4" s="220">
        <f>F7+F11+F15</f>
        <v>148750</v>
      </c>
    </row>
    <row r="5" spans="1:12" x14ac:dyDescent="0.35">
      <c r="A5" s="28" t="str">
        <f>+Vendedor1!A5</f>
        <v>Nica 11am</v>
      </c>
      <c r="B5" s="132">
        <f>IF(DigitaNICA!C2&lt;&gt;"",DigitaNICA!C2,"")</f>
        <v>50</v>
      </c>
      <c r="C5" s="29">
        <f>IF(DigitaNICA!C18&lt;&gt;"",DigitaNICA!C18,"")</f>
        <v>57900</v>
      </c>
      <c r="D5" s="42">
        <f>IF(C5="",0,C5*J$16)</f>
        <v>6948</v>
      </c>
      <c r="E5" s="29">
        <f>IF(DigitaNICA!D18&lt;&gt;"",DigitaNICA!D18,"")</f>
        <v>1050</v>
      </c>
      <c r="F5" s="42">
        <f>IF(E5="",0,E5*PREMIOS!F5)</f>
        <v>89250</v>
      </c>
      <c r="G5" s="30">
        <f t="shared" ref="G5:G12" si="1">IF(OR(C5="",E5=""),0,C5-D5-F5)</f>
        <v>-38298</v>
      </c>
      <c r="I5" s="217" t="s">
        <v>37</v>
      </c>
      <c r="J5" s="221">
        <f>SUM(IF(C5="",0,C5),IF(C9="",0,C9),IF(C13="",0,C13),IF(C17="",0,C17))</f>
        <v>223300</v>
      </c>
      <c r="K5" s="225">
        <f t="shared" ref="K5" si="2">D5+D9+D13+D17</f>
        <v>26796</v>
      </c>
      <c r="L5" s="222">
        <f>F5+F9+F13+F17</f>
        <v>102000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53550</v>
      </c>
      <c r="K6" s="226">
        <f t="shared" ref="K6" si="3">+D8+D12+D16</f>
        <v>5355</v>
      </c>
      <c r="L6" s="227">
        <f>+F8+F12+F16</f>
        <v>100000</v>
      </c>
    </row>
    <row r="7" spans="1:12" x14ac:dyDescent="0.35">
      <c r="A7" s="28" t="str">
        <f>+Vendedor1!A7</f>
        <v>Tica 1pm</v>
      </c>
      <c r="B7" s="132">
        <f>IF(DigitaTICA!C2&lt;&gt;"",DigitaTICA!C2,"")</f>
        <v>51</v>
      </c>
      <c r="C7" s="29">
        <f>IF(DigitaTICA!C18&lt;&gt;"",DigitaTICA!C18,"")</f>
        <v>70050</v>
      </c>
      <c r="D7" s="42">
        <f>IF(C7="",0,C7*J$15)</f>
        <v>8406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61644</v>
      </c>
      <c r="I7" s="217" t="s">
        <v>96</v>
      </c>
      <c r="J7" s="223">
        <f>SUM(IF(C19="",0,C19),IF(C20="",0,C20))</f>
        <v>95400</v>
      </c>
      <c r="K7" s="226">
        <f>+D19+D20</f>
        <v>11448</v>
      </c>
      <c r="L7" s="227">
        <f>+F19+F20</f>
        <v>123250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18600</v>
      </c>
      <c r="D8" s="42">
        <f>IF(C8="",0,C8*J$17)</f>
        <v>1860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16740</v>
      </c>
      <c r="I8" s="217" t="s">
        <v>104</v>
      </c>
      <c r="J8" s="223">
        <f>SUM(IF(C21="",0,C21),IF(C22="",0,C22),IF(C23="",0,C23))</f>
        <v>29400</v>
      </c>
      <c r="K8" s="226">
        <f t="shared" ref="K8" si="4">D21+D22+D23</f>
        <v>3528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31</v>
      </c>
      <c r="C9" s="29">
        <f>IF(DigitaNICA!E18&lt;&gt;"",DigitaNICA!E18,"")</f>
        <v>71650</v>
      </c>
      <c r="D9" s="42">
        <f>IF(C9="",0,C9*J$16)</f>
        <v>8598</v>
      </c>
      <c r="E9" s="29">
        <f>IF(DigitaNICA!F18&lt;&gt;"",DigitaNICA!F18,"")</f>
        <v>150</v>
      </c>
      <c r="F9" s="42">
        <f>IF(E9="",0,E9*PREMIOS!F9)</f>
        <v>12750</v>
      </c>
      <c r="G9" s="30">
        <f t="shared" si="1"/>
        <v>50302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IF(DigitaTICA!E18&lt;&gt;"",DigitaTICA!E18,"")</f>
        <v>48150</v>
      </c>
      <c r="D11" s="42">
        <f>IF(C11="",0,C11*J$15)</f>
        <v>5778</v>
      </c>
      <c r="E11" s="29">
        <f>IF(DigitaTICA!F18&lt;&gt;"",DigitaTICA!F18,"")</f>
        <v>250</v>
      </c>
      <c r="F11" s="42">
        <f>IF(E11="",0,E11*PREMIOS!F11)</f>
        <v>21250</v>
      </c>
      <c r="G11" s="30">
        <f t="shared" si="1"/>
        <v>21122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18700</v>
      </c>
      <c r="D12" s="42">
        <f>IF(C12="",0,C12*J$17)</f>
        <v>1870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16830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56</v>
      </c>
      <c r="C13" s="29">
        <f>IF(DigitaNICA!G18&lt;&gt;"",DigitaNICA!G18,"")</f>
        <v>61800</v>
      </c>
      <c r="D13" s="42">
        <f>IF(C13="",0,C13*J$16)</f>
        <v>7416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54384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10</v>
      </c>
      <c r="C15" s="29">
        <f>IF(DigitaTICA!G18&lt;&gt;"",DigitaTICA!G18,"")</f>
        <v>69200</v>
      </c>
      <c r="D15" s="42">
        <f>IF(C15="",0,C15*J$15)</f>
        <v>8304</v>
      </c>
      <c r="E15" s="29">
        <f>IF(DigitaTICA!H18&lt;&gt;"",DigitaTICA!H18,"")</f>
        <v>1500</v>
      </c>
      <c r="F15" s="42">
        <f>IF(E15="",0,E15*PREMIOS!F15)</f>
        <v>127500</v>
      </c>
      <c r="G15" s="30">
        <f t="shared" si="6"/>
        <v>-66604</v>
      </c>
      <c r="I15" s="76" t="s">
        <v>36</v>
      </c>
      <c r="J15" s="77">
        <v>0.12</v>
      </c>
      <c r="K15" s="78">
        <f>MROUND(D7+D11+D15,50)</f>
        <v>22500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16250</v>
      </c>
      <c r="D16" s="42">
        <f>IF(C16="",0,C16*J$17)</f>
        <v>1625</v>
      </c>
      <c r="E16" s="29">
        <f>IF(DigitaREVENTADO!H18&lt;&gt;"",DigitaREVENTADO!H18,"")</f>
        <v>500</v>
      </c>
      <c r="F16" s="42">
        <f>IF(E16="",0,E16*PREMIOS!F16)</f>
        <v>100000</v>
      </c>
      <c r="G16" s="30">
        <f t="shared" si="6"/>
        <v>-85375</v>
      </c>
      <c r="I16" s="63" t="s">
        <v>37</v>
      </c>
      <c r="J16" s="64">
        <v>0.12</v>
      </c>
      <c r="K16" s="30">
        <f>MROUND(D5+D9+D13+D17,50)</f>
        <v>26800</v>
      </c>
    </row>
    <row r="17" spans="1:11" x14ac:dyDescent="0.35">
      <c r="A17" s="28" t="str">
        <f>+Vendedor1!A17</f>
        <v>Nica 9pm</v>
      </c>
      <c r="B17" s="132">
        <f>IF(DigitaNICA!I2&lt;&gt;"",DigitaNICA!I2,"")</f>
        <v>89</v>
      </c>
      <c r="C17" s="29">
        <f>IF(DigitaNICA!I18&lt;&gt;"",DigitaNICA!I18,"")</f>
        <v>31950</v>
      </c>
      <c r="D17" s="42">
        <f>IF(C17="",0,C17*J$16)</f>
        <v>3834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28116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11450</v>
      </c>
    </row>
    <row r="19" spans="1:11" x14ac:dyDescent="0.35">
      <c r="A19" s="28" t="s">
        <v>97</v>
      </c>
      <c r="B19" s="132">
        <f>IF(DigitaPRIMERA!C2&lt;&gt;"",DigitaPRIMERA!C2,"")</f>
        <v>54</v>
      </c>
      <c r="C19" s="29">
        <f>IF(DigitaPRIMERA!$C$18&lt;&gt;"",DigitaPRIMERA!$C$18,"")</f>
        <v>48900</v>
      </c>
      <c r="D19" s="42">
        <f>IF(C19="",0,C19*J$18)</f>
        <v>5868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30282</v>
      </c>
      <c r="I19" s="63" t="s">
        <v>104</v>
      </c>
      <c r="J19" s="64">
        <v>0.12</v>
      </c>
      <c r="K19" s="30">
        <f>MROUND(D21+D22+D23,50)</f>
        <v>3550</v>
      </c>
    </row>
    <row r="20" spans="1:11" x14ac:dyDescent="0.35">
      <c r="A20" s="28" t="s">
        <v>98</v>
      </c>
      <c r="B20" s="132">
        <f>IF(DigitaPRIMERA!E2&lt;&gt;"",DigitaPRIMERA!E2,"")</f>
        <v>37</v>
      </c>
      <c r="C20" s="29">
        <f>IF(DigitaPRIMERA!$E$18&lt;&gt;"",DigitaPRIMERA!$E$18,"")</f>
        <v>46500</v>
      </c>
      <c r="D20" s="42">
        <f>IF(C20="",0,C20*J$18)</f>
        <v>5580</v>
      </c>
      <c r="E20" s="29">
        <f>IF(DigitaPRIMERA!$F$18&lt;&gt;"",DigitaPRIMERA!$F$18,"")</f>
        <v>1300</v>
      </c>
      <c r="F20" s="42">
        <f>IF(E20="",0,E20*PREMIOS!F19)</f>
        <v>110500</v>
      </c>
      <c r="G20" s="30">
        <f t="shared" si="6"/>
        <v>-69580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63</v>
      </c>
      <c r="C21" s="29">
        <f>IF(DigitaHONDURAS!$C$18&lt;&gt;"",DigitaHONDURAS!$C$18,"")</f>
        <v>19400</v>
      </c>
      <c r="D21" s="42">
        <f>IF(C21="",0,C21*J$19)</f>
        <v>2328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17072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>
        <f>IF(DigitaHONDURAS!$E$18&lt;&gt;"",DigitaHONDURAS!$E$18,"")</f>
        <v>5000</v>
      </c>
      <c r="D22" s="42">
        <f>IF(C22="",0,C22*J$19)</f>
        <v>600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4400</v>
      </c>
    </row>
    <row r="23" spans="1:11" x14ac:dyDescent="0.35">
      <c r="A23" s="28" t="s">
        <v>101</v>
      </c>
      <c r="B23" s="132">
        <f>IF(DigitaHONDURAS!G2&lt;&gt;"",DigitaHONDURAS!G2,"")</f>
        <v>47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4400</v>
      </c>
    </row>
    <row r="24" spans="1:11" x14ac:dyDescent="0.35">
      <c r="A24" s="28" t="s">
        <v>102</v>
      </c>
      <c r="B24" s="132">
        <f>IF(DigitaDOMINICANA!C2&lt;&gt;"",DigitaDOMINICANA!C2,"")</f>
        <v>73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589050</v>
      </c>
      <c r="D27" s="68">
        <f t="shared" ref="D27:G27" si="7">SUM(D5:D26)</f>
        <v>69615</v>
      </c>
      <c r="E27" s="68">
        <f t="shared" si="7"/>
        <v>4900</v>
      </c>
      <c r="F27" s="68">
        <f t="shared" si="7"/>
        <v>474000</v>
      </c>
      <c r="G27" s="88">
        <f t="shared" si="7"/>
        <v>45435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>
        <f>IF(DigitaHONDURAS!$G$27&lt;&gt;"",DigitaHONDURAS!$G$27,"")</f>
        <v>-31300</v>
      </c>
      <c r="D23" s="42">
        <f>IF(C23="",0,C23*J$13)</f>
        <v>-3756</v>
      </c>
      <c r="E23" s="29">
        <f>IF(DigitaHONDURAS!$H$27&lt;&gt;"",DigitaHONDURAS!$H$27,"")</f>
        <v>0</v>
      </c>
      <c r="F23" s="42">
        <f>IF(E23="",0,E23*PREMIOS!F20)</f>
        <v>0</v>
      </c>
      <c r="G23" s="30">
        <f t="shared" si="1"/>
        <v>-27544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-31300</v>
      </c>
      <c r="D27" s="68">
        <f t="shared" ref="D27:G27" si="2">SUM(D5:D26)</f>
        <v>-3756</v>
      </c>
      <c r="E27" s="68">
        <f t="shared" si="2"/>
        <v>0</v>
      </c>
      <c r="F27" s="68">
        <f t="shared" si="2"/>
        <v>0</v>
      </c>
      <c r="G27" s="88">
        <f t="shared" si="2"/>
        <v>-27544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51</v>
      </c>
      <c r="D2" s="268"/>
      <c r="E2" s="267">
        <f>IF(PREMIOS!$B11="","",PREMIOS!$B11)</f>
        <v>29</v>
      </c>
      <c r="F2" s="268"/>
      <c r="G2" s="267">
        <f>IF(PREMIOS!$B15="","",PREMIOS!$B15)</f>
        <v>10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73950</v>
      </c>
      <c r="D4" s="78">
        <v>500</v>
      </c>
      <c r="E4" s="189">
        <v>37000</v>
      </c>
      <c r="F4" s="78">
        <v>250</v>
      </c>
      <c r="G4" s="189">
        <v>81300</v>
      </c>
      <c r="H4" s="78">
        <v>1000</v>
      </c>
      <c r="J4" s="42">
        <f t="shared" ref="J4:J8" si="0">+C4+E4+G4</f>
        <v>192250</v>
      </c>
      <c r="K4" s="42">
        <f>IF(D4="",0,IF(F4="",D4,IF(H4="",D4+F4,D4+F4+H4)))</f>
        <v>1750</v>
      </c>
    </row>
    <row r="5" spans="1:11" x14ac:dyDescent="0.35">
      <c r="A5" s="47">
        <v>2</v>
      </c>
      <c r="B5" s="178" t="str">
        <f>Vendedor2!$B$2</f>
        <v>PUESTO 2</v>
      </c>
      <c r="C5" s="180">
        <v>44950</v>
      </c>
      <c r="D5" s="30">
        <v>250</v>
      </c>
      <c r="E5" s="180">
        <v>34850</v>
      </c>
      <c r="F5" s="30">
        <v>1000</v>
      </c>
      <c r="G5" s="180">
        <v>66050</v>
      </c>
      <c r="H5" s="30">
        <v>1750</v>
      </c>
      <c r="J5" s="42">
        <f t="shared" si="0"/>
        <v>145850</v>
      </c>
      <c r="K5" s="42">
        <f t="shared" ref="K5:K27" si="1">IF(D5="",0,IF(F5="",D5,IF(H5="",D5+F5,D5+F5+H5)))</f>
        <v>3000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66000</v>
      </c>
      <c r="D8" s="30">
        <v>450</v>
      </c>
      <c r="E8" s="180">
        <v>63900</v>
      </c>
      <c r="F8" s="30">
        <v>350</v>
      </c>
      <c r="G8" s="180">
        <v>41900</v>
      </c>
      <c r="H8" s="30">
        <v>2400</v>
      </c>
      <c r="J8" s="42">
        <f t="shared" si="0"/>
        <v>171800</v>
      </c>
      <c r="K8" s="42">
        <f t="shared" si="1"/>
        <v>3200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59450+110250</f>
        <v>169700</v>
      </c>
      <c r="D10" s="30">
        <v>200</v>
      </c>
      <c r="E10" s="180">
        <f>46700+85050</f>
        <v>131750</v>
      </c>
      <c r="F10" s="30">
        <f>100+250</f>
        <v>350</v>
      </c>
      <c r="G10" s="180">
        <f>55600+112750</f>
        <v>168350</v>
      </c>
      <c r="H10" s="30">
        <f>350+2550</f>
        <v>2900</v>
      </c>
      <c r="J10" s="42">
        <f t="shared" si="3"/>
        <v>469800</v>
      </c>
      <c r="K10" s="42">
        <f t="shared" si="1"/>
        <v>3450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2"/>
        <v>0</v>
      </c>
      <c r="E11" s="180"/>
      <c r="F11" s="30" t="str">
        <f t="shared" si="2"/>
        <v/>
      </c>
      <c r="G11" s="180">
        <v>18200</v>
      </c>
      <c r="H11" s="30">
        <f t="shared" si="2"/>
        <v>0</v>
      </c>
      <c r="J11" s="42">
        <f t="shared" si="3"/>
        <v>21200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14600</v>
      </c>
      <c r="D12" s="30">
        <f t="shared" si="2"/>
        <v>0</v>
      </c>
      <c r="E12" s="180">
        <v>15100</v>
      </c>
      <c r="F12" s="30">
        <v>300</v>
      </c>
      <c r="G12" s="180">
        <v>2400</v>
      </c>
      <c r="H12" s="30">
        <f t="shared" si="2"/>
        <v>0</v>
      </c>
      <c r="J12" s="42">
        <f t="shared" si="3"/>
        <v>32100</v>
      </c>
      <c r="K12" s="42">
        <f t="shared" si="1"/>
        <v>300</v>
      </c>
    </row>
    <row r="13" spans="1:11" x14ac:dyDescent="0.35">
      <c r="A13" s="47">
        <v>10</v>
      </c>
      <c r="B13" s="178" t="str">
        <f>Vendedor10!$B$2</f>
        <v>MARIALIZ</v>
      </c>
      <c r="C13" s="180">
        <v>51200</v>
      </c>
      <c r="D13" s="30">
        <v>250</v>
      </c>
      <c r="E13" s="180">
        <v>23000</v>
      </c>
      <c r="F13" s="30">
        <f t="shared" si="2"/>
        <v>0</v>
      </c>
      <c r="G13" s="180">
        <v>64550</v>
      </c>
      <c r="H13" s="30">
        <v>2800</v>
      </c>
      <c r="J13" s="42">
        <f t="shared" si="3"/>
        <v>138750</v>
      </c>
      <c r="K13" s="42">
        <f t="shared" si="1"/>
        <v>3050</v>
      </c>
    </row>
    <row r="14" spans="1:11" x14ac:dyDescent="0.35">
      <c r="A14" s="47">
        <v>11</v>
      </c>
      <c r="B14" s="178" t="str">
        <f>Vendedor11!$B$2</f>
        <v>CHARLY</v>
      </c>
      <c r="C14" s="180">
        <v>32000</v>
      </c>
      <c r="D14" s="30">
        <v>4150</v>
      </c>
      <c r="E14" s="180">
        <v>12300</v>
      </c>
      <c r="F14" s="30">
        <f t="shared" si="2"/>
        <v>0</v>
      </c>
      <c r="G14" s="180">
        <v>22300</v>
      </c>
      <c r="H14" s="30">
        <v>500</v>
      </c>
      <c r="J14" s="42">
        <f t="shared" si="3"/>
        <v>66600</v>
      </c>
      <c r="K14" s="42">
        <f t="shared" si="1"/>
        <v>4650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10800</v>
      </c>
      <c r="D16" s="30">
        <f t="shared" si="2"/>
        <v>0</v>
      </c>
      <c r="E16" s="180">
        <v>13000</v>
      </c>
      <c r="F16" s="30">
        <f t="shared" si="2"/>
        <v>0</v>
      </c>
      <c r="G16" s="180">
        <v>36300</v>
      </c>
      <c r="H16" s="30">
        <v>750</v>
      </c>
      <c r="J16" s="42">
        <f t="shared" si="3"/>
        <v>60100</v>
      </c>
      <c r="K16" s="42">
        <f t="shared" si="1"/>
        <v>750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103450+26300</f>
        <v>129750</v>
      </c>
      <c r="D17" s="30">
        <f>1500+0</f>
        <v>1500</v>
      </c>
      <c r="E17" s="180">
        <f>92350+16200</f>
        <v>108550</v>
      </c>
      <c r="F17" s="30">
        <f>700+250</f>
        <v>950</v>
      </c>
      <c r="G17" s="180">
        <f>126050+23450</f>
        <v>149500</v>
      </c>
      <c r="H17" s="30">
        <f>3900+850</f>
        <v>4750</v>
      </c>
      <c r="J17" s="42">
        <f t="shared" si="3"/>
        <v>387800</v>
      </c>
      <c r="K17" s="42">
        <f t="shared" si="1"/>
        <v>7200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51450+18600</f>
        <v>70050</v>
      </c>
      <c r="D18" s="30">
        <f t="shared" si="2"/>
        <v>0</v>
      </c>
      <c r="E18" s="180">
        <f>28150+20000</f>
        <v>48150</v>
      </c>
      <c r="F18" s="30">
        <f>250+0</f>
        <v>250</v>
      </c>
      <c r="G18" s="180">
        <f>52200+17000</f>
        <v>69200</v>
      </c>
      <c r="H18" s="30">
        <f>1000+500</f>
        <v>1500</v>
      </c>
      <c r="J18" s="42">
        <f t="shared" si="3"/>
        <v>187400</v>
      </c>
      <c r="K18" s="42">
        <f t="shared" si="1"/>
        <v>1750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666000</v>
      </c>
      <c r="D32" s="44">
        <f t="shared" si="6"/>
        <v>7300</v>
      </c>
      <c r="E32" s="43">
        <f t="shared" si="6"/>
        <v>487600</v>
      </c>
      <c r="F32" s="44">
        <f t="shared" si="6"/>
        <v>3450</v>
      </c>
      <c r="G32" s="43">
        <f t="shared" si="6"/>
        <v>720050</v>
      </c>
      <c r="H32" s="44">
        <f t="shared" si="6"/>
        <v>18350</v>
      </c>
      <c r="J32" s="95">
        <f>SUM(J4:J31)</f>
        <v>1873650</v>
      </c>
      <c r="K32" s="95"/>
    </row>
    <row r="33" spans="2:8" x14ac:dyDescent="0.35">
      <c r="D33" s="99">
        <f>+D32*85</f>
        <v>620500</v>
      </c>
      <c r="F33" s="99">
        <f>+F32*85</f>
        <v>293250</v>
      </c>
      <c r="H33" s="99">
        <f>+H32*85</f>
        <v>1559750</v>
      </c>
    </row>
    <row r="34" spans="2:8" x14ac:dyDescent="0.35">
      <c r="B34" s="247" t="s">
        <v>149</v>
      </c>
      <c r="C34" s="43">
        <f t="shared" ref="C34:H34" si="7">+C4+C5+C6+C8+C13</f>
        <v>236100</v>
      </c>
      <c r="D34" s="43" t="e">
        <f t="shared" si="7"/>
        <v>#VALUE!</v>
      </c>
      <c r="E34" s="43">
        <f t="shared" si="7"/>
        <v>158750</v>
      </c>
      <c r="F34" s="43" t="e">
        <f t="shared" si="7"/>
        <v>#VALUE!</v>
      </c>
      <c r="G34" s="43">
        <f t="shared" si="7"/>
        <v>253800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234800</v>
      </c>
      <c r="D35" s="43" t="e">
        <f t="shared" ref="D35:H35" si="8">+D11+D14+D15+D17+D18</f>
        <v>#VALUE!</v>
      </c>
      <c r="E35" s="43">
        <f t="shared" si="8"/>
        <v>169000</v>
      </c>
      <c r="F35" s="43" t="e">
        <f t="shared" si="8"/>
        <v>#VALUE!</v>
      </c>
      <c r="G35" s="43">
        <f t="shared" si="8"/>
        <v>259200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184300</v>
      </c>
      <c r="D36" s="43" t="e">
        <f t="shared" ref="D36:H36" si="9">+D10+D12+D27</f>
        <v>#VALUE!</v>
      </c>
      <c r="E36" s="43">
        <f t="shared" si="9"/>
        <v>146850</v>
      </c>
      <c r="F36" s="43" t="e">
        <f t="shared" si="9"/>
        <v>#VALUE!</v>
      </c>
      <c r="G36" s="43">
        <f t="shared" si="9"/>
        <v>170750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50</v>
      </c>
      <c r="D2" s="268"/>
      <c r="E2" s="267">
        <f>IF(PREMIOS!$B9="","",PREMIOS!$B9)</f>
        <v>31</v>
      </c>
      <c r="F2" s="268"/>
      <c r="G2" s="267">
        <f>IF(PREMIOS!$B13="","",PREMIOS!$B13)</f>
        <v>56</v>
      </c>
      <c r="H2" s="268"/>
      <c r="I2" s="267">
        <f>IF(PREMIOS!$B17="","",PREMIOS!$B17)</f>
        <v>89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40150</v>
      </c>
      <c r="D4" s="78">
        <f t="shared" ref="D4:J27" si="0">IF(C4="","",0)</f>
        <v>0</v>
      </c>
      <c r="E4" s="206">
        <v>39650</v>
      </c>
      <c r="F4" s="78">
        <f t="shared" si="0"/>
        <v>0</v>
      </c>
      <c r="G4" s="189">
        <v>26950</v>
      </c>
      <c r="H4" s="78">
        <v>500</v>
      </c>
      <c r="I4" s="189">
        <v>2250</v>
      </c>
      <c r="J4" s="78">
        <f t="shared" si="0"/>
        <v>0</v>
      </c>
      <c r="L4" s="42">
        <f t="shared" ref="L4:L8" si="1">+C4+E4+G4+I4</f>
        <v>109000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28350</v>
      </c>
      <c r="D5" s="30">
        <f t="shared" si="0"/>
        <v>0</v>
      </c>
      <c r="E5" s="207">
        <v>19750</v>
      </c>
      <c r="F5" s="30">
        <f t="shared" si="0"/>
        <v>0</v>
      </c>
      <c r="G5" s="180">
        <v>4700</v>
      </c>
      <c r="H5" s="30">
        <f t="shared" ref="H5:H27" si="2">IF(G5="","",0)</f>
        <v>0</v>
      </c>
      <c r="I5" s="180">
        <v>4000</v>
      </c>
      <c r="J5" s="30">
        <f t="shared" ref="J5:J27" si="3">IF(I5="","",0)</f>
        <v>0</v>
      </c>
      <c r="L5" s="42">
        <f t="shared" si="1"/>
        <v>56800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70650</v>
      </c>
      <c r="D8" s="30">
        <v>650</v>
      </c>
      <c r="E8" s="207">
        <v>57400</v>
      </c>
      <c r="F8" s="30">
        <v>450</v>
      </c>
      <c r="G8" s="180">
        <v>6450</v>
      </c>
      <c r="H8" s="30">
        <v>250</v>
      </c>
      <c r="I8" s="180">
        <v>18500</v>
      </c>
      <c r="J8" s="30">
        <f t="shared" si="0"/>
        <v>0</v>
      </c>
      <c r="L8" s="42">
        <f t="shared" si="1"/>
        <v>153000</v>
      </c>
      <c r="M8" s="42">
        <f t="shared" si="4"/>
        <v>1350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55400+51600</f>
        <v>107000</v>
      </c>
      <c r="D10" s="30">
        <f>300+150</f>
        <v>450</v>
      </c>
      <c r="E10" s="207">
        <f>47050+42900</f>
        <v>89950</v>
      </c>
      <c r="F10" s="30">
        <f t="shared" si="0"/>
        <v>0</v>
      </c>
      <c r="G10" s="180">
        <f>26100+31750</f>
        <v>57850</v>
      </c>
      <c r="H10" s="30">
        <f t="shared" si="0"/>
        <v>0</v>
      </c>
      <c r="I10" s="180">
        <f>35200+68400</f>
        <v>103600</v>
      </c>
      <c r="J10" s="30">
        <v>400</v>
      </c>
      <c r="L10" s="42">
        <f t="shared" si="5"/>
        <v>358400</v>
      </c>
      <c r="M10" s="42">
        <f t="shared" si="4"/>
        <v>850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24000</v>
      </c>
      <c r="D12" s="30">
        <v>700</v>
      </c>
      <c r="E12" s="207">
        <v>10100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34100</v>
      </c>
      <c r="M12" s="42">
        <f t="shared" si="4"/>
        <v>700</v>
      </c>
    </row>
    <row r="13" spans="1:13" x14ac:dyDescent="0.35">
      <c r="A13" s="47">
        <v>10</v>
      </c>
      <c r="B13" s="178" t="str">
        <f>Vendedor10!$B$2</f>
        <v>MARIALIZ</v>
      </c>
      <c r="C13" s="180">
        <v>33250</v>
      </c>
      <c r="D13" s="30">
        <v>700</v>
      </c>
      <c r="E13" s="207">
        <v>36050</v>
      </c>
      <c r="F13" s="30">
        <f t="shared" si="0"/>
        <v>0</v>
      </c>
      <c r="G13" s="180">
        <v>25050</v>
      </c>
      <c r="H13" s="30">
        <f t="shared" si="0"/>
        <v>0</v>
      </c>
      <c r="I13" s="180">
        <v>5100</v>
      </c>
      <c r="J13" s="30">
        <v>1000</v>
      </c>
      <c r="L13" s="42">
        <f t="shared" si="5"/>
        <v>99450</v>
      </c>
      <c r="M13" s="42">
        <f t="shared" si="4"/>
        <v>1700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5400</v>
      </c>
      <c r="D16" s="30">
        <f t="shared" si="0"/>
        <v>0</v>
      </c>
      <c r="E16" s="207">
        <v>1000</v>
      </c>
      <c r="F16" s="30">
        <f t="shared" si="0"/>
        <v>0</v>
      </c>
      <c r="G16" s="180">
        <v>300</v>
      </c>
      <c r="H16" s="30">
        <f t="shared" si="0"/>
        <v>0</v>
      </c>
      <c r="I16" s="180">
        <v>19450</v>
      </c>
      <c r="J16" s="30">
        <f t="shared" si="0"/>
        <v>0</v>
      </c>
      <c r="L16" s="42">
        <f t="shared" si="5"/>
        <v>26150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88800</v>
      </c>
      <c r="D17" s="30">
        <v>1500</v>
      </c>
      <c r="E17" s="207">
        <v>75800</v>
      </c>
      <c r="F17" s="30">
        <v>600</v>
      </c>
      <c r="G17" s="180">
        <v>62450</v>
      </c>
      <c r="H17" s="30">
        <v>400</v>
      </c>
      <c r="I17" s="180">
        <v>163150</v>
      </c>
      <c r="J17" s="30">
        <v>850</v>
      </c>
      <c r="L17" s="42">
        <f t="shared" si="5"/>
        <v>390200</v>
      </c>
      <c r="M17" s="42">
        <f t="shared" si="4"/>
        <v>3350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57900</v>
      </c>
      <c r="D18" s="30">
        <v>1050</v>
      </c>
      <c r="E18" s="207">
        <v>71650</v>
      </c>
      <c r="F18" s="30">
        <v>150</v>
      </c>
      <c r="G18" s="180">
        <v>61800</v>
      </c>
      <c r="H18" s="30">
        <f t="shared" si="0"/>
        <v>0</v>
      </c>
      <c r="I18" s="180">
        <v>31950</v>
      </c>
      <c r="J18" s="30">
        <f t="shared" si="3"/>
        <v>0</v>
      </c>
      <c r="L18" s="42">
        <f t="shared" si="5"/>
        <v>223300</v>
      </c>
      <c r="M18" s="42">
        <f t="shared" si="4"/>
        <v>1200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2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455500</v>
      </c>
      <c r="D32" s="44">
        <f t="shared" si="7"/>
        <v>5050</v>
      </c>
      <c r="E32" s="43">
        <f t="shared" si="7"/>
        <v>401350</v>
      </c>
      <c r="F32" s="44">
        <f t="shared" si="7"/>
        <v>1200</v>
      </c>
      <c r="G32" s="43">
        <f t="shared" si="7"/>
        <v>245550</v>
      </c>
      <c r="H32" s="44">
        <f t="shared" si="7"/>
        <v>1150</v>
      </c>
      <c r="I32" s="43">
        <f t="shared" si="7"/>
        <v>348000</v>
      </c>
      <c r="J32" s="44">
        <f t="shared" si="7"/>
        <v>2250</v>
      </c>
      <c r="L32" s="95">
        <f>SUM(L9:L31)</f>
        <v>1131600</v>
      </c>
      <c r="M32" s="95">
        <f>SUM(M9:M31)</f>
        <v>7800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51 Blanca</v>
      </c>
      <c r="D2" s="268"/>
      <c r="E2" s="267" t="str">
        <f>IF(E33=0,"",CONCATENATE(PREMIOS!$B11," ",PREMIOS!$B12))</f>
        <v>29 Roja</v>
      </c>
      <c r="F2" s="268"/>
      <c r="G2" s="267" t="str">
        <f>IF(G33=0,"",CONCATENATE(PREMIOS!$B15," ",PREMIOS!$B16))</f>
        <v>10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25250+4100</f>
        <v>29350</v>
      </c>
      <c r="D10" s="30">
        <f t="shared" si="0"/>
        <v>0</v>
      </c>
      <c r="E10" s="180">
        <f>18550+6800</f>
        <v>25350</v>
      </c>
      <c r="F10" s="30">
        <v>250</v>
      </c>
      <c r="G10" s="180">
        <f>28750+8800</f>
        <v>37550</v>
      </c>
      <c r="H10" s="30">
        <f t="shared" si="0"/>
        <v>0</v>
      </c>
      <c r="J10" s="42">
        <f t="shared" si="3"/>
        <v>92250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24500</v>
      </c>
      <c r="D17" s="30">
        <f t="shared" si="0"/>
        <v>0</v>
      </c>
      <c r="E17" s="180">
        <v>13900</v>
      </c>
      <c r="F17" s="30">
        <v>250</v>
      </c>
      <c r="G17" s="180">
        <v>22850</v>
      </c>
      <c r="H17" s="30">
        <v>850</v>
      </c>
      <c r="J17" s="42">
        <f t="shared" si="3"/>
        <v>61250</v>
      </c>
      <c r="K17" s="42">
        <f t="shared" si="4"/>
        <v>1100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18600</v>
      </c>
      <c r="D18" s="30">
        <f t="shared" si="0"/>
        <v>0</v>
      </c>
      <c r="E18" s="180">
        <v>18700</v>
      </c>
      <c r="F18" s="30">
        <f t="shared" si="0"/>
        <v>0</v>
      </c>
      <c r="G18" s="180">
        <v>16250</v>
      </c>
      <c r="H18" s="30">
        <v>500</v>
      </c>
      <c r="J18" s="42">
        <f t="shared" si="3"/>
        <v>53550</v>
      </c>
      <c r="K18" s="42">
        <f t="shared" si="4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74450</v>
      </c>
      <c r="D33" s="44">
        <f t="shared" si="7"/>
        <v>0</v>
      </c>
      <c r="E33" s="43">
        <f t="shared" si="7"/>
        <v>57950</v>
      </c>
      <c r="F33" s="44">
        <f t="shared" si="7"/>
        <v>500</v>
      </c>
      <c r="G33" s="43">
        <f t="shared" si="7"/>
        <v>76650</v>
      </c>
      <c r="H33" s="44">
        <f t="shared" si="7"/>
        <v>1350</v>
      </c>
      <c r="J33" s="45">
        <f>SUM(J4:J32)</f>
        <v>209050</v>
      </c>
      <c r="K33" s="95">
        <f>SUM(K4:K32)</f>
        <v>1850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54</v>
      </c>
      <c r="D2" s="268"/>
      <c r="E2" s="267">
        <f>IF(PREMIOS!$C19="","",PREMIOS!$C19)</f>
        <v>37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15200</v>
      </c>
      <c r="D4" s="78">
        <v>200</v>
      </c>
      <c r="E4" s="189">
        <v>2450</v>
      </c>
      <c r="F4" s="78">
        <f t="shared" ref="D4:F27" si="0">IF(E4="","",0)</f>
        <v>0</v>
      </c>
      <c r="H4" s="42">
        <f>+C4+E4</f>
        <v>17650</v>
      </c>
      <c r="I4" s="42">
        <f>IF(D4="",0,IF(F4="",D4,D4+F4))</f>
        <v>200</v>
      </c>
    </row>
    <row r="5" spans="1:9" x14ac:dyDescent="0.35">
      <c r="A5" s="47">
        <v>2</v>
      </c>
      <c r="B5" s="178" t="str">
        <f>Vendedor2!$B$2</f>
        <v>PUESTO 2</v>
      </c>
      <c r="C5" s="180">
        <v>1400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40950</v>
      </c>
      <c r="D8" s="30">
        <f t="shared" si="0"/>
        <v>0</v>
      </c>
      <c r="E8" s="194">
        <v>11950</v>
      </c>
      <c r="F8" s="195">
        <f t="shared" si="1"/>
        <v>0</v>
      </c>
      <c r="H8" s="42">
        <f t="shared" si="2"/>
        <v>52900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39050+22800</f>
        <v>61850</v>
      </c>
      <c r="D10" s="30">
        <v>100</v>
      </c>
      <c r="E10" s="180">
        <f>12500+5300</f>
        <v>17800</v>
      </c>
      <c r="F10" s="195">
        <f t="shared" si="1"/>
        <v>0</v>
      </c>
      <c r="H10" s="42">
        <f t="shared" si="2"/>
        <v>79650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45300</v>
      </c>
      <c r="D12" s="30">
        <v>400</v>
      </c>
      <c r="E12" s="194"/>
      <c r="F12" s="30" t="str">
        <f t="shared" si="0"/>
        <v/>
      </c>
      <c r="H12" s="42">
        <f t="shared" si="2"/>
        <v>45300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68900</v>
      </c>
      <c r="D17" s="195">
        <v>400</v>
      </c>
      <c r="E17" s="180">
        <v>28700</v>
      </c>
      <c r="F17" s="30">
        <f t="shared" si="0"/>
        <v>0</v>
      </c>
      <c r="H17" s="42">
        <f t="shared" si="2"/>
        <v>97600</v>
      </c>
      <c r="I17" s="42">
        <f t="shared" si="3"/>
        <v>400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48900</v>
      </c>
      <c r="D18" s="195">
        <v>150</v>
      </c>
      <c r="E18" s="180">
        <v>46500</v>
      </c>
      <c r="F18" s="30">
        <v>1300</v>
      </c>
      <c r="H18" s="42">
        <f t="shared" si="2"/>
        <v>95400</v>
      </c>
      <c r="I18" s="42">
        <f t="shared" si="3"/>
        <v>1450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282500</v>
      </c>
      <c r="D33" s="44">
        <f>SUM(D4:D32)</f>
        <v>1250</v>
      </c>
      <c r="E33" s="43">
        <f>SUM(E4:E32)</f>
        <v>107400</v>
      </c>
      <c r="F33" s="44">
        <f>SUM(F4:F32)</f>
        <v>1300</v>
      </c>
      <c r="H33" s="95">
        <f>SUM(H4:H32)</f>
        <v>389900</v>
      </c>
      <c r="I33" s="95">
        <f>SUM(I4:I32)</f>
        <v>2550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63</v>
      </c>
      <c r="D2" s="268"/>
      <c r="E2" s="267">
        <f>IF(PREMIOS!$C20="","",PREMIOS!$C20)</f>
        <v>11</v>
      </c>
      <c r="F2" s="268"/>
      <c r="G2" s="267">
        <f>IF(PREMIOS!$D20="","",PREMIOS!$D20)</f>
        <v>47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5000+7200</f>
        <v>12200</v>
      </c>
      <c r="D10" s="195">
        <f t="shared" si="0"/>
        <v>0</v>
      </c>
      <c r="E10" s="180">
        <f>2000+2700</f>
        <v>4700</v>
      </c>
      <c r="F10" s="30">
        <f t="shared" si="0"/>
        <v>0</v>
      </c>
      <c r="G10" s="180">
        <v>31300</v>
      </c>
      <c r="H10" s="195">
        <f t="shared" si="0"/>
        <v>0</v>
      </c>
      <c r="J10" s="42">
        <f t="shared" si="3"/>
        <v>48200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35000</v>
      </c>
      <c r="D17" s="195">
        <f t="shared" si="0"/>
        <v>0</v>
      </c>
      <c r="E17" s="194">
        <v>9300</v>
      </c>
      <c r="F17" s="195">
        <f t="shared" si="0"/>
        <v>0</v>
      </c>
      <c r="G17" s="194">
        <v>30000</v>
      </c>
      <c r="H17" s="195">
        <f t="shared" si="2"/>
        <v>0</v>
      </c>
      <c r="J17" s="42">
        <f t="shared" si="3"/>
        <v>74300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19400</v>
      </c>
      <c r="D18" s="195">
        <f t="shared" si="0"/>
        <v>0</v>
      </c>
      <c r="E18" s="180">
        <v>5000</v>
      </c>
      <c r="F18" s="30">
        <f t="shared" si="1"/>
        <v>0</v>
      </c>
      <c r="G18" s="180">
        <v>5000</v>
      </c>
      <c r="H18" s="30">
        <f t="shared" si="2"/>
        <v>0</v>
      </c>
      <c r="J18" s="42">
        <f t="shared" si="3"/>
        <v>29400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>
        <v>-31300</v>
      </c>
      <c r="H27" s="50">
        <f t="shared" si="2"/>
        <v>0</v>
      </c>
      <c r="J27" s="42">
        <f t="shared" si="3"/>
        <v>-31300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66600</v>
      </c>
      <c r="D33" s="44">
        <f t="shared" si="6"/>
        <v>0</v>
      </c>
      <c r="E33" s="43">
        <f t="shared" si="6"/>
        <v>19000</v>
      </c>
      <c r="F33" s="44">
        <f t="shared" si="6"/>
        <v>0</v>
      </c>
      <c r="G33" s="43">
        <f t="shared" si="6"/>
        <v>35000</v>
      </c>
      <c r="H33" s="44">
        <f t="shared" si="6"/>
        <v>0</v>
      </c>
      <c r="J33" s="45">
        <f>SUM(J4:J32)</f>
        <v>120600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73</v>
      </c>
      <c r="D2" s="268"/>
      <c r="E2" s="267">
        <f>IF(PREMIOS!$C21="","",PREMIOS!$C21)</f>
        <v>38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30500+2000</f>
        <v>32500</v>
      </c>
      <c r="D10" s="30">
        <f t="shared" si="0"/>
        <v>0</v>
      </c>
      <c r="E10" s="180">
        <v>40500</v>
      </c>
      <c r="F10" s="30">
        <f t="shared" si="0"/>
        <v>0</v>
      </c>
      <c r="H10" s="42">
        <f t="shared" si="2"/>
        <v>73000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32500</v>
      </c>
      <c r="D33" s="44">
        <f>SUM(D4:D32)</f>
        <v>0</v>
      </c>
      <c r="E33" s="43">
        <f>SUM(E4:E32)</f>
        <v>40500</v>
      </c>
      <c r="F33" s="44">
        <f>SUM(F4:F32)</f>
        <v>0</v>
      </c>
      <c r="H33" s="45">
        <f>SUM(H4:H32)</f>
        <v>73000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2026-05-15T16:23:37Z</dcterms:modified>
  <dc:language>es-CR</dc:language>
</cp:coreProperties>
</file>
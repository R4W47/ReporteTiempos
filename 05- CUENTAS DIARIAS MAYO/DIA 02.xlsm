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5- CUANTAS DIARIAS MAYO/"/>
    </mc:Choice>
  </mc:AlternateContent>
  <xr:revisionPtr revIDLastSave="170" documentId="13_ncr:1_{EB1C27A7-1EBD-4619-B18B-0BCA469E8746}" xr6:coauthVersionLast="47" xr6:coauthVersionMax="47" xr10:uidLastSave="{4133EF33-FDD4-4D82-9665-914FACAE0E5C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I5" i="69"/>
  <c r="K12" i="69" l="1"/>
  <c r="H10" i="62"/>
  <c r="G10" i="62"/>
  <c r="J10" i="61"/>
  <c r="I10" i="61"/>
  <c r="H17" i="60"/>
  <c r="G17" i="60"/>
  <c r="H10" i="60"/>
  <c r="G10" i="60"/>
  <c r="G18" i="60"/>
  <c r="H10" i="61"/>
  <c r="G10" i="61"/>
  <c r="E10" i="65"/>
  <c r="E10" i="62"/>
  <c r="F17" i="60"/>
  <c r="E17" i="60"/>
  <c r="E10" i="60"/>
  <c r="F18" i="60"/>
  <c r="E18" i="60"/>
  <c r="E10" i="61"/>
  <c r="D10" i="62"/>
  <c r="C10" i="62"/>
  <c r="D10" i="60"/>
  <c r="C10" i="60"/>
  <c r="D17" i="60"/>
  <c r="C17" i="60"/>
  <c r="D18" i="60"/>
  <c r="C18" i="60"/>
  <c r="D10" i="61"/>
  <c r="C10" i="61"/>
  <c r="D18" i="64" l="1"/>
  <c r="D18" i="65"/>
  <c r="D12" i="65"/>
  <c r="D11" i="65"/>
  <c r="D10" i="65"/>
  <c r="D18" i="61"/>
  <c r="D9" i="61"/>
  <c r="D8" i="61"/>
  <c r="H16" i="71"/>
  <c r="G16" i="71"/>
  <c r="F16" i="71"/>
  <c r="E16" i="71"/>
  <c r="E23" i="15"/>
  <c r="E22" i="15"/>
  <c r="F23" i="15"/>
  <c r="F22" i="15"/>
  <c r="D23" i="15"/>
  <c r="D22" i="15"/>
  <c r="C23" i="15"/>
  <c r="C22" i="15"/>
  <c r="C21" i="15"/>
  <c r="C16" i="71" s="1"/>
  <c r="H16" i="64"/>
  <c r="D16" i="64"/>
  <c r="E21" i="15" s="1"/>
  <c r="B2" i="23"/>
  <c r="B2" i="22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F21" i="15" l="1"/>
  <c r="D16" i="71"/>
  <c r="D21" i="15"/>
  <c r="G23" i="15"/>
  <c r="G22" i="15"/>
  <c r="K8" i="15"/>
  <c r="K15" i="15"/>
  <c r="J8" i="15"/>
  <c r="I27" i="73"/>
  <c r="I26" i="73"/>
  <c r="I25" i="73"/>
  <c r="I24" i="73"/>
  <c r="I23" i="73"/>
  <c r="I22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0" i="72"/>
  <c r="K19" i="72"/>
  <c r="K18" i="72"/>
  <c r="K17" i="72"/>
  <c r="K16" i="72"/>
  <c r="K15" i="72"/>
  <c r="K14" i="72"/>
  <c r="K13" i="72"/>
  <c r="K12" i="72"/>
  <c r="K11" i="72"/>
  <c r="K10" i="72"/>
  <c r="K9" i="72"/>
  <c r="K8" i="72"/>
  <c r="K7" i="72"/>
  <c r="K6" i="72"/>
  <c r="K5" i="72"/>
  <c r="K4" i="72"/>
  <c r="M27" i="71"/>
  <c r="M26" i="71"/>
  <c r="M25" i="71"/>
  <c r="M24" i="71"/>
  <c r="M23" i="71"/>
  <c r="M22" i="71"/>
  <c r="M20" i="71"/>
  <c r="M19" i="71"/>
  <c r="M15" i="71"/>
  <c r="M14" i="71"/>
  <c r="M13" i="71"/>
  <c r="M11" i="71"/>
  <c r="M9" i="71"/>
  <c r="M8" i="71"/>
  <c r="M7" i="71"/>
  <c r="M6" i="71"/>
  <c r="M5" i="71"/>
  <c r="M4" i="71"/>
  <c r="G36" i="60" l="1"/>
  <c r="E36" i="60"/>
  <c r="G35" i="60"/>
  <c r="E35" i="60"/>
  <c r="C36" i="60"/>
  <c r="C35" i="60"/>
  <c r="G34" i="60"/>
  <c r="E34" i="60"/>
  <c r="C34" i="60"/>
  <c r="L6" i="23"/>
  <c r="K6" i="23"/>
  <c r="J6" i="23"/>
  <c r="L4" i="23"/>
  <c r="K4" i="23"/>
  <c r="J4" i="23"/>
  <c r="F26" i="19"/>
  <c r="L10" i="19" s="1"/>
  <c r="F25" i="19"/>
  <c r="F24" i="19"/>
  <c r="F26" i="8"/>
  <c r="F25" i="8"/>
  <c r="F24" i="8"/>
  <c r="D27" i="62"/>
  <c r="D26" i="62"/>
  <c r="D25" i="62"/>
  <c r="D24" i="62"/>
  <c r="D23" i="62"/>
  <c r="D22" i="62"/>
  <c r="D21" i="62"/>
  <c r="D20" i="62"/>
  <c r="D19" i="62"/>
  <c r="D18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2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5" i="60"/>
  <c r="D14" i="60"/>
  <c r="D36" i="60"/>
  <c r="D11" i="60"/>
  <c r="D35" i="60" s="1"/>
  <c r="D9" i="60"/>
  <c r="D8" i="60"/>
  <c r="D7" i="60"/>
  <c r="F20" i="23"/>
  <c r="F17" i="23"/>
  <c r="F13" i="23"/>
  <c r="F9" i="23"/>
  <c r="F18" i="23"/>
  <c r="F15" i="23"/>
  <c r="F14" i="23"/>
  <c r="F10" i="23"/>
  <c r="F6" i="23"/>
  <c r="F25" i="21"/>
  <c r="F6" i="14"/>
  <c r="F10" i="14"/>
  <c r="F14" i="14"/>
  <c r="F18" i="14"/>
  <c r="F23" i="14"/>
  <c r="F22" i="14"/>
  <c r="D10" i="66"/>
  <c r="H10" i="64"/>
  <c r="D10" i="64"/>
  <c r="F8" i="65"/>
  <c r="F10" i="62"/>
  <c r="D5" i="61"/>
  <c r="F18" i="61"/>
  <c r="F16" i="61"/>
  <c r="D6" i="60"/>
  <c r="F15" i="60"/>
  <c r="F35" i="60"/>
  <c r="F13" i="60"/>
  <c r="F11" i="60"/>
  <c r="F36" i="60"/>
  <c r="F9" i="60"/>
  <c r="F8" i="60"/>
  <c r="F7" i="60"/>
  <c r="F6" i="60"/>
  <c r="H15" i="60"/>
  <c r="H14" i="60"/>
  <c r="H36" i="60"/>
  <c r="H9" i="60"/>
  <c r="H8" i="60"/>
  <c r="H7" i="60"/>
  <c r="H6" i="60"/>
  <c r="F18" i="21"/>
  <c r="F14" i="21"/>
  <c r="F10" i="21"/>
  <c r="F6" i="21"/>
  <c r="F26" i="21"/>
  <c r="L10" i="21" s="1"/>
  <c r="K10" i="19"/>
  <c r="J10" i="19"/>
  <c r="L9" i="19"/>
  <c r="K9" i="19"/>
  <c r="J9" i="19"/>
  <c r="L10" i="8"/>
  <c r="K10" i="8"/>
  <c r="J10" i="8"/>
  <c r="K10" i="21"/>
  <c r="J10" i="21"/>
  <c r="F16" i="65"/>
  <c r="F15" i="65"/>
  <c r="F14" i="65"/>
  <c r="F13" i="65"/>
  <c r="F12" i="65"/>
  <c r="D16" i="62"/>
  <c r="D15" i="62"/>
  <c r="D14" i="62"/>
  <c r="D13" i="62"/>
  <c r="D12" i="62"/>
  <c r="D11" i="62"/>
  <c r="J16" i="61"/>
  <c r="J15" i="61"/>
  <c r="J14" i="61"/>
  <c r="J13" i="61"/>
  <c r="J12" i="61"/>
  <c r="J11" i="61"/>
  <c r="J9" i="61"/>
  <c r="J8" i="61"/>
  <c r="J7" i="61"/>
  <c r="F15" i="61"/>
  <c r="F14" i="61"/>
  <c r="F13" i="61"/>
  <c r="F12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E5" i="16"/>
  <c r="H34" i="60" l="1"/>
  <c r="F34" i="60"/>
  <c r="E7" i="16"/>
  <c r="D34" i="60"/>
  <c r="L8" i="15"/>
  <c r="J8" i="14"/>
  <c r="D21" i="14"/>
  <c r="C12" i="71"/>
  <c r="D22" i="14"/>
  <c r="K15" i="14" s="1"/>
  <c r="G12" i="71"/>
  <c r="E19" i="16"/>
  <c r="D4" i="65"/>
  <c r="D20" i="16"/>
  <c r="K15" i="70"/>
  <c r="K26" i="70"/>
  <c r="K25" i="70"/>
  <c r="K24" i="70"/>
  <c r="K23" i="70"/>
  <c r="K22" i="70"/>
  <c r="K20" i="70"/>
  <c r="K14" i="70"/>
  <c r="K13" i="70"/>
  <c r="K11" i="70"/>
  <c r="K7" i="70"/>
  <c r="O26" i="59"/>
  <c r="O25" i="59"/>
  <c r="O24" i="59"/>
  <c r="O23" i="59"/>
  <c r="O22" i="59"/>
  <c r="O20" i="59"/>
  <c r="F18" i="64"/>
  <c r="E11" i="16"/>
  <c r="L6" i="25"/>
  <c r="K6" i="25"/>
  <c r="L6" i="22"/>
  <c r="K6" i="22"/>
  <c r="F10" i="65"/>
  <c r="F4" i="65"/>
  <c r="J4" i="61"/>
  <c r="E17" i="16"/>
  <c r="E15" i="16"/>
  <c r="D25" i="1"/>
  <c r="C25" i="1"/>
  <c r="B25" i="1"/>
  <c r="D24" i="1"/>
  <c r="C24" i="1"/>
  <c r="B24" i="1"/>
  <c r="D23" i="1"/>
  <c r="C23" i="1"/>
  <c r="B23" i="1"/>
  <c r="D22" i="1"/>
  <c r="C22" i="1"/>
  <c r="B22" i="1"/>
  <c r="D21" i="1"/>
  <c r="C21" i="1"/>
  <c r="B21" i="1"/>
  <c r="D19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6" i="62"/>
  <c r="H15" i="62"/>
  <c r="H14" i="62"/>
  <c r="H13" i="62"/>
  <c r="H12" i="62"/>
  <c r="H11" i="62"/>
  <c r="E16" i="16" s="1"/>
  <c r="H15" i="61"/>
  <c r="H14" i="61"/>
  <c r="H13" i="61"/>
  <c r="H12" i="61"/>
  <c r="H11" i="61"/>
  <c r="E13" i="16" s="1"/>
  <c r="H35" i="60"/>
  <c r="M26" i="52"/>
  <c r="M25" i="52"/>
  <c r="M24" i="52"/>
  <c r="M23" i="52"/>
  <c r="M22" i="52"/>
  <c r="M20" i="52"/>
  <c r="M6" i="52"/>
  <c r="M5" i="52"/>
  <c r="M4" i="52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C2" i="73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B23" i="15" s="1"/>
  <c r="C2" i="68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H21" i="73" s="1"/>
  <c r="I21" i="73" s="1"/>
  <c r="C21" i="73"/>
  <c r="F21" i="73" s="1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F21" i="72"/>
  <c r="E21" i="72"/>
  <c r="H21" i="72" s="1"/>
  <c r="D21" i="72"/>
  <c r="J21" i="72" s="1"/>
  <c r="K21" i="72" s="1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M16" i="71" s="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J7" i="19" s="1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M5" i="6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L6" i="6" l="1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K21" i="71" s="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F21" i="8" l="1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F17" i="52" l="1"/>
  <c r="F12" i="8"/>
  <c r="J5" i="19"/>
  <c r="C24" i="15"/>
  <c r="M21" i="52"/>
  <c r="N17" i="71"/>
  <c r="P17" i="71" s="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O21" i="59" s="1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F24" i="15" l="1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D3" i="1" l="1"/>
  <c r="B5" i="1"/>
  <c r="D4" i="1"/>
  <c r="D5" i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21" i="58" l="1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J6" i="52"/>
  <c r="K6" i="52" s="1"/>
  <c r="J12" i="52"/>
  <c r="J5" i="52"/>
  <c r="K5" i="52" s="1"/>
  <c r="J15" i="52"/>
  <c r="J20" i="52"/>
  <c r="K20" i="52" s="1"/>
  <c r="J14" i="52"/>
  <c r="F16" i="2"/>
  <c r="F12" i="2"/>
  <c r="K21" i="52" l="1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K10" i="25"/>
  <c r="K10" i="17"/>
  <c r="Q7" i="52"/>
  <c r="O28" i="52"/>
  <c r="O26" i="52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Q22" i="52" s="1"/>
  <c r="O24" i="52"/>
  <c r="O20" i="52"/>
  <c r="Q20" i="52" s="1"/>
  <c r="Q9" i="52"/>
  <c r="F19" i="20"/>
  <c r="Q10" i="52"/>
  <c r="O23" i="52"/>
  <c r="Q23" i="52" s="1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I32" i="70" l="1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Q4" i="52" s="1"/>
  <c r="G8" i="7"/>
  <c r="G21" i="7" s="1"/>
  <c r="O5" i="52"/>
  <c r="Q5" i="52" s="1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G7" i="74" l="1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4" i="1"/>
  <c r="F11" i="1"/>
  <c r="F25" i="1"/>
  <c r="F3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<sst xmlns="http://schemas.openxmlformats.org/spreadsheetml/2006/main" count="1294" uniqueCount="161">
  <si>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</si>
  <si>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</si>
  <si>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</si>
  <si>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</si>
  <si>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</si>
  <si>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</si>
  <si>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</si>
  <si>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</si>
  <si>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</si>
  <si>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</si>
  <si>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</si>
  <si>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</si>
  <si>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</si>
  <si>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</si>
  <si>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</si>
  <si>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</si>
  <si>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</si>
  <si>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</si>
  <si>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</si>
  <si>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</si>
  <si>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</si>
  <si>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</si>
  <si>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</si>
  <si>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</si>
  <si>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</si>
  <si>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</si>
  <si>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</si>
  <si>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</si>
  <si>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</si>
  <si>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</si>
  <si>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</si>
  <si>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</si>
  <si>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</si>
  <si>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</si>
  <si>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</si>
  <si>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</si>
  <si>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</si>
  <si>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</si>
  <si>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</si>
  <si>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</si>
  <si>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</si>
  <si>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</si>
  <si>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</si>
  <si>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</si>
  <si>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</si>
  <si>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</si>
  <si>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</si>
  <si>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</si>
  <si>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</si>
  <si>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</si>
  <si>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</si>
  <si>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</si>
  <si>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</si>
  <si>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</si>
  <si>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</si>
  <si>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</si>
  <si>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</si>
  <si>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</si>
  <si>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</si>
  <si>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</si>
  <si>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</si>
  <si>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</si>
  <si>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</si>
  <si>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</si>
  <si>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</si>
  <si>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</si>
  <si>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</si>
  <si>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</si>
  <si>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</si>
  <si>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</si>
  <si>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</si>
  <si>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</si>
  <si>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</si>
  <si>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</si>
  <si>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</si>
  <si>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</si>
  <si>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</si>
  <si>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</si>
  <si>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</si>
  <si>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</si>
  <si>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</si>
  <si>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</si>
  <si>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</si>
  <si>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</si>
  <si>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</si>
  <si>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</si>
  <si>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</si>
  <si>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</si>
  <si>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</si>
  <si>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</si>
  <si>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</si>
  <si>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</si>
  <si>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</si>
  <si>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</si>
  <si>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</si>
  <si>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</si>
  <si>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</si>
  <si>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</si>
  <si>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</si>
  <si>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</si>
  <si>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</si>
  <si>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</si>
  <si>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</si>
  <si>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</si>
  <si>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</si>
  <si>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</si>
  <si>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</si>
  <si>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</si>
  <si>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</si>
  <si>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</si>
  <si>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</si>
  <si>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</si>
  <si>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</si>
  <si>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</si>
  <si>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</si>
  <si>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</si>
  <si>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</si>
  <si>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</si>
  <si>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</si>
  <si>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</si>
  <si>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</si>
  <si>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</si>
  <si>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</si>
  <si>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</si>
  <si>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</si>
  <si>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</si>
  <si>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</si>
  <si>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</si>
  <si>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</si>
  <si>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</si>
  <si>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</si>
  <si>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</si>
  <si>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</si>
  <si>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</si>
  <si>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</si>
  <si>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</si>
  <si>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</si>
  <si>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</si>
  <si>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</si>
  <si>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</si>
  <si>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</si>
  <si>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</si>
  <si>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</si>
  <si>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</si>
  <si>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</si>
  <si>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</si>
  <si>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</si>
  <si>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</si>
  <si>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</si>
  <si>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</si>
  <si>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</si>
  <si>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</si>
  <si>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</si>
  <si>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</si>
  <si>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</si>
  <si>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</si>
  <si>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</si>
  <si>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</si>
  <si>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</si>
  <si>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06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</si>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</sst>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285150</v>
      </c>
      <c r="C3" s="9">
        <f>+HojaTICA!K4+HojaNICA!M4+HojaREVENTADO!K4+HojaPrimera!I4+HojaHonduras!K4+HojaDominicana!I4+HojaPANA!G4</f>
        <v>37100</v>
      </c>
      <c r="D3" s="9">
        <f>+HojaTICA!N4+HojaNICA!P4+HojaREVENTADO!O4+HojaPrimera!L4+HojaHonduras!N4+HojaDominicana!L4+HojaPANA!J4</f>
        <v>590750</v>
      </c>
      <c r="F3" s="10">
        <f t="shared" ref="F3:F27" si="0">+B3-C3-D3</f>
        <v>-342700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282950</v>
      </c>
      <c r="C4" s="9">
        <f>+HojaTICA!K5+HojaNICA!M5+HojaREVENTADO!K5+HojaPrimera!I5+HojaHonduras!K5+HojaDominicana!I5+HojaPANA!G5</f>
        <v>36800</v>
      </c>
      <c r="D4" s="9">
        <f>+HojaTICA!N5+HojaNICA!P5+HojaREVENTADO!O5+HojaPrimera!L5+HojaHonduras!N5+HojaDominicana!L5+HojaPANA!J5</f>
        <v>289250</v>
      </c>
      <c r="F4" s="14">
        <f t="shared" si="0"/>
        <v>-43100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0</v>
      </c>
      <c r="C7" s="9">
        <f>+HojaTICA!K8+HojaNICA!M8+HojaREVENTADO!K8+HojaPrimera!I8+HojaHonduras!K8+HojaDominicana!I8+HojaPANA!G8</f>
        <v>0</v>
      </c>
      <c r="D7" s="9">
        <f>+HojaTICA!N8+HojaNICA!P8+HojaREVENTADO!O8+HojaPrimera!L8+HojaHonduras!N8+HojaDominicana!L8+HojaPANA!J8</f>
        <v>0</v>
      </c>
      <c r="F7" s="14">
        <f t="shared" si="0"/>
        <v>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831350</v>
      </c>
      <c r="C9" s="9">
        <f>+HojaTICA!K10+HojaNICA!M10+HojaREVENTADO!K10+HojaPrimera!I10+HojaHonduras!K10+HojaDominicana!I10+HojaPANA!G10</f>
        <v>97610</v>
      </c>
      <c r="D9" s="9">
        <f>+HojaTICA!N10+HojaNICA!P10+HojaREVENTADO!O10+HojaPrimera!L10+HojaHonduras!N10+HojaDominicana!L10+HojaPANA!J10</f>
        <v>352750</v>
      </c>
      <c r="F9" s="14">
        <f t="shared" si="0"/>
        <v>380990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26200</v>
      </c>
      <c r="C10" s="9">
        <f>+HojaTICA!K11+HojaNICA!M11+HojaREVENTADO!K11+HojaPrimera!I11+HojaHonduras!K11+HojaDominicana!I11+HojaPANA!G11</f>
        <v>3150</v>
      </c>
      <c r="D10" s="9">
        <f>+HojaTICA!N11+HojaNICA!P11+HojaREVENTADO!O11+HojaPrimera!L11+HojaHonduras!N11+HojaDominicana!L11+HojaPANA!J11</f>
        <v>17000</v>
      </c>
      <c r="F10" s="14">
        <f t="shared" si="0"/>
        <v>6050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189200</v>
      </c>
      <c r="C11" s="9">
        <f>+HojaTICA!K12+HojaNICA!M12+HojaREVENTADO!K12+HojaPrimera!I12+HojaHonduras!K12+HojaDominicana!I12+HojaPANA!G12</f>
        <v>22670</v>
      </c>
      <c r="D11" s="9">
        <f>+HojaTICA!N12+HojaNICA!P12+HojaREVENTADO!O12+HojaPrimera!L12+HojaHonduras!N12+HojaDominicana!L12+HojaPANA!J12</f>
        <v>161500</v>
      </c>
      <c r="F11" s="14">
        <f t="shared" si="0"/>
        <v>5030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193100</v>
      </c>
      <c r="C12" s="9">
        <f>+HojaTICA!K13+HojaNICA!M13+HojaREVENTADO!K13+HojaPrimera!I13+HojaHonduras!K13+HojaDominicana!I13+HojaPANA!G13</f>
        <v>23200</v>
      </c>
      <c r="D12" s="9">
        <f>+HojaTICA!N13+HojaNICA!P13+HojaREVENTADO!O13+HojaPrimera!L13+HojaHonduras!N13+HojaDominicana!L13+HojaPANA!J13</f>
        <v>160500</v>
      </c>
      <c r="F12" s="14">
        <f t="shared" si="0"/>
        <v>9400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64700</v>
      </c>
      <c r="C13" s="9">
        <f>+HojaTICA!K14+HojaNICA!M14+HojaREVENTADO!K14+HojaPrimera!I14+HojaHonduras!K14+HojaDominicana!I14+HojaPANA!G14</f>
        <v>9700</v>
      </c>
      <c r="D13" s="9">
        <f>+HojaTICA!N14+HojaNICA!P14+HojaREVENTADO!O14+HojaPrimera!L14+HojaHonduras!N14+HojaDominicana!L14+HojaPANA!J14</f>
        <v>40000</v>
      </c>
      <c r="F13" s="14">
        <f t="shared" si="0"/>
        <v>15000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137250</v>
      </c>
      <c r="C15" s="9">
        <f>+HojaTICA!K16+HojaNICA!M16+HojaREVENTADO!K16+HojaPrimera!I16+HojaHonduras!K16+HojaDominicana!I16+HojaPANA!G16</f>
        <v>16450</v>
      </c>
      <c r="D15" s="9">
        <f>+HojaTICA!N16+HojaNICA!P16+HojaREVENTADO!O16+HojaPrimera!L16+HojaHonduras!N16+HojaDominicana!L16+HojaPANA!J16</f>
        <v>185750</v>
      </c>
      <c r="F15" s="14">
        <f t="shared" si="0"/>
        <v>-64950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1153650</v>
      </c>
      <c r="C16" s="9">
        <f>+HojaTICA!K17+HojaNICA!M17+HojaREVENTADO!K17+HojaPrimera!I17+HojaHonduras!K17+HojaDominicana!I17+HojaPANA!G17</f>
        <v>136890</v>
      </c>
      <c r="D16" s="9">
        <f>+HojaTICA!N17+HojaNICA!P17+HojaREVENTADO!O17+HojaPrimera!L17+HojaHonduras!N17+HojaDominicana!L17+HojaPANA!J17</f>
        <v>1075250</v>
      </c>
      <c r="F16" s="14">
        <f t="shared" si="0"/>
        <v>-58490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460100</v>
      </c>
      <c r="C17" s="9">
        <f>+HojaTICA!K18+HojaNICA!M18+HojaREVENTADO!K18+HojaPrimera!I18+HojaHonduras!K18+HojaDominicana!I18+HojaPANA!G18</f>
        <v>54215</v>
      </c>
      <c r="D17" s="9">
        <f>+HojaTICA!N18+HojaNICA!P18+HojaREVENTADO!O18+HojaPrimera!L18+HojaHonduras!N18+HojaDominicana!L18+HojaPANA!J18</f>
        <v>323000</v>
      </c>
      <c r="F17" s="14">
        <f t="shared" si="0"/>
        <v>82885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3623650</v>
      </c>
      <c r="C28" s="17">
        <f t="shared" si="1"/>
        <v>437785</v>
      </c>
      <c r="D28" s="18">
        <f t="shared" si="1"/>
        <v>3195750</v>
      </c>
      <c r="F28" s="20">
        <f>SUM(F3:F27)</f>
        <v>-9885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83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 t="s">
        <v>160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26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50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19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30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41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39</v>
      </c>
      <c r="C19" s="132">
        <v>16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 t="s">
        <v>159</v>
      </c>
      <c r="C20" s="163">
        <v>27</v>
      </c>
      <c r="D20" s="166">
        <v>25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20</v>
      </c>
      <c r="C21" s="164">
        <v>88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 t="str">
        <f>DigitaTICA!C2</f>
        <v>02</v>
      </c>
      <c r="D2" s="268"/>
      <c r="E2" s="267">
        <f>DigitaTICA!E2</f>
        <v>50</v>
      </c>
      <c r="F2" s="268"/>
      <c r="G2" s="267">
        <f>DigitaTICA!G2</f>
        <v>30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51350</v>
      </c>
      <c r="D4" s="30">
        <f>IF(Vendedor1!$E$7="",0,Vendedor1!$E$7)</f>
        <v>400</v>
      </c>
      <c r="E4" s="180">
        <f>IF(Vendedor1!$C$11="",0,Vendedor1!$C$11)</f>
        <v>45700</v>
      </c>
      <c r="F4" s="30">
        <f>IF(Vendedor1!$E$11="",0,Vendedor1!$E$11)</f>
        <v>300</v>
      </c>
      <c r="G4" s="180">
        <f>IF(Vendedor1!$C$15="",0,Vendedor1!$C$15)</f>
        <v>104050</v>
      </c>
      <c r="H4" s="30">
        <f>IF(Vendedor1!$E$15="",0,Vendedor1!$E$15)</f>
        <v>6250</v>
      </c>
      <c r="J4" s="42">
        <f t="shared" ref="J4:J7" si="0">+C4+E4+G4</f>
        <v>201100</v>
      </c>
      <c r="K4" s="41">
        <f>MROUND(J4*Vendedor1!J$9,50)</f>
        <v>26150</v>
      </c>
      <c r="L4" s="42">
        <f t="shared" ref="L4:L7" si="1">+D4+F4+H4</f>
        <v>6950</v>
      </c>
      <c r="M4" s="42">
        <f t="shared" ref="M4:M7" si="2">+L4*85</f>
        <v>590750</v>
      </c>
      <c r="N4" s="42">
        <f>Vendedor1!$F$7+Vendedor1!$F$11+Vendedor1!$F$15</f>
        <v>590750</v>
      </c>
      <c r="P4" s="42">
        <f t="shared" ref="P4:P7" si="3">+J4-K4-N4</f>
        <v>-415800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67500</v>
      </c>
      <c r="D5" s="30">
        <f>IF(Vendedor2!$E$7="",0,Vendedor2!$E$7)</f>
        <v>500</v>
      </c>
      <c r="E5" s="180">
        <f>IF(Vendedor2!$C$11="",0,Vendedor2!$C$11)</f>
        <v>52000</v>
      </c>
      <c r="F5" s="30">
        <f>IF(Vendedor2!$E$11="",0,Vendedor2!$E$11)</f>
        <v>250</v>
      </c>
      <c r="G5" s="180">
        <f>IF(Vendedor2!$C$15="",0,Vendedor2!$C$15)</f>
        <v>79050</v>
      </c>
      <c r="H5" s="30">
        <f>IF(Vendedor2!$E$15="",0,Vendedor2!$E$15)</f>
        <v>1900</v>
      </c>
      <c r="J5" s="42">
        <f t="shared" si="0"/>
        <v>198550</v>
      </c>
      <c r="K5" s="41">
        <f>MROUND(J5*Vendedor2!J$9,50)</f>
        <v>25800</v>
      </c>
      <c r="L5" s="42">
        <f t="shared" si="1"/>
        <v>2650</v>
      </c>
      <c r="M5" s="42">
        <f t="shared" si="2"/>
        <v>225250</v>
      </c>
      <c r="N5" s="42">
        <f>Vendedor2!$F$7+Vendedor2!$F$11+Vendedor2!$F$15</f>
        <v>225250</v>
      </c>
      <c r="P5" s="42">
        <f t="shared" si="3"/>
        <v>-52500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0</v>
      </c>
      <c r="D8" s="30">
        <f>IF(Vendedor5!$E$7="",0,Vendedor5!$E$7)</f>
        <v>0</v>
      </c>
      <c r="E8" s="180">
        <f>IF(Vendedor5!$C$11="",0,Vendedor5!$C$11)</f>
        <v>0</v>
      </c>
      <c r="F8" s="30">
        <f>IF(Vendedor5!$E$11="",0,Vendedor5!$E$11)</f>
        <v>0</v>
      </c>
      <c r="G8" s="180">
        <f>IF(Vendedor5!$C$15="",0,Vendedor5!$C$15)</f>
        <v>0</v>
      </c>
      <c r="H8" s="30">
        <f>IF(Vendedor5!$E$15="",0,Vendedor5!$E$15)</f>
        <v>0</v>
      </c>
      <c r="J8" s="42">
        <f t="shared" ref="J8" si="4">+C8+E8+G8</f>
        <v>0</v>
      </c>
      <c r="K8" s="41">
        <f>MROUND(J8*Vendedor5!J$11,50)</f>
        <v>0</v>
      </c>
      <c r="L8" s="42">
        <f t="shared" ref="L8" si="5">+D8+F8+H8</f>
        <v>0</v>
      </c>
      <c r="M8" s="42">
        <f t="shared" ref="M8" si="6">+L8*85</f>
        <v>0</v>
      </c>
      <c r="N8" s="42">
        <f>Vendedor5!$F$7+Vendedor5!$F$11+Vendedor5!$F$15</f>
        <v>0</v>
      </c>
      <c r="P8" s="42">
        <f t="shared" ref="P8" si="7">+J8-K8-N8</f>
        <v>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92450</v>
      </c>
      <c r="D10" s="30">
        <f>IF(Vendedor7!$E$7="",0,Vendedor7!$E$7)</f>
        <v>1250</v>
      </c>
      <c r="E10" s="180">
        <f>IF(Vendedor7!$C$11="",0,Vendedor7!$C$11)</f>
        <v>93750</v>
      </c>
      <c r="F10" s="30">
        <f>IF(Vendedor7!$E$11="",0,Vendedor7!$E$11)</f>
        <v>200</v>
      </c>
      <c r="G10" s="180">
        <f>IF(Vendedor7!$C$15="",0,Vendedor7!$C$15)</f>
        <v>137600</v>
      </c>
      <c r="H10" s="30">
        <f>IF(Vendedor7!$E$15="",0,Vendedor7!$E$15)</f>
        <v>700</v>
      </c>
      <c r="J10" s="42">
        <f t="shared" si="8"/>
        <v>323800</v>
      </c>
      <c r="K10" s="41">
        <f>MROUND(J10*Vendedor7!J$14,50)</f>
        <v>38850</v>
      </c>
      <c r="L10" s="42">
        <f t="shared" si="9"/>
        <v>2150</v>
      </c>
      <c r="M10" s="42">
        <f t="shared" si="10"/>
        <v>182750</v>
      </c>
      <c r="N10" s="42">
        <f>Vendedor7!$F$7+Vendedor7!$F$11+Vendedor7!$F$15</f>
        <v>182750</v>
      </c>
      <c r="P10" s="42">
        <f t="shared" si="11"/>
        <v>102200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3000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23200</v>
      </c>
      <c r="H11" s="30">
        <f>IF(Vendedor8!$E$15="",0,Vendedor8!$E$15)</f>
        <v>200</v>
      </c>
      <c r="J11" s="42">
        <f t="shared" si="8"/>
        <v>26200</v>
      </c>
      <c r="K11" s="41">
        <f>MROUND(J11*Vendedor8!J$11,50)</f>
        <v>3150</v>
      </c>
      <c r="L11" s="42">
        <f t="shared" si="9"/>
        <v>200</v>
      </c>
      <c r="M11" s="42">
        <f t="shared" si="10"/>
        <v>17000</v>
      </c>
      <c r="N11" s="42">
        <f>Vendedor8!$F$7+Vendedor8!$F$11+Vendedor8!$F$15</f>
        <v>17000</v>
      </c>
      <c r="P11" s="42">
        <f t="shared" si="11"/>
        <v>6050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42450</v>
      </c>
      <c r="D12" s="30">
        <f>IF(Vendedor9!$E$7="",0,Vendedor9!$E$7)</f>
        <v>800</v>
      </c>
      <c r="E12" s="180">
        <f>IF(Vendedor9!$C$11="",0,Vendedor9!$C$11)</f>
        <v>23700</v>
      </c>
      <c r="F12" s="30">
        <f>IF(Vendedor9!$E$11="",0,Vendedor9!$E$11)</f>
        <v>300</v>
      </c>
      <c r="G12" s="180">
        <f>IF(Vendedor9!$C$15="",0,Vendedor9!$C$15)</f>
        <v>12050</v>
      </c>
      <c r="H12" s="30">
        <f>IF(Vendedor9!$E$15="",0,Vendedor9!$E$15)</f>
        <v>500</v>
      </c>
      <c r="J12" s="42">
        <f t="shared" si="8"/>
        <v>78200</v>
      </c>
      <c r="K12" s="41">
        <f>MROUND(J12*Vendedor9!J$11,50)</f>
        <v>9400</v>
      </c>
      <c r="L12" s="42">
        <f t="shared" si="9"/>
        <v>1600</v>
      </c>
      <c r="M12" s="42">
        <f t="shared" si="10"/>
        <v>136000</v>
      </c>
      <c r="N12" s="42">
        <f>Vendedor9!$F$7+Vendedor9!$F$11+Vendedor9!$F$15</f>
        <v>136000</v>
      </c>
      <c r="P12" s="42">
        <f t="shared" si="11"/>
        <v>-67200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33550</v>
      </c>
      <c r="D13" s="30">
        <f>IF(Vendedor10!$E$7="",0,Vendedor10!$E$7)</f>
        <v>600</v>
      </c>
      <c r="E13" s="180">
        <f>IF(Vendedor10!$C$11="",0,Vendedor10!$C$11)</f>
        <v>20950</v>
      </c>
      <c r="F13" s="30">
        <f>IF(Vendedor10!$E$11="",0,Vendedor10!$E$11)</f>
        <v>0</v>
      </c>
      <c r="G13" s="180">
        <f>IF(Vendedor10!$C$15="",0,Vendedor10!$C$15)</f>
        <v>57900</v>
      </c>
      <c r="H13" s="30">
        <f>IF(Vendedor10!$E$15="",0,Vendedor10!$E$15)</f>
        <v>1100</v>
      </c>
      <c r="J13" s="42">
        <f t="shared" si="8"/>
        <v>112400</v>
      </c>
      <c r="K13" s="41">
        <f>MROUND(J13*Vendedor10!J$9,50)</f>
        <v>13500</v>
      </c>
      <c r="L13" s="42">
        <f t="shared" si="9"/>
        <v>1700</v>
      </c>
      <c r="M13" s="42">
        <f t="shared" si="10"/>
        <v>144500</v>
      </c>
      <c r="N13" s="42">
        <f>Vendedor10!$F$7+Vendedor10!$F$11+Vendedor10!$F$15</f>
        <v>144500</v>
      </c>
      <c r="P13" s="42">
        <f t="shared" si="11"/>
        <v>-45600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14400</v>
      </c>
      <c r="D14" s="30">
        <f>IF(Vendedor11!$E$7="",0,Vendedor11!$E$7)</f>
        <v>0</v>
      </c>
      <c r="E14" s="180">
        <f>IF(Vendedor11!$C$11="",0,Vendedor11!$C$11)</f>
        <v>18650</v>
      </c>
      <c r="F14" s="30">
        <f>IF(Vendedor11!$E$11="",0,Vendedor11!$E$11)</f>
        <v>500</v>
      </c>
      <c r="G14" s="180">
        <f>IF(Vendedor11!$C$15="",0,Vendedor11!$C$15)</f>
        <v>31650</v>
      </c>
      <c r="H14" s="30">
        <f>IF(Vendedor11!$E$15="",0,Vendedor11!$E$15)</f>
        <v>0</v>
      </c>
      <c r="J14" s="42">
        <f t="shared" si="8"/>
        <v>64700</v>
      </c>
      <c r="K14" s="41">
        <f>MROUND(J14*Vendedor11!J$9,50)</f>
        <v>9700</v>
      </c>
      <c r="L14" s="42">
        <f t="shared" si="9"/>
        <v>500</v>
      </c>
      <c r="M14" s="42">
        <f t="shared" si="10"/>
        <v>42500</v>
      </c>
      <c r="N14" s="42">
        <f>Vendedor11!$F$7+Vendedor11!$F$11+Vendedor11!$F$15</f>
        <v>40000</v>
      </c>
      <c r="P14" s="42">
        <f t="shared" si="11"/>
        <v>15000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36250</v>
      </c>
      <c r="D16" s="30">
        <f>IF(Vendedor13!$E$7="",0,Vendedor13!$E$7)</f>
        <v>450</v>
      </c>
      <c r="E16" s="180">
        <f>IF(Vendedor13!$C$11="",0,Vendedor13!$C$11)</f>
        <v>20500</v>
      </c>
      <c r="F16" s="30">
        <f>IF(Vendedor13!$E$11="",0,Vendedor13!$E$11)</f>
        <v>500</v>
      </c>
      <c r="G16" s="180">
        <f>IF(Vendedor13!$C$15="",0,Vendedor13!$C$15)</f>
        <v>33600</v>
      </c>
      <c r="H16" s="30">
        <f>IF(Vendedor13!$E$15="",0,Vendedor13!$E$15)</f>
        <v>1000</v>
      </c>
      <c r="J16" s="42">
        <f t="shared" si="8"/>
        <v>90350</v>
      </c>
      <c r="K16" s="41">
        <f>MROUND(J16*Vendedor13!J$11,50)</f>
        <v>10850</v>
      </c>
      <c r="L16" s="42">
        <f t="shared" si="9"/>
        <v>1950</v>
      </c>
      <c r="M16" s="42">
        <f t="shared" si="10"/>
        <v>165750</v>
      </c>
      <c r="N16" s="42">
        <f>Vendedor13!$F$7+Vendedor13!$F$11+Vendedor13!$F$15</f>
        <v>165750</v>
      </c>
      <c r="P16" s="42">
        <f t="shared" si="11"/>
        <v>-86250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128050</v>
      </c>
      <c r="D17" s="30">
        <f>IF(Vendedor14!$E$7="",0,Vendedor14!$E$7)</f>
        <v>2550</v>
      </c>
      <c r="E17" s="180">
        <f>IF(Vendedor14!$C$11="",0,Vendedor14!$C$11)</f>
        <v>122350</v>
      </c>
      <c r="F17" s="30">
        <f>IF(Vendedor14!$E$11="",0,Vendedor14!$E$11)</f>
        <v>1700</v>
      </c>
      <c r="G17" s="180">
        <f>IF(Vendedor14!$C$15="",0,Vendedor14!$C$15)</f>
        <v>199100</v>
      </c>
      <c r="H17" s="30">
        <f>IF(Vendedor14!$E$15="",0,Vendedor14!$E$15)</f>
        <v>1850</v>
      </c>
      <c r="J17" s="42">
        <f t="shared" si="8"/>
        <v>449500</v>
      </c>
      <c r="K17" s="41">
        <f>MROUND(J17*Vendedor14!J$15,50)</f>
        <v>53950</v>
      </c>
      <c r="L17" s="42">
        <f t="shared" si="9"/>
        <v>6100</v>
      </c>
      <c r="M17" s="42">
        <f t="shared" si="10"/>
        <v>518500</v>
      </c>
      <c r="N17" s="42">
        <f>Vendedor14!$F$7+Vendedor14!$F$11+Vendedor14!$F$15</f>
        <v>518500</v>
      </c>
      <c r="P17" s="42">
        <f t="shared" si="11"/>
        <v>-122950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46100</v>
      </c>
      <c r="D18" s="30">
        <f>IF(Vendedor15!$E$7="",0,Vendedor15!$E$7)</f>
        <v>2400</v>
      </c>
      <c r="E18" s="180">
        <f>IF(Vendedor15!$C$11="",0,Vendedor15!$C$11)</f>
        <v>49600</v>
      </c>
      <c r="F18" s="30">
        <f>IF(Vendedor15!$E$11="",0,Vendedor15!$E$11)</f>
        <v>900</v>
      </c>
      <c r="G18" s="180">
        <f>IF(Vendedor15!$C$15="",0,Vendedor15!$C$15)</f>
        <v>58400</v>
      </c>
      <c r="H18" s="30">
        <f>IF(Vendedor15!$E$15="",0,Vendedor15!$E$15)</f>
        <v>100</v>
      </c>
      <c r="J18" s="42">
        <f t="shared" ref="J18" si="12">+C18+E18+G18</f>
        <v>154100</v>
      </c>
      <c r="K18" s="41">
        <f>MROUND(J18*Vendedor15!J$15,50)</f>
        <v>18500</v>
      </c>
      <c r="L18" s="42">
        <f t="shared" ref="L18" si="13">+D18+F18+H18</f>
        <v>3400</v>
      </c>
      <c r="M18" s="42">
        <f t="shared" ref="M18" si="14">+L18*85</f>
        <v>289000</v>
      </c>
      <c r="N18" s="42">
        <f>Vendedor15!$F$7+Vendedor15!$F$11+Vendedor15!$F$15</f>
        <v>289000</v>
      </c>
      <c r="P18" s="42">
        <f t="shared" ref="P18" si="15">+J18-K18-N18</f>
        <v>-153400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515100</v>
      </c>
      <c r="D32" s="44">
        <f t="shared" si="16"/>
        <v>8950</v>
      </c>
      <c r="E32" s="43">
        <f t="shared" si="16"/>
        <v>447200</v>
      </c>
      <c r="F32" s="44">
        <f t="shared" si="16"/>
        <v>4650</v>
      </c>
      <c r="G32" s="43">
        <f t="shared" si="16"/>
        <v>736600</v>
      </c>
      <c r="H32" s="44">
        <f t="shared" si="16"/>
        <v>13600</v>
      </c>
      <c r="J32" s="95">
        <f>SUM(J4:J31)</f>
        <v>1698900</v>
      </c>
      <c r="K32" s="45">
        <f>SUM(K7:K31)</f>
        <v>157900</v>
      </c>
      <c r="L32" s="95">
        <f>SUM(L4:L31)</f>
        <v>27200</v>
      </c>
      <c r="M32" s="95">
        <f>SUM(M4:M31)</f>
        <v>2312000</v>
      </c>
      <c r="N32" s="95">
        <f>SUM(N4:N31)</f>
        <v>2309500</v>
      </c>
      <c r="P32" s="79">
        <f>SUM(P4:P31)</f>
        <v>-820450</v>
      </c>
    </row>
    <row r="33" spans="3:13" x14ac:dyDescent="0.35">
      <c r="D33" s="99">
        <f>+D32*85</f>
        <v>760750</v>
      </c>
      <c r="F33" s="99">
        <f>+F32*85</f>
        <v>395250</v>
      </c>
      <c r="H33" s="99">
        <f>+H32*85</f>
        <v>1156000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1698900</v>
      </c>
      <c r="E36" s="43">
        <f>+D36-J4-J5-J6</f>
        <v>1299250</v>
      </c>
      <c r="G36" s="101"/>
    </row>
    <row r="37" spans="3:13" x14ac:dyDescent="0.35">
      <c r="C37" s="47" t="s">
        <v>33</v>
      </c>
      <c r="D37" s="48">
        <f>D36*13%</f>
        <v>220857</v>
      </c>
      <c r="E37">
        <f>+D37-K4-K5-K6</f>
        <v>168907</v>
      </c>
      <c r="G37" s="100"/>
      <c r="H37" s="100"/>
    </row>
    <row r="38" spans="3:13" ht="15" thickBot="1" x14ac:dyDescent="0.4">
      <c r="C38" s="47" t="s">
        <v>30</v>
      </c>
      <c r="D38" s="30">
        <f>M32</f>
        <v>2312000</v>
      </c>
      <c r="G38" s="100"/>
      <c r="H38" s="100"/>
    </row>
    <row r="39" spans="3:13" ht="15" thickBot="1" x14ac:dyDescent="0.4">
      <c r="C39" s="49" t="s">
        <v>4</v>
      </c>
      <c r="D39" s="80">
        <f>+D36-D37-D38</f>
        <v>-833957</v>
      </c>
      <c r="F39" s="98">
        <f>+P32-D39</f>
        <v>13507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-833957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83</v>
      </c>
      <c r="D2" s="268"/>
      <c r="E2" s="267">
        <f>DigitaNICA!E2</f>
        <v>26</v>
      </c>
      <c r="F2" s="268"/>
      <c r="G2" s="267">
        <f>DigitaNICA!G2</f>
        <v>19</v>
      </c>
      <c r="H2" s="268"/>
      <c r="I2" s="267">
        <f>DigitaNICA!I2</f>
        <v>41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31400</v>
      </c>
      <c r="D4" s="78">
        <f>IF(Vendedor1!$E$5="",0,Vendedor1!$E$5)</f>
        <v>0</v>
      </c>
      <c r="E4" s="189">
        <f>IF(Vendedor1!$C$9="",0,Vendedor1!$C$9)</f>
        <v>24350</v>
      </c>
      <c r="F4" s="78">
        <f>IF(Vendedor1!$E$9="",0,Vendedor1!$E$9)</f>
        <v>0</v>
      </c>
      <c r="G4" s="189">
        <f>IF(Vendedor1!$C$13="",0,Vendedor1!$C$13)</f>
        <v>3250</v>
      </c>
      <c r="H4" s="78">
        <f>IF(Vendedor1!$E$13="",0,Vendedor1!$E$13)</f>
        <v>0</v>
      </c>
      <c r="I4" s="189">
        <f>IF(Vendedor1!$C$17="",0,Vendedor1!$C$17)</f>
        <v>16000</v>
      </c>
      <c r="J4" s="78">
        <f>IF(Vendedor1!$E$17="",0,Vendedor1!$E$17)</f>
        <v>0</v>
      </c>
      <c r="L4" s="42">
        <f t="shared" ref="L4:L7" si="0">C4+E4+G4+I4</f>
        <v>75000</v>
      </c>
      <c r="M4" s="41">
        <f>MROUND(L4*Vendedor1!J$10,50)</f>
        <v>9750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65250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32100</v>
      </c>
      <c r="D5" s="30">
        <f>IF(Vendedor2!$E$5="",0,Vendedor2!$E$5)</f>
        <v>0</v>
      </c>
      <c r="E5" s="180">
        <f>IF(Vendedor2!$C$9="",0,Vendedor2!$C$9)</f>
        <v>14550</v>
      </c>
      <c r="F5" s="30">
        <f>IF(Vendedor2!$E$9="",0,Vendedor2!$E$9)</f>
        <v>0</v>
      </c>
      <c r="G5" s="180">
        <f>IF(Vendedor2!$C$13="",0,Vendedor2!$C$13)</f>
        <v>17850</v>
      </c>
      <c r="H5" s="30">
        <f>IF(Vendedor2!$E$13="",0,Vendedor2!$E$13)</f>
        <v>800</v>
      </c>
      <c r="I5" s="180">
        <f>IF(Vendedor2!$C$17="",0,Vendedor2!$C$17)</f>
        <v>16550</v>
      </c>
      <c r="J5" s="30">
        <f>IF(Vendedor2!$E$17="",0,Vendedor2!$E$17)</f>
        <v>0</v>
      </c>
      <c r="L5" s="42">
        <f t="shared" si="0"/>
        <v>81050</v>
      </c>
      <c r="M5" s="41">
        <f>MROUND(L5*Vendedor2!J$10,50)</f>
        <v>10550</v>
      </c>
      <c r="N5" s="42">
        <f t="shared" si="1"/>
        <v>800</v>
      </c>
      <c r="O5" s="41">
        <f t="shared" ref="O5:O27" si="3">IFERROR(N5*85,0)</f>
        <v>68000</v>
      </c>
      <c r="P5" s="42">
        <f>Vendedor2!$F$5+Vendedor2!$F$9+Vendedor2!$F$13+Vendedor2!$F$17</f>
        <v>64000</v>
      </c>
      <c r="Q5">
        <v>5</v>
      </c>
      <c r="R5" s="41">
        <f t="shared" si="2"/>
        <v>2500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0</v>
      </c>
      <c r="D8" s="30">
        <f>IF(Vendedor5!$E$5="",0,Vendedor5!$E$5)</f>
        <v>0</v>
      </c>
      <c r="E8" s="180">
        <f>IF(Vendedor5!$C$9="",0,Vendedor5!$C$9)</f>
        <v>0</v>
      </c>
      <c r="F8" s="30">
        <f>IF(Vendedor5!$E$9="",0,Vendedor5!$E$9)</f>
        <v>0</v>
      </c>
      <c r="G8" s="180">
        <f>IF(Vendedor5!$C$13="",0,Vendedor5!$C$13)</f>
        <v>0</v>
      </c>
      <c r="H8" s="30">
        <f>IF(Vendedor5!$E$13="",0,Vendedor5!$E$13)</f>
        <v>0</v>
      </c>
      <c r="I8" s="180">
        <f>IF(Vendedor5!$C$17="",0,Vendedor5!$C$17)</f>
        <v>0</v>
      </c>
      <c r="J8" s="30">
        <f>IF(Vendedor5!$E$17="",0,Vendedor5!$E$17)</f>
        <v>0</v>
      </c>
      <c r="L8" s="42">
        <f t="shared" ref="L8" si="4">C8+E8+G8+I8</f>
        <v>0</v>
      </c>
      <c r="M8" s="41">
        <f>MROUND(L8*Vendedor5!J$12,50)</f>
        <v>0</v>
      </c>
      <c r="N8" s="42">
        <f t="shared" ref="N8" si="5">D8+F8+H8+J8</f>
        <v>0</v>
      </c>
      <c r="O8" s="41">
        <f t="shared" si="3"/>
        <v>0</v>
      </c>
      <c r="P8" s="42">
        <f>Vendedor5!$F$5+Vendedor5!$F$9+Vendedor5!$F$13+Vendedor5!$F$17</f>
        <v>0</v>
      </c>
      <c r="Q8">
        <v>17</v>
      </c>
      <c r="R8" s="41">
        <f t="shared" ref="R8" si="6">+L8-M8-O8</f>
        <v>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67950</v>
      </c>
      <c r="D10" s="30">
        <f>IF(Vendedor7!$E$5="",0,Vendedor7!$E$5)</f>
        <v>100</v>
      </c>
      <c r="E10" s="180">
        <f>IF(Vendedor7!$C$9="",0,Vendedor7!$C$9)</f>
        <v>76650</v>
      </c>
      <c r="F10" s="30">
        <f>IF(Vendedor7!$E$9="",0,Vendedor7!$E$9)</f>
        <v>100</v>
      </c>
      <c r="G10" s="180">
        <f>IF(Vendedor7!$C$13="",0,Vendedor7!$C$13)</f>
        <v>56850</v>
      </c>
      <c r="H10" s="30">
        <f>IF(Vendedor7!$E$13="",0,Vendedor7!$E$13)</f>
        <v>500</v>
      </c>
      <c r="I10" s="180">
        <f>IF(Vendedor7!$C$17="",0,Vendedor7!$C$17)</f>
        <v>109250</v>
      </c>
      <c r="J10" s="30">
        <f>IF(Vendedor7!$E$17="",0,Vendedor7!$E$17)</f>
        <v>1300</v>
      </c>
      <c r="L10" s="42">
        <f t="shared" si="7"/>
        <v>310700</v>
      </c>
      <c r="M10" s="41">
        <f>MROUND(L10*Vendedor7!J$15,50)</f>
        <v>37300</v>
      </c>
      <c r="N10" s="42">
        <f t="shared" ref="N10:N27" si="9">D10+F10+H10+J10</f>
        <v>2000</v>
      </c>
      <c r="O10" s="41">
        <f t="shared" si="3"/>
        <v>170000</v>
      </c>
      <c r="P10" s="42">
        <f>Vendedor7!$F$5+Vendedor7!$F$9+Vendedor7!$F$13+Vendedor7!$F$17</f>
        <v>170000</v>
      </c>
      <c r="R10" s="41">
        <f t="shared" si="8"/>
        <v>103400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40100</v>
      </c>
      <c r="D12" s="30">
        <f>IF(Vendedor9!$E$5="",0,Vendedor9!$E$5)</f>
        <v>0</v>
      </c>
      <c r="E12" s="180">
        <f>IF(Vendedor9!$C$9="",0,Vendedor9!$C$9)</f>
        <v>16050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5000</v>
      </c>
      <c r="J12" s="30">
        <f>IF(Vendedor9!$E$17="",0,Vendedor9!$E$17)</f>
        <v>0</v>
      </c>
      <c r="L12" s="42">
        <f t="shared" si="7"/>
        <v>61150</v>
      </c>
      <c r="M12" s="41">
        <f>MROUND(L12*Vendedor9!J$12,50)</f>
        <v>7350</v>
      </c>
      <c r="N12" s="42">
        <f t="shared" si="9"/>
        <v>0</v>
      </c>
      <c r="O12" s="41">
        <f t="shared" si="3"/>
        <v>0</v>
      </c>
      <c r="P12" s="42">
        <f>Vendedor9!$F$5+Vendedor9!$F$9+Vendedor9!$F$13+Vendedor9!$F$17</f>
        <v>0</v>
      </c>
      <c r="R12" s="41">
        <f t="shared" si="8"/>
        <v>53800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49550</v>
      </c>
      <c r="D13" s="30">
        <f>IF(Vendedor10!$E$5="",0,Vendedor10!$E$5)</f>
        <v>200</v>
      </c>
      <c r="E13" s="180">
        <f>IF(Vendedor10!$C$9="",0,Vendedor10!$C$9)</f>
        <v>18150</v>
      </c>
      <c r="F13" s="30">
        <f>IF(Vendedor10!$E$9="",0,Vendedor10!$E$9)</f>
        <v>0</v>
      </c>
      <c r="G13" s="180">
        <f>IF(Vendedor10!$C$13="",0,Vendedor10!$C$13)</f>
        <v>4000</v>
      </c>
      <c r="H13" s="30">
        <f>IF(Vendedor10!$E$13="",0,Vendedor10!$E$13)</f>
        <v>0</v>
      </c>
      <c r="I13" s="180">
        <f>IF(Vendedor10!$C$17="",0,Vendedor10!$C$17)</f>
        <v>9000</v>
      </c>
      <c r="J13" s="30">
        <f>IF(Vendedor10!$E$17="",0,Vendedor10!$E$17)</f>
        <v>0</v>
      </c>
      <c r="L13" s="42">
        <f t="shared" si="7"/>
        <v>80700</v>
      </c>
      <c r="M13" s="41">
        <f>MROUND(L13*Vendedor10!J$10,50)</f>
        <v>9700</v>
      </c>
      <c r="N13" s="42">
        <f t="shared" si="9"/>
        <v>200</v>
      </c>
      <c r="O13" s="41">
        <f t="shared" si="3"/>
        <v>17000</v>
      </c>
      <c r="P13" s="42">
        <f>Vendedor10!$F$5+Vendedor10!$F$9+Vendedor10!$F$13+Vendedor10!$F$17</f>
        <v>16000</v>
      </c>
      <c r="R13" s="41">
        <f t="shared" si="8"/>
        <v>54000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5500</v>
      </c>
      <c r="D16" s="30">
        <f>IF(Vendedor13!$E$5="",0,Vendedor13!$E$5)</f>
        <v>0</v>
      </c>
      <c r="E16" s="180">
        <f>IF(Vendedor13!$C$9="",0,Vendedor13!$C$9)</f>
        <v>6000</v>
      </c>
      <c r="F16" s="30">
        <f>IF(Vendedor13!$E$9="",0,Vendedor13!$E$9)</f>
        <v>0</v>
      </c>
      <c r="G16" s="180">
        <f>IF(Vendedor13!$C$13="",0,Vendedor13!$C$13)</f>
        <v>11650</v>
      </c>
      <c r="H16" s="30">
        <f>IF(Vendedor13!$E$13="",0,Vendedor13!$E$13)</f>
        <v>250</v>
      </c>
      <c r="I16" s="180">
        <f>IF(Vendedor13!$C$17="",0,Vendedor13!$C$17)</f>
        <v>21750</v>
      </c>
      <c r="J16" s="30">
        <f>IF(Vendedor13!$E$17="",0,Vendedor13!$E$17)</f>
        <v>0</v>
      </c>
      <c r="L16" s="42">
        <f t="shared" si="7"/>
        <v>44900</v>
      </c>
      <c r="M16" s="41">
        <f>MROUND(L16*Vendedor13!J$12,50)</f>
        <v>5400</v>
      </c>
      <c r="N16" s="42">
        <f t="shared" si="9"/>
        <v>250</v>
      </c>
      <c r="O16" s="41">
        <f t="shared" si="3"/>
        <v>21250</v>
      </c>
      <c r="P16" s="42">
        <f>Vendedor13!$F$5+Vendedor13!$F$9+Vendedor13!$F$13+Vendedor13!$F$17</f>
        <v>20000</v>
      </c>
      <c r="R16" s="41">
        <f t="shared" si="8"/>
        <v>18250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87050</v>
      </c>
      <c r="D17" s="30">
        <f>IF(Vendedor14!$E$5="",0,Vendedor14!$E$5)</f>
        <v>600</v>
      </c>
      <c r="E17" s="180">
        <f>IF(Vendedor14!$C$9="",0,Vendedor14!$C$9)</f>
        <v>121750</v>
      </c>
      <c r="F17" s="30">
        <f>IF(Vendedor14!$E$9="",0,Vendedor14!$E$9)</f>
        <v>400</v>
      </c>
      <c r="G17" s="180">
        <f>IF(Vendedor14!$C$13="",0,Vendedor14!$C$13)</f>
        <v>75450</v>
      </c>
      <c r="H17" s="30">
        <f>IF(Vendedor14!$E$13="",0,Vendedor14!$E$13)</f>
        <v>3300</v>
      </c>
      <c r="I17" s="180">
        <f>IF(Vendedor14!$C$17="",0,Vendedor14!$C$17)</f>
        <v>162200</v>
      </c>
      <c r="J17" s="30">
        <f>IF(Vendedor14!$E$17="",0,Vendedor14!$E$17)</f>
        <v>1000</v>
      </c>
      <c r="L17" s="42">
        <f>C17+E17+G17+I17</f>
        <v>446450</v>
      </c>
      <c r="M17" s="41">
        <f>MROUND(L17*Vendedor14!J$16,50)</f>
        <v>53550</v>
      </c>
      <c r="N17" s="42">
        <f t="shared" si="9"/>
        <v>5300</v>
      </c>
      <c r="O17" s="41">
        <f t="shared" si="3"/>
        <v>450500</v>
      </c>
      <c r="P17" s="42">
        <f>Vendedor14!$F$5+Vendedor14!$F$9+Vendedor14!$F$13+Vendedor14!$F$17</f>
        <v>450500</v>
      </c>
      <c r="R17" s="41">
        <f t="shared" si="8"/>
        <v>-57600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46550</v>
      </c>
      <c r="D18" s="30">
        <f>IF(Vendedor15!$E$5="",0,Vendedor15!$E$5)</f>
        <v>0</v>
      </c>
      <c r="E18" s="180">
        <f>IF(Vendedor15!$C$9="",0,Vendedor15!$C$9)</f>
        <v>42500</v>
      </c>
      <c r="F18" s="30">
        <f>IF(Vendedor15!$E$9="",0,Vendedor15!$E$9)</f>
        <v>0</v>
      </c>
      <c r="G18" s="180">
        <f>IF(Vendedor15!$C$13="",0,Vendedor15!$C$13)</f>
        <v>49500</v>
      </c>
      <c r="H18" s="30">
        <f>IF(Vendedor15!$E$13="",0,Vendedor15!$E$13)</f>
        <v>200</v>
      </c>
      <c r="I18" s="180">
        <f>IF(Vendedor15!$C$17="",0,Vendedor15!$C$17)</f>
        <v>4500</v>
      </c>
      <c r="J18" s="30">
        <f>IF(Vendedor15!$E$17="",0,Vendedor15!$E$17)</f>
        <v>0</v>
      </c>
      <c r="L18" s="42">
        <f t="shared" ref="L18:L27" si="10">C18+E18+G18+I18</f>
        <v>143050</v>
      </c>
      <c r="M18" s="41">
        <f>MROUND(L18*Vendedor15!J$16,50)</f>
        <v>17150</v>
      </c>
      <c r="N18" s="42">
        <f t="shared" si="9"/>
        <v>200</v>
      </c>
      <c r="O18" s="41">
        <f t="shared" si="3"/>
        <v>17000</v>
      </c>
      <c r="P18" s="42">
        <f>Vendedor15!$F$5+Vendedor15!$F$9+Vendedor15!$F$13+Vendedor15!$F$17</f>
        <v>17000</v>
      </c>
      <c r="R18" s="41">
        <f t="shared" si="8"/>
        <v>108900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360200</v>
      </c>
      <c r="D32" s="44">
        <f t="shared" si="14"/>
        <v>900</v>
      </c>
      <c r="E32" s="43">
        <f t="shared" si="14"/>
        <v>320000</v>
      </c>
      <c r="F32" s="44">
        <f t="shared" si="14"/>
        <v>500</v>
      </c>
      <c r="G32" s="43">
        <f t="shared" si="14"/>
        <v>218550</v>
      </c>
      <c r="H32" s="44">
        <f t="shared" si="14"/>
        <v>5050</v>
      </c>
      <c r="I32" s="43">
        <f t="shared" si="14"/>
        <v>344250</v>
      </c>
      <c r="J32" s="44">
        <f t="shared" si="14"/>
        <v>2300</v>
      </c>
      <c r="L32" s="45">
        <f>SUM(L4:L31)</f>
        <v>1243000</v>
      </c>
      <c r="M32" s="45">
        <f>SUM(M7:M31)</f>
        <v>130450</v>
      </c>
      <c r="N32" s="95">
        <f>SUM(N4:N31)</f>
        <v>8750</v>
      </c>
      <c r="O32" s="46">
        <f>SUM(O4:O31)</f>
        <v>743750</v>
      </c>
      <c r="P32" s="140">
        <f>SUM(P4:P31)</f>
        <v>737500</v>
      </c>
      <c r="R32" s="79">
        <f>SUM(R4:R31)</f>
        <v>348500</v>
      </c>
    </row>
    <row r="33" spans="3:15" x14ac:dyDescent="0.35">
      <c r="D33" s="120">
        <f>+D32*85</f>
        <v>76500</v>
      </c>
      <c r="F33" s="120">
        <f>+F32*85</f>
        <v>42500</v>
      </c>
      <c r="H33" s="120">
        <f>+H32*85</f>
        <v>429250</v>
      </c>
      <c r="J33" s="120">
        <f>+J32*85</f>
        <v>195500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1243000</v>
      </c>
      <c r="E36" s="43">
        <f>+D36-L4-L5-L6</f>
        <v>1086950</v>
      </c>
    </row>
    <row r="37" spans="3:15" x14ac:dyDescent="0.35">
      <c r="C37" s="47" t="s">
        <v>33</v>
      </c>
      <c r="D37" s="48">
        <f>D36*13%</f>
        <v>161590</v>
      </c>
      <c r="E37">
        <f>+D37-M4-M5-M6</f>
        <v>141290</v>
      </c>
    </row>
    <row r="38" spans="3:15" x14ac:dyDescent="0.35">
      <c r="C38" s="47" t="s">
        <v>30</v>
      </c>
      <c r="D38" s="30">
        <f>SUM(O4:O27)</f>
        <v>743750</v>
      </c>
      <c r="G38" s="100"/>
    </row>
    <row r="39" spans="3:15" ht="15" thickBot="1" x14ac:dyDescent="0.4">
      <c r="C39" s="49" t="s">
        <v>4</v>
      </c>
      <c r="D39" s="80">
        <f>+D36-D37-D38</f>
        <v>337660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337660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02 Blanca</v>
      </c>
      <c r="D2" s="268"/>
      <c r="E2" s="267" t="str">
        <f>IF(E33=0,"",CONCATENATE(PREMIOS!$B11," ",PREMIOS!$B12))</f>
        <v>50 Blanca</v>
      </c>
      <c r="F2" s="268"/>
      <c r="G2" s="267" t="str">
        <f>IF(G33=0,"",CONCATENATE(PREMIOS!$B15," ",PREMIOS!$B16))</f>
        <v>30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32300</v>
      </c>
      <c r="D10" s="30">
        <f>IF(Vendedor7!$E$8="",0,Vendedor7!$E$8)</f>
        <v>750</v>
      </c>
      <c r="E10" s="180">
        <f>IF(Vendedor7!$C$12="",0,Vendedor7!$C$12)</f>
        <v>34100</v>
      </c>
      <c r="F10" s="30">
        <f>IF(Vendedor7!$E$12="",0,Vendedor7!$E$12)</f>
        <v>0</v>
      </c>
      <c r="G10" s="180">
        <f>IF(Vendedor7!$C$16="",0,Vendedor7!$C$16)</f>
        <v>41700</v>
      </c>
      <c r="H10" s="30">
        <f>IF(Vendedor7!$E$16="",0,Vendedor7!$E$16)</f>
        <v>400</v>
      </c>
      <c r="J10" s="42">
        <f t="shared" si="1"/>
        <v>108100</v>
      </c>
      <c r="K10" s="41">
        <f>J10*Vendedor7!J$16</f>
        <v>10810</v>
      </c>
      <c r="L10" s="42">
        <f t="shared" si="2"/>
        <v>0</v>
      </c>
      <c r="M10" s="42">
        <f t="shared" si="3"/>
        <v>1150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97290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2200</v>
      </c>
      <c r="D12" s="30">
        <f>IF(Vendedor9!$E$8="",0,Vendedor9!$E$8)</f>
        <v>0</v>
      </c>
      <c r="E12" s="180">
        <f>IF(Vendedor9!$C$12="",0,Vendedor9!$C$12)</f>
        <v>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2200</v>
      </c>
      <c r="K12" s="41">
        <f>J12*Vendedor9!J$13</f>
        <v>220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1980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1000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1000</v>
      </c>
      <c r="H16" s="30">
        <f>IF(Vendedor13!$E$16="",0,Vendedor13!$E$16)</f>
        <v>0</v>
      </c>
      <c r="J16" s="42">
        <f t="shared" si="1"/>
        <v>2000</v>
      </c>
      <c r="K16" s="41">
        <f>J16*Vendedor13!J$13</f>
        <v>200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1800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21300</v>
      </c>
      <c r="D17" s="30">
        <f>IF(Vendedor14!$E$8="",0,Vendedor14!$E$8)</f>
        <v>100</v>
      </c>
      <c r="E17" s="180">
        <f>IF(Vendedor14!$C$12="",0,Vendedor14!$C$12)</f>
        <v>20200</v>
      </c>
      <c r="F17" s="30">
        <f>IF(Vendedor14!$E$12="",0,Vendedor14!$E$12)</f>
        <v>200</v>
      </c>
      <c r="G17" s="180">
        <f>IF(Vendedor14!$C$16="",0,Vendedor14!$C$16)</f>
        <v>34900</v>
      </c>
      <c r="H17" s="30">
        <f>IF(Vendedor14!$E$16="",0,Vendedor14!$E$16)</f>
        <v>600</v>
      </c>
      <c r="J17" s="42">
        <f t="shared" si="1"/>
        <v>76400</v>
      </c>
      <c r="K17" s="41">
        <f>J17*Vendedor14!J$17</f>
        <v>7640</v>
      </c>
      <c r="L17" s="42">
        <f t="shared" si="2"/>
        <v>0</v>
      </c>
      <c r="M17" s="42">
        <f t="shared" si="3"/>
        <v>900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68760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11650</v>
      </c>
      <c r="D18" s="30">
        <f>IF(Vendedor15!$E$8="",0,Vendedor15!$E$8)</f>
        <v>0</v>
      </c>
      <c r="E18" s="180">
        <f>IF(Vendedor15!$C$12="",0,Vendedor15!$C$12)</f>
        <v>13500</v>
      </c>
      <c r="F18" s="30">
        <f>IF(Vendedor15!$E$12="",0,Vendedor15!$E$12)</f>
        <v>300</v>
      </c>
      <c r="G18" s="180">
        <f>IF(Vendedor15!$C$16="",0,Vendedor15!$C$16)</f>
        <v>24000</v>
      </c>
      <c r="H18" s="30">
        <f>IF(Vendedor15!$E$16="",0,Vendedor15!$E$16)</f>
        <v>100</v>
      </c>
      <c r="J18" s="42">
        <f t="shared" ref="J18" si="5">+C18+E18+G18</f>
        <v>49150</v>
      </c>
      <c r="K18" s="41">
        <f>J18*Vendedor15!J$17</f>
        <v>4915</v>
      </c>
      <c r="L18" s="42">
        <f t="shared" si="2"/>
        <v>0</v>
      </c>
      <c r="M18" s="42">
        <f t="shared" si="3"/>
        <v>400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44235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68450</v>
      </c>
      <c r="D33" s="44">
        <f>IF(PREMIOS!E8&lt;&gt;0,SUM(D4:D32),0)</f>
        <v>0</v>
      </c>
      <c r="E33" s="43">
        <f>SUM(E4:E32)</f>
        <v>67800</v>
      </c>
      <c r="F33" s="44">
        <f>IF(PREMIOS!E12&lt;&gt;0,SUM(F4:F32),0)</f>
        <v>0</v>
      </c>
      <c r="G33" s="43">
        <f>SUM(G4:G32)</f>
        <v>101600</v>
      </c>
      <c r="H33" s="44">
        <f>IF(PREMIOS!E16&lt;&gt;0,SUM(H4:H32),0)</f>
        <v>0</v>
      </c>
      <c r="J33" s="45">
        <f>SUM(J4:J32)</f>
        <v>237850</v>
      </c>
      <c r="K33" s="45">
        <f>SUM(K7:K32)</f>
        <v>23785</v>
      </c>
      <c r="L33" s="95">
        <f>SUM(L7:L32)</f>
        <v>0</v>
      </c>
      <c r="M33" s="95">
        <f>SUM(M7:M32)</f>
        <v>2450</v>
      </c>
      <c r="N33" s="95">
        <f>SUM(N4:N27)</f>
        <v>0</v>
      </c>
      <c r="O33" s="95">
        <f>SUM(O4:O27)</f>
        <v>0</v>
      </c>
      <c r="Q33" s="79">
        <f>SUM(Q4:Q32)</f>
        <v>214065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237850</v>
      </c>
      <c r="E37" s="43">
        <f>+D37-J4-J5-J6</f>
        <v>237850</v>
      </c>
      <c r="F37" s="275"/>
      <c r="G37" s="275"/>
    </row>
    <row r="38" spans="3:17" ht="15" thickBot="1" x14ac:dyDescent="0.4">
      <c r="C38" s="47" t="s">
        <v>33</v>
      </c>
      <c r="D38" s="30">
        <f>D37*10%</f>
        <v>23785</v>
      </c>
      <c r="E38" s="43">
        <f>+D38-K4-K5-K6</f>
        <v>23785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214065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214065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39</v>
      </c>
      <c r="D2" s="268"/>
      <c r="E2" s="267">
        <f>DigitaPRIMERA!E2</f>
        <v>16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7550</v>
      </c>
      <c r="D4" s="78">
        <f>IF(Vendedor1!$E$19="",0,Vendedor1!$E$19)</f>
        <v>0</v>
      </c>
      <c r="E4" s="189">
        <f>IF(Vendedor1!$C$20="",0,Vendedor1!$C$20)</f>
        <v>1500</v>
      </c>
      <c r="F4" s="78">
        <f>IF(Vendedor1!$E$20="",0,Vendedor1!$E$20)</f>
        <v>0</v>
      </c>
      <c r="H4" s="42">
        <f>+C4+E4</f>
        <v>9050</v>
      </c>
      <c r="I4" s="41">
        <f>MROUND(H4*Vendedor1!J$9,50)</f>
        <v>1200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7850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1800</v>
      </c>
      <c r="D5" s="30">
        <f>IF(Vendedor2!$E$19="",0,Vendedor2!$E$19)</f>
        <v>0</v>
      </c>
      <c r="E5" s="180">
        <f>IF(Vendedor2!$C$20="",0,Vendedor2!$C$20)</f>
        <v>1550</v>
      </c>
      <c r="F5" s="30">
        <f>IF(Vendedor2!$E$20="",0,Vendedor2!$E$20)</f>
        <v>0</v>
      </c>
      <c r="H5" s="42">
        <f t="shared" ref="H5:H31" si="1">+C5+E5</f>
        <v>3350</v>
      </c>
      <c r="I5" s="41">
        <f>MROUND(H5*Vendedor2!J$9,50)</f>
        <v>450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2900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0</v>
      </c>
      <c r="D8" s="30">
        <f>IF(Vendedor5!$E$19="",0,Vendedor5!$E$19)</f>
        <v>0</v>
      </c>
      <c r="E8" s="180">
        <f>IF(Vendedor5!$C$20="",0,Vendedor5!$C$20)</f>
        <v>0</v>
      </c>
      <c r="F8" s="30">
        <f>IF(Vendedor5!$E$20="",0,Vendedor5!$E$20)</f>
        <v>0</v>
      </c>
      <c r="H8" s="133">
        <f t="shared" si="1"/>
        <v>0</v>
      </c>
      <c r="I8" s="148">
        <f>MROUND(H8*Vendedor5!J$11,50)</f>
        <v>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5"/>
      <c r="N8" s="133">
        <f t="shared" si="0"/>
        <v>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53350</v>
      </c>
      <c r="D10" s="30">
        <f>IF(Vendedor7!$E$19="",0,Vendedor7!$E$19)</f>
        <v>0</v>
      </c>
      <c r="E10" s="180">
        <f>IF(Vendedor7!$C$20="",0,Vendedor7!$C$20)</f>
        <v>14000</v>
      </c>
      <c r="F10" s="30">
        <f>IF(Vendedor7!$E$20="",0,Vendedor7!$E$20)</f>
        <v>0</v>
      </c>
      <c r="H10" s="42">
        <f t="shared" si="1"/>
        <v>67350</v>
      </c>
      <c r="I10" s="41">
        <f>MROUND(H10*Vendedor7!J$14,50)</f>
        <v>8100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59250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40050</v>
      </c>
      <c r="D12" s="30">
        <f>IF(Vendedor9!$E$19="",0,Vendedor9!$E$19)</f>
        <v>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40050</v>
      </c>
      <c r="I12" s="148">
        <f>MROUND(H12*Vendedor9!J$11,50)</f>
        <v>4800</v>
      </c>
      <c r="J12" s="133">
        <f t="shared" si="2"/>
        <v>0</v>
      </c>
      <c r="K12" s="133">
        <f t="shared" si="3"/>
        <v>0</v>
      </c>
      <c r="L12" s="133">
        <f>Vendedor9!$F$19+Vendedor9!$F$20</f>
        <v>0</v>
      </c>
      <c r="M12" s="155"/>
      <c r="N12" s="133">
        <f t="shared" si="0"/>
        <v>35250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0</v>
      </c>
      <c r="I16" s="148">
        <f>MROUND(H16*Vendedor13!J$11,50)</f>
        <v>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79750</v>
      </c>
      <c r="D17" s="30">
        <f>IF(Vendedor14!$E$19="",0,Vendedor14!$E$19)</f>
        <v>0</v>
      </c>
      <c r="E17" s="180">
        <f>IF(Vendedor14!$C$20="",0,Vendedor14!$C$20)</f>
        <v>37500</v>
      </c>
      <c r="F17" s="30">
        <f>IF(Vendedor14!$E$20="",0,Vendedor14!$E$20)</f>
        <v>200</v>
      </c>
      <c r="H17" s="42">
        <f t="shared" si="1"/>
        <v>117250</v>
      </c>
      <c r="I17" s="41">
        <f>MROUND(H17*Vendedor14!J$15,50)</f>
        <v>14050</v>
      </c>
      <c r="J17" s="42">
        <f t="shared" si="2"/>
        <v>200</v>
      </c>
      <c r="K17" s="42">
        <f t="shared" si="3"/>
        <v>17000</v>
      </c>
      <c r="L17" s="42">
        <f>Vendedor14!$F$19+Vendedor14!$F$20</f>
        <v>17000</v>
      </c>
      <c r="N17" s="42">
        <f t="shared" si="0"/>
        <v>86200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56000</v>
      </c>
      <c r="D18" s="30">
        <f>IF(Vendedor15!$E$19="",0,Vendedor15!$E$19)</f>
        <v>0</v>
      </c>
      <c r="E18" s="180">
        <f>IF(Vendedor15!$C$20="",0,Vendedor15!$C$20)</f>
        <v>36800</v>
      </c>
      <c r="F18" s="30">
        <f>IF(Vendedor15!$E$20="",0,Vendedor15!$E$20)</f>
        <v>200</v>
      </c>
      <c r="H18" s="42">
        <f t="shared" si="1"/>
        <v>92800</v>
      </c>
      <c r="I18" s="41">
        <f>MROUND(H18*Vendedor15!J$15,50)</f>
        <v>11150</v>
      </c>
      <c r="J18" s="42">
        <f t="shared" si="2"/>
        <v>200</v>
      </c>
      <c r="K18" s="42">
        <f t="shared" si="3"/>
        <v>17000</v>
      </c>
      <c r="L18" s="42">
        <f>Vendedor15!$F$19+Vendedor15!$F$20</f>
        <v>17000</v>
      </c>
      <c r="N18" s="42">
        <f t="shared" si="0"/>
        <v>64650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238500</v>
      </c>
      <c r="D32" s="44">
        <f>SUM(D4:D31)</f>
        <v>0</v>
      </c>
      <c r="E32" s="43">
        <f>SUM(E4:E31)</f>
        <v>91350</v>
      </c>
      <c r="F32" s="44">
        <f>SUM(F4:F31)</f>
        <v>400</v>
      </c>
      <c r="H32" s="95">
        <f>SUM(H4:H31)</f>
        <v>329850</v>
      </c>
      <c r="I32" s="45">
        <f>SUM(I7:I31)</f>
        <v>38100</v>
      </c>
      <c r="J32" s="95"/>
      <c r="K32" s="95">
        <f>SUM(K4:K31)</f>
        <v>34000</v>
      </c>
      <c r="L32" s="95">
        <f>SUM(L4:L31)</f>
        <v>34000</v>
      </c>
      <c r="N32" s="79">
        <f>SUM(N4:N31)</f>
        <v>256100</v>
      </c>
    </row>
    <row r="33" spans="3:6" x14ac:dyDescent="0.35">
      <c r="D33" s="99">
        <f>+D32*85</f>
        <v>0</v>
      </c>
      <c r="F33" s="99">
        <f>+F32*85</f>
        <v>34000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329850</v>
      </c>
      <c r="E36" s="43">
        <f>+D36-H4-H5-H6</f>
        <v>317450</v>
      </c>
    </row>
    <row r="37" spans="3:6" x14ac:dyDescent="0.35">
      <c r="C37" s="47" t="s">
        <v>33</v>
      </c>
      <c r="D37" s="48">
        <f>D36*13%</f>
        <v>42880.5</v>
      </c>
      <c r="E37">
        <f>+D37-I4-I5-I6</f>
        <v>41230.5</v>
      </c>
    </row>
    <row r="38" spans="3:6" ht="15" thickBot="1" x14ac:dyDescent="0.4">
      <c r="C38" s="47" t="s">
        <v>30</v>
      </c>
      <c r="D38" s="30">
        <f>SUM(K4:K27)</f>
        <v>34000</v>
      </c>
    </row>
    <row r="39" spans="3:6" ht="15" thickBot="1" x14ac:dyDescent="0.4">
      <c r="C39" s="49" t="s">
        <v>4</v>
      </c>
      <c r="D39" s="80">
        <f>+D36-D37-D38</f>
        <v>252969.5</v>
      </c>
      <c r="F39" s="98">
        <f>+N32-D39</f>
        <v>3130.5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252969.5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 t="str">
        <f>DigitaHONDURAS!C2</f>
        <v>06</v>
      </c>
      <c r="D2" s="268"/>
      <c r="E2" s="267">
        <f>DigitaHONDURAS!E2</f>
        <v>27</v>
      </c>
      <c r="F2" s="268"/>
      <c r="G2" s="267">
        <f>DigitaHONDURAS!G2</f>
        <v>25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7200</v>
      </c>
      <c r="D10" s="30">
        <f>IF(Vendedor7!$E$21="",0,Vendedor7!$E$21)</f>
        <v>0</v>
      </c>
      <c r="E10" s="180">
        <f>IF(Vendedor7!$C$22="",0,Vendedor7!$C$22)</f>
        <v>1500</v>
      </c>
      <c r="F10" s="30">
        <f>IF(Vendedor7!$E$22="",0,Vendedor7!$E$22)</f>
        <v>0</v>
      </c>
      <c r="G10" s="180">
        <f>IF(Vendedor7!$C$23="",0,Vendedor7!$C$23)</f>
        <v>12700</v>
      </c>
      <c r="H10" s="30">
        <f>IF(Vendedor7!$E$23="",0,Vendedor7!$E$23)</f>
        <v>0</v>
      </c>
      <c r="J10" s="42">
        <f t="shared" si="0"/>
        <v>21400</v>
      </c>
      <c r="K10" s="41">
        <f>MROUND(J10*Vendedor7!J$14,50)</f>
        <v>2550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18850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7600</v>
      </c>
      <c r="D12" s="30">
        <f>IF(Vendedor9!$E$21="",0,Vendedor9!$E$21)</f>
        <v>300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7600</v>
      </c>
      <c r="K12" s="41">
        <f>MROUND(J12*Vendedor9!J$14,50)</f>
        <v>900</v>
      </c>
      <c r="L12" s="42">
        <f t="shared" ref="L12" si="5">+D12+F12+H12</f>
        <v>300</v>
      </c>
      <c r="M12" s="42">
        <f t="shared" si="3"/>
        <v>25500</v>
      </c>
      <c r="N12" s="42">
        <f>Vendedor9!$F$21+Vendedor9!$F$22+Vendedor9!$F$23</f>
        <v>25500</v>
      </c>
      <c r="P12" s="42">
        <f t="shared" ref="P12" si="6">+J12-K12-N12</f>
        <v>-18800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18600</v>
      </c>
      <c r="D17" s="30">
        <f>IF(Vendedor14!$E$21="",0,Vendedor14!$E$21)</f>
        <v>200</v>
      </c>
      <c r="E17" s="180">
        <f>IF(Vendedor14!$C$22="",0,Vendedor14!$C$22)</f>
        <v>17300</v>
      </c>
      <c r="F17" s="30">
        <f>IF(Vendedor14!$E$22="",0,Vendedor14!$E$22)</f>
        <v>100</v>
      </c>
      <c r="G17" s="180">
        <f>IF(Vendedor14!$C$23="",0,Vendedor14!$C$23)</f>
        <v>28150</v>
      </c>
      <c r="H17" s="30">
        <f>IF(Vendedor14!$E$23="",0,Vendedor14!$E$23)</f>
        <v>750</v>
      </c>
      <c r="J17" s="42">
        <f t="shared" si="0"/>
        <v>64050</v>
      </c>
      <c r="K17" s="41">
        <f>MROUND(J17*Vendedor14!J$15,50)</f>
        <v>7700</v>
      </c>
      <c r="L17" s="42">
        <f t="shared" si="1"/>
        <v>1050</v>
      </c>
      <c r="M17" s="42">
        <f t="shared" si="3"/>
        <v>89250</v>
      </c>
      <c r="N17" s="42">
        <f>Vendedor14!$F$21+Vendedor14!$F$22+Vendedor14!$F$23</f>
        <v>89250</v>
      </c>
      <c r="P17" s="42">
        <f t="shared" si="2"/>
        <v>-32900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11000</v>
      </c>
      <c r="D18" s="30">
        <f>IF(Vendedor15!$E$21="",0,Vendedor15!$E$21)</f>
        <v>0</v>
      </c>
      <c r="E18" s="180">
        <f>IF(Vendedor15!$C$22="",0,Vendedor15!$C$22)</f>
        <v>6000</v>
      </c>
      <c r="F18" s="30">
        <f>IF(Vendedor15!$E$22="",0,Vendedor15!$E$22)</f>
        <v>0</v>
      </c>
      <c r="G18" s="180">
        <f>IF(Vendedor15!$C$23="",0,Vendedor15!$C$23)</f>
        <v>4000</v>
      </c>
      <c r="H18" s="30">
        <f>IF(Vendedor15!$E$23="",0,Vendedor15!$E$23)</f>
        <v>0</v>
      </c>
      <c r="J18" s="42">
        <f t="shared" si="0"/>
        <v>21000</v>
      </c>
      <c r="K18" s="41">
        <f>MROUND(J18*Vendedor15!J$15,50)</f>
        <v>2500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18500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44400</v>
      </c>
      <c r="D32" s="44">
        <f t="shared" si="8"/>
        <v>500</v>
      </c>
      <c r="E32" s="43">
        <f t="shared" si="8"/>
        <v>24800</v>
      </c>
      <c r="F32" s="44">
        <f t="shared" si="8"/>
        <v>100</v>
      </c>
      <c r="G32" s="43">
        <f t="shared" si="8"/>
        <v>44850</v>
      </c>
      <c r="H32" s="44">
        <f t="shared" si="8"/>
        <v>750</v>
      </c>
      <c r="J32" s="95">
        <f>SUM(J4:J31)</f>
        <v>114050</v>
      </c>
      <c r="K32" s="45">
        <f>SUM(K7:K31)</f>
        <v>13650</v>
      </c>
      <c r="L32" s="95"/>
      <c r="M32" s="95">
        <f>SUM(M4:M31)</f>
        <v>114750</v>
      </c>
      <c r="N32" s="95">
        <f>SUM(N4:N31)</f>
        <v>114750</v>
      </c>
      <c r="P32" s="79">
        <f>SUM(P4:P31)</f>
        <v>-14350</v>
      </c>
    </row>
    <row r="33" spans="3:8" x14ac:dyDescent="0.35">
      <c r="D33" s="99">
        <f>+D32*85</f>
        <v>42500</v>
      </c>
      <c r="F33" s="99">
        <f>+F32*85</f>
        <v>8500</v>
      </c>
      <c r="H33" s="99">
        <f>+H32*85</f>
        <v>63750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114050</v>
      </c>
      <c r="E36" s="43">
        <f>+D36-J4-J5-J6</f>
        <v>114050</v>
      </c>
    </row>
    <row r="37" spans="3:8" x14ac:dyDescent="0.35">
      <c r="C37" s="47" t="s">
        <v>33</v>
      </c>
      <c r="D37" s="48">
        <f>D36*13%</f>
        <v>14826.5</v>
      </c>
      <c r="E37">
        <f>+D37-K4-K5-K6</f>
        <v>14826.5</v>
      </c>
    </row>
    <row r="38" spans="3:8" ht="15" thickBot="1" x14ac:dyDescent="0.4">
      <c r="C38" s="47" t="s">
        <v>30</v>
      </c>
      <c r="D38" s="30">
        <f>SUM(M4:M27)</f>
        <v>114750</v>
      </c>
      <c r="G38" s="100"/>
    </row>
    <row r="39" spans="3:8" ht="15" thickBot="1" x14ac:dyDescent="0.4">
      <c r="C39" s="49" t="s">
        <v>4</v>
      </c>
      <c r="D39" s="80">
        <f>+D36-D37-D38</f>
        <v>-15526.5</v>
      </c>
      <c r="F39" s="98">
        <f>+P32-D39</f>
        <v>1176.5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-15526.5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20</v>
      </c>
      <c r="D2" s="268"/>
      <c r="E2" s="267">
        <f>DigitaDOMINICANA!E2</f>
        <v>88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0</v>
      </c>
      <c r="D10" s="30">
        <f>IF(Vendedor7!$E$24="",0,Vendedor7!$E$24)</f>
        <v>0</v>
      </c>
      <c r="E10" s="180">
        <f>IF(Vendedor7!$C$25="",0,Vendedor7!$C$25)</f>
        <v>0</v>
      </c>
      <c r="F10" s="30">
        <f>IF(Vendedor7!$E$25="",0,Vendedor7!$E$25)</f>
        <v>0</v>
      </c>
      <c r="H10" s="42">
        <f t="shared" si="1"/>
        <v>0</v>
      </c>
      <c r="I10" s="41">
        <f>MROUND(H10*Vendedor7!J$14,50)</f>
        <v>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0</v>
      </c>
      <c r="D32" s="44">
        <f>SUM(D4:D31)</f>
        <v>0</v>
      </c>
      <c r="E32" s="43">
        <f>SUM(E4:E31)</f>
        <v>0</v>
      </c>
      <c r="F32" s="44">
        <f>SUM(F4:F31)</f>
        <v>0</v>
      </c>
      <c r="H32" s="95">
        <f>SUM(H4:H31)</f>
        <v>0</v>
      </c>
      <c r="I32" s="45">
        <f>SUM(I7:I31)</f>
        <v>0</v>
      </c>
      <c r="J32" s="95"/>
      <c r="K32" s="95">
        <f>SUM(K4:K31)</f>
        <v>0</v>
      </c>
      <c r="L32" s="95">
        <f>SUM(L4:L31)</f>
        <v>0</v>
      </c>
      <c r="N32" s="79">
        <f>SUM(N4:N31)</f>
        <v>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0</v>
      </c>
      <c r="E36" s="43">
        <f>+D36-H4-H5-H6</f>
        <v>0</v>
      </c>
    </row>
    <row r="37" spans="3:6" x14ac:dyDescent="0.35">
      <c r="C37" s="47" t="s">
        <v>33</v>
      </c>
      <c r="D37" s="48">
        <f>D36*13%</f>
        <v>0</v>
      </c>
      <c r="E37">
        <f>+D37-I4-I5-I6</f>
        <v>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0</v>
      </c>
      <c r="F39" s="98">
        <f>+N32-D39</f>
        <v>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6" t="str">
        <f ca="1">CONCATENATE("Cuentas ALI ",TEXT('Ctas Banca'!I5,"dd-mm-yyyy"))</f>
        <v>Cuentas ALI 04-05-2026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1086950</v>
      </c>
      <c r="C4" s="157">
        <f>HojaNICA!M32</f>
        <v>130450</v>
      </c>
      <c r="D4" s="150">
        <f>HojaNICA!E37</f>
        <v>141290</v>
      </c>
      <c r="E4" s="150">
        <f>HojaNICA!P32</f>
        <v>737500</v>
      </c>
      <c r="F4" s="150">
        <f>HojaNICA!O32</f>
        <v>743750</v>
      </c>
      <c r="G4" s="151">
        <f t="shared" ref="G4:G10" si="0">+D4-C4+F4-E4</f>
        <v>17090</v>
      </c>
      <c r="H4" s="21"/>
      <c r="I4" s="182"/>
    </row>
    <row r="5" spans="1:9" x14ac:dyDescent="0.35">
      <c r="A5" s="28" t="s">
        <v>19</v>
      </c>
      <c r="B5" s="156">
        <f>HojaTICA!$E$36</f>
        <v>1299250</v>
      </c>
      <c r="C5" s="157">
        <f>HojaTICA!K32</f>
        <v>157900</v>
      </c>
      <c r="D5" s="150">
        <f>HojaTICA!E37</f>
        <v>168907</v>
      </c>
      <c r="E5" s="150">
        <f>HojaTICA!N32</f>
        <v>2309500</v>
      </c>
      <c r="F5" s="150">
        <f>HojaTICA!D38</f>
        <v>2312000</v>
      </c>
      <c r="G5" s="151">
        <f t="shared" si="0"/>
        <v>13507</v>
      </c>
      <c r="H5" s="21"/>
      <c r="I5" s="182"/>
    </row>
    <row r="6" spans="1:9" x14ac:dyDescent="0.35">
      <c r="A6" s="28" t="s">
        <v>125</v>
      </c>
      <c r="B6" s="156">
        <f>HojaREVENTADO!$E$37</f>
        <v>237850</v>
      </c>
      <c r="C6" s="157">
        <f>HojaREVENTADO!K33</f>
        <v>23785</v>
      </c>
      <c r="D6" s="150">
        <f>HojaREVENTADO!E38</f>
        <v>23785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317450</v>
      </c>
      <c r="C7" s="157">
        <f>HojaPrimera!I32</f>
        <v>38100</v>
      </c>
      <c r="D7" s="150">
        <f>HojaPrimera!E37</f>
        <v>41230.5</v>
      </c>
      <c r="E7" s="150">
        <f>HojaPrimera!L32</f>
        <v>34000</v>
      </c>
      <c r="F7" s="150">
        <f>HojaPrimera!K32</f>
        <v>34000</v>
      </c>
      <c r="G7" s="151">
        <f t="shared" si="0"/>
        <v>3130.5</v>
      </c>
      <c r="H7" s="21"/>
      <c r="I7" s="21"/>
    </row>
    <row r="8" spans="1:9" x14ac:dyDescent="0.35">
      <c r="A8" s="28" t="s">
        <v>104</v>
      </c>
      <c r="B8" s="156">
        <f>HojaHonduras!$E$36</f>
        <v>114050</v>
      </c>
      <c r="C8" s="157">
        <f>HojaHonduras!K32</f>
        <v>13650</v>
      </c>
      <c r="D8" s="150">
        <f>HojaHonduras!E37</f>
        <v>14826.5</v>
      </c>
      <c r="E8" s="150">
        <f>HojaHonduras!N32</f>
        <v>114750</v>
      </c>
      <c r="F8" s="150">
        <f>HojaHonduras!M32</f>
        <v>114750</v>
      </c>
      <c r="G8" s="151">
        <f t="shared" si="0"/>
        <v>1176.5</v>
      </c>
      <c r="H8" s="21"/>
      <c r="I8" s="21"/>
    </row>
    <row r="9" spans="1:9" x14ac:dyDescent="0.35">
      <c r="A9" s="28" t="s">
        <v>20</v>
      </c>
      <c r="B9" s="156">
        <f>HojaDominicana!$E$36</f>
        <v>0</v>
      </c>
      <c r="C9" s="157">
        <f>HojaDominicana!I32</f>
        <v>0</v>
      </c>
      <c r="D9" s="150">
        <f>HojaDominicana!E37</f>
        <v>0</v>
      </c>
      <c r="E9" s="150">
        <f>HojaDominicana!L32</f>
        <v>0</v>
      </c>
      <c r="F9" s="150">
        <f>HojaDominicana!K32</f>
        <v>0</v>
      </c>
      <c r="G9" s="151">
        <f t="shared" si="0"/>
        <v>0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3055550</v>
      </c>
      <c r="C11" s="175">
        <f>SUM(C4:C10)</f>
        <v>363885</v>
      </c>
      <c r="D11" s="175">
        <f t="shared" ref="D11:F11" si="1">SUM(D4:D10)</f>
        <v>390039</v>
      </c>
      <c r="E11" s="175">
        <f t="shared" si="1"/>
        <v>3195750</v>
      </c>
      <c r="F11" s="175">
        <f t="shared" si="1"/>
        <v>3204500</v>
      </c>
      <c r="G11" s="176">
        <f>SUM(G4:G10)</f>
        <v>34904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v>20000</v>
      </c>
      <c r="H12" s="141">
        <f>+G11-G12</f>
        <v>14904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285150</v>
      </c>
      <c r="E16" s="157">
        <f>+Vendedor1!D21</f>
        <v>37069.5</v>
      </c>
      <c r="F16" s="158">
        <f>IF(D16&lt;&gt;0,15000,0)</f>
        <v>15000</v>
      </c>
      <c r="G16" s="151">
        <f>+E16-F16</f>
        <v>22069.5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282950</v>
      </c>
      <c r="E17" s="157">
        <f>+Vendedor2!D21</f>
        <v>36783.5</v>
      </c>
      <c r="F17" s="158">
        <f>IF(D17&lt;&gt;0,15000,0)</f>
        <v>15000</v>
      </c>
      <c r="G17" s="151">
        <f>+E17-F17</f>
        <v>21783.5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568100</v>
      </c>
      <c r="E19" s="159">
        <f>SUM(E16:E18)</f>
        <v>73853</v>
      </c>
      <c r="F19" s="160">
        <f>SUM(F16:F18)</f>
        <v>30000</v>
      </c>
      <c r="G19" s="161">
        <f>SUM(G16:G18)</f>
        <v>43853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58757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8" t="str">
        <f ca="1">CONCATENATE("Tiempos Pana ",TEXT(I5,"dd-mm-yyyy"))</f>
        <v>Tiempos Pana 04-05-2026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1243000</v>
      </c>
      <c r="C5" s="150">
        <f>HojaNICA!D37</f>
        <v>161590</v>
      </c>
      <c r="D5" s="150">
        <f>HojaNICA!D38</f>
        <v>743750</v>
      </c>
      <c r="E5" s="150"/>
      <c r="F5" s="151">
        <f>+B5-C5-D5+E5</f>
        <v>337660</v>
      </c>
      <c r="H5" s="249" t="s">
        <v>105</v>
      </c>
      <c r="I5" s="243">
        <f ca="1">TODAY()-2</f>
        <v>46146</v>
      </c>
      <c r="O5" s="119"/>
    </row>
    <row r="6" spans="1:15" ht="15" thickBot="1" x14ac:dyDescent="0.4">
      <c r="A6" s="47" t="s">
        <v>36</v>
      </c>
      <c r="B6" s="150">
        <f>HojaTICA!D36</f>
        <v>1698900</v>
      </c>
      <c r="C6" s="150">
        <f>HojaTICA!D37</f>
        <v>220857</v>
      </c>
      <c r="D6" s="150">
        <f>HojaTICA!D38</f>
        <v>2312000</v>
      </c>
      <c r="E6" s="150"/>
      <c r="F6" s="151">
        <f t="shared" ref="F6:F11" si="0">+B6-C6-D6+E6</f>
        <v>-833957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237850</v>
      </c>
      <c r="C7" s="150">
        <f>HojaREVENTADO!D38</f>
        <v>23785</v>
      </c>
      <c r="D7" s="150">
        <f>HojaREVENTADO!D39</f>
        <v>0</v>
      </c>
      <c r="E7" s="150"/>
      <c r="F7" s="151">
        <f t="shared" si="0"/>
        <v>214065</v>
      </c>
    </row>
    <row r="8" spans="1:15" x14ac:dyDescent="0.35">
      <c r="A8" s="47" t="s">
        <v>96</v>
      </c>
      <c r="B8" s="150">
        <f>HojaPrimera!$D36</f>
        <v>329850</v>
      </c>
      <c r="C8" s="150">
        <f>HojaPrimera!$D37</f>
        <v>42880.5</v>
      </c>
      <c r="D8" s="150">
        <f>HojaPrimera!$D38</f>
        <v>34000</v>
      </c>
      <c r="E8" s="150"/>
      <c r="F8" s="151">
        <f t="shared" si="0"/>
        <v>252969.5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114050</v>
      </c>
      <c r="C9" s="150">
        <f>HojaHonduras!$D37</f>
        <v>14826.5</v>
      </c>
      <c r="D9" s="150">
        <f>HojaHonduras!$D38</f>
        <v>114750</v>
      </c>
      <c r="E9" s="150"/>
      <c r="F9" s="151">
        <f t="shared" si="0"/>
        <v>-15526.5</v>
      </c>
      <c r="H9" s="250">
        <f>+K12-K10-H6</f>
        <v>-44789</v>
      </c>
    </row>
    <row r="10" spans="1:15" ht="15" thickBot="1" x14ac:dyDescent="0.4">
      <c r="A10" s="47" t="s">
        <v>20</v>
      </c>
      <c r="B10" s="150">
        <f>HojaDominicana!$D36</f>
        <v>0</v>
      </c>
      <c r="C10" s="150">
        <f>HojaDominicana!$D37</f>
        <v>0</v>
      </c>
      <c r="D10" s="150">
        <f>HojaDominicana!$D38</f>
        <v>0</v>
      </c>
      <c r="E10" s="150"/>
      <c r="F10" s="151">
        <f t="shared" si="0"/>
        <v>0</v>
      </c>
      <c r="H10" s="154"/>
      <c r="J10" t="s">
        <v>148</v>
      </c>
      <c r="K10" s="252">
        <v>4686329.45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4641540.45</v>
      </c>
    </row>
    <row r="12" spans="1:15" ht="16" thickBot="1" x14ac:dyDescent="0.4">
      <c r="A12" s="144" t="s">
        <v>5</v>
      </c>
      <c r="B12" s="152">
        <f>SUM(B5:B11)</f>
        <v>3623650</v>
      </c>
      <c r="C12" s="152">
        <f>SUM(C5:C11)</f>
        <v>463939</v>
      </c>
      <c r="D12" s="152">
        <f>SUM(D5:D11)</f>
        <v>3204500</v>
      </c>
      <c r="E12" s="152"/>
      <c r="F12" s="255">
        <f>SUM(F5:F11)</f>
        <v>-44789</v>
      </c>
      <c r="H12" s="251">
        <f>K12</f>
        <v>4641540.45</v>
      </c>
      <c r="J12" t="s">
        <v>140</v>
      </c>
      <c r="K12" s="254">
        <f>-2555460.87+4454539.24+1499968.6+1242493.48</f>
        <v>4641540.45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201100</v>
      </c>
      <c r="K4" s="231">
        <f t="shared" ref="K4" si="0">D7+D11+D15</f>
        <v>26143</v>
      </c>
      <c r="L4" s="220">
        <f>F7+F11+F15</f>
        <v>590750</v>
      </c>
    </row>
    <row r="5" spans="1:12" x14ac:dyDescent="0.35">
      <c r="A5" s="28" t="s">
        <v>43</v>
      </c>
      <c r="B5" s="132">
        <f>IF(DigitaNICA!C2&lt;&gt;"",DigitaNICA!C2,"")</f>
        <v>83</v>
      </c>
      <c r="C5" s="29">
        <f>IF(DigitaNICA!C4&lt;&gt;"",DigitaNICA!C4,"")</f>
        <v>31400</v>
      </c>
      <c r="D5" s="42">
        <f>IF(C5="",0,C5*J$10)</f>
        <v>4082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27318</v>
      </c>
      <c r="I5" s="241" t="s">
        <v>37</v>
      </c>
      <c r="J5" s="221">
        <f>SUM(IF(C5="",0,C5),IF(C9="",0,C9),IF(C13="",0,C13),IF(C17="",0,C17))</f>
        <v>75000</v>
      </c>
      <c r="K5" s="225">
        <f t="shared" ref="K5" si="2">D5+D9+D13+D17</f>
        <v>9750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9050</v>
      </c>
      <c r="K6" s="228">
        <f>D19+D20</f>
        <v>1176.5</v>
      </c>
      <c r="L6" s="229">
        <f>F19+F20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02</v>
      </c>
      <c r="C7" s="29">
        <f>IF(DigitaTICA!C4&lt;&gt;"",DigitaTICA!C4,"")</f>
        <v>51350</v>
      </c>
      <c r="D7" s="42">
        <f>IF(C7="",0,C7*J$9)</f>
        <v>6675.5</v>
      </c>
      <c r="E7" s="29">
        <f>IF(DigitaTICA!D4&lt;&gt;"",DigitaTICA!D4,"")</f>
        <v>400</v>
      </c>
      <c r="F7" s="42">
        <f>IF(E7="",0,E7*PREMIOS!F7)</f>
        <v>34000</v>
      </c>
      <c r="G7" s="30">
        <f t="shared" si="1"/>
        <v>10674.5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26</v>
      </c>
      <c r="C9" s="29">
        <f>IF(DigitaNICA!E4&lt;&gt;"",DigitaNICA!E4,"")</f>
        <v>24350</v>
      </c>
      <c r="D9" s="42">
        <f>IF(C9="",0,C9*J$10)</f>
        <v>3165.5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21184.5</v>
      </c>
      <c r="I9" s="76" t="s">
        <v>36</v>
      </c>
      <c r="J9" s="77">
        <v>0.13</v>
      </c>
      <c r="K9" s="78">
        <f>MROUND(D7+D11+D15,50)</f>
        <v>26150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9750</v>
      </c>
    </row>
    <row r="11" spans="1:12" x14ac:dyDescent="0.35">
      <c r="A11" s="28" t="s">
        <v>59</v>
      </c>
      <c r="B11" s="132">
        <f>IF(DigitaTICA!E2&lt;&gt;"",DigitaTICA!E2,"")</f>
        <v>50</v>
      </c>
      <c r="C11" s="29">
        <f>IF(DigitaTICA!E4&lt;&gt;"",DigitaTICA!E4,"")</f>
        <v>45700</v>
      </c>
      <c r="D11" s="42">
        <f>IF(C11="",0,C11*J$9)</f>
        <v>5941</v>
      </c>
      <c r="E11" s="29">
        <f>IF(DigitaTICA!F4&lt;&gt;"",DigitaTICA!F4,"")</f>
        <v>300</v>
      </c>
      <c r="F11" s="42">
        <f>IF(E11="",0,E11*PREMIOS!F11)</f>
        <v>25500</v>
      </c>
      <c r="G11" s="30">
        <f t="shared" si="1"/>
        <v>14259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1200</v>
      </c>
    </row>
    <row r="13" spans="1:12" x14ac:dyDescent="0.35">
      <c r="A13" s="28" t="s">
        <v>50</v>
      </c>
      <c r="B13" s="132">
        <f>IF(DigitaNICA!G2&lt;&gt;"",DigitaNICA!G2,"")</f>
        <v>19</v>
      </c>
      <c r="C13" s="29">
        <f>IF(DigitaNICA!G4&lt;&gt;"",DigitaNICA!G4,"")</f>
        <v>3250</v>
      </c>
      <c r="D13" s="42">
        <f>IF(C13="",0,C13*J$10)</f>
        <v>422.5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2827.5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30</v>
      </c>
      <c r="C15" s="29">
        <f>IF(DigitaTICA!G4&lt;&gt;"",DigitaTICA!G4,"")</f>
        <v>104050</v>
      </c>
      <c r="D15" s="42">
        <f>IF(C15="",0,C15*J$9)</f>
        <v>13526.5</v>
      </c>
      <c r="E15" s="29">
        <f>IF(DigitaTICA!H4&lt;&gt;"",DigitaTICA!H4,"")</f>
        <v>6250</v>
      </c>
      <c r="F15" s="42">
        <f>IF(E15="",0,E15*PREMIOS!F15)</f>
        <v>531250</v>
      </c>
      <c r="G15" s="30">
        <f t="shared" si="3"/>
        <v>-440726.5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41</v>
      </c>
      <c r="C17" s="29">
        <f>IF(DigitaNICA!I4&lt;&gt;"",DigitaNICA!I4,"")</f>
        <v>16000</v>
      </c>
      <c r="D17" s="42">
        <f>IF(C17="",0,C17*J$10)</f>
        <v>2080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13920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39</v>
      </c>
      <c r="C19" s="29">
        <f>IF(DigitaPRIMERA!C4&lt;&gt;"",DigitaPRIMERA!C4,"")</f>
        <v>7550</v>
      </c>
      <c r="D19" s="42">
        <f>IF(C19="",0,C19*J$12)</f>
        <v>981.5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6568.5</v>
      </c>
    </row>
    <row r="20" spans="1:7" x14ac:dyDescent="0.35">
      <c r="A20" s="28" t="s">
        <v>98</v>
      </c>
      <c r="B20" s="132">
        <f>IF(DigitaPRIMERA!E2&lt;&gt;"",DigitaPRIMERA!E2,"")</f>
        <v>16</v>
      </c>
      <c r="C20" s="29">
        <f>IF(DigitaPRIMERA!E4&lt;&gt;"",DigitaPRIMERA!E4,"")</f>
        <v>1500</v>
      </c>
      <c r="D20" s="42">
        <f>IF(C20="",0,C20*J$12)</f>
        <v>195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1305</v>
      </c>
    </row>
    <row r="21" spans="1:7" ht="15" thickBot="1" x14ac:dyDescent="0.4">
      <c r="A21" s="121" t="s">
        <v>5</v>
      </c>
      <c r="B21" s="128"/>
      <c r="C21" s="122">
        <f>SUM(C5:C20)</f>
        <v>285150</v>
      </c>
      <c r="D21" s="122">
        <f t="shared" ref="D21:G21" si="6">SUM(D5:D20)</f>
        <v>37069.5</v>
      </c>
      <c r="E21" s="122">
        <f t="shared" si="6"/>
        <v>6950</v>
      </c>
      <c r="F21" s="122">
        <f t="shared" si="6"/>
        <v>590750</v>
      </c>
      <c r="G21" s="123">
        <f t="shared" si="6"/>
        <v>-342669.5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198550</v>
      </c>
      <c r="K4" s="231">
        <f t="shared" ref="K4" si="0">D7+D11+D15</f>
        <v>25811.5</v>
      </c>
      <c r="L4" s="220">
        <f>F7+F11+F15</f>
        <v>225250</v>
      </c>
    </row>
    <row r="5" spans="1:12" x14ac:dyDescent="0.35">
      <c r="A5" s="28" t="s">
        <v>43</v>
      </c>
      <c r="B5" s="132">
        <f>IF(DigitaNICA!C2&lt;&gt;"",DigitaNICA!C2,"")</f>
        <v>83</v>
      </c>
      <c r="C5" s="29">
        <f>IF(DigitaNICA!C5&lt;&gt;"",DigitaNICA!C5,"")</f>
        <v>32100</v>
      </c>
      <c r="D5" s="42">
        <f>IF(C5="",0,C5*J$10)</f>
        <v>4173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27927</v>
      </c>
      <c r="I5" s="241" t="s">
        <v>37</v>
      </c>
      <c r="J5" s="221">
        <f>SUM(IF(C5="",0,C5),IF(C9="",0,C9),IF(C13="",0,C13),IF(C17="",0,C17))</f>
        <v>81050</v>
      </c>
      <c r="K5" s="225">
        <f t="shared" ref="K5" si="2">D5+D9+D13+D17</f>
        <v>10536.5</v>
      </c>
      <c r="L5" s="222">
        <f>F5+F9+F13+F17</f>
        <v>64000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3350</v>
      </c>
      <c r="K6" s="228">
        <f>D19+D20</f>
        <v>435.5</v>
      </c>
      <c r="L6" s="229">
        <f>F19+F20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02</v>
      </c>
      <c r="C7" s="29">
        <f>IF(DigitaTICA!C5&lt;&gt;"",DigitaTICA!C5,"")</f>
        <v>67500</v>
      </c>
      <c r="D7" s="42">
        <f>IF(C7="",0,C7*J$9)</f>
        <v>8775</v>
      </c>
      <c r="E7" s="29">
        <f>IF(DigitaTICA!D5&lt;&gt;"",DigitaTICA!D5,"")</f>
        <v>500</v>
      </c>
      <c r="F7" s="42">
        <f>IF(E7="",0,E7*PREMIOS!F7)</f>
        <v>42500</v>
      </c>
      <c r="G7" s="30">
        <f t="shared" si="1"/>
        <v>16225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26</v>
      </c>
      <c r="C9" s="29">
        <f>IF(DigitaNICA!E5&lt;&gt;"",DigitaNICA!E5,"")</f>
        <v>14550</v>
      </c>
      <c r="D9" s="42">
        <f>IF(C9="",0,C9*J$10)</f>
        <v>1891.5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12658.5</v>
      </c>
      <c r="I9" s="60" t="s">
        <v>36</v>
      </c>
      <c r="J9" s="61">
        <v>0.13</v>
      </c>
      <c r="K9" s="62">
        <f>MROUND(D7+D11+D15,50)</f>
        <v>25800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10550</v>
      </c>
    </row>
    <row r="11" spans="1:12" x14ac:dyDescent="0.35">
      <c r="A11" s="28" t="s">
        <v>59</v>
      </c>
      <c r="B11" s="132">
        <f>IF(DigitaTICA!E2&lt;&gt;"",DigitaTICA!E2,"")</f>
        <v>50</v>
      </c>
      <c r="C11" s="29">
        <f>IF(DigitaTICA!E5&lt;&gt;"",DigitaTICA!E5,"")</f>
        <v>52000</v>
      </c>
      <c r="D11" s="42">
        <f>IF(C11="",0,C11*J$9)</f>
        <v>6760</v>
      </c>
      <c r="E11" s="29">
        <f>IF(DigitaTICA!F5&lt;&gt;"",DigitaTICA!F5,"")</f>
        <v>250</v>
      </c>
      <c r="F11" s="42">
        <f>IF(E11="",0,E11*PREMIOS!F11)</f>
        <v>21250</v>
      </c>
      <c r="G11" s="30">
        <f t="shared" si="1"/>
        <v>23990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450</v>
      </c>
    </row>
    <row r="13" spans="1:12" x14ac:dyDescent="0.35">
      <c r="A13" s="28" t="s">
        <v>50</v>
      </c>
      <c r="B13" s="132">
        <f>IF(DigitaNICA!G2&lt;&gt;"",DigitaNICA!G2,"")</f>
        <v>19</v>
      </c>
      <c r="C13" s="29">
        <f>IF(DigitaNICA!G5&lt;&gt;"",DigitaNICA!G5,"")</f>
        <v>17850</v>
      </c>
      <c r="D13" s="42">
        <f>IF(C13="",0,C13*J$10)</f>
        <v>2320.5</v>
      </c>
      <c r="E13" s="29">
        <f>IF(DigitaNICA!H5&lt;&gt;"",DigitaNICA!H5,"")</f>
        <v>800</v>
      </c>
      <c r="F13" s="42">
        <f>IF(E13="",0,E13*PREMIOS!E13)</f>
        <v>64000</v>
      </c>
      <c r="G13" s="30">
        <f>IF(OR(C13="",E13=""),0,C13-D13-F13)</f>
        <v>-48470.5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30</v>
      </c>
      <c r="C15" s="29">
        <f>IF(DigitaTICA!G5&lt;&gt;"",DigitaTICA!G5,"")</f>
        <v>79050</v>
      </c>
      <c r="D15" s="42">
        <f>IF(C15="",0,C15*J$9)</f>
        <v>10276.5</v>
      </c>
      <c r="E15" s="29">
        <f>IF(DigitaTICA!H5&lt;&gt;"",DigitaTICA!H5,"")</f>
        <v>1900</v>
      </c>
      <c r="F15" s="42">
        <f>IF(E15="",0,E15*PREMIOS!F15)</f>
        <v>161500</v>
      </c>
      <c r="G15" s="30">
        <f t="shared" si="3"/>
        <v>-92726.5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41</v>
      </c>
      <c r="C17" s="29">
        <f>IF(DigitaNICA!I5&lt;&gt;"",DigitaNICA!I5,"")</f>
        <v>16550</v>
      </c>
      <c r="D17" s="42">
        <f>IF(C17="",0,C17*J$10)</f>
        <v>2151.5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14398.5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39</v>
      </c>
      <c r="C19" s="29">
        <f>IF(DigitaPRIMERA!C5&lt;&gt;"",DigitaPRIMERA!C5,"")</f>
        <v>1800</v>
      </c>
      <c r="D19" s="42">
        <f>IF(C19="",0,C19*J$12)</f>
        <v>234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1566</v>
      </c>
    </row>
    <row r="20" spans="1:7" x14ac:dyDescent="0.35">
      <c r="A20" s="28" t="s">
        <v>98</v>
      </c>
      <c r="B20" s="132">
        <f>IF(DigitaPRIMERA!E2&lt;&gt;"",DigitaPRIMERA!E2,"")</f>
        <v>16</v>
      </c>
      <c r="C20" s="29">
        <f>IF(DigitaPRIMERA!E5&lt;&gt;"",DigitaPRIMERA!E5,"")</f>
        <v>1550</v>
      </c>
      <c r="D20" s="42">
        <f>IF(C20="",0,C20*J$12)</f>
        <v>201.5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1348.5</v>
      </c>
    </row>
    <row r="21" spans="1:7" ht="15" thickBot="1" x14ac:dyDescent="0.4">
      <c r="A21" s="67" t="s">
        <v>5</v>
      </c>
      <c r="B21" s="127"/>
      <c r="C21" s="68">
        <f>SUM(C5:C20)</f>
        <v>282950</v>
      </c>
      <c r="D21" s="68">
        <f t="shared" ref="D21:G21" si="4">SUM(D5:D20)</f>
        <v>36783.5</v>
      </c>
      <c r="E21" s="68">
        <f t="shared" si="4"/>
        <v>3450</v>
      </c>
      <c r="F21" s="68">
        <f t="shared" si="4"/>
        <v>289250</v>
      </c>
      <c r="G21" s="88">
        <f t="shared" si="4"/>
        <v>-43083.5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83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02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26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50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19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30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41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39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16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83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02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26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50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19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30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41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83</v>
      </c>
      <c r="C5" s="29" t="str">
        <f>IF(DigitaNICA!C8&lt;&gt;"",DigitaNICA!C8,"")</f>
        <v/>
      </c>
      <c r="D5" s="42">
        <f>IF(C5="",0,C5*J$12)</f>
        <v>0</v>
      </c>
      <c r="E5" s="29" t="str">
        <f>IF(DigitaNICA!D8&lt;&gt;"",DigitaNICA!D8,"")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02</v>
      </c>
      <c r="C7" s="29" t="str">
        <f>IF(DigitaTICA!C8&lt;&gt;"",DigitaTICA!C8,"")</f>
        <v/>
      </c>
      <c r="D7" s="42">
        <f>IF(C7="",0,C7*J$11)</f>
        <v>0</v>
      </c>
      <c r="E7" s="29" t="str">
        <f>IF(DigitaTICA!D8&lt;&gt;"",DigitaTICA!D8,"")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26</v>
      </c>
      <c r="C9" s="29" t="str">
        <f>IF(DigitaNICA!E8&lt;&gt;"",DigitaNICA!E8,"")</f>
        <v/>
      </c>
      <c r="D9" s="42">
        <f>IF(C9="",0,C9*J$12)</f>
        <v>0</v>
      </c>
      <c r="E9" s="29" t="str">
        <f>IF(DigitaNICA!F8&lt;&gt;"",DigitaNICA!F8,"")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50</v>
      </c>
      <c r="C11" s="29" t="str">
        <f>IF(DigitaTICA!E8&lt;&gt;"",DigitaTICA!E8,"")</f>
        <v/>
      </c>
      <c r="D11" s="42">
        <f>IF(C11="",0,C11*J$11)</f>
        <v>0</v>
      </c>
      <c r="E11" s="29" t="str">
        <f>IF(DigitaTICA!F8&lt;&gt;"",DigitaTICA!F8,"")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19</v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30</v>
      </c>
      <c r="C15" s="29" t="str">
        <f>IF(DigitaTICA!G8&lt;&gt;"",DigitaTICA!G8,"")</f>
        <v/>
      </c>
      <c r="D15" s="42">
        <f>IF(C15="",0,C15*J$11)</f>
        <v>0</v>
      </c>
      <c r="E15" s="29" t="str">
        <f>IF(DigitaTICA!H8&lt;&gt;"",DigitaTICA!H8,"")</f>
        <v/>
      </c>
      <c r="F15" s="42">
        <f>IF(E15="",0,E15*PREMIOS!F15)</f>
        <v>0</v>
      </c>
      <c r="G15" s="30">
        <f t="shared" si="4"/>
        <v>0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41</v>
      </c>
      <c r="C17" s="29" t="str">
        <f>IF(DigitaNICA!I8&lt;&gt;"",DigitaNICA!I8,"")</f>
        <v/>
      </c>
      <c r="D17" s="42">
        <f>IF(C17="",0,C17*J$12)</f>
        <v>0</v>
      </c>
      <c r="E17" s="29" t="str">
        <f>IF(DigitaNICA!J8&lt;&gt;"",DigitaNICA!J8,"")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39</v>
      </c>
      <c r="C19" s="29" t="str">
        <f>IF(DigitaPRIMERA!C8&lt;&gt;"",DigitaPRIMERA!C8,"")</f>
        <v/>
      </c>
      <c r="D19" s="42">
        <f>IF(C19="",0,C19*J$14)</f>
        <v>0</v>
      </c>
      <c r="E19" s="29" t="str">
        <f>IF(DigitaPRIMERA!D8&lt;&gt;"",DigitaPRIMERA!D8,"")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16</v>
      </c>
      <c r="C20" s="29" t="str">
        <f>IF(DigitaPRIMERA!E8&lt;&gt;"",DigitaPRIMERA!E8,"")</f>
        <v/>
      </c>
      <c r="D20" s="42">
        <f>IF(C20="",0,C20*J$14)</f>
        <v>0</v>
      </c>
      <c r="E20" s="29" t="str">
        <f>IF(DigitaPRIMERA!F8&lt;&gt;"",DigitaPRIMERA!F8,"")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0</v>
      </c>
      <c r="D21" s="122">
        <f t="shared" ref="D21:G21" si="5">SUM(D5:D20)</f>
        <v>0</v>
      </c>
      <c r="E21" s="122">
        <f t="shared" si="5"/>
        <v>0</v>
      </c>
      <c r="F21" s="122">
        <f t="shared" si="5"/>
        <v>0</v>
      </c>
      <c r="G21" s="123">
        <f t="shared" si="5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83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02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26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50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19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30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41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39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16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323800</v>
      </c>
      <c r="K4" s="231">
        <f t="shared" ref="K4" si="0">D7+D11+D15</f>
        <v>38856</v>
      </c>
      <c r="L4" s="220">
        <f>F7+F11+F15</f>
        <v>182750</v>
      </c>
    </row>
    <row r="5" spans="1:12" x14ac:dyDescent="0.35">
      <c r="A5" s="28" t="s">
        <v>43</v>
      </c>
      <c r="B5" s="132">
        <f>IF(DigitaNICA!C2&lt;&gt;"",DigitaNICA!C2,"")</f>
        <v>83</v>
      </c>
      <c r="C5" s="29">
        <f>IF(DigitaNICA!C10&lt;&gt;"",DigitaNICA!C10,"")</f>
        <v>67950</v>
      </c>
      <c r="D5" s="42">
        <f>IF(C5="",0,C5*J$15)</f>
        <v>8154</v>
      </c>
      <c r="E5" s="29">
        <f>IF(DigitaNICA!D10&lt;&gt;"",DigitaNICA!D10,"")</f>
        <v>100</v>
      </c>
      <c r="F5" s="42">
        <f>IF(E5="",0,E5*PREMIOS!F5)</f>
        <v>8500</v>
      </c>
      <c r="G5" s="30">
        <f t="shared" ref="G5:G12" si="1">IF(OR(C5="",E5=""),0,C5-D5-F5)</f>
        <v>51296</v>
      </c>
      <c r="I5" s="217" t="s">
        <v>37</v>
      </c>
      <c r="J5" s="221">
        <f>SUM(IF(C5="",0,C5),IF(C9="",0,C9),IF(C13="",0,C13),IF(C17="",0,C17))</f>
        <v>310700</v>
      </c>
      <c r="K5" s="225">
        <f t="shared" ref="K5" si="2">D5+D9+D13+D17</f>
        <v>37284</v>
      </c>
      <c r="L5" s="222">
        <f>F5+F9+F13+F17</f>
        <v>170000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108100</v>
      </c>
      <c r="K6" s="226">
        <f t="shared" ref="K6" si="3">+D8+D12+D16</f>
        <v>10810</v>
      </c>
      <c r="L6" s="227">
        <f>F8+F12+F16</f>
        <v>0</v>
      </c>
    </row>
    <row r="7" spans="1:12" x14ac:dyDescent="0.35">
      <c r="A7" s="28" t="s">
        <v>46</v>
      </c>
      <c r="B7" s="132" t="str">
        <f>IF(DigitaTICA!C2&lt;&gt;"",DigitaTICA!C2,"")</f>
        <v>02</v>
      </c>
      <c r="C7" s="29">
        <f>IF(DigitaTICA!C10&lt;&gt;"",DigitaTICA!C10,"")</f>
        <v>92450</v>
      </c>
      <c r="D7" s="42">
        <f>IF(C7="",0,C7*J$14)</f>
        <v>11094</v>
      </c>
      <c r="E7" s="29">
        <f>IF(DigitaTICA!D10&lt;&gt;"",DigitaTICA!D10,"")</f>
        <v>1250</v>
      </c>
      <c r="F7" s="42">
        <f>IF(E7="",0,E7*PREMIOS!F7)</f>
        <v>106250</v>
      </c>
      <c r="G7" s="30">
        <f t="shared" si="1"/>
        <v>-24894</v>
      </c>
      <c r="I7" s="217" t="s">
        <v>96</v>
      </c>
      <c r="J7" s="223">
        <f>SUM(IF(C19="",0,C19),IF(C20="",0,C20))</f>
        <v>67350</v>
      </c>
      <c r="K7" s="226">
        <f>+D19+D20</f>
        <v>8082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32300</v>
      </c>
      <c r="D8" s="42">
        <f>IF(C8="",0,C8*J$16)</f>
        <v>3230</v>
      </c>
      <c r="E8" s="29">
        <f>IF(DigitaREVENTADO!D10&lt;&gt;"",DigitaREVENTADO!D10,"")</f>
        <v>750</v>
      </c>
      <c r="F8" s="42">
        <f>IF(E8="",0,E8*PREMIOS!F8)</f>
        <v>0</v>
      </c>
      <c r="G8" s="30">
        <f t="shared" si="1"/>
        <v>29070</v>
      </c>
      <c r="I8" s="217" t="s">
        <v>104</v>
      </c>
      <c r="J8" s="223">
        <f>SUM(IF(C21="",0,C21),IF(C22="",0,C22),IF(C23="",0,C23))</f>
        <v>21400</v>
      </c>
      <c r="K8" s="226">
        <f t="shared" ref="K8" si="4">D21+D22+D23</f>
        <v>2568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26</v>
      </c>
      <c r="C9" s="29">
        <f>IF(DigitaNICA!E10&lt;&gt;"",DigitaNICA!E10,"")</f>
        <v>76650</v>
      </c>
      <c r="D9" s="42">
        <f>IF(C9="",0,C9*J$15)</f>
        <v>9198</v>
      </c>
      <c r="E9" s="29">
        <f>IF(DigitaNICA!F10&lt;&gt;"",DigitaNICA!F10,"")</f>
        <v>100</v>
      </c>
      <c r="F9" s="42">
        <f>IF(E9="",0,E9*PREMIOS!F9)</f>
        <v>8500</v>
      </c>
      <c r="G9" s="30">
        <f t="shared" si="1"/>
        <v>58952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50</v>
      </c>
      <c r="C11" s="29">
        <f>IF(DigitaTICA!E10&lt;&gt;"",DigitaTICA!E10,"")</f>
        <v>93750</v>
      </c>
      <c r="D11" s="42">
        <f>IF(C11="",0,C11*J$14)</f>
        <v>11250</v>
      </c>
      <c r="E11" s="29">
        <f>IF(DigitaTICA!F10&lt;&gt;"",DigitaTICA!F10,"")</f>
        <v>200</v>
      </c>
      <c r="F11" s="42">
        <f>IF(E11="",0,E11*PREMIOS!F11)</f>
        <v>17000</v>
      </c>
      <c r="G11" s="30">
        <f t="shared" si="1"/>
        <v>65500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34100</v>
      </c>
      <c r="D12" s="42">
        <f>IF(C12="",0,C12*J$16)</f>
        <v>3410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30690</v>
      </c>
    </row>
    <row r="13" spans="1:12" ht="15" thickBot="1" x14ac:dyDescent="0.4">
      <c r="A13" s="28" t="s">
        <v>50</v>
      </c>
      <c r="B13" s="132">
        <f>IF(DigitaNICA!G2&lt;&gt;"",DigitaNICA!G2,"")</f>
        <v>19</v>
      </c>
      <c r="C13" s="29">
        <f>IF(DigitaNICA!G10&lt;&gt;"",DigitaNICA!G10,"")</f>
        <v>56850</v>
      </c>
      <c r="D13" s="42">
        <f>IF(C13="",0,C13*J$15)</f>
        <v>6822</v>
      </c>
      <c r="E13" s="29">
        <f>IF(DigitaNICA!H10&lt;&gt;"",DigitaNICA!H10,"")</f>
        <v>500</v>
      </c>
      <c r="F13" s="42">
        <f>IF(E13="",0,E13*PREMIOS!F13)</f>
        <v>42500</v>
      </c>
      <c r="G13" s="30">
        <f>IF(OR(C13="",E13=""),0,C13-D13-F13)</f>
        <v>7528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38850</v>
      </c>
    </row>
    <row r="15" spans="1:12" x14ac:dyDescent="0.35">
      <c r="A15" s="28" t="s">
        <v>61</v>
      </c>
      <c r="B15" s="132">
        <f>IF(DigitaTICA!G2&lt;&gt;"",DigitaTICA!G2,"")</f>
        <v>30</v>
      </c>
      <c r="C15" s="29">
        <f>IF(DigitaTICA!G10&lt;&gt;"",DigitaTICA!G10,"")</f>
        <v>137600</v>
      </c>
      <c r="D15" s="42">
        <f>IF(C15="",0,C15*J$14)</f>
        <v>16512</v>
      </c>
      <c r="E15" s="29">
        <f>IF(DigitaTICA!H10&lt;&gt;"",DigitaTICA!H10,"")</f>
        <v>700</v>
      </c>
      <c r="F15" s="42">
        <f>IF(E15="",0,E15*PREMIOS!F15)</f>
        <v>59500</v>
      </c>
      <c r="G15" s="30">
        <f t="shared" si="6"/>
        <v>61588</v>
      </c>
      <c r="I15" s="63" t="s">
        <v>37</v>
      </c>
      <c r="J15" s="64">
        <v>0.12</v>
      </c>
      <c r="K15" s="30">
        <f>MROUND(D5+D9+D13+D17,50)</f>
        <v>37300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41700</v>
      </c>
      <c r="D16" s="42">
        <f>IF(C16="",0,C16*J$16)</f>
        <v>4170</v>
      </c>
      <c r="E16" s="29">
        <f>IF(DigitaREVENTADO!H10&lt;&gt;"",DigitaREVENTADO!H10,"")</f>
        <v>400</v>
      </c>
      <c r="F16" s="42">
        <f>IF(E16="",0,E16*PREMIOS!F16)</f>
        <v>0</v>
      </c>
      <c r="G16" s="30">
        <f t="shared" si="6"/>
        <v>37530</v>
      </c>
      <c r="I16" s="63" t="s">
        <v>38</v>
      </c>
      <c r="J16" s="64">
        <v>0.1</v>
      </c>
      <c r="K16" s="30">
        <f>MROUND(D6+D8+D10+D12+D14+D16+D18,50)</f>
        <v>10800</v>
      </c>
    </row>
    <row r="17" spans="1:11" x14ac:dyDescent="0.35">
      <c r="A17" s="28" t="s">
        <v>52</v>
      </c>
      <c r="B17" s="132">
        <f>IF(DigitaNICA!I2&lt;&gt;"",DigitaNICA!I2,"")</f>
        <v>41</v>
      </c>
      <c r="C17" s="29">
        <f>IF(DigitaNICA!I10&lt;&gt;"",DigitaNICA!I10,"")</f>
        <v>109250</v>
      </c>
      <c r="D17" s="42">
        <f>IF(C17="",0,C17*J$15)</f>
        <v>13110</v>
      </c>
      <c r="E17" s="29">
        <f>IF(DigitaNICA!J10&lt;&gt;"",DigitaNICA!J10,"")</f>
        <v>1300</v>
      </c>
      <c r="F17" s="42">
        <f>IF(E17="",0,E17*PREMIOS!F17)</f>
        <v>110500</v>
      </c>
      <c r="G17" s="30">
        <f t="shared" si="6"/>
        <v>-14360</v>
      </c>
      <c r="I17" s="63" t="s">
        <v>96</v>
      </c>
      <c r="J17" s="64">
        <v>0.12</v>
      </c>
      <c r="K17" s="30">
        <f>MROUND(D19+D20,50)</f>
        <v>8100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2550</v>
      </c>
    </row>
    <row r="19" spans="1:11" x14ac:dyDescent="0.35">
      <c r="A19" s="28" t="s">
        <v>97</v>
      </c>
      <c r="B19" s="132">
        <f>IF(DigitaPRIMERA!C2&lt;&gt;"",DigitaPRIMERA!C2,"")</f>
        <v>39</v>
      </c>
      <c r="C19" s="29">
        <f>IF(DigitaPRIMERA!$C$10&lt;&gt;"",DigitaPRIMERA!$C$10,"")</f>
        <v>53350</v>
      </c>
      <c r="D19" s="42">
        <f>IF(C19="",0,C19*J$17)</f>
        <v>6402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46948</v>
      </c>
      <c r="I19" s="63" t="s">
        <v>20</v>
      </c>
      <c r="J19" s="64">
        <v>0.12</v>
      </c>
      <c r="K19" s="30">
        <f>MROUND(D24+D25,50)</f>
        <v>0</v>
      </c>
    </row>
    <row r="20" spans="1:11" ht="15" thickBot="1" x14ac:dyDescent="0.4">
      <c r="A20" s="28" t="s">
        <v>98</v>
      </c>
      <c r="B20" s="132">
        <f>IF(DigitaPRIMERA!E2&lt;&gt;"",DigitaPRIMERA!E2,"")</f>
        <v>16</v>
      </c>
      <c r="C20" s="29">
        <f>IF(DigitaPRIMERA!$E$10&lt;&gt;"",DigitaPRIMERA!$E$10,"")</f>
        <v>14000</v>
      </c>
      <c r="D20" s="42">
        <f>IF(C20="",0,C20*J$17)</f>
        <v>1680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12320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 t="str">
        <f>IF(DigitaHONDURAS!C2&lt;&gt;"",DigitaHONDURAS!C2,"")</f>
        <v>06</v>
      </c>
      <c r="C21" s="29">
        <f>IF(DigitaHONDURAS!$C$10&lt;&gt;"",DigitaHONDURAS!$C$10,"")</f>
        <v>7200</v>
      </c>
      <c r="D21" s="42">
        <f>IF(C21="",0,C21*J$18)</f>
        <v>864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6336</v>
      </c>
    </row>
    <row r="22" spans="1:11" x14ac:dyDescent="0.35">
      <c r="A22" s="28" t="s">
        <v>100</v>
      </c>
      <c r="B22" s="132">
        <f>IF(DigitaHONDURAS!E2&lt;&gt;"",DigitaHONDURAS!E2,"")</f>
        <v>27</v>
      </c>
      <c r="C22" s="29">
        <f>IF(DigitaHONDURAS!$E$10&lt;&gt;"",DigitaHONDURAS!$E$10,"")</f>
        <v>1500</v>
      </c>
      <c r="D22" s="42">
        <f>IF(C22="",0,C22*J$18)</f>
        <v>180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1320</v>
      </c>
    </row>
    <row r="23" spans="1:11" x14ac:dyDescent="0.35">
      <c r="A23" s="28" t="s">
        <v>101</v>
      </c>
      <c r="B23" s="132">
        <f>IF(DigitaHONDURAS!G2&lt;&gt;"",DigitaHONDURAS!G2,"")</f>
        <v>25</v>
      </c>
      <c r="C23" s="29">
        <f>IF(DigitaHONDURAS!$G$10&lt;&gt;"",DigitaHONDURAS!$G$10,"")</f>
        <v>12700</v>
      </c>
      <c r="D23" s="42">
        <f>IF(C23="",0,C23*J$18)</f>
        <v>1524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11176</v>
      </c>
    </row>
    <row r="24" spans="1:11" x14ac:dyDescent="0.35">
      <c r="A24" s="28" t="s">
        <v>107</v>
      </c>
      <c r="B24" s="132">
        <f>IF(DigitaDOMINICANA!C2&lt;&gt;"",DigitaDOMINICANA!C2,"")</f>
        <v>20</v>
      </c>
      <c r="C24" s="29" t="str">
        <f>IF(DigitaDOMINICANA!$C$10&lt;&gt;"",DigitaDOMINICANA!$C$10,"")</f>
        <v/>
      </c>
      <c r="D24" s="42">
        <f>IF(C24="",0,C24*J$19)</f>
        <v>0</v>
      </c>
      <c r="E24" s="29" t="str">
        <f>IF(DigitaDOMINICANA!$D$10&lt;&gt;"",DigitaDOMINICANA!$D$10,"")</f>
        <v/>
      </c>
      <c r="F24" s="42">
        <f>IF(E24="",0,E24*PREMIOS!F21)</f>
        <v>0</v>
      </c>
      <c r="G24" s="30">
        <f t="shared" si="8"/>
        <v>0</v>
      </c>
    </row>
    <row r="25" spans="1:11" x14ac:dyDescent="0.35">
      <c r="A25" s="28" t="s">
        <v>108</v>
      </c>
      <c r="B25" s="132">
        <f>IF(DigitaDOMINICANA!E2&lt;&gt;"",DigitaDOMINICANA!E2,"")</f>
        <v>88</v>
      </c>
      <c r="C25" s="29" t="str">
        <f>IF(DigitaDOMINICANA!$E$10&lt;&gt;"",DigitaDOMINICANA!$E$10,"")</f>
        <v/>
      </c>
      <c r="D25" s="42">
        <f>IF(C25="",0,C25*J$19)</f>
        <v>0</v>
      </c>
      <c r="E25" s="29" t="str">
        <f>IF(DigitaDOMINICANA!$F$10&lt;&gt;"",DigitaDOMINICANA!$F$10,"")</f>
        <v/>
      </c>
      <c r="F25" s="42">
        <f>IF(E25="",0,E25*PREMIOS!F21)</f>
        <v>0</v>
      </c>
      <c r="G25" s="30">
        <f t="shared" si="8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831350</v>
      </c>
      <c r="D27" s="68">
        <f t="shared" ref="D27:F27" si="9">SUM(D5:D26)</f>
        <v>97600</v>
      </c>
      <c r="E27" s="68">
        <f t="shared" si="9"/>
        <v>5300</v>
      </c>
      <c r="F27" s="68">
        <f t="shared" si="9"/>
        <v>352750</v>
      </c>
      <c r="G27" s="88">
        <f>SUM(G5:G26)</f>
        <v>381000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7.363281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26200</v>
      </c>
      <c r="K4" s="231">
        <f t="shared" ref="K4" si="0">D7+D11+D15</f>
        <v>3144</v>
      </c>
      <c r="L4" s="220">
        <f>F7+F11+F15</f>
        <v>17000</v>
      </c>
    </row>
    <row r="5" spans="1:12" x14ac:dyDescent="0.35">
      <c r="A5" s="28" t="s">
        <v>43</v>
      </c>
      <c r="B5" s="132">
        <f>IF(DigitaNICA!C2&lt;&gt;"",DigitaNICA!C2,"")</f>
        <v>83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02</v>
      </c>
      <c r="C7" s="29">
        <f>IF(DigitaTICA!C11&lt;&gt;"",DigitaTICA!C11,"")</f>
        <v>3000</v>
      </c>
      <c r="D7" s="42">
        <f>IF(C7="",0,C7*J$11)</f>
        <v>360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2640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26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50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3150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19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30</v>
      </c>
      <c r="C15" s="29">
        <f>IF(DigitaTICA!G11&lt;&gt;"",DigitaTICA!G11,"")</f>
        <v>23200</v>
      </c>
      <c r="D15" s="42">
        <f>IF(C15="",0,C15*J$11)</f>
        <v>2784</v>
      </c>
      <c r="E15" s="29">
        <f>IF(DigitaTICA!H11&lt;&gt;"",DigitaTICA!H11,"")</f>
        <v>200</v>
      </c>
      <c r="F15" s="133">
        <f>IF(E15="",0,E15*PREMIOS!F15)</f>
        <v>17000</v>
      </c>
      <c r="G15" s="30">
        <f t="shared" si="4"/>
        <v>3416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41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39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16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26200</v>
      </c>
      <c r="D21" s="122">
        <f t="shared" ref="D21:G21" si="5">SUM(D5:D20)</f>
        <v>3144</v>
      </c>
      <c r="E21" s="122">
        <f t="shared" si="5"/>
        <v>200</v>
      </c>
      <c r="F21" s="122">
        <f t="shared" si="5"/>
        <v>17000</v>
      </c>
      <c r="G21" s="123">
        <f t="shared" si="5"/>
        <v>6056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topLeftCell="A13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78200</v>
      </c>
      <c r="K4" s="231">
        <f>D7+D11+D15</f>
        <v>9384</v>
      </c>
      <c r="L4" s="220">
        <f>F7+F11+F15</f>
        <v>136000</v>
      </c>
    </row>
    <row r="5" spans="1:12" x14ac:dyDescent="0.35">
      <c r="A5" s="28" t="s">
        <v>43</v>
      </c>
      <c r="B5" s="132">
        <f>IF(DigitaNICA!C2&lt;&gt;"",DigitaNICA!C2,"")</f>
        <v>83</v>
      </c>
      <c r="C5" s="29">
        <f>IF(DigitaNICA!C12&lt;&gt;"",DigitaNICA!C12,"")</f>
        <v>40100</v>
      </c>
      <c r="D5" s="42">
        <f>IF(C5="",0,C5*J$12)</f>
        <v>4812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35288</v>
      </c>
      <c r="I5" s="217" t="s">
        <v>37</v>
      </c>
      <c r="J5" s="221">
        <f>SUM(IF(C5="",0,C5),IF(C9="",0,C9),IF(C13="",0,C13),IF(C17="",0,C17))</f>
        <v>61150</v>
      </c>
      <c r="K5" s="225">
        <f t="shared" ref="K5" si="1">D5+D9+D13+D17</f>
        <v>7338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2200</v>
      </c>
      <c r="K6" s="226">
        <f t="shared" ref="K6" si="2">+D8+D12+D16</f>
        <v>220</v>
      </c>
      <c r="L6" s="227">
        <f>+F8+F12+F16</f>
        <v>0</v>
      </c>
    </row>
    <row r="7" spans="1:12" x14ac:dyDescent="0.35">
      <c r="A7" s="28" t="s">
        <v>46</v>
      </c>
      <c r="B7" s="132" t="str">
        <f>IF(DigitaTICA!C2&lt;&gt;"",DigitaTICA!C2,"")</f>
        <v>02</v>
      </c>
      <c r="C7" s="29">
        <f>IF(DigitaTICA!C12&lt;&gt;"",DigitaTICA!C12,"")</f>
        <v>42450</v>
      </c>
      <c r="D7" s="42">
        <f>IF(C7="",0,C7*J$11)</f>
        <v>5094</v>
      </c>
      <c r="E7" s="29">
        <f>IF(DigitaTICA!D12&lt;&gt;"",DigitaTICA!D12,"")</f>
        <v>800</v>
      </c>
      <c r="F7" s="42">
        <f>IF(E7="",0,E7*PREMIOS!F7)</f>
        <v>68000</v>
      </c>
      <c r="G7" s="30">
        <f t="shared" si="0"/>
        <v>-30644</v>
      </c>
      <c r="I7" s="217" t="s">
        <v>96</v>
      </c>
      <c r="J7" s="223">
        <f>SUM(IF(C19="",0,C19),IF(C20="",0,C20))</f>
        <v>40050</v>
      </c>
      <c r="K7" s="226">
        <f>+D19+D20</f>
        <v>4806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2200</v>
      </c>
      <c r="D8" s="42">
        <f>IF(C8="",0,C8*J$13)</f>
        <v>220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1980</v>
      </c>
      <c r="I8" s="218" t="s">
        <v>104</v>
      </c>
      <c r="J8" s="224">
        <f>SUM(IF(C21="",0,C21),IF(C22="",0,C22),IF(C23="",0,C23))</f>
        <v>7600</v>
      </c>
      <c r="K8" s="228">
        <f>+D21+D22+D23</f>
        <v>912</v>
      </c>
      <c r="L8" s="229">
        <f>+F21+F22+F23</f>
        <v>25500</v>
      </c>
    </row>
    <row r="9" spans="1:12" ht="15" thickBot="1" x14ac:dyDescent="0.4">
      <c r="A9" s="28" t="s">
        <v>48</v>
      </c>
      <c r="B9" s="132">
        <f>IF(DigitaNICA!E2&lt;&gt;"",DigitaNICA!E2,"")</f>
        <v>26</v>
      </c>
      <c r="C9" s="29">
        <f>IF(DigitaNICA!E12&lt;&gt;"",DigitaNICA!E12,"")</f>
        <v>16050</v>
      </c>
      <c r="D9" s="42">
        <f>IF(C9="",0,C9*J$12)</f>
        <v>1926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14124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50</v>
      </c>
      <c r="C11" s="29">
        <f>IF(DigitaTICA!E12&lt;&gt;"",DigitaTICA!E12,"")</f>
        <v>23700</v>
      </c>
      <c r="D11" s="42">
        <f>IF(C11="",0,C11*J$11)</f>
        <v>2844</v>
      </c>
      <c r="E11" s="29">
        <f>IF(DigitaTICA!F12&lt;&gt;"",DigitaTICA!F12,"")</f>
        <v>300</v>
      </c>
      <c r="F11" s="42">
        <f>IF(E11="",0,E11*PREMIOS!F11)</f>
        <v>25500</v>
      </c>
      <c r="G11" s="30">
        <f t="shared" si="0"/>
        <v>-4644</v>
      </c>
      <c r="I11" s="60" t="s">
        <v>36</v>
      </c>
      <c r="J11" s="61">
        <v>0.12</v>
      </c>
      <c r="K11" s="62">
        <f>MROUND(D7+D11+D15,50)</f>
        <v>9400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7350</v>
      </c>
    </row>
    <row r="13" spans="1:12" x14ac:dyDescent="0.35">
      <c r="A13" s="28" t="s">
        <v>50</v>
      </c>
      <c r="B13" s="132">
        <f>IF(DigitaNICA!G2&lt;&gt;"",DigitaNICA!G2,"")</f>
        <v>19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200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4800</v>
      </c>
    </row>
    <row r="15" spans="1:12" ht="15" thickBot="1" x14ac:dyDescent="0.4">
      <c r="A15" s="28" t="s">
        <v>61</v>
      </c>
      <c r="B15" s="132">
        <f>IF(DigitaTICA!G2&lt;&gt;"",DigitaTICA!G2,"")</f>
        <v>30</v>
      </c>
      <c r="C15" s="29">
        <f>IF(DigitaTICA!G12&lt;&gt;"",DigitaTICA!G12,"")</f>
        <v>12050</v>
      </c>
      <c r="D15" s="42">
        <f>IF(C15="",0,C15*J$11)</f>
        <v>1446</v>
      </c>
      <c r="E15" s="29">
        <f>IF(DigitaTICA!H12&lt;&gt;"",DigitaTICA!H12,"")</f>
        <v>500</v>
      </c>
      <c r="F15" s="42">
        <f>IF(E15="",0,E15*PREMIOS!F15)</f>
        <v>42500</v>
      </c>
      <c r="G15" s="30">
        <f t="shared" si="3"/>
        <v>-31896</v>
      </c>
      <c r="I15" s="65" t="s">
        <v>104</v>
      </c>
      <c r="J15" s="66">
        <v>0.12</v>
      </c>
      <c r="K15" s="50">
        <f>MROUND(D21+D22+D23,50)</f>
        <v>900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41</v>
      </c>
      <c r="C17" s="29">
        <f>IF(DigitaNICA!I12&lt;&gt;"",DigitaNICA!I12,"")</f>
        <v>5000</v>
      </c>
      <c r="D17" s="42">
        <f>IF(C17="",0,C17*J$12)</f>
        <v>600</v>
      </c>
      <c r="E17" s="29">
        <f>IF(DigitaNICA!J12&lt;&gt;"",DigitaNICA!J12,"")</f>
        <v>0</v>
      </c>
      <c r="F17" s="42">
        <f>IF(E17="",0,E17*PREMIOS!F17)</f>
        <v>0</v>
      </c>
      <c r="G17" s="30">
        <f t="shared" si="3"/>
        <v>4400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39</v>
      </c>
      <c r="C19" s="29">
        <f>IF(DigitaPRIMERA!$C$12&lt;&gt;"",DigitaPRIMERA!$C$12,"")</f>
        <v>40050</v>
      </c>
      <c r="D19" s="42">
        <f>IF(C19="",0,C19*J$14)</f>
        <v>4806</v>
      </c>
      <c r="E19" s="29">
        <f>IF(DigitaPRIMERA!$D$12&lt;&gt;"",DigitaPRIMERA!$D$12,"")</f>
        <v>0</v>
      </c>
      <c r="F19" s="42">
        <f>IF(E19="",0,E19*PREMIOS!F19)</f>
        <v>0</v>
      </c>
      <c r="G19" s="30">
        <f t="shared" si="3"/>
        <v>35244</v>
      </c>
    </row>
    <row r="20" spans="1:7" x14ac:dyDescent="0.35">
      <c r="A20" s="28" t="s">
        <v>98</v>
      </c>
      <c r="B20" s="132">
        <f>IF(DigitaPRIMERA!E2&lt;&gt;"",DigitaPRIMERA!E2,"")</f>
        <v>16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 t="str">
        <f>IF(DigitaHONDURAS!C2&lt;&gt;"",DigitaHONDURAS!C2,"")</f>
        <v>06</v>
      </c>
      <c r="C21" s="29">
        <f>IF(DigitaHONDURAS!$C$12&lt;&gt;"",DigitaHONDURAS!$C$12,"")</f>
        <v>7600</v>
      </c>
      <c r="D21" s="42">
        <f>IF(C21="",0,C21*J$15)</f>
        <v>912</v>
      </c>
      <c r="E21" s="29">
        <f>IF(DigitaHONDURAS!$D$12&lt;&gt;"",DigitaHONDURAS!$D$12,"")</f>
        <v>300</v>
      </c>
      <c r="F21" s="42">
        <f>IF(E21="",0,E21*PREMIOS!F20)</f>
        <v>25500</v>
      </c>
      <c r="G21" s="30">
        <f t="shared" si="3"/>
        <v>-18812</v>
      </c>
    </row>
    <row r="22" spans="1:7" x14ac:dyDescent="0.35">
      <c r="A22" s="28" t="s">
        <v>100</v>
      </c>
      <c r="B22" s="132">
        <f>IF(DigitaHONDURAS!E2&lt;&gt;"",DigitaHONDURAS!E2,"")</f>
        <v>27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25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189200</v>
      </c>
      <c r="D24" s="68">
        <f t="shared" ref="D24:G24" si="4">SUM(D5:D23)</f>
        <v>22660</v>
      </c>
      <c r="E24" s="68">
        <f t="shared" si="4"/>
        <v>1900</v>
      </c>
      <c r="F24" s="68">
        <f t="shared" si="4"/>
        <v>161500</v>
      </c>
      <c r="G24" s="88">
        <f t="shared" si="4"/>
        <v>5040</v>
      </c>
    </row>
    <row r="27" spans="1:7" x14ac:dyDescent="0.35">
      <c r="G27" s="21">
        <v>377750</v>
      </c>
    </row>
    <row r="28" spans="1:7" x14ac:dyDescent="0.35">
      <c r="G28" s="141">
        <f>+G24+G27</f>
        <v>382790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112400</v>
      </c>
      <c r="K4" s="231">
        <f t="shared" ref="K4" si="0">D7+D11+D15</f>
        <v>13488</v>
      </c>
      <c r="L4" s="220">
        <f>F7+F11+F15</f>
        <v>144500</v>
      </c>
    </row>
    <row r="5" spans="1:12" ht="15" thickBot="1" x14ac:dyDescent="0.4">
      <c r="A5" s="28" t="s">
        <v>43</v>
      </c>
      <c r="B5" s="132">
        <f>IF(DigitaNICA!C2&lt;&gt;"",DigitaNICA!C2,"")</f>
        <v>83</v>
      </c>
      <c r="C5" s="29">
        <f>IF(DigitaNICA!C13&lt;&gt;"",DigitaNICA!C13,"")</f>
        <v>49550</v>
      </c>
      <c r="D5" s="42">
        <f>IF(C5="",0,C5*J$10)</f>
        <v>5946</v>
      </c>
      <c r="E5" s="29">
        <f>IF(DigitaNICA!D13&lt;&gt;"",DigitaNICA!D13,"")</f>
        <v>200</v>
      </c>
      <c r="F5" s="42">
        <f>IF(E5="",0,E5*PREMIOS!E5)</f>
        <v>16000</v>
      </c>
      <c r="G5" s="30">
        <f t="shared" ref="G5:G12" si="1">IF(OR(C5="",E5=""),0,C5-D5-F5)</f>
        <v>27604</v>
      </c>
      <c r="I5" s="218" t="s">
        <v>37</v>
      </c>
      <c r="J5" s="232">
        <f>SUM(IF(C5="",0,C5),IF(C9="",0,C9),IF(C13="",0,C13),IF(C17="",0,C17))</f>
        <v>80700</v>
      </c>
      <c r="K5" s="233">
        <f t="shared" ref="K5" si="2">D5+D9+D13+D17</f>
        <v>9684</v>
      </c>
      <c r="L5" s="234">
        <f>F5+F9+F13+F17</f>
        <v>16000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 t="str">
        <f>IF(DigitaTICA!C2&lt;&gt;"",DigitaTICA!C2,"")</f>
        <v>02</v>
      </c>
      <c r="C7" s="29">
        <f>IF(DigitaTICA!C13&lt;&gt;"",DigitaTICA!C13,"")</f>
        <v>33550</v>
      </c>
      <c r="D7" s="42">
        <f>IF(C7="",0,C7*J$9)</f>
        <v>4026</v>
      </c>
      <c r="E7" s="29">
        <f>IF(DigitaTICA!D13&lt;&gt;"",DigitaTICA!D13,"")</f>
        <v>600</v>
      </c>
      <c r="F7" s="133">
        <f>IF(E7="",0,E7*PREMIOS!F7)</f>
        <v>51000</v>
      </c>
      <c r="G7" s="30">
        <f t="shared" si="1"/>
        <v>-21476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26</v>
      </c>
      <c r="C9" s="29">
        <f>IF(DigitaNICA!E13&lt;&gt;"",DigitaNICA!E13,"")</f>
        <v>18150</v>
      </c>
      <c r="D9" s="42">
        <f>IF(C9="",0,C9*J$10)</f>
        <v>2178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15972</v>
      </c>
      <c r="I9" s="60" t="s">
        <v>36</v>
      </c>
      <c r="J9" s="61">
        <v>0.12</v>
      </c>
      <c r="K9" s="62">
        <f>MROUND(D7+D11+D15,50)</f>
        <v>13500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9700</v>
      </c>
    </row>
    <row r="11" spans="1:12" ht="15" thickBot="1" x14ac:dyDescent="0.4">
      <c r="A11" s="28" t="s">
        <v>59</v>
      </c>
      <c r="B11" s="132">
        <f>IF(DigitaTICA!E2&lt;&gt;"",DigitaTICA!E2,"")</f>
        <v>50</v>
      </c>
      <c r="C11" s="29">
        <f>IF(DigitaTICA!E13&lt;&gt;"",DigitaTICA!E13,"")</f>
        <v>20950</v>
      </c>
      <c r="D11" s="42">
        <f>IF(C11="",0,C11*J$9)</f>
        <v>2514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18436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19</v>
      </c>
      <c r="C13" s="29">
        <f>IF(DigitaNICA!G13&lt;&gt;"",DigitaNICA!G13,"")</f>
        <v>4000</v>
      </c>
      <c r="D13" s="42">
        <f>IF(C13="",0,C13*J$10)</f>
        <v>480</v>
      </c>
      <c r="E13" s="29">
        <f>IF(DigitaNICA!H13&lt;&gt;"",DigitaNICA!H13,"")</f>
        <v>0</v>
      </c>
      <c r="F13" s="133">
        <f>IF(E13="",0,E13*PREMIOS!E13)</f>
        <v>0</v>
      </c>
      <c r="G13" s="30">
        <f>IF(OR(C13="",E13=""),0,C13-D13-F13)</f>
        <v>3520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30</v>
      </c>
      <c r="C15" s="29">
        <f>IF(DigitaTICA!G13&lt;&gt;"",DigitaTICA!G13,"")</f>
        <v>57900</v>
      </c>
      <c r="D15" s="42">
        <f>IF(C15="",0,C15*J$9)</f>
        <v>6948</v>
      </c>
      <c r="E15" s="29">
        <f>IF(DigitaTICA!H13&lt;&gt;"",DigitaTICA!H13,"")</f>
        <v>1100</v>
      </c>
      <c r="F15" s="133">
        <f>IF(E15="",0,E15*PREMIOS!F15)</f>
        <v>93500</v>
      </c>
      <c r="G15" s="30">
        <f t="shared" si="3"/>
        <v>-42548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41</v>
      </c>
      <c r="C17" s="29">
        <f>IF(DigitaNICA!I13&lt;&gt;"",DigitaNICA!I13,"")</f>
        <v>9000</v>
      </c>
      <c r="D17" s="42">
        <f>IF(C17="",0,C17*J$10)</f>
        <v>1080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7920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193100</v>
      </c>
      <c r="D19" s="68">
        <f>MROUND(SUM(D5:D18),50)</f>
        <v>23150</v>
      </c>
      <c r="E19" s="68">
        <f>SUM(E5:E18)</f>
        <v>1900</v>
      </c>
      <c r="F19" s="68">
        <f>SUM(F5:F18)</f>
        <v>160500</v>
      </c>
      <c r="G19" s="88">
        <f>SUM(G5:G18)</f>
        <v>9428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64700</v>
      </c>
      <c r="K4" s="236">
        <f t="shared" ref="K4" si="0">D7+D11+D15</f>
        <v>9705</v>
      </c>
      <c r="L4" s="237">
        <f>F7+F11+F15</f>
        <v>40000</v>
      </c>
    </row>
    <row r="5" spans="1:12" x14ac:dyDescent="0.35">
      <c r="A5" s="28" t="s">
        <v>43</v>
      </c>
      <c r="B5" s="132">
        <f>IF(DigitaNICA!C2&lt;&gt;"",DigitaNICA!C2,"")</f>
        <v>83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 t="str">
        <f>IF(DigitaTICA!C2&lt;&gt;"",DigitaTICA!C2,"")</f>
        <v>02</v>
      </c>
      <c r="C7" s="29">
        <f>IF(DigitaTICA!C14&lt;&gt;"",DigitaTICA!C14,"")</f>
        <v>14400</v>
      </c>
      <c r="D7" s="42">
        <f>IF(C7="",0,C7*J$9)</f>
        <v>2160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12240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26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9700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50</v>
      </c>
      <c r="C11" s="29">
        <f>IF(DigitaTICA!E14&lt;&gt;"",DigitaTICA!E14,"")</f>
        <v>18650</v>
      </c>
      <c r="D11" s="42">
        <f>IF(C11="",0,C11*J$9)</f>
        <v>2797.5</v>
      </c>
      <c r="E11" s="29">
        <f>IF(DigitaTICA!F14&lt;&gt;"",DigitaTICA!F14,"")</f>
        <v>500</v>
      </c>
      <c r="F11" s="42">
        <f>IF(E11="",0,E11*PREMIOS!E11)</f>
        <v>40000</v>
      </c>
      <c r="G11" s="30">
        <f t="shared" si="1"/>
        <v>-24147.5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19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30</v>
      </c>
      <c r="C15" s="29">
        <f>IF(DigitaTICA!G14&lt;&gt;"",DigitaTICA!G14,"")</f>
        <v>31650</v>
      </c>
      <c r="D15" s="42">
        <f>IF(C15="",0,C15*J$9)</f>
        <v>4747.5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26902.5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41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64700</v>
      </c>
      <c r="D19" s="68">
        <f>MROUND(SUM(D5:D18),50)</f>
        <v>9700</v>
      </c>
      <c r="E19" s="68">
        <f>SUM(E5:E18)</f>
        <v>500</v>
      </c>
      <c r="F19" s="68">
        <f>SUM(F5:F18)</f>
        <v>40000</v>
      </c>
      <c r="G19" s="88">
        <f>SUM(G5:G18)</f>
        <v>14995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83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 t="str">
        <f>IF(DigitaTICA!C2&lt;&gt;"",DigitaTICA!C2,"")</f>
        <v>02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26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50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19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30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41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90350</v>
      </c>
      <c r="K4" s="231">
        <f>D7+D11+D15</f>
        <v>10842</v>
      </c>
      <c r="L4" s="220">
        <f>F7+F11+F15</f>
        <v>165750</v>
      </c>
    </row>
    <row r="5" spans="1:12" x14ac:dyDescent="0.35">
      <c r="A5" s="28" t="s">
        <v>43</v>
      </c>
      <c r="B5" s="132">
        <f>IF(DigitaNICA!C2&lt;&gt;"",DigitaNICA!C2,"")</f>
        <v>83</v>
      </c>
      <c r="C5" s="29">
        <f>IF(DigitaNICA!C16&lt;&gt;"",DigitaNICA!C16,"")</f>
        <v>5500</v>
      </c>
      <c r="D5" s="42">
        <f>IF(C5="",0,C5*J$12)</f>
        <v>660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4840</v>
      </c>
      <c r="I5" s="63" t="s">
        <v>37</v>
      </c>
      <c r="J5" s="225">
        <f>SUM(IF(C5="",0,C5),IF(C9="",0,C9),IF(C13="",0,C13),IF(C17="",0,C17))</f>
        <v>44900</v>
      </c>
      <c r="K5" s="225">
        <f t="shared" ref="K5" si="1">D5+D9+D13+D17</f>
        <v>5388</v>
      </c>
      <c r="L5" s="222">
        <f>F5+F9+F13+F17</f>
        <v>20000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2000</v>
      </c>
      <c r="K6" s="226">
        <f t="shared" ref="K6" si="2">+D8+D12+D16</f>
        <v>200</v>
      </c>
      <c r="L6" s="227">
        <f>F8+F12+F16</f>
        <v>0</v>
      </c>
    </row>
    <row r="7" spans="1:12" x14ac:dyDescent="0.35">
      <c r="A7" s="28" t="s">
        <v>46</v>
      </c>
      <c r="B7" s="132" t="str">
        <f>IF(DigitaTICA!C2&lt;&gt;"",DigitaTICA!C2,"")</f>
        <v>02</v>
      </c>
      <c r="C7" s="29">
        <f>IF(DigitaTICA!C16&lt;&gt;"",DigitaTICA!C16,"")</f>
        <v>36250</v>
      </c>
      <c r="D7" s="42">
        <f>IF(C7="",0,C7*J$11)</f>
        <v>4350</v>
      </c>
      <c r="E7" s="29">
        <f>IF(DigitaTICA!D16&lt;&gt;"",DigitaTICA!D16,"")</f>
        <v>450</v>
      </c>
      <c r="F7" s="133">
        <f>IF(E7="",0,E7*PREMIOS!F7)</f>
        <v>38250</v>
      </c>
      <c r="G7" s="30">
        <f t="shared" si="0"/>
        <v>-6350</v>
      </c>
      <c r="I7" s="63" t="s">
        <v>96</v>
      </c>
      <c r="J7" s="226">
        <f>SUM(IF(C19="",0,C19),IF(C20="",0,C20))</f>
        <v>0</v>
      </c>
      <c r="K7" s="226">
        <f>+D19+D20</f>
        <v>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IF(DigitaREVENTADO!C16&lt;&gt;"",DigitaREVENTADO!C16,"")</f>
        <v>1000</v>
      </c>
      <c r="D8" s="42">
        <f>IF(C8="",0,C8*J$13)</f>
        <v>100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900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26</v>
      </c>
      <c r="C9" s="29">
        <f>IF(DigitaNICA!E16&lt;&gt;"",DigitaNICA!E16,"")</f>
        <v>6000</v>
      </c>
      <c r="D9" s="42">
        <f>IF(C9="",0,C9*J$12)</f>
        <v>720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5280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50</v>
      </c>
      <c r="C11" s="29">
        <f>IF(DigitaTICA!E16&lt;&gt;"",DigitaTICA!E16,"")</f>
        <v>20500</v>
      </c>
      <c r="D11" s="42">
        <f>IF(C11="",0,C11*J$11)</f>
        <v>2460</v>
      </c>
      <c r="E11" s="29">
        <f>IF(DigitaTICA!F16&lt;&gt;"",DigitaTICA!F16,"")</f>
        <v>500</v>
      </c>
      <c r="F11" s="133">
        <f>IF(E11="",0,E11*PREMIOS!F11)</f>
        <v>42500</v>
      </c>
      <c r="G11" s="30">
        <f t="shared" si="0"/>
        <v>-24460</v>
      </c>
      <c r="I11" s="76" t="s">
        <v>36</v>
      </c>
      <c r="J11" s="77">
        <v>0.12</v>
      </c>
      <c r="K11" s="78">
        <f>MROUND(D7+D11+D15,50)</f>
        <v>10850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5400</v>
      </c>
    </row>
    <row r="13" spans="1:12" x14ac:dyDescent="0.35">
      <c r="A13" s="28" t="s">
        <v>50</v>
      </c>
      <c r="B13" s="132">
        <f>IF(DigitaNICA!G2&lt;&gt;"",DigitaNICA!G2,"")</f>
        <v>19</v>
      </c>
      <c r="C13" s="29">
        <f>IF(DigitaNICA!G16&lt;&gt;"",DigitaNICA!G16,"")</f>
        <v>11650</v>
      </c>
      <c r="D13" s="42">
        <f>IF(C13="",0,C13*J$12)</f>
        <v>1398</v>
      </c>
      <c r="E13" s="29">
        <f>IF(DigitaNICA!H16&lt;&gt;"",DigitaNICA!H16,"")</f>
        <v>250</v>
      </c>
      <c r="F13" s="133">
        <f>IF(E13="",0,E13*PREMIOS!E13)</f>
        <v>20000</v>
      </c>
      <c r="G13" s="30">
        <f>IF(OR(C13="",E13=""),0,C13-D13-F13)</f>
        <v>-9748</v>
      </c>
      <c r="I13" s="63" t="s">
        <v>38</v>
      </c>
      <c r="J13" s="64">
        <v>0.1</v>
      </c>
      <c r="K13" s="30">
        <f>MROUND(D6+D8+D10+D12+D14+D16+D18,50)</f>
        <v>200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>
        <f>IF(DigitaTICA!G2&lt;&gt;"",DigitaTICA!G2,"")</f>
        <v>30</v>
      </c>
      <c r="C15" s="29">
        <f>IF(DigitaTICA!G16&lt;&gt;"",DigitaTICA!G16,"")</f>
        <v>33600</v>
      </c>
      <c r="D15" s="42">
        <f>IF(C15="",0,C15*J$11)</f>
        <v>4032</v>
      </c>
      <c r="E15" s="29">
        <f>IF(DigitaTICA!H16&lt;&gt;"",DigitaTICA!H16,"")</f>
        <v>1000</v>
      </c>
      <c r="F15" s="133">
        <f>IF(E15="",0,E15*PREMIOS!F15)</f>
        <v>85000</v>
      </c>
      <c r="G15" s="30">
        <f t="shared" si="3"/>
        <v>-55432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IF(DigitaREVENTADO!G16&lt;&gt;"",DigitaREVENTADO!G16,"")</f>
        <v>1000</v>
      </c>
      <c r="D16" s="42">
        <f>IF(C16="",0,C16*J$13)</f>
        <v>100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900</v>
      </c>
    </row>
    <row r="17" spans="1:7" x14ac:dyDescent="0.35">
      <c r="A17" s="28" t="s">
        <v>52</v>
      </c>
      <c r="B17" s="132">
        <f>IF(DigitaNICA!I2&lt;&gt;"",DigitaNICA!I2,"")</f>
        <v>41</v>
      </c>
      <c r="C17" s="29">
        <f>IF(DigitaNICA!I16&lt;&gt;"",DigitaNICA!I16,"")</f>
        <v>21750</v>
      </c>
      <c r="D17" s="42">
        <f>IF(C17="",0,C17*J$12)</f>
        <v>2610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19140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39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16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 t="str">
        <f>IF(DigitaHONDURAS!C2&lt;&gt;"",DigitaHONDURAS!C2,"")</f>
        <v>06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27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25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137250</v>
      </c>
      <c r="D24" s="122">
        <f t="shared" ref="D24:G24" si="5">SUM(D5:D23)</f>
        <v>16430</v>
      </c>
      <c r="E24" s="122">
        <f t="shared" si="5"/>
        <v>2200</v>
      </c>
      <c r="F24" s="122">
        <f t="shared" si="5"/>
        <v>185750</v>
      </c>
      <c r="G24" s="123">
        <f t="shared" si="5"/>
        <v>-64930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449500</v>
      </c>
      <c r="K4" s="231">
        <f t="shared" ref="K4" si="0">D7+D11+D15</f>
        <v>53940</v>
      </c>
      <c r="L4" s="220">
        <f>F7+F11+F15</f>
        <v>518500</v>
      </c>
    </row>
    <row r="5" spans="1:12" x14ac:dyDescent="0.35">
      <c r="A5" s="28" t="s">
        <v>43</v>
      </c>
      <c r="B5" s="132">
        <f>IF(DigitaNICA!C2&lt;&gt;"",DigitaNICA!C2,"")</f>
        <v>83</v>
      </c>
      <c r="C5" s="89">
        <f>IF(DigitaNICA!C17&lt;&gt;"",DigitaNICA!C17,"")</f>
        <v>87050</v>
      </c>
      <c r="D5" s="42">
        <f>IF(C5="",0,C5*J$16)</f>
        <v>10446</v>
      </c>
      <c r="E5" s="89">
        <f>IF(DigitaNICA!D17&lt;&gt;"",DigitaNICA!D17,"")</f>
        <v>600</v>
      </c>
      <c r="F5" s="42">
        <f>IF(E5="",0,E5*PREMIOS!F5)</f>
        <v>51000</v>
      </c>
      <c r="G5" s="90">
        <f t="shared" ref="G5:G12" si="1">IF(OR(C5="",E5=""),0,C5-D5-F5)</f>
        <v>25604</v>
      </c>
      <c r="I5" s="217" t="s">
        <v>37</v>
      </c>
      <c r="J5" s="221">
        <f>SUM(IF(C5="",0,C5),IF(C9="",0,C9),IF(C13="",0,C13),IF(C17="",0,C17))</f>
        <v>446450</v>
      </c>
      <c r="K5" s="225">
        <f t="shared" ref="K5" si="2">D5+D9+D13+D17</f>
        <v>53574</v>
      </c>
      <c r="L5" s="222">
        <f>F5+F9+F13+F17</f>
        <v>450500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76400</v>
      </c>
      <c r="K6" s="226">
        <f t="shared" ref="K6" si="3">+D8+D12+D16</f>
        <v>7640</v>
      </c>
      <c r="L6" s="227">
        <f>+F8+F12+F16</f>
        <v>0</v>
      </c>
    </row>
    <row r="7" spans="1:12" x14ac:dyDescent="0.35">
      <c r="A7" s="28" t="s">
        <v>46</v>
      </c>
      <c r="B7" s="132" t="str">
        <f>IF(DigitaTICA!C2&lt;&gt;"",DigitaTICA!C2,"")</f>
        <v>02</v>
      </c>
      <c r="C7" s="89">
        <f>IF(DigitaTICA!C17&lt;&gt;"",DigitaTICA!C17,"")</f>
        <v>128050</v>
      </c>
      <c r="D7" s="42">
        <f>IF(C7="",0,C7*J$15)</f>
        <v>15366</v>
      </c>
      <c r="E7" s="89">
        <f>IF(DigitaTICA!D17&lt;&gt;"",DigitaTICA!D17,"")</f>
        <v>2550</v>
      </c>
      <c r="F7" s="42">
        <f>IF(E7="",0,E7*PREMIOS!F7)</f>
        <v>216750</v>
      </c>
      <c r="G7" s="90">
        <f t="shared" si="1"/>
        <v>-104066</v>
      </c>
      <c r="I7" s="217" t="s">
        <v>96</v>
      </c>
      <c r="J7" s="223">
        <f>SUM(IF(C19="",0,C19),IF(C20="",0,C20))</f>
        <v>117250</v>
      </c>
      <c r="K7" s="226">
        <f>+D19+D20</f>
        <v>14070</v>
      </c>
      <c r="L7" s="227">
        <f>+F19+F20</f>
        <v>17000</v>
      </c>
    </row>
    <row r="8" spans="1:12" x14ac:dyDescent="0.35">
      <c r="A8" s="28" t="s">
        <v>47</v>
      </c>
      <c r="B8" s="132" t="str">
        <f>IF(B7&lt;&gt;"",PREMIOS!B8,"")</f>
        <v>Blanca</v>
      </c>
      <c r="C8" s="89">
        <f>IF(DigitaREVENTADO!C17&lt;&gt;"",DigitaREVENTADO!C17,"")</f>
        <v>21300</v>
      </c>
      <c r="D8" s="42">
        <f>IF(C8="",0,C8*J$17)</f>
        <v>2130</v>
      </c>
      <c r="E8" s="89">
        <f>IF(DigitaREVENTADO!D17&lt;&gt;"",DigitaREVENTADO!D17,"")</f>
        <v>100</v>
      </c>
      <c r="F8" s="42">
        <f>IF(E8="",0,E8*PREMIOS!F8)</f>
        <v>0</v>
      </c>
      <c r="G8" s="90">
        <f t="shared" si="1"/>
        <v>19170</v>
      </c>
      <c r="I8" s="217" t="s">
        <v>104</v>
      </c>
      <c r="J8" s="223">
        <f>SUM(IF(C21="",0,C21),IF(C22="",0,C22),IF(C23="",0,C23))</f>
        <v>64050</v>
      </c>
      <c r="K8" s="226">
        <f t="shared" ref="K8" si="4">D21+D22+D23</f>
        <v>7686</v>
      </c>
      <c r="L8" s="227">
        <f>F21+F22+F23</f>
        <v>89250</v>
      </c>
    </row>
    <row r="9" spans="1:12" x14ac:dyDescent="0.35">
      <c r="A9" s="28" t="s">
        <v>48</v>
      </c>
      <c r="B9" s="132">
        <f>IF(DigitaNICA!E2&lt;&gt;"",DigitaNICA!E2,"")</f>
        <v>26</v>
      </c>
      <c r="C9" s="89">
        <f>IF(DigitaNICA!E17&lt;&gt;"",DigitaNICA!E17,"")</f>
        <v>121750</v>
      </c>
      <c r="D9" s="42">
        <f>IF(C9="",0,C9*J$16)</f>
        <v>14610</v>
      </c>
      <c r="E9" s="89">
        <f>IF(DigitaNICA!F17&lt;&gt;"",DigitaNICA!F17,"")</f>
        <v>400</v>
      </c>
      <c r="F9" s="42">
        <f>IF(E9="",0,E9*PREMIOS!F9)</f>
        <v>34000</v>
      </c>
      <c r="G9" s="90">
        <f t="shared" si="1"/>
        <v>73140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50</v>
      </c>
      <c r="C11" s="89">
        <f>IF(DigitaTICA!E17&lt;&gt;"",DigitaTICA!E17,"")</f>
        <v>122350</v>
      </c>
      <c r="D11" s="42">
        <f>IF(C11="",0,C11*J$15)</f>
        <v>14682</v>
      </c>
      <c r="E11" s="89">
        <f>IF(DigitaTICA!F17&lt;&gt;"",DigitaTICA!F17,"")</f>
        <v>1700</v>
      </c>
      <c r="F11" s="42">
        <f>IF(E11="",0,E11*PREMIOS!F11)</f>
        <v>144500</v>
      </c>
      <c r="G11" s="90">
        <f t="shared" si="1"/>
        <v>-36832</v>
      </c>
    </row>
    <row r="12" spans="1:12" x14ac:dyDescent="0.35">
      <c r="A12" s="28" t="s">
        <v>60</v>
      </c>
      <c r="B12" s="132" t="str">
        <f>IF(B11&lt;&gt;"",PREMIOS!B12,"")</f>
        <v>Blanca</v>
      </c>
      <c r="C12" s="89">
        <f>IF(DigitaREVENTADO!E17&lt;&gt;"",DigitaREVENTADO!E17,"")</f>
        <v>20200</v>
      </c>
      <c r="D12" s="42">
        <f>IF(C12="",0,C12*J$17)</f>
        <v>2020</v>
      </c>
      <c r="E12" s="89">
        <f>IF(DigitaREVENTADO!F17&lt;&gt;"",DigitaREVENTADO!F17,"")</f>
        <v>200</v>
      </c>
      <c r="F12" s="42">
        <f>IF(E12="",0,E12*PREMIOS!F12)</f>
        <v>0</v>
      </c>
      <c r="G12" s="90">
        <f t="shared" si="1"/>
        <v>18180</v>
      </c>
    </row>
    <row r="13" spans="1:12" ht="15" thickBot="1" x14ac:dyDescent="0.4">
      <c r="A13" s="28" t="s">
        <v>50</v>
      </c>
      <c r="B13" s="132">
        <f>IF(DigitaNICA!G2&lt;&gt;"",DigitaNICA!G2,"")</f>
        <v>19</v>
      </c>
      <c r="C13" s="89">
        <f>IF(DigitaNICA!G17&lt;&gt;"",DigitaNICA!G17,"")</f>
        <v>75450</v>
      </c>
      <c r="D13" s="42">
        <f>IF(C13="",0,C13*J$16)</f>
        <v>9054</v>
      </c>
      <c r="E13" s="89">
        <f>IF(DigitaNICA!H17&lt;&gt;"",DigitaNICA!H17,"")</f>
        <v>3300</v>
      </c>
      <c r="F13" s="42">
        <f>IF(E13="",0,E13*PREMIOS!F13)</f>
        <v>280500</v>
      </c>
      <c r="G13" s="90">
        <f>IF(OR(C13="",E13=""),0,C13-D13-F13)</f>
        <v>-214104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30</v>
      </c>
      <c r="C15" s="89">
        <f>IF(DigitaTICA!G17&lt;&gt;"",DigitaTICA!G17,"")</f>
        <v>199100</v>
      </c>
      <c r="D15" s="42">
        <f>IF(C15="",0,C15*J$15)</f>
        <v>23892</v>
      </c>
      <c r="E15" s="89">
        <f>IF(DigitaTICA!H17&lt;&gt;"",DigitaTICA!H17,"")</f>
        <v>1850</v>
      </c>
      <c r="F15" s="42">
        <f>IF(E15="",0,E15*PREMIOS!F15)</f>
        <v>157250</v>
      </c>
      <c r="G15" s="90">
        <f t="shared" si="6"/>
        <v>17958</v>
      </c>
      <c r="I15" s="76" t="s">
        <v>36</v>
      </c>
      <c r="J15" s="77">
        <v>0.12</v>
      </c>
      <c r="K15" s="78">
        <f>MROUND(D7+D11+D15,50)</f>
        <v>53950</v>
      </c>
    </row>
    <row r="16" spans="1:12" x14ac:dyDescent="0.35">
      <c r="A16" s="28" t="s">
        <v>62</v>
      </c>
      <c r="B16" s="132" t="str">
        <f>IF(B15&lt;&gt;"",PREMIOS!B16,"")</f>
        <v>Blanca</v>
      </c>
      <c r="C16" s="89">
        <f>IF(DigitaREVENTADO!G17&lt;&gt;"",DigitaREVENTADO!G17,"")</f>
        <v>34900</v>
      </c>
      <c r="D16" s="42">
        <f>IF(C16="",0,C16*J$17)</f>
        <v>3490</v>
      </c>
      <c r="E16" s="89">
        <f>IF(DigitaREVENTADO!H17&lt;&gt;"",DigitaREVENTADO!H17,"")</f>
        <v>600</v>
      </c>
      <c r="F16" s="42">
        <f>IF(E16="",0,E16*PREMIOS!F16)</f>
        <v>0</v>
      </c>
      <c r="G16" s="90">
        <f t="shared" si="6"/>
        <v>31410</v>
      </c>
      <c r="I16" s="63" t="s">
        <v>37</v>
      </c>
      <c r="J16" s="64">
        <v>0.12</v>
      </c>
      <c r="K16" s="30">
        <f>MROUND(D5+D9+D13+D17,50)</f>
        <v>53550</v>
      </c>
    </row>
    <row r="17" spans="1:11" x14ac:dyDescent="0.35">
      <c r="A17" s="28" t="s">
        <v>52</v>
      </c>
      <c r="B17" s="132">
        <f>IF(DigitaNICA!I2&lt;&gt;"",DigitaNICA!I2,"")</f>
        <v>41</v>
      </c>
      <c r="C17" s="89">
        <f>IF(DigitaNICA!I17&lt;&gt;"",DigitaNICA!I17,"")</f>
        <v>162200</v>
      </c>
      <c r="D17" s="42">
        <f>IF(C17="",0,C17*J$16)</f>
        <v>19464</v>
      </c>
      <c r="E17" s="89">
        <f>IF(DigitaNICA!J17&lt;&gt;"",DigitaNICA!J17,"")</f>
        <v>1000</v>
      </c>
      <c r="F17" s="42">
        <f>IF(E17="",0,E17*PREMIOS!F17)</f>
        <v>85000</v>
      </c>
      <c r="G17" s="90">
        <f t="shared" si="6"/>
        <v>57736</v>
      </c>
      <c r="I17" s="63" t="s">
        <v>38</v>
      </c>
      <c r="J17" s="64">
        <v>0.1</v>
      </c>
      <c r="K17" s="30">
        <f>MROUND(D6+D8+D10+D12+D14+D16+D18,50)</f>
        <v>7650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14050</v>
      </c>
    </row>
    <row r="19" spans="1:11" x14ac:dyDescent="0.35">
      <c r="A19" s="28" t="s">
        <v>97</v>
      </c>
      <c r="B19" s="132">
        <f>IF(DigitaPRIMERA!C2&lt;&gt;"",DigitaPRIMERA!C2,"")</f>
        <v>39</v>
      </c>
      <c r="C19" s="29">
        <f>IF(DigitaPRIMERA!$C$17&lt;&gt;"",DigitaPRIMERA!$C$17,"")</f>
        <v>79750</v>
      </c>
      <c r="D19" s="42">
        <f>IF(C19="",0,C19*J$18)</f>
        <v>9570</v>
      </c>
      <c r="E19" s="29">
        <f>IF(DigitaPRIMERA!$D$17&lt;&gt;"",DigitaPRIMERA!$D$17,"")</f>
        <v>0</v>
      </c>
      <c r="F19" s="42">
        <f>IF(E19="",0,E19*PREMIOS!F19)</f>
        <v>0</v>
      </c>
      <c r="G19" s="30">
        <f t="shared" si="6"/>
        <v>70180</v>
      </c>
      <c r="I19" s="63" t="s">
        <v>104</v>
      </c>
      <c r="J19" s="64">
        <v>0.12</v>
      </c>
      <c r="K19" s="30">
        <f>MROUND(D21+D22+D23,50)</f>
        <v>7700</v>
      </c>
    </row>
    <row r="20" spans="1:11" x14ac:dyDescent="0.35">
      <c r="A20" s="28" t="s">
        <v>98</v>
      </c>
      <c r="B20" s="132">
        <f>IF(DigitaPRIMERA!E2&lt;&gt;"",DigitaPRIMERA!E2,"")</f>
        <v>16</v>
      </c>
      <c r="C20" s="29">
        <f>IF(DigitaPRIMERA!$E$17&lt;&gt;"",DigitaPRIMERA!$E$17,"")</f>
        <v>37500</v>
      </c>
      <c r="D20" s="42">
        <f>IF(C20="",0,C20*J$18)</f>
        <v>4500</v>
      </c>
      <c r="E20" s="29">
        <f>IF(DigitaPRIMERA!$F$17&lt;&gt;"",DigitaPRIMERA!$F$17,"")</f>
        <v>200</v>
      </c>
      <c r="F20" s="42">
        <f>IF(E20="",0,E20*PREMIOS!F19)</f>
        <v>17000</v>
      </c>
      <c r="G20" s="30">
        <f t="shared" si="6"/>
        <v>16000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 t="str">
        <f>IF(DigitaHONDURAS!C2&lt;&gt;"",DigitaHONDURAS!C2,"")</f>
        <v>06</v>
      </c>
      <c r="C21" s="29">
        <f>IF(DigitaHONDURAS!$C$17&lt;&gt;"",DigitaHONDURAS!$C$17,"")</f>
        <v>18600</v>
      </c>
      <c r="D21" s="42">
        <f>IF(C21="",0,C21*J$19)</f>
        <v>2232</v>
      </c>
      <c r="E21" s="29">
        <f>IF(DigitaHONDURAS!$D$17&lt;&gt;"",DigitaHONDURAS!$D$17,"")</f>
        <v>200</v>
      </c>
      <c r="F21" s="42">
        <f>IF(E21="",0,E21*PREMIOS!F20)</f>
        <v>17000</v>
      </c>
      <c r="G21" s="30">
        <f t="shared" si="6"/>
        <v>-632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27</v>
      </c>
      <c r="C22" s="29">
        <f>IF(DigitaHONDURAS!$E$17&lt;&gt;"",DigitaHONDURAS!$E$17,"")</f>
        <v>17300</v>
      </c>
      <c r="D22" s="42">
        <f>IF(C22="",0,C22*J$19)</f>
        <v>2076</v>
      </c>
      <c r="E22" s="29">
        <f>IF(DigitaHONDURAS!$F$17&lt;&gt;"",DigitaHONDURAS!$F$17,"")</f>
        <v>100</v>
      </c>
      <c r="F22" s="42">
        <f>IF(E22="",0,E22*PREMIOS!F20)</f>
        <v>8500</v>
      </c>
      <c r="G22" s="30">
        <f t="shared" si="6"/>
        <v>6724</v>
      </c>
    </row>
    <row r="23" spans="1:11" x14ac:dyDescent="0.35">
      <c r="A23" s="28" t="s">
        <v>101</v>
      </c>
      <c r="B23" s="132">
        <f>IF(DigitaHONDURAS!G2&lt;&gt;"",DigitaHONDURAS!G2,"")</f>
        <v>25</v>
      </c>
      <c r="C23" s="29">
        <f>IF(DigitaHONDURAS!$G$17&lt;&gt;"",DigitaHONDURAS!$G$17,"")</f>
        <v>28150</v>
      </c>
      <c r="D23" s="42">
        <f>IF(C23="",0,C23*J$19)</f>
        <v>3378</v>
      </c>
      <c r="E23" s="29">
        <f>IF(DigitaHONDURAS!$H$17&lt;&gt;"",DigitaHONDURAS!$H$17,"")</f>
        <v>750</v>
      </c>
      <c r="F23" s="42">
        <f>IF(E23="",0,E23*PREMIOS!F20)</f>
        <v>63750</v>
      </c>
      <c r="G23" s="30">
        <f t="shared" si="6"/>
        <v>-38978</v>
      </c>
    </row>
    <row r="24" spans="1:11" x14ac:dyDescent="0.35">
      <c r="A24" s="28" t="s">
        <v>102</v>
      </c>
      <c r="B24" s="132">
        <f>IF(DigitaDOMINICANA!C2&lt;&gt;"",DigitaDOMINICANA!C2,"")</f>
        <v>20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88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1153650</v>
      </c>
      <c r="D27" s="68">
        <f t="shared" ref="D27:G27" si="7">SUM(D5:D26)</f>
        <v>136910</v>
      </c>
      <c r="E27" s="68">
        <f t="shared" si="7"/>
        <v>13550</v>
      </c>
      <c r="F27" s="68">
        <f t="shared" si="7"/>
        <v>1075250</v>
      </c>
      <c r="G27" s="88">
        <f t="shared" si="7"/>
        <v>-58510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154100</v>
      </c>
      <c r="K4" s="231">
        <f t="shared" ref="K4" si="0">D7+D11+D15</f>
        <v>18492</v>
      </c>
      <c r="L4" s="220">
        <f>F7+F11+F15</f>
        <v>289000</v>
      </c>
    </row>
    <row r="5" spans="1:12" x14ac:dyDescent="0.35">
      <c r="A5" s="28" t="str">
        <f>+Vendedor1!A5</f>
        <v>Nica 11am</v>
      </c>
      <c r="B5" s="132">
        <f>IF(DigitaNICA!C2&lt;&gt;"",DigitaNICA!C2,"")</f>
        <v>83</v>
      </c>
      <c r="C5" s="29">
        <f>IF(DigitaNICA!C18&lt;&gt;"",DigitaNICA!C18,"")</f>
        <v>46550</v>
      </c>
      <c r="D5" s="42">
        <f>IF(C5="",0,C5*J$16)</f>
        <v>5586</v>
      </c>
      <c r="E5" s="29">
        <f>IF(DigitaNICA!D18&lt;&gt;"",DigitaNICA!D18,"")</f>
        <v>0</v>
      </c>
      <c r="F5" s="42">
        <f>IF(E5="",0,E5*PREMIOS!F5)</f>
        <v>0</v>
      </c>
      <c r="G5" s="30">
        <f t="shared" ref="G5:G12" si="1">IF(OR(C5="",E5=""),0,C5-D5-F5)</f>
        <v>40964</v>
      </c>
      <c r="I5" s="217" t="s">
        <v>37</v>
      </c>
      <c r="J5" s="221">
        <f>SUM(IF(C5="",0,C5),IF(C9="",0,C9),IF(C13="",0,C13),IF(C17="",0,C17))</f>
        <v>143050</v>
      </c>
      <c r="K5" s="225">
        <f t="shared" ref="K5" si="2">D5+D9+D13+D17</f>
        <v>17166</v>
      </c>
      <c r="L5" s="222">
        <f>F5+F9+F13+F17</f>
        <v>17000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49150</v>
      </c>
      <c r="K6" s="226">
        <f t="shared" ref="K6" si="3">+D8+D12+D16</f>
        <v>4915</v>
      </c>
      <c r="L6" s="227">
        <f>+F8+F12+F16</f>
        <v>0</v>
      </c>
    </row>
    <row r="7" spans="1:12" x14ac:dyDescent="0.35">
      <c r="A7" s="28" t="str">
        <f>+Vendedor1!A7</f>
        <v>Tica 1pm</v>
      </c>
      <c r="B7" s="132" t="str">
        <f>IF(DigitaTICA!C2&lt;&gt;"",DigitaTICA!C2,"")</f>
        <v>02</v>
      </c>
      <c r="C7" s="29">
        <f>IF(DigitaTICA!C18&lt;&gt;"",DigitaTICA!C18,"")</f>
        <v>46100</v>
      </c>
      <c r="D7" s="42">
        <f>IF(C7="",0,C7*J$15)</f>
        <v>5532</v>
      </c>
      <c r="E7" s="29">
        <f>IF(DigitaTICA!D18&lt;&gt;"",DigitaTICA!D18,"")</f>
        <v>2400</v>
      </c>
      <c r="F7" s="42">
        <f>IF(E7="",0,E7*PREMIOS!F7)</f>
        <v>204000</v>
      </c>
      <c r="G7" s="30">
        <f t="shared" si="1"/>
        <v>-163432</v>
      </c>
      <c r="I7" s="217" t="s">
        <v>96</v>
      </c>
      <c r="J7" s="223">
        <f>SUM(IF(C19="",0,C19),IF(C20="",0,C20))</f>
        <v>92800</v>
      </c>
      <c r="K7" s="226">
        <f>+D19+D20</f>
        <v>11136</v>
      </c>
      <c r="L7" s="227">
        <f>+F19+F20</f>
        <v>17000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>
        <f>IF(DigitaREVENTADO!C18&lt;&gt;"",DigitaREVENTADO!C18,"")</f>
        <v>11650</v>
      </c>
      <c r="D8" s="42">
        <f>IF(C8="",0,C8*J$17)</f>
        <v>1165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10485</v>
      </c>
      <c r="I8" s="217" t="s">
        <v>104</v>
      </c>
      <c r="J8" s="223">
        <f>SUM(IF(C21="",0,C21),IF(C22="",0,C22),IF(C23="",0,C23))</f>
        <v>21000</v>
      </c>
      <c r="K8" s="226">
        <f t="shared" ref="K8" si="4">D21+D22+D23</f>
        <v>2520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26</v>
      </c>
      <c r="C9" s="29">
        <f>IF(DigitaNICA!E18&lt;&gt;"",DigitaNICA!E18,"")</f>
        <v>42500</v>
      </c>
      <c r="D9" s="42">
        <f>IF(C9="",0,C9*J$16)</f>
        <v>5100</v>
      </c>
      <c r="E9" s="29">
        <f>IF(DigitaNICA!F18&lt;&gt;"",DigitaNICA!F18,"")</f>
        <v>0</v>
      </c>
      <c r="F9" s="42">
        <f>IF(E9="",0,E9*PREMIOS!F9)</f>
        <v>0</v>
      </c>
      <c r="G9" s="30">
        <f t="shared" si="1"/>
        <v>37400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50</v>
      </c>
      <c r="C11" s="29">
        <f>IF(DigitaTICA!E18&lt;&gt;"",DigitaTICA!E18,"")</f>
        <v>49600</v>
      </c>
      <c r="D11" s="42">
        <f>IF(C11="",0,C11*J$15)</f>
        <v>5952</v>
      </c>
      <c r="E11" s="29">
        <f>IF(DigitaTICA!F18&lt;&gt;"",DigitaTICA!F18,"")</f>
        <v>900</v>
      </c>
      <c r="F11" s="42">
        <f>IF(E11="",0,E11*PREMIOS!F11)</f>
        <v>76500</v>
      </c>
      <c r="G11" s="30">
        <f t="shared" si="1"/>
        <v>-32852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IF(DigitaREVENTADO!E18&lt;&gt;"",DigitaREVENTADO!E18,"")</f>
        <v>13500</v>
      </c>
      <c r="D12" s="42">
        <f>IF(C12="",0,C12*J$17)</f>
        <v>1350</v>
      </c>
      <c r="E12" s="29">
        <f>IF(DigitaREVENTADO!F18&lt;&gt;"",DigitaREVENTADO!F18,"")</f>
        <v>300</v>
      </c>
      <c r="F12" s="42">
        <f>IF(E12="",0,E12*PREMIOS!F12)</f>
        <v>0</v>
      </c>
      <c r="G12" s="30">
        <f t="shared" si="1"/>
        <v>12150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19</v>
      </c>
      <c r="C13" s="29">
        <f>IF(DigitaNICA!G18&lt;&gt;"",DigitaNICA!G18,"")</f>
        <v>49500</v>
      </c>
      <c r="D13" s="42">
        <f>IF(C13="",0,C13*J$16)</f>
        <v>5940</v>
      </c>
      <c r="E13" s="29">
        <f>IF(DigitaNICA!H18&lt;&gt;"",DigitaNICA!H18,"")</f>
        <v>200</v>
      </c>
      <c r="F13" s="42">
        <f>IF(E13="",0,E13*PREMIOS!F13)</f>
        <v>17000</v>
      </c>
      <c r="G13" s="30">
        <f>IF(OR(C13="",E13=""),0,C13-D13-F13)</f>
        <v>26560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30</v>
      </c>
      <c r="C15" s="29">
        <f>IF(DigitaTICA!G18&lt;&gt;"",DigitaTICA!G18,"")</f>
        <v>58400</v>
      </c>
      <c r="D15" s="42">
        <f>IF(C15="",0,C15*J$15)</f>
        <v>7008</v>
      </c>
      <c r="E15" s="29">
        <f>IF(DigitaTICA!H18&lt;&gt;"",DigitaTICA!H18,"")</f>
        <v>100</v>
      </c>
      <c r="F15" s="42">
        <f>IF(E15="",0,E15*PREMIOS!F15)</f>
        <v>8500</v>
      </c>
      <c r="G15" s="30">
        <f t="shared" si="6"/>
        <v>42892</v>
      </c>
      <c r="I15" s="76" t="s">
        <v>36</v>
      </c>
      <c r="J15" s="77">
        <v>0.12</v>
      </c>
      <c r="K15" s="78">
        <f>MROUND(D7+D11+D15,50)</f>
        <v>18500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>
        <f>IF(DigitaREVENTADO!G18&lt;&gt;"",DigitaREVENTADO!G18,"")</f>
        <v>24000</v>
      </c>
      <c r="D16" s="42">
        <f>IF(C16="",0,C16*J$17)</f>
        <v>2400</v>
      </c>
      <c r="E16" s="29">
        <f>IF(DigitaREVENTADO!H18&lt;&gt;"",DigitaREVENTADO!H18,"")</f>
        <v>100</v>
      </c>
      <c r="F16" s="42">
        <f>IF(E16="",0,E16*PREMIOS!F16)</f>
        <v>0</v>
      </c>
      <c r="G16" s="30">
        <f t="shared" si="6"/>
        <v>21600</v>
      </c>
      <c r="I16" s="63" t="s">
        <v>37</v>
      </c>
      <c r="J16" s="64">
        <v>0.12</v>
      </c>
      <c r="K16" s="30">
        <f>MROUND(D5+D9+D13+D17,50)</f>
        <v>17150</v>
      </c>
    </row>
    <row r="17" spans="1:11" x14ac:dyDescent="0.35">
      <c r="A17" s="28" t="str">
        <f>+Vendedor1!A17</f>
        <v>Nica 9pm</v>
      </c>
      <c r="B17" s="132">
        <f>IF(DigitaNICA!I2&lt;&gt;"",DigitaNICA!I2,"")</f>
        <v>41</v>
      </c>
      <c r="C17" s="29">
        <f>IF(DigitaNICA!I18&lt;&gt;"",DigitaNICA!I18,"")</f>
        <v>4500</v>
      </c>
      <c r="D17" s="42">
        <f>IF(C17="",0,C17*J$16)</f>
        <v>540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3960</v>
      </c>
      <c r="I17" s="63" t="s">
        <v>38</v>
      </c>
      <c r="J17" s="64">
        <v>0.1</v>
      </c>
      <c r="K17" s="30">
        <f>MROUND(D6+D8+D10+D12+D14+D16+D18,50)</f>
        <v>4900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11150</v>
      </c>
    </row>
    <row r="19" spans="1:11" x14ac:dyDescent="0.35">
      <c r="A19" s="28" t="s">
        <v>97</v>
      </c>
      <c r="B19" s="132">
        <f>IF(DigitaPRIMERA!C2&lt;&gt;"",DigitaPRIMERA!C2,"")</f>
        <v>39</v>
      </c>
      <c r="C19" s="29">
        <f>IF(DigitaPRIMERA!$C$18&lt;&gt;"",DigitaPRIMERA!$C$18,"")</f>
        <v>56000</v>
      </c>
      <c r="D19" s="42">
        <f>IF(C19="",0,C19*J$18)</f>
        <v>6720</v>
      </c>
      <c r="E19" s="29">
        <f>IF(DigitaPRIMERA!$D$18&lt;&gt;"",DigitaPRIMERA!$D$18,"")</f>
        <v>0</v>
      </c>
      <c r="F19" s="42">
        <f>IF(E19="",0,E19*PREMIOS!F19)</f>
        <v>0</v>
      </c>
      <c r="G19" s="30">
        <f t="shared" si="6"/>
        <v>49280</v>
      </c>
      <c r="I19" s="63" t="s">
        <v>104</v>
      </c>
      <c r="J19" s="64">
        <v>0.12</v>
      </c>
      <c r="K19" s="30">
        <f>MROUND(D21+D22+D23,50)</f>
        <v>2500</v>
      </c>
    </row>
    <row r="20" spans="1:11" x14ac:dyDescent="0.35">
      <c r="A20" s="28" t="s">
        <v>98</v>
      </c>
      <c r="B20" s="132">
        <f>IF(DigitaPRIMERA!E2&lt;&gt;"",DigitaPRIMERA!E2,"")</f>
        <v>16</v>
      </c>
      <c r="C20" s="29">
        <f>IF(DigitaPRIMERA!$E$18&lt;&gt;"",DigitaPRIMERA!$E$18,"")</f>
        <v>36800</v>
      </c>
      <c r="D20" s="42">
        <f>IF(C20="",0,C20*J$18)</f>
        <v>4416</v>
      </c>
      <c r="E20" s="29">
        <f>IF(DigitaPRIMERA!$F$18&lt;&gt;"",DigitaPRIMERA!$F$18,"")</f>
        <v>200</v>
      </c>
      <c r="F20" s="42">
        <f>IF(E20="",0,E20*PREMIOS!F19)</f>
        <v>17000</v>
      </c>
      <c r="G20" s="30">
        <f t="shared" si="6"/>
        <v>15384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 t="str">
        <f>IF(DigitaHONDURAS!C2&lt;&gt;"",DigitaHONDURAS!C2,"")</f>
        <v>06</v>
      </c>
      <c r="C21" s="29">
        <f>IF(DigitaHONDURAS!$C$18&lt;&gt;"",DigitaHONDURAS!$C$18,"")</f>
        <v>11000</v>
      </c>
      <c r="D21" s="42">
        <f>IF(C21="",0,C21*J$19)</f>
        <v>1320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9680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27</v>
      </c>
      <c r="C22" s="29">
        <f>IF(DigitaHONDURAS!$E$18&lt;&gt;"",DigitaHONDURAS!$E$18,"")</f>
        <v>6000</v>
      </c>
      <c r="D22" s="42">
        <f>IF(C22="",0,C22*J$19)</f>
        <v>720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5280</v>
      </c>
    </row>
    <row r="23" spans="1:11" x14ac:dyDescent="0.35">
      <c r="A23" s="28" t="s">
        <v>101</v>
      </c>
      <c r="B23" s="132">
        <f>IF(DigitaHONDURAS!G2&lt;&gt;"",DigitaHONDURAS!G2,"")</f>
        <v>25</v>
      </c>
      <c r="C23" s="29">
        <f>IF(DigitaHONDURAS!$G$18&lt;&gt;"",DigitaHONDURAS!$G$18,"")</f>
        <v>4000</v>
      </c>
      <c r="D23" s="42">
        <f>IF(C23="",0,C23*J$19)</f>
        <v>480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3520</v>
      </c>
    </row>
    <row r="24" spans="1:11" x14ac:dyDescent="0.35">
      <c r="A24" s="28" t="s">
        <v>102</v>
      </c>
      <c r="B24" s="132">
        <f>IF(DigitaDOMINICANA!C2&lt;&gt;"",DigitaDOMINICANA!C2,"")</f>
        <v>20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88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460100</v>
      </c>
      <c r="D27" s="68">
        <f t="shared" ref="D27:G27" si="7">SUM(D5:D26)</f>
        <v>54229</v>
      </c>
      <c r="E27" s="68">
        <f t="shared" si="7"/>
        <v>4200</v>
      </c>
      <c r="F27" s="68">
        <f t="shared" si="7"/>
        <v>323000</v>
      </c>
      <c r="G27" s="88">
        <f t="shared" si="7"/>
        <v>82871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83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 t="str">
        <f>IF(DigitaTICA!C2&lt;&gt;"",DigitaTICA!C2,"")</f>
        <v>02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26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50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19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30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41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>02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26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50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19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30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41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>02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26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50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19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30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41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>02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26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50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19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30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41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>02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26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50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19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30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41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IF(PREMIOS!$B7="","",PREMIOS!$B7)</f>
        <v>02</v>
      </c>
      <c r="D2" s="268"/>
      <c r="E2" s="267">
        <f>IF(PREMIOS!$B11="","",PREMIOS!$B11)</f>
        <v>50</v>
      </c>
      <c r="F2" s="268"/>
      <c r="G2" s="267">
        <f>IF(PREMIOS!$B15="","",PREMIOS!$B15)</f>
        <v>30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51350</v>
      </c>
      <c r="D4" s="78">
        <v>400</v>
      </c>
      <c r="E4" s="189">
        <v>45700</v>
      </c>
      <c r="F4" s="78">
        <v>300</v>
      </c>
      <c r="G4" s="189">
        <v>104050</v>
      </c>
      <c r="H4" s="78">
        <v>6250</v>
      </c>
      <c r="J4" s="42">
        <f t="shared" ref="J4:J8" si="0">+C4+E4+G4</f>
        <v>201100</v>
      </c>
      <c r="K4" s="42">
        <f>IF(D4="",0,IF(F4="",D4,IF(H4="",D4+F4,D4+F4+H4)))</f>
        <v>6950</v>
      </c>
    </row>
    <row r="5" spans="1:11" x14ac:dyDescent="0.35">
      <c r="A5" s="47">
        <v>2</v>
      </c>
      <c r="B5" s="178" t="str">
        <f>Vendedor2!$B$2</f>
        <v>PUESTO 2</v>
      </c>
      <c r="C5" s="180">
        <v>67500</v>
      </c>
      <c r="D5" s="30">
        <v>500</v>
      </c>
      <c r="E5" s="180">
        <v>52000</v>
      </c>
      <c r="F5" s="30">
        <v>250</v>
      </c>
      <c r="G5" s="180">
        <v>79050</v>
      </c>
      <c r="H5" s="30">
        <v>1900</v>
      </c>
      <c r="J5" s="42">
        <f t="shared" si="0"/>
        <v>198550</v>
      </c>
      <c r="K5" s="42">
        <f t="shared" ref="K5:K27" si="1">IF(D5="",0,IF(F5="",D5,IF(H5="",D5+F5,D5+F5+H5)))</f>
        <v>2650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ref="D6:H27" si="2">IF(C6="","",0)</f>
        <v/>
      </c>
      <c r="E6" s="180"/>
      <c r="F6" s="30" t="str">
        <f t="shared" si="2"/>
        <v/>
      </c>
      <c r="G6" s="180"/>
      <c r="H6" s="30" t="str">
        <f t="shared" si="2"/>
        <v/>
      </c>
      <c r="J6" s="42">
        <f t="shared" si="0"/>
        <v>0</v>
      </c>
      <c r="K6" s="42">
        <f t="shared" si="1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2"/>
        <v/>
      </c>
      <c r="E7" s="180"/>
      <c r="F7" s="30" t="str">
        <f t="shared" si="2"/>
        <v/>
      </c>
      <c r="G7" s="180"/>
      <c r="H7" s="30" t="str">
        <f t="shared" si="2"/>
        <v/>
      </c>
      <c r="J7" s="42">
        <f t="shared" si="0"/>
        <v>0</v>
      </c>
      <c r="K7" s="42">
        <f t="shared" si="1"/>
        <v>0</v>
      </c>
    </row>
    <row r="8" spans="1:11" x14ac:dyDescent="0.35">
      <c r="A8" s="47">
        <v>5</v>
      </c>
      <c r="B8" s="178" t="str">
        <f>Vendedor5!$B$2</f>
        <v>YOYO</v>
      </c>
      <c r="C8" s="180"/>
      <c r="D8" s="30" t="str">
        <f t="shared" si="2"/>
        <v/>
      </c>
      <c r="E8" s="180"/>
      <c r="F8" s="30" t="str">
        <f t="shared" si="2"/>
        <v/>
      </c>
      <c r="G8" s="180"/>
      <c r="H8" s="30" t="str">
        <f t="shared" si="2"/>
        <v/>
      </c>
      <c r="J8" s="42">
        <f t="shared" si="0"/>
        <v>0</v>
      </c>
      <c r="K8" s="42">
        <f t="shared" si="1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2"/>
        <v/>
      </c>
      <c r="E9" s="180"/>
      <c r="F9" s="30" t="str">
        <f t="shared" si="2"/>
        <v/>
      </c>
      <c r="G9" s="180"/>
      <c r="H9" s="30" t="str">
        <f t="shared" si="2"/>
        <v/>
      </c>
      <c r="J9" s="42">
        <f t="shared" ref="J9:J31" si="3">+C9+E9+G9</f>
        <v>0</v>
      </c>
      <c r="K9" s="42">
        <f t="shared" si="1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50100+42350</f>
        <v>92450</v>
      </c>
      <c r="D10" s="30">
        <f>750+500</f>
        <v>1250</v>
      </c>
      <c r="E10" s="180">
        <f>45250+48500</f>
        <v>93750</v>
      </c>
      <c r="F10" s="30">
        <v>200</v>
      </c>
      <c r="G10" s="180">
        <f>71850+65750</f>
        <v>137600</v>
      </c>
      <c r="H10" s="30">
        <f>450+250</f>
        <v>700</v>
      </c>
      <c r="J10" s="42">
        <f t="shared" si="3"/>
        <v>323800</v>
      </c>
      <c r="K10" s="42">
        <f t="shared" si="1"/>
        <v>2150</v>
      </c>
    </row>
    <row r="11" spans="1:11" x14ac:dyDescent="0.35">
      <c r="A11" s="47">
        <v>8</v>
      </c>
      <c r="B11" s="178" t="str">
        <f>Vendedor8!$B$2</f>
        <v>ISA</v>
      </c>
      <c r="C11" s="180">
        <v>3000</v>
      </c>
      <c r="D11" s="30">
        <f t="shared" si="2"/>
        <v>0</v>
      </c>
      <c r="E11" s="180"/>
      <c r="F11" s="30" t="str">
        <f t="shared" si="2"/>
        <v/>
      </c>
      <c r="G11" s="180">
        <v>23200</v>
      </c>
      <c r="H11" s="30">
        <v>200</v>
      </c>
      <c r="J11" s="42">
        <f t="shared" si="3"/>
        <v>26200</v>
      </c>
      <c r="K11" s="42">
        <f t="shared" si="1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42450</v>
      </c>
      <c r="D12" s="30">
        <v>800</v>
      </c>
      <c r="E12" s="180">
        <v>23700</v>
      </c>
      <c r="F12" s="30">
        <v>300</v>
      </c>
      <c r="G12" s="180">
        <v>12050</v>
      </c>
      <c r="H12" s="30">
        <v>500</v>
      </c>
      <c r="J12" s="42">
        <f t="shared" si="3"/>
        <v>78200</v>
      </c>
      <c r="K12" s="42">
        <f t="shared" si="1"/>
        <v>1600</v>
      </c>
    </row>
    <row r="13" spans="1:11" x14ac:dyDescent="0.35">
      <c r="A13" s="47">
        <v>10</v>
      </c>
      <c r="B13" s="178" t="str">
        <f>Vendedor10!$B$2</f>
        <v>MARIALIZ</v>
      </c>
      <c r="C13" s="180">
        <v>33550</v>
      </c>
      <c r="D13" s="30">
        <v>600</v>
      </c>
      <c r="E13" s="180">
        <v>20950</v>
      </c>
      <c r="F13" s="30">
        <f t="shared" si="2"/>
        <v>0</v>
      </c>
      <c r="G13" s="180">
        <v>57900</v>
      </c>
      <c r="H13" s="30">
        <v>1100</v>
      </c>
      <c r="J13" s="42">
        <f t="shared" si="3"/>
        <v>112400</v>
      </c>
      <c r="K13" s="42">
        <f t="shared" si="1"/>
        <v>1700</v>
      </c>
    </row>
    <row r="14" spans="1:11" x14ac:dyDescent="0.35">
      <c r="A14" s="47">
        <v>11</v>
      </c>
      <c r="B14" s="178" t="str">
        <f>Vendedor11!$B$2</f>
        <v>CHARLY</v>
      </c>
      <c r="C14" s="180">
        <v>14400</v>
      </c>
      <c r="D14" s="30">
        <f t="shared" si="2"/>
        <v>0</v>
      </c>
      <c r="E14" s="180">
        <v>18650</v>
      </c>
      <c r="F14" s="30">
        <v>500</v>
      </c>
      <c r="G14" s="180">
        <v>31650</v>
      </c>
      <c r="H14" s="30">
        <f t="shared" si="2"/>
        <v>0</v>
      </c>
      <c r="J14" s="42">
        <f t="shared" si="3"/>
        <v>64700</v>
      </c>
      <c r="K14" s="42">
        <f t="shared" si="1"/>
        <v>500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2"/>
        <v/>
      </c>
      <c r="E15" s="180"/>
      <c r="F15" s="30" t="str">
        <f t="shared" si="2"/>
        <v/>
      </c>
      <c r="G15" s="180"/>
      <c r="H15" s="30" t="str">
        <f t="shared" si="2"/>
        <v/>
      </c>
      <c r="J15" s="42">
        <f t="shared" si="3"/>
        <v>0</v>
      </c>
      <c r="K15" s="42">
        <f t="shared" si="1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36250</v>
      </c>
      <c r="D16" s="30">
        <v>450</v>
      </c>
      <c r="E16" s="180">
        <v>20500</v>
      </c>
      <c r="F16" s="30">
        <v>500</v>
      </c>
      <c r="G16" s="180">
        <v>33600</v>
      </c>
      <c r="H16" s="30">
        <v>1000</v>
      </c>
      <c r="J16" s="42">
        <f t="shared" si="3"/>
        <v>90350</v>
      </c>
      <c r="K16" s="42">
        <f t="shared" si="1"/>
        <v>1950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f>100350+27700</f>
        <v>128050</v>
      </c>
      <c r="D17" s="30">
        <f>2350+200</f>
        <v>2550</v>
      </c>
      <c r="E17" s="180">
        <f>101000+21350</f>
        <v>122350</v>
      </c>
      <c r="F17" s="30">
        <f>1500+200</f>
        <v>1700</v>
      </c>
      <c r="G17" s="180">
        <f>158950+40150</f>
        <v>199100</v>
      </c>
      <c r="H17" s="30">
        <f>1100+750</f>
        <v>1850</v>
      </c>
      <c r="J17" s="42">
        <f t="shared" si="3"/>
        <v>449500</v>
      </c>
      <c r="K17" s="42">
        <f t="shared" si="1"/>
        <v>6100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f>33450+12650</f>
        <v>46100</v>
      </c>
      <c r="D18" s="30">
        <f>2400+0</f>
        <v>2400</v>
      </c>
      <c r="E18" s="180">
        <f>34500+15100</f>
        <v>49600</v>
      </c>
      <c r="F18" s="30">
        <f>500+400</f>
        <v>900</v>
      </c>
      <c r="G18" s="180">
        <f>28700+29700</f>
        <v>58400</v>
      </c>
      <c r="H18" s="30">
        <v>100</v>
      </c>
      <c r="J18" s="42">
        <f t="shared" si="3"/>
        <v>154100</v>
      </c>
      <c r="K18" s="42">
        <f t="shared" si="1"/>
        <v>3400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2"/>
        <v/>
      </c>
      <c r="E19" s="180"/>
      <c r="F19" s="30" t="str">
        <f t="shared" si="2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1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2"/>
        <v/>
      </c>
      <c r="E20" s="180"/>
      <c r="F20" s="30" t="str">
        <f t="shared" si="2"/>
        <v/>
      </c>
      <c r="G20" s="180"/>
      <c r="H20" s="30" t="str">
        <f t="shared" si="4"/>
        <v/>
      </c>
      <c r="J20" s="42">
        <f t="shared" si="3"/>
        <v>0</v>
      </c>
      <c r="K20" s="42">
        <f t="shared" si="1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2"/>
        <v/>
      </c>
      <c r="E21" s="180"/>
      <c r="F21" s="30" t="str">
        <f t="shared" si="2"/>
        <v/>
      </c>
      <c r="G21" s="180"/>
      <c r="H21" s="30" t="str">
        <f t="shared" si="4"/>
        <v/>
      </c>
      <c r="J21" s="42">
        <f t="shared" si="3"/>
        <v>0</v>
      </c>
      <c r="K21" s="42">
        <f t="shared" si="1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2"/>
        <v/>
      </c>
      <c r="E22" s="180"/>
      <c r="F22" s="30" t="str">
        <f t="shared" si="2"/>
        <v/>
      </c>
      <c r="G22" s="180"/>
      <c r="H22" s="30" t="str">
        <f t="shared" si="4"/>
        <v/>
      </c>
      <c r="J22" s="42">
        <f t="shared" si="3"/>
        <v>0</v>
      </c>
      <c r="K22" s="42">
        <f t="shared" si="1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2"/>
        <v/>
      </c>
      <c r="E23" s="180"/>
      <c r="F23" s="30" t="str">
        <f t="shared" si="2"/>
        <v/>
      </c>
      <c r="G23" s="180"/>
      <c r="H23" s="30" t="str">
        <f t="shared" si="4"/>
        <v/>
      </c>
      <c r="J23" s="42">
        <f t="shared" si="3"/>
        <v>0</v>
      </c>
      <c r="K23" s="42">
        <f t="shared" si="1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2"/>
        <v/>
      </c>
      <c r="E24" s="180"/>
      <c r="F24" s="30" t="str">
        <f t="shared" si="2"/>
        <v/>
      </c>
      <c r="G24" s="180"/>
      <c r="H24" s="30" t="str">
        <f t="shared" si="4"/>
        <v/>
      </c>
      <c r="J24" s="42">
        <f t="shared" si="3"/>
        <v>0</v>
      </c>
      <c r="K24" s="42">
        <f t="shared" si="1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2"/>
        <v/>
      </c>
      <c r="E25" s="180"/>
      <c r="F25" s="30" t="str">
        <f t="shared" si="2"/>
        <v/>
      </c>
      <c r="G25" s="180"/>
      <c r="H25" s="30" t="str">
        <f t="shared" si="4"/>
        <v/>
      </c>
      <c r="J25" s="42">
        <f t="shared" si="3"/>
        <v>0</v>
      </c>
      <c r="K25" s="42">
        <f t="shared" si="1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2"/>
        <v/>
      </c>
      <c r="E26" s="180"/>
      <c r="F26" s="30" t="str">
        <f t="shared" si="2"/>
        <v/>
      </c>
      <c r="G26" s="180"/>
      <c r="H26" s="30" t="str">
        <f t="shared" si="4"/>
        <v/>
      </c>
      <c r="J26" s="42">
        <f t="shared" si="3"/>
        <v>0</v>
      </c>
      <c r="K26" s="42">
        <f t="shared" si="1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2"/>
        <v/>
      </c>
      <c r="E27" s="181"/>
      <c r="F27" s="50" t="str">
        <f t="shared" si="2"/>
        <v/>
      </c>
      <c r="G27" s="181"/>
      <c r="H27" s="50" t="str">
        <f t="shared" si="4"/>
        <v/>
      </c>
      <c r="J27" s="42">
        <f t="shared" si="3"/>
        <v>0</v>
      </c>
      <c r="K27" s="42">
        <f t="shared" si="1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515100</v>
      </c>
      <c r="D32" s="44">
        <f t="shared" si="6"/>
        <v>8950</v>
      </c>
      <c r="E32" s="43">
        <f t="shared" si="6"/>
        <v>447200</v>
      </c>
      <c r="F32" s="44">
        <f t="shared" si="6"/>
        <v>4650</v>
      </c>
      <c r="G32" s="43">
        <f t="shared" si="6"/>
        <v>736600</v>
      </c>
      <c r="H32" s="44">
        <f t="shared" si="6"/>
        <v>13600</v>
      </c>
      <c r="J32" s="95">
        <f>SUM(J4:J31)</f>
        <v>1698900</v>
      </c>
      <c r="K32" s="95"/>
    </row>
    <row r="33" spans="2:8" x14ac:dyDescent="0.35">
      <c r="D33" s="99">
        <f>+D32*85</f>
        <v>760750</v>
      </c>
      <c r="F33" s="99">
        <f>+F32*85</f>
        <v>395250</v>
      </c>
      <c r="H33" s="99">
        <f>+H32*85</f>
        <v>1156000</v>
      </c>
    </row>
    <row r="34" spans="2:8" x14ac:dyDescent="0.35">
      <c r="B34" s="247" t="s">
        <v>149</v>
      </c>
      <c r="C34" s="43">
        <f t="shared" ref="C34:H34" si="7">+C4+C5+C6+C8+C13</f>
        <v>152400</v>
      </c>
      <c r="D34" s="43" t="e">
        <f t="shared" si="7"/>
        <v>#VALUE!</v>
      </c>
      <c r="E34" s="43">
        <f t="shared" si="7"/>
        <v>118650</v>
      </c>
      <c r="F34" s="43" t="e">
        <f t="shared" si="7"/>
        <v>#VALUE!</v>
      </c>
      <c r="G34" s="43">
        <f t="shared" si="7"/>
        <v>241000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191550</v>
      </c>
      <c r="D35" s="43" t="e">
        <f t="shared" ref="D35:H35" si="8">+D11+D14+D15+D17+D18</f>
        <v>#VALUE!</v>
      </c>
      <c r="E35" s="43">
        <f t="shared" si="8"/>
        <v>190600</v>
      </c>
      <c r="F35" s="43" t="e">
        <f t="shared" si="8"/>
        <v>#VALUE!</v>
      </c>
      <c r="G35" s="43">
        <f t="shared" si="8"/>
        <v>312350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134900</v>
      </c>
      <c r="D36" s="43" t="e">
        <f t="shared" ref="D36:H36" si="9">+D10+D12+D27</f>
        <v>#VALUE!</v>
      </c>
      <c r="E36" s="43">
        <f t="shared" si="9"/>
        <v>117450</v>
      </c>
      <c r="F36" s="43" t="e">
        <f t="shared" si="9"/>
        <v>#VALUE!</v>
      </c>
      <c r="G36" s="43">
        <f t="shared" si="9"/>
        <v>149650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I11" sqref="I11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83</v>
      </c>
      <c r="D2" s="268"/>
      <c r="E2" s="267">
        <f>IF(PREMIOS!$B9="","",PREMIOS!$B9)</f>
        <v>26</v>
      </c>
      <c r="F2" s="268"/>
      <c r="G2" s="267">
        <f>IF(PREMIOS!$B13="","",PREMIOS!$B13)</f>
        <v>19</v>
      </c>
      <c r="H2" s="268"/>
      <c r="I2" s="267">
        <f>IF(PREMIOS!$B17="","",PREMIOS!$B17)</f>
        <v>41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31400</v>
      </c>
      <c r="D4" s="78">
        <f t="shared" ref="D4:J27" si="0">IF(C4="","",0)</f>
        <v>0</v>
      </c>
      <c r="E4" s="206">
        <v>24350</v>
      </c>
      <c r="F4" s="78">
        <f t="shared" si="0"/>
        <v>0</v>
      </c>
      <c r="G4" s="189">
        <v>3250</v>
      </c>
      <c r="H4" s="78">
        <f t="shared" ref="H4:H27" si="1">IF(G4="","",0)</f>
        <v>0</v>
      </c>
      <c r="I4" s="189">
        <v>16000</v>
      </c>
      <c r="J4" s="78">
        <f t="shared" si="0"/>
        <v>0</v>
      </c>
      <c r="L4" s="42">
        <f t="shared" ref="L4:L8" si="2">+C4+E4+G4+I4</f>
        <v>75000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8" t="str">
        <f>Vendedor2!$B$2</f>
        <v>PUESTO 2</v>
      </c>
      <c r="C5" s="180">
        <v>32100</v>
      </c>
      <c r="D5" s="30">
        <f t="shared" si="0"/>
        <v>0</v>
      </c>
      <c r="E5" s="207">
        <v>14550</v>
      </c>
      <c r="F5" s="30">
        <f t="shared" si="0"/>
        <v>0</v>
      </c>
      <c r="G5" s="180">
        <v>17850</v>
      </c>
      <c r="H5" s="30">
        <v>800</v>
      </c>
      <c r="I5" s="180">
        <v>16550</v>
      </c>
      <c r="J5" s="30">
        <f t="shared" ref="J5:J27" si="3">IF(I5="","",0)</f>
        <v>0</v>
      </c>
      <c r="L5" s="42">
        <f t="shared" si="2"/>
        <v>81050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/>
      <c r="D8" s="30" t="str">
        <f t="shared" si="0"/>
        <v/>
      </c>
      <c r="E8" s="207"/>
      <c r="F8" s="30" t="str">
        <f t="shared" si="0"/>
        <v/>
      </c>
      <c r="G8" s="180"/>
      <c r="H8" s="30" t="str">
        <f t="shared" si="1"/>
        <v/>
      </c>
      <c r="I8" s="180"/>
      <c r="J8" s="30" t="str">
        <f t="shared" si="0"/>
        <v/>
      </c>
      <c r="L8" s="42">
        <f t="shared" si="2"/>
        <v>0</v>
      </c>
      <c r="M8" s="42" t="str">
        <f t="shared" si="4"/>
        <v/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36900+31050</f>
        <v>67950</v>
      </c>
      <c r="D10" s="30">
        <f>100+0</f>
        <v>100</v>
      </c>
      <c r="E10" s="207">
        <f>49700+26950</f>
        <v>76650</v>
      </c>
      <c r="F10" s="30">
        <v>100</v>
      </c>
      <c r="G10" s="180">
        <f>26000+30850</f>
        <v>56850</v>
      </c>
      <c r="H10" s="30">
        <f>200+300</f>
        <v>500</v>
      </c>
      <c r="I10" s="180">
        <f>37850+71400</f>
        <v>109250</v>
      </c>
      <c r="J10" s="30">
        <f>200+1100</f>
        <v>1300</v>
      </c>
      <c r="L10" s="42">
        <f t="shared" si="5"/>
        <v>310700</v>
      </c>
      <c r="M10" s="42">
        <f t="shared" si="4"/>
        <v>2000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40100</v>
      </c>
      <c r="D12" s="30">
        <f t="shared" si="0"/>
        <v>0</v>
      </c>
      <c r="E12" s="207">
        <v>16050</v>
      </c>
      <c r="F12" s="30">
        <f t="shared" si="0"/>
        <v>0</v>
      </c>
      <c r="G12" s="180"/>
      <c r="H12" s="30" t="str">
        <f t="shared" si="0"/>
        <v/>
      </c>
      <c r="I12" s="180">
        <v>5000</v>
      </c>
      <c r="J12" s="30">
        <f t="shared" si="0"/>
        <v>0</v>
      </c>
      <c r="L12" s="42">
        <f t="shared" si="5"/>
        <v>61150</v>
      </c>
      <c r="M12" s="42">
        <f t="shared" si="4"/>
        <v>0</v>
      </c>
    </row>
    <row r="13" spans="1:13" x14ac:dyDescent="0.35">
      <c r="A13" s="47">
        <v>10</v>
      </c>
      <c r="B13" s="178" t="str">
        <f>Vendedor10!$B$2</f>
        <v>MARIALIZ</v>
      </c>
      <c r="C13" s="180">
        <v>49550</v>
      </c>
      <c r="D13" s="30">
        <v>200</v>
      </c>
      <c r="E13" s="207">
        <v>18150</v>
      </c>
      <c r="F13" s="30">
        <f t="shared" si="0"/>
        <v>0</v>
      </c>
      <c r="G13" s="180">
        <v>4000</v>
      </c>
      <c r="H13" s="30">
        <f t="shared" si="0"/>
        <v>0</v>
      </c>
      <c r="I13" s="180">
        <v>9000</v>
      </c>
      <c r="J13" s="30">
        <f t="shared" si="0"/>
        <v>0</v>
      </c>
      <c r="L13" s="42">
        <f t="shared" si="5"/>
        <v>80700</v>
      </c>
      <c r="M13" s="42">
        <f t="shared" si="4"/>
        <v>200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5500</v>
      </c>
      <c r="D16" s="30">
        <f t="shared" si="0"/>
        <v>0</v>
      </c>
      <c r="E16" s="207">
        <v>6000</v>
      </c>
      <c r="F16" s="30">
        <f t="shared" si="0"/>
        <v>0</v>
      </c>
      <c r="G16" s="180">
        <v>11650</v>
      </c>
      <c r="H16" s="30">
        <v>250</v>
      </c>
      <c r="I16" s="180">
        <v>21750</v>
      </c>
      <c r="J16" s="30">
        <f t="shared" si="0"/>
        <v>0</v>
      </c>
      <c r="L16" s="42">
        <f t="shared" si="5"/>
        <v>44900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>
        <v>87050</v>
      </c>
      <c r="D17" s="30">
        <v>600</v>
      </c>
      <c r="E17" s="207">
        <v>121750</v>
      </c>
      <c r="F17" s="30">
        <v>400</v>
      </c>
      <c r="G17" s="180">
        <v>75450</v>
      </c>
      <c r="H17" s="30">
        <v>3300</v>
      </c>
      <c r="I17" s="180">
        <v>162200</v>
      </c>
      <c r="J17" s="30">
        <v>1000</v>
      </c>
      <c r="L17" s="42">
        <f t="shared" si="5"/>
        <v>446450</v>
      </c>
      <c r="M17" s="42">
        <f t="shared" si="4"/>
        <v>5300</v>
      </c>
    </row>
    <row r="18" spans="1:13" x14ac:dyDescent="0.35">
      <c r="A18" s="47">
        <v>15</v>
      </c>
      <c r="B18" s="178" t="str">
        <f>Vendedor15!$B$2</f>
        <v>EDUARDO PUESTO CENTRO</v>
      </c>
      <c r="C18" s="180">
        <v>46550</v>
      </c>
      <c r="D18" s="30">
        <f t="shared" si="0"/>
        <v>0</v>
      </c>
      <c r="E18" s="207">
        <v>42500</v>
      </c>
      <c r="F18" s="30">
        <f t="shared" si="0"/>
        <v>0</v>
      </c>
      <c r="G18" s="180">
        <v>49500</v>
      </c>
      <c r="H18" s="30">
        <v>200</v>
      </c>
      <c r="I18" s="180">
        <v>4500</v>
      </c>
      <c r="J18" s="30">
        <f t="shared" si="3"/>
        <v>0</v>
      </c>
      <c r="L18" s="42">
        <f t="shared" si="5"/>
        <v>143050</v>
      </c>
      <c r="M18" s="42">
        <f t="shared" si="4"/>
        <v>0</v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360200</v>
      </c>
      <c r="D32" s="44">
        <f t="shared" si="7"/>
        <v>900</v>
      </c>
      <c r="E32" s="43">
        <f t="shared" si="7"/>
        <v>320000</v>
      </c>
      <c r="F32" s="44">
        <f t="shared" si="7"/>
        <v>500</v>
      </c>
      <c r="G32" s="43">
        <f t="shared" si="7"/>
        <v>218550</v>
      </c>
      <c r="H32" s="44">
        <f t="shared" si="7"/>
        <v>5050</v>
      </c>
      <c r="I32" s="43">
        <f t="shared" si="7"/>
        <v>344250</v>
      </c>
      <c r="J32" s="44">
        <f t="shared" si="7"/>
        <v>2300</v>
      </c>
      <c r="L32" s="95">
        <f>SUM(L9:L31)</f>
        <v>1086950</v>
      </c>
      <c r="M32" s="95">
        <f>SUM(M9:M31)</f>
        <v>7500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02 Blanca</v>
      </c>
      <c r="D2" s="268"/>
      <c r="E2" s="267" t="str">
        <f>IF(E33=0,"",CONCATENATE(PREMIOS!$B11," ",PREMIOS!$B12))</f>
        <v>50 Blanca</v>
      </c>
      <c r="F2" s="268"/>
      <c r="G2" s="267" t="str">
        <f>IF(G33=0,"",CONCATENATE(PREMIOS!$B15," ",PREMIOS!$B16))</f>
        <v>30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24450+7850</f>
        <v>32300</v>
      </c>
      <c r="D10" s="30">
        <f>750+0</f>
        <v>750</v>
      </c>
      <c r="E10" s="180">
        <f>25350+8750</f>
        <v>34100</v>
      </c>
      <c r="F10" s="30">
        <f t="shared" si="0"/>
        <v>0</v>
      </c>
      <c r="G10" s="180">
        <f>28750+12950</f>
        <v>41700</v>
      </c>
      <c r="H10" s="30">
        <f>200+200</f>
        <v>400</v>
      </c>
      <c r="J10" s="42">
        <f t="shared" si="3"/>
        <v>108100</v>
      </c>
      <c r="K10" s="42">
        <f t="shared" si="4"/>
        <v>1150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2200</v>
      </c>
      <c r="D12" s="30">
        <f t="shared" si="0"/>
        <v>0</v>
      </c>
      <c r="E12" s="180"/>
      <c r="F12" s="30" t="str">
        <f t="shared" si="1"/>
        <v/>
      </c>
      <c r="G12" s="180"/>
      <c r="H12" s="30" t="str">
        <f t="shared" si="0"/>
        <v/>
      </c>
      <c r="J12" s="42">
        <f t="shared" si="3"/>
        <v>2200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1000</v>
      </c>
      <c r="D16" s="195">
        <f t="shared" si="0"/>
        <v>0</v>
      </c>
      <c r="E16" s="194">
        <v>0</v>
      </c>
      <c r="F16" s="195">
        <f t="shared" si="1"/>
        <v>0</v>
      </c>
      <c r="G16" s="194">
        <v>1000</v>
      </c>
      <c r="H16" s="195">
        <f t="shared" si="0"/>
        <v>0</v>
      </c>
      <c r="J16" s="42">
        <f t="shared" si="3"/>
        <v>2000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v>21300</v>
      </c>
      <c r="D17" s="30">
        <v>100</v>
      </c>
      <c r="E17" s="180">
        <v>20200</v>
      </c>
      <c r="F17" s="30">
        <v>200</v>
      </c>
      <c r="G17" s="180">
        <v>34900</v>
      </c>
      <c r="H17" s="30">
        <v>600</v>
      </c>
      <c r="J17" s="42">
        <f t="shared" si="3"/>
        <v>76400</v>
      </c>
      <c r="K17" s="42">
        <f t="shared" si="4"/>
        <v>900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11650</v>
      </c>
      <c r="D18" s="30">
        <f t="shared" si="0"/>
        <v>0</v>
      </c>
      <c r="E18" s="180">
        <v>13500</v>
      </c>
      <c r="F18" s="30">
        <v>300</v>
      </c>
      <c r="G18" s="180">
        <v>24000</v>
      </c>
      <c r="H18" s="30">
        <v>100</v>
      </c>
      <c r="J18" s="42">
        <f t="shared" si="3"/>
        <v>49150</v>
      </c>
      <c r="K18" s="42">
        <f t="shared" si="4"/>
        <v>400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68450</v>
      </c>
      <c r="D33" s="44">
        <f t="shared" si="7"/>
        <v>850</v>
      </c>
      <c r="E33" s="43">
        <f t="shared" si="7"/>
        <v>67800</v>
      </c>
      <c r="F33" s="44">
        <f t="shared" si="7"/>
        <v>500</v>
      </c>
      <c r="G33" s="43">
        <f t="shared" si="7"/>
        <v>101600</v>
      </c>
      <c r="H33" s="44">
        <f t="shared" si="7"/>
        <v>1100</v>
      </c>
      <c r="J33" s="45">
        <f>SUM(J4:J32)</f>
        <v>237850</v>
      </c>
      <c r="K33" s="95">
        <f>SUM(K4:K32)</f>
        <v>2450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39</v>
      </c>
      <c r="D2" s="268"/>
      <c r="E2" s="267">
        <f>IF(PREMIOS!$C19="","",PREMIOS!$C19)</f>
        <v>16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7550</v>
      </c>
      <c r="D4" s="78">
        <f t="shared" ref="D4:F27" si="0">IF(C4="","",0)</f>
        <v>0</v>
      </c>
      <c r="E4" s="189">
        <v>1500</v>
      </c>
      <c r="F4" s="78">
        <f t="shared" si="0"/>
        <v>0</v>
      </c>
      <c r="H4" s="42">
        <f>+C4+E4</f>
        <v>9050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1800</v>
      </c>
      <c r="D5" s="30">
        <f t="shared" si="0"/>
        <v>0</v>
      </c>
      <c r="E5" s="180">
        <v>1550</v>
      </c>
      <c r="F5" s="30">
        <f t="shared" ref="F5:F27" si="1">IF(E5="","",0)</f>
        <v>0</v>
      </c>
      <c r="H5" s="42">
        <f t="shared" ref="H5:H32" si="2">+C5+E5</f>
        <v>3350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/>
      <c r="D8" s="30" t="str">
        <f t="shared" si="0"/>
        <v/>
      </c>
      <c r="E8" s="194"/>
      <c r="F8" s="195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53350</v>
      </c>
      <c r="D10" s="30">
        <f t="shared" si="0"/>
        <v>0</v>
      </c>
      <c r="E10" s="180">
        <f>6750+7250</f>
        <v>14000</v>
      </c>
      <c r="F10" s="195">
        <f t="shared" si="1"/>
        <v>0</v>
      </c>
      <c r="H10" s="42">
        <f t="shared" si="2"/>
        <v>67350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40050</v>
      </c>
      <c r="D12" s="30">
        <f t="shared" si="0"/>
        <v>0</v>
      </c>
      <c r="E12" s="194"/>
      <c r="F12" s="30" t="str">
        <f t="shared" si="0"/>
        <v/>
      </c>
      <c r="H12" s="42">
        <f t="shared" si="2"/>
        <v>40050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>
        <v>79750</v>
      </c>
      <c r="D17" s="195">
        <f t="shared" si="0"/>
        <v>0</v>
      </c>
      <c r="E17" s="180">
        <v>37500</v>
      </c>
      <c r="F17" s="30">
        <v>200</v>
      </c>
      <c r="H17" s="42">
        <f t="shared" si="2"/>
        <v>117250</v>
      </c>
      <c r="I17" s="42">
        <f t="shared" si="3"/>
        <v>200</v>
      </c>
    </row>
    <row r="18" spans="1:9" x14ac:dyDescent="0.35">
      <c r="A18" s="47">
        <v>15</v>
      </c>
      <c r="B18" s="178" t="str">
        <f>Vendedor15!$B$2</f>
        <v>EDUARDO PUESTO CENTRO</v>
      </c>
      <c r="C18" s="180">
        <v>56000</v>
      </c>
      <c r="D18" s="195">
        <f t="shared" si="0"/>
        <v>0</v>
      </c>
      <c r="E18" s="180">
        <v>36800</v>
      </c>
      <c r="F18" s="30">
        <v>200</v>
      </c>
      <c r="H18" s="42">
        <f t="shared" si="2"/>
        <v>92800</v>
      </c>
      <c r="I18" s="42">
        <f t="shared" si="3"/>
        <v>200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238500</v>
      </c>
      <c r="D33" s="44">
        <f>SUM(D4:D32)</f>
        <v>0</v>
      </c>
      <c r="E33" s="43">
        <f>SUM(E4:E32)</f>
        <v>91350</v>
      </c>
      <c r="F33" s="44">
        <f>SUM(F4:F32)</f>
        <v>400</v>
      </c>
      <c r="H33" s="95">
        <f>SUM(H4:H32)</f>
        <v>329850</v>
      </c>
      <c r="I33" s="95">
        <f>SUM(I4:I32)</f>
        <v>400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 t="str">
        <f>IF(PREMIOS!$B20="","",PREMIOS!$B20)</f>
        <v>06</v>
      </c>
      <c r="D2" s="268"/>
      <c r="E2" s="267">
        <f>IF(PREMIOS!$C20="","",PREMIOS!$C20)</f>
        <v>27</v>
      </c>
      <c r="F2" s="268"/>
      <c r="G2" s="267">
        <f>IF(PREMIOS!$D20="","",PREMIOS!$D20)</f>
        <v>25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7200</v>
      </c>
      <c r="D10" s="195">
        <f t="shared" si="0"/>
        <v>0</v>
      </c>
      <c r="E10" s="180">
        <v>1500</v>
      </c>
      <c r="F10" s="30">
        <f t="shared" si="0"/>
        <v>0</v>
      </c>
      <c r="G10" s="180">
        <v>12700</v>
      </c>
      <c r="H10" s="195">
        <f t="shared" si="0"/>
        <v>0</v>
      </c>
      <c r="J10" s="42">
        <f t="shared" si="3"/>
        <v>21400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>
        <v>7600</v>
      </c>
      <c r="D12" s="195">
        <v>300</v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7600</v>
      </c>
      <c r="K12" s="42">
        <f t="shared" si="4"/>
        <v>300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>
        <v>18600</v>
      </c>
      <c r="D17" s="195">
        <v>200</v>
      </c>
      <c r="E17" s="194">
        <v>17300</v>
      </c>
      <c r="F17" s="195">
        <v>100</v>
      </c>
      <c r="G17" s="194">
        <v>28150</v>
      </c>
      <c r="H17" s="195">
        <v>750</v>
      </c>
      <c r="J17" s="42">
        <f t="shared" si="3"/>
        <v>64050</v>
      </c>
      <c r="K17" s="42">
        <f t="shared" si="4"/>
        <v>1050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11000</v>
      </c>
      <c r="D18" s="195">
        <f t="shared" si="0"/>
        <v>0</v>
      </c>
      <c r="E18" s="180">
        <v>6000</v>
      </c>
      <c r="F18" s="30">
        <f t="shared" si="1"/>
        <v>0</v>
      </c>
      <c r="G18" s="180">
        <v>4000</v>
      </c>
      <c r="H18" s="30">
        <f t="shared" si="2"/>
        <v>0</v>
      </c>
      <c r="J18" s="42">
        <f t="shared" si="3"/>
        <v>21000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44400</v>
      </c>
      <c r="D33" s="44">
        <f t="shared" si="6"/>
        <v>500</v>
      </c>
      <c r="E33" s="43">
        <f t="shared" si="6"/>
        <v>24800</v>
      </c>
      <c r="F33" s="44">
        <f t="shared" si="6"/>
        <v>100</v>
      </c>
      <c r="G33" s="43">
        <f t="shared" si="6"/>
        <v>44850</v>
      </c>
      <c r="H33" s="44">
        <f t="shared" si="6"/>
        <v>750</v>
      </c>
      <c r="J33" s="45">
        <f>SUM(J4:J32)</f>
        <v>114050</v>
      </c>
      <c r="K33" s="95">
        <f>SUM(K4:K32)</f>
        <v>1350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20</v>
      </c>
      <c r="D2" s="268"/>
      <c r="E2" s="267">
        <f>IF(PREMIOS!$C21="","",PREMIOS!$C21)</f>
        <v>88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  <c r="E10" s="180"/>
      <c r="F10" s="30" t="str">
        <f t="shared" si="0"/>
        <v/>
      </c>
      <c r="H10" s="42">
        <f t="shared" si="2"/>
        <v>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0</v>
      </c>
      <c r="D33" s="44">
        <f>SUM(D4:D32)</f>
        <v>0</v>
      </c>
      <c r="E33" s="43">
        <f>SUM(E4:E32)</f>
        <v>0</v>
      </c>
      <c r="F33" s="44">
        <f>SUM(F4:F32)</f>
        <v>0</v>
      </c>
      <c r="H33" s="45">
        <f>SUM(H4:H32)</f>
        <v>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2026-05-06T17:05:02Z</dcterms:modified>
  <dc:language>es-CR</dc:language>
</cp:coreProperties>
</file>
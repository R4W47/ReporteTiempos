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06" documentId="11_CC909CDC54BF56B7CFE895037F24C3E4C4200AF2" xr6:coauthVersionLast="47" xr6:coauthVersionMax="47" xr10:uidLastSave="{E209AB67-5A95-4DD1-B3EC-68828E7AD265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8" i="61"/>
  <c r="G10" i="62" l="1"/>
  <c r="E10" i="62"/>
  <c r="J10" i="61"/>
  <c r="I10" i="61"/>
  <c r="G10" i="61"/>
  <c r="H10" i="60"/>
  <c r="G10" i="60"/>
  <c r="E10" i="60"/>
  <c r="G17" i="60"/>
  <c r="H18" i="60"/>
  <c r="G18" i="60"/>
  <c r="F17" i="60"/>
  <c r="E17" i="60"/>
  <c r="F18" i="60"/>
  <c r="E18" i="60"/>
  <c r="F7" i="60"/>
  <c r="F6" i="60"/>
  <c r="F10" i="61"/>
  <c r="E10" i="61"/>
  <c r="C10" i="62" l="1"/>
  <c r="D10" i="61"/>
  <c r="C10" i="61"/>
  <c r="C17" i="60"/>
  <c r="C10" i="60"/>
  <c r="C18" i="60"/>
  <c r="C4" i="60"/>
  <c r="C10" i="65" l="1"/>
  <c r="D18" i="64" l="1"/>
  <c r="D18" i="65"/>
  <c r="D11" i="65"/>
  <c r="D10" i="65"/>
  <c r="D9" i="61"/>
  <c r="C23" i="15"/>
  <c r="G16" i="71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D22" i="15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5" i="60"/>
  <c r="D13" i="60"/>
  <c r="D11" i="60"/>
  <c r="E7" i="16" s="1"/>
  <c r="D9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0" i="62"/>
  <c r="D5" i="61"/>
  <c r="F16" i="61"/>
  <c r="D6" i="60"/>
  <c r="F16" i="60"/>
  <c r="F15" i="60"/>
  <c r="F13" i="60"/>
  <c r="F12" i="60"/>
  <c r="F11" i="60"/>
  <c r="F9" i="60"/>
  <c r="H15" i="60"/>
  <c r="H9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F35" i="60" l="1"/>
  <c r="H34" i="60"/>
  <c r="F34" i="60"/>
  <c r="D35" i="60"/>
  <c r="D34" i="60"/>
  <c r="J8" i="14"/>
  <c r="D21" i="14"/>
  <c r="C12" i="71"/>
  <c r="D22" i="14"/>
  <c r="G12" i="71"/>
  <c r="E19" i="16"/>
  <c r="D20" i="16"/>
  <c r="F18" i="64"/>
  <c r="E11" i="16"/>
  <c r="H17" i="64"/>
  <c r="F10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36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E29" i="72"/>
  <c r="D29" i="72"/>
  <c r="J29" i="72" s="1"/>
  <c r="K29" i="72" s="1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E22" i="15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E20" i="29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N15" i="72"/>
  <c r="J32" i="64"/>
  <c r="L6" i="6"/>
  <c r="K20" i="19"/>
  <c r="K9" i="19"/>
  <c r="I15" i="72"/>
  <c r="H24" i="72"/>
  <c r="H31" i="72"/>
  <c r="E27" i="72"/>
  <c r="J31" i="64"/>
  <c r="E33" i="66"/>
  <c r="H22" i="70"/>
  <c r="I22" i="70" s="1"/>
  <c r="J25" i="70"/>
  <c r="K25" i="70" s="1"/>
  <c r="J29" i="71"/>
  <c r="J21" i="72"/>
  <c r="K21" i="72" s="1"/>
  <c r="J31" i="72"/>
  <c r="K31" i="72" s="1"/>
  <c r="K28" i="70"/>
  <c r="L7" i="23"/>
  <c r="J22" i="70"/>
  <c r="K22" i="70" s="1"/>
  <c r="D26" i="21"/>
  <c r="J10" i="21"/>
  <c r="C17" i="73"/>
  <c r="F17" i="73" s="1"/>
  <c r="J10" i="8"/>
  <c r="D26" i="19"/>
  <c r="J10" i="19"/>
  <c r="J26" i="71"/>
  <c r="L29" i="71"/>
  <c r="M29" i="71" s="1"/>
  <c r="J29" i="64"/>
  <c r="F25" i="19"/>
  <c r="L9" i="19" s="1"/>
  <c r="F18" i="72"/>
  <c r="L28" i="71"/>
  <c r="M28" i="71" s="1"/>
  <c r="H30" i="66"/>
  <c r="H21" i="70"/>
  <c r="J24" i="70"/>
  <c r="K24" i="70" s="1"/>
  <c r="L25" i="71"/>
  <c r="M25" i="71" s="1"/>
  <c r="J23" i="72"/>
  <c r="K23" i="72" s="1"/>
  <c r="K27" i="64"/>
  <c r="J21" i="70"/>
  <c r="K21" i="70" s="1"/>
  <c r="H28" i="72"/>
  <c r="D17" i="72"/>
  <c r="F22" i="15"/>
  <c r="L8" i="15" s="1"/>
  <c r="F16" i="71"/>
  <c r="L16" i="71" s="1"/>
  <c r="M16" i="71" s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G20" i="29" s="1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L27" i="70"/>
  <c r="K21" i="8"/>
  <c r="K10" i="8"/>
  <c r="L27" i="71"/>
  <c r="M27" i="71" s="1"/>
  <c r="N27" i="72"/>
  <c r="P26" i="71"/>
  <c r="K20" i="21"/>
  <c r="K10" i="21"/>
  <c r="G22" i="15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4" i="23" l="1"/>
  <c r="F17" i="52"/>
  <c r="F12" i="8"/>
  <c r="L6" i="23"/>
  <c r="M26" i="52"/>
  <c r="J5" i="23"/>
  <c r="M23" i="52"/>
  <c r="J4" i="23"/>
  <c r="M20" i="52"/>
  <c r="J5" i="19"/>
  <c r="C24" i="15"/>
  <c r="N18" i="7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G15" i="29" s="1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H32" i="61" s="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C32" i="61"/>
  <c r="I32" i="61"/>
  <c r="L6" i="22"/>
  <c r="M19" i="52"/>
  <c r="F32" i="60"/>
  <c r="F33" i="60" s="1"/>
  <c r="K4" i="23"/>
  <c r="F24" i="15"/>
  <c r="G32" i="60"/>
  <c r="L19" i="71"/>
  <c r="M19" i="71" s="1"/>
  <c r="E32" i="60"/>
  <c r="H32" i="60"/>
  <c r="H33" i="60" s="1"/>
  <c r="K5" i="23"/>
  <c r="J19" i="70"/>
  <c r="K19" i="70" s="1"/>
  <c r="G32" i="61"/>
  <c r="F32" i="61"/>
  <c r="L6" i="25"/>
  <c r="K5" i="8"/>
  <c r="L5" i="15"/>
  <c r="D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<sst xmlns="http://schemas.openxmlformats.org/spreadsheetml/2006/main" count="1293" uniqueCount="160">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</sst>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244800</v>
      </c>
      <c r="C3" s="9">
        <f>+HojaTICA!K4+HojaNICA!M4+HojaREVENTADO!K4+HojaPrimera!I4+HojaHonduras!K4+HojaDominicana!I4+HojaPANA!G4</f>
        <v>31800</v>
      </c>
      <c r="D3" s="9">
        <f>+HojaTICA!N4+HojaNICA!P4+HojaREVENTADO!O4+HojaPrimera!L4+HojaHonduras!N4+HojaDominicana!L4+HojaPANA!J4</f>
        <v>569250</v>
      </c>
      <c r="F3" s="10">
        <f t="shared" ref="F3:F27" si="0">+B3-C3-D3</f>
        <v>-356250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143650</v>
      </c>
      <c r="C4" s="9">
        <f>+HojaTICA!K5+HojaNICA!M5+HojaREVENTADO!K5+HojaPrimera!I5+HojaHonduras!K5+HojaDominicana!I5+HojaPANA!G5</f>
        <v>18700</v>
      </c>
      <c r="D4" s="9">
        <f>+HojaTICA!N5+HojaNICA!P5+HojaREVENTADO!O5+HojaPrimera!L5+HojaHonduras!N5+HojaDominicana!L5+HojaPANA!J5</f>
        <v>424000</v>
      </c>
      <c r="F4" s="14">
        <f t="shared" si="0"/>
        <v>-299050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369850</v>
      </c>
      <c r="C7" s="9">
        <f>+HojaTICA!K8+HojaNICA!M8+HojaREVENTADO!K8+HojaPrimera!I8+HojaHonduras!K8+HojaDominicana!I8+HojaPANA!G8</f>
        <v>44350</v>
      </c>
      <c r="D7" s="9">
        <f>+HojaTICA!N8+HojaNICA!P8+HojaREVENTADO!O8+HojaPrimera!L8+HojaHonduras!N8+HojaDominicana!L8+HojaPANA!J8</f>
        <v>475500</v>
      </c>
      <c r="F7" s="14">
        <f t="shared" si="0"/>
        <v>-150000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995650</v>
      </c>
      <c r="C9" s="9">
        <f>+HojaTICA!K10+HojaNICA!M10+HojaREVENTADO!K10+HojaPrimera!I10+HojaHonduras!K10+HojaDominicana!I10+HojaPANA!G10</f>
        <v>117550</v>
      </c>
      <c r="D9" s="9">
        <f>+HojaTICA!N10+HojaNICA!P10+HojaREVENTADO!O10+HojaPrimera!L10+HojaHonduras!N10+HojaDominicana!L10+HojaPANA!J10</f>
        <v>918000</v>
      </c>
      <c r="F9" s="14">
        <f t="shared" si="0"/>
        <v>-39900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16800</v>
      </c>
      <c r="C10" s="9">
        <f>+HojaTICA!K11+HojaNICA!M11+HojaREVENTADO!K11+HojaPrimera!I11+HojaHonduras!K11+HojaDominicana!I11+HojaPANA!G11</f>
        <v>2000</v>
      </c>
      <c r="D10" s="9">
        <f>+HojaTICA!N11+HojaNICA!P11+HojaREVENTADO!O11+HojaPrimera!L11+HojaHonduras!N11+HojaDominicana!L11+HojaPANA!J11</f>
        <v>59500</v>
      </c>
      <c r="F10" s="14">
        <f t="shared" si="0"/>
        <v>-44700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91050</v>
      </c>
      <c r="C11" s="9">
        <f>+HojaTICA!K12+HojaNICA!M12+HojaREVENTADO!K12+HojaPrimera!I12+HojaHonduras!K12+HojaDominicana!I12+HojaPANA!G12</f>
        <v>10900</v>
      </c>
      <c r="D11" s="9">
        <f>+HojaTICA!N12+HojaNICA!P12+HojaREVENTADO!O12+HojaPrimera!L12+HojaHonduras!N12+HojaDominicana!L12+HojaPANA!J12</f>
        <v>93500</v>
      </c>
      <c r="F11" s="14">
        <f t="shared" si="0"/>
        <v>-13350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162300</v>
      </c>
      <c r="C12" s="9">
        <f>+HojaTICA!K13+HojaNICA!M13+HojaREVENTADO!K13+HojaPrimera!I13+HojaHonduras!K13+HojaDominicana!I13+HojaPANA!G13</f>
        <v>19450</v>
      </c>
      <c r="D12" s="9">
        <f>+HojaTICA!N13+HojaNICA!P13+HojaREVENTADO!O13+HojaPrimera!L13+HojaHonduras!N13+HojaDominicana!L13+HojaPANA!J13</f>
        <v>195500</v>
      </c>
      <c r="F12" s="14">
        <f t="shared" si="0"/>
        <v>-52650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123400</v>
      </c>
      <c r="C13" s="9">
        <f>+HojaTICA!K14+HojaNICA!M14+HojaREVENTADO!K14+HojaPrimera!I14+HojaHonduras!K14+HojaDominicana!I14+HojaPANA!G14</f>
        <v>18500</v>
      </c>
      <c r="D13" s="9">
        <f>+HojaTICA!N14+HojaNICA!P14+HojaREVENTADO!O14+HojaPrimera!L14+HojaHonduras!N14+HojaDominicana!L14+HojaPANA!J14</f>
        <v>168000</v>
      </c>
      <c r="F13" s="14">
        <f t="shared" si="0"/>
        <v>-63100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159550</v>
      </c>
      <c r="C15" s="9">
        <f>+HojaTICA!K16+HojaNICA!M16+HojaREVENTADO!K16+HojaPrimera!I16+HojaHonduras!K16+HojaDominicana!I16+HojaPANA!G16</f>
        <v>18965</v>
      </c>
      <c r="D15" s="9">
        <f>+HojaTICA!N16+HojaNICA!P16+HojaREVENTADO!O16+HojaPrimera!L16+HojaHonduras!N16+HojaDominicana!L16+HojaPANA!J16</f>
        <v>554500</v>
      </c>
      <c r="F15" s="14">
        <f t="shared" si="0"/>
        <v>-413915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1103300</v>
      </c>
      <c r="C16" s="9">
        <f>+HojaTICA!K17+HojaNICA!M17+HojaREVENTADO!K17+HojaPrimera!I17+HojaHonduras!K17+HojaDominicana!I17+HojaPANA!G17</f>
        <v>131240</v>
      </c>
      <c r="D16" s="9">
        <f>+HojaTICA!N17+HojaNICA!P17+HojaREVENTADO!O17+HojaPrimera!L17+HojaHonduras!N17+HojaDominicana!L17+HojaPANA!J17</f>
        <v>1486750</v>
      </c>
      <c r="F16" s="14">
        <f t="shared" si="0"/>
        <v>-514690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409950</v>
      </c>
      <c r="C17" s="9">
        <f>+HojaTICA!K18+HojaNICA!M18+HojaREVENTADO!K18+HojaPrimera!I18+HojaHonduras!K18+HojaDominicana!I18+HojaPANA!G18</f>
        <v>48390</v>
      </c>
      <c r="D17" s="9">
        <f>+HojaTICA!N18+HojaNICA!P18+HojaREVENTADO!O18+HojaPrimera!L18+HojaHonduras!N18+HojaDominicana!L18+HojaPANA!J18</f>
        <v>643750</v>
      </c>
      <c r="F17" s="14">
        <f t="shared" si="0"/>
        <v>-282190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-21522</v>
      </c>
      <c r="C26" s="9">
        <f>+HojaTICA!K27+HojaNICA!M27+HojaREVENTADO!K27+HojaPrimera!I27+HojaHonduras!K27+HojaDominicana!I27+HojaPANA!G27</f>
        <v>-2600</v>
      </c>
      <c r="D26" s="9">
        <f>+HojaTICA!N27+HojaNICA!P27+HojaREVENTADO!O27+HojaPrimera!L27+HojaHonduras!N27+HojaDominicana!L27+HojaPANA!J27</f>
        <v>-86870</v>
      </c>
      <c r="F26" s="14">
        <f t="shared" si="0"/>
        <v>67948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3798778</v>
      </c>
      <c r="C28" s="17">
        <f t="shared" si="1"/>
        <v>459245</v>
      </c>
      <c r="D28" s="18">
        <f t="shared" si="1"/>
        <v>5501380</v>
      </c>
      <c r="F28" s="20">
        <f>SUM(F3:F27)</f>
        <v>-2161847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159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83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75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62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21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60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57</v>
      </c>
      <c r="C19" s="132">
        <v>38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29</v>
      </c>
      <c r="C20" s="163">
        <v>30</v>
      </c>
      <c r="D20" s="166">
        <v>55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32</v>
      </c>
      <c r="C21" s="164">
        <v>17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83</v>
      </c>
      <c r="D2" s="268"/>
      <c r="E2" s="267">
        <f>DigitaTICA!E2</f>
        <v>75</v>
      </c>
      <c r="F2" s="268"/>
      <c r="G2" s="267">
        <f>DigitaTICA!G2</f>
        <v>21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65500</v>
      </c>
      <c r="D4" s="30">
        <f>IF(Vendedor1!$E$7="",0,Vendedor1!$E$7)</f>
        <v>250</v>
      </c>
      <c r="E4" s="180">
        <f>IF(Vendedor1!$C$11="",0,Vendedor1!$C$11)</f>
        <v>30600</v>
      </c>
      <c r="F4" s="30">
        <f>IF(Vendedor1!$E$11="",0,Vendedor1!$E$11)</f>
        <v>200</v>
      </c>
      <c r="G4" s="180">
        <f>IF(Vendedor1!$C$15="",0,Vendedor1!$C$15)</f>
        <v>64850</v>
      </c>
      <c r="H4" s="30">
        <f>IF(Vendedor1!$E$15="",0,Vendedor1!$E$15)</f>
        <v>3000</v>
      </c>
      <c r="J4" s="42">
        <f t="shared" ref="J4:J7" si="0">+C4+E4+G4</f>
        <v>160950</v>
      </c>
      <c r="K4" s="41">
        <f>MROUND(J4*Vendedor1!J$9,50)</f>
        <v>20900</v>
      </c>
      <c r="L4" s="42">
        <f t="shared" ref="L4:L7" si="1">+D4+F4+H4</f>
        <v>3450</v>
      </c>
      <c r="M4" s="42">
        <f t="shared" ref="M4:M7" si="2">+L4*85</f>
        <v>293250</v>
      </c>
      <c r="N4" s="42">
        <f>Vendedor1!$F$7+Vendedor1!$F$11+Vendedor1!$F$15</f>
        <v>293250</v>
      </c>
      <c r="P4" s="42">
        <f t="shared" ref="P4:P7" si="3">+J4-K4-N4</f>
        <v>-153200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39250</v>
      </c>
      <c r="D5" s="30">
        <f>IF(Vendedor2!$E$7="",0,Vendedor2!$E$7)</f>
        <v>0</v>
      </c>
      <c r="E5" s="180">
        <f>IF(Vendedor2!$C$11="",0,Vendedor2!$C$11)</f>
        <v>28100</v>
      </c>
      <c r="F5" s="30">
        <f>IF(Vendedor2!$E$11="",0,Vendedor2!$E$11)</f>
        <v>500</v>
      </c>
      <c r="G5" s="180">
        <f>IF(Vendedor2!$C$15="",0,Vendedor2!$C$15)</f>
        <v>61000</v>
      </c>
      <c r="H5" s="30">
        <f>IF(Vendedor2!$E$15="",0,Vendedor2!$E$15)</f>
        <v>4300</v>
      </c>
      <c r="J5" s="42">
        <f t="shared" si="0"/>
        <v>128350</v>
      </c>
      <c r="K5" s="41">
        <f>MROUND(J5*Vendedor2!J$9,50)</f>
        <v>16700</v>
      </c>
      <c r="L5" s="42">
        <f t="shared" si="1"/>
        <v>4800</v>
      </c>
      <c r="M5" s="42">
        <f t="shared" si="2"/>
        <v>408000</v>
      </c>
      <c r="N5" s="42">
        <f>Vendedor2!$F$7+Vendedor2!$F$11+Vendedor2!$F$15</f>
        <v>408000</v>
      </c>
      <c r="P5" s="42">
        <f t="shared" si="3"/>
        <v>-296350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58250</v>
      </c>
      <c r="D8" s="30">
        <f>IF(Vendedor5!$E$7="",0,Vendedor5!$E$7)</f>
        <v>500</v>
      </c>
      <c r="E8" s="180">
        <f>IF(Vendedor5!$C$11="",0,Vendedor5!$C$11)</f>
        <v>46350</v>
      </c>
      <c r="F8" s="30">
        <f>IF(Vendedor5!$E$11="",0,Vendedor5!$E$11)</f>
        <v>1600</v>
      </c>
      <c r="G8" s="180">
        <f>IF(Vendedor5!$C$15="",0,Vendedor5!$C$15)</f>
        <v>60550</v>
      </c>
      <c r="H8" s="30">
        <f>IF(Vendedor5!$E$15="",0,Vendedor5!$E$15)</f>
        <v>1000</v>
      </c>
      <c r="J8" s="42">
        <f t="shared" ref="J8" si="4">+C8+E8+G8</f>
        <v>165150</v>
      </c>
      <c r="K8" s="41">
        <f>MROUND(J8*Vendedor5!J$11,50)</f>
        <v>19800</v>
      </c>
      <c r="L8" s="42">
        <f t="shared" ref="L8" si="5">+D8+F8+H8</f>
        <v>3100</v>
      </c>
      <c r="M8" s="42">
        <f t="shared" ref="M8" si="6">+L8*85</f>
        <v>263500</v>
      </c>
      <c r="N8" s="42">
        <f>Vendedor5!$F$7+Vendedor5!$F$11+Vendedor5!$F$15</f>
        <v>263500</v>
      </c>
      <c r="P8" s="42">
        <f t="shared" ref="P8" si="7">+J8-K8-N8</f>
        <v>-118150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183600</v>
      </c>
      <c r="D10" s="30">
        <f>IF(Vendedor7!$E$7="",0,Vendedor7!$E$7)</f>
        <v>150</v>
      </c>
      <c r="E10" s="180">
        <f>IF(Vendedor7!$C$11="",0,Vendedor7!$C$11)</f>
        <v>133550</v>
      </c>
      <c r="F10" s="30">
        <f>IF(Vendedor7!$E$11="",0,Vendedor7!$E$11)</f>
        <v>750</v>
      </c>
      <c r="G10" s="180">
        <f>IF(Vendedor7!$C$15="",0,Vendedor7!$C$15)</f>
        <v>148450</v>
      </c>
      <c r="H10" s="30">
        <f>IF(Vendedor7!$E$15="",0,Vendedor7!$E$15)</f>
        <v>3350</v>
      </c>
      <c r="J10" s="42">
        <f t="shared" si="8"/>
        <v>465600</v>
      </c>
      <c r="K10" s="41">
        <f>MROUND(J10*Vendedor7!J$14,50)</f>
        <v>55850</v>
      </c>
      <c r="L10" s="42">
        <f t="shared" si="9"/>
        <v>4250</v>
      </c>
      <c r="M10" s="42">
        <f t="shared" si="10"/>
        <v>361250</v>
      </c>
      <c r="N10" s="42">
        <f>Vendedor7!$F$7+Vendedor7!$F$11+Vendedor7!$F$15</f>
        <v>361250</v>
      </c>
      <c r="P10" s="42">
        <f t="shared" si="11"/>
        <v>48500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12800</v>
      </c>
      <c r="H11" s="30">
        <f>IF(Vendedor8!$E$15="",0,Vendedor8!$E$15)</f>
        <v>700</v>
      </c>
      <c r="J11" s="42">
        <f t="shared" si="8"/>
        <v>16800</v>
      </c>
      <c r="K11" s="41">
        <f>MROUND(J11*Vendedor8!J$11,50)</f>
        <v>2000</v>
      </c>
      <c r="L11" s="42">
        <f t="shared" si="9"/>
        <v>700</v>
      </c>
      <c r="M11" s="42">
        <f t="shared" si="10"/>
        <v>59500</v>
      </c>
      <c r="N11" s="42">
        <f>Vendedor8!$F$7+Vendedor8!$F$11+Vendedor8!$F$15</f>
        <v>59500</v>
      </c>
      <c r="P11" s="42">
        <f t="shared" si="11"/>
        <v>-44700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12200</v>
      </c>
      <c r="D12" s="30">
        <f>IF(Vendedor9!$E$7="",0,Vendedor9!$E$7)</f>
        <v>300</v>
      </c>
      <c r="E12" s="180">
        <f>IF(Vendedor9!$C$11="",0,Vendedor9!$C$11)</f>
        <v>18400</v>
      </c>
      <c r="F12" s="30">
        <f>IF(Vendedor9!$E$11="",0,Vendedor9!$E$11)</f>
        <v>0</v>
      </c>
      <c r="G12" s="180">
        <f>IF(Vendedor9!$C$15="",0,Vendedor9!$C$15)</f>
        <v>23250</v>
      </c>
      <c r="H12" s="30">
        <f>IF(Vendedor9!$E$15="",0,Vendedor9!$E$15)</f>
        <v>500</v>
      </c>
      <c r="J12" s="42">
        <f t="shared" si="8"/>
        <v>53850</v>
      </c>
      <c r="K12" s="41">
        <f>MROUND(J12*Vendedor9!J$11,50)</f>
        <v>6450</v>
      </c>
      <c r="L12" s="42">
        <f t="shared" si="9"/>
        <v>800</v>
      </c>
      <c r="M12" s="42">
        <f t="shared" si="10"/>
        <v>68000</v>
      </c>
      <c r="N12" s="42">
        <f>Vendedor9!$F$7+Vendedor9!$F$11+Vendedor9!$F$15</f>
        <v>68000</v>
      </c>
      <c r="P12" s="42">
        <f t="shared" si="11"/>
        <v>-20600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36700</v>
      </c>
      <c r="D13" s="30">
        <f>IF(Vendedor10!$E$7="",0,Vendedor10!$E$7)</f>
        <v>0</v>
      </c>
      <c r="E13" s="180">
        <f>IF(Vendedor10!$C$11="",0,Vendedor10!$C$11)</f>
        <v>28400</v>
      </c>
      <c r="F13" s="30">
        <f>IF(Vendedor10!$E$11="",0,Vendedor10!$E$11)</f>
        <v>0</v>
      </c>
      <c r="G13" s="180">
        <f>IF(Vendedor10!$C$15="",0,Vendedor10!$C$15)</f>
        <v>50900</v>
      </c>
      <c r="H13" s="30">
        <f>IF(Vendedor10!$E$15="",0,Vendedor10!$E$15)</f>
        <v>2300</v>
      </c>
      <c r="J13" s="42">
        <f t="shared" si="8"/>
        <v>116000</v>
      </c>
      <c r="K13" s="41">
        <f>MROUND(J13*Vendedor10!J$9,50)</f>
        <v>13900</v>
      </c>
      <c r="L13" s="42">
        <f t="shared" si="9"/>
        <v>2300</v>
      </c>
      <c r="M13" s="42">
        <f t="shared" si="10"/>
        <v>195500</v>
      </c>
      <c r="N13" s="42">
        <f>Vendedor10!$F$7+Vendedor10!$F$11+Vendedor10!$F$15</f>
        <v>195500</v>
      </c>
      <c r="P13" s="42">
        <f t="shared" si="11"/>
        <v>-93400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52500</v>
      </c>
      <c r="D14" s="30">
        <f>IF(Vendedor11!$E$7="",0,Vendedor11!$E$7)</f>
        <v>300</v>
      </c>
      <c r="E14" s="180">
        <f>IF(Vendedor11!$C$11="",0,Vendedor11!$C$11)</f>
        <v>29300</v>
      </c>
      <c r="F14" s="30">
        <f>IF(Vendedor11!$E$11="",0,Vendedor11!$E$11)</f>
        <v>300</v>
      </c>
      <c r="G14" s="180">
        <f>IF(Vendedor11!$C$15="",0,Vendedor11!$C$15)</f>
        <v>41600</v>
      </c>
      <c r="H14" s="30">
        <f>IF(Vendedor11!$E$15="",0,Vendedor11!$E$15)</f>
        <v>1500</v>
      </c>
      <c r="J14" s="42">
        <f t="shared" si="8"/>
        <v>123400</v>
      </c>
      <c r="K14" s="41">
        <f>MROUND(J14*Vendedor11!J$9,50)</f>
        <v>18500</v>
      </c>
      <c r="L14" s="42">
        <f t="shared" si="9"/>
        <v>2100</v>
      </c>
      <c r="M14" s="42">
        <f t="shared" si="10"/>
        <v>178500</v>
      </c>
      <c r="N14" s="42">
        <f>Vendedor11!$F$7+Vendedor11!$F$11+Vendedor11!$F$15</f>
        <v>168000</v>
      </c>
      <c r="P14" s="42">
        <f t="shared" si="11"/>
        <v>-63100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37400</v>
      </c>
      <c r="D16" s="30">
        <f>IF(Vendedor13!$E$7="",0,Vendedor13!$E$7)</f>
        <v>200</v>
      </c>
      <c r="E16" s="180">
        <f>IF(Vendedor13!$C$11="",0,Vendedor13!$C$11)</f>
        <v>18700</v>
      </c>
      <c r="F16" s="30">
        <f>IF(Vendedor13!$E$11="",0,Vendedor13!$E$11)</f>
        <v>0</v>
      </c>
      <c r="G16" s="180">
        <f>IF(Vendedor13!$C$15="",0,Vendedor13!$C$15)</f>
        <v>30750</v>
      </c>
      <c r="H16" s="30">
        <f>IF(Vendedor13!$E$15="",0,Vendedor13!$E$15)</f>
        <v>3500</v>
      </c>
      <c r="J16" s="42">
        <f t="shared" si="8"/>
        <v>86850</v>
      </c>
      <c r="K16" s="41">
        <f>MROUND(J16*Vendedor13!J$11,50)</f>
        <v>10400</v>
      </c>
      <c r="L16" s="42">
        <f t="shared" si="9"/>
        <v>3700</v>
      </c>
      <c r="M16" s="42">
        <f t="shared" si="10"/>
        <v>314500</v>
      </c>
      <c r="N16" s="42">
        <f>Vendedor13!$F$7+Vendedor13!$F$11+Vendedor13!$F$15</f>
        <v>314500</v>
      </c>
      <c r="P16" s="42">
        <f t="shared" si="11"/>
        <v>-238050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158450</v>
      </c>
      <c r="D17" s="30">
        <f>IF(Vendedor14!$E$7="",0,Vendedor14!$E$7)</f>
        <v>0</v>
      </c>
      <c r="E17" s="180">
        <f>IF(Vendedor14!$C$11="",0,Vendedor14!$C$11)</f>
        <v>92550</v>
      </c>
      <c r="F17" s="30">
        <f>IF(Vendedor14!$E$11="",0,Vendedor14!$E$11)</f>
        <v>1600</v>
      </c>
      <c r="G17" s="180">
        <f>IF(Vendedor14!$C$15="",0,Vendedor14!$C$15)</f>
        <v>175800</v>
      </c>
      <c r="H17" s="30">
        <f>IF(Vendedor14!$E$15="",0,Vendedor14!$E$15)</f>
        <v>6700</v>
      </c>
      <c r="J17" s="42">
        <f t="shared" si="8"/>
        <v>426800</v>
      </c>
      <c r="K17" s="41">
        <f>MROUND(J17*Vendedor14!J$15,50)</f>
        <v>51200</v>
      </c>
      <c r="L17" s="42">
        <f t="shared" si="9"/>
        <v>8300</v>
      </c>
      <c r="M17" s="42">
        <f t="shared" si="10"/>
        <v>705500</v>
      </c>
      <c r="N17" s="42">
        <f>Vendedor14!$F$7+Vendedor14!$F$11+Vendedor14!$F$15</f>
        <v>705500</v>
      </c>
      <c r="P17" s="42">
        <f t="shared" si="11"/>
        <v>-329900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66450</v>
      </c>
      <c r="D18" s="30">
        <f>IF(Vendedor15!$E$7="",0,Vendedor15!$E$7)</f>
        <v>0</v>
      </c>
      <c r="E18" s="180">
        <f>IF(Vendedor15!$C$11="",0,Vendedor15!$C$11)</f>
        <v>29650</v>
      </c>
      <c r="F18" s="30">
        <f>IF(Vendedor15!$E$11="",0,Vendedor15!$E$11)</f>
        <v>50</v>
      </c>
      <c r="G18" s="180">
        <f>IF(Vendedor15!$C$15="",0,Vendedor15!$C$15)</f>
        <v>58250</v>
      </c>
      <c r="H18" s="30">
        <f>IF(Vendedor15!$E$15="",0,Vendedor15!$E$15)</f>
        <v>2550</v>
      </c>
      <c r="J18" s="42">
        <f t="shared" ref="J18" si="12">+C18+E18+G18</f>
        <v>154350</v>
      </c>
      <c r="K18" s="41">
        <f>MROUND(J18*Vendedor15!J$15,50)</f>
        <v>18500</v>
      </c>
      <c r="L18" s="42">
        <f t="shared" ref="L18" si="13">+D18+F18+H18</f>
        <v>2600</v>
      </c>
      <c r="M18" s="42">
        <f t="shared" ref="M18" si="14">+L18*85</f>
        <v>221000</v>
      </c>
      <c r="N18" s="42">
        <f>Vendedor15!$F$7+Vendedor15!$F$11+Vendedor15!$F$15</f>
        <v>221000</v>
      </c>
      <c r="P18" s="42">
        <f t="shared" ref="P18" si="15">+J18-K18-N18</f>
        <v>-85150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-272</v>
      </c>
      <c r="H27" s="50">
        <f>IF(Vendedor24!$E$15="",0,Vendedor24!$E$15)</f>
        <v>-272</v>
      </c>
      <c r="J27" s="42">
        <f t="shared" si="8"/>
        <v>-272</v>
      </c>
      <c r="K27" s="41">
        <f>IF(J27*Vendedor24!J$9&gt;0,MROUND(J27*Vendedor24!J$9,50),MROUND(J27*Vendedor24!J$9,-50))</f>
        <v>-50</v>
      </c>
      <c r="L27" s="42">
        <f t="shared" si="9"/>
        <v>-272</v>
      </c>
      <c r="M27" s="42">
        <f t="shared" si="10"/>
        <v>-23120</v>
      </c>
      <c r="N27" s="42">
        <f>Vendedor24!$F$7+Vendedor24!$F$11+Vendedor24!$F$15</f>
        <v>-23120</v>
      </c>
      <c r="P27" s="42">
        <f t="shared" si="11"/>
        <v>22898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714300</v>
      </c>
      <c r="D32" s="44">
        <f t="shared" si="16"/>
        <v>1700</v>
      </c>
      <c r="E32" s="43">
        <f t="shared" si="16"/>
        <v>455600</v>
      </c>
      <c r="F32" s="44">
        <f t="shared" si="16"/>
        <v>5000</v>
      </c>
      <c r="G32" s="43">
        <f t="shared" si="16"/>
        <v>727928</v>
      </c>
      <c r="H32" s="44">
        <f t="shared" si="16"/>
        <v>29128</v>
      </c>
      <c r="J32" s="95">
        <f>SUM(J4:J31)</f>
        <v>1897828</v>
      </c>
      <c r="K32" s="45">
        <f>SUM(K7:K31)</f>
        <v>196550</v>
      </c>
      <c r="L32" s="95">
        <f>SUM(L4:L31)</f>
        <v>35828</v>
      </c>
      <c r="M32" s="95">
        <f>SUM(M4:M31)</f>
        <v>3045380</v>
      </c>
      <c r="N32" s="95">
        <f>SUM(N4:N31)</f>
        <v>3034880</v>
      </c>
      <c r="P32" s="79">
        <f>SUM(P4:P31)</f>
        <v>-1371202</v>
      </c>
    </row>
    <row r="33" spans="3:13" x14ac:dyDescent="0.35">
      <c r="D33" s="99">
        <f>+D32*85</f>
        <v>144500</v>
      </c>
      <c r="F33" s="99">
        <f>+F32*85</f>
        <v>425000</v>
      </c>
      <c r="H33" s="99">
        <f>+H32*85</f>
        <v>2475880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1897828</v>
      </c>
      <c r="E36" s="43">
        <f>+D36-J4-J5-J6</f>
        <v>1608528</v>
      </c>
      <c r="G36" s="101"/>
    </row>
    <row r="37" spans="3:13" x14ac:dyDescent="0.35">
      <c r="C37" s="47" t="s">
        <v>33</v>
      </c>
      <c r="D37" s="48">
        <f>D36*13%</f>
        <v>246717.64</v>
      </c>
      <c r="E37">
        <f>+D37-K4-K5-K6</f>
        <v>209117.64</v>
      </c>
      <c r="G37" s="100"/>
      <c r="H37" s="100"/>
    </row>
    <row r="38" spans="3:13" ht="15" thickBot="1" x14ac:dyDescent="0.4">
      <c r="C38" s="47" t="s">
        <v>30</v>
      </c>
      <c r="D38" s="30">
        <f>M32</f>
        <v>3045380</v>
      </c>
      <c r="G38" s="100"/>
      <c r="H38" s="100"/>
    </row>
    <row r="39" spans="3:13" ht="15" thickBot="1" x14ac:dyDescent="0.4">
      <c r="C39" s="49" t="s">
        <v>4</v>
      </c>
      <c r="D39" s="80">
        <f>+D36-D37-D38</f>
        <v>-1394269.6400000001</v>
      </c>
      <c r="F39" s="98">
        <f>+P32-D39</f>
        <v>23067.64000000013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-1394269.6400000001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05</v>
      </c>
      <c r="D2" s="268"/>
      <c r="E2" s="267">
        <f>DigitaNICA!E2</f>
        <v>35</v>
      </c>
      <c r="F2" s="268"/>
      <c r="G2" s="267">
        <f>DigitaNICA!G2</f>
        <v>62</v>
      </c>
      <c r="H2" s="268"/>
      <c r="I2" s="267">
        <f>DigitaNICA!I2</f>
        <v>60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44200</v>
      </c>
      <c r="D4" s="78">
        <f>IF(Vendedor1!$E$5="",0,Vendedor1!$E$5)</f>
        <v>1600</v>
      </c>
      <c r="E4" s="189">
        <f>IF(Vendedor1!$C$9="",0,Vendedor1!$C$9)</f>
        <v>27100</v>
      </c>
      <c r="F4" s="78">
        <f>IF(Vendedor1!$E$9="",0,Vendedor1!$E$9)</f>
        <v>1000</v>
      </c>
      <c r="G4" s="189">
        <f>IF(Vendedor1!$C$13="",0,Vendedor1!$C$13)</f>
        <v>2400</v>
      </c>
      <c r="H4" s="78">
        <f>IF(Vendedor1!$E$13="",0,Vendedor1!$E$13)</f>
        <v>0</v>
      </c>
      <c r="I4" s="189">
        <f>IF(Vendedor1!$C$17="",0,Vendedor1!$C$17)</f>
        <v>2800</v>
      </c>
      <c r="J4" s="78">
        <f>IF(Vendedor1!$E$17="",0,Vendedor1!$E$17)</f>
        <v>400</v>
      </c>
      <c r="L4" s="42">
        <f t="shared" ref="L4:L7" si="0">C4+E4+G4+I4</f>
        <v>76500</v>
      </c>
      <c r="M4" s="41">
        <f>MROUND(L4*Vendedor1!J$10,50)</f>
        <v>9950</v>
      </c>
      <c r="N4" s="42">
        <f t="shared" ref="N4:N7" si="1">D4+F4+H4+J4</f>
        <v>3000</v>
      </c>
      <c r="O4" s="41">
        <f>IFERROR(N4*85,0)</f>
        <v>255000</v>
      </c>
      <c r="P4" s="42">
        <f>Vendedor1!$F$5+Vendedor1!$F$9+Vendedor1!$F$13+Vendedor1!$F$17</f>
        <v>240000</v>
      </c>
      <c r="R4" s="41">
        <f t="shared" ref="R4:R7" si="2">+L4-M4-O4</f>
        <v>-188450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11100</v>
      </c>
      <c r="D5" s="30">
        <f>IF(Vendedor2!$E$5="",0,Vendedor2!$E$5)</f>
        <v>0</v>
      </c>
      <c r="E5" s="180">
        <f>IF(Vendedor2!$C$9="",0,Vendedor2!$C$9)</f>
        <v>1100</v>
      </c>
      <c r="F5" s="30">
        <f>IF(Vendedor2!$E$9="",0,Vendedor2!$E$9)</f>
        <v>200</v>
      </c>
      <c r="G5" s="180">
        <f>IF(Vendedor2!$C$13="",0,Vendedor2!$C$13)</f>
        <v>2700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14900</v>
      </c>
      <c r="M5" s="41">
        <f>MROUND(L5*Vendedor2!J$10,50)</f>
        <v>1950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-4050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41800</v>
      </c>
      <c r="D8" s="30">
        <f>IF(Vendedor5!$E$5="",0,Vendedor5!$E$5)</f>
        <v>1950</v>
      </c>
      <c r="E8" s="180">
        <f>IF(Vendedor5!$C$9="",0,Vendedor5!$C$9)</f>
        <v>42400</v>
      </c>
      <c r="F8" s="30">
        <f>IF(Vendedor5!$E$9="",0,Vendedor5!$E$9)</f>
        <v>200</v>
      </c>
      <c r="G8" s="180">
        <f>IF(Vendedor5!$C$13="",0,Vendedor5!$C$13)</f>
        <v>17650</v>
      </c>
      <c r="H8" s="30">
        <f>IF(Vendedor5!$E$13="",0,Vendedor5!$E$13)</f>
        <v>0</v>
      </c>
      <c r="I8" s="180">
        <f>IF(Vendedor5!$C$17="",0,Vendedor5!$C$17)</f>
        <v>59800</v>
      </c>
      <c r="J8" s="30">
        <f>IF(Vendedor5!$E$17="",0,Vendedor5!$E$17)</f>
        <v>0</v>
      </c>
      <c r="L8" s="42">
        <f t="shared" ref="L8" si="4">C8+E8+G8+I8</f>
        <v>161650</v>
      </c>
      <c r="M8" s="41">
        <f>MROUND(L8*Vendedor5!J$12,50)</f>
        <v>19400</v>
      </c>
      <c r="N8" s="42">
        <f t="shared" ref="N8" si="5">D8+F8+H8+J8</f>
        <v>2150</v>
      </c>
      <c r="O8" s="41">
        <f t="shared" si="3"/>
        <v>182750</v>
      </c>
      <c r="P8" s="42">
        <f>Vendedor5!$F$5+Vendedor5!$F$9+Vendedor5!$F$13+Vendedor5!$F$17</f>
        <v>172000</v>
      </c>
      <c r="Q8">
        <v>17</v>
      </c>
      <c r="R8" s="41">
        <f t="shared" ref="R8" si="6">+L8-M8-O8</f>
        <v>-40500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76900</v>
      </c>
      <c r="D10" s="30">
        <f>IF(Vendedor7!$E$5="",0,Vendedor7!$E$5)</f>
        <v>4900</v>
      </c>
      <c r="E10" s="180">
        <f>IF(Vendedor7!$C$9="",0,Vendedor7!$C$9)</f>
        <v>52000</v>
      </c>
      <c r="F10" s="30">
        <f>IF(Vendedor7!$E$9="",0,Vendedor7!$E$9)</f>
        <v>1000</v>
      </c>
      <c r="G10" s="180">
        <f>IF(Vendedor7!$C$13="",0,Vendedor7!$C$13)</f>
        <v>61800</v>
      </c>
      <c r="H10" s="30">
        <f>IF(Vendedor7!$E$13="",0,Vendedor7!$E$13)</f>
        <v>0</v>
      </c>
      <c r="I10" s="180">
        <f>IF(Vendedor7!$C$17="",0,Vendedor7!$C$17)</f>
        <v>108300</v>
      </c>
      <c r="J10" s="30">
        <f>IF(Vendedor7!$E$17="",0,Vendedor7!$E$17)</f>
        <v>650</v>
      </c>
      <c r="L10" s="42">
        <f t="shared" si="7"/>
        <v>299000</v>
      </c>
      <c r="M10" s="41">
        <f>MROUND(L10*Vendedor7!J$15,50)</f>
        <v>35900</v>
      </c>
      <c r="N10" s="42">
        <f t="shared" ref="N10:N27" si="9">D10+F10+H10+J10</f>
        <v>6550</v>
      </c>
      <c r="O10" s="41">
        <f t="shared" si="3"/>
        <v>556750</v>
      </c>
      <c r="P10" s="42">
        <f>Vendedor7!$F$5+Vendedor7!$F$9+Vendedor7!$F$13+Vendedor7!$F$17</f>
        <v>556750</v>
      </c>
      <c r="R10" s="41">
        <f t="shared" si="8"/>
        <v>-293650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15500</v>
      </c>
      <c r="D12" s="30">
        <f>IF(Vendedor9!$E$5="",0,Vendedor9!$E$5)</f>
        <v>100</v>
      </c>
      <c r="E12" s="180">
        <f>IF(Vendedor9!$C$9="",0,Vendedor9!$C$9)</f>
        <v>2500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18000</v>
      </c>
      <c r="M12" s="41">
        <f>MROUND(L12*Vendedor9!J$12,50)</f>
        <v>2150</v>
      </c>
      <c r="N12" s="42">
        <f t="shared" si="9"/>
        <v>100</v>
      </c>
      <c r="O12" s="41">
        <f t="shared" si="3"/>
        <v>8500</v>
      </c>
      <c r="P12" s="42">
        <f>Vendedor9!$F$5+Vendedor9!$F$9+Vendedor9!$F$13+Vendedor9!$F$17</f>
        <v>8500</v>
      </c>
      <c r="R12" s="41">
        <f t="shared" si="8"/>
        <v>7350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10750</v>
      </c>
      <c r="D13" s="30">
        <f>IF(Vendedor10!$E$5="",0,Vendedor10!$E$5)</f>
        <v>0</v>
      </c>
      <c r="E13" s="180">
        <f>IF(Vendedor10!$C$9="",0,Vendedor10!$C$9)</f>
        <v>26750</v>
      </c>
      <c r="F13" s="30">
        <f>IF(Vendedor10!$E$9="",0,Vendedor10!$E$9)</f>
        <v>0</v>
      </c>
      <c r="G13" s="180">
        <f>IF(Vendedor10!$C$13="",0,Vendedor10!$C$13)</f>
        <v>7800</v>
      </c>
      <c r="H13" s="30">
        <f>IF(Vendedor10!$E$13="",0,Vendedor10!$E$13)</f>
        <v>0</v>
      </c>
      <c r="I13" s="180">
        <f>IF(Vendedor10!$C$17="",0,Vendedor10!$C$17)</f>
        <v>1000</v>
      </c>
      <c r="J13" s="30">
        <f>IF(Vendedor10!$E$17="",0,Vendedor10!$E$17)</f>
        <v>0</v>
      </c>
      <c r="L13" s="42">
        <f t="shared" si="7"/>
        <v>46300</v>
      </c>
      <c r="M13" s="41">
        <f>MROUND(L13*Vendedor10!J$10,50)</f>
        <v>5550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40750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16950</v>
      </c>
      <c r="D16" s="30">
        <f>IF(Vendedor13!$E$5="",0,Vendedor13!$E$5)</f>
        <v>500</v>
      </c>
      <c r="E16" s="180">
        <f>IF(Vendedor13!$C$9="",0,Vendedor13!$C$9)</f>
        <v>14000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17500</v>
      </c>
      <c r="J16" s="30">
        <f>IF(Vendedor13!$E$17="",0,Vendedor13!$E$17)</f>
        <v>0</v>
      </c>
      <c r="L16" s="42">
        <f t="shared" si="7"/>
        <v>48450</v>
      </c>
      <c r="M16" s="41">
        <f>MROUND(L16*Vendedor13!J$12,50)</f>
        <v>5800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150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92800</v>
      </c>
      <c r="D17" s="30">
        <f>IF(Vendedor14!$E$5="",0,Vendedor14!$E$5)</f>
        <v>4950</v>
      </c>
      <c r="E17" s="180">
        <f>IF(Vendedor14!$C$9="",0,Vendedor14!$C$9)</f>
        <v>84400</v>
      </c>
      <c r="F17" s="30">
        <f>IF(Vendedor14!$E$9="",0,Vendedor14!$E$9)</f>
        <v>250</v>
      </c>
      <c r="G17" s="180">
        <f>IF(Vendedor14!$C$13="",0,Vendedor14!$C$13)</f>
        <v>65650</v>
      </c>
      <c r="H17" s="30">
        <f>IF(Vendedor14!$E$13="",0,Vendedor14!$E$13)</f>
        <v>500</v>
      </c>
      <c r="I17" s="180">
        <f>IF(Vendedor14!$C$17="",0,Vendedor14!$C$17)</f>
        <v>195550</v>
      </c>
      <c r="J17" s="30">
        <f>IF(Vendedor14!$E$17="",0,Vendedor14!$E$17)</f>
        <v>1750</v>
      </c>
      <c r="L17" s="42">
        <f>C17+E17+G17+I17</f>
        <v>438400</v>
      </c>
      <c r="M17" s="41">
        <f>MROUND(L17*Vendedor14!J$16,50)</f>
        <v>52600</v>
      </c>
      <c r="N17" s="42">
        <f t="shared" si="9"/>
        <v>7450</v>
      </c>
      <c r="O17" s="41">
        <f t="shared" si="3"/>
        <v>633250</v>
      </c>
      <c r="P17" s="42">
        <f>Vendedor14!$F$5+Vendedor14!$F$9+Vendedor14!$F$13+Vendedor14!$F$17</f>
        <v>633250</v>
      </c>
      <c r="R17" s="41">
        <f t="shared" si="8"/>
        <v>-247450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63200</v>
      </c>
      <c r="D18" s="30">
        <f>IF(Vendedor15!$E$5="",0,Vendedor15!$E$5)</f>
        <v>2450</v>
      </c>
      <c r="E18" s="180">
        <f>IF(Vendedor15!$C$9="",0,Vendedor15!$C$9)</f>
        <v>28850</v>
      </c>
      <c r="F18" s="30">
        <f>IF(Vendedor15!$E$9="",0,Vendedor15!$E$9)</f>
        <v>1200</v>
      </c>
      <c r="G18" s="180">
        <f>IF(Vendedor15!$C$13="",0,Vendedor15!$C$13)</f>
        <v>19500</v>
      </c>
      <c r="H18" s="30">
        <f>IF(Vendedor15!$E$13="",0,Vendedor15!$E$13)</f>
        <v>0</v>
      </c>
      <c r="I18" s="180">
        <f>IF(Vendedor15!$C$17="",0,Vendedor15!$C$17)</f>
        <v>18500</v>
      </c>
      <c r="J18" s="30">
        <f>IF(Vendedor15!$E$17="",0,Vendedor15!$E$17)</f>
        <v>500</v>
      </c>
      <c r="L18" s="42">
        <f t="shared" ref="L18:L27" si="10">C18+E18+G18+I18</f>
        <v>130050</v>
      </c>
      <c r="M18" s="41">
        <f>MROUND(L18*Vendedor15!J$16,50)</f>
        <v>15600</v>
      </c>
      <c r="N18" s="42">
        <f t="shared" si="9"/>
        <v>4150</v>
      </c>
      <c r="O18" s="41">
        <f t="shared" si="3"/>
        <v>352750</v>
      </c>
      <c r="P18" s="42">
        <f>Vendedor15!$F$5+Vendedor15!$F$9+Vendedor15!$F$13+Vendedor15!$F$17</f>
        <v>352750</v>
      </c>
      <c r="R18" s="41">
        <f t="shared" si="8"/>
        <v>-238300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-5250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-5250</v>
      </c>
      <c r="M27" s="41">
        <f>IF((L27*Vendedor24!J$10)&lt;0,MROUND(L27*Vendedor24!J$10,-50),MROUND(L27*Vendedor24!J$10,50))</f>
        <v>-650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-4600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367950</v>
      </c>
      <c r="D32" s="44">
        <f t="shared" si="14"/>
        <v>16450</v>
      </c>
      <c r="E32" s="43">
        <f t="shared" si="14"/>
        <v>279100</v>
      </c>
      <c r="F32" s="44">
        <f t="shared" si="14"/>
        <v>3850</v>
      </c>
      <c r="G32" s="43">
        <f t="shared" si="14"/>
        <v>177500</v>
      </c>
      <c r="H32" s="44">
        <f t="shared" si="14"/>
        <v>500</v>
      </c>
      <c r="I32" s="43">
        <f t="shared" si="14"/>
        <v>403450</v>
      </c>
      <c r="J32" s="44">
        <f t="shared" si="14"/>
        <v>3300</v>
      </c>
      <c r="L32" s="45">
        <f>SUM(L4:L31)</f>
        <v>1228000</v>
      </c>
      <c r="M32" s="45">
        <f>SUM(M7:M31)</f>
        <v>136350</v>
      </c>
      <c r="N32" s="95">
        <f>SUM(N4:N31)</f>
        <v>24100</v>
      </c>
      <c r="O32" s="46">
        <f>SUM(O4:O31)</f>
        <v>2048500</v>
      </c>
      <c r="P32" s="140">
        <f>SUM(P4:P31)</f>
        <v>2019250</v>
      </c>
      <c r="R32" s="79">
        <f>SUM(R4:R31)</f>
        <v>-968750</v>
      </c>
    </row>
    <row r="33" spans="3:15" x14ac:dyDescent="0.35">
      <c r="D33" s="120">
        <f>+D32*85</f>
        <v>1398250</v>
      </c>
      <c r="F33" s="120">
        <f>+F32*85</f>
        <v>327250</v>
      </c>
      <c r="H33" s="120">
        <f>+H32*85</f>
        <v>42500</v>
      </c>
      <c r="J33" s="120">
        <f>+J32*85</f>
        <v>280500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1228000</v>
      </c>
      <c r="E36" s="43">
        <f>+D36-L4-L5-L6</f>
        <v>1136600</v>
      </c>
    </row>
    <row r="37" spans="3:15" x14ac:dyDescent="0.35">
      <c r="C37" s="47" t="s">
        <v>33</v>
      </c>
      <c r="D37" s="48">
        <f>D36*13%</f>
        <v>159640</v>
      </c>
      <c r="E37">
        <f>+D37-M4-M5-M6</f>
        <v>147740</v>
      </c>
    </row>
    <row r="38" spans="3:15" x14ac:dyDescent="0.35">
      <c r="C38" s="47" t="s">
        <v>30</v>
      </c>
      <c r="D38" s="30">
        <f>SUM(O4:O27)</f>
        <v>2048500</v>
      </c>
      <c r="G38" s="100"/>
    </row>
    <row r="39" spans="3:15" ht="15" thickBot="1" x14ac:dyDescent="0.4">
      <c r="C39" s="49" t="s">
        <v>4</v>
      </c>
      <c r="D39" s="80">
        <f>+D36-D37-D38</f>
        <v>-980140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-980140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83 Blanca</v>
      </c>
      <c r="D2" s="268"/>
      <c r="E2" s="267" t="str">
        <f>IF(E33=0,"",CONCATENATE(PREMIOS!$B11," ",PREMIOS!$B12))</f>
        <v>75 Roja</v>
      </c>
      <c r="F2" s="268"/>
      <c r="G2" s="267" t="str">
        <f>IF(G33=0,"",CONCATENATE(PREMIOS!$B15," ",PREMIOS!$B16))</f>
        <v>21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31100</v>
      </c>
      <c r="D10" s="30">
        <f>IF(Vendedor7!$E$8="",0,Vendedor7!$E$8)</f>
        <v>0</v>
      </c>
      <c r="E10" s="180">
        <f>IF(Vendedor7!$C$12="",0,Vendedor7!$C$12)</f>
        <v>33500</v>
      </c>
      <c r="F10" s="30">
        <f>IF(Vendedor7!$E$12="",0,Vendedor7!$E$12)</f>
        <v>0</v>
      </c>
      <c r="G10" s="180">
        <f>IF(Vendedor7!$C$16="",0,Vendedor7!$C$16)</f>
        <v>32400</v>
      </c>
      <c r="H10" s="30">
        <f>IF(Vendedor7!$E$16="",0,Vendedor7!$E$16)</f>
        <v>0</v>
      </c>
      <c r="J10" s="42">
        <f t="shared" si="1"/>
        <v>97000</v>
      </c>
      <c r="K10" s="41">
        <f>J10*Vendedor7!J$16</f>
        <v>9700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87300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4900</v>
      </c>
      <c r="D16" s="30">
        <f>IF(Vendedor13!$E$8="",0,Vendedor13!$E$8)</f>
        <v>0</v>
      </c>
      <c r="E16" s="180">
        <f>IF(Vendedor13!$C$12="",0,Vendedor13!$C$12)</f>
        <v>1100</v>
      </c>
      <c r="F16" s="30">
        <f>IF(Vendedor13!$E$12="",0,Vendedor13!$E$12)</f>
        <v>0</v>
      </c>
      <c r="G16" s="180">
        <f>IF(Vendedor13!$C$16="",0,Vendedor13!$C$16)</f>
        <v>2650</v>
      </c>
      <c r="H16" s="30">
        <f>IF(Vendedor13!$E$16="",0,Vendedor13!$E$16)</f>
        <v>1000</v>
      </c>
      <c r="J16" s="42">
        <f t="shared" si="1"/>
        <v>8650</v>
      </c>
      <c r="K16" s="41">
        <f>J16*Vendedor13!J$13</f>
        <v>865</v>
      </c>
      <c r="L16" s="42">
        <f t="shared" si="2"/>
        <v>1000</v>
      </c>
      <c r="M16" s="42">
        <f t="shared" si="3"/>
        <v>1000</v>
      </c>
      <c r="N16" s="42">
        <f t="shared" si="0"/>
        <v>220000</v>
      </c>
      <c r="O16" s="42">
        <f>Vendedor13!$F$8+Vendedor13!$F$12+Vendedor13!$F$16</f>
        <v>200000</v>
      </c>
      <c r="Q16" s="42">
        <f t="shared" si="4"/>
        <v>-192215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28750</v>
      </c>
      <c r="D17" s="30">
        <f>IF(Vendedor14!$E$8="",0,Vendedor14!$E$8)</f>
        <v>0</v>
      </c>
      <c r="E17" s="180">
        <f>IF(Vendedor14!$C$12="",0,Vendedor14!$C$12)</f>
        <v>10600</v>
      </c>
      <c r="F17" s="30">
        <f>IF(Vendedor14!$E$12="",0,Vendedor14!$E$12)</f>
        <v>400</v>
      </c>
      <c r="G17" s="180">
        <f>IF(Vendedor14!$C$16="",0,Vendedor14!$C$16)</f>
        <v>18050</v>
      </c>
      <c r="H17" s="30">
        <f>IF(Vendedor14!$E$16="",0,Vendedor14!$E$16)</f>
        <v>0</v>
      </c>
      <c r="J17" s="42">
        <f t="shared" si="1"/>
        <v>57400</v>
      </c>
      <c r="K17" s="41">
        <f>J17*Vendedor14!J$17</f>
        <v>5740</v>
      </c>
      <c r="L17" s="42">
        <f t="shared" si="2"/>
        <v>400</v>
      </c>
      <c r="M17" s="42">
        <f t="shared" si="3"/>
        <v>400</v>
      </c>
      <c r="N17" s="42">
        <f t="shared" si="0"/>
        <v>88000</v>
      </c>
      <c r="O17" s="42">
        <f>Vendedor14!$F$8+Vendedor14!$F$12+Vendedor14!$F$16</f>
        <v>80000</v>
      </c>
      <c r="Q17" s="42">
        <f t="shared" si="4"/>
        <v>-28340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15800</v>
      </c>
      <c r="D18" s="30">
        <f>IF(Vendedor15!$E$8="",0,Vendedor15!$E$8)</f>
        <v>0</v>
      </c>
      <c r="E18" s="180">
        <f>IF(Vendedor15!$C$12="",0,Vendedor15!$C$12)</f>
        <v>10550</v>
      </c>
      <c r="F18" s="30">
        <f>IF(Vendedor15!$E$12="",0,Vendedor15!$E$12)</f>
        <v>50</v>
      </c>
      <c r="G18" s="180">
        <f>IF(Vendedor15!$C$16="",0,Vendedor15!$C$16)</f>
        <v>11050</v>
      </c>
      <c r="H18" s="30">
        <f>IF(Vendedor15!$E$16="",0,Vendedor15!$E$16)</f>
        <v>300</v>
      </c>
      <c r="J18" s="42">
        <f t="shared" ref="J18" si="5">+C18+E18+G18</f>
        <v>37400</v>
      </c>
      <c r="K18" s="41">
        <f>J18*Vendedor15!J$17</f>
        <v>3740</v>
      </c>
      <c r="L18" s="42">
        <f t="shared" si="2"/>
        <v>350</v>
      </c>
      <c r="M18" s="42">
        <f t="shared" si="3"/>
        <v>350</v>
      </c>
      <c r="N18" s="42">
        <f t="shared" si="0"/>
        <v>77000</v>
      </c>
      <c r="O18" s="42">
        <f>Vendedor15!$F$8+Vendedor15!$F$12+Vendedor15!$F$16</f>
        <v>70000</v>
      </c>
      <c r="Q18" s="42">
        <f t="shared" si="4"/>
        <v>-36340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80550</v>
      </c>
      <c r="D33" s="44">
        <f>IF(PREMIOS!E8&lt;&gt;0,SUM(D4:D32),0)</f>
        <v>0</v>
      </c>
      <c r="E33" s="43">
        <f>SUM(E4:E32)</f>
        <v>55750</v>
      </c>
      <c r="F33" s="44">
        <f>IF(PREMIOS!E12&lt;&gt;0,SUM(F4:F32),0)</f>
        <v>450</v>
      </c>
      <c r="G33" s="43">
        <f>SUM(G4:G32)</f>
        <v>64150</v>
      </c>
      <c r="H33" s="44">
        <f>IF(PREMIOS!E16&lt;&gt;0,SUM(H4:H32),0)</f>
        <v>1300</v>
      </c>
      <c r="J33" s="45">
        <f>SUM(J4:J32)</f>
        <v>200450</v>
      </c>
      <c r="K33" s="45">
        <f>SUM(K7:K32)</f>
        <v>20045</v>
      </c>
      <c r="L33" s="95">
        <f>SUM(L7:L32)</f>
        <v>1750</v>
      </c>
      <c r="M33" s="95">
        <f>SUM(M7:M32)</f>
        <v>1750</v>
      </c>
      <c r="N33" s="95">
        <f>SUM(N4:N27)</f>
        <v>385000</v>
      </c>
      <c r="O33" s="95">
        <f>SUM(O4:O27)</f>
        <v>350000</v>
      </c>
      <c r="Q33" s="79">
        <f>SUM(Q4:Q32)</f>
        <v>-169595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99000</v>
      </c>
      <c r="H34" s="118">
        <f>IF(PREMIOS!$D16=PREMIOS!$J$10,H33*$G$38,IF(PREMIOS!$D16=PREMIOS!$J$11,H33*$F$38,IF(PREMIOS!$D16=PREMIOS!$J$12,0,"")))</f>
        <v>286000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200450</v>
      </c>
      <c r="E37" s="43">
        <f>+D37-J4-J5-J6</f>
        <v>200450</v>
      </c>
      <c r="F37" s="275"/>
      <c r="G37" s="275"/>
    </row>
    <row r="38" spans="3:17" ht="15" thickBot="1" x14ac:dyDescent="0.4">
      <c r="C38" s="47" t="s">
        <v>33</v>
      </c>
      <c r="D38" s="30">
        <f>D37*10%</f>
        <v>20045</v>
      </c>
      <c r="E38" s="43">
        <f>+D38-K4-K5-K6</f>
        <v>20045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385000</v>
      </c>
    </row>
    <row r="40" spans="3:17" ht="15" thickBot="1" x14ac:dyDescent="0.4">
      <c r="C40" s="49" t="s">
        <v>4</v>
      </c>
      <c r="D40" s="80">
        <f>+D37-D38-D39</f>
        <v>-204595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-204595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57</v>
      </c>
      <c r="D2" s="268"/>
      <c r="E2" s="267">
        <f>DigitaPRIMERA!E2</f>
        <v>38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6150</v>
      </c>
      <c r="D4" s="78">
        <f>IF(Vendedor1!$E$19="",0,Vendedor1!$E$19)</f>
        <v>200</v>
      </c>
      <c r="E4" s="189">
        <f>IF(Vendedor1!$C$20="",0,Vendedor1!$C$20)</f>
        <v>1200</v>
      </c>
      <c r="F4" s="78">
        <f>IF(Vendedor1!$E$20="",0,Vendedor1!$E$20)</f>
        <v>250</v>
      </c>
      <c r="H4" s="42">
        <f>+C4+E4</f>
        <v>7350</v>
      </c>
      <c r="I4" s="41">
        <f>MROUND(H4*Vendedor1!J$9,50)</f>
        <v>950</v>
      </c>
      <c r="J4" s="42">
        <f>+D4+F4</f>
        <v>450</v>
      </c>
      <c r="K4" s="42">
        <f>+J4*85</f>
        <v>38250</v>
      </c>
      <c r="L4" s="42">
        <f>Vendedor1!$F$19+Vendedor1!$F$20</f>
        <v>36000</v>
      </c>
      <c r="N4" s="42">
        <f t="shared" ref="N4:N31" si="0">+H4-I4-L4</f>
        <v>-29600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400</v>
      </c>
      <c r="I5" s="41">
        <f>MROUND(H5*Vendedor2!J$9,50)</f>
        <v>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28250</v>
      </c>
      <c r="D8" s="30">
        <f>IF(Vendedor5!$E$19="",0,Vendedor5!$E$19)</f>
        <v>0</v>
      </c>
      <c r="E8" s="180">
        <f>IF(Vendedor5!$C$20="",0,Vendedor5!$C$20)</f>
        <v>14800</v>
      </c>
      <c r="F8" s="30">
        <f>IF(Vendedor5!$E$20="",0,Vendedor5!$E$20)</f>
        <v>500</v>
      </c>
      <c r="H8" s="133">
        <f t="shared" si="1"/>
        <v>43050</v>
      </c>
      <c r="I8" s="148">
        <f>MROUND(H8*Vendedor5!J$11,50)</f>
        <v>5150</v>
      </c>
      <c r="J8" s="133">
        <f t="shared" si="2"/>
        <v>500</v>
      </c>
      <c r="K8" s="133">
        <f t="shared" si="3"/>
        <v>42500</v>
      </c>
      <c r="L8" s="133">
        <f>Vendedor5!$F$19+Vendedor5!$F$20</f>
        <v>40000</v>
      </c>
      <c r="M8" s="155"/>
      <c r="N8" s="133">
        <f t="shared" si="0"/>
        <v>-2100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19100</v>
      </c>
      <c r="D10" s="30">
        <f>IF(Vendedor7!$E$19="",0,Vendedor7!$E$19)</f>
        <v>0</v>
      </c>
      <c r="E10" s="180">
        <f>IF(Vendedor7!$C$20="",0,Vendedor7!$C$20)</f>
        <v>17900</v>
      </c>
      <c r="F10" s="30">
        <f>IF(Vendedor7!$E$20="",0,Vendedor7!$E$20)</f>
        <v>0</v>
      </c>
      <c r="H10" s="42">
        <f t="shared" si="1"/>
        <v>37000</v>
      </c>
      <c r="I10" s="41">
        <f>MROUND(H10*Vendedor7!J$14,50)</f>
        <v>4450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32550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19200</v>
      </c>
      <c r="D12" s="30">
        <f>IF(Vendedor9!$E$19="",0,Vendedor9!$E$19)</f>
        <v>200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19200</v>
      </c>
      <c r="I12" s="148">
        <f>MROUND(H12*Vendedor9!J$11,50)</f>
        <v>2300</v>
      </c>
      <c r="J12" s="133">
        <f t="shared" si="2"/>
        <v>200</v>
      </c>
      <c r="K12" s="133">
        <f t="shared" si="3"/>
        <v>17000</v>
      </c>
      <c r="L12" s="133">
        <f>Vendedor9!$F$19+Vendedor9!$F$20</f>
        <v>17000</v>
      </c>
      <c r="M12" s="155"/>
      <c r="N12" s="133">
        <f t="shared" si="0"/>
        <v>-100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3700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3700</v>
      </c>
      <c r="I16" s="148">
        <f>MROUND(H16*Vendedor13!J$11,50)</f>
        <v>450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3250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86600</v>
      </c>
      <c r="D17" s="30">
        <f>IF(Vendedor14!$E$19="",0,Vendedor14!$E$19)</f>
        <v>100</v>
      </c>
      <c r="E17" s="180">
        <f>IF(Vendedor14!$C$20="",0,Vendedor14!$C$20)</f>
        <v>25300</v>
      </c>
      <c r="F17" s="30">
        <f>IF(Vendedor14!$E$20="",0,Vendedor14!$E$20)</f>
        <v>450</v>
      </c>
      <c r="H17" s="42">
        <f t="shared" si="1"/>
        <v>111900</v>
      </c>
      <c r="I17" s="41">
        <f>MROUND(H17*Vendedor14!J$15,50)</f>
        <v>13450</v>
      </c>
      <c r="J17" s="42">
        <f t="shared" si="2"/>
        <v>550</v>
      </c>
      <c r="K17" s="42">
        <f t="shared" si="3"/>
        <v>46750</v>
      </c>
      <c r="L17" s="42">
        <f>Vendedor14!$F$19+Vendedor14!$F$20</f>
        <v>46750</v>
      </c>
      <c r="N17" s="42">
        <f t="shared" si="0"/>
        <v>51700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32700</v>
      </c>
      <c r="D18" s="30">
        <f>IF(Vendedor15!$E$19="",0,Vendedor15!$E$19)</f>
        <v>0</v>
      </c>
      <c r="E18" s="180">
        <f>IF(Vendedor15!$C$20="",0,Vendedor15!$C$20)</f>
        <v>22500</v>
      </c>
      <c r="F18" s="30">
        <f>IF(Vendedor15!$E$20="",0,Vendedor15!$E$20)</f>
        <v>0</v>
      </c>
      <c r="H18" s="42">
        <f t="shared" si="1"/>
        <v>55200</v>
      </c>
      <c r="I18" s="41">
        <f>MROUND(H18*Vendedor15!J$15,50)</f>
        <v>6600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48600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-16000</v>
      </c>
      <c r="F27" s="50">
        <f>IF(Vendedor24!$E$20="",0,Vendedor24!$E$20)</f>
        <v>-750</v>
      </c>
      <c r="H27" s="42">
        <f t="shared" si="1"/>
        <v>-16000</v>
      </c>
      <c r="I27" s="41">
        <f>IF(H27*Vendedor24!J$9&gt;0,MROUND(H27*Vendedor24!J$9,50),MROUND(H27*Vendedor24!J$9,-50))</f>
        <v>-1900</v>
      </c>
      <c r="J27" s="42">
        <f t="shared" si="2"/>
        <v>-750</v>
      </c>
      <c r="K27" s="42">
        <f t="shared" si="3"/>
        <v>-63750</v>
      </c>
      <c r="L27" s="42">
        <f>Vendedor24!$F$19+Vendedor24!$F$20</f>
        <v>-63750</v>
      </c>
      <c r="N27" s="42">
        <f t="shared" si="0"/>
        <v>49650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196100</v>
      </c>
      <c r="D32" s="44">
        <f>SUM(D4:D31)</f>
        <v>500</v>
      </c>
      <c r="E32" s="43">
        <f>SUM(E4:E31)</f>
        <v>65700</v>
      </c>
      <c r="F32" s="44">
        <f>SUM(F4:F31)</f>
        <v>450</v>
      </c>
      <c r="H32" s="95">
        <f>SUM(H4:H31)</f>
        <v>261800</v>
      </c>
      <c r="I32" s="45">
        <f>SUM(I7:I31)</f>
        <v>30500</v>
      </c>
      <c r="J32" s="95"/>
      <c r="K32" s="95">
        <f>SUM(K4:K31)</f>
        <v>80750</v>
      </c>
      <c r="L32" s="95">
        <f>SUM(L4:L31)</f>
        <v>76000</v>
      </c>
      <c r="N32" s="79">
        <f>SUM(N4:N31)</f>
        <v>154300</v>
      </c>
    </row>
    <row r="33" spans="3:6" x14ac:dyDescent="0.35">
      <c r="D33" s="99">
        <f>+D32*85</f>
        <v>42500</v>
      </c>
      <c r="F33" s="99">
        <f>+F32*85</f>
        <v>38250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261800</v>
      </c>
      <c r="E36" s="43">
        <f>+D36-H4-H5-H6</f>
        <v>254050</v>
      </c>
    </row>
    <row r="37" spans="3:6" x14ac:dyDescent="0.35">
      <c r="C37" s="47" t="s">
        <v>33</v>
      </c>
      <c r="D37" s="48">
        <f>D36*13%</f>
        <v>34034</v>
      </c>
      <c r="E37">
        <f>+D37-I4-I5-I6</f>
        <v>33034</v>
      </c>
    </row>
    <row r="38" spans="3:6" ht="15" thickBot="1" x14ac:dyDescent="0.4">
      <c r="C38" s="47" t="s">
        <v>30</v>
      </c>
      <c r="D38" s="30">
        <f>SUM(K4:K27)</f>
        <v>80750</v>
      </c>
    </row>
    <row r="39" spans="3:6" ht="15" thickBot="1" x14ac:dyDescent="0.4">
      <c r="C39" s="49" t="s">
        <v>4</v>
      </c>
      <c r="D39" s="80">
        <f>+D36-D37-D38</f>
        <v>147016</v>
      </c>
      <c r="F39" s="98">
        <f>+N32-D39</f>
        <v>7284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147016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29</v>
      </c>
      <c r="D2" s="268"/>
      <c r="E2" s="267">
        <f>DigitaHONDURAS!E2</f>
        <v>30</v>
      </c>
      <c r="F2" s="268"/>
      <c r="G2" s="267">
        <f>DigitaHONDURAS!G2</f>
        <v>55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0</v>
      </c>
      <c r="D10" s="30">
        <f>IF(Vendedor7!$E$21="",0,Vendedor7!$E$21)</f>
        <v>0</v>
      </c>
      <c r="E10" s="180">
        <f>IF(Vendedor7!$C$22="",0,Vendedor7!$C$22)</f>
        <v>300</v>
      </c>
      <c r="F10" s="30">
        <f>IF(Vendedor7!$E$22="",0,Vendedor7!$E$22)</f>
        <v>0</v>
      </c>
      <c r="G10" s="180">
        <f>IF(Vendedor7!$C$23="",0,Vendedor7!$C$23)</f>
        <v>1750</v>
      </c>
      <c r="H10" s="30">
        <f>IF(Vendedor7!$E$23="",0,Vendedor7!$E$23)</f>
        <v>0</v>
      </c>
      <c r="J10" s="42">
        <f t="shared" si="0"/>
        <v>2050</v>
      </c>
      <c r="K10" s="41">
        <f>MROUND(J10*Vendedor7!J$14,50)</f>
        <v>250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1800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4400</v>
      </c>
      <c r="D16" s="30">
        <f>IF(Vendedor13!$E$21="",0,Vendedor13!$E$21)</f>
        <v>0</v>
      </c>
      <c r="E16" s="180">
        <f>IF(Vendedor13!$C$22="",0,Vendedor13!$C$22)</f>
        <v>2800</v>
      </c>
      <c r="F16" s="30">
        <f>IF(Vendedor13!$E$22="",0,Vendedor13!$E$22)</f>
        <v>100</v>
      </c>
      <c r="G16" s="180">
        <f>IF(Vendedor13!$C$23="",0,Vendedor13!$C$23)</f>
        <v>4700</v>
      </c>
      <c r="H16" s="30">
        <f>IF(Vendedor13!$E$23="",0,Vendedor13!$E$23)</f>
        <v>0</v>
      </c>
      <c r="J16" s="133">
        <f t="shared" si="0"/>
        <v>11900</v>
      </c>
      <c r="K16" s="148">
        <f>MROUND(J16*Vendedor13!J$11,50)</f>
        <v>1450</v>
      </c>
      <c r="L16" s="133">
        <f t="shared" si="1"/>
        <v>100</v>
      </c>
      <c r="M16" s="133">
        <f t="shared" si="3"/>
        <v>8500</v>
      </c>
      <c r="N16" s="133"/>
      <c r="P16" s="42">
        <f t="shared" si="2"/>
        <v>10450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46400</v>
      </c>
      <c r="D17" s="30">
        <f>IF(Vendedor14!$E$21="",0,Vendedor14!$E$21)</f>
        <v>50</v>
      </c>
      <c r="E17" s="180">
        <f>IF(Vendedor14!$C$22="",0,Vendedor14!$C$22)</f>
        <v>7200</v>
      </c>
      <c r="F17" s="30">
        <f>IF(Vendedor14!$E$22="",0,Vendedor14!$E$22)</f>
        <v>200</v>
      </c>
      <c r="G17" s="180">
        <f>IF(Vendedor14!$C$23="",0,Vendedor14!$C$23)</f>
        <v>15200</v>
      </c>
      <c r="H17" s="30">
        <f>IF(Vendedor14!$E$23="",0,Vendedor14!$E$23)</f>
        <v>0</v>
      </c>
      <c r="J17" s="42">
        <f t="shared" si="0"/>
        <v>68800</v>
      </c>
      <c r="K17" s="41">
        <f>MROUND(J17*Vendedor14!J$15,50)</f>
        <v>8250</v>
      </c>
      <c r="L17" s="42">
        <f t="shared" si="1"/>
        <v>250</v>
      </c>
      <c r="M17" s="42">
        <f t="shared" si="3"/>
        <v>21250</v>
      </c>
      <c r="N17" s="42">
        <f>Vendedor14!$F$21+Vendedor14!$F$22+Vendedor14!$F$23</f>
        <v>21250</v>
      </c>
      <c r="P17" s="42">
        <f t="shared" si="2"/>
        <v>39300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15600</v>
      </c>
      <c r="D18" s="30">
        <f>IF(Vendedor15!$E$21="",0,Vendedor15!$E$21)</f>
        <v>0</v>
      </c>
      <c r="E18" s="180">
        <f>IF(Vendedor15!$C$22="",0,Vendedor15!$C$22)</f>
        <v>4000</v>
      </c>
      <c r="F18" s="30">
        <f>IF(Vendedor15!$E$22="",0,Vendedor15!$E$22)</f>
        <v>0</v>
      </c>
      <c r="G18" s="180">
        <f>IF(Vendedor15!$C$23="",0,Vendedor15!$C$23)</f>
        <v>13350</v>
      </c>
      <c r="H18" s="30">
        <f>IF(Vendedor15!$E$23="",0,Vendedor15!$E$23)</f>
        <v>0</v>
      </c>
      <c r="J18" s="42">
        <f t="shared" si="0"/>
        <v>32950</v>
      </c>
      <c r="K18" s="41">
        <f>MROUND(J18*Vendedor15!J$15,50)</f>
        <v>3950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29000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66400</v>
      </c>
      <c r="D32" s="44">
        <f t="shared" si="8"/>
        <v>50</v>
      </c>
      <c r="E32" s="43">
        <f t="shared" si="8"/>
        <v>14300</v>
      </c>
      <c r="F32" s="44">
        <f t="shared" si="8"/>
        <v>300</v>
      </c>
      <c r="G32" s="43">
        <f t="shared" si="8"/>
        <v>35000</v>
      </c>
      <c r="H32" s="44">
        <f t="shared" si="8"/>
        <v>0</v>
      </c>
      <c r="J32" s="95">
        <f>SUM(J4:J31)</f>
        <v>115700</v>
      </c>
      <c r="K32" s="45">
        <f>SUM(K7:K31)</f>
        <v>13900</v>
      </c>
      <c r="L32" s="95"/>
      <c r="M32" s="95">
        <f>SUM(M4:M31)</f>
        <v>29750</v>
      </c>
      <c r="N32" s="95">
        <f>SUM(N4:N31)</f>
        <v>21250</v>
      </c>
      <c r="P32" s="79">
        <f>SUM(P4:P31)</f>
        <v>80550</v>
      </c>
    </row>
    <row r="33" spans="3:8" x14ac:dyDescent="0.35">
      <c r="D33" s="99">
        <f>+D32*85</f>
        <v>4250</v>
      </c>
      <c r="F33" s="99">
        <f>+F32*85</f>
        <v>25500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115700</v>
      </c>
      <c r="E36" s="43">
        <f>+D36-J4-J5-J6</f>
        <v>115700</v>
      </c>
    </row>
    <row r="37" spans="3:8" x14ac:dyDescent="0.35">
      <c r="C37" s="47" t="s">
        <v>33</v>
      </c>
      <c r="D37" s="48">
        <f>D36*13%</f>
        <v>15041</v>
      </c>
      <c r="E37">
        <f>+D37-K4-K5-K6</f>
        <v>15041</v>
      </c>
    </row>
    <row r="38" spans="3:8" ht="15" thickBot="1" x14ac:dyDescent="0.4">
      <c r="C38" s="47" t="s">
        <v>30</v>
      </c>
      <c r="D38" s="30">
        <f>SUM(M4:M27)</f>
        <v>29750</v>
      </c>
      <c r="G38" s="100"/>
    </row>
    <row r="39" spans="3:8" ht="15" thickBot="1" x14ac:dyDescent="0.4">
      <c r="C39" s="49" t="s">
        <v>4</v>
      </c>
      <c r="D39" s="80">
        <f>+D36-D37-D38</f>
        <v>70909</v>
      </c>
      <c r="F39" s="98">
        <f>+P32-D39</f>
        <v>9641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70909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32</v>
      </c>
      <c r="D2" s="268"/>
      <c r="E2" s="267">
        <f>DigitaDOMINICANA!E2</f>
        <v>17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44500</v>
      </c>
      <c r="D10" s="30">
        <f>IF(Vendedor7!$E$24="",0,Vendedor7!$E$24)</f>
        <v>0</v>
      </c>
      <c r="E10" s="180">
        <f>IF(Vendedor7!$C$25="",0,Vendedor7!$C$25)</f>
        <v>50500</v>
      </c>
      <c r="F10" s="30">
        <f>IF(Vendedor7!$E$25="",0,Vendedor7!$E$25)</f>
        <v>0</v>
      </c>
      <c r="H10" s="42">
        <f t="shared" si="1"/>
        <v>95000</v>
      </c>
      <c r="I10" s="41">
        <f>MROUND(H10*Vendedor7!J$14,50)</f>
        <v>11400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83600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44500</v>
      </c>
      <c r="D32" s="44">
        <f>SUM(D4:D31)</f>
        <v>0</v>
      </c>
      <c r="E32" s="43">
        <f>SUM(E4:E31)</f>
        <v>50500</v>
      </c>
      <c r="F32" s="44">
        <f>SUM(F4:F31)</f>
        <v>0</v>
      </c>
      <c r="H32" s="95">
        <f>SUM(H4:H31)</f>
        <v>95000</v>
      </c>
      <c r="I32" s="45">
        <f>SUM(I7:I31)</f>
        <v>11400</v>
      </c>
      <c r="J32" s="95"/>
      <c r="K32" s="95">
        <f>SUM(K4:K31)</f>
        <v>0</v>
      </c>
      <c r="L32" s="95">
        <f>SUM(L4:L31)</f>
        <v>0</v>
      </c>
      <c r="N32" s="79">
        <f>SUM(N4:N31)</f>
        <v>83600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95000</v>
      </c>
      <c r="E36" s="43">
        <f>+D36-H4-H5-H6</f>
        <v>95000</v>
      </c>
    </row>
    <row r="37" spans="3:6" x14ac:dyDescent="0.35">
      <c r="C37" s="47" t="s">
        <v>33</v>
      </c>
      <c r="D37" s="48">
        <f>D36*13%</f>
        <v>12350</v>
      </c>
      <c r="E37">
        <f>+D37-I4-I5-I6</f>
        <v>12350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82650</v>
      </c>
      <c r="F39" s="98">
        <f>+N32-D39</f>
        <v>950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82650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22-05-2026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1136600</v>
      </c>
      <c r="C4" s="157">
        <f>HojaNICA!M32</f>
        <v>136350</v>
      </c>
      <c r="D4" s="150">
        <f>HojaNICA!E37</f>
        <v>147740</v>
      </c>
      <c r="E4" s="150">
        <f>HojaNICA!P32</f>
        <v>2019250</v>
      </c>
      <c r="F4" s="150">
        <f>HojaNICA!O32</f>
        <v>2048500</v>
      </c>
      <c r="G4" s="151">
        <f t="shared" ref="G4:G10" si="0">+D4-C4+F4-E4</f>
        <v>40640</v>
      </c>
      <c r="H4" s="21"/>
      <c r="I4" s="182"/>
    </row>
    <row r="5" spans="1:9" x14ac:dyDescent="0.35">
      <c r="A5" s="28" t="s">
        <v>19</v>
      </c>
      <c r="B5" s="156">
        <f>HojaTICA!$E$36</f>
        <v>1608528</v>
      </c>
      <c r="C5" s="157">
        <f>HojaTICA!K32</f>
        <v>196550</v>
      </c>
      <c r="D5" s="150">
        <f>HojaTICA!E37</f>
        <v>209117.64</v>
      </c>
      <c r="E5" s="150">
        <f>HojaTICA!N32</f>
        <v>3034880</v>
      </c>
      <c r="F5" s="150">
        <f>HojaTICA!D38</f>
        <v>3045380</v>
      </c>
      <c r="G5" s="151">
        <f t="shared" si="0"/>
        <v>23067.64000000013</v>
      </c>
      <c r="H5" s="21"/>
      <c r="I5" s="182"/>
    </row>
    <row r="6" spans="1:9" x14ac:dyDescent="0.35">
      <c r="A6" s="28" t="s">
        <v>125</v>
      </c>
      <c r="B6" s="156">
        <f>HojaREVENTADO!$E$37</f>
        <v>200450</v>
      </c>
      <c r="C6" s="157">
        <f>HojaREVENTADO!K33</f>
        <v>20045</v>
      </c>
      <c r="D6" s="150">
        <f>HojaREVENTADO!E38</f>
        <v>20045</v>
      </c>
      <c r="E6" s="150">
        <f>HojaREVENTADO!O33</f>
        <v>350000</v>
      </c>
      <c r="F6" s="150">
        <f>HojaREVENTADO!N33</f>
        <v>385000</v>
      </c>
      <c r="G6" s="151">
        <f t="shared" si="0"/>
        <v>35000</v>
      </c>
      <c r="H6" s="21"/>
      <c r="I6" s="182"/>
    </row>
    <row r="7" spans="1:9" x14ac:dyDescent="0.35">
      <c r="A7" s="28" t="s">
        <v>96</v>
      </c>
      <c r="B7" s="156">
        <f>HojaPrimera!$E$36</f>
        <v>254050</v>
      </c>
      <c r="C7" s="157">
        <f>HojaPrimera!I32</f>
        <v>30500</v>
      </c>
      <c r="D7" s="150">
        <f>HojaPrimera!E37</f>
        <v>33034</v>
      </c>
      <c r="E7" s="150">
        <f>HojaPrimera!L32</f>
        <v>76000</v>
      </c>
      <c r="F7" s="150">
        <f>HojaPrimera!K32</f>
        <v>80750</v>
      </c>
      <c r="G7" s="151">
        <f t="shared" si="0"/>
        <v>7284</v>
      </c>
      <c r="H7" s="21"/>
      <c r="I7" s="21"/>
    </row>
    <row r="8" spans="1:9" x14ac:dyDescent="0.35">
      <c r="A8" s="28" t="s">
        <v>104</v>
      </c>
      <c r="B8" s="156">
        <f>HojaHonduras!$E$36</f>
        <v>115700</v>
      </c>
      <c r="C8" s="157">
        <f>HojaHonduras!K32</f>
        <v>13900</v>
      </c>
      <c r="D8" s="150">
        <f>HojaHonduras!E37</f>
        <v>15041</v>
      </c>
      <c r="E8" s="150">
        <f>HojaHonduras!N32</f>
        <v>21250</v>
      </c>
      <c r="F8" s="150">
        <f>HojaHonduras!M32</f>
        <v>29750</v>
      </c>
      <c r="G8" s="151">
        <f t="shared" si="0"/>
        <v>9641</v>
      </c>
      <c r="H8" s="21"/>
      <c r="I8" s="21"/>
    </row>
    <row r="9" spans="1:9" x14ac:dyDescent="0.35">
      <c r="A9" s="28" t="s">
        <v>20</v>
      </c>
      <c r="B9" s="156">
        <f>HojaDominicana!$E$36</f>
        <v>95000</v>
      </c>
      <c r="C9" s="157">
        <f>HojaDominicana!I32</f>
        <v>11400</v>
      </c>
      <c r="D9" s="150">
        <f>HojaDominicana!E37</f>
        <v>12350</v>
      </c>
      <c r="E9" s="150">
        <f>HojaDominicana!L32</f>
        <v>0</v>
      </c>
      <c r="F9" s="150">
        <f>HojaDominicana!K32</f>
        <v>0</v>
      </c>
      <c r="G9" s="151">
        <f t="shared" si="0"/>
        <v>950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3410328</v>
      </c>
      <c r="C11" s="175">
        <f>SUM(C4:C10)</f>
        <v>408745</v>
      </c>
      <c r="D11" s="175">
        <f t="shared" ref="D11:F11" si="1">SUM(D4:D10)</f>
        <v>437327.64</v>
      </c>
      <c r="E11" s="175">
        <f t="shared" si="1"/>
        <v>5501380</v>
      </c>
      <c r="F11" s="175">
        <f t="shared" si="1"/>
        <v>5589380</v>
      </c>
      <c r="G11" s="176">
        <f>SUM(G4:G10)</f>
        <v>116582.64000000013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81582.64000000013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244800</v>
      </c>
      <c r="E16" s="157">
        <f>+Vendedor1!D21</f>
        <v>31824</v>
      </c>
      <c r="F16" s="158">
        <f>IF(D16&lt;&gt;0,15000,0)</f>
        <v>15000</v>
      </c>
      <c r="G16" s="151">
        <f>+E16-F16</f>
        <v>16824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143650</v>
      </c>
      <c r="E17" s="157">
        <f>+Vendedor2!D21</f>
        <v>18674.5</v>
      </c>
      <c r="F17" s="158">
        <f>IF(D17&lt;&gt;0,15000,0)</f>
        <v>15000</v>
      </c>
      <c r="G17" s="151">
        <f>+E17-F17</f>
        <v>3674.5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388450</v>
      </c>
      <c r="E19" s="159">
        <f>SUM(E16:E18)</f>
        <v>50498.5</v>
      </c>
      <c r="F19" s="160">
        <f>SUM(F16:F18)</f>
        <v>30000</v>
      </c>
      <c r="G19" s="161">
        <f>SUM(G16:G18)</f>
        <v>20498.5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v>0</v>
      </c>
      <c r="E22" s="157">
        <v>0</v>
      </c>
      <c r="F22" s="158"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102081.14000000013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22-05-2026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1228000</v>
      </c>
      <c r="C5" s="150">
        <f>HojaNICA!D37</f>
        <v>159640</v>
      </c>
      <c r="D5" s="150">
        <f>HojaNICA!D38</f>
        <v>2048500</v>
      </c>
      <c r="E5" s="150"/>
      <c r="F5" s="151">
        <f>+B5-C5-D5+E5</f>
        <v>-980140</v>
      </c>
      <c r="H5" s="249" t="s">
        <v>105</v>
      </c>
      <c r="I5" s="243">
        <f ca="1">TODAY()-1</f>
        <v>46164</v>
      </c>
      <c r="O5" s="119"/>
    </row>
    <row r="6" spans="1:15" ht="15" thickBot="1" x14ac:dyDescent="0.4">
      <c r="A6" s="47" t="s">
        <v>36</v>
      </c>
      <c r="B6" s="150">
        <f>HojaTICA!D36</f>
        <v>1897828</v>
      </c>
      <c r="C6" s="150">
        <f>HojaTICA!D37</f>
        <v>246717.64</v>
      </c>
      <c r="D6" s="150">
        <f>HojaTICA!D38</f>
        <v>3045380</v>
      </c>
      <c r="E6" s="150"/>
      <c r="F6" s="151">
        <f t="shared" ref="F6:F11" si="0">+B6-C6-D6+E6</f>
        <v>-1394269.6400000001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200450</v>
      </c>
      <c r="C7" s="150">
        <f>HojaREVENTADO!D38</f>
        <v>20045</v>
      </c>
      <c r="D7" s="150">
        <f>HojaREVENTADO!D39</f>
        <v>385000</v>
      </c>
      <c r="E7" s="150"/>
      <c r="F7" s="151">
        <f t="shared" si="0"/>
        <v>-204595</v>
      </c>
    </row>
    <row r="8" spans="1:15" x14ac:dyDescent="0.35">
      <c r="A8" s="47" t="s">
        <v>96</v>
      </c>
      <c r="B8" s="150">
        <f>HojaPrimera!$D36</f>
        <v>261800</v>
      </c>
      <c r="C8" s="150">
        <f>HojaPrimera!$D37</f>
        <v>34034</v>
      </c>
      <c r="D8" s="150">
        <f>HojaPrimera!$D38</f>
        <v>80750</v>
      </c>
      <c r="E8" s="150"/>
      <c r="F8" s="151">
        <f t="shared" si="0"/>
        <v>147016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115700</v>
      </c>
      <c r="C9" s="150">
        <f>HojaHonduras!$D37</f>
        <v>15041</v>
      </c>
      <c r="D9" s="150">
        <f>HojaHonduras!$D38</f>
        <v>29750</v>
      </c>
      <c r="E9" s="150"/>
      <c r="F9" s="151">
        <f t="shared" si="0"/>
        <v>70909</v>
      </c>
      <c r="H9" s="250">
        <f>+K12-K10-H6</f>
        <v>-2278429.6399999992</v>
      </c>
    </row>
    <row r="10" spans="1:15" ht="15" thickBot="1" x14ac:dyDescent="0.4">
      <c r="A10" s="47" t="s">
        <v>20</v>
      </c>
      <c r="B10" s="150">
        <f>HojaDominicana!$D36</f>
        <v>95000</v>
      </c>
      <c r="C10" s="150">
        <f>HojaDominicana!$D37</f>
        <v>12350</v>
      </c>
      <c r="D10" s="150">
        <f>HojaDominicana!$D38</f>
        <v>0</v>
      </c>
      <c r="E10" s="150"/>
      <c r="F10" s="151">
        <f t="shared" si="0"/>
        <v>82650</v>
      </c>
      <c r="H10" s="154"/>
      <c r="J10" t="s">
        <v>148</v>
      </c>
      <c r="K10" s="252">
        <v>4570595.8499999996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2292166.2099999995</v>
      </c>
    </row>
    <row r="12" spans="1:15" ht="16" thickBot="1" x14ac:dyDescent="0.4">
      <c r="A12" s="144" t="s">
        <v>5</v>
      </c>
      <c r="B12" s="152">
        <f>SUM(B5:B11)</f>
        <v>3798778</v>
      </c>
      <c r="C12" s="152">
        <f>SUM(C5:C11)</f>
        <v>487827.64</v>
      </c>
      <c r="D12" s="152">
        <f>SUM(D5:D11)</f>
        <v>5589380</v>
      </c>
      <c r="E12" s="152"/>
      <c r="F12" s="255">
        <f>SUM(F5:F11)</f>
        <v>-2278429.64</v>
      </c>
      <c r="H12" s="251">
        <f>K12</f>
        <v>2292166.2100000004</v>
      </c>
      <c r="J12" t="s">
        <v>140</v>
      </c>
      <c r="K12" s="254">
        <f>-3875499.51+3318686.24+1319094.5+1529884.98</f>
        <v>2292166.2100000004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160950</v>
      </c>
      <c r="K4" s="231">
        <f t="shared" ref="K4" si="0">D7+D11+D15</f>
        <v>20923.5</v>
      </c>
      <c r="L4" s="220">
        <f>F7+F11+F15</f>
        <v>293250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IF(DigitaNICA!C4&lt;&gt;"",DigitaNICA!C4,"")</f>
        <v>44200</v>
      </c>
      <c r="D5" s="42">
        <f>IF(C5="",0,C5*J$10)</f>
        <v>5746</v>
      </c>
      <c r="E5" s="29">
        <f>IF(DigitaNICA!D4&lt;&gt;"",DigitaNICA!D4,"")</f>
        <v>1600</v>
      </c>
      <c r="F5" s="42">
        <f>IF(E5="",0,E5*PREMIOS!E5)</f>
        <v>128000</v>
      </c>
      <c r="G5" s="30">
        <f t="shared" ref="G5:G12" si="1">IF(OR(C5="",E5=""),0,C5-D5-F5)</f>
        <v>-89546</v>
      </c>
      <c r="I5" s="241" t="s">
        <v>37</v>
      </c>
      <c r="J5" s="221">
        <f>SUM(IF(C5="",0,C5),IF(C9="",0,C9),IF(C13="",0,C13),IF(C17="",0,C17))</f>
        <v>76500</v>
      </c>
      <c r="K5" s="225">
        <f t="shared" ref="K5" si="2">D5+D9+D13+D17</f>
        <v>9945</v>
      </c>
      <c r="L5" s="222">
        <f>F5+F9+F13+F17</f>
        <v>240000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7350</v>
      </c>
      <c r="K6" s="228">
        <f>D19+D20</f>
        <v>955.5</v>
      </c>
      <c r="L6" s="229">
        <f>F19+F20</f>
        <v>36000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IF(DigitaTICA!C4&lt;&gt;"",DigitaTICA!C4,"")</f>
        <v>65500</v>
      </c>
      <c r="D7" s="42">
        <f>IF(C7="",0,C7*J$9)</f>
        <v>8515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35735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35</v>
      </c>
      <c r="C9" s="29">
        <f>IF(DigitaNICA!E4&lt;&gt;"",DigitaNICA!E4,"")</f>
        <v>27100</v>
      </c>
      <c r="D9" s="42">
        <f>IF(C9="",0,C9*J$10)</f>
        <v>3523</v>
      </c>
      <c r="E9" s="29">
        <f>IF(DigitaNICA!F4&lt;&gt;"",DigitaNICA!F4,"")</f>
        <v>1000</v>
      </c>
      <c r="F9" s="42">
        <f>IF(E9="",0,E9*PREMIOS!E9)</f>
        <v>80000</v>
      </c>
      <c r="G9" s="30">
        <f t="shared" si="1"/>
        <v>-56423</v>
      </c>
      <c r="I9" s="76" t="s">
        <v>36</v>
      </c>
      <c r="J9" s="77">
        <v>0.13</v>
      </c>
      <c r="K9" s="78">
        <f>MROUND(D7+D11+D15,50)</f>
        <v>20900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9950</v>
      </c>
    </row>
    <row r="11" spans="1:12" x14ac:dyDescent="0.35">
      <c r="A11" s="28" t="s">
        <v>59</v>
      </c>
      <c r="B11" s="132">
        <f>IF(DigitaTICA!E2&lt;&gt;"",DigitaTICA!E2,"")</f>
        <v>75</v>
      </c>
      <c r="C11" s="29">
        <f>IF(DigitaTICA!E4&lt;&gt;"",DigitaTICA!E4,"")</f>
        <v>30600</v>
      </c>
      <c r="D11" s="42">
        <f>IF(C11="",0,C11*J$9)</f>
        <v>3978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9622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950</v>
      </c>
    </row>
    <row r="13" spans="1:12" x14ac:dyDescent="0.35">
      <c r="A13" s="28" t="s">
        <v>50</v>
      </c>
      <c r="B13" s="132">
        <f>IF(DigitaNICA!G2&lt;&gt;"",DigitaNICA!G2,"")</f>
        <v>62</v>
      </c>
      <c r="C13" s="29">
        <f>IF(DigitaNICA!G4&lt;&gt;"",DigitaNICA!G4,"")</f>
        <v>2400</v>
      </c>
      <c r="D13" s="42">
        <f>IF(C13="",0,C13*J$10)</f>
        <v>312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2088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IF(DigitaTICA!G4&lt;&gt;"",DigitaTICA!G4,"")</f>
        <v>64850</v>
      </c>
      <c r="D15" s="42">
        <f>IF(C15="",0,C15*J$9)</f>
        <v>8430.5</v>
      </c>
      <c r="E15" s="29">
        <f>IF(DigitaTICA!H4&lt;&gt;"",DigitaTICA!H4,"")</f>
        <v>3000</v>
      </c>
      <c r="F15" s="42">
        <f>IF(E15="",0,E15*PREMIOS!F15)</f>
        <v>255000</v>
      </c>
      <c r="G15" s="30">
        <f t="shared" si="3"/>
        <v>-198580.5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IF(DigitaNICA!I4&lt;&gt;"",DigitaNICA!I4,"")</f>
        <v>2800</v>
      </c>
      <c r="D17" s="42">
        <f>IF(C17="",0,C17*J$10)</f>
        <v>364</v>
      </c>
      <c r="E17" s="29">
        <f>IF(DigitaNICA!J4&lt;&gt;"",DigitaNICA!J4,"")</f>
        <v>400</v>
      </c>
      <c r="F17" s="42">
        <f>IF(E17="",0,E17*PREMIOS!E17)</f>
        <v>32000</v>
      </c>
      <c r="G17" s="30">
        <f t="shared" si="3"/>
        <v>-29564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IF(DigitaPRIMERA!C4&lt;&gt;"",DigitaPRIMERA!C4,"")</f>
        <v>6150</v>
      </c>
      <c r="D19" s="42">
        <f>IF(C19="",0,C19*J$12)</f>
        <v>799.5</v>
      </c>
      <c r="E19" s="29">
        <f>IF(DigitaPRIMERA!D4&lt;&gt;"",DigitaPRIMERA!D4,"")</f>
        <v>200</v>
      </c>
      <c r="F19" s="42">
        <f>IF(E19="",0,E19*PREMIOS!E19)</f>
        <v>16000</v>
      </c>
      <c r="G19" s="30">
        <f t="shared" ref="G19" si="4">IF(OR(C19="",E19=""),0,C19-D19-F19)</f>
        <v>-10649.5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250</v>
      </c>
      <c r="F20" s="42">
        <f>IF(E20="",0,E20*PREMIOS!E19)</f>
        <v>20000</v>
      </c>
      <c r="G20" s="30">
        <f t="shared" ref="G20" si="5">IF(OR(C20="",E20=""),0,C20-D20-F20)</f>
        <v>-18956</v>
      </c>
    </row>
    <row r="21" spans="1:7" ht="15" thickBot="1" x14ac:dyDescent="0.4">
      <c r="A21" s="121" t="s">
        <v>5</v>
      </c>
      <c r="B21" s="128"/>
      <c r="C21" s="122">
        <f>SUM(C5:C20)</f>
        <v>244800</v>
      </c>
      <c r="D21" s="122">
        <f t="shared" ref="D21:G21" si="6">SUM(D5:D20)</f>
        <v>31824</v>
      </c>
      <c r="E21" s="122">
        <f t="shared" si="6"/>
        <v>6900</v>
      </c>
      <c r="F21" s="122">
        <f t="shared" si="6"/>
        <v>569250</v>
      </c>
      <c r="G21" s="123">
        <f t="shared" si="6"/>
        <v>-356274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128350</v>
      </c>
      <c r="K4" s="231">
        <f t="shared" ref="K4" si="0">D7+D11+D15</f>
        <v>16685.5</v>
      </c>
      <c r="L4" s="220">
        <f>F7+F11+F15</f>
        <v>408000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IF(DigitaNICA!C5&lt;&gt;"",DigitaNICA!C5,"")</f>
        <v>11100</v>
      </c>
      <c r="D5" s="42">
        <f>IF(C5="",0,C5*J$10)</f>
        <v>1443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9657</v>
      </c>
      <c r="I5" s="241" t="s">
        <v>37</v>
      </c>
      <c r="J5" s="221">
        <f>SUM(IF(C5="",0,C5),IF(C9="",0,C9),IF(C13="",0,C13),IF(C17="",0,C17))</f>
        <v>14900</v>
      </c>
      <c r="K5" s="225">
        <f t="shared" ref="K5" si="2">D5+D9+D13+D17</f>
        <v>1937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400</v>
      </c>
      <c r="K6" s="228">
        <f>D19+D20</f>
        <v>52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IF(DigitaTICA!C5&lt;&gt;"",DigitaTICA!C5,"")</f>
        <v>39250</v>
      </c>
      <c r="D7" s="42">
        <f>IF(C7="",0,C7*J$9)</f>
        <v>5102.5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34147.5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35</v>
      </c>
      <c r="C9" s="29">
        <f>IF(DigitaNICA!E5&lt;&gt;"",DigitaNICA!E5,"")</f>
        <v>1100</v>
      </c>
      <c r="D9" s="42">
        <f>IF(C9="",0,C9*J$10)</f>
        <v>143</v>
      </c>
      <c r="E9" s="29">
        <f>IF(DigitaNICA!F5&lt;&gt;"",DigitaNICA!F5,"")</f>
        <v>200</v>
      </c>
      <c r="F9" s="42">
        <f>IF(E9="",0,E9*PREMIOS!E9)</f>
        <v>16000</v>
      </c>
      <c r="G9" s="30">
        <f t="shared" si="1"/>
        <v>-15043</v>
      </c>
      <c r="I9" s="60" t="s">
        <v>36</v>
      </c>
      <c r="J9" s="61">
        <v>0.13</v>
      </c>
      <c r="K9" s="62">
        <f>MROUND(D7+D11+D15,50)</f>
        <v>16700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1950</v>
      </c>
    </row>
    <row r="11" spans="1:12" x14ac:dyDescent="0.35">
      <c r="A11" s="28" t="s">
        <v>59</v>
      </c>
      <c r="B11" s="132">
        <f>IF(DigitaTICA!E2&lt;&gt;"",DigitaTICA!E2,"")</f>
        <v>75</v>
      </c>
      <c r="C11" s="29">
        <f>IF(DigitaTICA!E5&lt;&gt;"",DigitaTICA!E5,"")</f>
        <v>28100</v>
      </c>
      <c r="D11" s="42">
        <f>IF(C11="",0,C11*J$9)</f>
        <v>3653</v>
      </c>
      <c r="E11" s="29">
        <f>IF(DigitaTICA!F5&lt;&gt;"",DigitaTICA!F5,"")</f>
        <v>500</v>
      </c>
      <c r="F11" s="42">
        <f>IF(E11="",0,E11*PREMIOS!F11)</f>
        <v>42500</v>
      </c>
      <c r="G11" s="30">
        <f t="shared" si="1"/>
        <v>-18053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2">
        <f>IF(DigitaNICA!G2&lt;&gt;"",DigitaNICA!G2,"")</f>
        <v>62</v>
      </c>
      <c r="C13" s="29">
        <f>IF(DigitaNICA!G5&lt;&gt;"",DigitaNICA!G5,"")</f>
        <v>2700</v>
      </c>
      <c r="D13" s="42">
        <f>IF(C13="",0,C13*J$10)</f>
        <v>351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2349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IF(DigitaTICA!G5&lt;&gt;"",DigitaTICA!G5,"")</f>
        <v>61000</v>
      </c>
      <c r="D15" s="42">
        <f>IF(C15="",0,C15*J$9)</f>
        <v>7930</v>
      </c>
      <c r="E15" s="29">
        <f>IF(DigitaTICA!H5&lt;&gt;"",DigitaTICA!H5,"")</f>
        <v>4300</v>
      </c>
      <c r="F15" s="42">
        <f>IF(E15="",0,E15*PREMIOS!F15)</f>
        <v>365500</v>
      </c>
      <c r="G15" s="30">
        <f t="shared" si="3"/>
        <v>-312430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IF(DigitaPRIMERA!C5&lt;&gt;"",DigitaPRIMERA!C5,"")</f>
        <v>400</v>
      </c>
      <c r="D19" s="42">
        <f>IF(C19="",0,C19*J$12)</f>
        <v>52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348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143650</v>
      </c>
      <c r="D21" s="68">
        <f t="shared" ref="D21:G21" si="4">SUM(D5:D20)</f>
        <v>18674.5</v>
      </c>
      <c r="E21" s="68">
        <f t="shared" si="4"/>
        <v>5000</v>
      </c>
      <c r="F21" s="68">
        <f t="shared" si="4"/>
        <v>424000</v>
      </c>
      <c r="G21" s="88">
        <f t="shared" si="4"/>
        <v>-299024.5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75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165150</v>
      </c>
      <c r="K4" s="231">
        <f t="shared" ref="K4" si="0">D7+D11+D15</f>
        <v>19818</v>
      </c>
      <c r="L4" s="220">
        <f>F7+F11+F15</f>
        <v>263500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IF(DigitaNICA!C8&lt;&gt;"",DigitaNICA!C8,"")</f>
        <v>41800</v>
      </c>
      <c r="D5" s="42">
        <f>IF(C5="",0,C5*J$12)</f>
        <v>5016</v>
      </c>
      <c r="E5" s="29">
        <f>IF(DigitaNICA!D8&lt;&gt;"",DigitaNICA!D8,"")</f>
        <v>1950</v>
      </c>
      <c r="F5" s="42">
        <f>IF(E5="",0,E5*PREMIOS!E5)</f>
        <v>156000</v>
      </c>
      <c r="G5" s="30">
        <f t="shared" ref="G5:G12" si="1">IF(OR(C5="",E5=""),0,C5-D5-F5)</f>
        <v>-119216</v>
      </c>
      <c r="I5" s="241" t="s">
        <v>37</v>
      </c>
      <c r="J5" s="221">
        <f>SUM(IF(C5="",0,C5),IF(C9="",0,C9),IF(C13="",0,C13),IF(C17="",0,C17))</f>
        <v>161650</v>
      </c>
      <c r="K5" s="225">
        <f t="shared" ref="K5" si="2">D5+D9+D13+D17</f>
        <v>19398</v>
      </c>
      <c r="L5" s="222">
        <f>F5+F9+F13+F17</f>
        <v>172000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IF(DigitaTICA!C8&lt;&gt;"",DigitaTICA!C8,"")</f>
        <v>58250</v>
      </c>
      <c r="D7" s="42">
        <f>IF(C7="",0,C7*J$11)</f>
        <v>6990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8760</v>
      </c>
      <c r="I7" s="242" t="s">
        <v>96</v>
      </c>
      <c r="J7" s="224">
        <f>SUM(IF(C19="",0,C19),IF(C20="",0,C20))</f>
        <v>43050</v>
      </c>
      <c r="K7" s="228">
        <f>+D19+D20</f>
        <v>5166</v>
      </c>
      <c r="L7" s="229">
        <f>+F19+F20</f>
        <v>40000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35</v>
      </c>
      <c r="C9" s="29">
        <f>IF(DigitaNICA!E8&lt;&gt;"",DigitaNICA!E8,"")</f>
        <v>42400</v>
      </c>
      <c r="D9" s="42">
        <f>IF(C9="",0,C9*J$12)</f>
        <v>5088</v>
      </c>
      <c r="E9" s="29">
        <f>IF(DigitaNICA!F8&lt;&gt;"",DigitaNICA!F8,"")</f>
        <v>200</v>
      </c>
      <c r="F9" s="42">
        <f>IF(E9="",0,E9*PREMIOS!E9)</f>
        <v>16000</v>
      </c>
      <c r="G9" s="30">
        <f t="shared" si="1"/>
        <v>21312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75</v>
      </c>
      <c r="C11" s="29">
        <f>IF(DigitaTICA!E8&lt;&gt;"",DigitaTICA!E8,"")</f>
        <v>46350</v>
      </c>
      <c r="D11" s="42">
        <f>IF(C11="",0,C11*J$11)</f>
        <v>5562</v>
      </c>
      <c r="E11" s="29">
        <f>IF(DigitaTICA!F8&lt;&gt;"",DigitaTICA!F8,"")</f>
        <v>1600</v>
      </c>
      <c r="F11" s="42">
        <f>IF(E11="",0,E11*PREMIOS!F11)</f>
        <v>136000</v>
      </c>
      <c r="G11" s="30">
        <f t="shared" si="1"/>
        <v>-95212</v>
      </c>
      <c r="I11" s="60" t="s">
        <v>36</v>
      </c>
      <c r="J11" s="61">
        <v>0.12</v>
      </c>
      <c r="K11" s="62">
        <f>MROUND(D7+D11+D15,50)</f>
        <v>19800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19400</v>
      </c>
    </row>
    <row r="13" spans="1:12" x14ac:dyDescent="0.35">
      <c r="A13" s="28" t="s">
        <v>50</v>
      </c>
      <c r="B13" s="132">
        <f>IF(DigitaNICA!G2&lt;&gt;"",DigitaNICA!G2,"")</f>
        <v>62</v>
      </c>
      <c r="C13" s="29">
        <f>IF(DigitaNICA!G8&lt;&gt;"",DigitaNICA!G8,"")</f>
        <v>17650</v>
      </c>
      <c r="D13" s="42">
        <f>IF(C13="",0,C13*J$12)</f>
        <v>2118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15532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5150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IF(DigitaTICA!G8&lt;&gt;"",DigitaTICA!G8,"")</f>
        <v>60550</v>
      </c>
      <c r="D15" s="42">
        <f>IF(C15="",0,C15*J$11)</f>
        <v>7266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-31716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IF(DigitaNICA!I8&lt;&gt;"",DigitaNICA!I8,"")</f>
        <v>59800</v>
      </c>
      <c r="D17" s="42">
        <f>IF(C17="",0,C17*J$12)</f>
        <v>7176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52624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IF(DigitaPRIMERA!C8&lt;&gt;"",DigitaPRIMERA!C8,"")</f>
        <v>28250</v>
      </c>
      <c r="D19" s="42">
        <f>IF(C19="",0,C19*J$14)</f>
        <v>3390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24860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>
        <f>IF(DigitaPRIMERA!E8&lt;&gt;"",DigitaPRIMERA!E8,"")</f>
        <v>14800</v>
      </c>
      <c r="D20" s="42">
        <f>IF(C20="",0,C20*J$14)</f>
        <v>1776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-26976</v>
      </c>
    </row>
    <row r="21" spans="1:7" ht="15" thickBot="1" x14ac:dyDescent="0.4">
      <c r="A21" s="121" t="s">
        <v>5</v>
      </c>
      <c r="B21" s="128"/>
      <c r="C21" s="122">
        <f>SUM(C5:C20)</f>
        <v>369850</v>
      </c>
      <c r="D21" s="122">
        <f t="shared" ref="D21:G21" si="5">SUM(D5:D20)</f>
        <v>44382</v>
      </c>
      <c r="E21" s="122">
        <f t="shared" si="5"/>
        <v>5750</v>
      </c>
      <c r="F21" s="122">
        <f t="shared" si="5"/>
        <v>475500</v>
      </c>
      <c r="G21" s="123">
        <f t="shared" si="5"/>
        <v>-150032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465600</v>
      </c>
      <c r="K4" s="231">
        <f t="shared" ref="K4" si="0">D7+D11+D15</f>
        <v>55872</v>
      </c>
      <c r="L4" s="220">
        <f>F7+F11+F15</f>
        <v>361250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IF(DigitaNICA!C10&lt;&gt;"",DigitaNICA!C10,"")</f>
        <v>76900</v>
      </c>
      <c r="D5" s="42">
        <f>IF(C5="",0,C5*J$15)</f>
        <v>9228</v>
      </c>
      <c r="E5" s="29">
        <f>IF(DigitaNICA!D10&lt;&gt;"",DigitaNICA!D10,"")</f>
        <v>4900</v>
      </c>
      <c r="F5" s="42">
        <f>IF(E5="",0,E5*PREMIOS!F5)</f>
        <v>416500</v>
      </c>
      <c r="G5" s="30">
        <f t="shared" ref="G5:G12" si="1">IF(OR(C5="",E5=""),0,C5-D5-F5)</f>
        <v>-348828</v>
      </c>
      <c r="I5" s="217" t="s">
        <v>37</v>
      </c>
      <c r="J5" s="221">
        <f>SUM(IF(C5="",0,C5),IF(C9="",0,C9),IF(C13="",0,C13),IF(C17="",0,C17))</f>
        <v>299000</v>
      </c>
      <c r="K5" s="225">
        <f t="shared" ref="K5" si="2">D5+D9+D13+D17</f>
        <v>35880</v>
      </c>
      <c r="L5" s="222">
        <f>F5+F9+F13+F17</f>
        <v>556750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97000</v>
      </c>
      <c r="K6" s="226">
        <f t="shared" ref="K6" si="3">+D8+D12+D16</f>
        <v>9700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83</v>
      </c>
      <c r="C7" s="29">
        <f>IF(DigitaTICA!C10&lt;&gt;"",DigitaTICA!C10,"")</f>
        <v>183600</v>
      </c>
      <c r="D7" s="42">
        <f>IF(C7="",0,C7*J$14)</f>
        <v>22032</v>
      </c>
      <c r="E7" s="29">
        <f>IF(DigitaTICA!D10&lt;&gt;"",DigitaTICA!D10,"")</f>
        <v>150</v>
      </c>
      <c r="F7" s="42">
        <f>IF(E7="",0,E7*PREMIOS!F7)</f>
        <v>12750</v>
      </c>
      <c r="G7" s="30">
        <f t="shared" si="1"/>
        <v>148818</v>
      </c>
      <c r="I7" s="217" t="s">
        <v>96</v>
      </c>
      <c r="J7" s="223">
        <f>SUM(IF(C19="",0,C19),IF(C20="",0,C20))</f>
        <v>37000</v>
      </c>
      <c r="K7" s="226">
        <f>+D19+D20</f>
        <v>4440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31100</v>
      </c>
      <c r="D8" s="42">
        <f>IF(C8="",0,C8*J$16)</f>
        <v>3110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27990</v>
      </c>
      <c r="I8" s="217" t="s">
        <v>104</v>
      </c>
      <c r="J8" s="223">
        <f>SUM(IF(C21="",0,C21),IF(C22="",0,C22),IF(C23="",0,C23))</f>
        <v>2050</v>
      </c>
      <c r="K8" s="226">
        <f t="shared" ref="K8" si="4">D21+D22+D23</f>
        <v>246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35</v>
      </c>
      <c r="C9" s="29">
        <f>IF(DigitaNICA!E10&lt;&gt;"",DigitaNICA!E10,"")</f>
        <v>52000</v>
      </c>
      <c r="D9" s="42">
        <f>IF(C9="",0,C9*J$15)</f>
        <v>6240</v>
      </c>
      <c r="E9" s="29">
        <f>IF(DigitaNICA!F10&lt;&gt;"",DigitaNICA!F10,"")</f>
        <v>1000</v>
      </c>
      <c r="F9" s="42">
        <f>IF(E9="",0,E9*PREMIOS!F9)</f>
        <v>85000</v>
      </c>
      <c r="G9" s="30">
        <f t="shared" si="1"/>
        <v>-39240</v>
      </c>
      <c r="I9" s="217" t="s">
        <v>20</v>
      </c>
      <c r="J9" s="223">
        <f>SUM(IF(C24="",0,C24),IF(C25="",0,C25))</f>
        <v>95000</v>
      </c>
      <c r="K9" s="226">
        <f t="shared" ref="K9" si="5">+D24+D25</f>
        <v>11400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75</v>
      </c>
      <c r="C11" s="29">
        <f>IF(DigitaTICA!E10&lt;&gt;"",DigitaTICA!E10,"")</f>
        <v>133550</v>
      </c>
      <c r="D11" s="42">
        <f>IF(C11="",0,C11*J$14)</f>
        <v>16026</v>
      </c>
      <c r="E11" s="29">
        <f>IF(DigitaTICA!F10&lt;&gt;"",DigitaTICA!F10,"")</f>
        <v>750</v>
      </c>
      <c r="F11" s="42">
        <f>IF(E11="",0,E11*PREMIOS!F11)</f>
        <v>63750</v>
      </c>
      <c r="G11" s="30">
        <f t="shared" si="1"/>
        <v>53774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33500</v>
      </c>
      <c r="D12" s="42">
        <f>IF(C12="",0,C12*J$16)</f>
        <v>3350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30150</v>
      </c>
    </row>
    <row r="13" spans="1:12" ht="15" thickBot="1" x14ac:dyDescent="0.4">
      <c r="A13" s="28" t="s">
        <v>50</v>
      </c>
      <c r="B13" s="132">
        <f>IF(DigitaNICA!G2&lt;&gt;"",DigitaNICA!G2,"")</f>
        <v>62</v>
      </c>
      <c r="C13" s="29">
        <f>IF(DigitaNICA!G10&lt;&gt;"",DigitaNICA!G10,"")</f>
        <v>61800</v>
      </c>
      <c r="D13" s="42">
        <f>IF(C13="",0,C13*J$15)</f>
        <v>7416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54384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55850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IF(DigitaTICA!G10&lt;&gt;"",DigitaTICA!G10,"")</f>
        <v>148450</v>
      </c>
      <c r="D15" s="42">
        <f>IF(C15="",0,C15*J$14)</f>
        <v>17814</v>
      </c>
      <c r="E15" s="29">
        <f>IF(DigitaTICA!H10&lt;&gt;"",DigitaTICA!H10,"")</f>
        <v>3350</v>
      </c>
      <c r="F15" s="42">
        <f>IF(E15="",0,E15*PREMIOS!F15)</f>
        <v>284750</v>
      </c>
      <c r="G15" s="30">
        <f t="shared" si="6"/>
        <v>-154114</v>
      </c>
      <c r="I15" s="63" t="s">
        <v>37</v>
      </c>
      <c r="J15" s="64">
        <v>0.12</v>
      </c>
      <c r="K15" s="30">
        <f>MROUND(D5+D9+D13+D17,50)</f>
        <v>35900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32400</v>
      </c>
      <c r="D16" s="42">
        <f>IF(C16="",0,C16*J$16)</f>
        <v>3240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29160</v>
      </c>
      <c r="I16" s="63" t="s">
        <v>38</v>
      </c>
      <c r="J16" s="64">
        <v>0.1</v>
      </c>
      <c r="K16" s="30">
        <f>MROUND(D6+D8+D10+D12+D14+D16+D18,50)</f>
        <v>9700</v>
      </c>
    </row>
    <row r="17" spans="1:11" x14ac:dyDescent="0.35">
      <c r="A17" s="28" t="s">
        <v>52</v>
      </c>
      <c r="B17" s="132">
        <f>IF(DigitaNICA!I2&lt;&gt;"",DigitaNICA!I2,"")</f>
        <v>60</v>
      </c>
      <c r="C17" s="29">
        <f>IF(DigitaNICA!I10&lt;&gt;"",DigitaNICA!I10,"")</f>
        <v>108300</v>
      </c>
      <c r="D17" s="42">
        <f>IF(C17="",0,C17*J$15)</f>
        <v>12996</v>
      </c>
      <c r="E17" s="29">
        <f>IF(DigitaNICA!J10&lt;&gt;"",DigitaNICA!J10,"")</f>
        <v>650</v>
      </c>
      <c r="F17" s="42">
        <f>IF(E17="",0,E17*PREMIOS!F17)</f>
        <v>55250</v>
      </c>
      <c r="G17" s="30">
        <f t="shared" si="6"/>
        <v>40054</v>
      </c>
      <c r="I17" s="63" t="s">
        <v>96</v>
      </c>
      <c r="J17" s="64">
        <v>0.12</v>
      </c>
      <c r="K17" s="30">
        <f>MROUND(D19+D20,50)</f>
        <v>4450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250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>
        <f>IF(DigitaPRIMERA!$C$10&lt;&gt;"",DigitaPRIMERA!$C$10,"")</f>
        <v>19100</v>
      </c>
      <c r="D19" s="42">
        <f>IF(C19="",0,C19*J$17)</f>
        <v>2292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16808</v>
      </c>
      <c r="I19" s="63" t="s">
        <v>20</v>
      </c>
      <c r="J19" s="64">
        <v>0.12</v>
      </c>
      <c r="K19" s="30">
        <f>MROUND(D24+D25,50)</f>
        <v>11400</v>
      </c>
    </row>
    <row r="20" spans="1:11" ht="15" thickBot="1" x14ac:dyDescent="0.4">
      <c r="A20" s="28" t="s">
        <v>98</v>
      </c>
      <c r="B20" s="132">
        <f>IF(DigitaPRIMERA!E2&lt;&gt;"",DigitaPRIMERA!E2,"")</f>
        <v>38</v>
      </c>
      <c r="C20" s="29">
        <f>IF(DigitaPRIMERA!$E$10&lt;&gt;"",DigitaPRIMERA!$E$10,"")</f>
        <v>17900</v>
      </c>
      <c r="D20" s="42">
        <f>IF(C20="",0,C20*J$17)</f>
        <v>2148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15752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29</v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2">
        <f>IF(DigitaHONDURAS!E2&lt;&gt;"",DigitaHONDURAS!E2,"")</f>
        <v>30</v>
      </c>
      <c r="C22" s="29">
        <f>IF(DigitaHONDURAS!$E$10&lt;&gt;"",DigitaHONDURAS!$E$10,"")</f>
        <v>300</v>
      </c>
      <c r="D22" s="42">
        <f>IF(C22="",0,C22*J$18)</f>
        <v>36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</v>
      </c>
    </row>
    <row r="23" spans="1:11" x14ac:dyDescent="0.35">
      <c r="A23" s="28" t="s">
        <v>101</v>
      </c>
      <c r="B23" s="132">
        <f>IF(DigitaHONDURAS!G2&lt;&gt;"",DigitaHONDURAS!G2,"")</f>
        <v>55</v>
      </c>
      <c r="C23" s="29">
        <f>IF(DigitaHONDURAS!$G$10&lt;&gt;"",DigitaHONDURAS!$G$10,"")</f>
        <v>1750</v>
      </c>
      <c r="D23" s="42">
        <f>IF(C23="",0,C23*J$18)</f>
        <v>210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1540</v>
      </c>
    </row>
    <row r="24" spans="1:11" x14ac:dyDescent="0.35">
      <c r="A24" s="28" t="s">
        <v>107</v>
      </c>
      <c r="B24" s="132">
        <f>IF(DigitaDOMINICANA!C2&lt;&gt;"",DigitaDOMINICANA!C2,"")</f>
        <v>32</v>
      </c>
      <c r="C24" s="29">
        <f>IF(DigitaDOMINICANA!$C$10&lt;&gt;"",DigitaDOMINICANA!$C$10,"")</f>
        <v>44500</v>
      </c>
      <c r="D24" s="42">
        <f>IF(C24="",0,C24*J$19)</f>
        <v>5340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39160</v>
      </c>
    </row>
    <row r="25" spans="1:11" x14ac:dyDescent="0.35">
      <c r="A25" s="28" t="s">
        <v>108</v>
      </c>
      <c r="B25" s="132">
        <f>IF(DigitaDOMINICANA!E2&lt;&gt;"",DigitaDOMINICANA!E2,"")</f>
        <v>17</v>
      </c>
      <c r="C25" s="29">
        <f>IF(DigitaDOMINICANA!$E$10&lt;&gt;"",DigitaDOMINICANA!$E$10,"")</f>
        <v>50500</v>
      </c>
      <c r="D25" s="42">
        <f>IF(C25="",0,C25*J$19)</f>
        <v>6060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44440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995650</v>
      </c>
      <c r="D27" s="68">
        <f t="shared" ref="D27:F27" si="9">SUM(D5:D26)</f>
        <v>117538</v>
      </c>
      <c r="E27" s="68">
        <f t="shared" si="9"/>
        <v>10800</v>
      </c>
      <c r="F27" s="68">
        <f t="shared" si="9"/>
        <v>918000</v>
      </c>
      <c r="G27" s="88">
        <f>SUM(G5:G26)</f>
        <v>-39888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16800</v>
      </c>
      <c r="K4" s="231">
        <f t="shared" ref="K4" si="0">D7+D11+D15</f>
        <v>2016</v>
      </c>
      <c r="L4" s="220">
        <f>F7+F11+F15</f>
        <v>59500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3520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2000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IF(DigitaTICA!G11&lt;&gt;"",DigitaTICA!G11,"")</f>
        <v>12800</v>
      </c>
      <c r="D15" s="42">
        <f>IF(C15="",0,C15*J$11)</f>
        <v>1536</v>
      </c>
      <c r="E15" s="29">
        <f>IF(DigitaTICA!H11&lt;&gt;"",DigitaTICA!H11,"")</f>
        <v>700</v>
      </c>
      <c r="F15" s="133">
        <f>IF(E15="",0,E15*PREMIOS!F15)</f>
        <v>59500</v>
      </c>
      <c r="G15" s="30">
        <f t="shared" si="4"/>
        <v>-48236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16800</v>
      </c>
      <c r="D21" s="122">
        <f t="shared" ref="D21:G21" si="5">SUM(D5:D20)</f>
        <v>2016</v>
      </c>
      <c r="E21" s="122">
        <f t="shared" si="5"/>
        <v>700</v>
      </c>
      <c r="F21" s="122">
        <f t="shared" si="5"/>
        <v>59500</v>
      </c>
      <c r="G21" s="123">
        <f t="shared" si="5"/>
        <v>-44716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53850</v>
      </c>
      <c r="K4" s="231">
        <f>D7+D11+D15</f>
        <v>6462</v>
      </c>
      <c r="L4" s="220">
        <f>F7+F11+F15</f>
        <v>68000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IF(DigitaNICA!C12&lt;&gt;"",DigitaNICA!C12,"")</f>
        <v>15500</v>
      </c>
      <c r="D5" s="42">
        <f>IF(C5="",0,C5*J$12)</f>
        <v>1860</v>
      </c>
      <c r="E5" s="29">
        <f>IF(DigitaNICA!D12&lt;&gt;"",DigitaNICA!D12,"")</f>
        <v>100</v>
      </c>
      <c r="F5" s="42">
        <f>IF(E5="",0,E5*PREMIOS!F5)</f>
        <v>8500</v>
      </c>
      <c r="G5" s="30">
        <f t="shared" ref="G5:G12" si="0">IF(OR(C5="",E5=""),0,C5-D5-F5)</f>
        <v>5140</v>
      </c>
      <c r="I5" s="217" t="s">
        <v>37</v>
      </c>
      <c r="J5" s="221">
        <f>SUM(IF(C5="",0,C5),IF(C9="",0,C9),IF(C13="",0,C13),IF(C17="",0,C17))</f>
        <v>18000</v>
      </c>
      <c r="K5" s="225">
        <f t="shared" ref="K5" si="1">D5+D9+D13+D17</f>
        <v>2160</v>
      </c>
      <c r="L5" s="222">
        <f>F5+F9+F13+F17</f>
        <v>8500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83</v>
      </c>
      <c r="C7" s="29">
        <f>IF(DigitaTICA!C12&lt;&gt;"",DigitaTICA!C12,"")</f>
        <v>12200</v>
      </c>
      <c r="D7" s="42">
        <f>IF(C7="",0,C7*J$11)</f>
        <v>1464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-14764</v>
      </c>
      <c r="I7" s="217" t="s">
        <v>96</v>
      </c>
      <c r="J7" s="223">
        <f>SUM(IF(C19="",0,C19),IF(C20="",0,C20))</f>
        <v>19200</v>
      </c>
      <c r="K7" s="226">
        <f>+D19+D20</f>
        <v>2304</v>
      </c>
      <c r="L7" s="227">
        <f>+F19+F20</f>
        <v>17000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35</v>
      </c>
      <c r="C9" s="29">
        <f>IF(DigitaNICA!E12&lt;&gt;"",DigitaNICA!E12,"")</f>
        <v>2500</v>
      </c>
      <c r="D9" s="42">
        <f>IF(C9="",0,C9*J$12)</f>
        <v>300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2200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75</v>
      </c>
      <c r="C11" s="29">
        <f>IF(DigitaTICA!E12&lt;&gt;"",DigitaTICA!E12,"")</f>
        <v>18400</v>
      </c>
      <c r="D11" s="42">
        <f>IF(C11="",0,C11*J$11)</f>
        <v>2208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16192</v>
      </c>
      <c r="I11" s="60" t="s">
        <v>36</v>
      </c>
      <c r="J11" s="61">
        <v>0.12</v>
      </c>
      <c r="K11" s="62">
        <f>MROUND(D7+D11+D15,50)</f>
        <v>6450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2150</v>
      </c>
    </row>
    <row r="13" spans="1:12" x14ac:dyDescent="0.35">
      <c r="A13" s="28" t="s">
        <v>50</v>
      </c>
      <c r="B13" s="132">
        <f>IF(DigitaNICA!G2&lt;&gt;"",DigitaNICA!G2,"")</f>
        <v>62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2300</v>
      </c>
    </row>
    <row r="15" spans="1:12" ht="15" thickBot="1" x14ac:dyDescent="0.4">
      <c r="A15" s="28" t="s">
        <v>61</v>
      </c>
      <c r="B15" s="132">
        <f>IF(DigitaTICA!G2&lt;&gt;"",DigitaTICA!G2,"")</f>
        <v>21</v>
      </c>
      <c r="C15" s="29">
        <f>IF(DigitaTICA!G12&lt;&gt;"",DigitaTICA!G12,"")</f>
        <v>23250</v>
      </c>
      <c r="D15" s="42">
        <f>IF(C15="",0,C15*J$11)</f>
        <v>2790</v>
      </c>
      <c r="E15" s="29">
        <f>IF(DigitaTICA!H12&lt;&gt;"",DigitaTICA!H12,"")</f>
        <v>500</v>
      </c>
      <c r="F15" s="42">
        <f>IF(E15="",0,E15*PREMIOS!F15)</f>
        <v>42500</v>
      </c>
      <c r="G15" s="30">
        <f t="shared" si="3"/>
        <v>-22040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IF(DigitaPRIMERA!$C$12&lt;&gt;"",DigitaPRIMERA!$C$12,"")</f>
        <v>19200</v>
      </c>
      <c r="D19" s="42">
        <f>IF(C19="",0,C19*J$14)</f>
        <v>2304</v>
      </c>
      <c r="E19" s="29">
        <f>IF(DigitaPRIMERA!$D$12&lt;&gt;"",DigitaPRIMERA!$D$12,"")</f>
        <v>200</v>
      </c>
      <c r="F19" s="42">
        <f>IF(E19="",0,E19*PREMIOS!F19)</f>
        <v>17000</v>
      </c>
      <c r="G19" s="30">
        <f t="shared" si="3"/>
        <v>-104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29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91050</v>
      </c>
      <c r="D24" s="68">
        <f t="shared" ref="D24:G24" si="4">SUM(D5:D23)</f>
        <v>10926</v>
      </c>
      <c r="E24" s="68">
        <f t="shared" si="4"/>
        <v>1100</v>
      </c>
      <c r="F24" s="68">
        <f t="shared" si="4"/>
        <v>93500</v>
      </c>
      <c r="G24" s="88">
        <f t="shared" si="4"/>
        <v>-13376</v>
      </c>
    </row>
    <row r="27" spans="1:7" x14ac:dyDescent="0.35">
      <c r="G27" s="21">
        <v>-117557</v>
      </c>
    </row>
    <row r="28" spans="1:7" x14ac:dyDescent="0.35">
      <c r="G28" s="141">
        <f>+G24+G27</f>
        <v>-130933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116000</v>
      </c>
      <c r="K4" s="231">
        <f t="shared" ref="K4" si="0">D7+D11+D15</f>
        <v>13920</v>
      </c>
      <c r="L4" s="220">
        <f>F7+F11+F15</f>
        <v>195500</v>
      </c>
    </row>
    <row r="5" spans="1:12" ht="15" thickBot="1" x14ac:dyDescent="0.4">
      <c r="A5" s="28" t="s">
        <v>43</v>
      </c>
      <c r="B5" s="132" t="str">
        <f>IF(DigitaNICA!C2&lt;&gt;"",DigitaNICA!C2,"")</f>
        <v>05</v>
      </c>
      <c r="C5" s="29">
        <f>IF(DigitaNICA!C13&lt;&gt;"",DigitaNICA!C13,"")</f>
        <v>10750</v>
      </c>
      <c r="D5" s="42">
        <f>IF(C5="",0,C5*J$10)</f>
        <v>1290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9460</v>
      </c>
      <c r="I5" s="218" t="s">
        <v>37</v>
      </c>
      <c r="J5" s="232">
        <f>SUM(IF(C5="",0,C5),IF(C9="",0,C9),IF(C13="",0,C13),IF(C17="",0,C17))</f>
        <v>46300</v>
      </c>
      <c r="K5" s="233">
        <f t="shared" ref="K5" si="2">D5+D9+D13+D17</f>
        <v>5556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IF(DigitaTICA!C13&lt;&gt;"",DigitaTICA!C13,"")</f>
        <v>36700</v>
      </c>
      <c r="D7" s="42">
        <f>IF(C7="",0,C7*J$9)</f>
        <v>4404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32296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35</v>
      </c>
      <c r="C9" s="29">
        <f>IF(DigitaNICA!E13&lt;&gt;"",DigitaNICA!E13,"")</f>
        <v>26750</v>
      </c>
      <c r="D9" s="42">
        <f>IF(C9="",0,C9*J$10)</f>
        <v>3210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23540</v>
      </c>
      <c r="I9" s="60" t="s">
        <v>36</v>
      </c>
      <c r="J9" s="61">
        <v>0.12</v>
      </c>
      <c r="K9" s="62">
        <f>MROUND(D7+D11+D15,50)</f>
        <v>13900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5550</v>
      </c>
    </row>
    <row r="11" spans="1:12" ht="15" thickBot="1" x14ac:dyDescent="0.4">
      <c r="A11" s="28" t="s">
        <v>59</v>
      </c>
      <c r="B11" s="132">
        <f>IF(DigitaTICA!E2&lt;&gt;"",DigitaTICA!E2,"")</f>
        <v>75</v>
      </c>
      <c r="C11" s="29">
        <f>IF(DigitaTICA!E13&lt;&gt;"",DigitaTICA!E13,"")</f>
        <v>28400</v>
      </c>
      <c r="D11" s="42">
        <f>IF(C11="",0,C11*J$9)</f>
        <v>3408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24992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62</v>
      </c>
      <c r="C13" s="29">
        <f>IF(DigitaNICA!G13&lt;&gt;"",DigitaNICA!G13,"")</f>
        <v>7800</v>
      </c>
      <c r="D13" s="42">
        <f>IF(C13="",0,C13*J$10)</f>
        <v>936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6864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IF(DigitaTICA!G13&lt;&gt;"",DigitaTICA!G13,"")</f>
        <v>50900</v>
      </c>
      <c r="D15" s="42">
        <f>IF(C15="",0,C15*J$9)</f>
        <v>6108</v>
      </c>
      <c r="E15" s="29">
        <f>IF(DigitaTICA!H13&lt;&gt;"",DigitaTICA!H13,"")</f>
        <v>2300</v>
      </c>
      <c r="F15" s="133">
        <f>IF(E15="",0,E15*PREMIOS!F15)</f>
        <v>195500</v>
      </c>
      <c r="G15" s="30">
        <f t="shared" si="3"/>
        <v>-150708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162300</v>
      </c>
      <c r="D19" s="68">
        <f>MROUND(SUM(D5:D18),50)</f>
        <v>19500</v>
      </c>
      <c r="E19" s="68">
        <f>SUM(E5:E18)</f>
        <v>2300</v>
      </c>
      <c r="F19" s="68">
        <f>SUM(F5:F18)</f>
        <v>195500</v>
      </c>
      <c r="G19" s="88">
        <f>SUM(G5:G18)</f>
        <v>-52676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123400</v>
      </c>
      <c r="K4" s="236">
        <f t="shared" ref="K4" si="0">D7+D11+D15</f>
        <v>18510</v>
      </c>
      <c r="L4" s="237">
        <f>F7+F11+F15</f>
        <v>168000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>
        <f>IF(DigitaTICA!C14&lt;&gt;"",DigitaTICA!C14,"")</f>
        <v>52500</v>
      </c>
      <c r="D7" s="42">
        <f>IF(C7="",0,C7*J$9)</f>
        <v>7875</v>
      </c>
      <c r="E7" s="29">
        <f>IF(DigitaTICA!D14&lt;&gt;"",DigitaTICA!D14,"")</f>
        <v>300</v>
      </c>
      <c r="F7" s="42">
        <f>IF(E7="",0,E7*PREMIOS!E7)</f>
        <v>24000</v>
      </c>
      <c r="G7" s="30">
        <f t="shared" si="1"/>
        <v>20625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18500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75</v>
      </c>
      <c r="C11" s="29">
        <f>IF(DigitaTICA!E14&lt;&gt;"",DigitaTICA!E14,"")</f>
        <v>29300</v>
      </c>
      <c r="D11" s="42">
        <f>IF(C11="",0,C11*J$9)</f>
        <v>4395</v>
      </c>
      <c r="E11" s="29">
        <f>IF(DigitaTICA!F14&lt;&gt;"",DigitaTICA!F14,"")</f>
        <v>300</v>
      </c>
      <c r="F11" s="42">
        <f>IF(E11="",0,E11*PREMIOS!E11)</f>
        <v>24000</v>
      </c>
      <c r="G11" s="30">
        <f t="shared" si="1"/>
        <v>905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62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>
        <f>IF(DigitaTICA!G14&lt;&gt;"",DigitaTICA!G14,"")</f>
        <v>41600</v>
      </c>
      <c r="D15" s="42">
        <f>IF(C15="",0,C15*J$9)</f>
        <v>6240</v>
      </c>
      <c r="E15" s="29">
        <f>IF(DigitaTICA!H14&lt;&gt;"",DigitaTICA!H14,"")</f>
        <v>1500</v>
      </c>
      <c r="F15" s="42">
        <f>IF(E15="",0,E15*PREMIOS!E15)</f>
        <v>120000</v>
      </c>
      <c r="G15" s="30">
        <f t="shared" si="2"/>
        <v>-84640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123400</v>
      </c>
      <c r="D19" s="68">
        <f>MROUND(SUM(D5:D18),50)</f>
        <v>18500</v>
      </c>
      <c r="E19" s="68">
        <f>SUM(E5:E18)</f>
        <v>2100</v>
      </c>
      <c r="F19" s="68">
        <f>SUM(F5:F18)</f>
        <v>168000</v>
      </c>
      <c r="G19" s="88">
        <f>SUM(G5:G18)</f>
        <v>-63110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86850</v>
      </c>
      <c r="K4" s="231">
        <f>D7+D11+D15</f>
        <v>10422</v>
      </c>
      <c r="L4" s="220">
        <f>F7+F11+F15</f>
        <v>314500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29">
        <f>IF(DigitaNICA!C16&lt;&gt;"",DigitaNICA!C16,"")</f>
        <v>16950</v>
      </c>
      <c r="D5" s="42">
        <f>IF(C5="",0,C5*J$12)</f>
        <v>2034</v>
      </c>
      <c r="E5" s="29">
        <f>IF(DigitaNICA!D16&lt;&gt;"",DigitaNICA!D16,"")</f>
        <v>500</v>
      </c>
      <c r="F5" s="42">
        <f>IF(E5="",0,E5*PREMIOS!E5)</f>
        <v>40000</v>
      </c>
      <c r="G5" s="30">
        <f t="shared" ref="G5:G12" si="0">IF(OR(C5="",E5=""),0,C5-D5-F5)</f>
        <v>-25084</v>
      </c>
      <c r="I5" s="63" t="s">
        <v>37</v>
      </c>
      <c r="J5" s="225">
        <f>SUM(IF(C5="",0,C5),IF(C9="",0,C9),IF(C13="",0,C13),IF(C17="",0,C17))</f>
        <v>48450</v>
      </c>
      <c r="K5" s="225">
        <f t="shared" ref="K5" si="1">D5+D9+D13+D17</f>
        <v>5814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8650</v>
      </c>
      <c r="K6" s="226">
        <f t="shared" ref="K6" si="2">+D8+D12+D16</f>
        <v>865</v>
      </c>
      <c r="L6" s="227">
        <f>F8+F12+F16</f>
        <v>200000</v>
      </c>
    </row>
    <row r="7" spans="1:12" x14ac:dyDescent="0.35">
      <c r="A7" s="28" t="s">
        <v>46</v>
      </c>
      <c r="B7" s="132">
        <f>IF(DigitaTICA!C2&lt;&gt;"",DigitaTICA!C2,"")</f>
        <v>83</v>
      </c>
      <c r="C7" s="29">
        <f>IF(DigitaTICA!C16&lt;&gt;"",DigitaTICA!C16,"")</f>
        <v>37400</v>
      </c>
      <c r="D7" s="42">
        <f>IF(C7="",0,C7*J$11)</f>
        <v>4488</v>
      </c>
      <c r="E7" s="29">
        <f>IF(DigitaTICA!D16&lt;&gt;"",DigitaTICA!D16,"")</f>
        <v>200</v>
      </c>
      <c r="F7" s="133">
        <f>IF(E7="",0,E7*PREMIOS!F7)</f>
        <v>17000</v>
      </c>
      <c r="G7" s="30">
        <f t="shared" si="0"/>
        <v>15912</v>
      </c>
      <c r="I7" s="63" t="s">
        <v>96</v>
      </c>
      <c r="J7" s="226">
        <f>SUM(IF(C19="",0,C19),IF(C20="",0,C20))</f>
        <v>3700</v>
      </c>
      <c r="K7" s="226">
        <f>+D19+D20</f>
        <v>444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4900</v>
      </c>
      <c r="D8" s="42">
        <f>IF(C8="",0,C8*J$13)</f>
        <v>490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4410</v>
      </c>
      <c r="I8" s="65" t="s">
        <v>104</v>
      </c>
      <c r="J8" s="228">
        <f>SUM(IF(C21="",0,C21),IF(C22="",0,C22),IF(C23="",0,C23))</f>
        <v>11900</v>
      </c>
      <c r="K8" s="228">
        <f>D21+D22+D23</f>
        <v>1428</v>
      </c>
      <c r="L8" s="229">
        <f>F21+F22+F23</f>
        <v>8000</v>
      </c>
    </row>
    <row r="9" spans="1:12" ht="15" thickBot="1" x14ac:dyDescent="0.4">
      <c r="A9" s="28" t="s">
        <v>48</v>
      </c>
      <c r="B9" s="132">
        <f>IF(DigitaNICA!E2&lt;&gt;"",DigitaNICA!E2,"")</f>
        <v>35</v>
      </c>
      <c r="C9" s="29">
        <f>IF(DigitaNICA!E16&lt;&gt;"",DigitaNICA!E16,"")</f>
        <v>14000</v>
      </c>
      <c r="D9" s="42">
        <f>IF(C9="",0,C9*J$12)</f>
        <v>1680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12320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75</v>
      </c>
      <c r="C11" s="29">
        <f>IF(DigitaTICA!E16&lt;&gt;"",DigitaTICA!E16,"")</f>
        <v>18700</v>
      </c>
      <c r="D11" s="42">
        <f>IF(C11="",0,C11*J$11)</f>
        <v>2244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16456</v>
      </c>
      <c r="I11" s="76" t="s">
        <v>36</v>
      </c>
      <c r="J11" s="77">
        <v>0.12</v>
      </c>
      <c r="K11" s="78">
        <f>MROUND(D7+D11+D15,50)</f>
        <v>10400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1100</v>
      </c>
      <c r="D12" s="42">
        <f>IF(C12="",0,C12*J$13)</f>
        <v>110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990</v>
      </c>
      <c r="I12" s="63" t="s">
        <v>37</v>
      </c>
      <c r="J12" s="64">
        <v>0.12</v>
      </c>
      <c r="K12" s="30">
        <f>MROUND(D5+D9+D13+D17,50)</f>
        <v>5800</v>
      </c>
    </row>
    <row r="13" spans="1:12" x14ac:dyDescent="0.35">
      <c r="A13" s="28" t="s">
        <v>50</v>
      </c>
      <c r="B13" s="132">
        <f>IF(DigitaNICA!G2&lt;&gt;"",DigitaNICA!G2,"")</f>
        <v>62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850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450</v>
      </c>
    </row>
    <row r="15" spans="1:12" ht="15" thickBot="1" x14ac:dyDescent="0.4">
      <c r="A15" s="28" t="s">
        <v>61</v>
      </c>
      <c r="B15" s="132">
        <f>IF(DigitaTICA!G2&lt;&gt;"",DigitaTICA!G2,"")</f>
        <v>21</v>
      </c>
      <c r="C15" s="29">
        <f>IF(DigitaTICA!G16&lt;&gt;"",DigitaTICA!G16,"")</f>
        <v>30750</v>
      </c>
      <c r="D15" s="42">
        <f>IF(C15="",0,C15*J$11)</f>
        <v>3690</v>
      </c>
      <c r="E15" s="29">
        <f>IF(DigitaTICA!H16&lt;&gt;"",DigitaTICA!H16,"")</f>
        <v>3500</v>
      </c>
      <c r="F15" s="133">
        <f>IF(E15="",0,E15*PREMIOS!F15)</f>
        <v>297500</v>
      </c>
      <c r="G15" s="30">
        <f t="shared" si="3"/>
        <v>-270440</v>
      </c>
      <c r="I15" s="65" t="s">
        <v>104</v>
      </c>
      <c r="J15" s="66">
        <v>0.12</v>
      </c>
      <c r="K15" s="50">
        <f>MROUND(D21+D22+D23,50)</f>
        <v>1450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2650</v>
      </c>
      <c r="D16" s="42">
        <f>IF(C16="",0,C16*J$13)</f>
        <v>265</v>
      </c>
      <c r="E16" s="29">
        <f>IF(DigitaREVENTADO!H16&lt;&gt;"",DigitaREVENTADO!H16,"")</f>
        <v>1000</v>
      </c>
      <c r="F16" s="133">
        <f>IF(E16="",0,E16*PREMIOS!F16)</f>
        <v>200000</v>
      </c>
      <c r="G16" s="30">
        <f t="shared" si="3"/>
        <v>-197615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IF(DigitaNICA!I16&lt;&gt;"",DigitaNICA!I16,"")</f>
        <v>17500</v>
      </c>
      <c r="D17" s="42">
        <f>IF(C17="",0,C17*J$12)</f>
        <v>2100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15400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IF(DigitaPRIMERA!C16&lt;&gt;"",DigitaPRIMERA!C16,"")</f>
        <v>3700</v>
      </c>
      <c r="D19" s="42">
        <f>IF(C19="",0,C19*J$14)</f>
        <v>444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3256</v>
      </c>
    </row>
    <row r="20" spans="1:7" x14ac:dyDescent="0.35">
      <c r="A20" s="28" t="s">
        <v>98</v>
      </c>
      <c r="B20" s="132">
        <f>IF(DigitaPRIMERA!E2&lt;&gt;"",DigitaPRIMERA!E2,"")</f>
        <v>38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29</v>
      </c>
      <c r="C21" s="29">
        <f>IF(DigitaHONDURAS!$C$16&lt;&gt;"",DigitaHONDURAS!$C$16,"")</f>
        <v>4400</v>
      </c>
      <c r="D21" s="42">
        <f>IF(C21="",0,C21*J$15)</f>
        <v>528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3872</v>
      </c>
    </row>
    <row r="22" spans="1:7" x14ac:dyDescent="0.35">
      <c r="A22" s="28" t="s">
        <v>100</v>
      </c>
      <c r="B22" s="132">
        <f>IF(DigitaHONDURAS!E2&lt;&gt;"",DigitaHONDURAS!E2,"")</f>
        <v>30</v>
      </c>
      <c r="C22" s="29">
        <f>IF(DigitaHONDURAS!$E$16&lt;&gt;"",DigitaHONDURAS!$E$16,"")</f>
        <v>2800</v>
      </c>
      <c r="D22" s="42">
        <f t="shared" ref="D22:D23" si="4">IF(C22="",0,C22*J$15)</f>
        <v>336</v>
      </c>
      <c r="E22" s="29">
        <f>IF(DigitaHONDURAS!$F$16&lt;&gt;"",DigitaHONDURAS!$F$16,"")</f>
        <v>100</v>
      </c>
      <c r="F22" s="42">
        <f>IF(E22="",0,E22*PREMIOS!E20)</f>
        <v>8000</v>
      </c>
      <c r="G22" s="30">
        <f t="shared" si="3"/>
        <v>-5536</v>
      </c>
    </row>
    <row r="23" spans="1:7" x14ac:dyDescent="0.35">
      <c r="A23" s="28" t="s">
        <v>101</v>
      </c>
      <c r="B23" s="132">
        <f>IF(DigitaHONDURAS!G2&lt;&gt;"",DigitaHONDURAS!G2,"")</f>
        <v>55</v>
      </c>
      <c r="C23" s="29">
        <f>IF(DigitaHONDURAS!$G$16&lt;&gt;"",DigitaHONDURAS!$G$16,"")</f>
        <v>4700</v>
      </c>
      <c r="D23" s="42">
        <f t="shared" si="4"/>
        <v>564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4136</v>
      </c>
    </row>
    <row r="24" spans="1:7" ht="15" thickBot="1" x14ac:dyDescent="0.4">
      <c r="A24" s="121" t="s">
        <v>5</v>
      </c>
      <c r="B24" s="128"/>
      <c r="C24" s="122">
        <f>SUM(C5:C23)</f>
        <v>159550</v>
      </c>
      <c r="D24" s="122">
        <f t="shared" ref="D24:G24" si="5">SUM(D5:D23)</f>
        <v>18973</v>
      </c>
      <c r="E24" s="122">
        <f t="shared" si="5"/>
        <v>5300</v>
      </c>
      <c r="F24" s="122">
        <f t="shared" si="5"/>
        <v>562500</v>
      </c>
      <c r="G24" s="123">
        <f t="shared" si="5"/>
        <v>-421923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426800</v>
      </c>
      <c r="K4" s="231">
        <f t="shared" ref="K4" si="0">D7+D11+D15</f>
        <v>51216</v>
      </c>
      <c r="L4" s="220">
        <f>F7+F11+F15</f>
        <v>705500</v>
      </c>
    </row>
    <row r="5" spans="1:12" x14ac:dyDescent="0.35">
      <c r="A5" s="28" t="s">
        <v>43</v>
      </c>
      <c r="B5" s="132" t="str">
        <f>IF(DigitaNICA!C2&lt;&gt;"",DigitaNICA!C2,"")</f>
        <v>05</v>
      </c>
      <c r="C5" s="89">
        <f>IF(DigitaNICA!C17&lt;&gt;"",DigitaNICA!C17,"")</f>
        <v>92800</v>
      </c>
      <c r="D5" s="42">
        <f>IF(C5="",0,C5*J$16)</f>
        <v>11136</v>
      </c>
      <c r="E5" s="89">
        <f>IF(DigitaNICA!D17&lt;&gt;"",DigitaNICA!D17,"")</f>
        <v>4950</v>
      </c>
      <c r="F5" s="42">
        <f>IF(E5="",0,E5*PREMIOS!F5)</f>
        <v>420750</v>
      </c>
      <c r="G5" s="90">
        <f t="shared" ref="G5:G12" si="1">IF(OR(C5="",E5=""),0,C5-D5-F5)</f>
        <v>-339086</v>
      </c>
      <c r="I5" s="217" t="s">
        <v>37</v>
      </c>
      <c r="J5" s="221">
        <f>SUM(IF(C5="",0,C5),IF(C9="",0,C9),IF(C13="",0,C13),IF(C17="",0,C17))</f>
        <v>438400</v>
      </c>
      <c r="K5" s="225">
        <f t="shared" ref="K5" si="2">D5+D9+D13+D17</f>
        <v>52608</v>
      </c>
      <c r="L5" s="222">
        <f>F5+F9+F13+F17</f>
        <v>633250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57400</v>
      </c>
      <c r="K6" s="226">
        <f t="shared" ref="K6" si="3">+D8+D12+D16</f>
        <v>5740</v>
      </c>
      <c r="L6" s="227">
        <f>+F8+F12+F16</f>
        <v>80000</v>
      </c>
    </row>
    <row r="7" spans="1:12" x14ac:dyDescent="0.35">
      <c r="A7" s="28" t="s">
        <v>46</v>
      </c>
      <c r="B7" s="132">
        <f>IF(DigitaTICA!C2&lt;&gt;"",DigitaTICA!C2,"")</f>
        <v>83</v>
      </c>
      <c r="C7" s="89">
        <f>IF(DigitaTICA!C17&lt;&gt;"",DigitaTICA!C17,"")</f>
        <v>158450</v>
      </c>
      <c r="D7" s="42">
        <f>IF(C7="",0,C7*J$15)</f>
        <v>19014</v>
      </c>
      <c r="E7" s="89">
        <f>IF(DigitaTICA!D17&lt;&gt;"",DigitaTICA!D17,"")</f>
        <v>0</v>
      </c>
      <c r="F7" s="42">
        <f>IF(E7="",0,E7*PREMIOS!F7)</f>
        <v>0</v>
      </c>
      <c r="G7" s="90">
        <f t="shared" si="1"/>
        <v>139436</v>
      </c>
      <c r="I7" s="217" t="s">
        <v>96</v>
      </c>
      <c r="J7" s="223">
        <f>SUM(IF(C19="",0,C19),IF(C20="",0,C20))</f>
        <v>111900</v>
      </c>
      <c r="K7" s="226">
        <f>+D19+D20</f>
        <v>13428</v>
      </c>
      <c r="L7" s="227">
        <f>+F19+F20</f>
        <v>46750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28750</v>
      </c>
      <c r="D8" s="42">
        <f>IF(C8="",0,C8*J$17)</f>
        <v>2875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25875</v>
      </c>
      <c r="I8" s="217" t="s">
        <v>104</v>
      </c>
      <c r="J8" s="223">
        <f>SUM(IF(C21="",0,C21),IF(C22="",0,C22),IF(C23="",0,C23))</f>
        <v>68800</v>
      </c>
      <c r="K8" s="226">
        <f t="shared" ref="K8" si="4">D21+D22+D23</f>
        <v>8256</v>
      </c>
      <c r="L8" s="227">
        <f>F21+F22+F23</f>
        <v>21250</v>
      </c>
    </row>
    <row r="9" spans="1:12" x14ac:dyDescent="0.35">
      <c r="A9" s="28" t="s">
        <v>48</v>
      </c>
      <c r="B9" s="132">
        <f>IF(DigitaNICA!E2&lt;&gt;"",DigitaNICA!E2,"")</f>
        <v>35</v>
      </c>
      <c r="C9" s="89">
        <f>IF(DigitaNICA!E17&lt;&gt;"",DigitaNICA!E17,"")</f>
        <v>84400</v>
      </c>
      <c r="D9" s="42">
        <f>IF(C9="",0,C9*J$16)</f>
        <v>10128</v>
      </c>
      <c r="E9" s="89">
        <f>IF(DigitaNICA!F17&lt;&gt;"",DigitaNICA!F17,"")</f>
        <v>250</v>
      </c>
      <c r="F9" s="42">
        <f>IF(E9="",0,E9*PREMIOS!F9)</f>
        <v>21250</v>
      </c>
      <c r="G9" s="90">
        <f t="shared" si="1"/>
        <v>53022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75</v>
      </c>
      <c r="C11" s="89">
        <f>IF(DigitaTICA!E17&lt;&gt;"",DigitaTICA!E17,"")</f>
        <v>92550</v>
      </c>
      <c r="D11" s="42">
        <f>IF(C11="",0,C11*J$15)</f>
        <v>11106</v>
      </c>
      <c r="E11" s="89">
        <f>IF(DigitaTICA!F17&lt;&gt;"",DigitaTICA!F17,"")</f>
        <v>1600</v>
      </c>
      <c r="F11" s="42">
        <f>IF(E11="",0,E11*PREMIOS!F11)</f>
        <v>136000</v>
      </c>
      <c r="G11" s="90">
        <f t="shared" si="1"/>
        <v>-54556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10600</v>
      </c>
      <c r="D12" s="42">
        <f>IF(C12="",0,C12*J$17)</f>
        <v>1060</v>
      </c>
      <c r="E12" s="89">
        <f>IF(DigitaREVENTADO!F17&lt;&gt;"",DigitaREVENTADO!F17,"")</f>
        <v>400</v>
      </c>
      <c r="F12" s="42">
        <f>IF(E12="",0,E12*PREMIOS!F12)</f>
        <v>80000</v>
      </c>
      <c r="G12" s="90">
        <f t="shared" si="1"/>
        <v>-70460</v>
      </c>
    </row>
    <row r="13" spans="1:12" ht="15" thickBot="1" x14ac:dyDescent="0.4">
      <c r="A13" s="28" t="s">
        <v>50</v>
      </c>
      <c r="B13" s="132">
        <f>IF(DigitaNICA!G2&lt;&gt;"",DigitaNICA!G2,"")</f>
        <v>62</v>
      </c>
      <c r="C13" s="89">
        <f>IF(DigitaNICA!G17&lt;&gt;"",DigitaNICA!G17,"")</f>
        <v>65650</v>
      </c>
      <c r="D13" s="42">
        <f>IF(C13="",0,C13*J$16)</f>
        <v>7878</v>
      </c>
      <c r="E13" s="89">
        <f>IF(DigitaNICA!H17&lt;&gt;"",DigitaNICA!H17,"")</f>
        <v>500</v>
      </c>
      <c r="F13" s="42">
        <f>IF(E13="",0,E13*PREMIOS!F13)</f>
        <v>42500</v>
      </c>
      <c r="G13" s="90">
        <f>IF(OR(C13="",E13=""),0,C13-D13-F13)</f>
        <v>15272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21</v>
      </c>
      <c r="C15" s="89">
        <f>IF(DigitaTICA!G17&lt;&gt;"",DigitaTICA!G17,"")</f>
        <v>175800</v>
      </c>
      <c r="D15" s="42">
        <f>IF(C15="",0,C15*J$15)</f>
        <v>21096</v>
      </c>
      <c r="E15" s="89">
        <f>IF(DigitaTICA!H17&lt;&gt;"",DigitaTICA!H17,"")</f>
        <v>6700</v>
      </c>
      <c r="F15" s="42">
        <f>IF(E15="",0,E15*PREMIOS!F15)</f>
        <v>569500</v>
      </c>
      <c r="G15" s="90">
        <f t="shared" si="6"/>
        <v>-414796</v>
      </c>
      <c r="I15" s="76" t="s">
        <v>36</v>
      </c>
      <c r="J15" s="77">
        <v>0.12</v>
      </c>
      <c r="K15" s="78">
        <f>MROUND(D7+D11+D15,50)</f>
        <v>51200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18050</v>
      </c>
      <c r="D16" s="42">
        <f>IF(C16="",0,C16*J$17)</f>
        <v>1805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16245</v>
      </c>
      <c r="I16" s="63" t="s">
        <v>37</v>
      </c>
      <c r="J16" s="64">
        <v>0.12</v>
      </c>
      <c r="K16" s="30">
        <f>MROUND(D5+D9+D13+D17,50)</f>
        <v>52600</v>
      </c>
    </row>
    <row r="17" spans="1:11" x14ac:dyDescent="0.35">
      <c r="A17" s="28" t="s">
        <v>52</v>
      </c>
      <c r="B17" s="132">
        <f>IF(DigitaNICA!I2&lt;&gt;"",DigitaNICA!I2,"")</f>
        <v>60</v>
      </c>
      <c r="C17" s="89">
        <f>IF(DigitaNICA!I17&lt;&gt;"",DigitaNICA!I17,"")</f>
        <v>195550</v>
      </c>
      <c r="D17" s="42">
        <f>IF(C17="",0,C17*J$16)</f>
        <v>23466</v>
      </c>
      <c r="E17" s="89">
        <f>IF(DigitaNICA!J17&lt;&gt;"",DigitaNICA!J17,"")</f>
        <v>1750</v>
      </c>
      <c r="F17" s="42">
        <f>IF(E17="",0,E17*PREMIOS!F17)</f>
        <v>148750</v>
      </c>
      <c r="G17" s="90">
        <f t="shared" si="6"/>
        <v>23334</v>
      </c>
      <c r="I17" s="63" t="s">
        <v>38</v>
      </c>
      <c r="J17" s="64">
        <v>0.1</v>
      </c>
      <c r="K17" s="30">
        <f>MROUND(D6+D8+D10+D12+D14+D16+D18,50)</f>
        <v>5750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13450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>
        <f>IF(DigitaPRIMERA!$C$17&lt;&gt;"",DigitaPRIMERA!$C$17,"")</f>
        <v>86600</v>
      </c>
      <c r="D19" s="42">
        <f>IF(C19="",0,C19*J$18)</f>
        <v>10392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67708</v>
      </c>
      <c r="I19" s="63" t="s">
        <v>104</v>
      </c>
      <c r="J19" s="64">
        <v>0.12</v>
      </c>
      <c r="K19" s="30">
        <f>MROUND(D21+D22+D23,50)</f>
        <v>8250</v>
      </c>
    </row>
    <row r="20" spans="1:11" x14ac:dyDescent="0.35">
      <c r="A20" s="28" t="s">
        <v>98</v>
      </c>
      <c r="B20" s="132">
        <f>IF(DigitaPRIMERA!E2&lt;&gt;"",DigitaPRIMERA!E2,"")</f>
        <v>38</v>
      </c>
      <c r="C20" s="29">
        <f>IF(DigitaPRIMERA!$E$17&lt;&gt;"",DigitaPRIMERA!$E$17,"")</f>
        <v>25300</v>
      </c>
      <c r="D20" s="42">
        <f>IF(C20="",0,C20*J$18)</f>
        <v>3036</v>
      </c>
      <c r="E20" s="29">
        <f>IF(DigitaPRIMERA!$F$17&lt;&gt;"",DigitaPRIMERA!$F$17,"")</f>
        <v>450</v>
      </c>
      <c r="F20" s="42">
        <f>IF(E20="",0,E20*PREMIOS!F19)</f>
        <v>38250</v>
      </c>
      <c r="G20" s="30">
        <f t="shared" si="6"/>
        <v>-15986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29</v>
      </c>
      <c r="C21" s="29">
        <f>IF(DigitaHONDURAS!$C$17&lt;&gt;"",DigitaHONDURAS!$C$17,"")</f>
        <v>46400</v>
      </c>
      <c r="D21" s="42">
        <f>IF(C21="",0,C21*J$19)</f>
        <v>5568</v>
      </c>
      <c r="E21" s="29">
        <f>IF(DigitaHONDURAS!$D$17&lt;&gt;"",DigitaHONDURAS!$D$17,"")</f>
        <v>50</v>
      </c>
      <c r="F21" s="42">
        <f>IF(E21="",0,E21*PREMIOS!F20)</f>
        <v>4250</v>
      </c>
      <c r="G21" s="30">
        <f t="shared" si="6"/>
        <v>36582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30</v>
      </c>
      <c r="C22" s="29">
        <f>IF(DigitaHONDURAS!$E$17&lt;&gt;"",DigitaHONDURAS!$E$17,"")</f>
        <v>7200</v>
      </c>
      <c r="D22" s="42">
        <f>IF(C22="",0,C22*J$19)</f>
        <v>864</v>
      </c>
      <c r="E22" s="29">
        <f>IF(DigitaHONDURAS!$F$17&lt;&gt;"",DigitaHONDURAS!$F$17,"")</f>
        <v>200</v>
      </c>
      <c r="F22" s="42">
        <f>IF(E22="",0,E22*PREMIOS!F20)</f>
        <v>17000</v>
      </c>
      <c r="G22" s="30">
        <f t="shared" si="6"/>
        <v>-10664</v>
      </c>
    </row>
    <row r="23" spans="1:11" x14ac:dyDescent="0.35">
      <c r="A23" s="28" t="s">
        <v>101</v>
      </c>
      <c r="B23" s="132">
        <f>IF(DigitaHONDURAS!G2&lt;&gt;"",DigitaHONDURAS!G2,"")</f>
        <v>55</v>
      </c>
      <c r="C23" s="29">
        <f>IF(DigitaHONDURAS!$G$17&lt;&gt;"",DigitaHONDURAS!$G$17,"")</f>
        <v>15200</v>
      </c>
      <c r="D23" s="42">
        <f>IF(C23="",0,C23*J$19)</f>
        <v>1824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13376</v>
      </c>
    </row>
    <row r="24" spans="1:11" x14ac:dyDescent="0.35">
      <c r="A24" s="28" t="s">
        <v>102</v>
      </c>
      <c r="B24" s="132">
        <f>IF(DigitaDOMINICANA!C2&lt;&gt;"",DigitaDOMINICANA!C2,"")</f>
        <v>32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1103300</v>
      </c>
      <c r="D27" s="68">
        <f t="shared" ref="D27:G27" si="7">SUM(D5:D26)</f>
        <v>131248</v>
      </c>
      <c r="E27" s="68">
        <f t="shared" si="7"/>
        <v>16950</v>
      </c>
      <c r="F27" s="68">
        <f t="shared" si="7"/>
        <v>1486750</v>
      </c>
      <c r="G27" s="88">
        <f t="shared" si="7"/>
        <v>-514698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154350</v>
      </c>
      <c r="K4" s="231">
        <f t="shared" ref="K4" si="0">D7+D11+D15</f>
        <v>18522</v>
      </c>
      <c r="L4" s="220">
        <f>F7+F11+F15</f>
        <v>221000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05</v>
      </c>
      <c r="C5" s="29">
        <f>IF(DigitaNICA!C18&lt;&gt;"",DigitaNICA!C18,"")</f>
        <v>63200</v>
      </c>
      <c r="D5" s="42">
        <f>IF(C5="",0,C5*J$16)</f>
        <v>7584</v>
      </c>
      <c r="E5" s="29">
        <f>IF(DigitaNICA!D18&lt;&gt;"",DigitaNICA!D18,"")</f>
        <v>2450</v>
      </c>
      <c r="F5" s="42">
        <f>IF(E5="",0,E5*PREMIOS!F5)</f>
        <v>208250</v>
      </c>
      <c r="G5" s="30">
        <f t="shared" ref="G5:G12" si="1">IF(OR(C5="",E5=""),0,C5-D5-F5)</f>
        <v>-152634</v>
      </c>
      <c r="I5" s="217" t="s">
        <v>37</v>
      </c>
      <c r="J5" s="221">
        <f>SUM(IF(C5="",0,C5),IF(C9="",0,C9),IF(C13="",0,C13),IF(C17="",0,C17))</f>
        <v>130050</v>
      </c>
      <c r="K5" s="225">
        <f t="shared" ref="K5" si="2">D5+D9+D13+D17</f>
        <v>15606</v>
      </c>
      <c r="L5" s="222">
        <f>F5+F9+F13+F17</f>
        <v>352750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37400</v>
      </c>
      <c r="K6" s="226">
        <f t="shared" ref="K6" si="3">+D8+D12+D16</f>
        <v>3740</v>
      </c>
      <c r="L6" s="227">
        <f>+F8+F12+F16</f>
        <v>70000</v>
      </c>
    </row>
    <row r="7" spans="1:12" x14ac:dyDescent="0.35">
      <c r="A7" s="28" t="str">
        <f>+Vendedor1!A7</f>
        <v>Tica 1pm</v>
      </c>
      <c r="B7" s="132">
        <f>IF(DigitaTICA!C2&lt;&gt;"",DigitaTICA!C2,"")</f>
        <v>83</v>
      </c>
      <c r="C7" s="29">
        <f>IF(DigitaTICA!C18&lt;&gt;"",DigitaTICA!C18,"")</f>
        <v>66450</v>
      </c>
      <c r="D7" s="42">
        <f>IF(C7="",0,C7*J$15)</f>
        <v>7974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58476</v>
      </c>
      <c r="I7" s="217" t="s">
        <v>96</v>
      </c>
      <c r="J7" s="223">
        <f>SUM(IF(C19="",0,C19),IF(C20="",0,C20))</f>
        <v>55200</v>
      </c>
      <c r="K7" s="226">
        <f>+D19+D20</f>
        <v>6624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15800</v>
      </c>
      <c r="D8" s="42">
        <f>IF(C8="",0,C8*J$17)</f>
        <v>1580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14220</v>
      </c>
      <c r="I8" s="217" t="s">
        <v>104</v>
      </c>
      <c r="J8" s="223">
        <f>SUM(IF(C21="",0,C21),IF(C22="",0,C22),IF(C23="",0,C23))</f>
        <v>32950</v>
      </c>
      <c r="K8" s="226">
        <f t="shared" ref="K8" si="4">D21+D22+D23</f>
        <v>3954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35</v>
      </c>
      <c r="C9" s="29">
        <f>IF(DigitaNICA!E18&lt;&gt;"",DigitaNICA!E18,"")</f>
        <v>28850</v>
      </c>
      <c r="D9" s="42">
        <f>IF(C9="",0,C9*J$16)</f>
        <v>3462</v>
      </c>
      <c r="E9" s="29">
        <f>IF(DigitaNICA!F18&lt;&gt;"",DigitaNICA!F18,"")</f>
        <v>1200</v>
      </c>
      <c r="F9" s="42">
        <f>IF(E9="",0,E9*PREMIOS!F9)</f>
        <v>102000</v>
      </c>
      <c r="G9" s="30">
        <f t="shared" si="1"/>
        <v>-76612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75</v>
      </c>
      <c r="C11" s="29">
        <f>IF(DigitaTICA!E18&lt;&gt;"",DigitaTICA!E18,"")</f>
        <v>29650</v>
      </c>
      <c r="D11" s="42">
        <f>IF(C11="",0,C11*J$15)</f>
        <v>3558</v>
      </c>
      <c r="E11" s="29">
        <f>IF(DigitaTICA!F18&lt;&gt;"",DigitaTICA!F18,"")</f>
        <v>50</v>
      </c>
      <c r="F11" s="42">
        <f>IF(E11="",0,E11*PREMIOS!F11)</f>
        <v>4250</v>
      </c>
      <c r="G11" s="30">
        <f t="shared" si="1"/>
        <v>21842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10550</v>
      </c>
      <c r="D12" s="42">
        <f>IF(C12="",0,C12*J$17)</f>
        <v>1055</v>
      </c>
      <c r="E12" s="29">
        <f>IF(DigitaREVENTADO!F18&lt;&gt;"",DigitaREVENTADO!F18,"")</f>
        <v>50</v>
      </c>
      <c r="F12" s="42">
        <f>IF(E12="",0,E12*PREMIOS!F12)</f>
        <v>10000</v>
      </c>
      <c r="G12" s="30">
        <f t="shared" si="1"/>
        <v>-505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62</v>
      </c>
      <c r="C13" s="29">
        <f>IF(DigitaNICA!G18&lt;&gt;"",DigitaNICA!G18,"")</f>
        <v>19500</v>
      </c>
      <c r="D13" s="42">
        <f>IF(C13="",0,C13*J$16)</f>
        <v>2340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17160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21</v>
      </c>
      <c r="C15" s="29">
        <f>IF(DigitaTICA!G18&lt;&gt;"",DigitaTICA!G18,"")</f>
        <v>58250</v>
      </c>
      <c r="D15" s="42">
        <f>IF(C15="",0,C15*J$15)</f>
        <v>6990</v>
      </c>
      <c r="E15" s="29">
        <f>IF(DigitaTICA!H18&lt;&gt;"",DigitaTICA!H18,"")</f>
        <v>2550</v>
      </c>
      <c r="F15" s="42">
        <f>IF(E15="",0,E15*PREMIOS!F15)</f>
        <v>216750</v>
      </c>
      <c r="G15" s="30">
        <f t="shared" si="6"/>
        <v>-165490</v>
      </c>
      <c r="I15" s="76" t="s">
        <v>36</v>
      </c>
      <c r="J15" s="77">
        <v>0.12</v>
      </c>
      <c r="K15" s="78">
        <f>MROUND(D7+D11+D15,50)</f>
        <v>18500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11050</v>
      </c>
      <c r="D16" s="42">
        <f>IF(C16="",0,C16*J$17)</f>
        <v>1105</v>
      </c>
      <c r="E16" s="29">
        <f>IF(DigitaREVENTADO!H18&lt;&gt;"",DigitaREVENTADO!H18,"")</f>
        <v>300</v>
      </c>
      <c r="F16" s="42">
        <f>IF(E16="",0,E16*PREMIOS!F16)</f>
        <v>60000</v>
      </c>
      <c r="G16" s="30">
        <f t="shared" si="6"/>
        <v>-50055</v>
      </c>
      <c r="I16" s="63" t="s">
        <v>37</v>
      </c>
      <c r="J16" s="64">
        <v>0.12</v>
      </c>
      <c r="K16" s="30">
        <f>MROUND(D5+D9+D13+D17,50)</f>
        <v>15600</v>
      </c>
    </row>
    <row r="17" spans="1:11" x14ac:dyDescent="0.35">
      <c r="A17" s="28" t="str">
        <f>+Vendedor1!A17</f>
        <v>Nica 9pm</v>
      </c>
      <c r="B17" s="132">
        <f>IF(DigitaNICA!I2&lt;&gt;"",DigitaNICA!I2,"")</f>
        <v>60</v>
      </c>
      <c r="C17" s="29">
        <f>IF(DigitaNICA!I18&lt;&gt;"",DigitaNICA!I18,"")</f>
        <v>18500</v>
      </c>
      <c r="D17" s="42">
        <f>IF(C17="",0,C17*J$16)</f>
        <v>2220</v>
      </c>
      <c r="E17" s="29">
        <f>IF(DigitaNICA!J18&lt;&gt;"",DigitaNICA!J18,"")</f>
        <v>500</v>
      </c>
      <c r="F17" s="42">
        <f>IF(E17="",0,E17*PREMIOS!F17)</f>
        <v>42500</v>
      </c>
      <c r="G17" s="30">
        <f t="shared" si="6"/>
        <v>-26220</v>
      </c>
      <c r="I17" s="63" t="s">
        <v>38</v>
      </c>
      <c r="J17" s="64">
        <v>0.1</v>
      </c>
      <c r="K17" s="30">
        <f>MROUND(D6+D8+D10+D12+D14+D16+D18,50)</f>
        <v>3750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6600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>
        <f>IF(DigitaPRIMERA!$C$18&lt;&gt;"",DigitaPRIMERA!$C$18,"")</f>
        <v>32700</v>
      </c>
      <c r="D19" s="42">
        <f>IF(C19="",0,C19*J$18)</f>
        <v>3924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28776</v>
      </c>
      <c r="I19" s="63" t="s">
        <v>104</v>
      </c>
      <c r="J19" s="64">
        <v>0.12</v>
      </c>
      <c r="K19" s="30">
        <f>MROUND(D21+D22+D23,50)</f>
        <v>3950</v>
      </c>
    </row>
    <row r="20" spans="1:11" x14ac:dyDescent="0.35">
      <c r="A20" s="28" t="s">
        <v>98</v>
      </c>
      <c r="B20" s="132">
        <f>IF(DigitaPRIMERA!E2&lt;&gt;"",DigitaPRIMERA!E2,"")</f>
        <v>38</v>
      </c>
      <c r="C20" s="29">
        <f>IF(DigitaPRIMERA!$E$18&lt;&gt;"",DigitaPRIMERA!$E$18,"")</f>
        <v>22500</v>
      </c>
      <c r="D20" s="42">
        <f>IF(C20="",0,C20*J$18)</f>
        <v>2700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19800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29</v>
      </c>
      <c r="C21" s="29">
        <f>IF(DigitaHONDURAS!$C$18&lt;&gt;"",DigitaHONDURAS!$C$18,"")</f>
        <v>15600</v>
      </c>
      <c r="D21" s="42">
        <f>IF(C21="",0,C21*J$19)</f>
        <v>1872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13728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30</v>
      </c>
      <c r="C22" s="29">
        <f>IF(DigitaHONDURAS!$E$18&lt;&gt;"",DigitaHONDURAS!$E$18,"")</f>
        <v>4000</v>
      </c>
      <c r="D22" s="42">
        <f>IF(C22="",0,C22*J$19)</f>
        <v>480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3520</v>
      </c>
    </row>
    <row r="23" spans="1:11" x14ac:dyDescent="0.35">
      <c r="A23" s="28" t="s">
        <v>101</v>
      </c>
      <c r="B23" s="132">
        <f>IF(DigitaHONDURAS!G2&lt;&gt;"",DigitaHONDURAS!G2,"")</f>
        <v>55</v>
      </c>
      <c r="C23" s="29">
        <f>IF(DigitaHONDURAS!$G$18&lt;&gt;"",DigitaHONDURAS!$G$18,"")</f>
        <v>13350</v>
      </c>
      <c r="D23" s="42">
        <f>IF(C23="",0,C23*J$19)</f>
        <v>1602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11748</v>
      </c>
    </row>
    <row r="24" spans="1:11" x14ac:dyDescent="0.35">
      <c r="A24" s="28" t="s">
        <v>102</v>
      </c>
      <c r="B24" s="132">
        <f>IF(DigitaDOMINICANA!C2&lt;&gt;"",DigitaDOMINICANA!C2,"")</f>
        <v>32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409950</v>
      </c>
      <c r="D27" s="68">
        <f t="shared" ref="D27:G27" si="7">SUM(D5:D26)</f>
        <v>48446</v>
      </c>
      <c r="E27" s="68">
        <f t="shared" si="7"/>
        <v>7100</v>
      </c>
      <c r="F27" s="68">
        <f t="shared" si="7"/>
        <v>643750</v>
      </c>
      <c r="G27" s="88">
        <f t="shared" si="7"/>
        <v>-282246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35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75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-272</v>
      </c>
      <c r="K4" s="56">
        <f>SUM(F5,F7,F9,F11,F13,F15,F17)</f>
        <v>-23120</v>
      </c>
    </row>
    <row r="5" spans="1:11" ht="15" thickBot="1" x14ac:dyDescent="0.4">
      <c r="A5" s="28" t="s">
        <v>43</v>
      </c>
      <c r="B5" s="126"/>
      <c r="C5" s="29">
        <f>IF(DigitaNICA!C27&lt;&gt;"",DigitaNICA!C27,"")</f>
        <v>-5250</v>
      </c>
      <c r="D5" s="42">
        <f>IF(C5="",0,C5*J$10)</f>
        <v>-630</v>
      </c>
      <c r="E5" s="29">
        <f>IF(DigitaNICA!D27&lt;&gt;"",DigitaNICA!D27,"")</f>
        <v>0</v>
      </c>
      <c r="F5" s="42">
        <f>IF(E5="",0,E5*PREMIOS!F5)</f>
        <v>0</v>
      </c>
      <c r="G5" s="30">
        <f t="shared" ref="G5:G12" si="0">IF(OR(C5="",E5=""),0,C5-D5-F5)</f>
        <v>-4620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-50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-650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>
        <f>IF(DigitaTICA!G27&lt;&gt;"",DigitaTICA!G27,"")</f>
        <v>-272</v>
      </c>
      <c r="D15" s="42">
        <f>IF(C15="",0,C15*J$9)</f>
        <v>-32.64</v>
      </c>
      <c r="E15" s="29">
        <f>IF(DigitaTICA!H27&lt;&gt;"",DigitaTICA!H27,"")</f>
        <v>-272</v>
      </c>
      <c r="F15" s="42">
        <f>IF(E15="",0,E15*PREMIOS!F15)</f>
        <v>-23120</v>
      </c>
      <c r="G15" s="30">
        <f t="shared" si="1"/>
        <v>22880.639999999999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>
        <f>IF(DigitaPRIMERA!$E$27&lt;&gt;"",DigitaPRIMERA!$E$27,"")</f>
        <v>-16000</v>
      </c>
      <c r="D20" s="42">
        <f>IF(C20="",0,C20*J$12)</f>
        <v>-1920</v>
      </c>
      <c r="E20" s="29">
        <f>IF(DigitaPRIMERA!$F$27&lt;&gt;"",DigitaPRIMERA!$F$27,"")</f>
        <v>-750</v>
      </c>
      <c r="F20" s="42">
        <f>IF(E20="",0,E20*PREMIOS!F19)</f>
        <v>-63750</v>
      </c>
      <c r="G20" s="30">
        <f t="shared" si="1"/>
        <v>49670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-21522</v>
      </c>
      <c r="D27" s="68">
        <f t="shared" ref="D27:G27" si="2">SUM(D5:D26)</f>
        <v>-2582.64</v>
      </c>
      <c r="E27" s="68">
        <f t="shared" si="2"/>
        <v>-1022</v>
      </c>
      <c r="F27" s="68">
        <f t="shared" si="2"/>
        <v>-86870</v>
      </c>
      <c r="G27" s="88">
        <f t="shared" si="2"/>
        <v>67930.64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83</v>
      </c>
      <c r="D2" s="268"/>
      <c r="E2" s="267">
        <f>IF(PREMIOS!$B11="","",PREMIOS!$B11)</f>
        <v>75</v>
      </c>
      <c r="F2" s="268"/>
      <c r="G2" s="267">
        <f>IF(PREMIOS!$B15="","",PREMIOS!$B15)</f>
        <v>21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f>63000+2500</f>
        <v>65500</v>
      </c>
      <c r="D4" s="78">
        <v>250</v>
      </c>
      <c r="E4" s="189">
        <v>30600</v>
      </c>
      <c r="F4" s="78">
        <v>200</v>
      </c>
      <c r="G4" s="189">
        <v>64850</v>
      </c>
      <c r="H4" s="78">
        <v>3000</v>
      </c>
      <c r="J4" s="42">
        <f t="shared" ref="J4:J8" si="0">+C4+E4+G4</f>
        <v>160950</v>
      </c>
      <c r="K4" s="42">
        <f>IF(D4="",0,IF(F4="",D4,IF(H4="",D4+F4,D4+F4+H4)))</f>
        <v>3450</v>
      </c>
    </row>
    <row r="5" spans="1:11" x14ac:dyDescent="0.35">
      <c r="A5" s="47">
        <v>2</v>
      </c>
      <c r="B5" s="178" t="str">
        <f>Vendedor2!$B$2</f>
        <v>PUESTO 2</v>
      </c>
      <c r="C5" s="180">
        <v>39250</v>
      </c>
      <c r="D5" s="30">
        <f t="shared" ref="D5:H27" si="1">IF(C5="","",0)</f>
        <v>0</v>
      </c>
      <c r="E5" s="180">
        <v>28100</v>
      </c>
      <c r="F5" s="30">
        <v>500</v>
      </c>
      <c r="G5" s="180">
        <v>61000</v>
      </c>
      <c r="H5" s="30">
        <v>4300</v>
      </c>
      <c r="J5" s="42">
        <f t="shared" si="0"/>
        <v>128350</v>
      </c>
      <c r="K5" s="42">
        <f t="shared" ref="K5:K27" si="2">IF(D5="",0,IF(F5="",D5,IF(H5="",D5+F5,D5+F5+H5)))</f>
        <v>4800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58250</v>
      </c>
      <c r="D8" s="30">
        <v>500</v>
      </c>
      <c r="E8" s="180">
        <v>46350</v>
      </c>
      <c r="F8" s="30">
        <v>1600</v>
      </c>
      <c r="G8" s="180">
        <v>60550</v>
      </c>
      <c r="H8" s="30">
        <v>1000</v>
      </c>
      <c r="J8" s="42">
        <f t="shared" si="0"/>
        <v>165150</v>
      </c>
      <c r="K8" s="42">
        <f t="shared" si="2"/>
        <v>3100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48700+134900</f>
        <v>183600</v>
      </c>
      <c r="D10" s="30">
        <v>150</v>
      </c>
      <c r="E10" s="180">
        <f>43050+90500</f>
        <v>133550</v>
      </c>
      <c r="F10" s="30">
        <v>750</v>
      </c>
      <c r="G10" s="180">
        <f>45200+103250</f>
        <v>148450</v>
      </c>
      <c r="H10" s="30">
        <f>1350+2000</f>
        <v>3350</v>
      </c>
      <c r="J10" s="42">
        <f t="shared" si="3"/>
        <v>465600</v>
      </c>
      <c r="K10" s="42">
        <f t="shared" si="2"/>
        <v>4250</v>
      </c>
    </row>
    <row r="11" spans="1:11" x14ac:dyDescent="0.35">
      <c r="A11" s="47">
        <v>8</v>
      </c>
      <c r="B11" s="178" t="str">
        <f>Vendedor8!$B$2</f>
        <v>ISA</v>
      </c>
      <c r="C11" s="180">
        <v>4000</v>
      </c>
      <c r="D11" s="30">
        <f t="shared" si="1"/>
        <v>0</v>
      </c>
      <c r="E11" s="180"/>
      <c r="F11" s="30" t="str">
        <f t="shared" si="1"/>
        <v/>
      </c>
      <c r="G11" s="180">
        <v>12800</v>
      </c>
      <c r="H11" s="30">
        <v>700</v>
      </c>
      <c r="J11" s="42">
        <f t="shared" si="3"/>
        <v>16800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12200</v>
      </c>
      <c r="D12" s="30">
        <v>300</v>
      </c>
      <c r="E12" s="180">
        <v>18400</v>
      </c>
      <c r="F12" s="30">
        <f t="shared" si="1"/>
        <v>0</v>
      </c>
      <c r="G12" s="180">
        <v>23250</v>
      </c>
      <c r="H12" s="30">
        <v>500</v>
      </c>
      <c r="J12" s="42">
        <f t="shared" si="3"/>
        <v>53850</v>
      </c>
      <c r="K12" s="42">
        <f t="shared" si="2"/>
        <v>800</v>
      </c>
    </row>
    <row r="13" spans="1:11" x14ac:dyDescent="0.35">
      <c r="A13" s="47">
        <v>10</v>
      </c>
      <c r="B13" s="178" t="str">
        <f>Vendedor10!$B$2</f>
        <v>MARIALIZ</v>
      </c>
      <c r="C13" s="180">
        <v>36700</v>
      </c>
      <c r="D13" s="30">
        <f t="shared" si="1"/>
        <v>0</v>
      </c>
      <c r="E13" s="180">
        <v>28400</v>
      </c>
      <c r="F13" s="30">
        <f t="shared" si="1"/>
        <v>0</v>
      </c>
      <c r="G13" s="180">
        <v>50900</v>
      </c>
      <c r="H13" s="30">
        <v>2300</v>
      </c>
      <c r="J13" s="42">
        <f t="shared" si="3"/>
        <v>116000</v>
      </c>
      <c r="K13" s="42">
        <f t="shared" si="2"/>
        <v>2300</v>
      </c>
    </row>
    <row r="14" spans="1:11" x14ac:dyDescent="0.35">
      <c r="A14" s="47">
        <v>11</v>
      </c>
      <c r="B14" s="178" t="str">
        <f>Vendedor11!$B$2</f>
        <v>CHARLY</v>
      </c>
      <c r="C14" s="180">
        <v>52500</v>
      </c>
      <c r="D14" s="30">
        <v>300</v>
      </c>
      <c r="E14" s="180">
        <v>29300</v>
      </c>
      <c r="F14" s="30">
        <v>300</v>
      </c>
      <c r="G14" s="180">
        <v>41600</v>
      </c>
      <c r="H14" s="30">
        <v>1500</v>
      </c>
      <c r="J14" s="42">
        <f t="shared" si="3"/>
        <v>123400</v>
      </c>
      <c r="K14" s="42">
        <f t="shared" si="2"/>
        <v>2100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37400</v>
      </c>
      <c r="D16" s="30">
        <v>200</v>
      </c>
      <c r="E16" s="180">
        <v>18700</v>
      </c>
      <c r="F16" s="30">
        <f t="shared" si="1"/>
        <v>0</v>
      </c>
      <c r="G16" s="180">
        <v>30750</v>
      </c>
      <c r="H16" s="30">
        <v>3500</v>
      </c>
      <c r="J16" s="42">
        <f t="shared" si="3"/>
        <v>86850</v>
      </c>
      <c r="K16" s="42">
        <f t="shared" si="2"/>
        <v>3700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121300+37150</f>
        <v>158450</v>
      </c>
      <c r="D17" s="30">
        <f t="shared" si="1"/>
        <v>0</v>
      </c>
      <c r="E17" s="180">
        <f>11600+80950</f>
        <v>92550</v>
      </c>
      <c r="F17" s="30">
        <f>900+700</f>
        <v>1600</v>
      </c>
      <c r="G17" s="180">
        <f>20350+155450</f>
        <v>175800</v>
      </c>
      <c r="H17" s="30">
        <v>6700</v>
      </c>
      <c r="J17" s="42">
        <f t="shared" si="3"/>
        <v>426800</v>
      </c>
      <c r="K17" s="42">
        <f t="shared" si="2"/>
        <v>8300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49450+17000</f>
        <v>66450</v>
      </c>
      <c r="D18" s="30">
        <f t="shared" si="1"/>
        <v>0</v>
      </c>
      <c r="E18" s="180">
        <f>13750+15900</f>
        <v>29650</v>
      </c>
      <c r="F18" s="30">
        <f>50+0</f>
        <v>50</v>
      </c>
      <c r="G18" s="180">
        <f>15450+42800</f>
        <v>58250</v>
      </c>
      <c r="H18" s="30">
        <f>300+2250</f>
        <v>2550</v>
      </c>
      <c r="J18" s="42">
        <f t="shared" si="3"/>
        <v>154350</v>
      </c>
      <c r="K18" s="42">
        <f t="shared" si="2"/>
        <v>2600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6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>
        <v>-272</v>
      </c>
      <c r="H27" s="50">
        <v>-272</v>
      </c>
      <c r="J27" s="42">
        <f t="shared" si="3"/>
        <v>-272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714300</v>
      </c>
      <c r="D32" s="44">
        <f t="shared" si="6"/>
        <v>1700</v>
      </c>
      <c r="E32" s="43">
        <f t="shared" si="6"/>
        <v>455600</v>
      </c>
      <c r="F32" s="44">
        <f t="shared" si="6"/>
        <v>5000</v>
      </c>
      <c r="G32" s="43">
        <f t="shared" si="6"/>
        <v>727928</v>
      </c>
      <c r="H32" s="44">
        <f t="shared" si="6"/>
        <v>29128</v>
      </c>
      <c r="J32" s="95">
        <f>SUM(J4:J31)</f>
        <v>1897828</v>
      </c>
      <c r="K32" s="95"/>
    </row>
    <row r="33" spans="2:8" x14ac:dyDescent="0.35">
      <c r="D33" s="99">
        <f>+D32*85</f>
        <v>144500</v>
      </c>
      <c r="F33" s="99">
        <f>+F32*85</f>
        <v>425000</v>
      </c>
      <c r="H33" s="99">
        <f>+H32*85</f>
        <v>2475880</v>
      </c>
    </row>
    <row r="34" spans="2:8" x14ac:dyDescent="0.35">
      <c r="B34" s="247" t="s">
        <v>149</v>
      </c>
      <c r="C34" s="43">
        <f t="shared" ref="C34:H34" si="7">+C4+C5+C6+C8+C13</f>
        <v>199700</v>
      </c>
      <c r="D34" s="43" t="e">
        <f t="shared" si="7"/>
        <v>#VALUE!</v>
      </c>
      <c r="E34" s="43">
        <f t="shared" si="7"/>
        <v>133450</v>
      </c>
      <c r="F34" s="43" t="e">
        <f t="shared" si="7"/>
        <v>#VALUE!</v>
      </c>
      <c r="G34" s="43">
        <f t="shared" si="7"/>
        <v>237300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281400</v>
      </c>
      <c r="D35" s="43" t="e">
        <f t="shared" ref="D35:H35" si="8">+D11+D14+D15+D17+D18</f>
        <v>#VALUE!</v>
      </c>
      <c r="E35" s="43">
        <f t="shared" si="8"/>
        <v>151500</v>
      </c>
      <c r="F35" s="43" t="e">
        <f t="shared" si="8"/>
        <v>#VALUE!</v>
      </c>
      <c r="G35" s="43">
        <f t="shared" si="8"/>
        <v>288450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195800</v>
      </c>
      <c r="D36" s="43" t="e">
        <f t="shared" ref="D36:H36" si="9">+D10+D12+D27</f>
        <v>#VALUE!</v>
      </c>
      <c r="E36" s="43">
        <f t="shared" si="9"/>
        <v>151950</v>
      </c>
      <c r="F36" s="43" t="e">
        <f t="shared" si="9"/>
        <v>#VALUE!</v>
      </c>
      <c r="G36" s="43">
        <f t="shared" si="9"/>
        <v>171428</v>
      </c>
      <c r="H36" s="43">
        <f t="shared" si="9"/>
        <v>3578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05</v>
      </c>
      <c r="D2" s="268"/>
      <c r="E2" s="267">
        <f>IF(PREMIOS!$B9="","",PREMIOS!$B9)</f>
        <v>35</v>
      </c>
      <c r="F2" s="268"/>
      <c r="G2" s="267">
        <f>IF(PREMIOS!$B13="","",PREMIOS!$B13)</f>
        <v>62</v>
      </c>
      <c r="H2" s="268"/>
      <c r="I2" s="267">
        <f>IF(PREMIOS!$B17="","",PREMIOS!$B17)</f>
        <v>60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44200</v>
      </c>
      <c r="D4" s="78">
        <v>1600</v>
      </c>
      <c r="E4" s="206">
        <v>27100</v>
      </c>
      <c r="F4" s="78">
        <v>1000</v>
      </c>
      <c r="G4" s="189">
        <v>2400</v>
      </c>
      <c r="H4" s="78">
        <f t="shared" ref="H4:H27" si="0">IF(G4="","",0)</f>
        <v>0</v>
      </c>
      <c r="I4" s="189">
        <v>2800</v>
      </c>
      <c r="J4" s="78">
        <v>400</v>
      </c>
      <c r="L4" s="42">
        <f t="shared" ref="L4:L8" si="1">+C4+E4+G4+I4</f>
        <v>76500</v>
      </c>
      <c r="M4" s="42">
        <f>IF(D4=0,0,IF(F4="",D4,IF(H4="",D4+F4,IF(J4="",D4+F4+H4,D4+F4+H4+J4))))</f>
        <v>3000</v>
      </c>
    </row>
    <row r="5" spans="1:13" x14ac:dyDescent="0.35">
      <c r="A5" s="47">
        <v>2</v>
      </c>
      <c r="B5" s="178" t="str">
        <f>Vendedor2!$B$2</f>
        <v>PUESTO 2</v>
      </c>
      <c r="C5" s="180">
        <v>11100</v>
      </c>
      <c r="D5" s="30">
        <f t="shared" ref="D5:J27" si="2">IF(C5="","",0)</f>
        <v>0</v>
      </c>
      <c r="E5" s="207">
        <v>1100</v>
      </c>
      <c r="F5" s="30">
        <v>200</v>
      </c>
      <c r="G5" s="180">
        <v>2700</v>
      </c>
      <c r="H5" s="30">
        <f t="shared" si="0"/>
        <v>0</v>
      </c>
      <c r="I5" s="180"/>
      <c r="J5" s="30" t="str">
        <f t="shared" ref="J5:J27" si="3">IF(I5="","",0)</f>
        <v/>
      </c>
      <c r="L5" s="42">
        <f t="shared" si="1"/>
        <v>14900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2"/>
        <v/>
      </c>
      <c r="E6" s="207"/>
      <c r="F6" s="30" t="str">
        <f t="shared" si="2"/>
        <v/>
      </c>
      <c r="G6" s="180"/>
      <c r="H6" s="30" t="str">
        <f t="shared" si="0"/>
        <v/>
      </c>
      <c r="I6" s="180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207"/>
      <c r="F7" s="30" t="str">
        <f t="shared" si="2"/>
        <v/>
      </c>
      <c r="G7" s="180"/>
      <c r="H7" s="30" t="str">
        <f t="shared" si="0"/>
        <v/>
      </c>
      <c r="I7" s="180"/>
      <c r="J7" s="30" t="str">
        <f t="shared" si="2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41800</v>
      </c>
      <c r="D8" s="30">
        <v>1950</v>
      </c>
      <c r="E8" s="207">
        <v>42400</v>
      </c>
      <c r="F8" s="30">
        <v>200</v>
      </c>
      <c r="G8" s="180">
        <v>17650</v>
      </c>
      <c r="H8" s="30">
        <f t="shared" si="0"/>
        <v>0</v>
      </c>
      <c r="I8" s="180">
        <v>59800</v>
      </c>
      <c r="J8" s="30">
        <f t="shared" si="2"/>
        <v>0</v>
      </c>
      <c r="L8" s="42">
        <f t="shared" si="1"/>
        <v>161650</v>
      </c>
      <c r="M8" s="42">
        <f t="shared" si="4"/>
        <v>2150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207"/>
      <c r="F9" s="30" t="str">
        <f t="shared" si="2"/>
        <v/>
      </c>
      <c r="G9" s="180"/>
      <c r="H9" s="30" t="str">
        <f t="shared" si="0"/>
        <v/>
      </c>
      <c r="I9" s="180"/>
      <c r="J9" s="30" t="str">
        <f t="shared" si="2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19450+57450</f>
        <v>76900</v>
      </c>
      <c r="D10" s="30">
        <f>600+4300</f>
        <v>4900</v>
      </c>
      <c r="E10" s="207">
        <f>25150+26850</f>
        <v>52000</v>
      </c>
      <c r="F10" s="30">
        <f>200+800</f>
        <v>1000</v>
      </c>
      <c r="G10" s="180">
        <f>24500+37300</f>
        <v>61800</v>
      </c>
      <c r="H10" s="30">
        <f t="shared" si="2"/>
        <v>0</v>
      </c>
      <c r="I10" s="180">
        <f>57100+51200</f>
        <v>108300</v>
      </c>
      <c r="J10" s="30">
        <f>500+150</f>
        <v>650</v>
      </c>
      <c r="L10" s="42">
        <f t="shared" si="5"/>
        <v>299000</v>
      </c>
      <c r="M10" s="42">
        <f t="shared" si="4"/>
        <v>6550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2"/>
        <v/>
      </c>
      <c r="E11" s="207"/>
      <c r="F11" s="30" t="str">
        <f t="shared" si="2"/>
        <v/>
      </c>
      <c r="G11" s="180"/>
      <c r="H11" s="30" t="str">
        <f t="shared" si="2"/>
        <v/>
      </c>
      <c r="I11" s="180"/>
      <c r="J11" s="30" t="str">
        <f t="shared" si="2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15500</v>
      </c>
      <c r="D12" s="30">
        <v>100</v>
      </c>
      <c r="E12" s="207">
        <v>2500</v>
      </c>
      <c r="F12" s="30">
        <f t="shared" si="2"/>
        <v>0</v>
      </c>
      <c r="G12" s="180"/>
      <c r="H12" s="30" t="str">
        <f t="shared" si="2"/>
        <v/>
      </c>
      <c r="I12" s="180"/>
      <c r="J12" s="30" t="str">
        <f t="shared" si="2"/>
        <v/>
      </c>
      <c r="L12" s="42">
        <f t="shared" si="5"/>
        <v>18000</v>
      </c>
      <c r="M12" s="42">
        <f t="shared" si="4"/>
        <v>100</v>
      </c>
    </row>
    <row r="13" spans="1:13" x14ac:dyDescent="0.35">
      <c r="A13" s="47">
        <v>10</v>
      </c>
      <c r="B13" s="178" t="str">
        <f>Vendedor10!$B$2</f>
        <v>MARIALIZ</v>
      </c>
      <c r="C13" s="180">
        <v>10750</v>
      </c>
      <c r="D13" s="30">
        <f t="shared" si="2"/>
        <v>0</v>
      </c>
      <c r="E13" s="207">
        <v>26750</v>
      </c>
      <c r="F13" s="30">
        <f t="shared" si="2"/>
        <v>0</v>
      </c>
      <c r="G13" s="180">
        <v>7800</v>
      </c>
      <c r="H13" s="30">
        <f t="shared" si="2"/>
        <v>0</v>
      </c>
      <c r="I13" s="180">
        <v>1000</v>
      </c>
      <c r="J13" s="30">
        <f t="shared" si="2"/>
        <v>0</v>
      </c>
      <c r="L13" s="42">
        <f t="shared" si="5"/>
        <v>46300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2"/>
        <v/>
      </c>
      <c r="E14" s="208"/>
      <c r="F14" s="185" t="str">
        <f t="shared" si="2"/>
        <v/>
      </c>
      <c r="G14" s="184"/>
      <c r="H14" s="185" t="str">
        <f t="shared" si="2"/>
        <v/>
      </c>
      <c r="I14" s="184"/>
      <c r="J14" s="185" t="str">
        <f t="shared" si="2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207"/>
      <c r="F15" s="30" t="str">
        <f t="shared" si="2"/>
        <v/>
      </c>
      <c r="G15" s="180"/>
      <c r="H15" s="30" t="str">
        <f t="shared" si="2"/>
        <v/>
      </c>
      <c r="I15" s="180"/>
      <c r="J15" s="30" t="str">
        <f t="shared" si="2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16950</v>
      </c>
      <c r="D16" s="30">
        <v>500</v>
      </c>
      <c r="E16" s="207">
        <v>14000</v>
      </c>
      <c r="F16" s="30">
        <f t="shared" si="2"/>
        <v>0</v>
      </c>
      <c r="G16" s="180"/>
      <c r="H16" s="30" t="str">
        <f t="shared" si="2"/>
        <v/>
      </c>
      <c r="I16" s="180">
        <v>17500</v>
      </c>
      <c r="J16" s="30">
        <f t="shared" si="2"/>
        <v>0</v>
      </c>
      <c r="L16" s="42">
        <f t="shared" si="5"/>
        <v>48450</v>
      </c>
      <c r="M16" s="42">
        <f t="shared" si="4"/>
        <v>500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92800</v>
      </c>
      <c r="D17" s="30">
        <v>4950</v>
      </c>
      <c r="E17" s="207">
        <v>84400</v>
      </c>
      <c r="F17" s="30">
        <v>250</v>
      </c>
      <c r="G17" s="180">
        <v>65650</v>
      </c>
      <c r="H17" s="30">
        <v>500</v>
      </c>
      <c r="I17" s="180">
        <v>195550</v>
      </c>
      <c r="J17" s="30">
        <v>1750</v>
      </c>
      <c r="L17" s="42">
        <f t="shared" si="5"/>
        <v>438400</v>
      </c>
      <c r="M17" s="42">
        <f t="shared" si="4"/>
        <v>7450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63200</v>
      </c>
      <c r="D18" s="30">
        <v>2450</v>
      </c>
      <c r="E18" s="207">
        <v>28850</v>
      </c>
      <c r="F18" s="30">
        <v>1200</v>
      </c>
      <c r="G18" s="180">
        <v>19500</v>
      </c>
      <c r="H18" s="30">
        <f t="shared" si="2"/>
        <v>0</v>
      </c>
      <c r="I18" s="180">
        <v>18500</v>
      </c>
      <c r="J18" s="30">
        <v>500</v>
      </c>
      <c r="L18" s="42">
        <f t="shared" si="5"/>
        <v>130050</v>
      </c>
      <c r="M18" s="42">
        <f t="shared" si="4"/>
        <v>4150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207"/>
      <c r="F19" s="30" t="str">
        <f t="shared" si="2"/>
        <v/>
      </c>
      <c r="G19" s="180"/>
      <c r="H19" s="30" t="str">
        <f t="shared" si="0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207"/>
      <c r="F20" s="30" t="str">
        <f t="shared" si="2"/>
        <v/>
      </c>
      <c r="G20" s="180"/>
      <c r="H20" s="30" t="str">
        <f t="shared" si="0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207"/>
      <c r="F21" s="30" t="str">
        <f t="shared" si="2"/>
        <v/>
      </c>
      <c r="G21" s="180"/>
      <c r="H21" s="30" t="str">
        <f t="shared" si="0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207"/>
      <c r="F22" s="30" t="str">
        <f t="shared" si="2"/>
        <v/>
      </c>
      <c r="G22" s="180"/>
      <c r="H22" s="30" t="str">
        <f t="shared" si="0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207"/>
      <c r="F23" s="30" t="str">
        <f t="shared" si="2"/>
        <v/>
      </c>
      <c r="G23" s="180"/>
      <c r="H23" s="30" t="str">
        <f t="shared" si="0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207"/>
      <c r="F24" s="30" t="str">
        <f t="shared" si="2"/>
        <v/>
      </c>
      <c r="G24" s="180"/>
      <c r="H24" s="30" t="str">
        <f t="shared" si="0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207"/>
      <c r="F25" s="30" t="str">
        <f t="shared" si="2"/>
        <v/>
      </c>
      <c r="G25" s="180"/>
      <c r="H25" s="30" t="str">
        <f t="shared" si="0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207"/>
      <c r="F26" s="30" t="str">
        <f t="shared" si="2"/>
        <v/>
      </c>
      <c r="G26" s="180"/>
      <c r="H26" s="30" t="str">
        <f t="shared" si="0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>
        <v>-5250</v>
      </c>
      <c r="D27" s="50">
        <f t="shared" si="2"/>
        <v>0</v>
      </c>
      <c r="E27" s="209"/>
      <c r="F27" s="50"/>
      <c r="G27" s="181"/>
      <c r="H27" s="50" t="str">
        <f t="shared" si="0"/>
        <v/>
      </c>
      <c r="I27" s="181"/>
      <c r="J27" s="50" t="str">
        <f t="shared" si="3"/>
        <v/>
      </c>
      <c r="L27" s="42">
        <f t="shared" si="5"/>
        <v>-5250</v>
      </c>
      <c r="M27" s="42">
        <f t="shared" si="4"/>
        <v>0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367950</v>
      </c>
      <c r="D32" s="44">
        <f t="shared" si="7"/>
        <v>16450</v>
      </c>
      <c r="E32" s="43">
        <f t="shared" si="7"/>
        <v>279100</v>
      </c>
      <c r="F32" s="44">
        <f t="shared" si="7"/>
        <v>3850</v>
      </c>
      <c r="G32" s="43">
        <f t="shared" si="7"/>
        <v>177500</v>
      </c>
      <c r="H32" s="44">
        <f t="shared" si="7"/>
        <v>500</v>
      </c>
      <c r="I32" s="43">
        <f t="shared" si="7"/>
        <v>403450</v>
      </c>
      <c r="J32" s="44">
        <f t="shared" si="7"/>
        <v>3300</v>
      </c>
      <c r="L32" s="95">
        <f>SUM(L9:L31)</f>
        <v>974950</v>
      </c>
      <c r="M32" s="95">
        <f>SUM(M9:M31)</f>
        <v>18750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83 Blanca</v>
      </c>
      <c r="D2" s="268"/>
      <c r="E2" s="267" t="str">
        <f>IF(E33=0,"",CONCATENATE(PREMIOS!$B11," ",PREMIOS!$B12))</f>
        <v>75 Roja</v>
      </c>
      <c r="F2" s="268"/>
      <c r="G2" s="267" t="str">
        <f>IF(G33=0,"",CONCATENATE(PREMIOS!$B15," ",PREMIOS!$B16))</f>
        <v>21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19300+11800</f>
        <v>31100</v>
      </c>
      <c r="D10" s="30">
        <f t="shared" si="0"/>
        <v>0</v>
      </c>
      <c r="E10" s="180">
        <f>17300+16200</f>
        <v>33500</v>
      </c>
      <c r="F10" s="30">
        <f t="shared" si="0"/>
        <v>0</v>
      </c>
      <c r="G10" s="180">
        <f>22700+9700</f>
        <v>32400</v>
      </c>
      <c r="H10" s="30">
        <f t="shared" si="0"/>
        <v>0</v>
      </c>
      <c r="J10" s="42">
        <f t="shared" si="3"/>
        <v>97000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4900</v>
      </c>
      <c r="D16" s="195">
        <f t="shared" si="0"/>
        <v>0</v>
      </c>
      <c r="E16" s="194">
        <v>1100</v>
      </c>
      <c r="F16" s="195">
        <f t="shared" si="1"/>
        <v>0</v>
      </c>
      <c r="G16" s="194">
        <v>2650</v>
      </c>
      <c r="H16" s="195">
        <v>1000</v>
      </c>
      <c r="J16" s="42">
        <f t="shared" si="3"/>
        <v>8650</v>
      </c>
      <c r="K16" s="42">
        <f t="shared" si="4"/>
        <v>1000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28750</v>
      </c>
      <c r="D17" s="30">
        <f t="shared" si="0"/>
        <v>0</v>
      </c>
      <c r="E17" s="180">
        <v>10600</v>
      </c>
      <c r="F17" s="30">
        <v>400</v>
      </c>
      <c r="G17" s="180">
        <v>18050</v>
      </c>
      <c r="H17" s="30">
        <f t="shared" si="0"/>
        <v>0</v>
      </c>
      <c r="J17" s="42">
        <f t="shared" si="3"/>
        <v>57400</v>
      </c>
      <c r="K17" s="42">
        <f t="shared" si="4"/>
        <v>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15800</v>
      </c>
      <c r="D18" s="30">
        <f t="shared" si="0"/>
        <v>0</v>
      </c>
      <c r="E18" s="180">
        <v>10550</v>
      </c>
      <c r="F18" s="30">
        <v>50</v>
      </c>
      <c r="G18" s="180">
        <v>11050</v>
      </c>
      <c r="H18" s="30">
        <v>300</v>
      </c>
      <c r="J18" s="42">
        <f t="shared" si="3"/>
        <v>37400</v>
      </c>
      <c r="K18" s="42">
        <f t="shared" si="4"/>
        <v>350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80550</v>
      </c>
      <c r="D33" s="44">
        <f t="shared" si="7"/>
        <v>0</v>
      </c>
      <c r="E33" s="43">
        <f t="shared" si="7"/>
        <v>55750</v>
      </c>
      <c r="F33" s="44">
        <f t="shared" si="7"/>
        <v>450</v>
      </c>
      <c r="G33" s="43">
        <f t="shared" si="7"/>
        <v>64150</v>
      </c>
      <c r="H33" s="44">
        <f t="shared" si="7"/>
        <v>1300</v>
      </c>
      <c r="J33" s="45">
        <f>SUM(J4:J32)</f>
        <v>200450</v>
      </c>
      <c r="K33" s="95">
        <f>SUM(K4:K32)</f>
        <v>1750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57</v>
      </c>
      <c r="D2" s="268"/>
      <c r="E2" s="267">
        <f>IF(PREMIOS!$C19="","",PREMIOS!$C19)</f>
        <v>38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6150</v>
      </c>
      <c r="D4" s="78">
        <v>200</v>
      </c>
      <c r="E4" s="189">
        <v>1200</v>
      </c>
      <c r="F4" s="78">
        <v>250</v>
      </c>
      <c r="H4" s="42">
        <f>+C4+E4</f>
        <v>7350</v>
      </c>
      <c r="I4" s="42">
        <f>IF(D4="",0,IF(F4="",D4,D4+F4))</f>
        <v>450</v>
      </c>
    </row>
    <row r="5" spans="1:9" x14ac:dyDescent="0.35">
      <c r="A5" s="47">
        <v>2</v>
      </c>
      <c r="B5" s="178" t="str">
        <f>Vendedor2!$B$2</f>
        <v>PUESTO 2</v>
      </c>
      <c r="C5" s="180">
        <v>400</v>
      </c>
      <c r="D5" s="30">
        <f t="shared" ref="D5:F27" si="0">IF(C5="","",0)</f>
        <v>0</v>
      </c>
      <c r="E5" s="180"/>
      <c r="F5" s="30" t="str">
        <f t="shared" ref="F5:F26" si="1">IF(E5="","",0)</f>
        <v/>
      </c>
      <c r="H5" s="42">
        <f t="shared" ref="H5:H32" si="2">+C5+E5</f>
        <v>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28250</v>
      </c>
      <c r="D8" s="30">
        <f t="shared" si="0"/>
        <v>0</v>
      </c>
      <c r="E8" s="194">
        <v>14800</v>
      </c>
      <c r="F8" s="195">
        <v>500</v>
      </c>
      <c r="H8" s="42">
        <f t="shared" si="2"/>
        <v>43050</v>
      </c>
      <c r="I8" s="42">
        <f t="shared" si="3"/>
        <v>500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3000+16100</f>
        <v>19100</v>
      </c>
      <c r="D10" s="30">
        <f t="shared" si="0"/>
        <v>0</v>
      </c>
      <c r="E10" s="180">
        <v>17900</v>
      </c>
      <c r="F10" s="195">
        <f t="shared" si="1"/>
        <v>0</v>
      </c>
      <c r="H10" s="42">
        <f t="shared" si="2"/>
        <v>37000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19200</v>
      </c>
      <c r="D12" s="30">
        <v>200</v>
      </c>
      <c r="E12" s="194"/>
      <c r="F12" s="30" t="str">
        <f t="shared" si="0"/>
        <v/>
      </c>
      <c r="H12" s="42">
        <f t="shared" si="2"/>
        <v>19200</v>
      </c>
      <c r="I12" s="42">
        <f t="shared" si="3"/>
        <v>200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3700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3700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86600</v>
      </c>
      <c r="D17" s="195">
        <v>100</v>
      </c>
      <c r="E17" s="180">
        <v>25300</v>
      </c>
      <c r="F17" s="30">
        <v>450</v>
      </c>
      <c r="H17" s="42">
        <f t="shared" si="2"/>
        <v>111900</v>
      </c>
      <c r="I17" s="42">
        <f t="shared" si="3"/>
        <v>550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32700</v>
      </c>
      <c r="D18" s="195">
        <f t="shared" si="0"/>
        <v>0</v>
      </c>
      <c r="E18" s="180">
        <v>22500</v>
      </c>
      <c r="F18" s="30">
        <f t="shared" si="0"/>
        <v>0</v>
      </c>
      <c r="H18" s="42">
        <f t="shared" si="2"/>
        <v>55200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>
        <v>-16000</v>
      </c>
      <c r="F27" s="50">
        <v>-750</v>
      </c>
      <c r="H27" s="42">
        <f t="shared" si="2"/>
        <v>-16000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196100</v>
      </c>
      <c r="D33" s="44">
        <f>SUM(D4:D32)</f>
        <v>500</v>
      </c>
      <c r="E33" s="43">
        <f>SUM(E4:E32)</f>
        <v>65700</v>
      </c>
      <c r="F33" s="44">
        <f>SUM(F4:F32)</f>
        <v>450</v>
      </c>
      <c r="H33" s="95">
        <f>SUM(H4:H32)</f>
        <v>261800</v>
      </c>
      <c r="I33" s="95">
        <f>SUM(I4:I32)</f>
        <v>1700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29</v>
      </c>
      <c r="D2" s="268"/>
      <c r="E2" s="267">
        <f>IF(PREMIOS!$C20="","",PREMIOS!$C20)</f>
        <v>30</v>
      </c>
      <c r="F2" s="268"/>
      <c r="G2" s="267">
        <f>IF(PREMIOS!$D20="","",PREMIOS!$D20)</f>
        <v>55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195" t="str">
        <f t="shared" si="0"/>
        <v/>
      </c>
      <c r="E10" s="180">
        <v>300</v>
      </c>
      <c r="F10" s="30">
        <f t="shared" si="0"/>
        <v>0</v>
      </c>
      <c r="G10" s="180">
        <v>1750</v>
      </c>
      <c r="H10" s="195">
        <f t="shared" si="0"/>
        <v>0</v>
      </c>
      <c r="J10" s="42">
        <f t="shared" si="3"/>
        <v>2050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4400</v>
      </c>
      <c r="D16" s="195">
        <f t="shared" si="0"/>
        <v>0</v>
      </c>
      <c r="E16" s="194">
        <v>2800</v>
      </c>
      <c r="F16" s="195">
        <v>100</v>
      </c>
      <c r="G16" s="194">
        <v>4700</v>
      </c>
      <c r="H16" s="195">
        <f>IF(G16="","",0)</f>
        <v>0</v>
      </c>
      <c r="J16" s="42">
        <f t="shared" si="3"/>
        <v>11900</v>
      </c>
      <c r="K16" s="42">
        <f t="shared" si="4"/>
        <v>100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46400</v>
      </c>
      <c r="D17" s="195">
        <v>50</v>
      </c>
      <c r="E17" s="194">
        <v>7200</v>
      </c>
      <c r="F17" s="195">
        <v>200</v>
      </c>
      <c r="G17" s="194">
        <v>15200</v>
      </c>
      <c r="H17" s="195">
        <f t="shared" si="2"/>
        <v>0</v>
      </c>
      <c r="J17" s="42">
        <f t="shared" si="3"/>
        <v>68800</v>
      </c>
      <c r="K17" s="42">
        <f t="shared" si="4"/>
        <v>250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15600</v>
      </c>
      <c r="D18" s="195">
        <f t="shared" si="0"/>
        <v>0</v>
      </c>
      <c r="E18" s="180">
        <v>4000</v>
      </c>
      <c r="F18" s="30">
        <f t="shared" si="1"/>
        <v>0</v>
      </c>
      <c r="G18" s="180">
        <v>13350</v>
      </c>
      <c r="H18" s="30">
        <f t="shared" si="2"/>
        <v>0</v>
      </c>
      <c r="J18" s="42">
        <f t="shared" si="3"/>
        <v>32950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66400</v>
      </c>
      <c r="D33" s="44">
        <f t="shared" si="6"/>
        <v>50</v>
      </c>
      <c r="E33" s="43">
        <f t="shared" si="6"/>
        <v>14300</v>
      </c>
      <c r="F33" s="44">
        <f t="shared" si="6"/>
        <v>300</v>
      </c>
      <c r="G33" s="43">
        <f t="shared" si="6"/>
        <v>35000</v>
      </c>
      <c r="H33" s="44">
        <f t="shared" si="6"/>
        <v>0</v>
      </c>
      <c r="J33" s="45">
        <f>SUM(J4:J32)</f>
        <v>115700</v>
      </c>
      <c r="K33" s="95">
        <f>SUM(K4:K32)</f>
        <v>350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32</v>
      </c>
      <c r="D2" s="268"/>
      <c r="E2" s="267">
        <f>IF(PREMIOS!$C21="","",PREMIOS!$C21)</f>
        <v>17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44500</v>
      </c>
      <c r="D10" s="30">
        <f t="shared" si="0"/>
        <v>0</v>
      </c>
      <c r="E10" s="180">
        <v>50500</v>
      </c>
      <c r="F10" s="30">
        <f t="shared" si="0"/>
        <v>0</v>
      </c>
      <c r="H10" s="42">
        <f t="shared" si="2"/>
        <v>95000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44500</v>
      </c>
      <c r="D33" s="44">
        <f>SUM(D4:D32)</f>
        <v>0</v>
      </c>
      <c r="E33" s="43">
        <f>SUM(E4:E32)</f>
        <v>50500</v>
      </c>
      <c r="F33" s="44">
        <f>SUM(F4:F32)</f>
        <v>0</v>
      </c>
      <c r="H33" s="45">
        <f>SUM(H4:H32)</f>
        <v>95000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2026-05-23T16:22:17Z</dcterms:modified>
  <dc:language>es-CR</dc:language>
</cp:coreProperties>
</file>
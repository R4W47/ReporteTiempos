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5- CUANTAS DIARIAS MAYO/"/>
    </mc:Choice>
  </mc:AlternateContent>
  <xr:revisionPtr revIDLastSave="102" documentId="14_{B79FFEBB-A267-4767-8647-D5681B0A6A4D}" xr6:coauthVersionLast="47" xr6:coauthVersionMax="47" xr10:uidLastSave="{70F729EC-A7F5-4D5F-976D-335AC527B76C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/>
  <c r="E10" i="62"/>
  <c r="I10" i="61"/>
  <c r="G10" i="61"/>
  <c r="F10" i="61"/>
  <c r="E10" i="61"/>
  <c r="G10" i="60"/>
  <c r="E10" i="60"/>
  <c r="G18" i="60"/>
  <c r="H17" i="60"/>
  <c r="G17" i="60"/>
  <c r="F17" i="60"/>
  <c r="E17" i="60"/>
  <c r="E18" i="60"/>
  <c r="P4" i="65"/>
  <c r="C10" i="62"/>
  <c r="C10" i="60"/>
  <c r="D17" i="60"/>
  <c r="C17" i="60"/>
  <c r="D18" i="60"/>
  <c r="C18" i="60"/>
  <c r="C10" i="61"/>
  <c r="C10" i="64" l="1"/>
  <c r="D11" i="65" l="1"/>
  <c r="D17" i="61"/>
  <c r="D9" i="61"/>
  <c r="F16" i="71"/>
  <c r="E16" i="71"/>
  <c r="E23" i="15"/>
  <c r="F23" i="15" s="1"/>
  <c r="E22" i="15"/>
  <c r="F22" i="15"/>
  <c r="D22" i="15"/>
  <c r="C23" i="15"/>
  <c r="D23" i="15" s="1"/>
  <c r="C22" i="15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F15" i="14"/>
  <c r="H12" i="69"/>
  <c r="H9" i="69"/>
  <c r="G16" i="71" l="1"/>
  <c r="H16" i="71"/>
  <c r="F21" i="15"/>
  <c r="D16" i="71"/>
  <c r="D21" i="15"/>
  <c r="K8" i="15" s="1"/>
  <c r="G23" i="15"/>
  <c r="G22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K6" i="23"/>
  <c r="J6" i="23"/>
  <c r="L4" i="23"/>
  <c r="K4" i="23"/>
  <c r="J4" i="23"/>
  <c r="F26" i="19"/>
  <c r="L10" i="19" s="1"/>
  <c r="F25" i="19"/>
  <c r="F24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2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5" i="60"/>
  <c r="D14" i="60"/>
  <c r="D35" i="60" s="1"/>
  <c r="D13" i="60"/>
  <c r="D12" i="60"/>
  <c r="D11" i="60"/>
  <c r="D9" i="60"/>
  <c r="D7" i="60"/>
  <c r="D5" i="60"/>
  <c r="D4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H10" i="64"/>
  <c r="D10" i="64"/>
  <c r="F17" i="64"/>
  <c r="F17" i="65"/>
  <c r="F8" i="65"/>
  <c r="F18" i="62"/>
  <c r="F10" i="62"/>
  <c r="D5" i="61"/>
  <c r="D6" i="60"/>
  <c r="F18" i="60"/>
  <c r="F16" i="60"/>
  <c r="F15" i="60"/>
  <c r="F14" i="60"/>
  <c r="F35" i="60" s="1"/>
  <c r="F13" i="60"/>
  <c r="F12" i="60"/>
  <c r="F11" i="60"/>
  <c r="F9" i="60"/>
  <c r="F8" i="60"/>
  <c r="F7" i="60"/>
  <c r="F6" i="60"/>
  <c r="F5" i="60"/>
  <c r="F4" i="60"/>
  <c r="H16" i="60"/>
  <c r="H15" i="60"/>
  <c r="H12" i="60"/>
  <c r="H11" i="60"/>
  <c r="H36" i="60"/>
  <c r="H9" i="60"/>
  <c r="H7" i="60"/>
  <c r="H6" i="60"/>
  <c r="H5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2" i="61"/>
  <c r="J11" i="61"/>
  <c r="J9" i="61"/>
  <c r="J7" i="61"/>
  <c r="F15" i="61"/>
  <c r="F14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E5" i="16"/>
  <c r="F36" i="60" l="1"/>
  <c r="H34" i="60"/>
  <c r="F34" i="60"/>
  <c r="D36" i="60"/>
  <c r="D34" i="60"/>
  <c r="L8" i="15"/>
  <c r="J8" i="14"/>
  <c r="D21" i="14"/>
  <c r="C12" i="71"/>
  <c r="D22" i="14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K6" i="25"/>
  <c r="K6" i="22"/>
  <c r="H17" i="64"/>
  <c r="F10" i="65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6" i="61"/>
  <c r="H15" i="61"/>
  <c r="H14" i="61"/>
  <c r="H13" i="61"/>
  <c r="H12" i="61"/>
  <c r="H11" i="61"/>
  <c r="E13" i="16" s="1"/>
  <c r="H18" i="60"/>
  <c r="H35" i="60" s="1"/>
  <c r="M26" i="52"/>
  <c r="M25" i="52"/>
  <c r="M24" i="52"/>
  <c r="M23" i="52"/>
  <c r="M22" i="52"/>
  <c r="M20" i="52"/>
  <c r="M6" i="52"/>
  <c r="M5" i="52"/>
  <c r="M4" i="52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E23" i="19"/>
  <c r="F23" i="19" s="1"/>
  <c r="E23" i="8"/>
  <c r="F23" i="8" s="1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M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L6" i="6" l="1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L6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F17" i="52" l="1"/>
  <c r="F12" i="8"/>
  <c r="C24" i="15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L6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8" l="1"/>
  <c r="F24" i="15"/>
  <c r="L6" i="25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<sst xmlns="http://schemas.openxmlformats.org/spreadsheetml/2006/main" count="1296" uniqueCount="163">
  <si>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</si>
  <si>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</si>
  <si>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</si>
  <si>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</si>
  <si>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</si>
  <si>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</si>
  <si>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</si>
  <si>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</si>
  <si>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</si>
  <si>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</si>
  <si>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</si>
  <si>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</si>
  <si>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</si>
  <si>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</si>
  <si>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</si>
  <si>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</si>
  <si>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</si>
  <si>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</si>
  <si>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</si>
  <si>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</si>
  <si>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</si>
  <si>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</si>
  <si>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</si>
  <si>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</si>
  <si>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</si>
  <si>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</si>
  <si>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</si>
  <si>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</si>
  <si>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</si>
  <si>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</si>
  <si>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</si>
  <si>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</si>
  <si>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</si>
  <si>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</si>
  <si>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</si>
  <si>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</si>
  <si>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</si>
  <si>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</si>
  <si>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</si>
  <si>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</si>
  <si>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</si>
  <si>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</si>
  <si>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</si>
  <si>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</si>
  <si>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</si>
  <si>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</si>
  <si>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</si>
  <si>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</si>
  <si>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</si>
  <si>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</si>
  <si>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</si>
  <si>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</si>
  <si>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</si>
  <si>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</si>
  <si>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</si>
  <si>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</si>
  <si>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</si>
  <si>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</si>
  <si>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</si>
  <si>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</si>
  <si>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</si>
  <si>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</si>
  <si>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</si>
  <si>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</si>
  <si>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</si>
  <si>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</si>
  <si>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</si>
  <si>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</si>
  <si>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</si>
  <si>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</si>
  <si>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</si>
  <si>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</si>
  <si>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</si>
  <si>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</si>
  <si>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</si>
  <si>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</si>
  <si>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</si>
  <si>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</si>
  <si>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</si>
  <si>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</si>
  <si>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</si>
  <si>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</si>
  <si>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</si>
  <si>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</si>
  <si>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</si>
  <si>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</si>
  <si>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</si>
  <si>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</si>
  <si>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</si>
  <si>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</si>
  <si>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</si>
  <si>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</si>
  <si>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</si>
  <si>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</si>
  <si>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</si>
  <si>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</si>
  <si>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</si>
  <si>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</si>
  <si>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</si>
  <si>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</si>
  <si>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</si>
  <si>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</si>
  <si>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</si>
  <si>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</si>
  <si>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</si>
  <si>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</si>
  <si>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</si>
  <si>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</si>
  <si>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</si>
  <si>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</si>
  <si>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</si>
  <si>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</si>
  <si>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</si>
  <si>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</si>
  <si>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</si>
  <si>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</si>
  <si>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</si>
  <si>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</si>
  <si>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</si>
  <si>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</si>
  <si>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</si>
  <si>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</si>
  <si>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</si>
  <si>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</si>
  <si>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</si>
  <si>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</si>
  <si>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</si>
  <si>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</si>
  <si>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</si>
  <si>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</si>
  <si>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</si>
  <si>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</si>
  <si>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</si>
  <si>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</si>
  <si>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</si>
  <si>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</si>
  <si>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</si>
  <si>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</si>
  <si>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</si>
  <si>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</si>
  <si>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</si>
  <si>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</si>
  <si>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</si>
  <si>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</si>
  <si>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</si>
  <si>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</si>
  <si>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</si>
  <si>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</si>
  <si>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</si>
  <si>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</si>
  <si>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</si>
  <si>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</si>
  <si>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</si>
  <si>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</si>
  <si>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</si>
  <si>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</si>
  <si>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</si>
  <si>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</si>
  <si>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</si>
  <si>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06</t>
  </si>
  <si>
    <t>Melanie</t>
  </si>
  <si>
    <t>Seguro</t>
  </si>
  <si>
    <t>Cambio de aceite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</si>
</sst>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208950</v>
      </c>
      <c r="C3" s="9">
        <f>+HojaTICA!K4+HojaNICA!M4+HojaREVENTADO!K4+HojaPrimera!I4+HojaHonduras!K4+HojaDominicana!I4+HojaPANA!G4</f>
        <v>27200</v>
      </c>
      <c r="D3" s="9">
        <f>+HojaTICA!N4+HojaNICA!P4+HojaREVENTADO!O4+HojaPrimera!L4+HojaHonduras!N4+HojaDominicana!L4+HojaPANA!J4</f>
        <v>112250</v>
      </c>
      <c r="F3" s="10">
        <f t="shared" ref="F3:F27" si="0">+B3-C3-D3</f>
        <v>69500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175500</v>
      </c>
      <c r="C4" s="9">
        <f>+HojaTICA!K5+HojaNICA!M5+HojaREVENTADO!K5+HojaPrimera!I5+HojaHonduras!K5+HojaDominicana!I5+HojaPANA!G5</f>
        <v>22850</v>
      </c>
      <c r="D4" s="9">
        <f>+HojaTICA!N5+HojaNICA!P5+HojaREVENTADO!O5+HojaPrimera!L5+HojaHonduras!N5+HojaDominicana!L5+HojaPANA!J5</f>
        <v>0</v>
      </c>
      <c r="F4" s="14">
        <f t="shared" si="0"/>
        <v>152650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429600</v>
      </c>
      <c r="C7" s="9">
        <f>+HojaTICA!K8+HojaNICA!M8+HojaREVENTADO!K8+HojaPrimera!I8+HojaHonduras!K8+HojaDominicana!I8+HojaPANA!G8</f>
        <v>51550</v>
      </c>
      <c r="D7" s="9">
        <f>+HojaTICA!N8+HojaNICA!P8+HojaREVENTADO!O8+HojaPrimera!L8+HojaHonduras!N8+HojaDominicana!L8+HojaPANA!J8</f>
        <v>415500</v>
      </c>
      <c r="F7" s="14">
        <f t="shared" si="0"/>
        <v>-37450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1032200</v>
      </c>
      <c r="C9" s="9">
        <f>+HojaTICA!K10+HojaNICA!M10+HojaREVENTADO!K10+HojaPrimera!I10+HojaHonduras!K10+HojaDominicana!I10+HojaPANA!G10</f>
        <v>121550</v>
      </c>
      <c r="D9" s="9">
        <f>+HojaTICA!N10+HojaNICA!P10+HojaREVENTADO!O10+HojaPrimera!L10+HojaHonduras!N10+HojaDominicana!L10+HojaPANA!J10</f>
        <v>527000</v>
      </c>
      <c r="F9" s="14">
        <f t="shared" si="0"/>
        <v>383650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4000</v>
      </c>
      <c r="C10" s="9">
        <f>+HojaTICA!K11+HojaNICA!M11+HojaREVENTADO!K11+HojaPrimera!I11+HojaHonduras!K11+HojaDominicana!I11+HojaPANA!G11</f>
        <v>500</v>
      </c>
      <c r="D10" s="9">
        <f>+HojaTICA!N11+HojaNICA!P11+HojaREVENTADO!O11+HojaPrimera!L11+HojaHonduras!N11+HojaDominicana!L11+HojaPANA!J11</f>
        <v>0</v>
      </c>
      <c r="F10" s="14">
        <f t="shared" si="0"/>
        <v>3500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115500</v>
      </c>
      <c r="C11" s="9">
        <f>+HojaTICA!K12+HojaNICA!M12+HojaREVENTADO!K12+HojaPrimera!I12+HojaHonduras!K12+HojaDominicana!I12+HojaPANA!G12</f>
        <v>13805</v>
      </c>
      <c r="D11" s="9">
        <f>+HojaTICA!N12+HojaNICA!P12+HojaREVENTADO!O12+HojaPrimera!L12+HojaHonduras!N12+HojaDominicana!L12+HojaPANA!J12</f>
        <v>42500</v>
      </c>
      <c r="F11" s="14">
        <f t="shared" si="0"/>
        <v>59195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166450</v>
      </c>
      <c r="C12" s="9">
        <f>+HojaTICA!K13+HojaNICA!M13+HojaREVENTADO!K13+HojaPrimera!I13+HojaHonduras!K13+HojaDominicana!I13+HojaPANA!G13</f>
        <v>19950</v>
      </c>
      <c r="D12" s="9">
        <f>+HojaTICA!N13+HojaNICA!P13+HojaREVENTADO!O13+HojaPrimera!L13+HojaHonduras!N13+HojaDominicana!L13+HojaPANA!J13</f>
        <v>128500</v>
      </c>
      <c r="F12" s="14">
        <f t="shared" si="0"/>
        <v>18000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116250</v>
      </c>
      <c r="C13" s="9">
        <f>+HojaTICA!K14+HojaNICA!M14+HojaREVENTADO!K14+HojaPrimera!I14+HojaHonduras!K14+HojaDominicana!I14+HojaPANA!G14</f>
        <v>17450</v>
      </c>
      <c r="D13" s="9">
        <f>+HojaTICA!N14+HojaNICA!P14+HojaREVENTADO!O14+HojaPrimera!L14+HojaHonduras!N14+HojaDominicana!L14+HojaPANA!J14</f>
        <v>40000</v>
      </c>
      <c r="F13" s="14">
        <f t="shared" si="0"/>
        <v>58800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136150</v>
      </c>
      <c r="C15" s="9">
        <f>+HojaTICA!K16+HojaNICA!M16+HojaREVENTADO!K16+HojaPrimera!I16+HojaHonduras!K16+HojaDominicana!I16+HojaPANA!G16</f>
        <v>16250</v>
      </c>
      <c r="D15" s="9">
        <f>+HojaTICA!N16+HojaNICA!P16+HojaREVENTADO!O16+HojaPrimera!L16+HojaHonduras!N16+HojaDominicana!L16+HojaPANA!J16</f>
        <v>62500</v>
      </c>
      <c r="F15" s="14">
        <f t="shared" si="0"/>
        <v>57400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1062550</v>
      </c>
      <c r="C16" s="9">
        <f>+HojaTICA!K17+HojaNICA!M17+HojaREVENTADO!K17+HojaPrimera!I17+HojaHonduras!K17+HojaDominicana!I17+HojaPANA!G17</f>
        <v>126400</v>
      </c>
      <c r="D16" s="9">
        <f>+HojaTICA!N17+HojaNICA!P17+HojaREVENTADO!O17+HojaPrimera!L17+HojaHonduras!N17+HojaDominicana!L17+HojaPANA!J17</f>
        <v>573750</v>
      </c>
      <c r="F16" s="14">
        <f t="shared" si="0"/>
        <v>362400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606450</v>
      </c>
      <c r="C17" s="9">
        <f>+HojaTICA!K18+HojaNICA!M18+HojaREVENTADO!K18+HojaPrimera!I18+HojaHonduras!K18+HojaDominicana!I18+HojaPANA!G18</f>
        <v>71470</v>
      </c>
      <c r="D17" s="9">
        <f>+HojaTICA!N18+HojaNICA!P18+HojaREVENTADO!O18+HojaPrimera!L18+HojaHonduras!N18+HojaDominicana!L18+HojaPANA!J18</f>
        <v>412250</v>
      </c>
      <c r="F17" s="14">
        <f t="shared" si="0"/>
        <v>122730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4053600</v>
      </c>
      <c r="C28" s="17">
        <f t="shared" si="1"/>
        <v>488975</v>
      </c>
      <c r="D28" s="18">
        <f t="shared" si="1"/>
        <v>2314250</v>
      </c>
      <c r="F28" s="20">
        <f>SUM(F3:F27)</f>
        <v>1250375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58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27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90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86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11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49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>
        <v>91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 t="s">
        <v>159</v>
      </c>
      <c r="C19" s="132">
        <v>14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41</v>
      </c>
      <c r="C20" s="163">
        <v>76</v>
      </c>
      <c r="D20" s="166">
        <v>50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92</v>
      </c>
      <c r="C21" s="164">
        <v>88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27</v>
      </c>
      <c r="D2" s="268"/>
      <c r="E2" s="267">
        <f>DigitaTICA!E2</f>
        <v>86</v>
      </c>
      <c r="F2" s="268"/>
      <c r="G2" s="267">
        <f>DigitaTICA!G2</f>
        <v>49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64250</v>
      </c>
      <c r="D4" s="30">
        <f>IF(Vendedor1!$E$7="",0,Vendedor1!$E$7)</f>
        <v>0</v>
      </c>
      <c r="E4" s="180">
        <f>IF(Vendedor1!$C$11="",0,Vendedor1!$C$11)</f>
        <v>22400</v>
      </c>
      <c r="F4" s="30">
        <f>IF(Vendedor1!$E$11="",0,Vendedor1!$E$11)</f>
        <v>0</v>
      </c>
      <c r="G4" s="180">
        <f>IF(Vendedor1!$C$15="",0,Vendedor1!$C$15)</f>
        <v>75950</v>
      </c>
      <c r="H4" s="30">
        <f>IF(Vendedor1!$E$15="",0,Vendedor1!$E$15)</f>
        <v>850</v>
      </c>
      <c r="J4" s="42">
        <f t="shared" ref="J4:J7" si="0">+C4+E4+G4</f>
        <v>162600</v>
      </c>
      <c r="K4" s="41">
        <f>MROUND(J4*Vendedor1!J$9,50)</f>
        <v>21150</v>
      </c>
      <c r="L4" s="42">
        <f t="shared" ref="L4:L7" si="1">+D4+F4+H4</f>
        <v>850</v>
      </c>
      <c r="M4" s="42">
        <f t="shared" ref="M4:M7" si="2">+L4*85</f>
        <v>72250</v>
      </c>
      <c r="N4" s="42">
        <f>Vendedor1!$F$7+Vendedor1!$F$11+Vendedor1!$F$15</f>
        <v>72250</v>
      </c>
      <c r="P4" s="42">
        <f t="shared" ref="P4:P7" si="3">+J4-K4-N4</f>
        <v>69200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44200</v>
      </c>
      <c r="D5" s="30">
        <f>IF(Vendedor2!$E$7="",0,Vendedor2!$E$7)</f>
        <v>0</v>
      </c>
      <c r="E5" s="180">
        <f>IF(Vendedor2!$C$11="",0,Vendedor2!$C$11)</f>
        <v>31000</v>
      </c>
      <c r="F5" s="30">
        <f>IF(Vendedor2!$E$11="",0,Vendedor2!$E$11)</f>
        <v>0</v>
      </c>
      <c r="G5" s="180">
        <f>IF(Vendedor2!$C$15="",0,Vendedor2!$C$15)</f>
        <v>39000</v>
      </c>
      <c r="H5" s="30">
        <f>IF(Vendedor2!$E$15="",0,Vendedor2!$E$15)</f>
        <v>0</v>
      </c>
      <c r="J5" s="42">
        <f t="shared" si="0"/>
        <v>114200</v>
      </c>
      <c r="K5" s="41">
        <f>MROUND(J5*Vendedor2!J$9,50)</f>
        <v>14850</v>
      </c>
      <c r="L5" s="42">
        <f t="shared" si="1"/>
        <v>0</v>
      </c>
      <c r="M5" s="42">
        <f t="shared" si="2"/>
        <v>0</v>
      </c>
      <c r="N5" s="42">
        <f>Vendedor2!$F$7+Vendedor2!$F$11+Vendedor2!$F$15</f>
        <v>0</v>
      </c>
      <c r="P5" s="42">
        <f t="shared" si="3"/>
        <v>99350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71650</v>
      </c>
      <c r="D8" s="30">
        <f>IF(Vendedor5!$E$7="",0,Vendedor5!$E$7)</f>
        <v>1000</v>
      </c>
      <c r="E8" s="180">
        <f>IF(Vendedor5!$C$11="",0,Vendedor5!$C$11)</f>
        <v>57750</v>
      </c>
      <c r="F8" s="30">
        <f>IF(Vendedor5!$E$11="",0,Vendedor5!$E$11)</f>
        <v>0</v>
      </c>
      <c r="G8" s="180">
        <f>IF(Vendedor5!$C$15="",0,Vendedor5!$C$15)</f>
        <v>78600</v>
      </c>
      <c r="H8" s="30">
        <f>IF(Vendedor5!$E$15="",0,Vendedor5!$E$15)</f>
        <v>500</v>
      </c>
      <c r="J8" s="42">
        <f t="shared" ref="J8" si="4">+C8+E8+G8</f>
        <v>208000</v>
      </c>
      <c r="K8" s="41">
        <f>MROUND(J8*Vendedor5!J$11,50)</f>
        <v>24950</v>
      </c>
      <c r="L8" s="42">
        <f t="shared" ref="L8" si="5">+D8+F8+H8</f>
        <v>1500</v>
      </c>
      <c r="M8" s="42">
        <f t="shared" ref="M8" si="6">+L8*85</f>
        <v>127500</v>
      </c>
      <c r="N8" s="42">
        <f>Vendedor5!$F$7+Vendedor5!$F$11+Vendedor5!$F$15</f>
        <v>127500</v>
      </c>
      <c r="P8" s="42">
        <f t="shared" ref="P8" si="7">+J8-K8-N8</f>
        <v>55550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134200</v>
      </c>
      <c r="D10" s="30">
        <f>IF(Vendedor7!$E$7="",0,Vendedor7!$E$7)</f>
        <v>2100</v>
      </c>
      <c r="E10" s="180">
        <f>IF(Vendedor7!$C$11="",0,Vendedor7!$C$11)</f>
        <v>137400</v>
      </c>
      <c r="F10" s="30">
        <f>IF(Vendedor7!$E$11="",0,Vendedor7!$E$11)</f>
        <v>200</v>
      </c>
      <c r="G10" s="180">
        <f>IF(Vendedor7!$C$15="",0,Vendedor7!$C$15)</f>
        <v>170600</v>
      </c>
      <c r="H10" s="30">
        <f>IF(Vendedor7!$E$15="",0,Vendedor7!$E$15)</f>
        <v>50</v>
      </c>
      <c r="J10" s="42">
        <f t="shared" si="8"/>
        <v>442200</v>
      </c>
      <c r="K10" s="41">
        <f>MROUND(J10*Vendedor7!J$14,50)</f>
        <v>53050</v>
      </c>
      <c r="L10" s="42">
        <f t="shared" si="9"/>
        <v>2350</v>
      </c>
      <c r="M10" s="42">
        <f t="shared" si="10"/>
        <v>199750</v>
      </c>
      <c r="N10" s="42">
        <f>Vendedor7!$F$7+Vendedor7!$F$11+Vendedor7!$F$15</f>
        <v>199750</v>
      </c>
      <c r="P10" s="42">
        <f t="shared" si="11"/>
        <v>189400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4000</v>
      </c>
      <c r="H11" s="30">
        <f>IF(Vendedor8!$E$15="",0,Vendedor8!$E$15)</f>
        <v>0</v>
      </c>
      <c r="J11" s="42">
        <f t="shared" si="8"/>
        <v>4000</v>
      </c>
      <c r="K11" s="41">
        <f>MROUND(J11*Vendedor8!J$11,50)</f>
        <v>500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3500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17050</v>
      </c>
      <c r="D12" s="30">
        <f>IF(Vendedor9!$E$7="",0,Vendedor9!$E$7)</f>
        <v>0</v>
      </c>
      <c r="E12" s="180">
        <f>IF(Vendedor9!$C$11="",0,Vendedor9!$C$11)</f>
        <v>14150</v>
      </c>
      <c r="F12" s="30">
        <f>IF(Vendedor9!$E$11="",0,Vendedor9!$E$11)</f>
        <v>0</v>
      </c>
      <c r="G12" s="180">
        <f>IF(Vendedor9!$C$15="",0,Vendedor9!$C$15)</f>
        <v>0</v>
      </c>
      <c r="H12" s="30">
        <f>IF(Vendedor9!$E$15="",0,Vendedor9!$E$15)</f>
        <v>0</v>
      </c>
      <c r="J12" s="42">
        <f t="shared" si="8"/>
        <v>31200</v>
      </c>
      <c r="K12" s="41">
        <f>MROUND(J12*Vendedor9!J$11,50)</f>
        <v>3750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27450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42400</v>
      </c>
      <c r="D13" s="30">
        <f>IF(Vendedor10!$E$7="",0,Vendedor10!$E$7)</f>
        <v>0</v>
      </c>
      <c r="E13" s="180">
        <f>IF(Vendedor10!$C$11="",0,Vendedor10!$C$11)</f>
        <v>20950</v>
      </c>
      <c r="F13" s="30">
        <f>IF(Vendedor10!$E$11="",0,Vendedor10!$E$11)</f>
        <v>0</v>
      </c>
      <c r="G13" s="180">
        <f>IF(Vendedor10!$C$15="",0,Vendedor10!$C$15)</f>
        <v>45100</v>
      </c>
      <c r="H13" s="30">
        <f>IF(Vendedor10!$E$15="",0,Vendedor10!$E$15)</f>
        <v>100</v>
      </c>
      <c r="J13" s="42">
        <f t="shared" si="8"/>
        <v>108450</v>
      </c>
      <c r="K13" s="41">
        <f>MROUND(J13*Vendedor10!J$9,50)</f>
        <v>13000</v>
      </c>
      <c r="L13" s="42">
        <f t="shared" si="9"/>
        <v>100</v>
      </c>
      <c r="M13" s="42">
        <f t="shared" si="10"/>
        <v>8500</v>
      </c>
      <c r="N13" s="42">
        <f>Vendedor10!$F$7+Vendedor10!$F$11+Vendedor10!$F$15</f>
        <v>8500</v>
      </c>
      <c r="P13" s="42">
        <f t="shared" si="11"/>
        <v>86950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54700</v>
      </c>
      <c r="D14" s="30">
        <f>IF(Vendedor11!$E$7="",0,Vendedor11!$E$7)</f>
        <v>0</v>
      </c>
      <c r="E14" s="180">
        <f>IF(Vendedor11!$C$11="",0,Vendedor11!$C$11)</f>
        <v>28550</v>
      </c>
      <c r="F14" s="30">
        <f>IF(Vendedor11!$E$11="",0,Vendedor11!$E$11)</f>
        <v>0</v>
      </c>
      <c r="G14" s="180">
        <f>IF(Vendedor11!$C$15="",0,Vendedor11!$C$15)</f>
        <v>33000</v>
      </c>
      <c r="H14" s="30">
        <f>IF(Vendedor11!$E$15="",0,Vendedor11!$E$15)</f>
        <v>500</v>
      </c>
      <c r="J14" s="42">
        <f t="shared" si="8"/>
        <v>116250</v>
      </c>
      <c r="K14" s="41">
        <f>MROUND(J14*Vendedor11!J$9,50)</f>
        <v>17450</v>
      </c>
      <c r="L14" s="42">
        <f t="shared" si="9"/>
        <v>500</v>
      </c>
      <c r="M14" s="42">
        <f t="shared" si="10"/>
        <v>42500</v>
      </c>
      <c r="N14" s="42">
        <f>Vendedor11!$F$7+Vendedor11!$F$11+Vendedor11!$F$15</f>
        <v>40000</v>
      </c>
      <c r="P14" s="42">
        <f t="shared" si="11"/>
        <v>58800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27700</v>
      </c>
      <c r="D16" s="30">
        <f>IF(Vendedor13!$E$7="",0,Vendedor13!$E$7)</f>
        <v>500</v>
      </c>
      <c r="E16" s="180">
        <f>IF(Vendedor13!$C$11="",0,Vendedor13!$C$11)</f>
        <v>16500</v>
      </c>
      <c r="F16" s="30">
        <f>IF(Vendedor13!$E$11="",0,Vendedor13!$E$11)</f>
        <v>0</v>
      </c>
      <c r="G16" s="180">
        <f>IF(Vendedor13!$C$15="",0,Vendedor13!$C$15)</f>
        <v>32100</v>
      </c>
      <c r="H16" s="30">
        <f>IF(Vendedor13!$E$15="",0,Vendedor13!$E$15)</f>
        <v>0</v>
      </c>
      <c r="J16" s="42">
        <f t="shared" si="8"/>
        <v>76300</v>
      </c>
      <c r="K16" s="41">
        <f>MROUND(J16*Vendedor13!J$11,50)</f>
        <v>9150</v>
      </c>
      <c r="L16" s="42">
        <f t="shared" si="9"/>
        <v>500</v>
      </c>
      <c r="M16" s="42">
        <f t="shared" si="10"/>
        <v>42500</v>
      </c>
      <c r="N16" s="42">
        <f>Vendedor13!$F$7+Vendedor13!$F$11+Vendedor13!$F$15</f>
        <v>42500</v>
      </c>
      <c r="P16" s="42">
        <f t="shared" si="11"/>
        <v>24650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121450</v>
      </c>
      <c r="D17" s="30">
        <f>IF(Vendedor14!$E$7="",0,Vendedor14!$E$7)</f>
        <v>350</v>
      </c>
      <c r="E17" s="180">
        <f>IF(Vendedor14!$C$11="",0,Vendedor14!$C$11)</f>
        <v>131900</v>
      </c>
      <c r="F17" s="30">
        <f>IF(Vendedor14!$E$11="",0,Vendedor14!$E$11)</f>
        <v>700</v>
      </c>
      <c r="G17" s="180">
        <f>IF(Vendedor14!$C$15="",0,Vendedor14!$C$15)</f>
        <v>193150</v>
      </c>
      <c r="H17" s="30">
        <f>IF(Vendedor14!$E$15="",0,Vendedor14!$E$15)</f>
        <v>800</v>
      </c>
      <c r="J17" s="42">
        <f t="shared" si="8"/>
        <v>446500</v>
      </c>
      <c r="K17" s="41">
        <f>MROUND(J17*Vendedor14!J$15,50)</f>
        <v>53600</v>
      </c>
      <c r="L17" s="42">
        <f t="shared" si="9"/>
        <v>1850</v>
      </c>
      <c r="M17" s="42">
        <f t="shared" si="10"/>
        <v>157250</v>
      </c>
      <c r="N17" s="42">
        <f>Vendedor14!$F$7+Vendedor14!$F$11+Vendedor14!$F$15</f>
        <v>157250</v>
      </c>
      <c r="P17" s="42">
        <f t="shared" si="11"/>
        <v>235650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60050</v>
      </c>
      <c r="D18" s="30">
        <f>IF(Vendedor15!$E$7="",0,Vendedor15!$E$7)</f>
        <v>50</v>
      </c>
      <c r="E18" s="180">
        <f>IF(Vendedor15!$C$11="",0,Vendedor15!$C$11)</f>
        <v>55750</v>
      </c>
      <c r="F18" s="30">
        <f>IF(Vendedor15!$E$11="",0,Vendedor15!$E$11)</f>
        <v>0</v>
      </c>
      <c r="G18" s="180">
        <f>IF(Vendedor15!$C$15="",0,Vendedor15!$C$15)</f>
        <v>68450</v>
      </c>
      <c r="H18" s="30">
        <f>IF(Vendedor15!$E$15="",0,Vendedor15!$E$15)</f>
        <v>0</v>
      </c>
      <c r="J18" s="42">
        <f t="shared" ref="J18" si="12">+C18+E18+G18</f>
        <v>184250</v>
      </c>
      <c r="K18" s="41">
        <f>MROUND(J18*Vendedor15!J$15,50)</f>
        <v>22100</v>
      </c>
      <c r="L18" s="42">
        <f t="shared" ref="L18" si="13">+D18+F18+H18</f>
        <v>50</v>
      </c>
      <c r="M18" s="42">
        <f t="shared" ref="M18" si="14">+L18*85</f>
        <v>4250</v>
      </c>
      <c r="N18" s="42">
        <f>Vendedor15!$F$7+Vendedor15!$F$11+Vendedor15!$F$15</f>
        <v>4250</v>
      </c>
      <c r="P18" s="42">
        <f t="shared" ref="P18" si="15">+J18-K18-N18</f>
        <v>157900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637650</v>
      </c>
      <c r="D32" s="44">
        <f t="shared" si="16"/>
        <v>4000</v>
      </c>
      <c r="E32" s="43">
        <f t="shared" si="16"/>
        <v>516350</v>
      </c>
      <c r="F32" s="44">
        <f t="shared" si="16"/>
        <v>900</v>
      </c>
      <c r="G32" s="43">
        <f t="shared" si="16"/>
        <v>739950</v>
      </c>
      <c r="H32" s="44">
        <f t="shared" si="16"/>
        <v>2800</v>
      </c>
      <c r="J32" s="95">
        <f>SUM(J4:J31)</f>
        <v>1893950</v>
      </c>
      <c r="K32" s="45">
        <f>SUM(K7:K31)</f>
        <v>197550</v>
      </c>
      <c r="L32" s="95">
        <f>SUM(L4:L31)</f>
        <v>7700</v>
      </c>
      <c r="M32" s="95">
        <f>SUM(M4:M31)</f>
        <v>654500</v>
      </c>
      <c r="N32" s="95">
        <f>SUM(N4:N31)</f>
        <v>652000</v>
      </c>
      <c r="P32" s="79">
        <f>SUM(P4:P31)</f>
        <v>1008400</v>
      </c>
    </row>
    <row r="33" spans="3:13" x14ac:dyDescent="0.35">
      <c r="D33" s="99">
        <f>+D32*85</f>
        <v>340000</v>
      </c>
      <c r="F33" s="99">
        <f>+F32*85</f>
        <v>76500</v>
      </c>
      <c r="H33" s="99">
        <f>+H32*85</f>
        <v>238000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1893950</v>
      </c>
      <c r="E36" s="43">
        <f>+D36-J4-J5-J6</f>
        <v>1617150</v>
      </c>
      <c r="G36" s="101"/>
    </row>
    <row r="37" spans="3:13" x14ac:dyDescent="0.35">
      <c r="C37" s="47" t="s">
        <v>33</v>
      </c>
      <c r="D37" s="48">
        <f>D36*13%</f>
        <v>246213.5</v>
      </c>
      <c r="E37">
        <f>+D37-K4-K5-K6</f>
        <v>210213.5</v>
      </c>
      <c r="G37" s="100"/>
      <c r="H37" s="100"/>
    </row>
    <row r="38" spans="3:13" ht="15" thickBot="1" x14ac:dyDescent="0.4">
      <c r="C38" s="47" t="s">
        <v>30</v>
      </c>
      <c r="D38" s="30">
        <f>M32</f>
        <v>654500</v>
      </c>
      <c r="G38" s="100"/>
      <c r="H38" s="100"/>
    </row>
    <row r="39" spans="3:13" ht="15" thickBot="1" x14ac:dyDescent="0.4">
      <c r="C39" s="49" t="s">
        <v>4</v>
      </c>
      <c r="D39" s="80">
        <f>+D36-D37-D38</f>
        <v>993236.5</v>
      </c>
      <c r="F39" s="98">
        <f>+P32-D39</f>
        <v>15163.5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993236.5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58</v>
      </c>
      <c r="D2" s="268"/>
      <c r="E2" s="267">
        <f>DigitaNICA!E2</f>
        <v>90</v>
      </c>
      <c r="F2" s="268"/>
      <c r="G2" s="267">
        <f>DigitaNICA!G2</f>
        <v>11</v>
      </c>
      <c r="H2" s="268"/>
      <c r="I2" s="267">
        <f>DigitaNICA!I2</f>
        <v>91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12800</v>
      </c>
      <c r="D4" s="78">
        <f>IF(Vendedor1!$E$5="",0,Vendedor1!$E$5)</f>
        <v>0</v>
      </c>
      <c r="E4" s="189">
        <f>IF(Vendedor1!$C$9="",0,Vendedor1!$C$9)</f>
        <v>13600</v>
      </c>
      <c r="F4" s="78">
        <f>IF(Vendedor1!$E$9="",0,Vendedor1!$E$9)</f>
        <v>500</v>
      </c>
      <c r="G4" s="189">
        <f>IF(Vendedor1!$C$13="",0,Vendedor1!$C$13)</f>
        <v>2450</v>
      </c>
      <c r="H4" s="78">
        <f>IF(Vendedor1!$E$13="",0,Vendedor1!$E$13)</f>
        <v>0</v>
      </c>
      <c r="I4" s="189">
        <f>IF(Vendedor1!$C$17="",0,Vendedor1!$C$17)</f>
        <v>2500</v>
      </c>
      <c r="J4" s="78">
        <f>IF(Vendedor1!$E$17="",0,Vendedor1!$E$17)</f>
        <v>0</v>
      </c>
      <c r="L4" s="42">
        <f t="shared" ref="L4:L7" si="0">C4+E4+G4+I4</f>
        <v>31350</v>
      </c>
      <c r="M4" s="41">
        <f>MROUND(L4*Vendedor1!J$10,50)</f>
        <v>4100</v>
      </c>
      <c r="N4" s="42">
        <f t="shared" ref="N4:N7" si="1">D4+F4+H4+J4</f>
        <v>500</v>
      </c>
      <c r="O4" s="41">
        <f>IFERROR(N4*85,0)</f>
        <v>42500</v>
      </c>
      <c r="P4" s="42">
        <f>Vendedor1!$F$5+Vendedor1!$F$9+Vendedor1!$F$13+Vendedor1!$F$17</f>
        <v>40000</v>
      </c>
      <c r="R4" s="41">
        <f t="shared" ref="R4:R7" si="2">+L4-M4-O4</f>
        <v>-15250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38900</v>
      </c>
      <c r="D5" s="30">
        <f>IF(Vendedor2!$E$5="",0,Vendedor2!$E$5)</f>
        <v>0</v>
      </c>
      <c r="E5" s="180">
        <f>IF(Vendedor2!$C$9="",0,Vendedor2!$C$9)</f>
        <v>2500</v>
      </c>
      <c r="F5" s="30">
        <f>IF(Vendedor2!$E$9="",0,Vendedor2!$E$9)</f>
        <v>0</v>
      </c>
      <c r="G5" s="180">
        <f>IF(Vendedor2!$C$13="",0,Vendedor2!$C$13)</f>
        <v>6200</v>
      </c>
      <c r="H5" s="30">
        <f>IF(Vendedor2!$E$13="",0,Vendedor2!$E$13)</f>
        <v>0</v>
      </c>
      <c r="I5" s="180">
        <f>IF(Vendedor2!$C$17="",0,Vendedor2!$C$17)</f>
        <v>1200</v>
      </c>
      <c r="J5" s="30">
        <f>IF(Vendedor2!$E$17="",0,Vendedor2!$E$17)</f>
        <v>0</v>
      </c>
      <c r="L5" s="42">
        <f t="shared" si="0"/>
        <v>48800</v>
      </c>
      <c r="M5" s="41">
        <f>MROUND(L5*Vendedor2!J$10,50)</f>
        <v>6350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42450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58600</v>
      </c>
      <c r="D8" s="30">
        <f>IF(Vendedor5!$E$5="",0,Vendedor5!$E$5)</f>
        <v>2400</v>
      </c>
      <c r="E8" s="180">
        <f>IF(Vendedor5!$C$9="",0,Vendedor5!$C$9)</f>
        <v>51250</v>
      </c>
      <c r="F8" s="30">
        <f>IF(Vendedor5!$E$9="",0,Vendedor5!$E$9)</f>
        <v>250</v>
      </c>
      <c r="G8" s="180">
        <f>IF(Vendedor5!$C$13="",0,Vendedor5!$C$13)</f>
        <v>11100</v>
      </c>
      <c r="H8" s="30">
        <f>IF(Vendedor5!$E$13="",0,Vendedor5!$E$13)</f>
        <v>100</v>
      </c>
      <c r="I8" s="180">
        <f>IF(Vendedor5!$C$17="",0,Vendedor5!$C$17)</f>
        <v>57500</v>
      </c>
      <c r="J8" s="30">
        <f>IF(Vendedor5!$E$17="",0,Vendedor5!$E$17)</f>
        <v>850</v>
      </c>
      <c r="L8" s="42">
        <f t="shared" ref="L8" si="4">C8+E8+G8+I8</f>
        <v>178450</v>
      </c>
      <c r="M8" s="41">
        <f>MROUND(L8*Vendedor5!J$12,50)</f>
        <v>21400</v>
      </c>
      <c r="N8" s="42">
        <f t="shared" ref="N8" si="5">D8+F8+H8+J8</f>
        <v>3600</v>
      </c>
      <c r="O8" s="41">
        <f t="shared" si="3"/>
        <v>306000</v>
      </c>
      <c r="P8" s="42">
        <f>Vendedor5!$F$5+Vendedor5!$F$9+Vendedor5!$F$13+Vendedor5!$F$17</f>
        <v>288000</v>
      </c>
      <c r="Q8">
        <v>17</v>
      </c>
      <c r="R8" s="41">
        <f t="shared" ref="R8" si="6">+L8-M8-O8</f>
        <v>-148950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92950</v>
      </c>
      <c r="D10" s="30">
        <f>IF(Vendedor7!$E$5="",0,Vendedor7!$E$5)</f>
        <v>200</v>
      </c>
      <c r="E10" s="180">
        <f>IF(Vendedor7!$C$9="",0,Vendedor7!$C$9)</f>
        <v>65750</v>
      </c>
      <c r="F10" s="30">
        <f>IF(Vendedor7!$E$9="",0,Vendedor7!$E$9)</f>
        <v>2000</v>
      </c>
      <c r="G10" s="180">
        <f>IF(Vendedor7!$C$13="",0,Vendedor7!$C$13)</f>
        <v>61200</v>
      </c>
      <c r="H10" s="30">
        <f>IF(Vendedor7!$E$13="",0,Vendedor7!$E$13)</f>
        <v>150</v>
      </c>
      <c r="I10" s="180">
        <f>IF(Vendedor7!$C$17="",0,Vendedor7!$C$17)</f>
        <v>91950</v>
      </c>
      <c r="J10" s="30">
        <f>IF(Vendedor7!$E$17="",0,Vendedor7!$E$17)</f>
        <v>200</v>
      </c>
      <c r="L10" s="42">
        <f t="shared" si="7"/>
        <v>311850</v>
      </c>
      <c r="M10" s="41">
        <f>MROUND(L10*Vendedor7!J$15,50)</f>
        <v>37400</v>
      </c>
      <c r="N10" s="42">
        <f t="shared" ref="N10:N27" si="9">D10+F10+H10+J10</f>
        <v>2550</v>
      </c>
      <c r="O10" s="41">
        <f t="shared" si="3"/>
        <v>216750</v>
      </c>
      <c r="P10" s="42">
        <f>Vendedor7!$F$5+Vendedor7!$F$9+Vendedor7!$F$13+Vendedor7!$F$17</f>
        <v>216750</v>
      </c>
      <c r="R10" s="41">
        <f t="shared" si="8"/>
        <v>57700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16550</v>
      </c>
      <c r="D12" s="30">
        <f>IF(Vendedor9!$E$5="",0,Vendedor9!$E$5)</f>
        <v>0</v>
      </c>
      <c r="E12" s="180">
        <f>IF(Vendedor9!$C$9="",0,Vendedor9!$C$9)</f>
        <v>2900</v>
      </c>
      <c r="F12" s="30">
        <f>IF(Vendedor9!$E$9="",0,Vendedor9!$E$9)</f>
        <v>300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19450</v>
      </c>
      <c r="M12" s="41">
        <f>MROUND(L12*Vendedor9!J$12,50)</f>
        <v>2350</v>
      </c>
      <c r="N12" s="42">
        <f t="shared" si="9"/>
        <v>300</v>
      </c>
      <c r="O12" s="41">
        <f t="shared" si="3"/>
        <v>25500</v>
      </c>
      <c r="P12" s="42">
        <f>Vendedor9!$F$5+Vendedor9!$F$9+Vendedor9!$F$13+Vendedor9!$F$17</f>
        <v>25500</v>
      </c>
      <c r="R12" s="41">
        <f t="shared" si="8"/>
        <v>-8400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14650</v>
      </c>
      <c r="D13" s="30">
        <f>IF(Vendedor10!$E$5="",0,Vendedor10!$E$5)</f>
        <v>200</v>
      </c>
      <c r="E13" s="180">
        <f>IF(Vendedor10!$C$9="",0,Vendedor10!$C$9)</f>
        <v>25900</v>
      </c>
      <c r="F13" s="30">
        <f>IF(Vendedor10!$E$9="",0,Vendedor10!$E$9)</f>
        <v>1100</v>
      </c>
      <c r="G13" s="180">
        <f>IF(Vendedor10!$C$13="",0,Vendedor10!$C$13)</f>
        <v>8400</v>
      </c>
      <c r="H13" s="30">
        <f>IF(Vendedor10!$E$13="",0,Vendedor10!$E$13)</f>
        <v>0</v>
      </c>
      <c r="I13" s="180">
        <f>IF(Vendedor10!$C$17="",0,Vendedor10!$C$17)</f>
        <v>9050</v>
      </c>
      <c r="J13" s="30">
        <f>IF(Vendedor10!$E$17="",0,Vendedor10!$E$17)</f>
        <v>200</v>
      </c>
      <c r="L13" s="42">
        <f t="shared" si="7"/>
        <v>58000</v>
      </c>
      <c r="M13" s="41">
        <f>MROUND(L13*Vendedor10!J$10,50)</f>
        <v>6950</v>
      </c>
      <c r="N13" s="42">
        <f t="shared" si="9"/>
        <v>1500</v>
      </c>
      <c r="O13" s="41">
        <f t="shared" si="3"/>
        <v>127500</v>
      </c>
      <c r="P13" s="42">
        <f>Vendedor10!$F$5+Vendedor10!$F$9+Vendedor10!$F$13+Vendedor10!$F$17</f>
        <v>120000</v>
      </c>
      <c r="R13" s="41">
        <f t="shared" si="8"/>
        <v>-76450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18900</v>
      </c>
      <c r="D16" s="30">
        <f>IF(Vendedor13!$E$5="",0,Vendedor13!$E$5)</f>
        <v>0</v>
      </c>
      <c r="E16" s="180">
        <f>IF(Vendedor13!$C$9="",0,Vendedor13!$C$9)</f>
        <v>13050</v>
      </c>
      <c r="F16" s="30">
        <f>IF(Vendedor13!$E$9="",0,Vendedor13!$E$9)</f>
        <v>250</v>
      </c>
      <c r="G16" s="180">
        <f>IF(Vendedor13!$C$13="",0,Vendedor13!$C$13)</f>
        <v>2700</v>
      </c>
      <c r="H16" s="30">
        <f>IF(Vendedor13!$E$13="",0,Vendedor13!$E$13)</f>
        <v>0</v>
      </c>
      <c r="I16" s="180">
        <f>IF(Vendedor13!$C$17="",0,Vendedor13!$C$17)</f>
        <v>13800</v>
      </c>
      <c r="J16" s="30">
        <f>IF(Vendedor13!$E$17="",0,Vendedor13!$E$17)</f>
        <v>0</v>
      </c>
      <c r="L16" s="42">
        <f t="shared" si="7"/>
        <v>48450</v>
      </c>
      <c r="M16" s="41">
        <f>MROUND(L16*Vendedor13!J$12,50)</f>
        <v>5800</v>
      </c>
      <c r="N16" s="42">
        <f t="shared" si="9"/>
        <v>250</v>
      </c>
      <c r="O16" s="41">
        <f t="shared" si="3"/>
        <v>21250</v>
      </c>
      <c r="P16" s="42">
        <f>Vendedor13!$F$5+Vendedor13!$F$9+Vendedor13!$F$13+Vendedor13!$F$17</f>
        <v>20000</v>
      </c>
      <c r="R16" s="41">
        <f t="shared" si="8"/>
        <v>21400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88600</v>
      </c>
      <c r="D17" s="30">
        <f>IF(Vendedor14!$E$5="",0,Vendedor14!$E$5)</f>
        <v>0</v>
      </c>
      <c r="E17" s="180">
        <f>IF(Vendedor14!$C$9="",0,Vendedor14!$C$9)</f>
        <v>90900</v>
      </c>
      <c r="F17" s="30">
        <f>IF(Vendedor14!$E$9="",0,Vendedor14!$E$9)</f>
        <v>1400</v>
      </c>
      <c r="G17" s="180">
        <f>IF(Vendedor14!$C$13="",0,Vendedor14!$C$13)</f>
        <v>59300</v>
      </c>
      <c r="H17" s="30">
        <f>IF(Vendedor14!$E$13="",0,Vendedor14!$E$13)</f>
        <v>1650</v>
      </c>
      <c r="I17" s="180">
        <f>IF(Vendedor14!$C$17="",0,Vendedor14!$C$17)</f>
        <v>123500</v>
      </c>
      <c r="J17" s="30">
        <f>IF(Vendedor14!$E$17="",0,Vendedor14!$E$17)</f>
        <v>1300</v>
      </c>
      <c r="L17" s="42">
        <f>C17+E17+G17+I17</f>
        <v>362300</v>
      </c>
      <c r="M17" s="41">
        <f>MROUND(L17*Vendedor14!J$16,50)</f>
        <v>43500</v>
      </c>
      <c r="N17" s="42">
        <f t="shared" si="9"/>
        <v>4350</v>
      </c>
      <c r="O17" s="41">
        <f t="shared" si="3"/>
        <v>369750</v>
      </c>
      <c r="P17" s="42">
        <f>Vendedor14!$F$5+Vendedor14!$F$9+Vendedor14!$F$13+Vendedor14!$F$17</f>
        <v>369750</v>
      </c>
      <c r="R17" s="41">
        <f t="shared" si="8"/>
        <v>-50950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68650</v>
      </c>
      <c r="D18" s="30">
        <f>IF(Vendedor15!$E$5="",0,Vendedor15!$E$5)</f>
        <v>1000</v>
      </c>
      <c r="E18" s="180">
        <f>IF(Vendedor15!$C$9="",0,Vendedor15!$C$9)</f>
        <v>65850</v>
      </c>
      <c r="F18" s="30">
        <f>IF(Vendedor15!$E$9="",0,Vendedor15!$E$9)</f>
        <v>1050</v>
      </c>
      <c r="G18" s="180">
        <f>IF(Vendedor15!$C$13="",0,Vendedor15!$C$13)</f>
        <v>59200</v>
      </c>
      <c r="H18" s="30">
        <f>IF(Vendedor15!$E$13="",0,Vendedor15!$E$13)</f>
        <v>1350</v>
      </c>
      <c r="I18" s="180">
        <f>IF(Vendedor15!$C$17="",0,Vendedor15!$C$17)</f>
        <v>38000</v>
      </c>
      <c r="J18" s="30">
        <f>IF(Vendedor15!$E$17="",0,Vendedor15!$E$17)</f>
        <v>200</v>
      </c>
      <c r="L18" s="42">
        <f t="shared" ref="L18:L27" si="10">C18+E18+G18+I18</f>
        <v>231700</v>
      </c>
      <c r="M18" s="41">
        <f>MROUND(L18*Vendedor15!J$16,50)</f>
        <v>27800</v>
      </c>
      <c r="N18" s="42">
        <f t="shared" si="9"/>
        <v>3600</v>
      </c>
      <c r="O18" s="41">
        <f t="shared" si="3"/>
        <v>306000</v>
      </c>
      <c r="P18" s="42">
        <f>Vendedor15!$F$5+Vendedor15!$F$9+Vendedor15!$F$13+Vendedor15!$F$17</f>
        <v>306000</v>
      </c>
      <c r="R18" s="41">
        <f t="shared" si="8"/>
        <v>-102100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410600</v>
      </c>
      <c r="D32" s="44">
        <f t="shared" si="14"/>
        <v>3800</v>
      </c>
      <c r="E32" s="43">
        <f t="shared" si="14"/>
        <v>331700</v>
      </c>
      <c r="F32" s="44">
        <f t="shared" si="14"/>
        <v>6850</v>
      </c>
      <c r="G32" s="43">
        <f t="shared" si="14"/>
        <v>210550</v>
      </c>
      <c r="H32" s="44">
        <f t="shared" si="14"/>
        <v>3250</v>
      </c>
      <c r="I32" s="43">
        <f t="shared" si="14"/>
        <v>337500</v>
      </c>
      <c r="J32" s="44">
        <f t="shared" si="14"/>
        <v>2750</v>
      </c>
      <c r="L32" s="45">
        <f>SUM(L4:L31)</f>
        <v>1290350</v>
      </c>
      <c r="M32" s="45">
        <f>SUM(M7:M31)</f>
        <v>145200</v>
      </c>
      <c r="N32" s="95">
        <f>SUM(N4:N31)</f>
        <v>16650</v>
      </c>
      <c r="O32" s="46">
        <f>SUM(O4:O31)</f>
        <v>1415250</v>
      </c>
      <c r="P32" s="140">
        <f>SUM(P4:P31)</f>
        <v>1386000</v>
      </c>
      <c r="R32" s="79">
        <f>SUM(R4:R31)</f>
        <v>-280550</v>
      </c>
    </row>
    <row r="33" spans="3:15" x14ac:dyDescent="0.35">
      <c r="D33" s="120">
        <f>+D32*85</f>
        <v>323000</v>
      </c>
      <c r="F33" s="120">
        <f>+F32*85</f>
        <v>582250</v>
      </c>
      <c r="H33" s="120">
        <f>+H32*85</f>
        <v>276250</v>
      </c>
      <c r="J33" s="120">
        <f>+J32*85</f>
        <v>233750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1290350</v>
      </c>
      <c r="E36" s="43">
        <f>+D36-L4-L5-L6</f>
        <v>1210200</v>
      </c>
    </row>
    <row r="37" spans="3:15" x14ac:dyDescent="0.35">
      <c r="C37" s="47" t="s">
        <v>33</v>
      </c>
      <c r="D37" s="48">
        <f>D36*13%</f>
        <v>167745.5</v>
      </c>
      <c r="E37">
        <f>+D37-M4-M5-M6</f>
        <v>157295.5</v>
      </c>
    </row>
    <row r="38" spans="3:15" x14ac:dyDescent="0.35">
      <c r="C38" s="47" t="s">
        <v>30</v>
      </c>
      <c r="D38" s="30">
        <f>SUM(O4:O27)</f>
        <v>1415250</v>
      </c>
      <c r="G38" s="100"/>
    </row>
    <row r="39" spans="3:15" ht="15" thickBot="1" x14ac:dyDescent="0.4">
      <c r="C39" s="49" t="s">
        <v>4</v>
      </c>
      <c r="D39" s="80">
        <f>+D36-D37-D38</f>
        <v>-292645.5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-292645.5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27 Blanca</v>
      </c>
      <c r="D2" s="268"/>
      <c r="E2" s="267" t="str">
        <f>IF(E33=0,"",CONCATENATE(PREMIOS!$B11," ",PREMIOS!$B12))</f>
        <v>86 Roja</v>
      </c>
      <c r="F2" s="268"/>
      <c r="G2" s="267" t="str">
        <f>IF(G33=0,"",CONCATENATE(PREMIOS!$B15," ",PREMIOS!$B16))</f>
        <v>49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30950</v>
      </c>
      <c r="D10" s="30">
        <f>IF(Vendedor7!$E$8="",0,Vendedor7!$E$8)</f>
        <v>0</v>
      </c>
      <c r="E10" s="180">
        <f>IF(Vendedor7!$C$12="",0,Vendedor7!$C$12)</f>
        <v>41250</v>
      </c>
      <c r="F10" s="30">
        <f>IF(Vendedor7!$E$12="",0,Vendedor7!$E$12)</f>
        <v>0</v>
      </c>
      <c r="G10" s="180">
        <f>IF(Vendedor7!$C$16="",0,Vendedor7!$C$16)</f>
        <v>40800</v>
      </c>
      <c r="H10" s="30">
        <f>IF(Vendedor7!$E$16="",0,Vendedor7!$E$16)</f>
        <v>0</v>
      </c>
      <c r="J10" s="42">
        <f t="shared" si="1"/>
        <v>113000</v>
      </c>
      <c r="K10" s="41">
        <f>J10*Vendedor7!J$16</f>
        <v>11300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101700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1450</v>
      </c>
      <c r="D12" s="30">
        <f>IF(Vendedor9!$E$8="",0,Vendedor9!$E$8)</f>
        <v>0</v>
      </c>
      <c r="E12" s="180">
        <f>IF(Vendedor9!$C$12="",0,Vendedor9!$C$12)</f>
        <v>3100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4550</v>
      </c>
      <c r="K12" s="41">
        <f>J12*Vendedor9!J$13</f>
        <v>455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4095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500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1000</v>
      </c>
      <c r="H16" s="30">
        <f>IF(Vendedor13!$E$16="",0,Vendedor13!$E$16)</f>
        <v>0</v>
      </c>
      <c r="J16" s="42">
        <f t="shared" si="1"/>
        <v>1500</v>
      </c>
      <c r="K16" s="41">
        <f>J16*Vendedor13!J$13</f>
        <v>150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1350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19750</v>
      </c>
      <c r="D17" s="30">
        <f>IF(Vendedor14!$E$8="",0,Vendedor14!$E$8)</f>
        <v>0</v>
      </c>
      <c r="E17" s="180">
        <f>IF(Vendedor14!$C$12="",0,Vendedor14!$C$12)</f>
        <v>16950</v>
      </c>
      <c r="F17" s="30">
        <f>IF(Vendedor14!$E$12="",0,Vendedor14!$E$12)</f>
        <v>0</v>
      </c>
      <c r="G17" s="180">
        <f>IF(Vendedor14!$C$16="",0,Vendedor14!$C$16)</f>
        <v>21800</v>
      </c>
      <c r="H17" s="30">
        <f>IF(Vendedor14!$E$16="",0,Vendedor14!$E$16)</f>
        <v>0</v>
      </c>
      <c r="J17" s="42">
        <f t="shared" si="1"/>
        <v>58500</v>
      </c>
      <c r="K17" s="41">
        <f>J17*Vendedor14!J$17</f>
        <v>5850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52650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19350</v>
      </c>
      <c r="D18" s="30">
        <f>IF(Vendedor15!$E$8="",0,Vendedor15!$E$8)</f>
        <v>0</v>
      </c>
      <c r="E18" s="180">
        <f>IF(Vendedor15!$C$12="",0,Vendedor15!$C$12)</f>
        <v>19900</v>
      </c>
      <c r="F18" s="30">
        <f>IF(Vendedor15!$E$12="",0,Vendedor15!$E$12)</f>
        <v>0</v>
      </c>
      <c r="G18" s="180">
        <f>IF(Vendedor15!$C$16="",0,Vendedor15!$C$16)</f>
        <v>24950</v>
      </c>
      <c r="H18" s="30">
        <f>IF(Vendedor15!$E$16="",0,Vendedor15!$E$16)</f>
        <v>0</v>
      </c>
      <c r="J18" s="42">
        <f t="shared" ref="J18" si="5">+C18+E18+G18</f>
        <v>64200</v>
      </c>
      <c r="K18" s="41">
        <f>J18*Vendedor15!J$17</f>
        <v>6420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57780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72000</v>
      </c>
      <c r="D33" s="44">
        <f>IF(PREMIOS!E8&lt;&gt;0,SUM(D4:D32),0)</f>
        <v>0</v>
      </c>
      <c r="E33" s="43">
        <f>SUM(E4:E32)</f>
        <v>81200</v>
      </c>
      <c r="F33" s="44">
        <f>IF(PREMIOS!E12&lt;&gt;0,SUM(F4:F32),0)</f>
        <v>0</v>
      </c>
      <c r="G33" s="43">
        <f>SUM(G4:G32)</f>
        <v>88550</v>
      </c>
      <c r="H33" s="44">
        <f>IF(PREMIOS!E16&lt;&gt;0,SUM(H4:H32),0)</f>
        <v>0</v>
      </c>
      <c r="J33" s="45">
        <f>SUM(J4:J32)</f>
        <v>241750</v>
      </c>
      <c r="K33" s="45">
        <f>SUM(K7:K32)</f>
        <v>24175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217575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241750</v>
      </c>
      <c r="E37" s="43">
        <f>+D37-J4-J5-J6</f>
        <v>241750</v>
      </c>
      <c r="F37" s="275"/>
      <c r="G37" s="275"/>
    </row>
    <row r="38" spans="3:17" ht="15" thickBot="1" x14ac:dyDescent="0.4">
      <c r="C38" s="47" t="s">
        <v>33</v>
      </c>
      <c r="D38" s="30">
        <f>D37*10%</f>
        <v>24175</v>
      </c>
      <c r="E38" s="43">
        <f>+D38-K4-K5-K6</f>
        <v>24175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217575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217575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 t="str">
        <f>DigitaPRIMERA!C2</f>
        <v>06</v>
      </c>
      <c r="D2" s="268"/>
      <c r="E2" s="267">
        <f>DigitaPRIMERA!E2</f>
        <v>14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13600</v>
      </c>
      <c r="D4" s="78">
        <f>IF(Vendedor1!$E$19="",0,Vendedor1!$E$19)</f>
        <v>0</v>
      </c>
      <c r="E4" s="189">
        <f>IF(Vendedor1!$C$20="",0,Vendedor1!$C$20)</f>
        <v>1400</v>
      </c>
      <c r="F4" s="78">
        <f>IF(Vendedor1!$E$20="",0,Vendedor1!$E$20)</f>
        <v>0</v>
      </c>
      <c r="H4" s="42">
        <f>+C4+E4</f>
        <v>15000</v>
      </c>
      <c r="I4" s="41">
        <f>MROUND(H4*Vendedor1!J$9,50)</f>
        <v>1950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13050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12300</v>
      </c>
      <c r="D5" s="30">
        <f>IF(Vendedor2!$E$19="",0,Vendedor2!$E$19)</f>
        <v>0</v>
      </c>
      <c r="E5" s="180">
        <f>IF(Vendedor2!$C$20="",0,Vendedor2!$C$20)</f>
        <v>200</v>
      </c>
      <c r="F5" s="30">
        <f>IF(Vendedor2!$E$20="",0,Vendedor2!$E$20)</f>
        <v>0</v>
      </c>
      <c r="H5" s="42">
        <f t="shared" ref="H5:H31" si="1">+C5+E5</f>
        <v>12500</v>
      </c>
      <c r="I5" s="41">
        <f>MROUND(H5*Vendedor2!J$9,50)</f>
        <v>1650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10850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20700</v>
      </c>
      <c r="D8" s="30">
        <f>IF(Vendedor5!$E$19="",0,Vendedor5!$E$19)</f>
        <v>0</v>
      </c>
      <c r="E8" s="180">
        <f>IF(Vendedor5!$C$20="",0,Vendedor5!$C$20)</f>
        <v>22450</v>
      </c>
      <c r="F8" s="30">
        <f>IF(Vendedor5!$E$20="",0,Vendedor5!$E$20)</f>
        <v>0</v>
      </c>
      <c r="H8" s="133">
        <f t="shared" si="1"/>
        <v>43150</v>
      </c>
      <c r="I8" s="148">
        <f>MROUND(H8*Vendedor5!J$11,50)</f>
        <v>5200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37950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57800</v>
      </c>
      <c r="D10" s="30">
        <f>IF(Vendedor7!$E$19="",0,Vendedor7!$E$19)</f>
        <v>300</v>
      </c>
      <c r="E10" s="180">
        <f>IF(Vendedor7!$C$20="",0,Vendedor7!$C$20)</f>
        <v>30900</v>
      </c>
      <c r="F10" s="30">
        <f>IF(Vendedor7!$E$20="",0,Vendedor7!$E$20)</f>
        <v>0</v>
      </c>
      <c r="H10" s="42">
        <f t="shared" si="1"/>
        <v>88700</v>
      </c>
      <c r="I10" s="41">
        <f>MROUND(H10*Vendedor7!J$14,50)</f>
        <v>10650</v>
      </c>
      <c r="J10" s="42">
        <f t="shared" si="2"/>
        <v>300</v>
      </c>
      <c r="K10" s="42">
        <f t="shared" si="3"/>
        <v>25500</v>
      </c>
      <c r="L10" s="42">
        <f>Vendedor7!$F$19+Vendedor7!$F$20</f>
        <v>25500</v>
      </c>
      <c r="N10" s="42">
        <f t="shared" si="0"/>
        <v>52550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37500</v>
      </c>
      <c r="D12" s="30">
        <f>IF(Vendedor9!$E$19="",0,Vendedor9!$E$19)</f>
        <v>200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37500</v>
      </c>
      <c r="I12" s="148">
        <f>MROUND(H12*Vendedor9!J$11,50)</f>
        <v>4500</v>
      </c>
      <c r="J12" s="133">
        <f t="shared" si="2"/>
        <v>200</v>
      </c>
      <c r="K12" s="133">
        <f t="shared" si="3"/>
        <v>17000</v>
      </c>
      <c r="L12" s="133">
        <f>Vendedor9!$F$19+Vendedor9!$F$20</f>
        <v>17000</v>
      </c>
      <c r="M12" s="155"/>
      <c r="N12" s="133">
        <f t="shared" si="0"/>
        <v>16000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5200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5200</v>
      </c>
      <c r="I16" s="148">
        <f>MROUND(H16*Vendedor13!J$11,50)</f>
        <v>600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4600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57600</v>
      </c>
      <c r="D17" s="30">
        <f>IF(Vendedor14!$E$19="",0,Vendedor14!$E$19)</f>
        <v>550</v>
      </c>
      <c r="E17" s="180">
        <f>IF(Vendedor14!$C$20="",0,Vendedor14!$C$20)</f>
        <v>73450</v>
      </c>
      <c r="F17" s="30">
        <f>IF(Vendedor14!$E$20="",0,Vendedor14!$E$20)</f>
        <v>0</v>
      </c>
      <c r="H17" s="42">
        <f t="shared" si="1"/>
        <v>131050</v>
      </c>
      <c r="I17" s="41">
        <f>MROUND(H17*Vendedor14!J$15,50)</f>
        <v>15750</v>
      </c>
      <c r="J17" s="42">
        <f t="shared" si="2"/>
        <v>550</v>
      </c>
      <c r="K17" s="42">
        <f t="shared" si="3"/>
        <v>46750</v>
      </c>
      <c r="L17" s="42">
        <f>Vendedor14!$F$19+Vendedor14!$F$20</f>
        <v>46750</v>
      </c>
      <c r="N17" s="42">
        <f t="shared" si="0"/>
        <v>68550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43800</v>
      </c>
      <c r="D18" s="30">
        <f>IF(Vendedor15!$E$19="",0,Vendedor15!$E$19)</f>
        <v>300</v>
      </c>
      <c r="E18" s="180">
        <f>IF(Vendedor15!$C$20="",0,Vendedor15!$C$20)</f>
        <v>46550</v>
      </c>
      <c r="F18" s="30">
        <f>IF(Vendedor15!$E$20="",0,Vendedor15!$E$20)</f>
        <v>450</v>
      </c>
      <c r="H18" s="42">
        <f t="shared" si="1"/>
        <v>90350</v>
      </c>
      <c r="I18" s="41">
        <f>MROUND(H18*Vendedor15!J$15,50)</f>
        <v>10850</v>
      </c>
      <c r="J18" s="42">
        <f t="shared" si="2"/>
        <v>750</v>
      </c>
      <c r="K18" s="42">
        <f t="shared" si="3"/>
        <v>63750</v>
      </c>
      <c r="L18" s="42">
        <f>Vendedor15!$F$19+Vendedor15!$F$20</f>
        <v>63750</v>
      </c>
      <c r="N18" s="42">
        <f t="shared" si="0"/>
        <v>15750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248500</v>
      </c>
      <c r="D32" s="44">
        <f>SUM(D4:D31)</f>
        <v>1350</v>
      </c>
      <c r="E32" s="43">
        <f>SUM(E4:E31)</f>
        <v>174950</v>
      </c>
      <c r="F32" s="44">
        <f>SUM(F4:F31)</f>
        <v>450</v>
      </c>
      <c r="H32" s="95">
        <f>SUM(H4:H31)</f>
        <v>423450</v>
      </c>
      <c r="I32" s="45">
        <f>SUM(I7:I31)</f>
        <v>47550</v>
      </c>
      <c r="J32" s="95"/>
      <c r="K32" s="95">
        <f>SUM(K4:K31)</f>
        <v>153000</v>
      </c>
      <c r="L32" s="95">
        <f>SUM(L4:L31)</f>
        <v>153000</v>
      </c>
      <c r="N32" s="79">
        <f>SUM(N4:N31)</f>
        <v>219300</v>
      </c>
    </row>
    <row r="33" spans="3:6" x14ac:dyDescent="0.35">
      <c r="D33" s="99">
        <f>+D32*85</f>
        <v>114750</v>
      </c>
      <c r="F33" s="99">
        <f>+F32*85</f>
        <v>38250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423450</v>
      </c>
      <c r="E36" s="43">
        <f>+D36-H4-H5-H6</f>
        <v>395950</v>
      </c>
    </row>
    <row r="37" spans="3:6" x14ac:dyDescent="0.35">
      <c r="C37" s="47" t="s">
        <v>33</v>
      </c>
      <c r="D37" s="48">
        <f>D36*13%</f>
        <v>55048.5</v>
      </c>
      <c r="E37">
        <f>+D37-I4-I5-I6</f>
        <v>51448.5</v>
      </c>
    </row>
    <row r="38" spans="3:6" ht="15" thickBot="1" x14ac:dyDescent="0.4">
      <c r="C38" s="47" t="s">
        <v>30</v>
      </c>
      <c r="D38" s="30">
        <f>SUM(K4:K27)</f>
        <v>153000</v>
      </c>
    </row>
    <row r="39" spans="3:6" ht="15" thickBot="1" x14ac:dyDescent="0.4">
      <c r="C39" s="49" t="s">
        <v>4</v>
      </c>
      <c r="D39" s="80">
        <f>+D36-D37-D38</f>
        <v>215401.5</v>
      </c>
      <c r="F39" s="98">
        <f>+N32-D39</f>
        <v>3898.5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215401.5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41</v>
      </c>
      <c r="D2" s="268"/>
      <c r="E2" s="267">
        <f>DigitaHONDURAS!E2</f>
        <v>76</v>
      </c>
      <c r="F2" s="268"/>
      <c r="G2" s="267">
        <f>DigitaHONDURAS!G2</f>
        <v>50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4900</v>
      </c>
      <c r="D10" s="30">
        <f>IF(Vendedor7!$E$21="",0,Vendedor7!$E$21)</f>
        <v>0</v>
      </c>
      <c r="E10" s="180">
        <f>IF(Vendedor7!$C$22="",0,Vendedor7!$C$22)</f>
        <v>600</v>
      </c>
      <c r="F10" s="30">
        <f>IF(Vendedor7!$E$22="",0,Vendedor7!$E$22)</f>
        <v>0</v>
      </c>
      <c r="G10" s="180">
        <f>IF(Vendedor7!$C$23="",0,Vendedor7!$C$23)</f>
        <v>950</v>
      </c>
      <c r="H10" s="30">
        <f>IF(Vendedor7!$E$23="",0,Vendedor7!$E$23)</f>
        <v>0</v>
      </c>
      <c r="J10" s="42">
        <f t="shared" si="0"/>
        <v>6450</v>
      </c>
      <c r="K10" s="41">
        <f>MROUND(J10*Vendedor7!J$14,50)</f>
        <v>750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5700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22800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22800</v>
      </c>
      <c r="K12" s="41">
        <f>MROUND(J12*Vendedor9!J$14,50)</f>
        <v>2750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20050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2700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2000</v>
      </c>
      <c r="H16" s="30">
        <f>IF(Vendedor13!$E$23="",0,Vendedor13!$E$23)</f>
        <v>0</v>
      </c>
      <c r="J16" s="133">
        <f t="shared" si="0"/>
        <v>4700</v>
      </c>
      <c r="K16" s="148">
        <f>MROUND(J16*Vendedor13!J$11,50)</f>
        <v>550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4150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40300</v>
      </c>
      <c r="D17" s="30">
        <f>IF(Vendedor14!$E$21="",0,Vendedor14!$E$21)</f>
        <v>0</v>
      </c>
      <c r="E17" s="180">
        <f>IF(Vendedor14!$C$22="",0,Vendedor14!$C$22)</f>
        <v>16750</v>
      </c>
      <c r="F17" s="30">
        <f>IF(Vendedor14!$E$22="",0,Vendedor14!$E$22)</f>
        <v>0</v>
      </c>
      <c r="G17" s="180">
        <f>IF(Vendedor14!$C$23="",0,Vendedor14!$C$23)</f>
        <v>7150</v>
      </c>
      <c r="H17" s="30">
        <f>IF(Vendedor14!$E$23="",0,Vendedor14!$E$23)</f>
        <v>0</v>
      </c>
      <c r="J17" s="42">
        <f t="shared" si="0"/>
        <v>64200</v>
      </c>
      <c r="K17" s="41">
        <f>MROUND(J17*Vendedor14!J$15,50)</f>
        <v>7700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56500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21450</v>
      </c>
      <c r="D18" s="30">
        <f>IF(Vendedor15!$E$21="",0,Vendedor15!$E$21)</f>
        <v>300</v>
      </c>
      <c r="E18" s="180">
        <f>IF(Vendedor15!$C$22="",0,Vendedor15!$C$22)</f>
        <v>6700</v>
      </c>
      <c r="F18" s="30">
        <f>IF(Vendedor15!$E$22="",0,Vendedor15!$E$22)</f>
        <v>0</v>
      </c>
      <c r="G18" s="180">
        <f>IF(Vendedor15!$C$23="",0,Vendedor15!$C$23)</f>
        <v>7800</v>
      </c>
      <c r="H18" s="30">
        <f>IF(Vendedor15!$E$23="",0,Vendedor15!$E$23)</f>
        <v>150</v>
      </c>
      <c r="J18" s="42">
        <f t="shared" si="0"/>
        <v>35950</v>
      </c>
      <c r="K18" s="41">
        <f>MROUND(J18*Vendedor15!J$15,50)</f>
        <v>4300</v>
      </c>
      <c r="L18" s="42">
        <f t="shared" si="1"/>
        <v>450</v>
      </c>
      <c r="M18" s="42">
        <f t="shared" si="3"/>
        <v>38250</v>
      </c>
      <c r="N18" s="42">
        <f>Vendedor15!$F$21+Vendedor15!$F$22+Vendedor15!$F$23</f>
        <v>38250</v>
      </c>
      <c r="P18" s="42">
        <f t="shared" si="2"/>
        <v>-6600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92150</v>
      </c>
      <c r="D32" s="44">
        <f t="shared" si="8"/>
        <v>300</v>
      </c>
      <c r="E32" s="43">
        <f t="shared" si="8"/>
        <v>24050</v>
      </c>
      <c r="F32" s="44">
        <f t="shared" si="8"/>
        <v>0</v>
      </c>
      <c r="G32" s="43">
        <f t="shared" si="8"/>
        <v>17900</v>
      </c>
      <c r="H32" s="44">
        <f t="shared" si="8"/>
        <v>150</v>
      </c>
      <c r="J32" s="95">
        <f>SUM(J4:J31)</f>
        <v>134100</v>
      </c>
      <c r="K32" s="45">
        <f>SUM(K7:K31)</f>
        <v>16050</v>
      </c>
      <c r="L32" s="95"/>
      <c r="M32" s="95">
        <f>SUM(M4:M31)</f>
        <v>38250</v>
      </c>
      <c r="N32" s="95">
        <f>SUM(N4:N31)</f>
        <v>38250</v>
      </c>
      <c r="P32" s="79">
        <f>SUM(P4:P31)</f>
        <v>79800</v>
      </c>
    </row>
    <row r="33" spans="3:8" x14ac:dyDescent="0.35">
      <c r="D33" s="99">
        <f>+D32*85</f>
        <v>25500</v>
      </c>
      <c r="F33" s="99">
        <f>+F32*85</f>
        <v>0</v>
      </c>
      <c r="H33" s="99">
        <f>+H32*85</f>
        <v>12750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134100</v>
      </c>
      <c r="E36" s="43">
        <f>+D36-J4-J5-J6</f>
        <v>134100</v>
      </c>
    </row>
    <row r="37" spans="3:8" x14ac:dyDescent="0.35">
      <c r="C37" s="47" t="s">
        <v>33</v>
      </c>
      <c r="D37" s="48">
        <f>D36*13%</f>
        <v>17433</v>
      </c>
      <c r="E37">
        <f>+D37-K4-K5-K6</f>
        <v>17433</v>
      </c>
    </row>
    <row r="38" spans="3:8" ht="15" thickBot="1" x14ac:dyDescent="0.4">
      <c r="C38" s="47" t="s">
        <v>30</v>
      </c>
      <c r="D38" s="30">
        <f>SUM(M4:M27)</f>
        <v>38250</v>
      </c>
      <c r="G38" s="100"/>
    </row>
    <row r="39" spans="3:8" ht="15" thickBot="1" x14ac:dyDescent="0.4">
      <c r="C39" s="49" t="s">
        <v>4</v>
      </c>
      <c r="D39" s="80">
        <f>+D36-D37-D38</f>
        <v>78417</v>
      </c>
      <c r="F39" s="98">
        <f>+P32-D39</f>
        <v>1383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78417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92</v>
      </c>
      <c r="D2" s="268"/>
      <c r="E2" s="267">
        <f>DigitaDOMINICANA!E2</f>
        <v>88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32500</v>
      </c>
      <c r="D10" s="30">
        <f>IF(Vendedor7!$E$24="",0,Vendedor7!$E$24)</f>
        <v>0</v>
      </c>
      <c r="E10" s="180">
        <f>IF(Vendedor7!$C$25="",0,Vendedor7!$C$25)</f>
        <v>37500</v>
      </c>
      <c r="F10" s="30">
        <f>IF(Vendedor7!$E$25="",0,Vendedor7!$E$25)</f>
        <v>1000</v>
      </c>
      <c r="H10" s="42">
        <f t="shared" si="1"/>
        <v>70000</v>
      </c>
      <c r="I10" s="41">
        <f>MROUND(H10*Vendedor7!J$14,50)</f>
        <v>8400</v>
      </c>
      <c r="J10" s="42">
        <f t="shared" si="2"/>
        <v>1000</v>
      </c>
      <c r="K10" s="42">
        <f t="shared" si="3"/>
        <v>85000</v>
      </c>
      <c r="L10" s="42">
        <f>Vendedor7!$F$24+Vendedor7!$F$25</f>
        <v>85000</v>
      </c>
      <c r="N10" s="42">
        <f t="shared" si="0"/>
        <v>-23400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32500</v>
      </c>
      <c r="D32" s="44">
        <f>SUM(D4:D31)</f>
        <v>0</v>
      </c>
      <c r="E32" s="43">
        <f>SUM(E4:E31)</f>
        <v>37500</v>
      </c>
      <c r="F32" s="44">
        <f>SUM(F4:F31)</f>
        <v>1000</v>
      </c>
      <c r="H32" s="95">
        <f>SUM(H4:H31)</f>
        <v>70000</v>
      </c>
      <c r="I32" s="45">
        <f>SUM(I7:I31)</f>
        <v>8400</v>
      </c>
      <c r="J32" s="95"/>
      <c r="K32" s="95">
        <f>SUM(K4:K31)</f>
        <v>85000</v>
      </c>
      <c r="L32" s="95">
        <f>SUM(L4:L31)</f>
        <v>85000</v>
      </c>
      <c r="N32" s="79">
        <f>SUM(N4:N31)</f>
        <v>-23400</v>
      </c>
    </row>
    <row r="33" spans="3:6" x14ac:dyDescent="0.35">
      <c r="D33" s="99">
        <f>+D32*85</f>
        <v>0</v>
      </c>
      <c r="F33" s="99">
        <f>+F32*85</f>
        <v>85000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70000</v>
      </c>
      <c r="E36" s="43">
        <f>+D36-H4-H5-H6</f>
        <v>70000</v>
      </c>
    </row>
    <row r="37" spans="3:6" x14ac:dyDescent="0.35">
      <c r="C37" s="47" t="s">
        <v>33</v>
      </c>
      <c r="D37" s="48">
        <f>D36*13%</f>
        <v>9100</v>
      </c>
      <c r="E37">
        <f>+D37-I4-I5-I6</f>
        <v>9100</v>
      </c>
    </row>
    <row r="38" spans="3:6" ht="15" thickBot="1" x14ac:dyDescent="0.4">
      <c r="C38" s="47" t="s">
        <v>30</v>
      </c>
      <c r="D38" s="30">
        <f>SUM(K4:K27)</f>
        <v>85000</v>
      </c>
    </row>
    <row r="39" spans="3:6" ht="15" thickBot="1" x14ac:dyDescent="0.4">
      <c r="C39" s="49" t="s">
        <v>4</v>
      </c>
      <c r="D39" s="80">
        <f>+D36-D37-D38</f>
        <v>-24100</v>
      </c>
      <c r="F39" s="98">
        <f>+N32-D39</f>
        <v>700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-24100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22-05-2026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1210200</v>
      </c>
      <c r="C4" s="157">
        <f>HojaNICA!M32</f>
        <v>145200</v>
      </c>
      <c r="D4" s="150">
        <f>HojaNICA!E37</f>
        <v>157295.5</v>
      </c>
      <c r="E4" s="150">
        <f>HojaNICA!P32</f>
        <v>1386000</v>
      </c>
      <c r="F4" s="150">
        <f>HojaNICA!O32</f>
        <v>1415250</v>
      </c>
      <c r="G4" s="151">
        <f t="shared" ref="G4:G10" si="0">+D4-C4+F4-E4</f>
        <v>41345.5</v>
      </c>
      <c r="H4" s="21"/>
      <c r="I4" s="182"/>
    </row>
    <row r="5" spans="1:9" x14ac:dyDescent="0.35">
      <c r="A5" s="28" t="s">
        <v>19</v>
      </c>
      <c r="B5" s="156">
        <f>HojaTICA!$E$36</f>
        <v>1617150</v>
      </c>
      <c r="C5" s="157">
        <f>HojaTICA!K32</f>
        <v>197550</v>
      </c>
      <c r="D5" s="150">
        <f>HojaTICA!E37</f>
        <v>210213.5</v>
      </c>
      <c r="E5" s="150">
        <f>HojaTICA!N32</f>
        <v>652000</v>
      </c>
      <c r="F5" s="150">
        <f>HojaTICA!D38</f>
        <v>654500</v>
      </c>
      <c r="G5" s="151">
        <f t="shared" si="0"/>
        <v>15163.5</v>
      </c>
      <c r="H5" s="21"/>
      <c r="I5" s="182"/>
    </row>
    <row r="6" spans="1:9" x14ac:dyDescent="0.35">
      <c r="A6" s="28" t="s">
        <v>125</v>
      </c>
      <c r="B6" s="156">
        <f>HojaREVENTADO!$E$37</f>
        <v>241750</v>
      </c>
      <c r="C6" s="157">
        <f>HojaREVENTADO!K33</f>
        <v>24175</v>
      </c>
      <c r="D6" s="150">
        <f>HojaREVENTADO!E38</f>
        <v>24175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395950</v>
      </c>
      <c r="C7" s="157">
        <f>HojaPrimera!I32</f>
        <v>47550</v>
      </c>
      <c r="D7" s="150">
        <f>HojaPrimera!E37</f>
        <v>51448.5</v>
      </c>
      <c r="E7" s="150">
        <f>HojaPrimera!L32</f>
        <v>153000</v>
      </c>
      <c r="F7" s="150">
        <f>HojaPrimera!K32</f>
        <v>153000</v>
      </c>
      <c r="G7" s="151">
        <f t="shared" si="0"/>
        <v>3898.5</v>
      </c>
      <c r="H7" s="21"/>
      <c r="I7" s="21"/>
    </row>
    <row r="8" spans="1:9" x14ac:dyDescent="0.35">
      <c r="A8" s="28" t="s">
        <v>104</v>
      </c>
      <c r="B8" s="156">
        <f>HojaHonduras!$E$36</f>
        <v>134100</v>
      </c>
      <c r="C8" s="157">
        <f>HojaHonduras!K32</f>
        <v>16050</v>
      </c>
      <c r="D8" s="150">
        <f>HojaHonduras!E37</f>
        <v>17433</v>
      </c>
      <c r="E8" s="150">
        <f>HojaHonduras!N32</f>
        <v>38250</v>
      </c>
      <c r="F8" s="150">
        <f>HojaHonduras!M32</f>
        <v>38250</v>
      </c>
      <c r="G8" s="151">
        <f t="shared" si="0"/>
        <v>1383</v>
      </c>
      <c r="H8" s="21"/>
      <c r="I8" s="21"/>
    </row>
    <row r="9" spans="1:9" x14ac:dyDescent="0.35">
      <c r="A9" s="28" t="s">
        <v>20</v>
      </c>
      <c r="B9" s="156">
        <f>HojaDominicana!$E$36</f>
        <v>70000</v>
      </c>
      <c r="C9" s="157">
        <f>HojaDominicana!I32</f>
        <v>8400</v>
      </c>
      <c r="D9" s="150">
        <f>HojaDominicana!E37</f>
        <v>9100</v>
      </c>
      <c r="E9" s="150">
        <f>HojaDominicana!L32</f>
        <v>85000</v>
      </c>
      <c r="F9" s="150">
        <f>HojaDominicana!K32</f>
        <v>85000</v>
      </c>
      <c r="G9" s="151">
        <f t="shared" si="0"/>
        <v>700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3669150</v>
      </c>
      <c r="C11" s="175">
        <f>SUM(C4:C10)</f>
        <v>438925</v>
      </c>
      <c r="D11" s="175">
        <f t="shared" ref="D11:F11" si="1">SUM(D4:D10)</f>
        <v>469665.5</v>
      </c>
      <c r="E11" s="175">
        <f t="shared" si="1"/>
        <v>2314250</v>
      </c>
      <c r="F11" s="175">
        <f t="shared" si="1"/>
        <v>2346000</v>
      </c>
      <c r="G11" s="176">
        <f>SUM(G4:G10)</f>
        <v>62490.5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27490.5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208950</v>
      </c>
      <c r="E16" s="157">
        <f>+Vendedor1!D21</f>
        <v>27163.5</v>
      </c>
      <c r="F16" s="158">
        <f>IF(D16&lt;&gt;0,15000,0)</f>
        <v>15000</v>
      </c>
      <c r="G16" s="151">
        <f>+E16-F16</f>
        <v>12163.5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175500</v>
      </c>
      <c r="E17" s="157">
        <f>+Vendedor2!D21</f>
        <v>22815</v>
      </c>
      <c r="F17" s="158">
        <f>IF(D17&lt;&gt;0,15000,0)</f>
        <v>15000</v>
      </c>
      <c r="G17" s="151">
        <f>+E17-F17</f>
        <v>7815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384450</v>
      </c>
      <c r="E19" s="159">
        <f>SUM(E16:E18)</f>
        <v>49978.5</v>
      </c>
      <c r="F19" s="160">
        <f>SUM(F16:F18)</f>
        <v>30000</v>
      </c>
      <c r="G19" s="161">
        <f>SUM(G16:G18)</f>
        <v>19978.5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47469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22-05-2026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1290350</v>
      </c>
      <c r="C5" s="150">
        <f>HojaNICA!D37</f>
        <v>167745.5</v>
      </c>
      <c r="D5" s="150">
        <f>HojaNICA!D38</f>
        <v>1415250</v>
      </c>
      <c r="E5" s="150"/>
      <c r="F5" s="151">
        <f>+B5-C5-D5+E5</f>
        <v>-292645.5</v>
      </c>
      <c r="H5" s="249" t="s">
        <v>105</v>
      </c>
      <c r="I5" s="243">
        <f ca="1">TODAY()-1</f>
        <v>46164</v>
      </c>
      <c r="O5" s="119"/>
    </row>
    <row r="6" spans="1:15" ht="15" thickBot="1" x14ac:dyDescent="0.4">
      <c r="A6" s="47" t="s">
        <v>36</v>
      </c>
      <c r="B6" s="150">
        <f>HojaTICA!D36</f>
        <v>1893950</v>
      </c>
      <c r="C6" s="150">
        <f>HojaTICA!D37</f>
        <v>246213.5</v>
      </c>
      <c r="D6" s="150">
        <f>HojaTICA!D38</f>
        <v>654500</v>
      </c>
      <c r="E6" s="150"/>
      <c r="F6" s="151">
        <f t="shared" ref="F6:F11" si="0">+B6-C6-D6+E6</f>
        <v>993236.5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241750</v>
      </c>
      <c r="C7" s="150">
        <f>HojaREVENTADO!D38</f>
        <v>24175</v>
      </c>
      <c r="D7" s="150">
        <f>HojaREVENTADO!D39</f>
        <v>0</v>
      </c>
      <c r="E7" s="150"/>
      <c r="F7" s="151">
        <f t="shared" si="0"/>
        <v>217575</v>
      </c>
    </row>
    <row r="8" spans="1:15" x14ac:dyDescent="0.35">
      <c r="A8" s="47" t="s">
        <v>96</v>
      </c>
      <c r="B8" s="150">
        <f>HojaPrimera!$D36</f>
        <v>423450</v>
      </c>
      <c r="C8" s="150">
        <f>HojaPrimera!$D37</f>
        <v>55048.5</v>
      </c>
      <c r="D8" s="150">
        <f>HojaPrimera!$D38</f>
        <v>153000</v>
      </c>
      <c r="E8" s="150"/>
      <c r="F8" s="151">
        <f t="shared" si="0"/>
        <v>215401.5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134100</v>
      </c>
      <c r="C9" s="150">
        <f>HojaHonduras!$D37</f>
        <v>17433</v>
      </c>
      <c r="D9" s="150">
        <f>HojaHonduras!$D38</f>
        <v>38250</v>
      </c>
      <c r="E9" s="150"/>
      <c r="F9" s="151">
        <f t="shared" si="0"/>
        <v>78417</v>
      </c>
      <c r="H9" s="250">
        <f>+K12-K10-H6</f>
        <v>1187884.4999999995</v>
      </c>
    </row>
    <row r="10" spans="1:15" ht="15" thickBot="1" x14ac:dyDescent="0.4">
      <c r="A10" s="47" t="s">
        <v>20</v>
      </c>
      <c r="B10" s="150">
        <f>HojaDominicana!$D36</f>
        <v>70000</v>
      </c>
      <c r="C10" s="150">
        <f>HojaDominicana!$D37</f>
        <v>9100</v>
      </c>
      <c r="D10" s="150">
        <f>HojaDominicana!$D38</f>
        <v>85000</v>
      </c>
      <c r="E10" s="150"/>
      <c r="F10" s="151">
        <f t="shared" si="0"/>
        <v>-24100</v>
      </c>
      <c r="H10" s="154"/>
      <c r="J10" t="s">
        <v>148</v>
      </c>
      <c r="K10" s="252">
        <v>3797565.85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4985450.3499999996</v>
      </c>
    </row>
    <row r="12" spans="1:15" ht="16" thickBot="1" x14ac:dyDescent="0.4">
      <c r="A12" s="144" t="s">
        <v>5</v>
      </c>
      <c r="B12" s="152">
        <f>SUM(B5:B11)</f>
        <v>4053600</v>
      </c>
      <c r="C12" s="152">
        <f>SUM(C5:C11)</f>
        <v>519715.5</v>
      </c>
      <c r="D12" s="152">
        <f>SUM(D5:D11)</f>
        <v>2346000</v>
      </c>
      <c r="E12" s="152"/>
      <c r="F12" s="255">
        <f>SUM(F5:F11)</f>
        <v>1187884.5</v>
      </c>
      <c r="H12" s="251">
        <f>K12</f>
        <v>4985450.3499999996</v>
      </c>
      <c r="J12" t="s">
        <v>140</v>
      </c>
      <c r="K12" s="254">
        <f>-899926.37+3658414.74+1139024.5+1087937.48</f>
        <v>4985450.3499999996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162600</v>
      </c>
      <c r="K4" s="231">
        <f t="shared" ref="K4" si="0">D7+D11+D15</f>
        <v>21138</v>
      </c>
      <c r="L4" s="220">
        <f>F7+F11+F15</f>
        <v>72250</v>
      </c>
    </row>
    <row r="5" spans="1:12" x14ac:dyDescent="0.35">
      <c r="A5" s="28" t="s">
        <v>43</v>
      </c>
      <c r="B5" s="132">
        <f>IF(DigitaNICA!C2&lt;&gt;"",DigitaNICA!C2,"")</f>
        <v>58</v>
      </c>
      <c r="C5" s="29">
        <f>IF(DigitaNICA!C4&lt;&gt;"",DigitaNICA!C4,"")</f>
        <v>12800</v>
      </c>
      <c r="D5" s="42">
        <f>IF(C5="",0,C5*J$10)</f>
        <v>1664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11136</v>
      </c>
      <c r="I5" s="241" t="s">
        <v>37</v>
      </c>
      <c r="J5" s="221">
        <f>SUM(IF(C5="",0,C5),IF(C9="",0,C9),IF(C13="",0,C13),IF(C17="",0,C17))</f>
        <v>31350</v>
      </c>
      <c r="K5" s="225">
        <f t="shared" ref="K5" si="2">D5+D9+D13+D17</f>
        <v>4075.5</v>
      </c>
      <c r="L5" s="222">
        <f>F5+F9+F13+F17</f>
        <v>40000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15000</v>
      </c>
      <c r="K6" s="228">
        <f>D19+D20</f>
        <v>1950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27</v>
      </c>
      <c r="C7" s="29">
        <f>IF(DigitaTICA!C4&lt;&gt;"",DigitaTICA!C4,"")</f>
        <v>64250</v>
      </c>
      <c r="D7" s="42">
        <f>IF(C7="",0,C7*J$9)</f>
        <v>8352.5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55897.5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90</v>
      </c>
      <c r="C9" s="29">
        <f>IF(DigitaNICA!E4&lt;&gt;"",DigitaNICA!E4,"")</f>
        <v>13600</v>
      </c>
      <c r="D9" s="42">
        <f>IF(C9="",0,C9*J$10)</f>
        <v>1768</v>
      </c>
      <c r="E9" s="29">
        <f>IF(DigitaNICA!F4&lt;&gt;"",DigitaNICA!F4,"")</f>
        <v>500</v>
      </c>
      <c r="F9" s="42">
        <f>IF(E9="",0,E9*PREMIOS!E9)</f>
        <v>40000</v>
      </c>
      <c r="G9" s="30">
        <f t="shared" si="1"/>
        <v>-28168</v>
      </c>
      <c r="I9" s="76" t="s">
        <v>36</v>
      </c>
      <c r="J9" s="77">
        <v>0.13</v>
      </c>
      <c r="K9" s="78">
        <f>MROUND(D7+D11+D15,50)</f>
        <v>21150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4100</v>
      </c>
    </row>
    <row r="11" spans="1:12" x14ac:dyDescent="0.35">
      <c r="A11" s="28" t="s">
        <v>59</v>
      </c>
      <c r="B11" s="132">
        <f>IF(DigitaTICA!E2&lt;&gt;"",DigitaTICA!E2,"")</f>
        <v>86</v>
      </c>
      <c r="C11" s="29">
        <f>IF(DigitaTICA!E4&lt;&gt;"",DigitaTICA!E4,"")</f>
        <v>22400</v>
      </c>
      <c r="D11" s="42">
        <f>IF(C11="",0,C11*J$9)</f>
        <v>2912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19488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1950</v>
      </c>
    </row>
    <row r="13" spans="1:12" x14ac:dyDescent="0.35">
      <c r="A13" s="28" t="s">
        <v>50</v>
      </c>
      <c r="B13" s="132">
        <f>IF(DigitaNICA!G2&lt;&gt;"",DigitaNICA!G2,"")</f>
        <v>11</v>
      </c>
      <c r="C13" s="29">
        <f>IF(DigitaNICA!G4&lt;&gt;"",DigitaNICA!G4,"")</f>
        <v>2450</v>
      </c>
      <c r="D13" s="42">
        <f>IF(C13="",0,C13*J$10)</f>
        <v>318.5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2131.5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49</v>
      </c>
      <c r="C15" s="29">
        <f>IF(DigitaTICA!G4&lt;&gt;"",DigitaTICA!G4,"")</f>
        <v>75950</v>
      </c>
      <c r="D15" s="42">
        <f>IF(C15="",0,C15*J$9)</f>
        <v>9873.5</v>
      </c>
      <c r="E15" s="29">
        <f>IF(DigitaTICA!H4&lt;&gt;"",DigitaTICA!H4,"")</f>
        <v>850</v>
      </c>
      <c r="F15" s="42">
        <f>IF(E15="",0,E15*PREMIOS!F15)</f>
        <v>72250</v>
      </c>
      <c r="G15" s="30">
        <f t="shared" si="3"/>
        <v>-6173.5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91</v>
      </c>
      <c r="C17" s="29">
        <f>IF(DigitaNICA!I4&lt;&gt;"",DigitaNICA!I4,"")</f>
        <v>2500</v>
      </c>
      <c r="D17" s="42">
        <f>IF(C17="",0,C17*J$10)</f>
        <v>325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2175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06</v>
      </c>
      <c r="C19" s="29">
        <f>IF(DigitaPRIMERA!C4&lt;&gt;"",DigitaPRIMERA!C4,"")</f>
        <v>13600</v>
      </c>
      <c r="D19" s="42">
        <f>IF(C19="",0,C19*J$12)</f>
        <v>1768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11832</v>
      </c>
    </row>
    <row r="20" spans="1:7" x14ac:dyDescent="0.35">
      <c r="A20" s="28" t="s">
        <v>98</v>
      </c>
      <c r="B20" s="132">
        <f>IF(DigitaPRIMERA!E2&lt;&gt;"",DigitaPRIMERA!E2,"")</f>
        <v>14</v>
      </c>
      <c r="C20" s="29">
        <f>IF(DigitaPRIMERA!E4&lt;&gt;"",DigitaPRIMERA!E4,"")</f>
        <v>1400</v>
      </c>
      <c r="D20" s="42">
        <f>IF(C20="",0,C20*J$12)</f>
        <v>182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1218</v>
      </c>
    </row>
    <row r="21" spans="1:7" ht="15" thickBot="1" x14ac:dyDescent="0.4">
      <c r="A21" s="121" t="s">
        <v>5</v>
      </c>
      <c r="B21" s="128"/>
      <c r="C21" s="122">
        <f>SUM(C5:C20)</f>
        <v>208950</v>
      </c>
      <c r="D21" s="122">
        <f t="shared" ref="D21:G21" si="6">SUM(D5:D20)</f>
        <v>27163.5</v>
      </c>
      <c r="E21" s="122">
        <f t="shared" si="6"/>
        <v>1350</v>
      </c>
      <c r="F21" s="122">
        <f t="shared" si="6"/>
        <v>112250</v>
      </c>
      <c r="G21" s="123">
        <f t="shared" si="6"/>
        <v>69536.5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114200</v>
      </c>
      <c r="K4" s="231">
        <f t="shared" ref="K4" si="0">D7+D11+D15</f>
        <v>14846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58</v>
      </c>
      <c r="C5" s="29">
        <f>IF(DigitaNICA!C5&lt;&gt;"",DigitaNICA!C5,"")</f>
        <v>38900</v>
      </c>
      <c r="D5" s="42">
        <f>IF(C5="",0,C5*J$10)</f>
        <v>5057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33843</v>
      </c>
      <c r="I5" s="241" t="s">
        <v>37</v>
      </c>
      <c r="J5" s="221">
        <f>SUM(IF(C5="",0,C5),IF(C9="",0,C9),IF(C13="",0,C13),IF(C17="",0,C17))</f>
        <v>48800</v>
      </c>
      <c r="K5" s="225">
        <f t="shared" ref="K5" si="2">D5+D9+D13+D17</f>
        <v>6344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12500</v>
      </c>
      <c r="K6" s="228">
        <f>D19+D20</f>
        <v>1625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27</v>
      </c>
      <c r="C7" s="29">
        <f>IF(DigitaTICA!C5&lt;&gt;"",DigitaTICA!C5,"")</f>
        <v>44200</v>
      </c>
      <c r="D7" s="42">
        <f>IF(C7="",0,C7*J$9)</f>
        <v>5746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38454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90</v>
      </c>
      <c r="C9" s="29">
        <f>IF(DigitaNICA!E5&lt;&gt;"",DigitaNICA!E5,"")</f>
        <v>2500</v>
      </c>
      <c r="D9" s="42">
        <f>IF(C9="",0,C9*J$10)</f>
        <v>325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2175</v>
      </c>
      <c r="I9" s="60" t="s">
        <v>36</v>
      </c>
      <c r="J9" s="61">
        <v>0.13</v>
      </c>
      <c r="K9" s="62">
        <f>MROUND(D7+D11+D15,50)</f>
        <v>14850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6350</v>
      </c>
    </row>
    <row r="11" spans="1:12" x14ac:dyDescent="0.35">
      <c r="A11" s="28" t="s">
        <v>59</v>
      </c>
      <c r="B11" s="132">
        <f>IF(DigitaTICA!E2&lt;&gt;"",DigitaTICA!E2,"")</f>
        <v>86</v>
      </c>
      <c r="C11" s="29">
        <f>IF(DigitaTICA!E5&lt;&gt;"",DigitaTICA!E5,"")</f>
        <v>31000</v>
      </c>
      <c r="D11" s="42">
        <f>IF(C11="",0,C11*J$9)</f>
        <v>4030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26970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1650</v>
      </c>
    </row>
    <row r="13" spans="1:12" x14ac:dyDescent="0.35">
      <c r="A13" s="28" t="s">
        <v>50</v>
      </c>
      <c r="B13" s="132">
        <f>IF(DigitaNICA!G2&lt;&gt;"",DigitaNICA!G2,"")</f>
        <v>11</v>
      </c>
      <c r="C13" s="29">
        <f>IF(DigitaNICA!G5&lt;&gt;"",DigitaNICA!G5,"")</f>
        <v>6200</v>
      </c>
      <c r="D13" s="42">
        <f>IF(C13="",0,C13*J$10)</f>
        <v>806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5394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49</v>
      </c>
      <c r="C15" s="29">
        <f>IF(DigitaTICA!G5&lt;&gt;"",DigitaTICA!G5,"")</f>
        <v>39000</v>
      </c>
      <c r="D15" s="42">
        <f>IF(C15="",0,C15*J$9)</f>
        <v>5070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33930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91</v>
      </c>
      <c r="C17" s="29">
        <f>IF(DigitaNICA!I5&lt;&gt;"",DigitaNICA!I5,"")</f>
        <v>1200</v>
      </c>
      <c r="D17" s="42">
        <f>IF(C17="",0,C17*J$10)</f>
        <v>156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1044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06</v>
      </c>
      <c r="C19" s="29">
        <f>IF(DigitaPRIMERA!C5&lt;&gt;"",DigitaPRIMERA!C5,"")</f>
        <v>12300</v>
      </c>
      <c r="D19" s="42">
        <f>IF(C19="",0,C19*J$12)</f>
        <v>1599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10701</v>
      </c>
    </row>
    <row r="20" spans="1:7" x14ac:dyDescent="0.35">
      <c r="A20" s="28" t="s">
        <v>98</v>
      </c>
      <c r="B20" s="132">
        <f>IF(DigitaPRIMERA!E2&lt;&gt;"",DigitaPRIMERA!E2,"")</f>
        <v>14</v>
      </c>
      <c r="C20" s="29">
        <f>IF(DigitaPRIMERA!E5&lt;&gt;"",DigitaPRIMERA!E5,"")</f>
        <v>200</v>
      </c>
      <c r="D20" s="42">
        <f>IF(C20="",0,C20*J$12)</f>
        <v>26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174</v>
      </c>
    </row>
    <row r="21" spans="1:7" ht="15" thickBot="1" x14ac:dyDescent="0.4">
      <c r="A21" s="67" t="s">
        <v>5</v>
      </c>
      <c r="B21" s="127"/>
      <c r="C21" s="68">
        <f>SUM(C5:C20)</f>
        <v>175500</v>
      </c>
      <c r="D21" s="68">
        <f t="shared" ref="D21:G21" si="4">SUM(D5:D20)</f>
        <v>22815</v>
      </c>
      <c r="E21" s="68">
        <f t="shared" si="4"/>
        <v>0</v>
      </c>
      <c r="F21" s="68">
        <f t="shared" si="4"/>
        <v>0</v>
      </c>
      <c r="G21" s="88">
        <f t="shared" si="4"/>
        <v>152685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58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27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90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86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11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49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91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06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14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58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27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90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86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11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49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91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208000</v>
      </c>
      <c r="K4" s="231">
        <f t="shared" ref="K4" si="0">D7+D11+D15</f>
        <v>24960</v>
      </c>
      <c r="L4" s="220">
        <f>F7+F11+F15</f>
        <v>127500</v>
      </c>
    </row>
    <row r="5" spans="1:12" x14ac:dyDescent="0.35">
      <c r="A5" s="28" t="s">
        <v>43</v>
      </c>
      <c r="B5" s="132">
        <f>IF(DigitaNICA!C2&lt;&gt;"",DigitaNICA!C2,"")</f>
        <v>58</v>
      </c>
      <c r="C5" s="29">
        <f>IF(DigitaNICA!C8&lt;&gt;"",DigitaNICA!C8,"")</f>
        <v>58600</v>
      </c>
      <c r="D5" s="42">
        <f>IF(C5="",0,C5*J$12)</f>
        <v>7032</v>
      </c>
      <c r="E5" s="29">
        <f>IF(DigitaNICA!D8&lt;&gt;"",DigitaNICA!D8,"")</f>
        <v>2400</v>
      </c>
      <c r="F5" s="42">
        <f>IF(E5="",0,E5*PREMIOS!E5)</f>
        <v>192000</v>
      </c>
      <c r="G5" s="30">
        <f t="shared" ref="G5:G12" si="1">IF(OR(C5="",E5=""),0,C5-D5-F5)</f>
        <v>-140432</v>
      </c>
      <c r="I5" s="241" t="s">
        <v>37</v>
      </c>
      <c r="J5" s="221">
        <f>SUM(IF(C5="",0,C5),IF(C9="",0,C9),IF(C13="",0,C13),IF(C17="",0,C17))</f>
        <v>178450</v>
      </c>
      <c r="K5" s="225">
        <f t="shared" ref="K5" si="2">D5+D9+D13+D17</f>
        <v>21414</v>
      </c>
      <c r="L5" s="222">
        <f>F5+F9+F13+F17</f>
        <v>288000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27</v>
      </c>
      <c r="C7" s="29">
        <f>IF(DigitaTICA!C8&lt;&gt;"",DigitaTICA!C8,"")</f>
        <v>71650</v>
      </c>
      <c r="D7" s="42">
        <f>IF(C7="",0,C7*J$11)</f>
        <v>8598</v>
      </c>
      <c r="E7" s="29">
        <f>IF(DigitaTICA!D8&lt;&gt;"",DigitaTICA!D8,"")</f>
        <v>1000</v>
      </c>
      <c r="F7" s="42">
        <f>IF(E7="",0,E7*PREMIOS!F7)</f>
        <v>85000</v>
      </c>
      <c r="G7" s="30">
        <f t="shared" si="1"/>
        <v>-21948</v>
      </c>
      <c r="I7" s="242" t="s">
        <v>96</v>
      </c>
      <c r="J7" s="224">
        <f>SUM(IF(C19="",0,C19),IF(C20="",0,C20))</f>
        <v>43150</v>
      </c>
      <c r="K7" s="228">
        <f>+D19+D20</f>
        <v>5178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90</v>
      </c>
      <c r="C9" s="29">
        <f>IF(DigitaNICA!E8&lt;&gt;"",DigitaNICA!E8,"")</f>
        <v>51250</v>
      </c>
      <c r="D9" s="42">
        <f>IF(C9="",0,C9*J$12)</f>
        <v>6150</v>
      </c>
      <c r="E9" s="29">
        <f>IF(DigitaNICA!F8&lt;&gt;"",DigitaNICA!F8,"")</f>
        <v>250</v>
      </c>
      <c r="F9" s="42">
        <f>IF(E9="",0,E9*PREMIOS!E9)</f>
        <v>20000</v>
      </c>
      <c r="G9" s="30">
        <f t="shared" si="1"/>
        <v>25100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86</v>
      </c>
      <c r="C11" s="29">
        <f>IF(DigitaTICA!E8&lt;&gt;"",DigitaTICA!E8,"")</f>
        <v>57750</v>
      </c>
      <c r="D11" s="42">
        <f>IF(C11="",0,C11*J$11)</f>
        <v>6930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50820</v>
      </c>
      <c r="I11" s="60" t="s">
        <v>36</v>
      </c>
      <c r="J11" s="61">
        <v>0.12</v>
      </c>
      <c r="K11" s="62">
        <f>MROUND(D7+D11+D15,50)</f>
        <v>24950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21400</v>
      </c>
    </row>
    <row r="13" spans="1:12" x14ac:dyDescent="0.35">
      <c r="A13" s="28" t="s">
        <v>50</v>
      </c>
      <c r="B13" s="132">
        <f>IF(DigitaNICA!G2&lt;&gt;"",DigitaNICA!G2,"")</f>
        <v>11</v>
      </c>
      <c r="C13" s="29">
        <f>IF(DigitaNICA!G8&lt;&gt;"",DigitaNICA!G8,"")</f>
        <v>11100</v>
      </c>
      <c r="D13" s="42">
        <f>IF(C13="",0,C13*J$12)</f>
        <v>1332</v>
      </c>
      <c r="E13" s="29">
        <f>IF(DigitaNICA!H8&lt;&gt;"",DigitaNICA!H8,"")</f>
        <v>100</v>
      </c>
      <c r="F13" s="42">
        <f>IF(E13="",0,E13*PREMIOS!E13)</f>
        <v>8000</v>
      </c>
      <c r="G13" s="30">
        <f>IF(OR(C13="",E13=""),0,C13-D13-F13)</f>
        <v>1768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5200</v>
      </c>
    </row>
    <row r="15" spans="1:12" x14ac:dyDescent="0.35">
      <c r="A15" s="28" t="s">
        <v>61</v>
      </c>
      <c r="B15" s="132">
        <f>IF(DigitaTICA!G2&lt;&gt;"",DigitaTICA!G2,"")</f>
        <v>49</v>
      </c>
      <c r="C15" s="29">
        <f>IF(DigitaTICA!G8&lt;&gt;"",DigitaTICA!G8,"")</f>
        <v>78600</v>
      </c>
      <c r="D15" s="42">
        <f>IF(C15="",0,C15*J$11)</f>
        <v>9432</v>
      </c>
      <c r="E15" s="29">
        <f>IF(DigitaTICA!H8&lt;&gt;"",DigitaTICA!H8,"")</f>
        <v>500</v>
      </c>
      <c r="F15" s="42">
        <f>IF(E15="",0,E15*PREMIOS!F15)</f>
        <v>42500</v>
      </c>
      <c r="G15" s="30">
        <f t="shared" si="4"/>
        <v>26668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91</v>
      </c>
      <c r="C17" s="29">
        <f>IF(DigitaNICA!I8&lt;&gt;"",DigitaNICA!I8,"")</f>
        <v>57500</v>
      </c>
      <c r="D17" s="42">
        <f>IF(C17="",0,C17*J$12)</f>
        <v>6900</v>
      </c>
      <c r="E17" s="29">
        <f>IF(DigitaNICA!J8&lt;&gt;"",DigitaNICA!J8,"")</f>
        <v>850</v>
      </c>
      <c r="F17" s="42">
        <f>IF(E17="",0,E17*PREMIOS!E17)</f>
        <v>68000</v>
      </c>
      <c r="G17" s="30">
        <f t="shared" si="4"/>
        <v>-17400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 t="str">
        <f>IF(DigitaPRIMERA!C2&lt;&gt;"",DigitaPRIMERA!C2,"")</f>
        <v>06</v>
      </c>
      <c r="C19" s="29">
        <f>IF(DigitaPRIMERA!C8&lt;&gt;"",DigitaPRIMERA!C8,"")</f>
        <v>20700</v>
      </c>
      <c r="D19" s="42">
        <f>IF(C19="",0,C19*J$14)</f>
        <v>2484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18216</v>
      </c>
    </row>
    <row r="20" spans="1:7" x14ac:dyDescent="0.35">
      <c r="A20" s="28" t="s">
        <v>98</v>
      </c>
      <c r="B20" s="132">
        <f>IF(DigitaPRIMERA!E2&lt;&gt;"",DigitaPRIMERA!E2,"")</f>
        <v>14</v>
      </c>
      <c r="C20" s="29">
        <f>IF(DigitaPRIMERA!E8&lt;&gt;"",DigitaPRIMERA!E8,"")</f>
        <v>22450</v>
      </c>
      <c r="D20" s="42">
        <f>IF(C20="",0,C20*J$14)</f>
        <v>2694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19756</v>
      </c>
    </row>
    <row r="21" spans="1:7" ht="15" thickBot="1" x14ac:dyDescent="0.4">
      <c r="A21" s="121" t="s">
        <v>5</v>
      </c>
      <c r="B21" s="128"/>
      <c r="C21" s="122">
        <f>SUM(C5:C20)</f>
        <v>429600</v>
      </c>
      <c r="D21" s="122">
        <f t="shared" ref="D21:G21" si="5">SUM(D5:D20)</f>
        <v>51552</v>
      </c>
      <c r="E21" s="122">
        <f t="shared" si="5"/>
        <v>5100</v>
      </c>
      <c r="F21" s="122">
        <f t="shared" si="5"/>
        <v>415500</v>
      </c>
      <c r="G21" s="123">
        <f t="shared" si="5"/>
        <v>-37452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58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27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90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86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11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49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91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06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14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442200</v>
      </c>
      <c r="K4" s="231">
        <f t="shared" ref="K4" si="0">D7+D11+D15</f>
        <v>53064</v>
      </c>
      <c r="L4" s="220">
        <f>F7+F11+F15</f>
        <v>199750</v>
      </c>
    </row>
    <row r="5" spans="1:12" x14ac:dyDescent="0.35">
      <c r="A5" s="28" t="s">
        <v>43</v>
      </c>
      <c r="B5" s="132">
        <f>IF(DigitaNICA!C2&lt;&gt;"",DigitaNICA!C2,"")</f>
        <v>58</v>
      </c>
      <c r="C5" s="29">
        <f>IF(DigitaNICA!C10&lt;&gt;"",DigitaNICA!C10,"")</f>
        <v>92950</v>
      </c>
      <c r="D5" s="42">
        <f>IF(C5="",0,C5*J$15)</f>
        <v>11154</v>
      </c>
      <c r="E5" s="29">
        <f>IF(DigitaNICA!D10&lt;&gt;"",DigitaNICA!D10,"")</f>
        <v>200</v>
      </c>
      <c r="F5" s="42">
        <f>IF(E5="",0,E5*PREMIOS!F5)</f>
        <v>17000</v>
      </c>
      <c r="G5" s="30">
        <f t="shared" ref="G5:G12" si="1">IF(OR(C5="",E5=""),0,C5-D5-F5)</f>
        <v>64796</v>
      </c>
      <c r="I5" s="217" t="s">
        <v>37</v>
      </c>
      <c r="J5" s="221">
        <f>SUM(IF(C5="",0,C5),IF(C9="",0,C9),IF(C13="",0,C13),IF(C17="",0,C17))</f>
        <v>311850</v>
      </c>
      <c r="K5" s="225">
        <f t="shared" ref="K5" si="2">D5+D9+D13+D17</f>
        <v>37422</v>
      </c>
      <c r="L5" s="222">
        <f>F5+F9+F13+F17</f>
        <v>216750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113000</v>
      </c>
      <c r="K6" s="226">
        <f t="shared" ref="K6" si="3">+D8+D12+D16</f>
        <v>11300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27</v>
      </c>
      <c r="C7" s="29">
        <f>IF(DigitaTICA!C10&lt;&gt;"",DigitaTICA!C10,"")</f>
        <v>134200</v>
      </c>
      <c r="D7" s="42">
        <f>IF(C7="",0,C7*J$14)</f>
        <v>16104</v>
      </c>
      <c r="E7" s="29">
        <f>IF(DigitaTICA!D10&lt;&gt;"",DigitaTICA!D10,"")</f>
        <v>2100</v>
      </c>
      <c r="F7" s="42">
        <f>IF(E7="",0,E7*PREMIOS!F7)</f>
        <v>178500</v>
      </c>
      <c r="G7" s="30">
        <f t="shared" si="1"/>
        <v>-60404</v>
      </c>
      <c r="I7" s="217" t="s">
        <v>96</v>
      </c>
      <c r="J7" s="223">
        <f>SUM(IF(C19="",0,C19),IF(C20="",0,C20))</f>
        <v>88700</v>
      </c>
      <c r="K7" s="226">
        <f>+D19+D20</f>
        <v>10644</v>
      </c>
      <c r="L7" s="227">
        <f>+F19+F20</f>
        <v>25500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30950</v>
      </c>
      <c r="D8" s="42">
        <f>IF(C8="",0,C8*J$16)</f>
        <v>3095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27855</v>
      </c>
      <c r="I8" s="217" t="s">
        <v>104</v>
      </c>
      <c r="J8" s="223">
        <f>SUM(IF(C21="",0,C21),IF(C22="",0,C22),IF(C23="",0,C23))</f>
        <v>6450</v>
      </c>
      <c r="K8" s="226">
        <f t="shared" ref="K8" si="4">D21+D22+D23</f>
        <v>774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90</v>
      </c>
      <c r="C9" s="29">
        <f>IF(DigitaNICA!E10&lt;&gt;"",DigitaNICA!E10,"")</f>
        <v>65750</v>
      </c>
      <c r="D9" s="42">
        <f>IF(C9="",0,C9*J$15)</f>
        <v>7890</v>
      </c>
      <c r="E9" s="29">
        <f>IF(DigitaNICA!F10&lt;&gt;"",DigitaNICA!F10,"")</f>
        <v>2000</v>
      </c>
      <c r="F9" s="42">
        <f>IF(E9="",0,E9*PREMIOS!F9)</f>
        <v>170000</v>
      </c>
      <c r="G9" s="30">
        <f t="shared" si="1"/>
        <v>-112140</v>
      </c>
      <c r="I9" s="217" t="s">
        <v>20</v>
      </c>
      <c r="J9" s="223">
        <f>SUM(IF(C24="",0,C24),IF(C25="",0,C25))</f>
        <v>70000</v>
      </c>
      <c r="K9" s="226">
        <f t="shared" ref="K9" si="5">+D24+D25</f>
        <v>8400</v>
      </c>
      <c r="L9" s="227">
        <f>F24+F25</f>
        <v>85000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86</v>
      </c>
      <c r="C11" s="29">
        <f>IF(DigitaTICA!E10&lt;&gt;"",DigitaTICA!E10,"")</f>
        <v>137400</v>
      </c>
      <c r="D11" s="42">
        <f>IF(C11="",0,C11*J$14)</f>
        <v>16488</v>
      </c>
      <c r="E11" s="29">
        <f>IF(DigitaTICA!F10&lt;&gt;"",DigitaTICA!F10,"")</f>
        <v>200</v>
      </c>
      <c r="F11" s="42">
        <f>IF(E11="",0,E11*PREMIOS!F11)</f>
        <v>17000</v>
      </c>
      <c r="G11" s="30">
        <f t="shared" si="1"/>
        <v>103912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41250</v>
      </c>
      <c r="D12" s="42">
        <f>IF(C12="",0,C12*J$16)</f>
        <v>4125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37125</v>
      </c>
    </row>
    <row r="13" spans="1:12" ht="15" thickBot="1" x14ac:dyDescent="0.4">
      <c r="A13" s="28" t="s">
        <v>50</v>
      </c>
      <c r="B13" s="132">
        <f>IF(DigitaNICA!G2&lt;&gt;"",DigitaNICA!G2,"")</f>
        <v>11</v>
      </c>
      <c r="C13" s="29">
        <f>IF(DigitaNICA!G10&lt;&gt;"",DigitaNICA!G10,"")</f>
        <v>61200</v>
      </c>
      <c r="D13" s="42">
        <f>IF(C13="",0,C13*J$15)</f>
        <v>7344</v>
      </c>
      <c r="E13" s="29">
        <f>IF(DigitaNICA!H10&lt;&gt;"",DigitaNICA!H10,"")</f>
        <v>150</v>
      </c>
      <c r="F13" s="42">
        <f>IF(E13="",0,E13*PREMIOS!F13)</f>
        <v>12750</v>
      </c>
      <c r="G13" s="30">
        <f>IF(OR(C13="",E13=""),0,C13-D13-F13)</f>
        <v>41106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53050</v>
      </c>
    </row>
    <row r="15" spans="1:12" x14ac:dyDescent="0.35">
      <c r="A15" s="28" t="s">
        <v>61</v>
      </c>
      <c r="B15" s="132">
        <f>IF(DigitaTICA!G2&lt;&gt;"",DigitaTICA!G2,"")</f>
        <v>49</v>
      </c>
      <c r="C15" s="29">
        <f>IF(DigitaTICA!G10&lt;&gt;"",DigitaTICA!G10,"")</f>
        <v>170600</v>
      </c>
      <c r="D15" s="42">
        <f>IF(C15="",0,C15*J$14)</f>
        <v>20472</v>
      </c>
      <c r="E15" s="29">
        <f>IF(DigitaTICA!H10&lt;&gt;"",DigitaTICA!H10,"")</f>
        <v>50</v>
      </c>
      <c r="F15" s="42">
        <f>IF(E15="",0,E15*PREMIOS!F15)</f>
        <v>4250</v>
      </c>
      <c r="G15" s="30">
        <f t="shared" si="6"/>
        <v>145878</v>
      </c>
      <c r="I15" s="63" t="s">
        <v>37</v>
      </c>
      <c r="J15" s="64">
        <v>0.12</v>
      </c>
      <c r="K15" s="30">
        <f>MROUND(D5+D9+D13+D17,50)</f>
        <v>37400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40800</v>
      </c>
      <c r="D16" s="42">
        <f>IF(C16="",0,C16*J$16)</f>
        <v>4080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36720</v>
      </c>
      <c r="I16" s="63" t="s">
        <v>38</v>
      </c>
      <c r="J16" s="64">
        <v>0.1</v>
      </c>
      <c r="K16" s="30">
        <f>MROUND(D6+D8+D10+D12+D14+D16+D18,50)</f>
        <v>11300</v>
      </c>
    </row>
    <row r="17" spans="1:11" x14ac:dyDescent="0.35">
      <c r="A17" s="28" t="s">
        <v>52</v>
      </c>
      <c r="B17" s="132">
        <f>IF(DigitaNICA!I2&lt;&gt;"",DigitaNICA!I2,"")</f>
        <v>91</v>
      </c>
      <c r="C17" s="29">
        <f>IF(DigitaNICA!I10&lt;&gt;"",DigitaNICA!I10,"")</f>
        <v>91950</v>
      </c>
      <c r="D17" s="42">
        <f>IF(C17="",0,C17*J$15)</f>
        <v>11034</v>
      </c>
      <c r="E17" s="29">
        <f>IF(DigitaNICA!J10&lt;&gt;"",DigitaNICA!J10,"")</f>
        <v>200</v>
      </c>
      <c r="F17" s="42">
        <f>IF(E17="",0,E17*PREMIOS!F17)</f>
        <v>17000</v>
      </c>
      <c r="G17" s="30">
        <f t="shared" si="6"/>
        <v>63916</v>
      </c>
      <c r="I17" s="63" t="s">
        <v>96</v>
      </c>
      <c r="J17" s="64">
        <v>0.12</v>
      </c>
      <c r="K17" s="30">
        <f>MROUND(D19+D20,50)</f>
        <v>10650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750</v>
      </c>
    </row>
    <row r="19" spans="1:11" x14ac:dyDescent="0.35">
      <c r="A19" s="28" t="s">
        <v>97</v>
      </c>
      <c r="B19" s="132" t="str">
        <f>IF(DigitaPRIMERA!C2&lt;&gt;"",DigitaPRIMERA!C2,"")</f>
        <v>06</v>
      </c>
      <c r="C19" s="29">
        <f>IF(DigitaPRIMERA!$C$10&lt;&gt;"",DigitaPRIMERA!$C$10,"")</f>
        <v>57800</v>
      </c>
      <c r="D19" s="42">
        <f>IF(C19="",0,C19*J$17)</f>
        <v>6936</v>
      </c>
      <c r="E19" s="29">
        <f>IF(DigitaPRIMERA!$D$10&lt;&gt;"",DigitaPRIMERA!$D$10,"")</f>
        <v>300</v>
      </c>
      <c r="F19" s="42">
        <f>IF(E19="",0,E19*PREMIOS!F19)</f>
        <v>25500</v>
      </c>
      <c r="G19" s="30">
        <f t="shared" ref="G19:G22" si="7">IF(OR(C19="",E19=""),0,C19-D19-F19)</f>
        <v>25364</v>
      </c>
      <c r="I19" s="63" t="s">
        <v>20</v>
      </c>
      <c r="J19" s="64">
        <v>0.12</v>
      </c>
      <c r="K19" s="30">
        <f>MROUND(D24+D25,50)</f>
        <v>8400</v>
      </c>
    </row>
    <row r="20" spans="1:11" ht="15" thickBot="1" x14ac:dyDescent="0.4">
      <c r="A20" s="28" t="s">
        <v>98</v>
      </c>
      <c r="B20" s="132">
        <f>IF(DigitaPRIMERA!E2&lt;&gt;"",DigitaPRIMERA!E2,"")</f>
        <v>14</v>
      </c>
      <c r="C20" s="29">
        <f>IF(DigitaPRIMERA!$E$10&lt;&gt;"",DigitaPRIMERA!$E$10,"")</f>
        <v>30900</v>
      </c>
      <c r="D20" s="42">
        <f>IF(C20="",0,C20*J$17)</f>
        <v>3708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27192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41</v>
      </c>
      <c r="C21" s="29">
        <f>IF(DigitaHONDURAS!$C$10&lt;&gt;"",DigitaHONDURAS!$C$10,"")</f>
        <v>4900</v>
      </c>
      <c r="D21" s="42">
        <f>IF(C21="",0,C21*J$18)</f>
        <v>588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4312</v>
      </c>
    </row>
    <row r="22" spans="1:11" x14ac:dyDescent="0.35">
      <c r="A22" s="28" t="s">
        <v>100</v>
      </c>
      <c r="B22" s="132">
        <f>IF(DigitaHONDURAS!E2&lt;&gt;"",DigitaHONDURAS!E2,"")</f>
        <v>76</v>
      </c>
      <c r="C22" s="29">
        <f>IF(DigitaHONDURAS!$E$10&lt;&gt;"",DigitaHONDURAS!$E$10,"")</f>
        <v>600</v>
      </c>
      <c r="D22" s="42">
        <f>IF(C22="",0,C22*J$18)</f>
        <v>72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528</v>
      </c>
    </row>
    <row r="23" spans="1:11" x14ac:dyDescent="0.35">
      <c r="A23" s="28" t="s">
        <v>101</v>
      </c>
      <c r="B23" s="132">
        <f>IF(DigitaHONDURAS!G2&lt;&gt;"",DigitaHONDURAS!G2,"")</f>
        <v>50</v>
      </c>
      <c r="C23" s="29">
        <f>IF(DigitaHONDURAS!$G$10&lt;&gt;"",DigitaHONDURAS!$G$10,"")</f>
        <v>950</v>
      </c>
      <c r="D23" s="42">
        <f>IF(C23="",0,C23*J$18)</f>
        <v>114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836</v>
      </c>
    </row>
    <row r="24" spans="1:11" x14ac:dyDescent="0.35">
      <c r="A24" s="28" t="s">
        <v>107</v>
      </c>
      <c r="B24" s="132">
        <f>IF(DigitaDOMINICANA!C2&lt;&gt;"",DigitaDOMINICANA!C2,"")</f>
        <v>92</v>
      </c>
      <c r="C24" s="29">
        <f>IF(DigitaDOMINICANA!$C$10&lt;&gt;"",DigitaDOMINICANA!$C$10,"")</f>
        <v>32500</v>
      </c>
      <c r="D24" s="42">
        <f>IF(C24="",0,C24*J$19)</f>
        <v>3900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28600</v>
      </c>
    </row>
    <row r="25" spans="1:11" x14ac:dyDescent="0.35">
      <c r="A25" s="28" t="s">
        <v>108</v>
      </c>
      <c r="B25" s="132">
        <f>IF(DigitaDOMINICANA!E2&lt;&gt;"",DigitaDOMINICANA!E2,"")</f>
        <v>88</v>
      </c>
      <c r="C25" s="29">
        <f>IF(DigitaDOMINICANA!$E$10&lt;&gt;"",DigitaDOMINICANA!$E$10,"")</f>
        <v>37500</v>
      </c>
      <c r="D25" s="42">
        <f>IF(C25="",0,C25*J$19)</f>
        <v>4500</v>
      </c>
      <c r="E25" s="29">
        <f>IF(DigitaDOMINICANA!$F$10&lt;&gt;"",DigitaDOMINICANA!$F$10,"")</f>
        <v>1000</v>
      </c>
      <c r="F25" s="42">
        <f>IF(E25="",0,E25*PREMIOS!F21)</f>
        <v>85000</v>
      </c>
      <c r="G25" s="30">
        <f t="shared" si="8"/>
        <v>-52000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1032200</v>
      </c>
      <c r="D27" s="68">
        <f t="shared" ref="D27:F27" si="9">SUM(D5:D26)</f>
        <v>121604</v>
      </c>
      <c r="E27" s="68">
        <f t="shared" si="9"/>
        <v>6200</v>
      </c>
      <c r="F27" s="68">
        <f t="shared" si="9"/>
        <v>527000</v>
      </c>
      <c r="G27" s="88">
        <f>SUM(G5:G26)</f>
        <v>383596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4000</v>
      </c>
      <c r="K4" s="231">
        <f t="shared" ref="K4" si="0">D7+D11+D15</f>
        <v>480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58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27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90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86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500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11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49</v>
      </c>
      <c r="C15" s="29">
        <f>IF(DigitaTICA!G11&lt;&gt;"",DigitaTICA!G11,"")</f>
        <v>4000</v>
      </c>
      <c r="D15" s="42">
        <f>IF(C15="",0,C15*J$11)</f>
        <v>480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3520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91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 t="str">
        <f>IF(DigitaPRIMERA!C2&lt;&gt;"",DigitaPRIMERA!C2,"")</f>
        <v>06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14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4000</v>
      </c>
      <c r="D21" s="122">
        <f t="shared" ref="D21:G21" si="5">SUM(D5:D20)</f>
        <v>480</v>
      </c>
      <c r="E21" s="122">
        <f t="shared" si="5"/>
        <v>0</v>
      </c>
      <c r="F21" s="122">
        <f t="shared" si="5"/>
        <v>0</v>
      </c>
      <c r="G21" s="123">
        <f t="shared" si="5"/>
        <v>3520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31200</v>
      </c>
      <c r="K4" s="231">
        <f>D7+D11+D15</f>
        <v>3744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58</v>
      </c>
      <c r="C5" s="29">
        <f>IF(DigitaNICA!C12&lt;&gt;"",DigitaNICA!C12,"")</f>
        <v>16550</v>
      </c>
      <c r="D5" s="42">
        <f>IF(C5="",0,C5*J$12)</f>
        <v>1986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14564</v>
      </c>
      <c r="I5" s="217" t="s">
        <v>37</v>
      </c>
      <c r="J5" s="221">
        <f>SUM(IF(C5="",0,C5),IF(C9="",0,C9),IF(C13="",0,C13),IF(C17="",0,C17))</f>
        <v>19450</v>
      </c>
      <c r="K5" s="225">
        <f t="shared" ref="K5" si="1">D5+D9+D13+D17</f>
        <v>2334</v>
      </c>
      <c r="L5" s="222">
        <f>F5+F9+F13+F17</f>
        <v>25500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4550</v>
      </c>
      <c r="K6" s="226">
        <f t="shared" ref="K6" si="2">+D8+D12+D16</f>
        <v>455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27</v>
      </c>
      <c r="C7" s="29">
        <f>IF(DigitaTICA!C12&lt;&gt;"",DigitaTICA!C12,"")</f>
        <v>17050</v>
      </c>
      <c r="D7" s="42">
        <f>IF(C7="",0,C7*J$11)</f>
        <v>2046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15004</v>
      </c>
      <c r="I7" s="217" t="s">
        <v>96</v>
      </c>
      <c r="J7" s="223">
        <f>SUM(IF(C19="",0,C19),IF(C20="",0,C20))</f>
        <v>37500</v>
      </c>
      <c r="K7" s="226">
        <f>+D19+D20</f>
        <v>4500</v>
      </c>
      <c r="L7" s="227">
        <f>+F19+F20</f>
        <v>17000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1450</v>
      </c>
      <c r="D8" s="42">
        <f>IF(C8="",0,C8*J$13)</f>
        <v>145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1305</v>
      </c>
      <c r="I8" s="218" t="s">
        <v>104</v>
      </c>
      <c r="J8" s="224">
        <f>SUM(IF(C21="",0,C21),IF(C22="",0,C22),IF(C23="",0,C23))</f>
        <v>22800</v>
      </c>
      <c r="K8" s="228">
        <f>+D21+D22+D23</f>
        <v>2736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90</v>
      </c>
      <c r="C9" s="29">
        <f>IF(DigitaNICA!E12&lt;&gt;"",DigitaNICA!E12,"")</f>
        <v>2900</v>
      </c>
      <c r="D9" s="42">
        <f>IF(C9="",0,C9*J$12)</f>
        <v>348</v>
      </c>
      <c r="E9" s="29">
        <f>IF(DigitaNICA!F12&lt;&gt;"",DigitaNICA!F12,"")</f>
        <v>300</v>
      </c>
      <c r="F9" s="42">
        <f>IF(E9="",0,E9*PREMIOS!F9)</f>
        <v>25500</v>
      </c>
      <c r="G9" s="30">
        <f t="shared" si="0"/>
        <v>-22948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86</v>
      </c>
      <c r="C11" s="29">
        <f>IF(DigitaTICA!E12&lt;&gt;"",DigitaTICA!E12,"")</f>
        <v>14150</v>
      </c>
      <c r="D11" s="42">
        <f>IF(C11="",0,C11*J$11)</f>
        <v>1698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12452</v>
      </c>
      <c r="I11" s="60" t="s">
        <v>36</v>
      </c>
      <c r="J11" s="61">
        <v>0.12</v>
      </c>
      <c r="K11" s="62">
        <f>MROUND(D7+D11+D15,50)</f>
        <v>3750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IF(DigitaREVENTADO!E12&lt;&gt;"",DigitaREVENTADO!E12,"")</f>
        <v>3100</v>
      </c>
      <c r="D12" s="42">
        <f>IF(C12="",0,C12*J$13)</f>
        <v>310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2790</v>
      </c>
      <c r="I12" s="63" t="s">
        <v>37</v>
      </c>
      <c r="J12" s="64">
        <v>0.12</v>
      </c>
      <c r="K12" s="30">
        <f>MROUND(D5+D9+D13+D17,50)</f>
        <v>2350</v>
      </c>
    </row>
    <row r="13" spans="1:12" x14ac:dyDescent="0.35">
      <c r="A13" s="28" t="s">
        <v>50</v>
      </c>
      <c r="B13" s="132">
        <f>IF(DigitaNICA!G2&lt;&gt;"",DigitaNICA!G2,"")</f>
        <v>11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450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4500</v>
      </c>
    </row>
    <row r="15" spans="1:12" ht="15" thickBot="1" x14ac:dyDescent="0.4">
      <c r="A15" s="28" t="s">
        <v>61</v>
      </c>
      <c r="B15" s="132">
        <f>IF(DigitaTICA!G2&lt;&gt;"",DigitaTICA!G2,"")</f>
        <v>49</v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2750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91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06</v>
      </c>
      <c r="C19" s="29">
        <f>IF(DigitaPRIMERA!$C$12&lt;&gt;"",DigitaPRIMERA!$C$12,"")</f>
        <v>37500</v>
      </c>
      <c r="D19" s="42">
        <f>IF(C19="",0,C19*J$14)</f>
        <v>4500</v>
      </c>
      <c r="E19" s="29">
        <f>IF(DigitaPRIMERA!$D$12&lt;&gt;"",DigitaPRIMERA!$D$12,"")</f>
        <v>200</v>
      </c>
      <c r="F19" s="42">
        <f>IF(E19="",0,E19*PREMIOS!F19)</f>
        <v>17000</v>
      </c>
      <c r="G19" s="30">
        <f t="shared" si="3"/>
        <v>16000</v>
      </c>
    </row>
    <row r="20" spans="1:7" x14ac:dyDescent="0.35">
      <c r="A20" s="28" t="s">
        <v>98</v>
      </c>
      <c r="B20" s="132">
        <f>IF(DigitaPRIMERA!E2&lt;&gt;"",DigitaPRIMERA!E2,"")</f>
        <v>14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41</v>
      </c>
      <c r="C21" s="29">
        <f>IF(DigitaHONDURAS!$C$12&lt;&gt;"",DigitaHONDURAS!$C$12,"")</f>
        <v>22800</v>
      </c>
      <c r="D21" s="42">
        <f>IF(C21="",0,C21*J$15)</f>
        <v>2736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20064</v>
      </c>
    </row>
    <row r="22" spans="1:7" x14ac:dyDescent="0.35">
      <c r="A22" s="28" t="s">
        <v>100</v>
      </c>
      <c r="B22" s="132">
        <f>IF(DigitaHONDURAS!E2&lt;&gt;"",DigitaHONDURAS!E2,"")</f>
        <v>76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50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115500</v>
      </c>
      <c r="D24" s="68">
        <f t="shared" ref="D24:G24" si="4">SUM(D5:D23)</f>
        <v>13769</v>
      </c>
      <c r="E24" s="68">
        <f t="shared" si="4"/>
        <v>500</v>
      </c>
      <c r="F24" s="68">
        <f t="shared" si="4"/>
        <v>42500</v>
      </c>
      <c r="G24" s="88">
        <f t="shared" si="4"/>
        <v>59231</v>
      </c>
    </row>
    <row r="27" spans="1:7" x14ac:dyDescent="0.35">
      <c r="G27" s="21">
        <v>178740</v>
      </c>
    </row>
    <row r="28" spans="1:7" x14ac:dyDescent="0.35">
      <c r="G28" s="141">
        <f>+G24+G27</f>
        <v>237971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108450</v>
      </c>
      <c r="K4" s="231">
        <f t="shared" ref="K4" si="0">D7+D11+D15</f>
        <v>13014</v>
      </c>
      <c r="L4" s="220">
        <f>F7+F11+F15</f>
        <v>8500</v>
      </c>
    </row>
    <row r="5" spans="1:12" ht="15" thickBot="1" x14ac:dyDescent="0.4">
      <c r="A5" s="28" t="s">
        <v>43</v>
      </c>
      <c r="B5" s="132">
        <f>IF(DigitaNICA!C2&lt;&gt;"",DigitaNICA!C2,"")</f>
        <v>58</v>
      </c>
      <c r="C5" s="29">
        <f>IF(DigitaNICA!C13&lt;&gt;"",DigitaNICA!C13,"")</f>
        <v>14650</v>
      </c>
      <c r="D5" s="42">
        <f>IF(C5="",0,C5*J$10)</f>
        <v>1758</v>
      </c>
      <c r="E5" s="29">
        <f>IF(DigitaNICA!D13&lt;&gt;"",DigitaNICA!D13,"")</f>
        <v>200</v>
      </c>
      <c r="F5" s="42">
        <f>IF(E5="",0,E5*PREMIOS!E5)</f>
        <v>16000</v>
      </c>
      <c r="G5" s="30">
        <f t="shared" ref="G5:G12" si="1">IF(OR(C5="",E5=""),0,C5-D5-F5)</f>
        <v>-3108</v>
      </c>
      <c r="I5" s="218" t="s">
        <v>37</v>
      </c>
      <c r="J5" s="232">
        <f>SUM(IF(C5="",0,C5),IF(C9="",0,C9),IF(C13="",0,C13),IF(C17="",0,C17))</f>
        <v>58000</v>
      </c>
      <c r="K5" s="233">
        <f t="shared" ref="K5" si="2">D5+D9+D13+D17</f>
        <v>6960</v>
      </c>
      <c r="L5" s="234">
        <f>F5+F9+F13+F17</f>
        <v>120000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27</v>
      </c>
      <c r="C7" s="29">
        <f>IF(DigitaTICA!C13&lt;&gt;"",DigitaTICA!C13,"")</f>
        <v>42400</v>
      </c>
      <c r="D7" s="42">
        <f>IF(C7="",0,C7*J$9)</f>
        <v>5088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37312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90</v>
      </c>
      <c r="C9" s="29">
        <f>IF(DigitaNICA!E13&lt;&gt;"",DigitaNICA!E13,"")</f>
        <v>25900</v>
      </c>
      <c r="D9" s="42">
        <f>IF(C9="",0,C9*J$10)</f>
        <v>3108</v>
      </c>
      <c r="E9" s="29">
        <f>IF(DigitaNICA!F13&lt;&gt;"",DigitaNICA!F13,"")</f>
        <v>1100</v>
      </c>
      <c r="F9" s="133">
        <f>IF(E9="",0,E9*PREMIOS!E9)</f>
        <v>88000</v>
      </c>
      <c r="G9" s="30">
        <f t="shared" si="1"/>
        <v>-65208</v>
      </c>
      <c r="I9" s="60" t="s">
        <v>36</v>
      </c>
      <c r="J9" s="61">
        <v>0.12</v>
      </c>
      <c r="K9" s="62">
        <f>MROUND(D7+D11+D15,50)</f>
        <v>13000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6950</v>
      </c>
    </row>
    <row r="11" spans="1:12" ht="15" thickBot="1" x14ac:dyDescent="0.4">
      <c r="A11" s="28" t="s">
        <v>59</v>
      </c>
      <c r="B11" s="132">
        <f>IF(DigitaTICA!E2&lt;&gt;"",DigitaTICA!E2,"")</f>
        <v>86</v>
      </c>
      <c r="C11" s="29">
        <f>IF(DigitaTICA!E13&lt;&gt;"",DigitaTICA!E13,"")</f>
        <v>20950</v>
      </c>
      <c r="D11" s="42">
        <f>IF(C11="",0,C11*J$9)</f>
        <v>2514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18436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11</v>
      </c>
      <c r="C13" s="29">
        <f>IF(DigitaNICA!G13&lt;&gt;"",DigitaNICA!G13,"")</f>
        <v>8400</v>
      </c>
      <c r="D13" s="42">
        <f>IF(C13="",0,C13*J$10)</f>
        <v>1008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7392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49</v>
      </c>
      <c r="C15" s="29">
        <f>IF(DigitaTICA!G13&lt;&gt;"",DigitaTICA!G13,"")</f>
        <v>45100</v>
      </c>
      <c r="D15" s="42">
        <f>IF(C15="",0,C15*J$9)</f>
        <v>5412</v>
      </c>
      <c r="E15" s="29">
        <f>IF(DigitaTICA!H13&lt;&gt;"",DigitaTICA!H13,"")</f>
        <v>100</v>
      </c>
      <c r="F15" s="133">
        <f>IF(E15="",0,E15*PREMIOS!F15)</f>
        <v>8500</v>
      </c>
      <c r="G15" s="30">
        <f t="shared" si="3"/>
        <v>31188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91</v>
      </c>
      <c r="C17" s="29">
        <f>IF(DigitaNICA!I13&lt;&gt;"",DigitaNICA!I13,"")</f>
        <v>9050</v>
      </c>
      <c r="D17" s="42">
        <f>IF(C17="",0,C17*J$10)</f>
        <v>1086</v>
      </c>
      <c r="E17" s="29">
        <f>IF(DigitaNICA!J13&lt;&gt;"",DigitaNICA!J13,"")</f>
        <v>200</v>
      </c>
      <c r="F17" s="42">
        <f>IF(E17="",0,E17*PREMIOS!E17)</f>
        <v>16000</v>
      </c>
      <c r="G17" s="30">
        <f t="shared" si="3"/>
        <v>-8036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166450</v>
      </c>
      <c r="D19" s="68">
        <f>MROUND(SUM(D5:D18),50)</f>
        <v>19950</v>
      </c>
      <c r="E19" s="68">
        <f>SUM(E5:E18)</f>
        <v>1600</v>
      </c>
      <c r="F19" s="68">
        <f>SUM(F5:F18)</f>
        <v>128500</v>
      </c>
      <c r="G19" s="88">
        <f>SUM(G5:G18)</f>
        <v>17976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116250</v>
      </c>
      <c r="K4" s="236">
        <f t="shared" ref="K4" si="0">D7+D11+D15</f>
        <v>17437.5</v>
      </c>
      <c r="L4" s="237">
        <f>F7+F11+F15</f>
        <v>40000</v>
      </c>
    </row>
    <row r="5" spans="1:12" x14ac:dyDescent="0.35">
      <c r="A5" s="28" t="s">
        <v>43</v>
      </c>
      <c r="B5" s="132">
        <f>IF(DigitaNICA!C2&lt;&gt;"",DigitaNICA!C2,"")</f>
        <v>58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27</v>
      </c>
      <c r="C7" s="29">
        <f>IF(DigitaTICA!C14&lt;&gt;"",DigitaTICA!C14,"")</f>
        <v>54700</v>
      </c>
      <c r="D7" s="42">
        <f>IF(C7="",0,C7*J$9)</f>
        <v>8205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46495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90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17450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86</v>
      </c>
      <c r="C11" s="29">
        <f>IF(DigitaTICA!E14&lt;&gt;"",DigitaTICA!E14,"")</f>
        <v>28550</v>
      </c>
      <c r="D11" s="42">
        <f>IF(C11="",0,C11*J$9)</f>
        <v>4282.5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24267.5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11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49</v>
      </c>
      <c r="C15" s="29">
        <f>IF(DigitaTICA!G14&lt;&gt;"",DigitaTICA!G14,"")</f>
        <v>33000</v>
      </c>
      <c r="D15" s="42">
        <f>IF(C15="",0,C15*J$9)</f>
        <v>4950</v>
      </c>
      <c r="E15" s="29">
        <f>IF(DigitaTICA!H14&lt;&gt;"",DigitaTICA!H14,"")</f>
        <v>500</v>
      </c>
      <c r="F15" s="42">
        <f>IF(E15="",0,E15*PREMIOS!E15)</f>
        <v>40000</v>
      </c>
      <c r="G15" s="30">
        <f t="shared" si="2"/>
        <v>-11950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91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116250</v>
      </c>
      <c r="D19" s="68">
        <f>MROUND(SUM(D5:D18),50)</f>
        <v>17450</v>
      </c>
      <c r="E19" s="68">
        <f>SUM(E5:E18)</f>
        <v>500</v>
      </c>
      <c r="F19" s="68">
        <f>SUM(F5:F18)</f>
        <v>40000</v>
      </c>
      <c r="G19" s="88">
        <f>SUM(G5:G18)</f>
        <v>58812.5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58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27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90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86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11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49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91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76300</v>
      </c>
      <c r="K4" s="231">
        <f>D7+D11+D15</f>
        <v>9156</v>
      </c>
      <c r="L4" s="220">
        <f>F7+F11+F15</f>
        <v>42500</v>
      </c>
    </row>
    <row r="5" spans="1:12" x14ac:dyDescent="0.35">
      <c r="A5" s="28" t="s">
        <v>43</v>
      </c>
      <c r="B5" s="132">
        <f>IF(DigitaNICA!C2&lt;&gt;"",DigitaNICA!C2,"")</f>
        <v>58</v>
      </c>
      <c r="C5" s="29">
        <f>IF(DigitaNICA!C16&lt;&gt;"",DigitaNICA!C16,"")</f>
        <v>18900</v>
      </c>
      <c r="D5" s="42">
        <f>IF(C5="",0,C5*J$12)</f>
        <v>2268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16632</v>
      </c>
      <c r="I5" s="63" t="s">
        <v>37</v>
      </c>
      <c r="J5" s="225">
        <f>SUM(IF(C5="",0,C5),IF(C9="",0,C9),IF(C13="",0,C13),IF(C17="",0,C17))</f>
        <v>48450</v>
      </c>
      <c r="K5" s="225">
        <f t="shared" ref="K5" si="1">D5+D9+D13+D17</f>
        <v>5814</v>
      </c>
      <c r="L5" s="222">
        <f>F5+F9+F13+F17</f>
        <v>20000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1500</v>
      </c>
      <c r="K6" s="226">
        <f t="shared" ref="K6" si="2">+D8+D12+D16</f>
        <v>150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27</v>
      </c>
      <c r="C7" s="29">
        <f>IF(DigitaTICA!C16&lt;&gt;"",DigitaTICA!C16,"")</f>
        <v>27700</v>
      </c>
      <c r="D7" s="42">
        <f>IF(C7="",0,C7*J$11)</f>
        <v>3324</v>
      </c>
      <c r="E7" s="29">
        <f>IF(DigitaTICA!D16&lt;&gt;"",DigitaTICA!D16,"")</f>
        <v>500</v>
      </c>
      <c r="F7" s="133">
        <f>IF(E7="",0,E7*PREMIOS!F7)</f>
        <v>42500</v>
      </c>
      <c r="G7" s="30">
        <f t="shared" si="0"/>
        <v>-18124</v>
      </c>
      <c r="I7" s="63" t="s">
        <v>96</v>
      </c>
      <c r="J7" s="226">
        <f>SUM(IF(C19="",0,C19),IF(C20="",0,C20))</f>
        <v>5200</v>
      </c>
      <c r="K7" s="226">
        <f>+D19+D20</f>
        <v>624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500</v>
      </c>
      <c r="D8" s="42">
        <f>IF(C8="",0,C8*J$13)</f>
        <v>50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450</v>
      </c>
      <c r="I8" s="65" t="s">
        <v>104</v>
      </c>
      <c r="J8" s="228">
        <f>SUM(IF(C21="",0,C21),IF(C22="",0,C22),IF(C23="",0,C23))</f>
        <v>4700</v>
      </c>
      <c r="K8" s="228">
        <f>D21+D22+D23</f>
        <v>564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90</v>
      </c>
      <c r="C9" s="29">
        <f>IF(DigitaNICA!E16&lt;&gt;"",DigitaNICA!E16,"")</f>
        <v>13050</v>
      </c>
      <c r="D9" s="42">
        <f>IF(C9="",0,C9*J$12)</f>
        <v>1566</v>
      </c>
      <c r="E9" s="29">
        <f>IF(DigitaNICA!F16&lt;&gt;"",DigitaNICA!F16,"")</f>
        <v>250</v>
      </c>
      <c r="F9" s="133">
        <f>IF(E9="",0,E9*PREMIOS!E9)</f>
        <v>20000</v>
      </c>
      <c r="G9" s="30">
        <f t="shared" si="0"/>
        <v>-8516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86</v>
      </c>
      <c r="C11" s="29">
        <f>IF(DigitaTICA!E16&lt;&gt;"",DigitaTICA!E16,"")</f>
        <v>16500</v>
      </c>
      <c r="D11" s="42">
        <f>IF(C11="",0,C11*J$11)</f>
        <v>1980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14520</v>
      </c>
      <c r="I11" s="76" t="s">
        <v>36</v>
      </c>
      <c r="J11" s="77">
        <v>0.12</v>
      </c>
      <c r="K11" s="78">
        <f>MROUND(D7+D11+D15,50)</f>
        <v>9150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5800</v>
      </c>
    </row>
    <row r="13" spans="1:12" x14ac:dyDescent="0.35">
      <c r="A13" s="28" t="s">
        <v>50</v>
      </c>
      <c r="B13" s="132">
        <f>IF(DigitaNICA!G2&lt;&gt;"",DigitaNICA!G2,"")</f>
        <v>11</v>
      </c>
      <c r="C13" s="29">
        <f>IF(DigitaNICA!G16&lt;&gt;"",DigitaNICA!G16,"")</f>
        <v>2700</v>
      </c>
      <c r="D13" s="42">
        <f>IF(C13="",0,C13*J$12)</f>
        <v>324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2376</v>
      </c>
      <c r="I13" s="63" t="s">
        <v>38</v>
      </c>
      <c r="J13" s="64">
        <v>0.1</v>
      </c>
      <c r="K13" s="30">
        <f>MROUND(D6+D8+D10+D12+D14+D16+D18,50)</f>
        <v>150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600</v>
      </c>
    </row>
    <row r="15" spans="1:12" ht="15" thickBot="1" x14ac:dyDescent="0.4">
      <c r="A15" s="28" t="s">
        <v>61</v>
      </c>
      <c r="B15" s="132">
        <f>IF(DigitaTICA!G2&lt;&gt;"",DigitaTICA!G2,"")</f>
        <v>49</v>
      </c>
      <c r="C15" s="29">
        <f>IF(DigitaTICA!G16&lt;&gt;"",DigitaTICA!G16,"")</f>
        <v>32100</v>
      </c>
      <c r="D15" s="42">
        <f>IF(C15="",0,C15*J$11)</f>
        <v>3852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28248</v>
      </c>
      <c r="I15" s="65" t="s">
        <v>104</v>
      </c>
      <c r="J15" s="66">
        <v>0.12</v>
      </c>
      <c r="K15" s="50">
        <f>MROUND(D21+D22+D23,50)</f>
        <v>550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IF(DigitaREVENTADO!G16&lt;&gt;"",DigitaREVENTADO!G16,"")</f>
        <v>1000</v>
      </c>
      <c r="D16" s="42">
        <f>IF(C16="",0,C16*J$13)</f>
        <v>100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2">
        <f>IF(DigitaNICA!I2&lt;&gt;"",DigitaNICA!I2,"")</f>
        <v>91</v>
      </c>
      <c r="C17" s="29">
        <f>IF(DigitaNICA!I16&lt;&gt;"",DigitaNICA!I16,"")</f>
        <v>13800</v>
      </c>
      <c r="D17" s="42">
        <f>IF(C17="",0,C17*J$12)</f>
        <v>1656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12144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06</v>
      </c>
      <c r="C19" s="29">
        <f>IF(DigitaPRIMERA!C16&lt;&gt;"",DigitaPRIMERA!C16,"")</f>
        <v>5200</v>
      </c>
      <c r="D19" s="42">
        <f>IF(C19="",0,C19*J$14)</f>
        <v>624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4576</v>
      </c>
    </row>
    <row r="20" spans="1:7" x14ac:dyDescent="0.35">
      <c r="A20" s="28" t="s">
        <v>98</v>
      </c>
      <c r="B20" s="132">
        <f>IF(DigitaPRIMERA!E2&lt;&gt;"",DigitaPRIMERA!E2,"")</f>
        <v>14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41</v>
      </c>
      <c r="C21" s="29">
        <f>IF(DigitaHONDURAS!$C$16&lt;&gt;"",DigitaHONDURAS!$C$16,"")</f>
        <v>2700</v>
      </c>
      <c r="D21" s="42">
        <f>IF(C21="",0,C21*J$15)</f>
        <v>324</v>
      </c>
      <c r="E21" s="29">
        <f>IF(DigitaHONDURAS!$D$16&lt;&gt;"",DigitaHONDURAS!$D$16,"")</f>
        <v>0</v>
      </c>
      <c r="F21" s="42">
        <f>IF(E21="",0,E21*PREMIOS!E20)</f>
        <v>0</v>
      </c>
      <c r="G21" s="30">
        <f t="shared" si="3"/>
        <v>2376</v>
      </c>
    </row>
    <row r="22" spans="1:7" x14ac:dyDescent="0.35">
      <c r="A22" s="28" t="s">
        <v>100</v>
      </c>
      <c r="B22" s="132">
        <f>IF(DigitaHONDURAS!E2&lt;&gt;"",DigitaHONDURAS!E2,"")</f>
        <v>76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50</v>
      </c>
      <c r="C23" s="29">
        <f>IF(DigitaHONDURAS!$G$16&lt;&gt;"",DigitaHONDURAS!$G$16,"")</f>
        <v>2000</v>
      </c>
      <c r="D23" s="42">
        <f t="shared" si="4"/>
        <v>240</v>
      </c>
      <c r="E23" s="29">
        <f>IF(DigitaHONDURAS!$H$16&lt;&gt;"",DigitaHONDURAS!$H$16,"")</f>
        <v>0</v>
      </c>
      <c r="F23" s="42">
        <f>IF(E23="",0,E23*PREMIOS!E20)</f>
        <v>0</v>
      </c>
      <c r="G23" s="30">
        <f t="shared" si="3"/>
        <v>1760</v>
      </c>
    </row>
    <row r="24" spans="1:7" ht="15" thickBot="1" x14ac:dyDescent="0.4">
      <c r="A24" s="121" t="s">
        <v>5</v>
      </c>
      <c r="B24" s="128"/>
      <c r="C24" s="122">
        <f>SUM(C5:C23)</f>
        <v>136150</v>
      </c>
      <c r="D24" s="122">
        <f t="shared" ref="D24:G24" si="5">SUM(D5:D23)</f>
        <v>16308</v>
      </c>
      <c r="E24" s="122">
        <f t="shared" si="5"/>
        <v>750</v>
      </c>
      <c r="F24" s="122">
        <f t="shared" si="5"/>
        <v>62500</v>
      </c>
      <c r="G24" s="123">
        <f t="shared" si="5"/>
        <v>57342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446500</v>
      </c>
      <c r="K4" s="231">
        <f t="shared" ref="K4" si="0">D7+D11+D15</f>
        <v>53580</v>
      </c>
      <c r="L4" s="220">
        <f>F7+F11+F15</f>
        <v>157250</v>
      </c>
    </row>
    <row r="5" spans="1:12" x14ac:dyDescent="0.35">
      <c r="A5" s="28" t="s">
        <v>43</v>
      </c>
      <c r="B5" s="132">
        <f>IF(DigitaNICA!C2&lt;&gt;"",DigitaNICA!C2,"")</f>
        <v>58</v>
      </c>
      <c r="C5" s="89">
        <f>IF(DigitaNICA!C17&lt;&gt;"",DigitaNICA!C17,"")</f>
        <v>88600</v>
      </c>
      <c r="D5" s="42">
        <f>IF(C5="",0,C5*J$16)</f>
        <v>10632</v>
      </c>
      <c r="E5" s="89">
        <f>IF(DigitaNICA!D17&lt;&gt;"",DigitaNICA!D17,"")</f>
        <v>0</v>
      </c>
      <c r="F5" s="42">
        <f>IF(E5="",0,E5*PREMIOS!F5)</f>
        <v>0</v>
      </c>
      <c r="G5" s="90">
        <f t="shared" ref="G5:G12" si="1">IF(OR(C5="",E5=""),0,C5-D5-F5)</f>
        <v>77968</v>
      </c>
      <c r="I5" s="217" t="s">
        <v>37</v>
      </c>
      <c r="J5" s="221">
        <f>SUM(IF(C5="",0,C5),IF(C9="",0,C9),IF(C13="",0,C13),IF(C17="",0,C17))</f>
        <v>362300</v>
      </c>
      <c r="K5" s="225">
        <f t="shared" ref="K5" si="2">D5+D9+D13+D17</f>
        <v>43476</v>
      </c>
      <c r="L5" s="222">
        <f>F5+F9+F13+F17</f>
        <v>369750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58500</v>
      </c>
      <c r="K6" s="226">
        <f t="shared" ref="K6" si="3">+D8+D12+D16</f>
        <v>5850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27</v>
      </c>
      <c r="C7" s="89">
        <f>IF(DigitaTICA!C17&lt;&gt;"",DigitaTICA!C17,"")</f>
        <v>121450</v>
      </c>
      <c r="D7" s="42">
        <f>IF(C7="",0,C7*J$15)</f>
        <v>14574</v>
      </c>
      <c r="E7" s="89">
        <f>IF(DigitaTICA!D17&lt;&gt;"",DigitaTICA!D17,"")</f>
        <v>350</v>
      </c>
      <c r="F7" s="42">
        <f>IF(E7="",0,E7*PREMIOS!F7)</f>
        <v>29750</v>
      </c>
      <c r="G7" s="90">
        <f t="shared" si="1"/>
        <v>77126</v>
      </c>
      <c r="I7" s="217" t="s">
        <v>96</v>
      </c>
      <c r="J7" s="223">
        <f>SUM(IF(C19="",0,C19),IF(C20="",0,C20))</f>
        <v>131050</v>
      </c>
      <c r="K7" s="226">
        <f>+D19+D20</f>
        <v>15726</v>
      </c>
      <c r="L7" s="227">
        <f>+F19+F20</f>
        <v>46750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19750</v>
      </c>
      <c r="D8" s="42">
        <f>IF(C8="",0,C8*J$17)</f>
        <v>1975</v>
      </c>
      <c r="E8" s="89">
        <f>IF(DigitaREVENTADO!D17&lt;&gt;"",DigitaREVENTADO!D17,"")</f>
        <v>0</v>
      </c>
      <c r="F8" s="42">
        <f>IF(E8="",0,E8*PREMIOS!F8)</f>
        <v>0</v>
      </c>
      <c r="G8" s="90">
        <f t="shared" si="1"/>
        <v>17775</v>
      </c>
      <c r="I8" s="217" t="s">
        <v>104</v>
      </c>
      <c r="J8" s="223">
        <f>SUM(IF(C21="",0,C21),IF(C22="",0,C22),IF(C23="",0,C23))</f>
        <v>64200</v>
      </c>
      <c r="K8" s="226">
        <f t="shared" ref="K8" si="4">D21+D22+D23</f>
        <v>7704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90</v>
      </c>
      <c r="C9" s="89">
        <f>IF(DigitaNICA!E17&lt;&gt;"",DigitaNICA!E17,"")</f>
        <v>90900</v>
      </c>
      <c r="D9" s="42">
        <f>IF(C9="",0,C9*J$16)</f>
        <v>10908</v>
      </c>
      <c r="E9" s="89">
        <f>IF(DigitaNICA!F17&lt;&gt;"",DigitaNICA!F17,"")</f>
        <v>1400</v>
      </c>
      <c r="F9" s="42">
        <f>IF(E9="",0,E9*PREMIOS!F9)</f>
        <v>119000</v>
      </c>
      <c r="G9" s="90">
        <f t="shared" si="1"/>
        <v>-39008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86</v>
      </c>
      <c r="C11" s="89">
        <f>IF(DigitaTICA!E17&lt;&gt;"",DigitaTICA!E17,"")</f>
        <v>131900</v>
      </c>
      <c r="D11" s="42">
        <f>IF(C11="",0,C11*J$15)</f>
        <v>15828</v>
      </c>
      <c r="E11" s="89">
        <f>IF(DigitaTICA!F17&lt;&gt;"",DigitaTICA!F17,"")</f>
        <v>700</v>
      </c>
      <c r="F11" s="42">
        <f>IF(E11="",0,E11*PREMIOS!F11)</f>
        <v>59500</v>
      </c>
      <c r="G11" s="90">
        <f t="shared" si="1"/>
        <v>56572</v>
      </c>
    </row>
    <row r="12" spans="1:12" x14ac:dyDescent="0.35">
      <c r="A12" s="28" t="s">
        <v>60</v>
      </c>
      <c r="B12" s="132" t="str">
        <f>IF(B11&lt;&gt;"",PREMIOS!B12,"")</f>
        <v>Roja</v>
      </c>
      <c r="C12" s="89">
        <f>IF(DigitaREVENTADO!E17&lt;&gt;"",DigitaREVENTADO!E17,"")</f>
        <v>16950</v>
      </c>
      <c r="D12" s="42">
        <f>IF(C12="",0,C12*J$17)</f>
        <v>1695</v>
      </c>
      <c r="E12" s="89">
        <f>IF(DigitaREVENTADO!F17&lt;&gt;"",DigitaREVENTADO!F17,"")</f>
        <v>0</v>
      </c>
      <c r="F12" s="42">
        <f>IF(E12="",0,E12*PREMIOS!F12)</f>
        <v>0</v>
      </c>
      <c r="G12" s="90">
        <f t="shared" si="1"/>
        <v>15255</v>
      </c>
    </row>
    <row r="13" spans="1:12" ht="15" thickBot="1" x14ac:dyDescent="0.4">
      <c r="A13" s="28" t="s">
        <v>50</v>
      </c>
      <c r="B13" s="132">
        <f>IF(DigitaNICA!G2&lt;&gt;"",DigitaNICA!G2,"")</f>
        <v>11</v>
      </c>
      <c r="C13" s="89">
        <f>IF(DigitaNICA!G17&lt;&gt;"",DigitaNICA!G17,"")</f>
        <v>59300</v>
      </c>
      <c r="D13" s="42">
        <f>IF(C13="",0,C13*J$16)</f>
        <v>7116</v>
      </c>
      <c r="E13" s="89">
        <f>IF(DigitaNICA!H17&lt;&gt;"",DigitaNICA!H17,"")</f>
        <v>1650</v>
      </c>
      <c r="F13" s="42">
        <f>IF(E13="",0,E13*PREMIOS!F13)</f>
        <v>140250</v>
      </c>
      <c r="G13" s="90">
        <f>IF(OR(C13="",E13=""),0,C13-D13-F13)</f>
        <v>-88066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49</v>
      </c>
      <c r="C15" s="89">
        <f>IF(DigitaTICA!G17&lt;&gt;"",DigitaTICA!G17,"")</f>
        <v>193150</v>
      </c>
      <c r="D15" s="42">
        <f>IF(C15="",0,C15*J$15)</f>
        <v>23178</v>
      </c>
      <c r="E15" s="89">
        <f>IF(DigitaTICA!H17&lt;&gt;"",DigitaTICA!H17,"")</f>
        <v>800</v>
      </c>
      <c r="F15" s="42">
        <f>IF(E15="",0,E15*PREMIOS!F15)</f>
        <v>68000</v>
      </c>
      <c r="G15" s="90">
        <f t="shared" si="6"/>
        <v>101972</v>
      </c>
      <c r="I15" s="76" t="s">
        <v>36</v>
      </c>
      <c r="J15" s="77">
        <v>0.12</v>
      </c>
      <c r="K15" s="78">
        <f>MROUND(D7+D11+D15,50)</f>
        <v>53600</v>
      </c>
    </row>
    <row r="16" spans="1:12" x14ac:dyDescent="0.35">
      <c r="A16" s="28" t="s">
        <v>62</v>
      </c>
      <c r="B16" s="132" t="str">
        <f>IF(B15&lt;&gt;"",PREMIOS!B16,"")</f>
        <v>Roja</v>
      </c>
      <c r="C16" s="89">
        <f>IF(DigitaREVENTADO!G17&lt;&gt;"",DigitaREVENTADO!G17,"")</f>
        <v>21800</v>
      </c>
      <c r="D16" s="42">
        <f>IF(C16="",0,C16*J$17)</f>
        <v>2180</v>
      </c>
      <c r="E16" s="89">
        <f>IF(DigitaREVENTADO!H17&lt;&gt;"",DigitaREVENTADO!H17,"")</f>
        <v>0</v>
      </c>
      <c r="F16" s="42">
        <f>IF(E16="",0,E16*PREMIOS!F16)</f>
        <v>0</v>
      </c>
      <c r="G16" s="90">
        <f t="shared" si="6"/>
        <v>19620</v>
      </c>
      <c r="I16" s="63" t="s">
        <v>37</v>
      </c>
      <c r="J16" s="64">
        <v>0.12</v>
      </c>
      <c r="K16" s="30">
        <f>MROUND(D5+D9+D13+D17,50)</f>
        <v>43500</v>
      </c>
    </row>
    <row r="17" spans="1:11" x14ac:dyDescent="0.35">
      <c r="A17" s="28" t="s">
        <v>52</v>
      </c>
      <c r="B17" s="132">
        <f>IF(DigitaNICA!I2&lt;&gt;"",DigitaNICA!I2,"")</f>
        <v>91</v>
      </c>
      <c r="C17" s="89">
        <f>IF(DigitaNICA!I17&lt;&gt;"",DigitaNICA!I17,"")</f>
        <v>123500</v>
      </c>
      <c r="D17" s="42">
        <f>IF(C17="",0,C17*J$16)</f>
        <v>14820</v>
      </c>
      <c r="E17" s="89">
        <f>IF(DigitaNICA!J17&lt;&gt;"",DigitaNICA!J17,"")</f>
        <v>1300</v>
      </c>
      <c r="F17" s="42">
        <f>IF(E17="",0,E17*PREMIOS!F17)</f>
        <v>110500</v>
      </c>
      <c r="G17" s="90">
        <f t="shared" si="6"/>
        <v>-1820</v>
      </c>
      <c r="I17" s="63" t="s">
        <v>38</v>
      </c>
      <c r="J17" s="64">
        <v>0.1</v>
      </c>
      <c r="K17" s="30">
        <f>MROUND(D6+D8+D10+D12+D14+D16+D18,50)</f>
        <v>5850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15750</v>
      </c>
    </row>
    <row r="19" spans="1:11" x14ac:dyDescent="0.35">
      <c r="A19" s="28" t="s">
        <v>97</v>
      </c>
      <c r="B19" s="132" t="str">
        <f>IF(DigitaPRIMERA!C2&lt;&gt;"",DigitaPRIMERA!C2,"")</f>
        <v>06</v>
      </c>
      <c r="C19" s="29">
        <f>IF(DigitaPRIMERA!$C$17&lt;&gt;"",DigitaPRIMERA!$C$17,"")</f>
        <v>57600</v>
      </c>
      <c r="D19" s="42">
        <f>IF(C19="",0,C19*J$18)</f>
        <v>6912</v>
      </c>
      <c r="E19" s="29">
        <f>IF(DigitaPRIMERA!$D$17&lt;&gt;"",DigitaPRIMERA!$D$17,"")</f>
        <v>550</v>
      </c>
      <c r="F19" s="42">
        <f>IF(E19="",0,E19*PREMIOS!F19)</f>
        <v>46750</v>
      </c>
      <c r="G19" s="30">
        <f t="shared" si="6"/>
        <v>3938</v>
      </c>
      <c r="I19" s="63" t="s">
        <v>104</v>
      </c>
      <c r="J19" s="64">
        <v>0.12</v>
      </c>
      <c r="K19" s="30">
        <f>MROUND(D21+D22+D23,50)</f>
        <v>7700</v>
      </c>
    </row>
    <row r="20" spans="1:11" x14ac:dyDescent="0.35">
      <c r="A20" s="28" t="s">
        <v>98</v>
      </c>
      <c r="B20" s="132">
        <f>IF(DigitaPRIMERA!E2&lt;&gt;"",DigitaPRIMERA!E2,"")</f>
        <v>14</v>
      </c>
      <c r="C20" s="29">
        <f>IF(DigitaPRIMERA!$E$17&lt;&gt;"",DigitaPRIMERA!$E$17,"")</f>
        <v>73450</v>
      </c>
      <c r="D20" s="42">
        <f>IF(C20="",0,C20*J$18)</f>
        <v>8814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64636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41</v>
      </c>
      <c r="C21" s="29">
        <f>IF(DigitaHONDURAS!$C$17&lt;&gt;"",DigitaHONDURAS!$C$17,"")</f>
        <v>40300</v>
      </c>
      <c r="D21" s="42">
        <f>IF(C21="",0,C21*J$19)</f>
        <v>4836</v>
      </c>
      <c r="E21" s="29">
        <f>IF(DigitaHONDURAS!$D$17&lt;&gt;"",DigitaHONDURAS!$D$17,"")</f>
        <v>0</v>
      </c>
      <c r="F21" s="42">
        <f>IF(E21="",0,E21*PREMIOS!F20)</f>
        <v>0</v>
      </c>
      <c r="G21" s="30">
        <f t="shared" si="6"/>
        <v>35464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76</v>
      </c>
      <c r="C22" s="29">
        <f>IF(DigitaHONDURAS!$E$17&lt;&gt;"",DigitaHONDURAS!$E$17,"")</f>
        <v>16750</v>
      </c>
      <c r="D22" s="42">
        <f>IF(C22="",0,C22*J$19)</f>
        <v>2010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14740</v>
      </c>
    </row>
    <row r="23" spans="1:11" x14ac:dyDescent="0.35">
      <c r="A23" s="28" t="s">
        <v>101</v>
      </c>
      <c r="B23" s="132">
        <f>IF(DigitaHONDURAS!G2&lt;&gt;"",DigitaHONDURAS!G2,"")</f>
        <v>50</v>
      </c>
      <c r="C23" s="29">
        <f>IF(DigitaHONDURAS!$G$17&lt;&gt;"",DigitaHONDURAS!$G$17,"")</f>
        <v>7150</v>
      </c>
      <c r="D23" s="42">
        <f>IF(C23="",0,C23*J$19)</f>
        <v>858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6292</v>
      </c>
    </row>
    <row r="24" spans="1:11" x14ac:dyDescent="0.35">
      <c r="A24" s="28" t="s">
        <v>102</v>
      </c>
      <c r="B24" s="132">
        <f>IF(DigitaDOMINICANA!C2&lt;&gt;"",DigitaDOMINICANA!C2,"")</f>
        <v>92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88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1062550</v>
      </c>
      <c r="D27" s="68">
        <f t="shared" ref="D27:G27" si="7">SUM(D5:D26)</f>
        <v>126336</v>
      </c>
      <c r="E27" s="68">
        <f t="shared" si="7"/>
        <v>6750</v>
      </c>
      <c r="F27" s="68">
        <f t="shared" si="7"/>
        <v>573750</v>
      </c>
      <c r="G27" s="88">
        <f t="shared" si="7"/>
        <v>362464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184250</v>
      </c>
      <c r="K4" s="231">
        <f t="shared" ref="K4" si="0">D7+D11+D15</f>
        <v>22110</v>
      </c>
      <c r="L4" s="220">
        <f>F7+F11+F15</f>
        <v>4250</v>
      </c>
    </row>
    <row r="5" spans="1:12" x14ac:dyDescent="0.35">
      <c r="A5" s="28" t="str">
        <f>+Vendedor1!A5</f>
        <v>Nica 11am</v>
      </c>
      <c r="B5" s="132">
        <f>IF(DigitaNICA!C2&lt;&gt;"",DigitaNICA!C2,"")</f>
        <v>58</v>
      </c>
      <c r="C5" s="29">
        <f>IF(DigitaNICA!C18&lt;&gt;"",DigitaNICA!C18,"")</f>
        <v>68650</v>
      </c>
      <c r="D5" s="42">
        <f>IF(C5="",0,C5*J$16)</f>
        <v>8238</v>
      </c>
      <c r="E5" s="29">
        <f>IF(DigitaNICA!D18&lt;&gt;"",DigitaNICA!D18,"")</f>
        <v>1000</v>
      </c>
      <c r="F5" s="42">
        <f>IF(E5="",0,E5*PREMIOS!F5)</f>
        <v>85000</v>
      </c>
      <c r="G5" s="30">
        <f t="shared" ref="G5:G12" si="1">IF(OR(C5="",E5=""),0,C5-D5-F5)</f>
        <v>-24588</v>
      </c>
      <c r="I5" s="217" t="s">
        <v>37</v>
      </c>
      <c r="J5" s="221">
        <f>SUM(IF(C5="",0,C5),IF(C9="",0,C9),IF(C13="",0,C13),IF(C17="",0,C17))</f>
        <v>231700</v>
      </c>
      <c r="K5" s="225">
        <f t="shared" ref="K5" si="2">D5+D9+D13+D17</f>
        <v>27804</v>
      </c>
      <c r="L5" s="222">
        <f>F5+F9+F13+F17</f>
        <v>306000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64200</v>
      </c>
      <c r="K6" s="226">
        <f t="shared" ref="K6" si="3">+D8+D12+D16</f>
        <v>6420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27</v>
      </c>
      <c r="C7" s="29">
        <f>IF(DigitaTICA!C18&lt;&gt;"",DigitaTICA!C18,"")</f>
        <v>60050</v>
      </c>
      <c r="D7" s="42">
        <f>IF(C7="",0,C7*J$15)</f>
        <v>7206</v>
      </c>
      <c r="E7" s="29">
        <f>IF(DigitaTICA!D18&lt;&gt;"",DigitaTICA!D18,"")</f>
        <v>50</v>
      </c>
      <c r="F7" s="42">
        <f>IF(E7="",0,E7*PREMIOS!F7)</f>
        <v>4250</v>
      </c>
      <c r="G7" s="30">
        <f t="shared" si="1"/>
        <v>48594</v>
      </c>
      <c r="I7" s="217" t="s">
        <v>96</v>
      </c>
      <c r="J7" s="223">
        <f>SUM(IF(C19="",0,C19),IF(C20="",0,C20))</f>
        <v>90350</v>
      </c>
      <c r="K7" s="226">
        <f>+D19+D20</f>
        <v>10842</v>
      </c>
      <c r="L7" s="227">
        <f>+F19+F20</f>
        <v>63750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19350</v>
      </c>
      <c r="D8" s="42">
        <f>IF(C8="",0,C8*J$17)</f>
        <v>1935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17415</v>
      </c>
      <c r="I8" s="217" t="s">
        <v>104</v>
      </c>
      <c r="J8" s="223">
        <f>SUM(IF(C21="",0,C21),IF(C22="",0,C22),IF(C23="",0,C23))</f>
        <v>35950</v>
      </c>
      <c r="K8" s="226">
        <f t="shared" ref="K8" si="4">D21+D22+D23</f>
        <v>4314</v>
      </c>
      <c r="L8" s="227">
        <f>F21+F22+F23</f>
        <v>38250</v>
      </c>
    </row>
    <row r="9" spans="1:12" x14ac:dyDescent="0.35">
      <c r="A9" s="28" t="str">
        <f>+Vendedor1!A9</f>
        <v>Nica 3pm</v>
      </c>
      <c r="B9" s="132">
        <f>IF(DigitaNICA!E2&lt;&gt;"",DigitaNICA!E2,"")</f>
        <v>90</v>
      </c>
      <c r="C9" s="29">
        <f>IF(DigitaNICA!E18&lt;&gt;"",DigitaNICA!E18,"")</f>
        <v>65850</v>
      </c>
      <c r="D9" s="42">
        <f>IF(C9="",0,C9*J$16)</f>
        <v>7902</v>
      </c>
      <c r="E9" s="29">
        <f>IF(DigitaNICA!F18&lt;&gt;"",DigitaNICA!F18,"")</f>
        <v>1050</v>
      </c>
      <c r="F9" s="42">
        <f>IF(E9="",0,E9*PREMIOS!F9)</f>
        <v>89250</v>
      </c>
      <c r="G9" s="30">
        <f t="shared" si="1"/>
        <v>-31302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86</v>
      </c>
      <c r="C11" s="29">
        <f>IF(DigitaTICA!E18&lt;&gt;"",DigitaTICA!E18,"")</f>
        <v>55750</v>
      </c>
      <c r="D11" s="42">
        <f>IF(C11="",0,C11*J$15)</f>
        <v>6690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49060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IF(DigitaREVENTADO!E18&lt;&gt;"",DigitaREVENTADO!E18,"")</f>
        <v>19900</v>
      </c>
      <c r="D12" s="42">
        <f>IF(C12="",0,C12*J$17)</f>
        <v>1990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17910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11</v>
      </c>
      <c r="C13" s="29">
        <f>IF(DigitaNICA!G18&lt;&gt;"",DigitaNICA!G18,"")</f>
        <v>59200</v>
      </c>
      <c r="D13" s="42">
        <f>IF(C13="",0,C13*J$16)</f>
        <v>7104</v>
      </c>
      <c r="E13" s="29">
        <f>IF(DigitaNICA!H18&lt;&gt;"",DigitaNICA!H18,"")</f>
        <v>1350</v>
      </c>
      <c r="F13" s="42">
        <f>IF(E13="",0,E13*PREMIOS!F13)</f>
        <v>114750</v>
      </c>
      <c r="G13" s="30">
        <f>IF(OR(C13="",E13=""),0,C13-D13-F13)</f>
        <v>-62654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49</v>
      </c>
      <c r="C15" s="29">
        <f>IF(DigitaTICA!G18&lt;&gt;"",DigitaTICA!G18,"")</f>
        <v>68450</v>
      </c>
      <c r="D15" s="42">
        <f>IF(C15="",0,C15*J$15)</f>
        <v>8214</v>
      </c>
      <c r="E15" s="29">
        <f>IF(DigitaTICA!H18&lt;&gt;"",DigitaTICA!H18,"")</f>
        <v>0</v>
      </c>
      <c r="F15" s="42">
        <f>IF(E15="",0,E15*PREMIOS!F15)</f>
        <v>0</v>
      </c>
      <c r="G15" s="30">
        <f t="shared" si="6"/>
        <v>60236</v>
      </c>
      <c r="I15" s="76" t="s">
        <v>36</v>
      </c>
      <c r="J15" s="77">
        <v>0.12</v>
      </c>
      <c r="K15" s="78">
        <f>MROUND(D7+D11+D15,50)</f>
        <v>22100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>
        <f>IF(DigitaREVENTADO!G18&lt;&gt;"",DigitaREVENTADO!G18,"")</f>
        <v>24950</v>
      </c>
      <c r="D16" s="42">
        <f>IF(C16="",0,C16*J$17)</f>
        <v>2495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22455</v>
      </c>
      <c r="I16" s="63" t="s">
        <v>37</v>
      </c>
      <c r="J16" s="64">
        <v>0.12</v>
      </c>
      <c r="K16" s="30">
        <f>MROUND(D5+D9+D13+D17,50)</f>
        <v>27800</v>
      </c>
    </row>
    <row r="17" spans="1:11" x14ac:dyDescent="0.35">
      <c r="A17" s="28" t="str">
        <f>+Vendedor1!A17</f>
        <v>Nica 9pm</v>
      </c>
      <c r="B17" s="132">
        <f>IF(DigitaNICA!I2&lt;&gt;"",DigitaNICA!I2,"")</f>
        <v>91</v>
      </c>
      <c r="C17" s="29">
        <f>IF(DigitaNICA!I18&lt;&gt;"",DigitaNICA!I18,"")</f>
        <v>38000</v>
      </c>
      <c r="D17" s="42">
        <f>IF(C17="",0,C17*J$16)</f>
        <v>4560</v>
      </c>
      <c r="E17" s="29">
        <f>IF(DigitaNICA!J18&lt;&gt;"",DigitaNICA!J18,"")</f>
        <v>200</v>
      </c>
      <c r="F17" s="42">
        <f>IF(E17="",0,E17*PREMIOS!F17)</f>
        <v>17000</v>
      </c>
      <c r="G17" s="30">
        <f t="shared" si="6"/>
        <v>16440</v>
      </c>
      <c r="I17" s="63" t="s">
        <v>38</v>
      </c>
      <c r="J17" s="64">
        <v>0.1</v>
      </c>
      <c r="K17" s="30">
        <f>MROUND(D6+D8+D10+D12+D14+D16+D18,50)</f>
        <v>6400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10850</v>
      </c>
    </row>
    <row r="19" spans="1:11" x14ac:dyDescent="0.35">
      <c r="A19" s="28" t="s">
        <v>97</v>
      </c>
      <c r="B19" s="132" t="str">
        <f>IF(DigitaPRIMERA!C2&lt;&gt;"",DigitaPRIMERA!C2,"")</f>
        <v>06</v>
      </c>
      <c r="C19" s="29">
        <f>IF(DigitaPRIMERA!$C$18&lt;&gt;"",DigitaPRIMERA!$C$18,"")</f>
        <v>43800</v>
      </c>
      <c r="D19" s="42">
        <f>IF(C19="",0,C19*J$18)</f>
        <v>5256</v>
      </c>
      <c r="E19" s="29">
        <f>IF(DigitaPRIMERA!$D$18&lt;&gt;"",DigitaPRIMERA!$D$18,"")</f>
        <v>300</v>
      </c>
      <c r="F19" s="42">
        <f>IF(E19="",0,E19*PREMIOS!F19)</f>
        <v>25500</v>
      </c>
      <c r="G19" s="30">
        <f t="shared" si="6"/>
        <v>13044</v>
      </c>
      <c r="I19" s="63" t="s">
        <v>104</v>
      </c>
      <c r="J19" s="64">
        <v>0.12</v>
      </c>
      <c r="K19" s="30">
        <f>MROUND(D21+D22+D23,50)</f>
        <v>4300</v>
      </c>
    </row>
    <row r="20" spans="1:11" x14ac:dyDescent="0.35">
      <c r="A20" s="28" t="s">
        <v>98</v>
      </c>
      <c r="B20" s="132">
        <f>IF(DigitaPRIMERA!E2&lt;&gt;"",DigitaPRIMERA!E2,"")</f>
        <v>14</v>
      </c>
      <c r="C20" s="29">
        <f>IF(DigitaPRIMERA!$E$18&lt;&gt;"",DigitaPRIMERA!$E$18,"")</f>
        <v>46550</v>
      </c>
      <c r="D20" s="42">
        <f>IF(C20="",0,C20*J$18)</f>
        <v>5586</v>
      </c>
      <c r="E20" s="29">
        <f>IF(DigitaPRIMERA!$F$18&lt;&gt;"",DigitaPRIMERA!$F$18,"")</f>
        <v>450</v>
      </c>
      <c r="F20" s="42">
        <f>IF(E20="",0,E20*PREMIOS!F19)</f>
        <v>38250</v>
      </c>
      <c r="G20" s="30">
        <f t="shared" si="6"/>
        <v>2714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41</v>
      </c>
      <c r="C21" s="29">
        <f>IF(DigitaHONDURAS!$C$18&lt;&gt;"",DigitaHONDURAS!$C$18,"")</f>
        <v>21450</v>
      </c>
      <c r="D21" s="42">
        <f>IF(C21="",0,C21*J$19)</f>
        <v>2574</v>
      </c>
      <c r="E21" s="29">
        <f>IF(DigitaHONDURAS!$D$18&lt;&gt;"",DigitaHONDURAS!$D$18,"")</f>
        <v>300</v>
      </c>
      <c r="F21" s="42">
        <f>IF(E21="",0,E21*PREMIOS!F20)</f>
        <v>25500</v>
      </c>
      <c r="G21" s="30">
        <f t="shared" si="6"/>
        <v>-6624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76</v>
      </c>
      <c r="C22" s="29">
        <f>IF(DigitaHONDURAS!$E$18&lt;&gt;"",DigitaHONDURAS!$E$18,"")</f>
        <v>6700</v>
      </c>
      <c r="D22" s="42">
        <f>IF(C22="",0,C22*J$19)</f>
        <v>804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5896</v>
      </c>
    </row>
    <row r="23" spans="1:11" x14ac:dyDescent="0.35">
      <c r="A23" s="28" t="s">
        <v>101</v>
      </c>
      <c r="B23" s="132">
        <f>IF(DigitaHONDURAS!G2&lt;&gt;"",DigitaHONDURAS!G2,"")</f>
        <v>50</v>
      </c>
      <c r="C23" s="29">
        <f>IF(DigitaHONDURAS!$G$18&lt;&gt;"",DigitaHONDURAS!$G$18,"")</f>
        <v>7800</v>
      </c>
      <c r="D23" s="42">
        <f>IF(C23="",0,C23*J$19)</f>
        <v>936</v>
      </c>
      <c r="E23" s="29">
        <f>IF(DigitaHONDURAS!$H$18&lt;&gt;"",DigitaHONDURAS!$H$18,"")</f>
        <v>150</v>
      </c>
      <c r="F23" s="42">
        <f>IF(E23="",0,E23*PREMIOS!F20)</f>
        <v>12750</v>
      </c>
      <c r="G23" s="30">
        <f t="shared" si="6"/>
        <v>-5886</v>
      </c>
    </row>
    <row r="24" spans="1:11" x14ac:dyDescent="0.35">
      <c r="A24" s="28" t="s">
        <v>102</v>
      </c>
      <c r="B24" s="132">
        <f>IF(DigitaDOMINICANA!C2&lt;&gt;"",DigitaDOMINICANA!C2,"")</f>
        <v>92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88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606450</v>
      </c>
      <c r="D27" s="68">
        <f t="shared" ref="D27:G27" si="7">SUM(D5:D26)</f>
        <v>71490</v>
      </c>
      <c r="E27" s="68">
        <f t="shared" si="7"/>
        <v>4850</v>
      </c>
      <c r="F27" s="68">
        <f t="shared" si="7"/>
        <v>412250</v>
      </c>
      <c r="G27" s="88">
        <f t="shared" si="7"/>
        <v>122710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58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27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90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86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11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49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91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11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11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11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11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49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27</v>
      </c>
      <c r="D2" s="268"/>
      <c r="E2" s="267">
        <f>IF(PREMIOS!$B11="","",PREMIOS!$B11)</f>
        <v>86</v>
      </c>
      <c r="F2" s="268"/>
      <c r="G2" s="267">
        <f>IF(PREMIOS!$B15="","",PREMIOS!$B15)</f>
        <v>49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64250</v>
      </c>
      <c r="D4" s="78">
        <f t="shared" ref="D4:H27" si="0">IF(C4="","",0)</f>
        <v>0</v>
      </c>
      <c r="E4" s="189">
        <v>22400</v>
      </c>
      <c r="F4" s="78">
        <f t="shared" si="0"/>
        <v>0</v>
      </c>
      <c r="G4" s="189">
        <v>75950</v>
      </c>
      <c r="H4" s="78">
        <v>850</v>
      </c>
      <c r="J4" s="42">
        <f t="shared" ref="J4:J8" si="1">+C4+E4+G4</f>
        <v>162600</v>
      </c>
      <c r="K4" s="42">
        <f>IF(D4="",0,IF(F4="",D4,IF(H4="",D4+F4,D4+F4+H4)))</f>
        <v>850</v>
      </c>
    </row>
    <row r="5" spans="1:11" x14ac:dyDescent="0.35">
      <c r="A5" s="47">
        <v>2</v>
      </c>
      <c r="B5" s="178" t="str">
        <f>Vendedor2!$B$2</f>
        <v>PUESTO 2</v>
      </c>
      <c r="C5" s="180">
        <v>44200</v>
      </c>
      <c r="D5" s="30">
        <f t="shared" si="0"/>
        <v>0</v>
      </c>
      <c r="E5" s="180">
        <v>31000</v>
      </c>
      <c r="F5" s="30">
        <f t="shared" si="0"/>
        <v>0</v>
      </c>
      <c r="G5" s="180">
        <v>39000</v>
      </c>
      <c r="H5" s="30">
        <f t="shared" si="0"/>
        <v>0</v>
      </c>
      <c r="J5" s="42">
        <f t="shared" si="1"/>
        <v>114200</v>
      </c>
      <c r="K5" s="42">
        <f t="shared" ref="K5:K27" si="2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71650</v>
      </c>
      <c r="D8" s="30">
        <v>1000</v>
      </c>
      <c r="E8" s="180">
        <v>57750</v>
      </c>
      <c r="F8" s="30">
        <f t="shared" si="0"/>
        <v>0</v>
      </c>
      <c r="G8" s="180">
        <v>78600</v>
      </c>
      <c r="H8" s="30">
        <v>500</v>
      </c>
      <c r="J8" s="42">
        <f t="shared" si="1"/>
        <v>208000</v>
      </c>
      <c r="K8" s="42">
        <f t="shared" si="2"/>
        <v>1500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50700+83500</f>
        <v>134200</v>
      </c>
      <c r="D10" s="30">
        <v>2100</v>
      </c>
      <c r="E10" s="180">
        <f>56900+80500</f>
        <v>137400</v>
      </c>
      <c r="F10" s="30">
        <v>200</v>
      </c>
      <c r="G10" s="180">
        <f>51000+119600</f>
        <v>170600</v>
      </c>
      <c r="H10" s="30">
        <v>50</v>
      </c>
      <c r="J10" s="42">
        <f t="shared" si="3"/>
        <v>442200</v>
      </c>
      <c r="K10" s="42">
        <f t="shared" si="2"/>
        <v>2350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180"/>
      <c r="F11" s="30" t="str">
        <f t="shared" si="0"/>
        <v/>
      </c>
      <c r="G11" s="180">
        <v>4000</v>
      </c>
      <c r="H11" s="30">
        <f t="shared" si="0"/>
        <v>0</v>
      </c>
      <c r="J11" s="42">
        <f t="shared" si="3"/>
        <v>4000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17050</v>
      </c>
      <c r="D12" s="30">
        <f t="shared" si="0"/>
        <v>0</v>
      </c>
      <c r="E12" s="180">
        <v>14150</v>
      </c>
      <c r="F12" s="30">
        <f t="shared" si="0"/>
        <v>0</v>
      </c>
      <c r="G12" s="180"/>
      <c r="H12" s="30" t="str">
        <f t="shared" si="0"/>
        <v/>
      </c>
      <c r="J12" s="42">
        <f t="shared" si="3"/>
        <v>31200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>
        <v>42400</v>
      </c>
      <c r="D13" s="30">
        <f t="shared" si="0"/>
        <v>0</v>
      </c>
      <c r="E13" s="180">
        <v>20950</v>
      </c>
      <c r="F13" s="30">
        <f t="shared" si="0"/>
        <v>0</v>
      </c>
      <c r="G13" s="180">
        <v>45100</v>
      </c>
      <c r="H13" s="30">
        <v>100</v>
      </c>
      <c r="J13" s="42">
        <f t="shared" si="3"/>
        <v>108450</v>
      </c>
      <c r="K13" s="42">
        <f t="shared" si="2"/>
        <v>100</v>
      </c>
    </row>
    <row r="14" spans="1:11" x14ac:dyDescent="0.35">
      <c r="A14" s="47">
        <v>11</v>
      </c>
      <c r="B14" s="178" t="str">
        <f>Vendedor11!$B$2</f>
        <v>CHARLY</v>
      </c>
      <c r="C14" s="180">
        <v>54700</v>
      </c>
      <c r="D14" s="30">
        <f t="shared" si="0"/>
        <v>0</v>
      </c>
      <c r="E14" s="180">
        <v>28550</v>
      </c>
      <c r="F14" s="30">
        <f t="shared" si="0"/>
        <v>0</v>
      </c>
      <c r="G14" s="180">
        <v>33000</v>
      </c>
      <c r="H14" s="30">
        <v>500</v>
      </c>
      <c r="J14" s="42">
        <f t="shared" si="3"/>
        <v>116250</v>
      </c>
      <c r="K14" s="42">
        <f t="shared" si="2"/>
        <v>500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27700</v>
      </c>
      <c r="D16" s="30">
        <v>500</v>
      </c>
      <c r="E16" s="180">
        <v>16500</v>
      </c>
      <c r="F16" s="30">
        <f t="shared" si="0"/>
        <v>0</v>
      </c>
      <c r="G16" s="180">
        <v>32100</v>
      </c>
      <c r="H16" s="30">
        <f t="shared" si="0"/>
        <v>0</v>
      </c>
      <c r="J16" s="42">
        <f t="shared" si="3"/>
        <v>76300</v>
      </c>
      <c r="K16" s="42">
        <f t="shared" si="2"/>
        <v>500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94250+27200</f>
        <v>121450</v>
      </c>
      <c r="D17" s="30">
        <f>350+0</f>
        <v>350</v>
      </c>
      <c r="E17" s="180">
        <f>111150+20750</f>
        <v>131900</v>
      </c>
      <c r="F17" s="30">
        <f>700+0</f>
        <v>700</v>
      </c>
      <c r="G17" s="180">
        <f>168200+24950</f>
        <v>193150</v>
      </c>
      <c r="H17" s="30">
        <f>800+0</f>
        <v>800</v>
      </c>
      <c r="J17" s="42">
        <f t="shared" si="3"/>
        <v>446500</v>
      </c>
      <c r="K17" s="42">
        <f t="shared" si="2"/>
        <v>1850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24600+35450</f>
        <v>60050</v>
      </c>
      <c r="D18" s="30">
        <f>50+0</f>
        <v>50</v>
      </c>
      <c r="E18" s="180">
        <f>21050+34700</f>
        <v>55750</v>
      </c>
      <c r="F18" s="30">
        <f t="shared" si="0"/>
        <v>0</v>
      </c>
      <c r="G18" s="180">
        <f>42500+25950</f>
        <v>68450</v>
      </c>
      <c r="H18" s="30">
        <f t="shared" si="0"/>
        <v>0</v>
      </c>
      <c r="J18" s="42">
        <f t="shared" si="3"/>
        <v>184250</v>
      </c>
      <c r="K18" s="42">
        <f t="shared" si="2"/>
        <v>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637650</v>
      </c>
      <c r="D32" s="44">
        <f t="shared" si="6"/>
        <v>4000</v>
      </c>
      <c r="E32" s="43">
        <f t="shared" si="6"/>
        <v>516350</v>
      </c>
      <c r="F32" s="44">
        <f t="shared" si="6"/>
        <v>900</v>
      </c>
      <c r="G32" s="43">
        <f t="shared" si="6"/>
        <v>739950</v>
      </c>
      <c r="H32" s="44">
        <f t="shared" si="6"/>
        <v>2800</v>
      </c>
      <c r="J32" s="95">
        <f>SUM(J4:J31)</f>
        <v>1893950</v>
      </c>
      <c r="K32" s="95"/>
    </row>
    <row r="33" spans="2:8" x14ac:dyDescent="0.35">
      <c r="D33" s="99">
        <f>+D32*85</f>
        <v>340000</v>
      </c>
      <c r="F33" s="99">
        <f>+F32*85</f>
        <v>76500</v>
      </c>
      <c r="H33" s="99">
        <f>+H32*85</f>
        <v>238000</v>
      </c>
    </row>
    <row r="34" spans="2:8" x14ac:dyDescent="0.35">
      <c r="B34" s="247" t="s">
        <v>149</v>
      </c>
      <c r="C34" s="43">
        <f t="shared" ref="C34:H34" si="7">+C4+C5+C6+C8+C13</f>
        <v>222500</v>
      </c>
      <c r="D34" s="43" t="e">
        <f t="shared" si="7"/>
        <v>#VALUE!</v>
      </c>
      <c r="E34" s="43">
        <f t="shared" si="7"/>
        <v>132100</v>
      </c>
      <c r="F34" s="43" t="e">
        <f t="shared" si="7"/>
        <v>#VALUE!</v>
      </c>
      <c r="G34" s="43">
        <f t="shared" si="7"/>
        <v>238650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236200</v>
      </c>
      <c r="D35" s="43" t="e">
        <f t="shared" ref="D35:H35" si="8">+D11+D14+D15+D17+D18</f>
        <v>#VALUE!</v>
      </c>
      <c r="E35" s="43">
        <f t="shared" si="8"/>
        <v>216200</v>
      </c>
      <c r="F35" s="43" t="e">
        <f t="shared" si="8"/>
        <v>#VALUE!</v>
      </c>
      <c r="G35" s="43">
        <f t="shared" si="8"/>
        <v>298600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151250</v>
      </c>
      <c r="D36" s="43" t="e">
        <f t="shared" ref="D36:H36" si="9">+D10+D12+D27</f>
        <v>#VALUE!</v>
      </c>
      <c r="E36" s="43">
        <f t="shared" si="9"/>
        <v>151550</v>
      </c>
      <c r="F36" s="43" t="e">
        <f t="shared" si="9"/>
        <v>#VALUE!</v>
      </c>
      <c r="G36" s="43">
        <f t="shared" si="9"/>
        <v>170600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2" sqref="I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58</v>
      </c>
      <c r="D2" s="268"/>
      <c r="E2" s="267">
        <f>IF(PREMIOS!$B9="","",PREMIOS!$B9)</f>
        <v>90</v>
      </c>
      <c r="F2" s="268"/>
      <c r="G2" s="267">
        <f>IF(PREMIOS!$B13="","",PREMIOS!$B13)</f>
        <v>11</v>
      </c>
      <c r="H2" s="268"/>
      <c r="I2" s="267">
        <f>IF(PREMIOS!$B17="","",PREMIOS!$B17)</f>
        <v>91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12800</v>
      </c>
      <c r="D4" s="78">
        <f t="shared" ref="D4:J27" si="0">IF(C4="","",0)</f>
        <v>0</v>
      </c>
      <c r="E4" s="206">
        <v>13600</v>
      </c>
      <c r="F4" s="78">
        <v>500</v>
      </c>
      <c r="G4" s="189">
        <v>2450</v>
      </c>
      <c r="H4" s="78">
        <f t="shared" ref="H4:H27" si="1">IF(G4="","",0)</f>
        <v>0</v>
      </c>
      <c r="I4" s="189">
        <v>2500</v>
      </c>
      <c r="J4" s="78">
        <f t="shared" si="0"/>
        <v>0</v>
      </c>
      <c r="L4" s="42">
        <f t="shared" ref="L4:L8" si="2">+C4+E4+G4+I4</f>
        <v>31350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38900</v>
      </c>
      <c r="D5" s="30">
        <f t="shared" si="0"/>
        <v>0</v>
      </c>
      <c r="E5" s="207">
        <v>2500</v>
      </c>
      <c r="F5" s="30">
        <f t="shared" si="0"/>
        <v>0</v>
      </c>
      <c r="G5" s="180">
        <v>6200</v>
      </c>
      <c r="H5" s="30">
        <f t="shared" si="1"/>
        <v>0</v>
      </c>
      <c r="I5" s="180">
        <v>1200</v>
      </c>
      <c r="J5" s="30">
        <f t="shared" ref="J5:J27" si="3">IF(I5="","",0)</f>
        <v>0</v>
      </c>
      <c r="L5" s="42">
        <f t="shared" si="2"/>
        <v>48800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58600</v>
      </c>
      <c r="D8" s="30">
        <v>2400</v>
      </c>
      <c r="E8" s="207">
        <v>51250</v>
      </c>
      <c r="F8" s="30">
        <v>250</v>
      </c>
      <c r="G8" s="180">
        <v>11100</v>
      </c>
      <c r="H8" s="30">
        <v>100</v>
      </c>
      <c r="I8" s="180">
        <v>57500</v>
      </c>
      <c r="J8" s="30">
        <v>850</v>
      </c>
      <c r="L8" s="42">
        <f t="shared" si="2"/>
        <v>178450</v>
      </c>
      <c r="M8" s="42">
        <f t="shared" si="4"/>
        <v>3600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54400+38550</f>
        <v>92950</v>
      </c>
      <c r="D10" s="30">
        <v>200</v>
      </c>
      <c r="E10" s="207">
        <f>26200+39550</f>
        <v>65750</v>
      </c>
      <c r="F10" s="30">
        <f>1500+500</f>
        <v>2000</v>
      </c>
      <c r="G10" s="180">
        <f>34500+26700</f>
        <v>61200</v>
      </c>
      <c r="H10" s="30">
        <v>150</v>
      </c>
      <c r="I10" s="180">
        <f>44900+47050</f>
        <v>91950</v>
      </c>
      <c r="J10" s="30">
        <v>200</v>
      </c>
      <c r="L10" s="42">
        <f t="shared" si="5"/>
        <v>311850</v>
      </c>
      <c r="M10" s="42">
        <f t="shared" si="4"/>
        <v>2550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16550</v>
      </c>
      <c r="D12" s="30">
        <f t="shared" si="0"/>
        <v>0</v>
      </c>
      <c r="E12" s="207">
        <v>2900</v>
      </c>
      <c r="F12" s="30">
        <v>300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19450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14650</v>
      </c>
      <c r="D13" s="30">
        <v>200</v>
      </c>
      <c r="E13" s="207">
        <v>25900</v>
      </c>
      <c r="F13" s="30">
        <v>1100</v>
      </c>
      <c r="G13" s="180">
        <v>8400</v>
      </c>
      <c r="H13" s="30">
        <f t="shared" si="0"/>
        <v>0</v>
      </c>
      <c r="I13" s="180">
        <v>9050</v>
      </c>
      <c r="J13" s="30">
        <v>200</v>
      </c>
      <c r="L13" s="42">
        <f t="shared" si="5"/>
        <v>58000</v>
      </c>
      <c r="M13" s="42">
        <f t="shared" si="4"/>
        <v>1500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18900</v>
      </c>
      <c r="D16" s="30">
        <f t="shared" si="0"/>
        <v>0</v>
      </c>
      <c r="E16" s="207">
        <v>13050</v>
      </c>
      <c r="F16" s="30">
        <v>250</v>
      </c>
      <c r="G16" s="180">
        <v>2700</v>
      </c>
      <c r="H16" s="30">
        <f t="shared" si="0"/>
        <v>0</v>
      </c>
      <c r="I16" s="180">
        <v>13800</v>
      </c>
      <c r="J16" s="30">
        <f t="shared" si="0"/>
        <v>0</v>
      </c>
      <c r="L16" s="42">
        <f t="shared" si="5"/>
        <v>48450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88600</v>
      </c>
      <c r="D17" s="30">
        <f t="shared" si="0"/>
        <v>0</v>
      </c>
      <c r="E17" s="207">
        <v>90900</v>
      </c>
      <c r="F17" s="30">
        <v>1400</v>
      </c>
      <c r="G17" s="180">
        <v>59300</v>
      </c>
      <c r="H17" s="30">
        <v>1650</v>
      </c>
      <c r="I17" s="180">
        <v>123500</v>
      </c>
      <c r="J17" s="30">
        <v>1300</v>
      </c>
      <c r="L17" s="42">
        <f t="shared" si="5"/>
        <v>362300</v>
      </c>
      <c r="M17" s="42">
        <f t="shared" si="4"/>
        <v>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68650</v>
      </c>
      <c r="D18" s="30">
        <v>1000</v>
      </c>
      <c r="E18" s="207">
        <v>65850</v>
      </c>
      <c r="F18" s="30">
        <v>1050</v>
      </c>
      <c r="G18" s="180">
        <v>59200</v>
      </c>
      <c r="H18" s="30">
        <v>1350</v>
      </c>
      <c r="I18" s="180">
        <v>38000</v>
      </c>
      <c r="J18" s="30">
        <v>200</v>
      </c>
      <c r="L18" s="42">
        <f t="shared" si="5"/>
        <v>231700</v>
      </c>
      <c r="M18" s="42">
        <f t="shared" si="4"/>
        <v>3600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410600</v>
      </c>
      <c r="D32" s="44">
        <f t="shared" si="7"/>
        <v>3800</v>
      </c>
      <c r="E32" s="43">
        <f t="shared" si="7"/>
        <v>331700</v>
      </c>
      <c r="F32" s="44">
        <f t="shared" si="7"/>
        <v>6850</v>
      </c>
      <c r="G32" s="43">
        <f t="shared" si="7"/>
        <v>210550</v>
      </c>
      <c r="H32" s="44">
        <f t="shared" si="7"/>
        <v>3250</v>
      </c>
      <c r="I32" s="43">
        <f t="shared" si="7"/>
        <v>337500</v>
      </c>
      <c r="J32" s="44">
        <f t="shared" si="7"/>
        <v>2750</v>
      </c>
      <c r="L32" s="95">
        <f>SUM(L9:L31)</f>
        <v>1031750</v>
      </c>
      <c r="M32" s="95">
        <f>SUM(M9:M31)</f>
        <v>7650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27 Blanca</v>
      </c>
      <c r="D2" s="268"/>
      <c r="E2" s="267" t="str">
        <f>IF(E33=0,"",CONCATENATE(PREMIOS!$B11," ",PREMIOS!$B12))</f>
        <v>86 Roja</v>
      </c>
      <c r="F2" s="268"/>
      <c r="G2" s="267" t="str">
        <f>IF(G33=0,"",CONCATENATE(PREMIOS!$B15," ",PREMIOS!$B16))</f>
        <v>49 Roja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23200+7750</f>
        <v>30950</v>
      </c>
      <c r="D10" s="30">
        <f t="shared" si="0"/>
        <v>0</v>
      </c>
      <c r="E10" s="180">
        <f>29800+11450</f>
        <v>41250</v>
      </c>
      <c r="F10" s="30">
        <f t="shared" si="0"/>
        <v>0</v>
      </c>
      <c r="G10" s="180">
        <f>27800+13000</f>
        <v>40800</v>
      </c>
      <c r="H10" s="30">
        <f t="shared" si="0"/>
        <v>0</v>
      </c>
      <c r="J10" s="42">
        <f t="shared" si="3"/>
        <v>113000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1450</v>
      </c>
      <c r="D12" s="30">
        <f t="shared" si="0"/>
        <v>0</v>
      </c>
      <c r="E12" s="180">
        <v>3100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4550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500</v>
      </c>
      <c r="D16" s="195">
        <f t="shared" si="0"/>
        <v>0</v>
      </c>
      <c r="E16" s="194">
        <v>0</v>
      </c>
      <c r="F16" s="195">
        <f t="shared" si="1"/>
        <v>0</v>
      </c>
      <c r="G16" s="194">
        <v>1000</v>
      </c>
      <c r="H16" s="195">
        <f t="shared" si="0"/>
        <v>0</v>
      </c>
      <c r="J16" s="42">
        <f t="shared" si="3"/>
        <v>1500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19750</v>
      </c>
      <c r="D17" s="30">
        <f t="shared" si="0"/>
        <v>0</v>
      </c>
      <c r="E17" s="180">
        <v>16950</v>
      </c>
      <c r="F17" s="30">
        <f t="shared" si="0"/>
        <v>0</v>
      </c>
      <c r="G17" s="180">
        <v>21800</v>
      </c>
      <c r="H17" s="30">
        <f t="shared" si="0"/>
        <v>0</v>
      </c>
      <c r="J17" s="42">
        <f t="shared" si="3"/>
        <v>58500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19350</v>
      </c>
      <c r="D18" s="30">
        <f t="shared" si="0"/>
        <v>0</v>
      </c>
      <c r="E18" s="180">
        <v>19900</v>
      </c>
      <c r="F18" s="30">
        <f t="shared" si="0"/>
        <v>0</v>
      </c>
      <c r="G18" s="180">
        <v>24950</v>
      </c>
      <c r="H18" s="30">
        <f t="shared" si="0"/>
        <v>0</v>
      </c>
      <c r="J18" s="42">
        <f t="shared" si="3"/>
        <v>64200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72000</v>
      </c>
      <c r="D33" s="44">
        <f t="shared" si="7"/>
        <v>0</v>
      </c>
      <c r="E33" s="43">
        <f t="shared" si="7"/>
        <v>81200</v>
      </c>
      <c r="F33" s="44">
        <f t="shared" si="7"/>
        <v>0</v>
      </c>
      <c r="G33" s="43">
        <f t="shared" si="7"/>
        <v>88550</v>
      </c>
      <c r="H33" s="44">
        <f t="shared" si="7"/>
        <v>0</v>
      </c>
      <c r="J33" s="45">
        <f>SUM(J4:J32)</f>
        <v>241750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P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16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16" ht="21" customHeight="1" x14ac:dyDescent="0.35">
      <c r="C2" s="267" t="str">
        <f>IF(PREMIOS!$B19="","",PREMIOS!$B19)</f>
        <v>06</v>
      </c>
      <c r="D2" s="268"/>
      <c r="E2" s="267">
        <f>IF(PREMIOS!$C19="","",PREMIOS!$C19)</f>
        <v>14</v>
      </c>
      <c r="F2" s="268"/>
    </row>
    <row r="3" spans="1:16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16" x14ac:dyDescent="0.35">
      <c r="A4" s="187">
        <v>1</v>
      </c>
      <c r="B4" s="188" t="str">
        <f>Vendedor1!$B$2</f>
        <v>VENTANA</v>
      </c>
      <c r="C4" s="189">
        <v>13600</v>
      </c>
      <c r="D4" s="78">
        <f t="shared" ref="D4:F27" si="0">IF(C4="","",0)</f>
        <v>0</v>
      </c>
      <c r="E4" s="189">
        <v>1400</v>
      </c>
      <c r="F4" s="78">
        <f t="shared" si="0"/>
        <v>0</v>
      </c>
      <c r="H4" s="42">
        <f>+C4+E4</f>
        <v>15000</v>
      </c>
      <c r="I4" s="42">
        <f>IF(D4="",0,IF(F4="",D4,D4+F4))</f>
        <v>0</v>
      </c>
      <c r="P4">
        <f>SUM(N:N)</f>
        <v>90500</v>
      </c>
    </row>
    <row r="5" spans="1:16" x14ac:dyDescent="0.35">
      <c r="A5" s="47">
        <v>2</v>
      </c>
      <c r="B5" s="178" t="str">
        <f>Vendedor2!$B$2</f>
        <v>PUESTO 2</v>
      </c>
      <c r="C5" s="180">
        <v>12300</v>
      </c>
      <c r="D5" s="30">
        <f t="shared" si="0"/>
        <v>0</v>
      </c>
      <c r="E5" s="180">
        <v>200</v>
      </c>
      <c r="F5" s="30">
        <f t="shared" ref="F5:F27" si="1">IF(E5="","",0)</f>
        <v>0</v>
      </c>
      <c r="H5" s="42">
        <f t="shared" ref="H5:H32" si="2">+C5+E5</f>
        <v>12500</v>
      </c>
      <c r="I5" s="42">
        <f t="shared" ref="I5:I27" si="3">IF(D5="",0,IF(F5="",D5,D5+F5))</f>
        <v>0</v>
      </c>
      <c r="M5" t="s">
        <v>160</v>
      </c>
      <c r="N5">
        <v>40000</v>
      </c>
    </row>
    <row r="6" spans="1:16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16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  <c r="M7" t="s">
        <v>161</v>
      </c>
      <c r="N7">
        <v>30000</v>
      </c>
    </row>
    <row r="8" spans="1:16" x14ac:dyDescent="0.35">
      <c r="A8" s="47">
        <v>5</v>
      </c>
      <c r="B8" s="178" t="str">
        <f>Vendedor5!$B$2</f>
        <v>YOYO</v>
      </c>
      <c r="C8" s="194">
        <v>20700</v>
      </c>
      <c r="D8" s="30">
        <f t="shared" si="0"/>
        <v>0</v>
      </c>
      <c r="E8" s="194">
        <v>22450</v>
      </c>
      <c r="F8" s="195">
        <f t="shared" si="1"/>
        <v>0</v>
      </c>
      <c r="H8" s="42">
        <f t="shared" si="2"/>
        <v>43150</v>
      </c>
      <c r="I8" s="42">
        <f t="shared" si="3"/>
        <v>0</v>
      </c>
      <c r="M8" t="s">
        <v>162</v>
      </c>
      <c r="N8">
        <v>20500</v>
      </c>
    </row>
    <row r="9" spans="1:16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16" x14ac:dyDescent="0.35">
      <c r="A10" s="47">
        <v>7</v>
      </c>
      <c r="B10" s="178" t="str">
        <f>Vendedor7!$B$2</f>
        <v>PIKIS</v>
      </c>
      <c r="C10" s="180">
        <v>57800</v>
      </c>
      <c r="D10" s="30">
        <v>300</v>
      </c>
      <c r="E10" s="180">
        <v>30900</v>
      </c>
      <c r="F10" s="195">
        <f t="shared" si="1"/>
        <v>0</v>
      </c>
      <c r="H10" s="42">
        <f t="shared" si="2"/>
        <v>88700</v>
      </c>
      <c r="I10" s="42">
        <f t="shared" si="3"/>
        <v>300</v>
      </c>
    </row>
    <row r="11" spans="1:16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16" x14ac:dyDescent="0.35">
      <c r="A12" s="47">
        <v>9</v>
      </c>
      <c r="B12" s="178" t="str">
        <f>Vendedor9!$B$2</f>
        <v>JUAN FELIX</v>
      </c>
      <c r="C12" s="194">
        <v>37500</v>
      </c>
      <c r="D12" s="30">
        <v>200</v>
      </c>
      <c r="E12" s="194"/>
      <c r="F12" s="30" t="str">
        <f t="shared" si="0"/>
        <v/>
      </c>
      <c r="H12" s="42">
        <f t="shared" si="2"/>
        <v>37500</v>
      </c>
      <c r="I12" s="42">
        <f t="shared" si="3"/>
        <v>200</v>
      </c>
    </row>
    <row r="13" spans="1:16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16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16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16" x14ac:dyDescent="0.35">
      <c r="A16" s="47">
        <v>13</v>
      </c>
      <c r="B16" s="178" t="str">
        <f>Vendedor13!$B$2</f>
        <v>MINERO</v>
      </c>
      <c r="C16" s="194">
        <v>5200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5200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57600</v>
      </c>
      <c r="D17" s="195">
        <v>550</v>
      </c>
      <c r="E17" s="180">
        <v>73450</v>
      </c>
      <c r="F17" s="30">
        <f t="shared" si="0"/>
        <v>0</v>
      </c>
      <c r="H17" s="42">
        <f t="shared" si="2"/>
        <v>131050</v>
      </c>
      <c r="I17" s="42">
        <f t="shared" si="3"/>
        <v>550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43800</v>
      </c>
      <c r="D18" s="195">
        <v>300</v>
      </c>
      <c r="E18" s="180">
        <v>46550</v>
      </c>
      <c r="F18" s="30">
        <v>450</v>
      </c>
      <c r="H18" s="42">
        <f t="shared" si="2"/>
        <v>90350</v>
      </c>
      <c r="I18" s="42">
        <f t="shared" si="3"/>
        <v>750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248500</v>
      </c>
      <c r="D33" s="44">
        <f>SUM(D4:D32)</f>
        <v>1350</v>
      </c>
      <c r="E33" s="43">
        <f>SUM(E4:E32)</f>
        <v>174950</v>
      </c>
      <c r="F33" s="44">
        <f>SUM(F4:F32)</f>
        <v>450</v>
      </c>
      <c r="H33" s="95">
        <f>SUM(H4:H32)</f>
        <v>423450</v>
      </c>
      <c r="I33" s="95">
        <f>SUM(I4:I32)</f>
        <v>1800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41</v>
      </c>
      <c r="D2" s="268"/>
      <c r="E2" s="267">
        <f>IF(PREMIOS!$C20="","",PREMIOS!$C20)</f>
        <v>76</v>
      </c>
      <c r="F2" s="268"/>
      <c r="G2" s="267">
        <f>IF(PREMIOS!$D20="","",PREMIOS!$D20)</f>
        <v>50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3000+1900</f>
        <v>4900</v>
      </c>
      <c r="D10" s="195">
        <f t="shared" si="0"/>
        <v>0</v>
      </c>
      <c r="E10" s="180">
        <v>600</v>
      </c>
      <c r="F10" s="30">
        <f t="shared" si="0"/>
        <v>0</v>
      </c>
      <c r="G10" s="180">
        <v>950</v>
      </c>
      <c r="H10" s="195">
        <f t="shared" si="0"/>
        <v>0</v>
      </c>
      <c r="J10" s="42">
        <f t="shared" si="3"/>
        <v>6450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22800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22800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2700</v>
      </c>
      <c r="D16" s="195">
        <f t="shared" si="0"/>
        <v>0</v>
      </c>
      <c r="E16" s="194"/>
      <c r="F16" s="195" t="str">
        <f t="shared" si="1"/>
        <v/>
      </c>
      <c r="G16" s="194">
        <v>2000</v>
      </c>
      <c r="H16" s="195">
        <f>IF(G16="","",0)</f>
        <v>0</v>
      </c>
      <c r="J16" s="42">
        <f t="shared" si="3"/>
        <v>4700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40300</v>
      </c>
      <c r="D17" s="195">
        <f t="shared" si="0"/>
        <v>0</v>
      </c>
      <c r="E17" s="194">
        <v>16750</v>
      </c>
      <c r="F17" s="195">
        <f t="shared" si="0"/>
        <v>0</v>
      </c>
      <c r="G17" s="194">
        <v>7150</v>
      </c>
      <c r="H17" s="195">
        <f t="shared" si="2"/>
        <v>0</v>
      </c>
      <c r="J17" s="42">
        <f t="shared" si="3"/>
        <v>64200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21450</v>
      </c>
      <c r="D18" s="195">
        <v>300</v>
      </c>
      <c r="E18" s="180">
        <v>6700</v>
      </c>
      <c r="F18" s="30">
        <f t="shared" si="1"/>
        <v>0</v>
      </c>
      <c r="G18" s="180">
        <v>7800</v>
      </c>
      <c r="H18" s="30">
        <v>150</v>
      </c>
      <c r="J18" s="42">
        <f t="shared" si="3"/>
        <v>35950</v>
      </c>
      <c r="K18" s="42">
        <f t="shared" si="4"/>
        <v>450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92150</v>
      </c>
      <c r="D33" s="44">
        <f t="shared" si="6"/>
        <v>300</v>
      </c>
      <c r="E33" s="43">
        <f t="shared" si="6"/>
        <v>24050</v>
      </c>
      <c r="F33" s="44">
        <f t="shared" si="6"/>
        <v>0</v>
      </c>
      <c r="G33" s="43">
        <f t="shared" si="6"/>
        <v>17900</v>
      </c>
      <c r="H33" s="44">
        <f t="shared" si="6"/>
        <v>150</v>
      </c>
      <c r="J33" s="45">
        <f>SUM(J4:J32)</f>
        <v>134100</v>
      </c>
      <c r="K33" s="95">
        <f>SUM(K4:K32)</f>
        <v>450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92</v>
      </c>
      <c r="D2" s="268"/>
      <c r="E2" s="267">
        <f>IF(PREMIOS!$C21="","",PREMIOS!$C21)</f>
        <v>88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32500</v>
      </c>
      <c r="D10" s="30">
        <f t="shared" si="0"/>
        <v>0</v>
      </c>
      <c r="E10" s="180">
        <v>37500</v>
      </c>
      <c r="F10" s="30">
        <v>1000</v>
      </c>
      <c r="H10" s="42">
        <f t="shared" si="2"/>
        <v>70000</v>
      </c>
      <c r="I10" s="42">
        <f t="shared" si="3"/>
        <v>1000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32500</v>
      </c>
      <c r="D33" s="44">
        <f>SUM(D4:D32)</f>
        <v>0</v>
      </c>
      <c r="E33" s="43">
        <f>SUM(E4:E32)</f>
        <v>37500</v>
      </c>
      <c r="F33" s="44">
        <f>SUM(F4:F32)</f>
        <v>1000</v>
      </c>
      <c r="H33" s="45">
        <f>SUM(H4:H32)</f>
        <v>70000</v>
      </c>
      <c r="I33" s="95">
        <f>SUM(I4:I32)</f>
        <v>1000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2026-05-23T16:19:57Z</dcterms:modified>
  <dc:language>es-CR</dc:language>
</cp:coreProperties>
</file>
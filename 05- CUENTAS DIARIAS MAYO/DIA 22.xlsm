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71" documentId="11_ED2CB150C79F6A4904DFDC2BF4180BD603C1487B" xr6:coauthVersionLast="47" xr6:coauthVersionMax="47" xr10:uidLastSave="{B42FB23B-93D7-4200-9D09-F230ECFFED6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D35" i="60"/>
  <c r="G10" i="62"/>
  <c r="J10" i="61"/>
  <c r="I10" i="61"/>
  <c r="G10" i="60"/>
  <c r="H17" i="60"/>
  <c r="G17" i="60"/>
  <c r="H18" i="60"/>
  <c r="G18" i="60"/>
  <c r="E10" i="62"/>
  <c r="C10" i="62"/>
  <c r="H10" i="61"/>
  <c r="G10" i="61"/>
  <c r="E10" i="61"/>
  <c r="E10" i="60" l="1"/>
  <c r="D10" i="60"/>
  <c r="C10" i="60"/>
  <c r="D17" i="60"/>
  <c r="C17" i="60"/>
  <c r="C18" i="60"/>
  <c r="F17" i="60"/>
  <c r="E17" i="60"/>
  <c r="F18" i="60"/>
  <c r="E18" i="60"/>
  <c r="C10" i="61" l="1"/>
  <c r="D18" i="64" l="1"/>
  <c r="D18" i="65"/>
  <c r="D11" i="65"/>
  <c r="D10" i="65"/>
  <c r="D18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G16" i="71"/>
  <c r="D22" i="15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3" i="60"/>
  <c r="D11" i="60"/>
  <c r="E7" i="16" s="1"/>
  <c r="D9" i="60"/>
  <c r="D7" i="60"/>
  <c r="D4" i="60"/>
  <c r="F18" i="23"/>
  <c r="F14" i="23"/>
  <c r="F10" i="23"/>
  <c r="F6" i="23"/>
  <c r="F6" i="14"/>
  <c r="F10" i="14"/>
  <c r="F14" i="14"/>
  <c r="F18" i="14"/>
  <c r="D10" i="66"/>
  <c r="F8" i="65"/>
  <c r="F10" i="62"/>
  <c r="D5" i="61"/>
  <c r="F16" i="61"/>
  <c r="D6" i="60"/>
  <c r="F16" i="60"/>
  <c r="F15" i="60"/>
  <c r="F11" i="60"/>
  <c r="F9" i="60"/>
  <c r="F8" i="60"/>
  <c r="F7" i="60"/>
  <c r="F6" i="60"/>
  <c r="F5" i="60"/>
  <c r="H16" i="60"/>
  <c r="H15" i="60"/>
  <c r="H14" i="60"/>
  <c r="H12" i="60"/>
  <c r="H10" i="60"/>
  <c r="H9" i="60"/>
  <c r="H7" i="60"/>
  <c r="H6" i="60"/>
  <c r="H4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J8" i="14" l="1"/>
  <c r="D21" i="14"/>
  <c r="C12" i="71"/>
  <c r="D22" i="14"/>
  <c r="G12" i="71"/>
  <c r="E19" i="16"/>
  <c r="D20" i="16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9" i="73"/>
  <c r="F28" i="73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3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I25" i="66" s="1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4" i="66"/>
  <c r="I23" i="66"/>
  <c r="I22" i="66"/>
  <c r="I21" i="66"/>
  <c r="I19" i="66"/>
  <c r="I16" i="66"/>
  <c r="I15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D17" i="72"/>
  <c r="J21" i="70"/>
  <c r="K21" i="70" s="1"/>
  <c r="L22" i="71"/>
  <c r="M22" i="71" s="1"/>
  <c r="K28" i="70"/>
  <c r="L21" i="71"/>
  <c r="M21" i="71" s="1"/>
  <c r="J22" i="71"/>
  <c r="J31" i="71"/>
  <c r="D18" i="72"/>
  <c r="J30" i="71"/>
  <c r="K30" i="71" s="1"/>
  <c r="I15" i="72"/>
  <c r="N15" i="72" s="1"/>
  <c r="H31" i="72"/>
  <c r="I31" i="72" s="1"/>
  <c r="N31" i="72" s="1"/>
  <c r="E27" i="72"/>
  <c r="J32" i="64"/>
  <c r="K20" i="19"/>
  <c r="K9" i="19"/>
  <c r="L9" i="19"/>
  <c r="J29" i="71"/>
  <c r="J21" i="72"/>
  <c r="K21" i="72" s="1"/>
  <c r="J31" i="72"/>
  <c r="K31" i="72" s="1"/>
  <c r="F27" i="72"/>
  <c r="J26" i="71"/>
  <c r="L29" i="71"/>
  <c r="M29" i="71" s="1"/>
  <c r="L7" i="23"/>
  <c r="J22" i="70"/>
  <c r="K22" i="70" s="1"/>
  <c r="D26" i="21"/>
  <c r="J10" i="21"/>
  <c r="C17" i="73"/>
  <c r="F17" i="73" s="1"/>
  <c r="J10" i="8"/>
  <c r="D26" i="19"/>
  <c r="J10" i="19"/>
  <c r="F25" i="19"/>
  <c r="F18" i="72"/>
  <c r="L28" i="71"/>
  <c r="M28" i="71" s="1"/>
  <c r="H23" i="72"/>
  <c r="J30" i="72"/>
  <c r="K30" i="72" s="1"/>
  <c r="J29" i="64"/>
  <c r="H24" i="70"/>
  <c r="L25" i="71"/>
  <c r="M25" i="71" s="1"/>
  <c r="J23" i="72"/>
  <c r="K23" i="72" s="1"/>
  <c r="J7" i="19"/>
  <c r="F16" i="71"/>
  <c r="L16" i="71" s="1"/>
  <c r="M16" i="71" s="1"/>
  <c r="F22" i="15"/>
  <c r="L8" i="15" s="1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G22" i="15"/>
  <c r="K20" i="21"/>
  <c r="K10" i="21"/>
  <c r="K21" i="8"/>
  <c r="K10" i="8"/>
  <c r="L27" i="7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L6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6" i="23" l="1"/>
  <c r="M25" i="52"/>
  <c r="L5" i="23"/>
  <c r="L4" i="23"/>
  <c r="M22" i="52"/>
  <c r="M24" i="52"/>
  <c r="M26" i="52"/>
  <c r="J5" i="23"/>
  <c r="M23" i="52"/>
  <c r="F17" i="52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32" i="61" l="1"/>
  <c r="F32" i="60"/>
  <c r="G32" i="60"/>
  <c r="L6" i="22"/>
  <c r="K5" i="23"/>
  <c r="F32" i="61"/>
  <c r="H32" i="61"/>
  <c r="M27" i="52"/>
  <c r="K6" i="23"/>
  <c r="M19" i="52"/>
  <c r="H32" i="60"/>
  <c r="H33" i="60" s="1"/>
  <c r="E32" i="60"/>
  <c r="J32" i="61"/>
  <c r="L6" i="25"/>
  <c r="L19" i="71"/>
  <c r="M19" i="71" s="1"/>
  <c r="M32" i="71" s="1"/>
  <c r="F8" i="74" s="1"/>
  <c r="K5" i="19"/>
  <c r="K5" i="8"/>
  <c r="D24" i="15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2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4" i="52"/>
  <c r="C3" i="1" s="1"/>
  <c r="B3" i="1"/>
  <c r="K5" i="52"/>
  <c r="C4" i="1" s="1"/>
  <c r="B4" i="1"/>
  <c r="F12" i="14"/>
  <c r="F12" i="19"/>
  <c r="G12" i="19" s="1"/>
  <c r="F12" i="15"/>
  <c r="F12" i="8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<sst xmlns="http://schemas.openxmlformats.org/spreadsheetml/2006/main" count="1293" uniqueCount="159">
  <si>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</si>
  <si>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</si>
  <si>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</si>
  <si>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</si>
  <si>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</si>
  <si>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</si>
  <si>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</si>
  <si>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</si>
  <si>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</si>
  <si>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</si>
  <si>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</si>
  <si>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</si>
  <si>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</si>
  <si>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</si>
  <si>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</si>
  <si>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</si>
  <si>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</si>
  <si>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</si>
  <si>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</si>
  <si>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</si>
  <si>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</si>
  <si>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</si>
  <si>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</si>
  <si>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</si>
  <si>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</si>
  <si>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</si>
  <si>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</si>
  <si>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</si>
  <si>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</si>
  <si>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</si>
  <si>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</si>
  <si>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</si>
  <si>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</si>
  <si>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</si>
  <si>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</si>
  <si>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</si>
  <si>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</si>
  <si>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</si>
  <si>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</si>
  <si>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</si>
  <si>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</si>
  <si>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</si>
  <si>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</si>
  <si>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</si>
  <si>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</si>
  <si>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</si>
  <si>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</si>
  <si>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</si>
  <si>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</si>
  <si>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</si>
  <si>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</si>
  <si>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</si>
  <si>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</si>
  <si>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</si>
  <si>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</si>
  <si>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</si>
  <si>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</si>
  <si>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</si>
  <si>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</si>
  <si>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</si>
  <si>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</si>
  <si>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</si>
  <si>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</si>
  <si>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</si>
  <si>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</si>
  <si>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</si>
  <si>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</si>
  <si>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</si>
  <si>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</si>
  <si>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</si>
  <si>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</si>
  <si>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</si>
  <si>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</si>
  <si>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</si>
  <si>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</si>
  <si>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</si>
  <si>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</si>
  <si>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</si>
  <si>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</si>
  <si>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</si>
  <si>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</si>
  <si>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</si>
  <si>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</si>
  <si>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</si>
  <si>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</si>
  <si>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</si>
  <si>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</si>
  <si>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</si>
  <si>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</si>
  <si>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</si>
  <si>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</si>
  <si>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</si>
  <si>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</si>
  <si>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</si>
  <si>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</si>
  <si>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</si>
  <si>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</si>
  <si>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</si>
  <si>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</si>
  <si>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</si>
  <si>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</si>
  <si>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</si>
  <si>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</si>
  <si>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</si>
  <si>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</si>
  <si>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</si>
  <si>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</si>
  <si>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</si>
  <si>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</si>
  <si>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</si>
  <si>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</si>
  <si>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</si>
  <si>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</si>
  <si>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</si>
  <si>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</si>
  <si>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</si>
  <si>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</si>
  <si>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</si>
  <si>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</si>
  <si>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</si>
  <si>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</si>
  <si>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</si>
  <si>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</si>
  <si>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</si>
  <si>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</si>
  <si>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</si>
  <si>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</si>
  <si>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</si>
  <si>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</si>
  <si>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</si>
  <si>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</si>
  <si>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</si>
  <si>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</si>
  <si>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</si>
  <si>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</si>
  <si>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</si>
  <si>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</si>
  <si>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</si>
  <si>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</si>
  <si>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</si>
  <si>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</si>
  <si>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</si>
  <si>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</si>
  <si>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</si>
  <si>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</si>
  <si>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</si>
  <si>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</si>
  <si>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</si>
  <si>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</si>
  <si>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</si>
  <si>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</si>
  <si>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</si>
  <si>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</si>
  <si>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</si>
  <si>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</si>
  <si>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</si>
  <si>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</si>
  <si>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09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</si>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</sst>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311200</v>
      </c>
      <c r="C3" s="9">
        <f>+HojaTICA!K4+HojaNICA!M4+HojaREVENTADO!K4+HojaPrimera!I4+HojaHonduras!K4+HojaDominicana!I4+HojaPANA!G4</f>
        <v>40500</v>
      </c>
      <c r="D3" s="9">
        <f>+HojaTICA!N4+HojaNICA!P4+HojaREVENTADO!O4+HojaPrimera!L4+HojaHonduras!N4+HojaDominicana!L4+HojaPANA!J4</f>
        <v>178000</v>
      </c>
      <c r="F3" s="10">
        <f t="shared" ref="F3:F27" si="0">+B3-C3-D3</f>
        <v>92700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284000</v>
      </c>
      <c r="C4" s="9">
        <f>+HojaTICA!K5+HojaNICA!M5+HojaREVENTADO!K5+HojaPrimera!I5+HojaHonduras!K5+HojaDominicana!I5+HojaPANA!G5</f>
        <v>36900</v>
      </c>
      <c r="D4" s="9">
        <f>+HojaTICA!N5+HojaNICA!P5+HojaREVENTADO!O5+HojaPrimera!L5+HojaHonduras!N5+HojaDominicana!L5+HojaPANA!J5</f>
        <v>168000</v>
      </c>
      <c r="F4" s="14">
        <f t="shared" si="0"/>
        <v>79100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268700</v>
      </c>
      <c r="C7" s="9">
        <f>+HojaTICA!K8+HojaNICA!M8+HojaREVENTADO!K8+HojaPrimera!I8+HojaHonduras!K8+HojaDominicana!I8+HojaPANA!G8</f>
        <v>32200</v>
      </c>
      <c r="D7" s="9">
        <f>+HojaTICA!N8+HojaNICA!P8+HojaREVENTADO!O8+HojaPrimera!L8+HojaHonduras!N8+HojaDominicana!L8+HojaPANA!J8</f>
        <v>150000</v>
      </c>
      <c r="F7" s="14">
        <f t="shared" si="0"/>
        <v>86500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944550</v>
      </c>
      <c r="C9" s="9">
        <f>+HojaTICA!K10+HojaNICA!M10+HojaREVENTADO!K10+HojaPrimera!I10+HojaHonduras!K10+HojaDominicana!I10+HojaPANA!G10</f>
        <v>111615</v>
      </c>
      <c r="D9" s="9">
        <f>+HojaTICA!N10+HojaNICA!P10+HojaREVENTADO!O10+HojaPrimera!L10+HojaHonduras!N10+HojaDominicana!L10+HojaPANA!J10</f>
        <v>612000</v>
      </c>
      <c r="F9" s="14">
        <f t="shared" si="0"/>
        <v>220935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22500</v>
      </c>
      <c r="C10" s="9">
        <f>+HojaTICA!K11+HojaNICA!M11+HojaREVENTADO!K11+HojaPrimera!I11+HojaHonduras!K11+HojaDominicana!I11+HojaPANA!G11</f>
        <v>2700</v>
      </c>
      <c r="D10" s="9">
        <f>+HojaTICA!N11+HojaNICA!P11+HojaREVENTADO!O11+HojaPrimera!L11+HojaHonduras!N11+HojaDominicana!L11+HojaPANA!J11</f>
        <v>42500</v>
      </c>
      <c r="F10" s="14">
        <f t="shared" si="0"/>
        <v>-22700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227100</v>
      </c>
      <c r="C11" s="9">
        <f>+HojaTICA!K12+HojaNICA!M12+HojaREVENTADO!K12+HojaPrimera!I12+HojaHonduras!K12+HojaDominicana!I12+HojaPANA!G12</f>
        <v>27180</v>
      </c>
      <c r="D11" s="9">
        <f>+HojaTICA!N12+HojaNICA!P12+HojaREVENTADO!O12+HojaPrimera!L12+HojaHonduras!N12+HojaDominicana!L12+HojaPANA!J12</f>
        <v>216750</v>
      </c>
      <c r="F11" s="14">
        <f t="shared" si="0"/>
        <v>-16830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238100</v>
      </c>
      <c r="C12" s="9">
        <f>+HojaTICA!K13+HojaNICA!M13+HojaREVENTADO!K13+HojaPrimera!I13+HojaHonduras!K13+HojaDominicana!I13+HojaPANA!G13</f>
        <v>28550</v>
      </c>
      <c r="D12" s="9">
        <f>+HojaTICA!N13+HojaNICA!P13+HojaREVENTADO!O13+HojaPrimera!L13+HojaHonduras!N13+HojaDominicana!L13+HojaPANA!J13</f>
        <v>144000</v>
      </c>
      <c r="F12" s="14">
        <f t="shared" si="0"/>
        <v>65550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125750</v>
      </c>
      <c r="C13" s="9">
        <f>+HojaTICA!K14+HojaNICA!M14+HojaREVENTADO!K14+HojaPrimera!I14+HojaHonduras!K14+HojaDominicana!I14+HojaPANA!G14</f>
        <v>18850</v>
      </c>
      <c r="D13" s="9">
        <f>+HojaTICA!N14+HojaNICA!P14+HojaREVENTADO!O14+HojaPrimera!L14+HojaHonduras!N14+HojaDominicana!L14+HojaPANA!J14</f>
        <v>120000</v>
      </c>
      <c r="F13" s="14">
        <f t="shared" si="0"/>
        <v>-13100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135250</v>
      </c>
      <c r="C15" s="9">
        <f>+HojaTICA!K16+HojaNICA!M16+HojaREVENTADO!K16+HojaPrimera!I16+HojaHonduras!K16+HojaDominicana!I16+HojaPANA!G16</f>
        <v>16150</v>
      </c>
      <c r="D15" s="9">
        <f>+HojaTICA!N16+HojaNICA!P16+HojaREVENTADO!O16+HojaPrimera!L16+HojaHonduras!N16+HojaDominicana!L16+HojaPANA!J16</f>
        <v>8000</v>
      </c>
      <c r="F15" s="14">
        <f t="shared" si="0"/>
        <v>111100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1452550</v>
      </c>
      <c r="C16" s="9">
        <f>+HojaTICA!K17+HojaNICA!M17+HojaREVENTADO!K17+HojaPrimera!I17+HojaHonduras!K17+HojaDominicana!I17+HojaPANA!G17</f>
        <v>172615</v>
      </c>
      <c r="D16" s="9">
        <f>+HojaTICA!N17+HojaNICA!P17+HojaREVENTADO!O17+HojaPrimera!L17+HojaHonduras!N17+HojaDominicana!L17+HojaPANA!J17</f>
        <v>1538500</v>
      </c>
      <c r="F16" s="14">
        <f t="shared" si="0"/>
        <v>-258565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520350</v>
      </c>
      <c r="C17" s="9">
        <f>+HojaTICA!K18+HojaNICA!M18+HojaREVENTADO!K18+HojaPrimera!I18+HojaHonduras!K18+HojaDominicana!I18+HojaPANA!G18</f>
        <v>61305</v>
      </c>
      <c r="D17" s="9">
        <f>+HojaTICA!N18+HojaNICA!P18+HojaREVENTADO!O18+HojaPrimera!L18+HojaHonduras!N18+HojaDominicana!L18+HojaPANA!J18</f>
        <v>281000</v>
      </c>
      <c r="F17" s="14">
        <f t="shared" si="0"/>
        <v>178045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4530050</v>
      </c>
      <c r="C28" s="17">
        <f t="shared" si="1"/>
        <v>548565</v>
      </c>
      <c r="D28" s="18">
        <f t="shared" si="1"/>
        <v>3458750</v>
      </c>
      <c r="F28" s="20">
        <f>SUM(F3:F27)</f>
        <v>522735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>
        <v>56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>
        <v>56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26</v>
      </c>
      <c r="C19" s="132">
        <v>57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11</v>
      </c>
      <c r="C20" s="163" t="s">
        <v>157</v>
      </c>
      <c r="D20" s="166" t="s">
        <v>158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69</v>
      </c>
      <c r="C21" s="164" t="s">
        <v>157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06</v>
      </c>
      <c r="D2" s="268"/>
      <c r="E2" s="267">
        <f>DigitaTICA!E2</f>
        <v>66</v>
      </c>
      <c r="F2" s="268"/>
      <c r="G2" s="267">
        <f>DigitaTICA!G2</f>
        <v>56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59200</v>
      </c>
      <c r="D4" s="30">
        <f>IF(Vendedor1!$E$7="",0,Vendedor1!$E$7)</f>
        <v>0</v>
      </c>
      <c r="E4" s="180">
        <f>IF(Vendedor1!$C$11="",0,Vendedor1!$C$11)</f>
        <v>37000</v>
      </c>
      <c r="F4" s="30">
        <f>IF(Vendedor1!$E$11="",0,Vendedor1!$E$11)</f>
        <v>2000</v>
      </c>
      <c r="G4" s="180">
        <f>IF(Vendedor1!$C$15="",0,Vendedor1!$C$15)</f>
        <v>129150</v>
      </c>
      <c r="H4" s="30">
        <f>IF(Vendedor1!$E$15="",0,Vendedor1!$E$15)</f>
        <v>0</v>
      </c>
      <c r="J4" s="42">
        <f t="shared" ref="J4:J7" si="0">+C4+E4+G4</f>
        <v>225350</v>
      </c>
      <c r="K4" s="41">
        <f>MROUND(J4*Vendedor1!J$9,50)</f>
        <v>29300</v>
      </c>
      <c r="L4" s="42">
        <f t="shared" ref="L4:L7" si="1">+D4+F4+H4</f>
        <v>2000</v>
      </c>
      <c r="M4" s="42">
        <f t="shared" ref="M4:M7" si="2">+L4*85</f>
        <v>170000</v>
      </c>
      <c r="N4" s="42">
        <f>Vendedor1!$F$7+Vendedor1!$F$11+Vendedor1!$F$15</f>
        <v>170000</v>
      </c>
      <c r="P4" s="42">
        <f t="shared" ref="P4:P7" si="3">+J4-K4-N4</f>
        <v>26050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61200</v>
      </c>
      <c r="D5" s="30">
        <f>IF(Vendedor2!$E$7="",0,Vendedor2!$E$7)</f>
        <v>300</v>
      </c>
      <c r="E5" s="180">
        <f>IF(Vendedor2!$C$11="",0,Vendedor2!$C$11)</f>
        <v>51250</v>
      </c>
      <c r="F5" s="30">
        <f>IF(Vendedor2!$E$11="",0,Vendedor2!$E$11)</f>
        <v>0</v>
      </c>
      <c r="G5" s="180">
        <f>IF(Vendedor2!$C$15="",0,Vendedor2!$C$15)</f>
        <v>95250</v>
      </c>
      <c r="H5" s="30">
        <f>IF(Vendedor2!$E$15="",0,Vendedor2!$E$15)</f>
        <v>500</v>
      </c>
      <c r="J5" s="42">
        <f t="shared" si="0"/>
        <v>207700</v>
      </c>
      <c r="K5" s="41">
        <f>MROUND(J5*Vendedor2!J$9,50)</f>
        <v>27000</v>
      </c>
      <c r="L5" s="42">
        <f t="shared" si="1"/>
        <v>800</v>
      </c>
      <c r="M5" s="42">
        <f t="shared" si="2"/>
        <v>68000</v>
      </c>
      <c r="N5" s="42">
        <f>Vendedor2!$F$7+Vendedor2!$F$11+Vendedor2!$F$15</f>
        <v>68000</v>
      </c>
      <c r="P5" s="42">
        <f t="shared" si="3"/>
        <v>112700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81900</v>
      </c>
      <c r="D8" s="30">
        <f>IF(Vendedor5!$E$7="",0,Vendedor5!$E$7)</f>
        <v>900</v>
      </c>
      <c r="E8" s="180">
        <f>IF(Vendedor5!$C$11="",0,Vendedor5!$C$11)</f>
        <v>16400</v>
      </c>
      <c r="F8" s="30">
        <f>IF(Vendedor5!$E$11="",0,Vendedor5!$E$11)</f>
        <v>0</v>
      </c>
      <c r="G8" s="180">
        <f>IF(Vendedor5!$C$15="",0,Vendedor5!$C$15)</f>
        <v>9800</v>
      </c>
      <c r="H8" s="30">
        <f>IF(Vendedor5!$E$15="",0,Vendedor5!$E$15)</f>
        <v>300</v>
      </c>
      <c r="J8" s="42">
        <f t="shared" ref="J8" si="4">+C8+E8+G8</f>
        <v>108100</v>
      </c>
      <c r="K8" s="41">
        <f>MROUND(J8*Vendedor5!J$11,50)</f>
        <v>12950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-6850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151250</v>
      </c>
      <c r="D10" s="30">
        <f>IF(Vendedor7!$E$7="",0,Vendedor7!$E$7)</f>
        <v>350</v>
      </c>
      <c r="E10" s="180">
        <f>IF(Vendedor7!$C$11="",0,Vendedor7!$C$11)</f>
        <v>148900</v>
      </c>
      <c r="F10" s="30">
        <f>IF(Vendedor7!$E$11="",0,Vendedor7!$E$11)</f>
        <v>2150</v>
      </c>
      <c r="G10" s="180">
        <f>IF(Vendedor7!$C$15="",0,Vendedor7!$C$15)</f>
        <v>143150</v>
      </c>
      <c r="H10" s="30">
        <f>IF(Vendedor7!$E$15="",0,Vendedor7!$E$15)</f>
        <v>0</v>
      </c>
      <c r="J10" s="42">
        <f t="shared" si="8"/>
        <v>443300</v>
      </c>
      <c r="K10" s="41">
        <f>MROUND(J10*Vendedor7!J$14,50)</f>
        <v>53200</v>
      </c>
      <c r="L10" s="42">
        <f t="shared" si="9"/>
        <v>2500</v>
      </c>
      <c r="M10" s="42">
        <f t="shared" si="10"/>
        <v>212500</v>
      </c>
      <c r="N10" s="42">
        <f>Vendedor7!$F$7+Vendedor7!$F$11+Vendedor7!$F$15</f>
        <v>212500</v>
      </c>
      <c r="P10" s="42">
        <f t="shared" si="11"/>
        <v>177600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19500</v>
      </c>
      <c r="H11" s="30">
        <f>IF(Vendedor8!$E$15="",0,Vendedor8!$E$15)</f>
        <v>500</v>
      </c>
      <c r="J11" s="42">
        <f t="shared" si="8"/>
        <v>22500</v>
      </c>
      <c r="K11" s="41">
        <f>MROUND(J11*Vendedor8!J$11,50)</f>
        <v>2700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-22700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50850</v>
      </c>
      <c r="D12" s="30">
        <f>IF(Vendedor9!$E$7="",0,Vendedor9!$E$7)</f>
        <v>250</v>
      </c>
      <c r="E12" s="180">
        <f>IF(Vendedor9!$C$11="",0,Vendedor9!$C$11)</f>
        <v>26700</v>
      </c>
      <c r="F12" s="30">
        <f>IF(Vendedor9!$E$11="",0,Vendedor9!$E$11)</f>
        <v>600</v>
      </c>
      <c r="G12" s="180">
        <f>IF(Vendedor9!$C$15="",0,Vendedor9!$C$15)</f>
        <v>35300</v>
      </c>
      <c r="H12" s="30">
        <f>IF(Vendedor9!$E$15="",0,Vendedor9!$E$15)</f>
        <v>0</v>
      </c>
      <c r="J12" s="42">
        <f t="shared" si="8"/>
        <v>112850</v>
      </c>
      <c r="K12" s="41">
        <f>MROUND(J12*Vendedor9!J$11,50)</f>
        <v>13550</v>
      </c>
      <c r="L12" s="42">
        <f t="shared" si="9"/>
        <v>850</v>
      </c>
      <c r="M12" s="42">
        <f t="shared" si="10"/>
        <v>72250</v>
      </c>
      <c r="N12" s="42">
        <f>Vendedor9!$F$7+Vendedor9!$F$11+Vendedor9!$F$15</f>
        <v>72250</v>
      </c>
      <c r="P12" s="42">
        <f t="shared" si="11"/>
        <v>27050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38800</v>
      </c>
      <c r="D13" s="30">
        <f>IF(Vendedor10!$E$7="",0,Vendedor10!$E$7)</f>
        <v>0</v>
      </c>
      <c r="E13" s="180">
        <f>IF(Vendedor10!$C$11="",0,Vendedor10!$C$11)</f>
        <v>25050</v>
      </c>
      <c r="F13" s="30">
        <f>IF(Vendedor10!$E$11="",0,Vendedor10!$E$11)</f>
        <v>300</v>
      </c>
      <c r="G13" s="180">
        <f>IF(Vendedor10!$C$15="",0,Vendedor10!$C$15)</f>
        <v>89200</v>
      </c>
      <c r="H13" s="30">
        <f>IF(Vendedor10!$E$15="",0,Vendedor10!$E$15)</f>
        <v>1300</v>
      </c>
      <c r="J13" s="42">
        <f t="shared" si="8"/>
        <v>153050</v>
      </c>
      <c r="K13" s="41">
        <f>MROUND(J13*Vendedor10!J$9,50)</f>
        <v>18350</v>
      </c>
      <c r="L13" s="42">
        <f t="shared" si="9"/>
        <v>1600</v>
      </c>
      <c r="M13" s="42">
        <f t="shared" si="10"/>
        <v>136000</v>
      </c>
      <c r="N13" s="42">
        <f>Vendedor10!$F$7+Vendedor10!$F$11+Vendedor10!$F$15</f>
        <v>136000</v>
      </c>
      <c r="P13" s="42">
        <f t="shared" si="11"/>
        <v>-1300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49150</v>
      </c>
      <c r="D14" s="30">
        <f>IF(Vendedor11!$E$7="",0,Vendedor11!$E$7)</f>
        <v>500</v>
      </c>
      <c r="E14" s="180">
        <f>IF(Vendedor11!$C$11="",0,Vendedor11!$C$11)</f>
        <v>32800</v>
      </c>
      <c r="F14" s="30">
        <f>IF(Vendedor11!$E$11="",0,Vendedor11!$E$11)</f>
        <v>1000</v>
      </c>
      <c r="G14" s="180">
        <f>IF(Vendedor11!$C$15="",0,Vendedor11!$C$15)</f>
        <v>43800</v>
      </c>
      <c r="H14" s="30">
        <f>IF(Vendedor11!$E$15="",0,Vendedor11!$E$15)</f>
        <v>0</v>
      </c>
      <c r="J14" s="42">
        <f t="shared" si="8"/>
        <v>125750</v>
      </c>
      <c r="K14" s="41">
        <f>MROUND(J14*Vendedor11!J$9,50)</f>
        <v>18850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-13100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14100</v>
      </c>
      <c r="D16" s="30">
        <f>IF(Vendedor13!$E$7="",0,Vendedor13!$E$7)</f>
        <v>0</v>
      </c>
      <c r="E16" s="180">
        <f>IF(Vendedor13!$C$11="",0,Vendedor13!$C$11)</f>
        <v>19500</v>
      </c>
      <c r="F16" s="30">
        <f>IF(Vendedor13!$E$11="",0,Vendedor13!$E$11)</f>
        <v>0</v>
      </c>
      <c r="G16" s="180">
        <f>IF(Vendedor13!$C$15="",0,Vendedor13!$C$15)</f>
        <v>36850</v>
      </c>
      <c r="H16" s="30">
        <f>IF(Vendedor13!$E$15="",0,Vendedor13!$E$15)</f>
        <v>0</v>
      </c>
      <c r="J16" s="42">
        <f t="shared" si="8"/>
        <v>70450</v>
      </c>
      <c r="K16" s="41">
        <f>MROUND(J16*Vendedor13!J$11,50)</f>
        <v>8450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62000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190450</v>
      </c>
      <c r="D17" s="30">
        <f>IF(Vendedor14!$E$7="",0,Vendedor14!$E$7)</f>
        <v>2450</v>
      </c>
      <c r="E17" s="180">
        <f>IF(Vendedor14!$C$11="",0,Vendedor14!$C$11)</f>
        <v>138050</v>
      </c>
      <c r="F17" s="30">
        <f>IF(Vendedor14!$E$11="",0,Vendedor14!$E$11)</f>
        <v>1250</v>
      </c>
      <c r="G17" s="180">
        <f>IF(Vendedor14!$C$15="",0,Vendedor14!$C$15)</f>
        <v>286200</v>
      </c>
      <c r="H17" s="30">
        <f>IF(Vendedor14!$E$15="",0,Vendedor14!$E$15)</f>
        <v>1450</v>
      </c>
      <c r="J17" s="42">
        <f t="shared" si="8"/>
        <v>614700</v>
      </c>
      <c r="K17" s="41">
        <f>MROUND(J17*Vendedor14!J$15,50)</f>
        <v>73750</v>
      </c>
      <c r="L17" s="42">
        <f t="shared" si="9"/>
        <v>5150</v>
      </c>
      <c r="M17" s="42">
        <f t="shared" si="10"/>
        <v>437750</v>
      </c>
      <c r="N17" s="42">
        <f>Vendedor14!$F$7+Vendedor14!$F$11+Vendedor14!$F$15</f>
        <v>437750</v>
      </c>
      <c r="P17" s="42">
        <f t="shared" si="11"/>
        <v>103200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43300</v>
      </c>
      <c r="D18" s="30">
        <f>IF(Vendedor15!$E$7="",0,Vendedor15!$E$7)</f>
        <v>100</v>
      </c>
      <c r="E18" s="180">
        <f>IF(Vendedor15!$C$11="",0,Vendedor15!$C$11)</f>
        <v>44650</v>
      </c>
      <c r="F18" s="30">
        <f>IF(Vendedor15!$E$11="",0,Vendedor15!$E$11)</f>
        <v>300</v>
      </c>
      <c r="G18" s="180">
        <f>IF(Vendedor15!$C$15="",0,Vendedor15!$C$15)</f>
        <v>74550</v>
      </c>
      <c r="H18" s="30">
        <f>IF(Vendedor15!$E$15="",0,Vendedor15!$E$15)</f>
        <v>200</v>
      </c>
      <c r="J18" s="42">
        <f t="shared" ref="J18" si="12">+C18+E18+G18</f>
        <v>162500</v>
      </c>
      <c r="K18" s="41">
        <f>MROUND(J18*Vendedor15!J$15,50)</f>
        <v>19500</v>
      </c>
      <c r="L18" s="42">
        <f t="shared" ref="L18" si="13">+D18+F18+H18</f>
        <v>600</v>
      </c>
      <c r="M18" s="42">
        <f t="shared" ref="M18" si="14">+L18*85</f>
        <v>51000</v>
      </c>
      <c r="N18" s="42">
        <f>Vendedor15!$F$7+Vendedor15!$F$11+Vendedor15!$F$15</f>
        <v>51000</v>
      </c>
      <c r="P18" s="42">
        <f t="shared" ref="P18" si="15">+J18-K18-N18</f>
        <v>92000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743200</v>
      </c>
      <c r="D32" s="44">
        <f t="shared" si="16"/>
        <v>4850</v>
      </c>
      <c r="E32" s="43">
        <f t="shared" si="16"/>
        <v>540300</v>
      </c>
      <c r="F32" s="44">
        <f t="shared" si="16"/>
        <v>7600</v>
      </c>
      <c r="G32" s="43">
        <f t="shared" si="16"/>
        <v>962750</v>
      </c>
      <c r="H32" s="44">
        <f t="shared" si="16"/>
        <v>4250</v>
      </c>
      <c r="J32" s="95">
        <f>SUM(J4:J31)</f>
        <v>2246250</v>
      </c>
      <c r="K32" s="45">
        <f>SUM(K7:K31)</f>
        <v>221300</v>
      </c>
      <c r="L32" s="95">
        <f>SUM(L4:L31)</f>
        <v>16700</v>
      </c>
      <c r="M32" s="95">
        <f>SUM(M4:M31)</f>
        <v>1419500</v>
      </c>
      <c r="N32" s="95">
        <f>SUM(N4:N31)</f>
        <v>1412000</v>
      </c>
      <c r="P32" s="79">
        <f>SUM(P4:P31)</f>
        <v>556650</v>
      </c>
    </row>
    <row r="33" spans="3:13" x14ac:dyDescent="0.35">
      <c r="D33" s="99">
        <f>+D32*85</f>
        <v>412250</v>
      </c>
      <c r="F33" s="99">
        <f>+F32*85</f>
        <v>646000</v>
      </c>
      <c r="H33" s="99">
        <f>+H32*85</f>
        <v>361250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2246250</v>
      </c>
      <c r="E36" s="43">
        <f>+D36-J4-J5-J6</f>
        <v>1813200</v>
      </c>
      <c r="G36" s="101"/>
    </row>
    <row r="37" spans="3:13" x14ac:dyDescent="0.35">
      <c r="C37" s="47" t="s">
        <v>33</v>
      </c>
      <c r="D37" s="48">
        <f>D36*13%</f>
        <v>292012.5</v>
      </c>
      <c r="E37">
        <f>+D37-K4-K5-K6</f>
        <v>235712.5</v>
      </c>
      <c r="G37" s="100"/>
      <c r="H37" s="100"/>
    </row>
    <row r="38" spans="3:13" ht="15" thickBot="1" x14ac:dyDescent="0.4">
      <c r="C38" s="47" t="s">
        <v>30</v>
      </c>
      <c r="D38" s="30">
        <f>M32</f>
        <v>1419500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534737.5</v>
      </c>
      <c r="F39" s="98">
        <f>+P32-D39</f>
        <v>21912.5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534737.5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56</v>
      </c>
      <c r="D2" s="268"/>
      <c r="E2" s="267">
        <f>DigitaNICA!E2</f>
        <v>57</v>
      </c>
      <c r="F2" s="268"/>
      <c r="G2" s="267">
        <f>DigitaNICA!G2</f>
        <v>74</v>
      </c>
      <c r="H2" s="268"/>
      <c r="I2" s="267">
        <f>DigitaNICA!I2</f>
        <v>10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29800</v>
      </c>
      <c r="D4" s="78">
        <f>IF(Vendedor1!$E$5="",0,Vendedor1!$E$5)</f>
        <v>0</v>
      </c>
      <c r="E4" s="189">
        <f>IF(Vendedor1!$C$9="",0,Vendedor1!$C$9)</f>
        <v>33600</v>
      </c>
      <c r="F4" s="78">
        <f>IF(Vendedor1!$E$9="",0,Vendedor1!$E$9)</f>
        <v>0</v>
      </c>
      <c r="G4" s="189">
        <f>IF(Vendedor1!$C$13="",0,Vendedor1!$C$13)</f>
        <v>5300</v>
      </c>
      <c r="H4" s="78">
        <f>IF(Vendedor1!$E$13="",0,Vendedor1!$E$13)</f>
        <v>0</v>
      </c>
      <c r="I4" s="189">
        <f>IF(Vendedor1!$C$17="",0,Vendedor1!$C$17)</f>
        <v>5000</v>
      </c>
      <c r="J4" s="78">
        <f>IF(Vendedor1!$E$17="",0,Vendedor1!$E$17)</f>
        <v>0</v>
      </c>
      <c r="L4" s="42">
        <f t="shared" ref="L4:L7" si="0">C4+E4+G4+I4</f>
        <v>73700</v>
      </c>
      <c r="M4" s="41">
        <f>MROUND(L4*Vendedor1!J$10,50)</f>
        <v>9600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64100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39150</v>
      </c>
      <c r="D5" s="30">
        <f>IF(Vendedor2!$E$5="",0,Vendedor2!$E$5)</f>
        <v>0</v>
      </c>
      <c r="E5" s="180">
        <f>IF(Vendedor2!$C$9="",0,Vendedor2!$C$9)</f>
        <v>27150</v>
      </c>
      <c r="F5" s="30">
        <f>IF(Vendedor2!$E$9="",0,Vendedor2!$E$9)</f>
        <v>1250</v>
      </c>
      <c r="G5" s="180">
        <f>IF(Vendedor2!$C$13="",0,Vendedor2!$C$13)</f>
        <v>8000</v>
      </c>
      <c r="H5" s="30">
        <f>IF(Vendedor2!$E$13="",0,Vendedor2!$E$13)</f>
        <v>0</v>
      </c>
      <c r="I5" s="180">
        <f>IF(Vendedor2!$C$17="",0,Vendedor2!$C$17)</f>
        <v>2000</v>
      </c>
      <c r="J5" s="30">
        <f>IF(Vendedor2!$E$17="",0,Vendedor2!$E$17)</f>
        <v>0</v>
      </c>
      <c r="L5" s="42">
        <f t="shared" si="0"/>
        <v>76300</v>
      </c>
      <c r="M5" s="41">
        <f>MROUND(L5*Vendedor2!J$10,50)</f>
        <v>9900</v>
      </c>
      <c r="N5" s="42">
        <f t="shared" si="1"/>
        <v>1250</v>
      </c>
      <c r="O5" s="41">
        <f t="shared" ref="O5:O27" si="3">IFERROR(N5*85,0)</f>
        <v>106250</v>
      </c>
      <c r="P5" s="42">
        <f>Vendedor2!$F$5+Vendedor2!$F$9+Vendedor2!$F$13+Vendedor2!$F$17</f>
        <v>100000</v>
      </c>
      <c r="Q5">
        <v>5</v>
      </c>
      <c r="R5" s="41">
        <f t="shared" si="2"/>
        <v>-39850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91350</v>
      </c>
      <c r="D8" s="30">
        <f>IF(Vendedor5!$E$5="",0,Vendedor5!$E$5)</f>
        <v>300</v>
      </c>
      <c r="E8" s="180">
        <f>IF(Vendedor5!$C$9="",0,Vendedor5!$C$9)</f>
        <v>38600</v>
      </c>
      <c r="F8" s="30">
        <f>IF(Vendedor5!$E$9="",0,Vendedor5!$E$9)</f>
        <v>100</v>
      </c>
      <c r="G8" s="180">
        <f>IF(Vendedor5!$C$13="",0,Vendedor5!$C$13)</f>
        <v>7600</v>
      </c>
      <c r="H8" s="30">
        <f>IF(Vendedor5!$E$13="",0,Vendedor5!$E$13)</f>
        <v>0</v>
      </c>
      <c r="I8" s="180">
        <f>IF(Vendedor5!$C$17="",0,Vendedor5!$C$17)</f>
        <v>8000</v>
      </c>
      <c r="J8" s="30">
        <f>IF(Vendedor5!$E$17="",0,Vendedor5!$E$17)</f>
        <v>200</v>
      </c>
      <c r="L8" s="42">
        <f t="shared" ref="L8" si="4">C8+E8+G8+I8</f>
        <v>145550</v>
      </c>
      <c r="M8" s="41">
        <f>MROUND(L8*Vendedor5!J$12,50)</f>
        <v>17450</v>
      </c>
      <c r="N8" s="42">
        <f t="shared" ref="N8" si="5">D8+F8+H8+J8</f>
        <v>600</v>
      </c>
      <c r="O8" s="41">
        <f t="shared" si="3"/>
        <v>51000</v>
      </c>
      <c r="P8" s="42">
        <f>Vendedor5!$F$5+Vendedor5!$F$9+Vendedor5!$F$13+Vendedor5!$F$17</f>
        <v>48000</v>
      </c>
      <c r="Q8">
        <v>17</v>
      </c>
      <c r="R8" s="41">
        <f t="shared" ref="R8" si="6">+L8-M8-O8</f>
        <v>77100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63550</v>
      </c>
      <c r="D10" s="30">
        <f>IF(Vendedor7!$E$5="",0,Vendedor7!$E$5)</f>
        <v>50</v>
      </c>
      <c r="E10" s="180">
        <f>IF(Vendedor7!$C$9="",0,Vendedor7!$C$9)</f>
        <v>89800</v>
      </c>
      <c r="F10" s="30">
        <f>IF(Vendedor7!$E$9="",0,Vendedor7!$E$9)</f>
        <v>300</v>
      </c>
      <c r="G10" s="180">
        <f>IF(Vendedor7!$C$13="",0,Vendedor7!$C$13)</f>
        <v>35150</v>
      </c>
      <c r="H10" s="30">
        <f>IF(Vendedor7!$E$13="",0,Vendedor7!$E$13)</f>
        <v>100</v>
      </c>
      <c r="I10" s="180">
        <f>IF(Vendedor7!$C$17="",0,Vendedor7!$C$17)</f>
        <v>84900</v>
      </c>
      <c r="J10" s="30">
        <f>IF(Vendedor7!$E$17="",0,Vendedor7!$E$17)</f>
        <v>1250</v>
      </c>
      <c r="L10" s="42">
        <f t="shared" si="7"/>
        <v>273400</v>
      </c>
      <c r="M10" s="41">
        <f>MROUND(L10*Vendedor7!J$15,50)</f>
        <v>32800</v>
      </c>
      <c r="N10" s="42">
        <f t="shared" ref="N10:N27" si="9">D10+F10+H10+J10</f>
        <v>1700</v>
      </c>
      <c r="O10" s="41">
        <f t="shared" si="3"/>
        <v>144500</v>
      </c>
      <c r="P10" s="42">
        <f>Vendedor7!$F$5+Vendedor7!$F$9+Vendedor7!$F$13+Vendedor7!$F$17</f>
        <v>144500</v>
      </c>
      <c r="R10" s="41">
        <f t="shared" si="8"/>
        <v>96100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37150</v>
      </c>
      <c r="D12" s="30">
        <f>IF(Vendedor9!$E$5="",0,Vendedor9!$E$5)</f>
        <v>450</v>
      </c>
      <c r="E12" s="180">
        <f>IF(Vendedor9!$C$9="",0,Vendedor9!$C$9)</f>
        <v>24450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61600</v>
      </c>
      <c r="M12" s="41">
        <f>MROUND(L12*Vendedor9!J$12,50)</f>
        <v>7400</v>
      </c>
      <c r="N12" s="42">
        <f t="shared" si="9"/>
        <v>950</v>
      </c>
      <c r="O12" s="41">
        <f t="shared" si="3"/>
        <v>80750</v>
      </c>
      <c r="P12" s="42">
        <f>Vendedor9!$F$5+Vendedor9!$F$9+Vendedor9!$F$13+Vendedor9!$F$17</f>
        <v>80750</v>
      </c>
      <c r="R12" s="41">
        <f t="shared" si="8"/>
        <v>-26550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48650</v>
      </c>
      <c r="D13" s="30">
        <f>IF(Vendedor10!$E$5="",0,Vendedor10!$E$5)</f>
        <v>0</v>
      </c>
      <c r="E13" s="180">
        <f>IF(Vendedor10!$C$9="",0,Vendedor10!$C$9)</f>
        <v>11100</v>
      </c>
      <c r="F13" s="30">
        <f>IF(Vendedor10!$E$9="",0,Vendedor10!$E$9)</f>
        <v>0</v>
      </c>
      <c r="G13" s="180">
        <f>IF(Vendedor10!$C$13="",0,Vendedor10!$C$13)</f>
        <v>20000</v>
      </c>
      <c r="H13" s="30">
        <f>IF(Vendedor10!$E$13="",0,Vendedor10!$E$13)</f>
        <v>0</v>
      </c>
      <c r="I13" s="180">
        <f>IF(Vendedor10!$C$17="",0,Vendedor10!$C$17)</f>
        <v>5300</v>
      </c>
      <c r="J13" s="30">
        <f>IF(Vendedor10!$E$17="",0,Vendedor10!$E$17)</f>
        <v>100</v>
      </c>
      <c r="L13" s="42">
        <f t="shared" si="7"/>
        <v>85050</v>
      </c>
      <c r="M13" s="41">
        <f>MROUND(L13*Vendedor10!J$10,50)</f>
        <v>10200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66350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14900</v>
      </c>
      <c r="D16" s="30">
        <f>IF(Vendedor13!$E$5="",0,Vendedor13!$E$5)</f>
        <v>0</v>
      </c>
      <c r="E16" s="180">
        <f>IF(Vendedor13!$C$9="",0,Vendedor13!$C$9)</f>
        <v>13200</v>
      </c>
      <c r="F16" s="30">
        <f>IF(Vendedor13!$E$9="",0,Vendedor13!$E$9)</f>
        <v>0</v>
      </c>
      <c r="G16" s="180">
        <f>IF(Vendedor13!$C$13="",0,Vendedor13!$C$13)</f>
        <v>14000</v>
      </c>
      <c r="H16" s="30">
        <f>IF(Vendedor13!$E$13="",0,Vendedor13!$E$13)</f>
        <v>0</v>
      </c>
      <c r="I16" s="180">
        <f>IF(Vendedor13!$C$17="",0,Vendedor13!$C$17)</f>
        <v>10800</v>
      </c>
      <c r="J16" s="30">
        <f>IF(Vendedor13!$E$17="",0,Vendedor13!$E$17)</f>
        <v>100</v>
      </c>
      <c r="L16" s="42">
        <f t="shared" si="7"/>
        <v>52900</v>
      </c>
      <c r="M16" s="41">
        <f>MROUND(L16*Vendedor13!J$12,50)</f>
        <v>6350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38050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140450</v>
      </c>
      <c r="D17" s="30">
        <f>IF(Vendedor14!$E$5="",0,Vendedor14!$E$5)</f>
        <v>1800</v>
      </c>
      <c r="E17" s="180">
        <f>IF(Vendedor14!$C$9="",0,Vendedor14!$C$9)</f>
        <v>119250</v>
      </c>
      <c r="F17" s="30">
        <f>IF(Vendedor14!$E$9="",0,Vendedor14!$E$9)</f>
        <v>200</v>
      </c>
      <c r="G17" s="180">
        <f>IF(Vendedor14!$C$13="",0,Vendedor14!$C$13)</f>
        <v>86950</v>
      </c>
      <c r="H17" s="30">
        <f>IF(Vendedor14!$E$13="",0,Vendedor14!$E$13)</f>
        <v>500</v>
      </c>
      <c r="I17" s="180">
        <f>IF(Vendedor14!$C$17="",0,Vendedor14!$C$17)</f>
        <v>193400</v>
      </c>
      <c r="J17" s="30">
        <f>IF(Vendedor14!$E$17="",0,Vendedor14!$E$17)</f>
        <v>9100</v>
      </c>
      <c r="L17" s="42">
        <f>C17+E17+G17+I17</f>
        <v>540050</v>
      </c>
      <c r="M17" s="41">
        <f>MROUND(L17*Vendedor14!J$16,50)</f>
        <v>64800</v>
      </c>
      <c r="N17" s="42">
        <f t="shared" si="9"/>
        <v>11600</v>
      </c>
      <c r="O17" s="41">
        <f t="shared" si="3"/>
        <v>986000</v>
      </c>
      <c r="P17" s="42">
        <f>Vendedor14!$F$5+Vendedor14!$F$9+Vendedor14!$F$13+Vendedor14!$F$17</f>
        <v>986000</v>
      </c>
      <c r="R17" s="41">
        <f t="shared" si="8"/>
        <v>-510750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52750</v>
      </c>
      <c r="D18" s="30">
        <f>IF(Vendedor15!$E$5="",0,Vendedor15!$E$5)</f>
        <v>0</v>
      </c>
      <c r="E18" s="180">
        <f>IF(Vendedor15!$C$9="",0,Vendedor15!$C$9)</f>
        <v>47200</v>
      </c>
      <c r="F18" s="30">
        <f>IF(Vendedor15!$E$9="",0,Vendedor15!$E$9)</f>
        <v>700</v>
      </c>
      <c r="G18" s="180">
        <f>IF(Vendedor15!$C$13="",0,Vendedor15!$C$13)</f>
        <v>35050</v>
      </c>
      <c r="H18" s="30">
        <f>IF(Vendedor15!$E$13="",0,Vendedor15!$E$13)</f>
        <v>0</v>
      </c>
      <c r="I18" s="180">
        <f>IF(Vendedor15!$C$17="",0,Vendedor15!$C$17)</f>
        <v>28200</v>
      </c>
      <c r="J18" s="30">
        <f>IF(Vendedor15!$E$17="",0,Vendedor15!$E$17)</f>
        <v>400</v>
      </c>
      <c r="L18" s="42">
        <f t="shared" ref="L18:L27" si="10">C18+E18+G18+I18</f>
        <v>163200</v>
      </c>
      <c r="M18" s="41">
        <f>MROUND(L18*Vendedor15!J$16,50)</f>
        <v>19600</v>
      </c>
      <c r="N18" s="42">
        <f t="shared" si="9"/>
        <v>1100</v>
      </c>
      <c r="O18" s="41">
        <f t="shared" si="3"/>
        <v>93500</v>
      </c>
      <c r="P18" s="42">
        <f>Vendedor15!$F$5+Vendedor15!$F$9+Vendedor15!$F$13+Vendedor15!$F$17</f>
        <v>93500</v>
      </c>
      <c r="R18" s="41">
        <f t="shared" si="8"/>
        <v>50100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517750</v>
      </c>
      <c r="D32" s="44">
        <f t="shared" si="14"/>
        <v>2600</v>
      </c>
      <c r="E32" s="43">
        <f t="shared" si="14"/>
        <v>404350</v>
      </c>
      <c r="F32" s="44">
        <f t="shared" si="14"/>
        <v>3050</v>
      </c>
      <c r="G32" s="43">
        <f t="shared" si="14"/>
        <v>212050</v>
      </c>
      <c r="H32" s="44">
        <f t="shared" si="14"/>
        <v>600</v>
      </c>
      <c r="I32" s="43">
        <f t="shared" si="14"/>
        <v>337600</v>
      </c>
      <c r="J32" s="44">
        <f t="shared" si="14"/>
        <v>11150</v>
      </c>
      <c r="L32" s="45">
        <f>SUM(L4:L31)</f>
        <v>1471750</v>
      </c>
      <c r="M32" s="45">
        <f>SUM(M7:M31)</f>
        <v>158600</v>
      </c>
      <c r="N32" s="95">
        <f>SUM(N4:N31)</f>
        <v>17400</v>
      </c>
      <c r="O32" s="46">
        <f>SUM(O4:O31)</f>
        <v>1479000</v>
      </c>
      <c r="P32" s="140">
        <f>SUM(P4:P31)</f>
        <v>1468750</v>
      </c>
      <c r="R32" s="79">
        <f>SUM(R4:R31)</f>
        <v>-185350</v>
      </c>
    </row>
    <row r="33" spans="3:15" x14ac:dyDescent="0.35">
      <c r="D33" s="120">
        <f>+D32*85</f>
        <v>221000</v>
      </c>
      <c r="F33" s="120">
        <f>+F32*85</f>
        <v>259250</v>
      </c>
      <c r="H33" s="120">
        <f>+H32*85</f>
        <v>51000</v>
      </c>
      <c r="J33" s="120">
        <f>+J32*85</f>
        <v>947750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1471750</v>
      </c>
      <c r="E36" s="43">
        <f>+D36-L4-L5-L6</f>
        <v>1321750</v>
      </c>
    </row>
    <row r="37" spans="3:15" x14ac:dyDescent="0.35">
      <c r="C37" s="47" t="s">
        <v>33</v>
      </c>
      <c r="D37" s="48">
        <f>D36*13%</f>
        <v>191327.5</v>
      </c>
      <c r="E37">
        <f>+D37-M4-M5-M6</f>
        <v>171827.5</v>
      </c>
    </row>
    <row r="38" spans="3:15" x14ac:dyDescent="0.35">
      <c r="C38" s="47" t="s">
        <v>30</v>
      </c>
      <c r="D38" s="30">
        <f>SUM(O4:O27)</f>
        <v>1479000</v>
      </c>
      <c r="G38" s="100"/>
    </row>
    <row r="39" spans="3:15" ht="15" thickBot="1" x14ac:dyDescent="0.4">
      <c r="C39" s="49" t="s">
        <v>4</v>
      </c>
      <c r="D39" s="80">
        <f>+D36-D37-D38</f>
        <v>-198577.5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-198577.5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06 Blanca</v>
      </c>
      <c r="D2" s="268"/>
      <c r="E2" s="267" t="str">
        <f>IF(E33=0,"",CONCATENATE(PREMIOS!$B11," ",PREMIOS!$B12))</f>
        <v>66 Roja</v>
      </c>
      <c r="F2" s="268"/>
      <c r="G2" s="267" t="str">
        <f>IF(G33=0,"",CONCATENATE(PREMIOS!$B15," ",PREMIOS!$B16))</f>
        <v>56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19550</v>
      </c>
      <c r="D10" s="30">
        <f>IF(Vendedor7!$E$8="",0,Vendedor7!$E$8)</f>
        <v>0</v>
      </c>
      <c r="E10" s="180">
        <f>IF(Vendedor7!$C$12="",0,Vendedor7!$C$12)</f>
        <v>34200</v>
      </c>
      <c r="F10" s="30">
        <f>IF(Vendedor7!$E$12="",0,Vendedor7!$E$12)</f>
        <v>0</v>
      </c>
      <c r="G10" s="180">
        <f>IF(Vendedor7!$C$16="",0,Vendedor7!$C$16)</f>
        <v>33400</v>
      </c>
      <c r="H10" s="30">
        <f>IF(Vendedor7!$E$16="",0,Vendedor7!$E$16)</f>
        <v>0</v>
      </c>
      <c r="J10" s="42">
        <f t="shared" si="1"/>
        <v>87150</v>
      </c>
      <c r="K10" s="41">
        <f>J10*Vendedor7!J$16</f>
        <v>8715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78435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2200</v>
      </c>
      <c r="D12" s="30">
        <f>IF(Vendedor9!$E$8="",0,Vendedor9!$E$8)</f>
        <v>0</v>
      </c>
      <c r="E12" s="180">
        <f>IF(Vendedor9!$C$12="",0,Vendedor9!$C$12)</f>
        <v>600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2800</v>
      </c>
      <c r="K12" s="41">
        <f>J12*Vendedor9!J$13</f>
        <v>280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2520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33250</v>
      </c>
      <c r="D17" s="30">
        <f>IF(Vendedor14!$E$8="",0,Vendedor14!$E$8)</f>
        <v>200</v>
      </c>
      <c r="E17" s="180">
        <f>IF(Vendedor14!$C$12="",0,Vendedor14!$C$12)</f>
        <v>16900</v>
      </c>
      <c r="F17" s="30">
        <f>IF(Vendedor14!$E$12="",0,Vendedor14!$E$12)</f>
        <v>0</v>
      </c>
      <c r="G17" s="180">
        <f>IF(Vendedor14!$C$16="",0,Vendedor14!$C$16)</f>
        <v>34500</v>
      </c>
      <c r="H17" s="30">
        <f>IF(Vendedor14!$E$16="",0,Vendedor14!$E$16)</f>
        <v>100</v>
      </c>
      <c r="J17" s="42">
        <f t="shared" si="1"/>
        <v>84650</v>
      </c>
      <c r="K17" s="41">
        <f>J17*Vendedor14!J$17</f>
        <v>8465</v>
      </c>
      <c r="L17" s="42">
        <f t="shared" si="2"/>
        <v>0</v>
      </c>
      <c r="M17" s="42">
        <f t="shared" si="3"/>
        <v>300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76185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15300</v>
      </c>
      <c r="D18" s="30">
        <f>IF(Vendedor15!$E$8="",0,Vendedor15!$E$8)</f>
        <v>100</v>
      </c>
      <c r="E18" s="180">
        <f>IF(Vendedor15!$C$12="",0,Vendedor15!$C$12)</f>
        <v>15050</v>
      </c>
      <c r="F18" s="30">
        <f>IF(Vendedor15!$E$12="",0,Vendedor15!$E$12)</f>
        <v>300</v>
      </c>
      <c r="G18" s="180">
        <f>IF(Vendedor15!$C$16="",0,Vendedor15!$C$16)</f>
        <v>27700</v>
      </c>
      <c r="H18" s="30">
        <f>IF(Vendedor15!$E$16="",0,Vendedor15!$E$16)</f>
        <v>100</v>
      </c>
      <c r="J18" s="42">
        <f t="shared" ref="J18" si="5">+C18+E18+G18</f>
        <v>58050</v>
      </c>
      <c r="K18" s="41">
        <f>J18*Vendedor15!J$17</f>
        <v>5805</v>
      </c>
      <c r="L18" s="42">
        <f t="shared" si="2"/>
        <v>300</v>
      </c>
      <c r="M18" s="42">
        <f t="shared" si="3"/>
        <v>500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-7755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71800</v>
      </c>
      <c r="D33" s="44">
        <f>IF(PREMIOS!E8&lt;&gt;0,SUM(D4:D32),0)</f>
        <v>0</v>
      </c>
      <c r="E33" s="43">
        <f>SUM(E4:E32)</f>
        <v>66750</v>
      </c>
      <c r="F33" s="44">
        <f>IF(PREMIOS!E12&lt;&gt;0,SUM(F4:F32),0)</f>
        <v>300</v>
      </c>
      <c r="G33" s="43">
        <f>SUM(G4:G32)</f>
        <v>96600</v>
      </c>
      <c r="H33" s="44">
        <f>IF(PREMIOS!E16&lt;&gt;0,SUM(H4:H32),0)</f>
        <v>0</v>
      </c>
      <c r="J33" s="45">
        <f>SUM(J4:J32)</f>
        <v>235150</v>
      </c>
      <c r="K33" s="45">
        <f>SUM(K7:K32)</f>
        <v>23515</v>
      </c>
      <c r="L33" s="95">
        <f>SUM(L7:L32)</f>
        <v>300</v>
      </c>
      <c r="M33" s="95">
        <f>SUM(M7:M32)</f>
        <v>800</v>
      </c>
      <c r="N33" s="95">
        <f>SUM(N4:N27)</f>
        <v>66000</v>
      </c>
      <c r="O33" s="95">
        <f>SUM(O4:O27)</f>
        <v>60000</v>
      </c>
      <c r="Q33" s="79">
        <f>SUM(Q4:Q32)</f>
        <v>151635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66000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235150</v>
      </c>
      <c r="E37" s="43">
        <f>+D37-J4-J5-J6</f>
        <v>235150</v>
      </c>
      <c r="F37" s="275"/>
      <c r="G37" s="275"/>
    </row>
    <row r="38" spans="3:17" ht="15" thickBot="1" x14ac:dyDescent="0.4">
      <c r="C38" s="47" t="s">
        <v>33</v>
      </c>
      <c r="D38" s="30">
        <f>D37*10%</f>
        <v>23515</v>
      </c>
      <c r="E38" s="43">
        <f>+D38-K4-K5-K6</f>
        <v>23515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0">
        <f>+D37-D38-D39</f>
        <v>145635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145635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26</v>
      </c>
      <c r="D2" s="268"/>
      <c r="E2" s="267">
        <f>DigitaPRIMERA!E2</f>
        <v>57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10150</v>
      </c>
      <c r="D4" s="78">
        <f>IF(Vendedor1!$E$19="",0,Vendedor1!$E$19)</f>
        <v>100</v>
      </c>
      <c r="E4" s="189">
        <f>IF(Vendedor1!$C$20="",0,Vendedor1!$C$20)</f>
        <v>2000</v>
      </c>
      <c r="F4" s="78">
        <f>IF(Vendedor1!$E$20="",0,Vendedor1!$E$20)</f>
        <v>0</v>
      </c>
      <c r="H4" s="42">
        <f>+C4+E4</f>
        <v>12150</v>
      </c>
      <c r="I4" s="41">
        <f>MROUND(H4*Vendedor1!J$9,50)</f>
        <v>1600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2550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11450</v>
      </c>
      <c r="D8" s="30">
        <f>IF(Vendedor5!$E$19="",0,Vendedor5!$E$19)</f>
        <v>0</v>
      </c>
      <c r="E8" s="180">
        <f>IF(Vendedor5!$C$20="",0,Vendedor5!$C$20)</f>
        <v>3600</v>
      </c>
      <c r="F8" s="30">
        <f>IF(Vendedor5!$E$20="",0,Vendedor5!$E$20)</f>
        <v>0</v>
      </c>
      <c r="H8" s="133">
        <f t="shared" si="1"/>
        <v>15050</v>
      </c>
      <c r="I8" s="148">
        <f>MROUND(H8*Vendedor5!J$11,50)</f>
        <v>1800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13250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16400</v>
      </c>
      <c r="D10" s="30">
        <f>IF(Vendedor7!$E$19="",0,Vendedor7!$E$19)</f>
        <v>0</v>
      </c>
      <c r="E10" s="180">
        <f>IF(Vendedor7!$C$20="",0,Vendedor7!$C$20)</f>
        <v>15600</v>
      </c>
      <c r="F10" s="30">
        <f>IF(Vendedor7!$E$20="",0,Vendedor7!$E$20)</f>
        <v>0</v>
      </c>
      <c r="H10" s="42">
        <f t="shared" si="1"/>
        <v>32000</v>
      </c>
      <c r="I10" s="41">
        <f>MROUND(H10*Vendedor7!J$14,50)</f>
        <v>3850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28150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40600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40600</v>
      </c>
      <c r="I12" s="148">
        <f>MROUND(H12*Vendedor9!J$11,50)</f>
        <v>4850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-11000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8800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8800</v>
      </c>
      <c r="I16" s="148">
        <f>MROUND(H16*Vendedor13!J$11,50)</f>
        <v>1050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7750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84050</v>
      </c>
      <c r="D17" s="30">
        <f>IF(Vendedor14!$E$19="",0,Vendedor14!$E$19)</f>
        <v>100</v>
      </c>
      <c r="E17" s="180">
        <f>IF(Vendedor14!$C$20="",0,Vendedor14!$C$20)</f>
        <v>54950</v>
      </c>
      <c r="F17" s="30">
        <f>IF(Vendedor14!$E$20="",0,Vendedor14!$E$20)</f>
        <v>150</v>
      </c>
      <c r="H17" s="42">
        <f t="shared" si="1"/>
        <v>139000</v>
      </c>
      <c r="I17" s="41">
        <f>MROUND(H17*Vendedor14!J$15,50)</f>
        <v>16700</v>
      </c>
      <c r="J17" s="42">
        <f t="shared" si="2"/>
        <v>250</v>
      </c>
      <c r="K17" s="42">
        <f t="shared" si="3"/>
        <v>21250</v>
      </c>
      <c r="L17" s="42">
        <f>Vendedor14!$F$19+Vendedor14!$F$20</f>
        <v>21250</v>
      </c>
      <c r="N17" s="42">
        <f t="shared" si="0"/>
        <v>101050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51700</v>
      </c>
      <c r="D18" s="30">
        <f>IF(Vendedor15!$E$19="",0,Vendedor15!$E$19)</f>
        <v>0</v>
      </c>
      <c r="E18" s="180">
        <f>IF(Vendedor15!$C$20="",0,Vendedor15!$C$20)</f>
        <v>46300</v>
      </c>
      <c r="F18" s="30">
        <f>IF(Vendedor15!$E$20="",0,Vendedor15!$E$20)</f>
        <v>700</v>
      </c>
      <c r="H18" s="42">
        <f t="shared" si="1"/>
        <v>98000</v>
      </c>
      <c r="I18" s="41">
        <f>MROUND(H18*Vendedor15!J$15,50)</f>
        <v>11750</v>
      </c>
      <c r="J18" s="42">
        <f t="shared" si="2"/>
        <v>700</v>
      </c>
      <c r="K18" s="42">
        <f t="shared" si="3"/>
        <v>59500</v>
      </c>
      <c r="L18" s="42">
        <f>Vendedor15!$F$19+Vendedor15!$F$20</f>
        <v>59500</v>
      </c>
      <c r="N18" s="42">
        <f t="shared" si="0"/>
        <v>26750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223150</v>
      </c>
      <c r="D32" s="44">
        <f>SUM(D4:D31)</f>
        <v>750</v>
      </c>
      <c r="E32" s="43">
        <f>SUM(E4:E31)</f>
        <v>122450</v>
      </c>
      <c r="F32" s="44">
        <f>SUM(F4:F31)</f>
        <v>850</v>
      </c>
      <c r="H32" s="95">
        <f>SUM(H4:H31)</f>
        <v>345600</v>
      </c>
      <c r="I32" s="45">
        <f>SUM(I7:I31)</f>
        <v>40000</v>
      </c>
      <c r="J32" s="95"/>
      <c r="K32" s="95">
        <f>SUM(K4:K31)</f>
        <v>136000</v>
      </c>
      <c r="L32" s="95">
        <f>SUM(L4:L31)</f>
        <v>135500</v>
      </c>
      <c r="N32" s="79">
        <f>SUM(N4:N31)</f>
        <v>168500</v>
      </c>
    </row>
    <row r="33" spans="3:6" x14ac:dyDescent="0.35">
      <c r="D33" s="99">
        <f>+D32*85</f>
        <v>63750</v>
      </c>
      <c r="F33" s="99">
        <f>+F32*85</f>
        <v>72250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345600</v>
      </c>
      <c r="E36" s="43">
        <f>+D36-H4-H5-H6</f>
        <v>333450</v>
      </c>
    </row>
    <row r="37" spans="3:6" x14ac:dyDescent="0.35">
      <c r="C37" s="47" t="s">
        <v>33</v>
      </c>
      <c r="D37" s="48">
        <f>D36*13%</f>
        <v>44928</v>
      </c>
      <c r="E37">
        <f>+D37-I4-I5-I6</f>
        <v>43328</v>
      </c>
    </row>
    <row r="38" spans="3:6" ht="15" thickBot="1" x14ac:dyDescent="0.4">
      <c r="C38" s="47" t="s">
        <v>30</v>
      </c>
      <c r="D38" s="30">
        <f>SUM(K4:K27)</f>
        <v>136000</v>
      </c>
    </row>
    <row r="39" spans="3:6" ht="15" thickBot="1" x14ac:dyDescent="0.4">
      <c r="C39" s="49" t="s">
        <v>4</v>
      </c>
      <c r="D39" s="80">
        <f>+D36-D37-D38</f>
        <v>164672</v>
      </c>
      <c r="F39" s="98">
        <f>+N32-D39</f>
        <v>3828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164672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11</v>
      </c>
      <c r="D2" s="268"/>
      <c r="E2" s="267" t="str">
        <f>DigitaHONDURAS!E2</f>
        <v>09</v>
      </c>
      <c r="F2" s="268"/>
      <c r="G2" s="267" t="str">
        <f>DigitaHONDURAS!G2</f>
        <v>00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9300</v>
      </c>
      <c r="D10" s="30">
        <f>IF(Vendedor7!$E$21="",0,Vendedor7!$E$21)</f>
        <v>500</v>
      </c>
      <c r="E10" s="180">
        <f>IF(Vendedor7!$C$22="",0,Vendedor7!$C$22)</f>
        <v>2000</v>
      </c>
      <c r="F10" s="30">
        <f>IF(Vendedor7!$E$22="",0,Vendedor7!$E$22)</f>
        <v>0</v>
      </c>
      <c r="G10" s="180">
        <f>IF(Vendedor7!$C$23="",0,Vendedor7!$C$23)</f>
        <v>6900</v>
      </c>
      <c r="H10" s="30">
        <f>IF(Vendedor7!$E$23="",0,Vendedor7!$E$23)</f>
        <v>2500</v>
      </c>
      <c r="J10" s="42">
        <f t="shared" si="0"/>
        <v>18200</v>
      </c>
      <c r="K10" s="41">
        <f>MROUND(J10*Vendedor7!J$14,50)</f>
        <v>2200</v>
      </c>
      <c r="L10" s="42">
        <f t="shared" si="1"/>
        <v>3000</v>
      </c>
      <c r="M10" s="42">
        <f t="shared" si="3"/>
        <v>255000</v>
      </c>
      <c r="N10" s="42">
        <f>Vendedor7!$F$21+Vendedor7!$F$22+Vendedor7!$F$23</f>
        <v>255000</v>
      </c>
      <c r="P10" s="42">
        <f t="shared" si="2"/>
        <v>-239000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9250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9250</v>
      </c>
      <c r="K12" s="41">
        <f>MROUND(J12*Vendedor9!J$14,50)</f>
        <v>1100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-8850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600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600</v>
      </c>
      <c r="K16" s="148">
        <f>MROUND(J16*Vendedor13!J$11,50)</f>
        <v>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550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33550</v>
      </c>
      <c r="D17" s="30">
        <f>IF(Vendedor14!$E$21="",0,Vendedor14!$E$21)</f>
        <v>550</v>
      </c>
      <c r="E17" s="180">
        <f>IF(Vendedor14!$C$22="",0,Vendedor14!$C$22)</f>
        <v>18400</v>
      </c>
      <c r="F17" s="30">
        <f>IF(Vendedor14!$E$22="",0,Vendedor14!$E$22)</f>
        <v>550</v>
      </c>
      <c r="G17" s="180">
        <f>IF(Vendedor14!$C$23="",0,Vendedor14!$C$23)</f>
        <v>22200</v>
      </c>
      <c r="H17" s="30">
        <f>IF(Vendedor14!$E$23="",0,Vendedor14!$E$23)</f>
        <v>0</v>
      </c>
      <c r="J17" s="42">
        <f t="shared" si="0"/>
        <v>74150</v>
      </c>
      <c r="K17" s="41">
        <f>MROUND(J17*Vendedor14!J$15,50)</f>
        <v>8900</v>
      </c>
      <c r="L17" s="42">
        <f t="shared" si="1"/>
        <v>1100</v>
      </c>
      <c r="M17" s="42">
        <f t="shared" si="3"/>
        <v>93500</v>
      </c>
      <c r="N17" s="42">
        <f>Vendedor14!$F$21+Vendedor14!$F$22+Vendedor14!$F$23</f>
        <v>93500</v>
      </c>
      <c r="P17" s="42">
        <f t="shared" si="2"/>
        <v>-28250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21200</v>
      </c>
      <c r="D18" s="30">
        <f>IF(Vendedor15!$E$21="",0,Vendedor15!$E$21)</f>
        <v>0</v>
      </c>
      <c r="E18" s="180">
        <f>IF(Vendedor15!$C$22="",0,Vendedor15!$C$22)</f>
        <v>12400</v>
      </c>
      <c r="F18" s="30">
        <f>IF(Vendedor15!$E$22="",0,Vendedor15!$E$22)</f>
        <v>200</v>
      </c>
      <c r="G18" s="180">
        <f>IF(Vendedor15!$C$23="",0,Vendedor15!$C$23)</f>
        <v>5000</v>
      </c>
      <c r="H18" s="30">
        <f>IF(Vendedor15!$E$23="",0,Vendedor15!$E$23)</f>
        <v>0</v>
      </c>
      <c r="J18" s="42">
        <f t="shared" si="0"/>
        <v>38600</v>
      </c>
      <c r="K18" s="41">
        <f>MROUND(J18*Vendedor15!J$15,50)</f>
        <v>4650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16950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73300</v>
      </c>
      <c r="D32" s="44">
        <f t="shared" si="8"/>
        <v>1250</v>
      </c>
      <c r="E32" s="43">
        <f t="shared" si="8"/>
        <v>33400</v>
      </c>
      <c r="F32" s="44">
        <f t="shared" si="8"/>
        <v>750</v>
      </c>
      <c r="G32" s="43">
        <f t="shared" si="8"/>
        <v>34100</v>
      </c>
      <c r="H32" s="44">
        <f t="shared" si="8"/>
        <v>2500</v>
      </c>
      <c r="J32" s="95">
        <f>SUM(J4:J31)</f>
        <v>140800</v>
      </c>
      <c r="K32" s="45">
        <f>SUM(K7:K31)</f>
        <v>16900</v>
      </c>
      <c r="L32" s="95"/>
      <c r="M32" s="95">
        <f>SUM(M4:M31)</f>
        <v>382500</v>
      </c>
      <c r="N32" s="95">
        <f>SUM(N4:N31)</f>
        <v>382500</v>
      </c>
      <c r="P32" s="79">
        <f>SUM(P4:P31)</f>
        <v>-258600</v>
      </c>
    </row>
    <row r="33" spans="3:8" x14ac:dyDescent="0.35">
      <c r="D33" s="99">
        <f>+D32*85</f>
        <v>106250</v>
      </c>
      <c r="F33" s="99">
        <f>+F32*85</f>
        <v>63750</v>
      </c>
      <c r="H33" s="99">
        <f>+H32*85</f>
        <v>212500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140800</v>
      </c>
      <c r="E36" s="43">
        <f>+D36-J4-J5-J6</f>
        <v>140800</v>
      </c>
    </row>
    <row r="37" spans="3:8" x14ac:dyDescent="0.35">
      <c r="C37" s="47" t="s">
        <v>33</v>
      </c>
      <c r="D37" s="48">
        <f>D36*13%</f>
        <v>18304</v>
      </c>
      <c r="E37">
        <f>+D37-K4-K5-K6</f>
        <v>18304</v>
      </c>
    </row>
    <row r="38" spans="3:8" ht="15" thickBot="1" x14ac:dyDescent="0.4">
      <c r="C38" s="47" t="s">
        <v>30</v>
      </c>
      <c r="D38" s="30">
        <f>SUM(M4:M27)</f>
        <v>382500</v>
      </c>
      <c r="G38" s="100"/>
    </row>
    <row r="39" spans="3:8" ht="15" thickBot="1" x14ac:dyDescent="0.4">
      <c r="C39" s="49" t="s">
        <v>4</v>
      </c>
      <c r="D39" s="80">
        <f>+D36-D37-D38</f>
        <v>-260004</v>
      </c>
      <c r="F39" s="98">
        <f>+P32-D39</f>
        <v>1404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-260004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69</v>
      </c>
      <c r="D2" s="268"/>
      <c r="E2" s="267" t="str">
        <f>DigitaDOMINICANA!E2</f>
        <v>09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42000</v>
      </c>
      <c r="D10" s="30">
        <f>IF(Vendedor7!$E$24="",0,Vendedor7!$E$24)</f>
        <v>0</v>
      </c>
      <c r="E10" s="180">
        <f>IF(Vendedor7!$C$25="",0,Vendedor7!$C$25)</f>
        <v>48500</v>
      </c>
      <c r="F10" s="30">
        <f>IF(Vendedor7!$E$25="",0,Vendedor7!$E$25)</f>
        <v>0</v>
      </c>
      <c r="H10" s="42">
        <f t="shared" si="1"/>
        <v>90500</v>
      </c>
      <c r="I10" s="41">
        <f>MROUND(H10*Vendedor7!J$14,50)</f>
        <v>10850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79650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42000</v>
      </c>
      <c r="D32" s="44">
        <f>SUM(D4:D31)</f>
        <v>0</v>
      </c>
      <c r="E32" s="43">
        <f>SUM(E4:E31)</f>
        <v>48500</v>
      </c>
      <c r="F32" s="44">
        <f>SUM(F4:F31)</f>
        <v>0</v>
      </c>
      <c r="H32" s="95">
        <f>SUM(H4:H31)</f>
        <v>90500</v>
      </c>
      <c r="I32" s="45">
        <f>SUM(I7:I31)</f>
        <v>10850</v>
      </c>
      <c r="J32" s="95"/>
      <c r="K32" s="95">
        <f>SUM(K4:K31)</f>
        <v>0</v>
      </c>
      <c r="L32" s="95">
        <f>SUM(L4:L31)</f>
        <v>0</v>
      </c>
      <c r="N32" s="79">
        <f>SUM(N4:N31)</f>
        <v>79650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90500</v>
      </c>
      <c r="E36" s="43">
        <f>+D36-H4-H5-H6</f>
        <v>90500</v>
      </c>
    </row>
    <row r="37" spans="3:6" x14ac:dyDescent="0.35">
      <c r="C37" s="47" t="s">
        <v>33</v>
      </c>
      <c r="D37" s="48">
        <f>D36*13%</f>
        <v>11765</v>
      </c>
      <c r="E37">
        <f>+D37-I4-I5-I6</f>
        <v>11765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78735</v>
      </c>
      <c r="F39" s="98">
        <f>+N32-D39</f>
        <v>915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78735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1321750</v>
      </c>
      <c r="C4" s="157">
        <f>HojaNICA!M32</f>
        <v>158600</v>
      </c>
      <c r="D4" s="150">
        <f>HojaNICA!E37</f>
        <v>171827.5</v>
      </c>
      <c r="E4" s="150">
        <f>HojaNICA!P32</f>
        <v>1468750</v>
      </c>
      <c r="F4" s="150">
        <f>HojaNICA!O32</f>
        <v>1479000</v>
      </c>
      <c r="G4" s="151">
        <f t="shared" ref="G4:G10" si="0">+D4-C4+F4-E4</f>
        <v>23477.5</v>
      </c>
      <c r="H4" s="21"/>
      <c r="I4" s="182"/>
    </row>
    <row r="5" spans="1:9" x14ac:dyDescent="0.35">
      <c r="A5" s="28" t="s">
        <v>19</v>
      </c>
      <c r="B5" s="156">
        <f>HojaTICA!$E$36</f>
        <v>1813200</v>
      </c>
      <c r="C5" s="157">
        <f>HojaTICA!K32</f>
        <v>221300</v>
      </c>
      <c r="D5" s="150">
        <f>HojaTICA!E37</f>
        <v>235712.5</v>
      </c>
      <c r="E5" s="150">
        <f>HojaTICA!N32</f>
        <v>1412000</v>
      </c>
      <c r="F5" s="150">
        <f>HojaTICA!D38</f>
        <v>1419500</v>
      </c>
      <c r="G5" s="151">
        <f t="shared" si="0"/>
        <v>21912.5</v>
      </c>
      <c r="H5" s="21"/>
      <c r="I5" s="182"/>
    </row>
    <row r="6" spans="1:9" x14ac:dyDescent="0.35">
      <c r="A6" s="28" t="s">
        <v>125</v>
      </c>
      <c r="B6" s="156">
        <f>HojaREVENTADO!$E$37</f>
        <v>235150</v>
      </c>
      <c r="C6" s="157">
        <f>HojaREVENTADO!K33</f>
        <v>23515</v>
      </c>
      <c r="D6" s="150">
        <f>HojaREVENTADO!E38</f>
        <v>23515</v>
      </c>
      <c r="E6" s="150">
        <f>HojaREVENTADO!O33</f>
        <v>60000</v>
      </c>
      <c r="F6" s="150">
        <f>HojaREVENTADO!N33</f>
        <v>66000</v>
      </c>
      <c r="G6" s="151">
        <f t="shared" si="0"/>
        <v>6000</v>
      </c>
      <c r="H6" s="21"/>
      <c r="I6" s="182"/>
    </row>
    <row r="7" spans="1:9" x14ac:dyDescent="0.35">
      <c r="A7" s="28" t="s">
        <v>96</v>
      </c>
      <c r="B7" s="156">
        <f>HojaPrimera!$E$36</f>
        <v>333450</v>
      </c>
      <c r="C7" s="157">
        <f>HojaPrimera!I32</f>
        <v>40000</v>
      </c>
      <c r="D7" s="150">
        <f>HojaPrimera!E37</f>
        <v>43328</v>
      </c>
      <c r="E7" s="150">
        <f>HojaPrimera!L32</f>
        <v>135500</v>
      </c>
      <c r="F7" s="150">
        <f>HojaPrimera!K32</f>
        <v>136000</v>
      </c>
      <c r="G7" s="151">
        <f t="shared" si="0"/>
        <v>3828</v>
      </c>
      <c r="H7" s="21"/>
      <c r="I7" s="21"/>
    </row>
    <row r="8" spans="1:9" x14ac:dyDescent="0.35">
      <c r="A8" s="28" t="s">
        <v>104</v>
      </c>
      <c r="B8" s="156">
        <f>HojaHonduras!$E$36</f>
        <v>140800</v>
      </c>
      <c r="C8" s="157">
        <f>HojaHonduras!K32</f>
        <v>16900</v>
      </c>
      <c r="D8" s="150">
        <f>HojaHonduras!E37</f>
        <v>18304</v>
      </c>
      <c r="E8" s="150">
        <f>HojaHonduras!N32</f>
        <v>382500</v>
      </c>
      <c r="F8" s="150">
        <f>HojaHonduras!M32</f>
        <v>382500</v>
      </c>
      <c r="G8" s="151">
        <f t="shared" si="0"/>
        <v>1404</v>
      </c>
      <c r="H8" s="21"/>
      <c r="I8" s="21"/>
    </row>
    <row r="9" spans="1:9" x14ac:dyDescent="0.35">
      <c r="A9" s="28" t="s">
        <v>20</v>
      </c>
      <c r="B9" s="156">
        <f>HojaDominicana!$E$36</f>
        <v>90500</v>
      </c>
      <c r="C9" s="157">
        <f>HojaDominicana!I32</f>
        <v>10850</v>
      </c>
      <c r="D9" s="150">
        <f>HojaDominicana!E37</f>
        <v>11765</v>
      </c>
      <c r="E9" s="150">
        <f>HojaDominicana!L32</f>
        <v>0</v>
      </c>
      <c r="F9" s="150">
        <f>HojaDominicana!K32</f>
        <v>0</v>
      </c>
      <c r="G9" s="151">
        <f t="shared" si="0"/>
        <v>915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3934850</v>
      </c>
      <c r="C11" s="175">
        <f>SUM(C4:C10)</f>
        <v>471165</v>
      </c>
      <c r="D11" s="175">
        <f t="shared" ref="D11:F11" si="1">SUM(D4:D10)</f>
        <v>504452</v>
      </c>
      <c r="E11" s="175">
        <f t="shared" si="1"/>
        <v>3458750</v>
      </c>
      <c r="F11" s="175">
        <f t="shared" si="1"/>
        <v>3483000</v>
      </c>
      <c r="G11" s="176">
        <f>SUM(G4:G10)</f>
        <v>57537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22537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311200</v>
      </c>
      <c r="E16" s="157">
        <f>+Vendedor1!D21</f>
        <v>40456</v>
      </c>
      <c r="F16" s="158">
        <f>IF(D16&lt;&gt;0,15000,0)</f>
        <v>15000</v>
      </c>
      <c r="G16" s="151">
        <f>+E16-F16</f>
        <v>25456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284000</v>
      </c>
      <c r="E17" s="157">
        <f>+Vendedor2!D21</f>
        <v>36920</v>
      </c>
      <c r="F17" s="158">
        <f>IF(D17&lt;&gt;0,15000,0)</f>
        <v>15000</v>
      </c>
      <c r="G17" s="151">
        <f>+E17-F17</f>
        <v>21920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595200</v>
      </c>
      <c r="E19" s="159">
        <f>SUM(E16:E18)</f>
        <v>77376</v>
      </c>
      <c r="F19" s="160">
        <f>SUM(F16:F18)</f>
        <v>30000</v>
      </c>
      <c r="G19" s="161">
        <f>SUM(G16:G18)</f>
        <v>47376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69913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1471750</v>
      </c>
      <c r="C5" s="150">
        <f>HojaNICA!D37</f>
        <v>191327.5</v>
      </c>
      <c r="D5" s="150">
        <f>HojaNICA!D38</f>
        <v>1479000</v>
      </c>
      <c r="E5" s="150"/>
      <c r="F5" s="151">
        <f>+B5-C5-D5+E5</f>
        <v>-198577.5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2246250</v>
      </c>
      <c r="C6" s="150">
        <f>HojaTICA!D37</f>
        <v>292012.5</v>
      </c>
      <c r="D6" s="150">
        <f>HojaTICA!D38</f>
        <v>1419500</v>
      </c>
      <c r="E6" s="150"/>
      <c r="F6" s="151">
        <f t="shared" ref="F6:F11" si="0">+B6-C6-D6+E6</f>
        <v>534737.5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235150</v>
      </c>
      <c r="C7" s="150">
        <f>HojaREVENTADO!D38</f>
        <v>23515</v>
      </c>
      <c r="D7" s="150">
        <f>HojaREVENTADO!D39</f>
        <v>66000</v>
      </c>
      <c r="E7" s="150"/>
      <c r="F7" s="151">
        <f t="shared" si="0"/>
        <v>145635</v>
      </c>
    </row>
    <row r="8" spans="1:15" x14ac:dyDescent="0.35">
      <c r="A8" s="47" t="s">
        <v>96</v>
      </c>
      <c r="B8" s="150">
        <f>HojaPrimera!$D36</f>
        <v>345600</v>
      </c>
      <c r="C8" s="150">
        <f>HojaPrimera!$D37</f>
        <v>44928</v>
      </c>
      <c r="D8" s="150">
        <f>HojaPrimera!$D38</f>
        <v>136000</v>
      </c>
      <c r="E8" s="150"/>
      <c r="F8" s="151">
        <f t="shared" si="0"/>
        <v>164672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140800</v>
      </c>
      <c r="C9" s="150">
        <f>HojaHonduras!$D37</f>
        <v>18304</v>
      </c>
      <c r="D9" s="150">
        <f>HojaHonduras!$D38</f>
        <v>382500</v>
      </c>
      <c r="E9" s="150"/>
      <c r="F9" s="151">
        <f t="shared" si="0"/>
        <v>-260004</v>
      </c>
      <c r="H9" s="250">
        <f>+K12-K10-H6</f>
        <v>465198</v>
      </c>
    </row>
    <row r="10" spans="1:15" ht="15" thickBot="1" x14ac:dyDescent="0.4">
      <c r="A10" s="47" t="s">
        <v>20</v>
      </c>
      <c r="B10" s="150">
        <f>HojaDominicana!$D36</f>
        <v>90500</v>
      </c>
      <c r="C10" s="150">
        <f>HojaDominicana!$D37</f>
        <v>11765</v>
      </c>
      <c r="D10" s="150">
        <f>HojaDominicana!$D38</f>
        <v>0</v>
      </c>
      <c r="E10" s="150"/>
      <c r="F10" s="151">
        <f t="shared" si="0"/>
        <v>78735</v>
      </c>
      <c r="H10" s="154"/>
      <c r="J10" t="s">
        <v>148</v>
      </c>
      <c r="K10" s="252">
        <v>2292166.2100000004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151</v>
      </c>
      <c r="J11" t="s">
        <v>155</v>
      </c>
      <c r="K11" s="253">
        <f>+K10+F12+H6</f>
        <v>2757364.2100000004</v>
      </c>
    </row>
    <row r="12" spans="1:15" ht="16" thickBot="1" x14ac:dyDescent="0.4">
      <c r="A12" s="144" t="s">
        <v>5</v>
      </c>
      <c r="B12" s="152">
        <f>SUM(B5:B11)</f>
        <v>4530050</v>
      </c>
      <c r="C12" s="152">
        <f>SUM(C5:C11)</f>
        <v>581852</v>
      </c>
      <c r="D12" s="152">
        <f>SUM(D5:D11)</f>
        <v>3483000</v>
      </c>
      <c r="E12" s="152"/>
      <c r="F12" s="255">
        <f>SUM(F5:F11)</f>
        <v>465198</v>
      </c>
      <c r="H12" s="251">
        <f>K12</f>
        <v>2757364.2100000004</v>
      </c>
      <c r="J12" t="s">
        <v>140</v>
      </c>
      <c r="K12" s="254">
        <f>-3340762.01+3120108.74+1464729.5+1513287.98</f>
        <v>2757364.2100000004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225350</v>
      </c>
      <c r="K4" s="231">
        <f t="shared" ref="K4" si="0">D7+D11+D15</f>
        <v>29295.5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IF(DigitaNICA!C4&lt;&gt;"",DigitaNICA!C4,"")</f>
        <v>29800</v>
      </c>
      <c r="D5" s="42">
        <f>IF(C5="",0,C5*J$10)</f>
        <v>3874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25926</v>
      </c>
      <c r="I5" s="241" t="s">
        <v>37</v>
      </c>
      <c r="J5" s="221">
        <f>SUM(IF(C5="",0,C5),IF(C9="",0,C9),IF(C13="",0,C13),IF(C17="",0,C17))</f>
        <v>73700</v>
      </c>
      <c r="K5" s="225">
        <f t="shared" ref="K5" si="2">D5+D9+D13+D17</f>
        <v>9581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12150</v>
      </c>
      <c r="K6" s="228">
        <f>D19+D20</f>
        <v>1579.5</v>
      </c>
      <c r="L6" s="229">
        <f>F19+F20</f>
        <v>8000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IF(DigitaTICA!C4&lt;&gt;"",DigitaTICA!C4,"")</f>
        <v>59200</v>
      </c>
      <c r="D7" s="42">
        <f>IF(C7="",0,C7*J$9)</f>
        <v>7696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51504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IF(DigitaNICA!E4&lt;&gt;"",DigitaNICA!E4,"")</f>
        <v>33600</v>
      </c>
      <c r="D9" s="42">
        <f>IF(C9="",0,C9*J$10)</f>
        <v>4368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29232</v>
      </c>
      <c r="I9" s="76" t="s">
        <v>36</v>
      </c>
      <c r="J9" s="77">
        <v>0.13</v>
      </c>
      <c r="K9" s="78">
        <f>MROUND(D7+D11+D15,50)</f>
        <v>29300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9600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IF(DigitaTICA!E4&lt;&gt;"",DigitaTICA!E4,"")</f>
        <v>37000</v>
      </c>
      <c r="D11" s="42">
        <f>IF(C11="",0,C11*J$9)</f>
        <v>4810</v>
      </c>
      <c r="E11" s="29">
        <f>IF(DigitaTICA!F4&lt;&gt;"",DigitaTICA!F4,"")</f>
        <v>2000</v>
      </c>
      <c r="F11" s="42">
        <f>IF(E11="",0,E11*PREMIOS!F11)</f>
        <v>170000</v>
      </c>
      <c r="G11" s="30">
        <f t="shared" si="1"/>
        <v>-137810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1600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IF(DigitaNICA!G4&lt;&gt;"",DigitaNICA!G4,"")</f>
        <v>5300</v>
      </c>
      <c r="D13" s="42">
        <f>IF(C13="",0,C13*J$10)</f>
        <v>689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4611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IF(DigitaTICA!G4&lt;&gt;"",DigitaTICA!G4,"")</f>
        <v>129150</v>
      </c>
      <c r="D15" s="42">
        <f>IF(C15="",0,C15*J$9)</f>
        <v>16789.5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112360.5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IF(DigitaNICA!I4&lt;&gt;"",DigitaNICA!I4,"")</f>
        <v>5000</v>
      </c>
      <c r="D17" s="42">
        <f>IF(C17="",0,C17*J$10)</f>
        <v>650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>
        <f>IF(DigitaPRIMERA!C4&lt;&gt;"",DigitaPRIMERA!C4,"")</f>
        <v>10150</v>
      </c>
      <c r="D19" s="42">
        <f>IF(C19="",0,C19*J$12)</f>
        <v>1319.5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830.5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>
        <f>IF(DigitaPRIMERA!E4&lt;&gt;"",DigitaPRIMERA!E4,"")</f>
        <v>2000</v>
      </c>
      <c r="D20" s="42">
        <f>IF(C20="",0,C20*J$12)</f>
        <v>260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1740</v>
      </c>
    </row>
    <row r="21" spans="1:7" ht="15" thickBot="1" x14ac:dyDescent="0.4">
      <c r="A21" s="121" t="s">
        <v>5</v>
      </c>
      <c r="B21" s="128"/>
      <c r="C21" s="122">
        <f>SUM(C5:C20)</f>
        <v>311200</v>
      </c>
      <c r="D21" s="122">
        <f t="shared" ref="D21:G21" si="6">SUM(D5:D20)</f>
        <v>40456</v>
      </c>
      <c r="E21" s="122">
        <f t="shared" si="6"/>
        <v>2100</v>
      </c>
      <c r="F21" s="122">
        <f t="shared" si="6"/>
        <v>178000</v>
      </c>
      <c r="G21" s="123">
        <f t="shared" si="6"/>
        <v>92744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207700</v>
      </c>
      <c r="K4" s="231">
        <f t="shared" ref="K4" si="0">D7+D11+D15</f>
        <v>27001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IF(DigitaNICA!C5&lt;&gt;"",DigitaNICA!C5,"")</f>
        <v>39150</v>
      </c>
      <c r="D5" s="42">
        <f>IF(C5="",0,C5*J$10)</f>
        <v>5089.5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34060.5</v>
      </c>
      <c r="I5" s="241" t="s">
        <v>37</v>
      </c>
      <c r="J5" s="221">
        <f>SUM(IF(C5="",0,C5),IF(C9="",0,C9),IF(C13="",0,C13),IF(C17="",0,C17))</f>
        <v>76300</v>
      </c>
      <c r="K5" s="225">
        <f t="shared" ref="K5" si="2">D5+D9+D13+D17</f>
        <v>9919</v>
      </c>
      <c r="L5" s="222">
        <f>F5+F9+F13+F17</f>
        <v>100000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IF(DigitaTICA!C5&lt;&gt;"",DigitaTICA!C5,"")</f>
        <v>61200</v>
      </c>
      <c r="D7" s="42">
        <f>IF(C7="",0,C7*J$9)</f>
        <v>7956</v>
      </c>
      <c r="E7" s="29">
        <f>IF(DigitaTICA!D5&lt;&gt;"",DigitaTICA!D5,"")</f>
        <v>300</v>
      </c>
      <c r="F7" s="42">
        <f>IF(E7="",0,E7*PREMIOS!F7)</f>
        <v>25500</v>
      </c>
      <c r="G7" s="30">
        <f t="shared" si="1"/>
        <v>27744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IF(DigitaNICA!E5&lt;&gt;"",DigitaNICA!E5,"")</f>
        <v>27150</v>
      </c>
      <c r="D9" s="42">
        <f>IF(C9="",0,C9*J$10)</f>
        <v>3529.5</v>
      </c>
      <c r="E9" s="29">
        <f>IF(DigitaNICA!F5&lt;&gt;"",DigitaNICA!F5,"")</f>
        <v>1250</v>
      </c>
      <c r="F9" s="42">
        <f>IF(E9="",0,E9*PREMIOS!E9)</f>
        <v>100000</v>
      </c>
      <c r="G9" s="30">
        <f t="shared" si="1"/>
        <v>-76379.5</v>
      </c>
      <c r="I9" s="60" t="s">
        <v>36</v>
      </c>
      <c r="J9" s="61">
        <v>0.13</v>
      </c>
      <c r="K9" s="62">
        <f>MROUND(D7+D11+D15,50)</f>
        <v>27000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9900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IF(DigitaTICA!E5&lt;&gt;"",DigitaTICA!E5,"")</f>
        <v>51250</v>
      </c>
      <c r="D11" s="42">
        <f>IF(C11="",0,C11*J$9)</f>
        <v>6662.5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44587.5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IF(DigitaNICA!G5&lt;&gt;"",DigitaNICA!G5,"")</f>
        <v>8000</v>
      </c>
      <c r="D13" s="42">
        <f>IF(C13="",0,C13*J$10)</f>
        <v>1040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6960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IF(DigitaTICA!G5&lt;&gt;"",DigitaTICA!G5,"")</f>
        <v>95250</v>
      </c>
      <c r="D15" s="42">
        <f>IF(C15="",0,C15*J$9)</f>
        <v>12382.5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40367.5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IF(DigitaNICA!I5&lt;&gt;"",DigitaNICA!I5,"")</f>
        <v>2000</v>
      </c>
      <c r="D17" s="42">
        <f>IF(C17="",0,C17*J$10)</f>
        <v>260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284000</v>
      </c>
      <c r="D21" s="68">
        <f t="shared" ref="D21:G21" si="4">SUM(D5:D20)</f>
        <v>36920</v>
      </c>
      <c r="E21" s="68">
        <f t="shared" si="4"/>
        <v>2050</v>
      </c>
      <c r="F21" s="68">
        <f t="shared" si="4"/>
        <v>168000</v>
      </c>
      <c r="G21" s="88">
        <f t="shared" si="4"/>
        <v>79080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149</v>
      </c>
      <c r="C2" s="280"/>
      <c r="D2" s="281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108100</v>
      </c>
      <c r="K4" s="231">
        <f t="shared" ref="K4" si="0">D7+D11+D15</f>
        <v>12972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IF(DigitaNICA!C8&lt;&gt;"",DigitaNICA!C8,"")</f>
        <v>91350</v>
      </c>
      <c r="D5" s="42">
        <f>IF(C5="",0,C5*J$12)</f>
        <v>10962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56388</v>
      </c>
      <c r="I5" s="241" t="s">
        <v>37</v>
      </c>
      <c r="J5" s="221">
        <f>SUM(IF(C5="",0,C5),IF(C9="",0,C9),IF(C13="",0,C13),IF(C17="",0,C17))</f>
        <v>145550</v>
      </c>
      <c r="K5" s="225">
        <f t="shared" ref="K5" si="2">D5+D9+D13+D17</f>
        <v>17466</v>
      </c>
      <c r="L5" s="222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IF(DigitaTICA!C8&lt;&gt;"",DigitaTICA!C8,"")</f>
        <v>81900</v>
      </c>
      <c r="D7" s="42">
        <f>IF(C7="",0,C7*J$11)</f>
        <v>9828</v>
      </c>
      <c r="E7" s="29">
        <f>IF(DigitaTICA!D8&lt;&gt;"",DigitaTICA!D8,"")</f>
        <v>900</v>
      </c>
      <c r="F7" s="42">
        <f>IF(E7="",0,E7*PREMIOS!F7)</f>
        <v>76500</v>
      </c>
      <c r="G7" s="30">
        <f t="shared" si="1"/>
        <v>-4428</v>
      </c>
      <c r="I7" s="242" t="s">
        <v>96</v>
      </c>
      <c r="J7" s="224">
        <f>SUM(IF(C19="",0,C19),IF(C20="",0,C20))</f>
        <v>15050</v>
      </c>
      <c r="K7" s="228">
        <f>+D19+D20</f>
        <v>1806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IF(DigitaNICA!E8&lt;&gt;"",DigitaNICA!E8,"")</f>
        <v>38600</v>
      </c>
      <c r="D9" s="42">
        <f>IF(C9="",0,C9*J$12)</f>
        <v>4632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25968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IF(DigitaTICA!E8&lt;&gt;"",DigitaTICA!E8,"")</f>
        <v>16400</v>
      </c>
      <c r="D11" s="42">
        <f>IF(C11="",0,C11*J$11)</f>
        <v>1968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14432</v>
      </c>
      <c r="I11" s="60" t="s">
        <v>36</v>
      </c>
      <c r="J11" s="61">
        <v>0.12</v>
      </c>
      <c r="K11" s="62">
        <f>MROUND(D7+D11+D15,50)</f>
        <v>12950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17450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IF(DigitaNICA!G8&lt;&gt;"",DigitaNICA!G8,"")</f>
        <v>7600</v>
      </c>
      <c r="D13" s="42">
        <f>IF(C13="",0,C13*J$12)</f>
        <v>912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6688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1800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IF(DigitaTICA!G8&lt;&gt;"",DigitaTICA!G8,"")</f>
        <v>9800</v>
      </c>
      <c r="D15" s="42">
        <f>IF(C15="",0,C15*J$11)</f>
        <v>1176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-16876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IF(DigitaNICA!I8&lt;&gt;"",DigitaNICA!I8,"")</f>
        <v>8000</v>
      </c>
      <c r="D17" s="42">
        <f>IF(C17="",0,C17*J$12)</f>
        <v>960</v>
      </c>
      <c r="E17" s="29">
        <f>IF(DigitaNICA!J8&lt;&gt;"",DigitaNICA!J8,"")</f>
        <v>200</v>
      </c>
      <c r="F17" s="42">
        <f>IF(E17="",0,E17*PREMIOS!E17)</f>
        <v>16000</v>
      </c>
      <c r="G17" s="30">
        <f t="shared" si="4"/>
        <v>-8960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>
        <f>IF(DigitaPRIMERA!C8&lt;&gt;"",DigitaPRIMERA!C8,"")</f>
        <v>11450</v>
      </c>
      <c r="D19" s="42">
        <f>IF(C19="",0,C19*J$14)</f>
        <v>1374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10076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>
        <f>IF(DigitaPRIMERA!E8&lt;&gt;"",DigitaPRIMERA!E8,"")</f>
        <v>3600</v>
      </c>
      <c r="D20" s="42">
        <f>IF(C20="",0,C20*J$14)</f>
        <v>432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3168</v>
      </c>
    </row>
    <row r="21" spans="1:7" ht="15" thickBot="1" x14ac:dyDescent="0.4">
      <c r="A21" s="121" t="s">
        <v>5</v>
      </c>
      <c r="B21" s="128"/>
      <c r="C21" s="122">
        <f>SUM(C5:C20)</f>
        <v>268700</v>
      </c>
      <c r="D21" s="122">
        <f t="shared" ref="D21:G21" si="5">SUM(D5:D20)</f>
        <v>32244</v>
      </c>
      <c r="E21" s="122">
        <f t="shared" si="5"/>
        <v>1800</v>
      </c>
      <c r="F21" s="122">
        <f t="shared" si="5"/>
        <v>150000</v>
      </c>
      <c r="G21" s="123">
        <f t="shared" si="5"/>
        <v>86456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443300</v>
      </c>
      <c r="K4" s="231">
        <f t="shared" ref="K4" si="0">D7+D11+D15</f>
        <v>53196</v>
      </c>
      <c r="L4" s="220">
        <f>F7+F11+F15</f>
        <v>212500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IF(DigitaNICA!C10&lt;&gt;"",DigitaNICA!C10,"")</f>
        <v>63550</v>
      </c>
      <c r="D5" s="42">
        <f>IF(C5="",0,C5*J$15)</f>
        <v>7626</v>
      </c>
      <c r="E5" s="29">
        <f>IF(DigitaNICA!D10&lt;&gt;"",DigitaNICA!D10,"")</f>
        <v>50</v>
      </c>
      <c r="F5" s="42">
        <f>IF(E5="",0,E5*PREMIOS!F5)</f>
        <v>4250</v>
      </c>
      <c r="G5" s="30">
        <f t="shared" ref="G5:G12" si="1">IF(OR(C5="",E5=""),0,C5-D5-F5)</f>
        <v>51674</v>
      </c>
      <c r="I5" s="217" t="s">
        <v>37</v>
      </c>
      <c r="J5" s="221">
        <f>SUM(IF(C5="",0,C5),IF(C9="",0,C9),IF(C13="",0,C13),IF(C17="",0,C17))</f>
        <v>273400</v>
      </c>
      <c r="K5" s="225">
        <f t="shared" ref="K5" si="2">D5+D9+D13+D17</f>
        <v>32808</v>
      </c>
      <c r="L5" s="222">
        <f>F5+F9+F13+F17</f>
        <v>144500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87150</v>
      </c>
      <c r="K6" s="226">
        <f t="shared" ref="K6" si="3">+D8+D12+D16</f>
        <v>8715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29">
        <f>IF(DigitaTICA!C10&lt;&gt;"",DigitaTICA!C10,"")</f>
        <v>151250</v>
      </c>
      <c r="D7" s="42">
        <f>IF(C7="",0,C7*J$14)</f>
        <v>18150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103350</v>
      </c>
      <c r="I7" s="217" t="s">
        <v>96</v>
      </c>
      <c r="J7" s="223">
        <f>SUM(IF(C19="",0,C19),IF(C20="",0,C20))</f>
        <v>32000</v>
      </c>
      <c r="K7" s="226">
        <f>+D19+D20</f>
        <v>3840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19550</v>
      </c>
      <c r="D8" s="42">
        <f>IF(C8="",0,C8*J$16)</f>
        <v>1955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17595</v>
      </c>
      <c r="I8" s="217" t="s">
        <v>104</v>
      </c>
      <c r="J8" s="223">
        <f>SUM(IF(C21="",0,C21),IF(C22="",0,C22),IF(C23="",0,C23))</f>
        <v>18200</v>
      </c>
      <c r="K8" s="226">
        <f t="shared" ref="K8" si="4">D21+D22+D23</f>
        <v>2184</v>
      </c>
      <c r="L8" s="227">
        <f>F21+F22+F23</f>
        <v>255000</v>
      </c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IF(DigitaNICA!E10&lt;&gt;"",DigitaNICA!E10,"")</f>
        <v>89800</v>
      </c>
      <c r="D9" s="42">
        <f>IF(C9="",0,C9*J$15)</f>
        <v>10776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53524</v>
      </c>
      <c r="I9" s="217" t="s">
        <v>20</v>
      </c>
      <c r="J9" s="223">
        <f>SUM(IF(C24="",0,C24),IF(C25="",0,C25))</f>
        <v>90500</v>
      </c>
      <c r="K9" s="226">
        <f t="shared" ref="K9" si="5">+D24+D25</f>
        <v>10860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IF(DigitaTICA!E10&lt;&gt;"",DigitaTICA!E10,"")</f>
        <v>148900</v>
      </c>
      <c r="D11" s="42">
        <f>IF(C11="",0,C11*J$14)</f>
        <v>17868</v>
      </c>
      <c r="E11" s="29">
        <f>IF(DigitaTICA!F10&lt;&gt;"",DigitaTICA!F10,"")</f>
        <v>2150</v>
      </c>
      <c r="F11" s="42">
        <f>IF(E11="",0,E11*PREMIOS!F11)</f>
        <v>182750</v>
      </c>
      <c r="G11" s="30">
        <f t="shared" si="1"/>
        <v>-51718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34200</v>
      </c>
      <c r="D12" s="42">
        <f>IF(C12="",0,C12*J$16)</f>
        <v>3420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30780</v>
      </c>
    </row>
    <row r="13" spans="1:12" ht="15" thickBot="1" x14ac:dyDescent="0.4">
      <c r="A13" s="28" t="s">
        <v>50</v>
      </c>
      <c r="B13" s="132">
        <f>IF(DigitaNICA!G2&lt;&gt;"",DigitaNICA!G2,"")</f>
        <v>74</v>
      </c>
      <c r="C13" s="29">
        <f>IF(DigitaNICA!G10&lt;&gt;"",DigitaNICA!G10,"")</f>
        <v>35150</v>
      </c>
      <c r="D13" s="42">
        <f>IF(C13="",0,C13*J$15)</f>
        <v>4218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22432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53200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IF(DigitaTICA!G10&lt;&gt;"",DigitaTICA!G10,"")</f>
        <v>143150</v>
      </c>
      <c r="D15" s="42">
        <f>IF(C15="",0,C15*J$14)</f>
        <v>17178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125972</v>
      </c>
      <c r="I15" s="63" t="s">
        <v>37</v>
      </c>
      <c r="J15" s="64">
        <v>0.12</v>
      </c>
      <c r="K15" s="30">
        <f>MROUND(D5+D9+D13+D17,50)</f>
        <v>32800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33400</v>
      </c>
      <c r="D16" s="42">
        <f>IF(C16="",0,C16*J$16)</f>
        <v>3340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30060</v>
      </c>
      <c r="I16" s="63" t="s">
        <v>38</v>
      </c>
      <c r="J16" s="64">
        <v>0.1</v>
      </c>
      <c r="K16" s="30">
        <f>MROUND(D6+D8+D10+D12+D14+D16+D18,50)</f>
        <v>8700</v>
      </c>
    </row>
    <row r="17" spans="1:11" x14ac:dyDescent="0.35">
      <c r="A17" s="28" t="s">
        <v>52</v>
      </c>
      <c r="B17" s="132">
        <f>IF(DigitaNICA!I2&lt;&gt;"",DigitaNICA!I2,"")</f>
        <v>10</v>
      </c>
      <c r="C17" s="29">
        <f>IF(DigitaNICA!I10&lt;&gt;"",DigitaNICA!I10,"")</f>
        <v>84900</v>
      </c>
      <c r="D17" s="42">
        <f>IF(C17="",0,C17*J$15)</f>
        <v>10188</v>
      </c>
      <c r="E17" s="29">
        <f>IF(DigitaNICA!J10&lt;&gt;"",DigitaNICA!J10,"")</f>
        <v>1250</v>
      </c>
      <c r="F17" s="42">
        <f>IF(E17="",0,E17*PREMIOS!F17)</f>
        <v>106250</v>
      </c>
      <c r="G17" s="30">
        <f t="shared" si="6"/>
        <v>-31538</v>
      </c>
      <c r="I17" s="63" t="s">
        <v>96</v>
      </c>
      <c r="J17" s="64">
        <v>0.12</v>
      </c>
      <c r="K17" s="30">
        <f>MROUND(D19+D20,50)</f>
        <v>3850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2200</v>
      </c>
    </row>
    <row r="19" spans="1:11" x14ac:dyDescent="0.35">
      <c r="A19" s="28" t="s">
        <v>97</v>
      </c>
      <c r="B19" s="132">
        <f>IF(DigitaPRIMERA!C2&lt;&gt;"",DigitaPRIMERA!C2,"")</f>
        <v>26</v>
      </c>
      <c r="C19" s="29">
        <f>IF(DigitaPRIMERA!$C$10&lt;&gt;"",DigitaPRIMERA!$C$10,"")</f>
        <v>16400</v>
      </c>
      <c r="D19" s="42">
        <f>IF(C19="",0,C19*J$17)</f>
        <v>1968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14432</v>
      </c>
      <c r="I19" s="63" t="s">
        <v>20</v>
      </c>
      <c r="J19" s="64">
        <v>0.12</v>
      </c>
      <c r="K19" s="30">
        <f>MROUND(D24+D25,50)</f>
        <v>10850</v>
      </c>
    </row>
    <row r="20" spans="1:11" ht="15" thickBot="1" x14ac:dyDescent="0.4">
      <c r="A20" s="28" t="s">
        <v>98</v>
      </c>
      <c r="B20" s="132">
        <f>IF(DigitaPRIMERA!E2&lt;&gt;"",DigitaPRIMERA!E2,"")</f>
        <v>57</v>
      </c>
      <c r="C20" s="29">
        <f>IF(DigitaPRIMERA!$E$10&lt;&gt;"",DigitaPRIMERA!$E$10,"")</f>
        <v>15600</v>
      </c>
      <c r="D20" s="42">
        <f>IF(C20="",0,C20*J$17)</f>
        <v>1872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13728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11</v>
      </c>
      <c r="C21" s="29">
        <f>IF(DigitaHONDURAS!$C$10&lt;&gt;"",DigitaHONDURAS!$C$10,"")</f>
        <v>9300</v>
      </c>
      <c r="D21" s="42">
        <f>IF(C21="",0,C21*J$18)</f>
        <v>1116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-34316</v>
      </c>
    </row>
    <row r="22" spans="1:11" x14ac:dyDescent="0.35">
      <c r="A22" s="28" t="s">
        <v>100</v>
      </c>
      <c r="B22" s="132" t="str">
        <f>IF(DigitaHONDURAS!E2&lt;&gt;"",DigitaHONDURAS!E2,"")</f>
        <v>09</v>
      </c>
      <c r="C22" s="29">
        <f>IF(DigitaHONDURAS!$E$10&lt;&gt;"",DigitaHONDURAS!$E$10,"")</f>
        <v>2000</v>
      </c>
      <c r="D22" s="42">
        <f>IF(C22="",0,C22*J$18)</f>
        <v>240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1760</v>
      </c>
    </row>
    <row r="23" spans="1:11" x14ac:dyDescent="0.35">
      <c r="A23" s="28" t="s">
        <v>101</v>
      </c>
      <c r="B23" s="132" t="str">
        <f>IF(DigitaHONDURAS!G2&lt;&gt;"",DigitaHONDURAS!G2,"")</f>
        <v>00</v>
      </c>
      <c r="C23" s="29">
        <f>IF(DigitaHONDURAS!$G$10&lt;&gt;"",DigitaHONDURAS!$G$10,"")</f>
        <v>6900</v>
      </c>
      <c r="D23" s="42">
        <f>IF(C23="",0,C23*J$18)</f>
        <v>828</v>
      </c>
      <c r="E23" s="29">
        <f>IF(DigitaHONDURAS!$H$10&lt;&gt;"",DigitaHONDURAS!$H$10,"")</f>
        <v>2500</v>
      </c>
      <c r="F23" s="42">
        <f>IF(E23="",0,E23*PREMIOS!F20)</f>
        <v>212500</v>
      </c>
      <c r="G23" s="30">
        <f t="shared" ref="G23:G26" si="8">IF(OR(C23="",E23=""),0,C23-D23-F23)</f>
        <v>-206428</v>
      </c>
    </row>
    <row r="24" spans="1:11" x14ac:dyDescent="0.35">
      <c r="A24" s="28" t="s">
        <v>107</v>
      </c>
      <c r="B24" s="132">
        <f>IF(DigitaDOMINICANA!C2&lt;&gt;"",DigitaDOMINICANA!C2,"")</f>
        <v>69</v>
      </c>
      <c r="C24" s="29">
        <f>IF(DigitaDOMINICANA!$C$10&lt;&gt;"",DigitaDOMINICANA!$C$10,"")</f>
        <v>42000</v>
      </c>
      <c r="D24" s="42">
        <f>IF(C24="",0,C24*J$19)</f>
        <v>5040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36960</v>
      </c>
    </row>
    <row r="25" spans="1:11" x14ac:dyDescent="0.35">
      <c r="A25" s="28" t="s">
        <v>108</v>
      </c>
      <c r="B25" s="132" t="str">
        <f>IF(DigitaDOMINICANA!E2&lt;&gt;"",DigitaDOMINICANA!E2,"")</f>
        <v>09</v>
      </c>
      <c r="C25" s="29">
        <f>IF(DigitaDOMINICANA!$E$10&lt;&gt;"",DigitaDOMINICANA!$E$10,"")</f>
        <v>48500</v>
      </c>
      <c r="D25" s="42">
        <f>IF(C25="",0,C25*J$19)</f>
        <v>5820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42680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944550</v>
      </c>
      <c r="D27" s="68">
        <f t="shared" ref="D27:F27" si="9">SUM(D5:D26)</f>
        <v>111603</v>
      </c>
      <c r="E27" s="68">
        <f t="shared" si="9"/>
        <v>7200</v>
      </c>
      <c r="F27" s="68">
        <f t="shared" si="9"/>
        <v>612000</v>
      </c>
      <c r="G27" s="88">
        <f>SUM(G5:G26)</f>
        <v>220947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22500</v>
      </c>
      <c r="K4" s="231">
        <f t="shared" ref="K4" si="0">D7+D11+D15</f>
        <v>2700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IF(DigitaTICA!G11&lt;&gt;"",DigitaTICA!G11,"")</f>
        <v>19500</v>
      </c>
      <c r="D15" s="42">
        <f>IF(C15="",0,C15*J$11)</f>
        <v>2340</v>
      </c>
      <c r="E15" s="29">
        <f>IF(DigitaTICA!H11&lt;&gt;"",DigitaTICA!H11,"")</f>
        <v>500</v>
      </c>
      <c r="F15" s="133">
        <f>IF(E15="",0,E15*PREMIOS!F15)</f>
        <v>42500</v>
      </c>
      <c r="G15" s="30">
        <f t="shared" si="4"/>
        <v>-25340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22500</v>
      </c>
      <c r="D21" s="122">
        <f t="shared" ref="D21:G21" si="5">SUM(D5:D20)</f>
        <v>2700</v>
      </c>
      <c r="E21" s="122">
        <f t="shared" si="5"/>
        <v>500</v>
      </c>
      <c r="F21" s="122">
        <f t="shared" si="5"/>
        <v>42500</v>
      </c>
      <c r="G21" s="123">
        <f t="shared" si="5"/>
        <v>-22700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112850</v>
      </c>
      <c r="K4" s="231">
        <f>D7+D11+D15</f>
        <v>13542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IF(DigitaNICA!C12&lt;&gt;"",DigitaNICA!C12,"")</f>
        <v>37150</v>
      </c>
      <c r="D5" s="42">
        <f>IF(C5="",0,C5*J$12)</f>
        <v>4458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-5558</v>
      </c>
      <c r="I5" s="217" t="s">
        <v>37</v>
      </c>
      <c r="J5" s="221">
        <f>SUM(IF(C5="",0,C5),IF(C9="",0,C9),IF(C13="",0,C13),IF(C17="",0,C17))</f>
        <v>61600</v>
      </c>
      <c r="K5" s="225">
        <f t="shared" ref="K5" si="1">D5+D9+D13+D17</f>
        <v>7392</v>
      </c>
      <c r="L5" s="222">
        <f>F5+F9+F13+F17</f>
        <v>80750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2800</v>
      </c>
      <c r="K6" s="226">
        <f t="shared" ref="K6" si="2">+D8+D12+D16</f>
        <v>280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29">
        <f>IF(DigitaTICA!C12&lt;&gt;"",DigitaTICA!C12,"")</f>
        <v>50850</v>
      </c>
      <c r="D7" s="42">
        <f>IF(C7="",0,C7*J$11)</f>
        <v>6102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23498</v>
      </c>
      <c r="I7" s="217" t="s">
        <v>96</v>
      </c>
      <c r="J7" s="223">
        <f>SUM(IF(C19="",0,C19),IF(C20="",0,C20))</f>
        <v>40600</v>
      </c>
      <c r="K7" s="226">
        <f>+D19+D20</f>
        <v>4872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2200</v>
      </c>
      <c r="D8" s="42">
        <f>IF(C8="",0,C8*J$13)</f>
        <v>220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1980</v>
      </c>
      <c r="I8" s="218" t="s">
        <v>104</v>
      </c>
      <c r="J8" s="224">
        <f>SUM(IF(C21="",0,C21),IF(C22="",0,C22),IF(C23="",0,C23))</f>
        <v>9250</v>
      </c>
      <c r="K8" s="228">
        <f>+D21+D22+D23</f>
        <v>1110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IF(DigitaNICA!E12&lt;&gt;"",DigitaNICA!E12,"")</f>
        <v>24450</v>
      </c>
      <c r="D9" s="42">
        <f>IF(C9="",0,C9*J$12)</f>
        <v>2934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-20984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IF(DigitaTICA!E12&lt;&gt;"",DigitaTICA!E12,"")</f>
        <v>26700</v>
      </c>
      <c r="D11" s="42">
        <f>IF(C11="",0,C11*J$11)</f>
        <v>3204</v>
      </c>
      <c r="E11" s="29">
        <f>IF(DigitaTICA!F12&lt;&gt;"",DigitaTICA!F12,"")</f>
        <v>600</v>
      </c>
      <c r="F11" s="42">
        <f>IF(E11="",0,E11*PREMIOS!F11)</f>
        <v>51000</v>
      </c>
      <c r="G11" s="30">
        <f t="shared" si="0"/>
        <v>-27504</v>
      </c>
      <c r="I11" s="60" t="s">
        <v>36</v>
      </c>
      <c r="J11" s="61">
        <v>0.12</v>
      </c>
      <c r="K11" s="62">
        <f>MROUND(D7+D11+D15,50)</f>
        <v>13550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600</v>
      </c>
      <c r="D12" s="42">
        <f>IF(C12="",0,C12*J$13)</f>
        <v>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540</v>
      </c>
      <c r="I12" s="63" t="s">
        <v>37</v>
      </c>
      <c r="J12" s="64">
        <v>0.12</v>
      </c>
      <c r="K12" s="30">
        <f>MROUND(D5+D9+D13+D17,50)</f>
        <v>7400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4850</v>
      </c>
    </row>
    <row r="15" spans="1:12" ht="15" thickBot="1" x14ac:dyDescent="0.4">
      <c r="A15" s="28" t="s">
        <v>61</v>
      </c>
      <c r="B15" s="132">
        <f>IF(DigitaTICA!G2&lt;&gt;"",DigitaTICA!G2,"")</f>
        <v>56</v>
      </c>
      <c r="C15" s="29">
        <f>IF(DigitaTICA!G12&lt;&gt;"",DigitaTICA!G12,"")</f>
        <v>35300</v>
      </c>
      <c r="D15" s="42">
        <f>IF(C15="",0,C15*J$11)</f>
        <v>4236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31064</v>
      </c>
      <c r="I15" s="65" t="s">
        <v>104</v>
      </c>
      <c r="J15" s="66">
        <v>0.12</v>
      </c>
      <c r="K15" s="50">
        <f>MROUND(D21+D22+D23,50)</f>
        <v>1100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>
        <f>IF(DigitaPRIMERA!$C$12&lt;&gt;"",DigitaPRIMERA!$C$12,"")</f>
        <v>40600</v>
      </c>
      <c r="D19" s="42">
        <f>IF(C19="",0,C19*J$14)</f>
        <v>4872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-11022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11</v>
      </c>
      <c r="C21" s="29">
        <f>IF(DigitaHONDURAS!$C$12&lt;&gt;"",DigitaHONDURAS!$C$12,"")</f>
        <v>9250</v>
      </c>
      <c r="D21" s="42">
        <f>IF(C21="",0,C21*J$15)</f>
        <v>1110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-8860</v>
      </c>
    </row>
    <row r="22" spans="1:7" x14ac:dyDescent="0.35">
      <c r="A22" s="28" t="s">
        <v>100</v>
      </c>
      <c r="B22" s="132" t="str">
        <f>IF(DigitaHONDURAS!E2&lt;&gt;"",DigitaHONDURAS!E2,"")</f>
        <v>09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227100</v>
      </c>
      <c r="D24" s="68">
        <f t="shared" ref="D24:G24" si="4">SUM(D5:D23)</f>
        <v>27196</v>
      </c>
      <c r="E24" s="68">
        <f t="shared" si="4"/>
        <v>2550</v>
      </c>
      <c r="F24" s="68">
        <f t="shared" si="4"/>
        <v>216750</v>
      </c>
      <c r="G24" s="88">
        <f t="shared" si="4"/>
        <v>-16846</v>
      </c>
    </row>
    <row r="27" spans="1:7" x14ac:dyDescent="0.35">
      <c r="G27" s="21">
        <v>-130933</v>
      </c>
    </row>
    <row r="28" spans="1:7" x14ac:dyDescent="0.35">
      <c r="G28" s="141">
        <f>+G24+G27</f>
        <v>-147779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153050</v>
      </c>
      <c r="K4" s="231">
        <f t="shared" ref="K4" si="0">D7+D11+D15</f>
        <v>18366</v>
      </c>
      <c r="L4" s="220">
        <f>F7+F11+F15</f>
        <v>136000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>
        <f>IF(DigitaNICA!C13&lt;&gt;"",DigitaNICA!C13,"")</f>
        <v>48650</v>
      </c>
      <c r="D5" s="42">
        <f>IF(C5="",0,C5*J$10)</f>
        <v>5838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42812</v>
      </c>
      <c r="I5" s="218" t="s">
        <v>37</v>
      </c>
      <c r="J5" s="232">
        <f>SUM(IF(C5="",0,C5),IF(C9="",0,C9),IF(C13="",0,C13),IF(C17="",0,C17))</f>
        <v>85050</v>
      </c>
      <c r="K5" s="233">
        <f t="shared" ref="K5" si="2">D5+D9+D13+D17</f>
        <v>10206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IF(DigitaTICA!C13&lt;&gt;"",DigitaTICA!C13,"")</f>
        <v>38800</v>
      </c>
      <c r="D7" s="42">
        <f>IF(C7="",0,C7*J$9)</f>
        <v>4656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34144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IF(DigitaNICA!E13&lt;&gt;"",DigitaNICA!E13,"")</f>
        <v>11100</v>
      </c>
      <c r="D9" s="42">
        <f>IF(C9="",0,C9*J$10)</f>
        <v>1332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9768</v>
      </c>
      <c r="I9" s="60" t="s">
        <v>36</v>
      </c>
      <c r="J9" s="61">
        <v>0.12</v>
      </c>
      <c r="K9" s="62">
        <f>MROUND(D7+D11+D15,50)</f>
        <v>18350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10200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>
        <f>IF(DigitaTICA!E13&lt;&gt;"",DigitaTICA!E13,"")</f>
        <v>25050</v>
      </c>
      <c r="D11" s="42">
        <f>IF(C11="",0,C11*J$9)</f>
        <v>3006</v>
      </c>
      <c r="E11" s="29">
        <f>IF(DigitaTICA!F13&lt;&gt;"",DigitaTICA!F13,"")</f>
        <v>300</v>
      </c>
      <c r="F11" s="133">
        <f>IF(E11="",0,E11*PREMIOS!F11)</f>
        <v>25500</v>
      </c>
      <c r="G11" s="30">
        <f t="shared" si="1"/>
        <v>-3456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IF(DigitaNICA!G13&lt;&gt;"",DigitaNICA!G13,"")</f>
        <v>20000</v>
      </c>
      <c r="D13" s="42">
        <f>IF(C13="",0,C13*J$10)</f>
        <v>2400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17600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IF(DigitaTICA!G13&lt;&gt;"",DigitaTICA!G13,"")</f>
        <v>89200</v>
      </c>
      <c r="D15" s="42">
        <f>IF(C15="",0,C15*J$9)</f>
        <v>10704</v>
      </c>
      <c r="E15" s="29">
        <f>IF(DigitaTICA!H13&lt;&gt;"",DigitaTICA!H13,"")</f>
        <v>1300</v>
      </c>
      <c r="F15" s="133">
        <f>IF(E15="",0,E15*PREMIOS!F15)</f>
        <v>110500</v>
      </c>
      <c r="G15" s="30">
        <f t="shared" si="3"/>
        <v>-32004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IF(DigitaNICA!I13&lt;&gt;"",DigitaNICA!I13,"")</f>
        <v>5300</v>
      </c>
      <c r="D17" s="42">
        <f>IF(C17="",0,C17*J$10)</f>
        <v>636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-3336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238100</v>
      </c>
      <c r="D19" s="68">
        <f>MROUND(SUM(D5:D18),50)</f>
        <v>28550</v>
      </c>
      <c r="E19" s="68">
        <f>SUM(E5:E18)</f>
        <v>1700</v>
      </c>
      <c r="F19" s="68">
        <f>SUM(F5:F18)</f>
        <v>144000</v>
      </c>
      <c r="G19" s="88">
        <f>SUM(G5:G18)</f>
        <v>65528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125750</v>
      </c>
      <c r="K4" s="236">
        <f t="shared" ref="K4" si="0">D7+D11+D15</f>
        <v>18862.5</v>
      </c>
      <c r="L4" s="237">
        <f>F7+F11+F15</f>
        <v>120000</v>
      </c>
    </row>
    <row r="5" spans="1:12" x14ac:dyDescent="0.35">
      <c r="A5" s="28" t="s">
        <v>43</v>
      </c>
      <c r="B5" s="132">
        <f>IF(DigitaNICA!C2&lt;&gt;"",DigitaNICA!C2,"")</f>
        <v>56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IF(DigitaTICA!C14&lt;&gt;"",DigitaTICA!C14,"")</f>
        <v>49150</v>
      </c>
      <c r="D7" s="42">
        <f>IF(C7="",0,C7*J$9)</f>
        <v>7372.5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1777.5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18850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>
        <f>IF(DigitaTICA!E14&lt;&gt;"",DigitaTICA!E14,"")</f>
        <v>32800</v>
      </c>
      <c r="D11" s="42">
        <f>IF(C11="",0,C11*J$9)</f>
        <v>4920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-52120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>
        <f>IF(DigitaTICA!G14&lt;&gt;"",DigitaTICA!G14,"")</f>
        <v>43800</v>
      </c>
      <c r="D15" s="42">
        <f>IF(C15="",0,C15*J$9)</f>
        <v>6570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37230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125750</v>
      </c>
      <c r="D19" s="68">
        <f>MROUND(SUM(D5:D18),50)</f>
        <v>18850</v>
      </c>
      <c r="E19" s="68">
        <f>SUM(E5:E18)</f>
        <v>1500</v>
      </c>
      <c r="F19" s="68">
        <f>SUM(F5:F18)</f>
        <v>120000</v>
      </c>
      <c r="G19" s="88">
        <f>SUM(G5:G18)</f>
        <v>-13112.5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70450</v>
      </c>
      <c r="K4" s="231">
        <f>D7+D11+D15</f>
        <v>8454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IF(DigitaNICA!C16&lt;&gt;"",DigitaNICA!C16,"")</f>
        <v>14900</v>
      </c>
      <c r="D5" s="42">
        <f>IF(C5="",0,C5*J$12)</f>
        <v>1788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13112</v>
      </c>
      <c r="I5" s="63" t="s">
        <v>37</v>
      </c>
      <c r="J5" s="225">
        <f>SUM(IF(C5="",0,C5),IF(C9="",0,C9),IF(C13="",0,C13),IF(C17="",0,C17))</f>
        <v>52900</v>
      </c>
      <c r="K5" s="225">
        <f t="shared" ref="K5" si="1">D5+D9+D13+D17</f>
        <v>6348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29">
        <f>IF(DigitaTICA!C16&lt;&gt;"",DigitaTICA!C16,"")</f>
        <v>14100</v>
      </c>
      <c r="D7" s="42">
        <f>IF(C7="",0,C7*J$11)</f>
        <v>1692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12408</v>
      </c>
      <c r="I7" s="63" t="s">
        <v>96</v>
      </c>
      <c r="J7" s="226">
        <f>SUM(IF(C19="",0,C19),IF(C20="",0,C20))</f>
        <v>8800</v>
      </c>
      <c r="K7" s="226">
        <f>+D19+D20</f>
        <v>1056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600</v>
      </c>
      <c r="K8" s="228">
        <f>D21+D22+D23</f>
        <v>72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IF(DigitaNICA!E16&lt;&gt;"",DigitaNICA!E16,"")</f>
        <v>13200</v>
      </c>
      <c r="D9" s="42">
        <f>IF(C9="",0,C9*J$12)</f>
        <v>1584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11616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IF(DigitaTICA!E16&lt;&gt;"",DigitaTICA!E16,"")</f>
        <v>19500</v>
      </c>
      <c r="D11" s="42">
        <f>IF(C11="",0,C11*J$11)</f>
        <v>2340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17160</v>
      </c>
      <c r="I11" s="76" t="s">
        <v>36</v>
      </c>
      <c r="J11" s="77">
        <v>0.12</v>
      </c>
      <c r="K11" s="78">
        <f>MROUND(D7+D11+D15,50)</f>
        <v>8450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6350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IF(DigitaNICA!G16&lt;&gt;"",DigitaNICA!G16,"")</f>
        <v>14000</v>
      </c>
      <c r="D13" s="42">
        <f>IF(C13="",0,C13*J$12)</f>
        <v>1680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12320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1050</v>
      </c>
    </row>
    <row r="15" spans="1:12" ht="15" thickBot="1" x14ac:dyDescent="0.4">
      <c r="A15" s="28" t="s">
        <v>61</v>
      </c>
      <c r="B15" s="132">
        <f>IF(DigitaTICA!G2&lt;&gt;"",DigitaTICA!G2,"")</f>
        <v>56</v>
      </c>
      <c r="C15" s="29">
        <f>IF(DigitaTICA!G16&lt;&gt;"",DigitaTICA!G16,"")</f>
        <v>36850</v>
      </c>
      <c r="D15" s="42">
        <f>IF(C15="",0,C15*J$11)</f>
        <v>4422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32428</v>
      </c>
      <c r="I15" s="65" t="s">
        <v>104</v>
      </c>
      <c r="J15" s="66">
        <v>0.12</v>
      </c>
      <c r="K15" s="50">
        <f>MROUND(D21+D22+D23,50)</f>
        <v>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IF(DigitaNICA!I16&lt;&gt;"",DigitaNICA!I16,"")</f>
        <v>10800</v>
      </c>
      <c r="D17" s="42">
        <f>IF(C17="",0,C17*J$12)</f>
        <v>1296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1504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26</v>
      </c>
      <c r="C19" s="29">
        <f>IF(DigitaPRIMERA!C16&lt;&gt;"",DigitaPRIMERA!C16,"")</f>
        <v>8800</v>
      </c>
      <c r="D19" s="42">
        <f>IF(C19="",0,C19*J$14)</f>
        <v>1056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7744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09</v>
      </c>
      <c r="C22" s="29">
        <f>IF(DigitaHONDURAS!$E$16&lt;&gt;"",DigitaHONDURAS!$E$16,"")</f>
        <v>600</v>
      </c>
      <c r="D22" s="42">
        <f t="shared" ref="D22:D23" si="4">IF(C22="",0,C22*J$15)</f>
        <v>72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528</v>
      </c>
    </row>
    <row r="23" spans="1:7" x14ac:dyDescent="0.35">
      <c r="A23" s="28" t="s">
        <v>101</v>
      </c>
      <c r="B23" s="132" t="str">
        <f>IF(DigitaHONDURAS!G2&lt;&gt;"",DigitaHONDURAS!G2,"")</f>
        <v>00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135250</v>
      </c>
      <c r="D24" s="122">
        <f t="shared" ref="D24:G24" si="5">SUM(D5:D23)</f>
        <v>16180</v>
      </c>
      <c r="E24" s="122">
        <f t="shared" si="5"/>
        <v>100</v>
      </c>
      <c r="F24" s="122">
        <f t="shared" si="5"/>
        <v>8000</v>
      </c>
      <c r="G24" s="123">
        <f t="shared" si="5"/>
        <v>111070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614700</v>
      </c>
      <c r="K4" s="231">
        <f t="shared" ref="K4" si="0">D7+D11+D15</f>
        <v>73764</v>
      </c>
      <c r="L4" s="220">
        <f>F7+F11+F15</f>
        <v>437750</v>
      </c>
    </row>
    <row r="5" spans="1:12" x14ac:dyDescent="0.35">
      <c r="A5" s="28" t="s">
        <v>43</v>
      </c>
      <c r="B5" s="132">
        <f>IF(DigitaNICA!C2&lt;&gt;"",DigitaNICA!C2,"")</f>
        <v>56</v>
      </c>
      <c r="C5" s="89">
        <f>IF(DigitaNICA!C17&lt;&gt;"",DigitaNICA!C17,"")</f>
        <v>140450</v>
      </c>
      <c r="D5" s="42">
        <f>IF(C5="",0,C5*J$16)</f>
        <v>16854</v>
      </c>
      <c r="E5" s="89">
        <f>IF(DigitaNICA!D17&lt;&gt;"",DigitaNICA!D17,"")</f>
        <v>1800</v>
      </c>
      <c r="F5" s="42">
        <f>IF(E5="",0,E5*PREMIOS!F5)</f>
        <v>153000</v>
      </c>
      <c r="G5" s="90">
        <f t="shared" ref="G5:G12" si="1">IF(OR(C5="",E5=""),0,C5-D5-F5)</f>
        <v>-29404</v>
      </c>
      <c r="I5" s="217" t="s">
        <v>37</v>
      </c>
      <c r="J5" s="221">
        <f>SUM(IF(C5="",0,C5),IF(C9="",0,C9),IF(C13="",0,C13),IF(C17="",0,C17))</f>
        <v>540050</v>
      </c>
      <c r="K5" s="225">
        <f t="shared" ref="K5" si="2">D5+D9+D13+D17</f>
        <v>64806</v>
      </c>
      <c r="L5" s="222">
        <f>F5+F9+F13+F17</f>
        <v>986000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84650</v>
      </c>
      <c r="K6" s="226">
        <f t="shared" ref="K6" si="3">+D8+D12+D16</f>
        <v>8465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89">
        <f>IF(DigitaTICA!C17&lt;&gt;"",DigitaTICA!C17,"")</f>
        <v>190450</v>
      </c>
      <c r="D7" s="42">
        <f>IF(C7="",0,C7*J$15)</f>
        <v>22854</v>
      </c>
      <c r="E7" s="89">
        <f>IF(DigitaTICA!D17&lt;&gt;"",DigitaTICA!D17,"")</f>
        <v>2450</v>
      </c>
      <c r="F7" s="42">
        <f>IF(E7="",0,E7*PREMIOS!F7)</f>
        <v>208250</v>
      </c>
      <c r="G7" s="90">
        <f t="shared" si="1"/>
        <v>-40654</v>
      </c>
      <c r="I7" s="217" t="s">
        <v>96</v>
      </c>
      <c r="J7" s="223">
        <f>SUM(IF(C19="",0,C19),IF(C20="",0,C20))</f>
        <v>139000</v>
      </c>
      <c r="K7" s="226">
        <f>+D19+D20</f>
        <v>16680</v>
      </c>
      <c r="L7" s="227">
        <f>+F19+F20</f>
        <v>21250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33250</v>
      </c>
      <c r="D8" s="42">
        <f>IF(C8="",0,C8*J$17)</f>
        <v>3325</v>
      </c>
      <c r="E8" s="89">
        <f>IF(DigitaREVENTADO!D17&lt;&gt;"",DigitaREVENTADO!D17,"")</f>
        <v>200</v>
      </c>
      <c r="F8" s="42">
        <f>IF(E8="",0,E8*PREMIOS!F8)</f>
        <v>0</v>
      </c>
      <c r="G8" s="90">
        <f t="shared" si="1"/>
        <v>29925</v>
      </c>
      <c r="I8" s="217" t="s">
        <v>104</v>
      </c>
      <c r="J8" s="223">
        <f>SUM(IF(C21="",0,C21),IF(C22="",0,C22),IF(C23="",0,C23))</f>
        <v>74150</v>
      </c>
      <c r="K8" s="226">
        <f t="shared" ref="K8" si="4">D21+D22+D23</f>
        <v>8898</v>
      </c>
      <c r="L8" s="227">
        <f>F21+F22+F23</f>
        <v>93500</v>
      </c>
    </row>
    <row r="9" spans="1:12" x14ac:dyDescent="0.35">
      <c r="A9" s="28" t="s">
        <v>48</v>
      </c>
      <c r="B9" s="132">
        <f>IF(DigitaNICA!E2&lt;&gt;"",DigitaNICA!E2,"")</f>
        <v>57</v>
      </c>
      <c r="C9" s="89">
        <f>IF(DigitaNICA!E17&lt;&gt;"",DigitaNICA!E17,"")</f>
        <v>119250</v>
      </c>
      <c r="D9" s="42">
        <f>IF(C9="",0,C9*J$16)</f>
        <v>14310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87940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89">
        <f>IF(DigitaTICA!E17&lt;&gt;"",DigitaTICA!E17,"")</f>
        <v>138050</v>
      </c>
      <c r="D11" s="42">
        <f>IF(C11="",0,C11*J$15)</f>
        <v>16566</v>
      </c>
      <c r="E11" s="89">
        <f>IF(DigitaTICA!F17&lt;&gt;"",DigitaTICA!F17,"")</f>
        <v>1250</v>
      </c>
      <c r="F11" s="42">
        <f>IF(E11="",0,E11*PREMIOS!F11)</f>
        <v>106250</v>
      </c>
      <c r="G11" s="90">
        <f t="shared" si="1"/>
        <v>15234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16900</v>
      </c>
      <c r="D12" s="42">
        <f>IF(C12="",0,C12*J$17)</f>
        <v>1690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15210</v>
      </c>
    </row>
    <row r="13" spans="1:12" ht="15" thickBot="1" x14ac:dyDescent="0.4">
      <c r="A13" s="28" t="s">
        <v>50</v>
      </c>
      <c r="B13" s="132">
        <f>IF(DigitaNICA!G2&lt;&gt;"",DigitaNICA!G2,"")</f>
        <v>74</v>
      </c>
      <c r="C13" s="89">
        <f>IF(DigitaNICA!G17&lt;&gt;"",DigitaNICA!G17,"")</f>
        <v>86950</v>
      </c>
      <c r="D13" s="42">
        <f>IF(C13="",0,C13*J$16)</f>
        <v>10434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34016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56</v>
      </c>
      <c r="C15" s="89">
        <f>IF(DigitaTICA!G17&lt;&gt;"",DigitaTICA!G17,"")</f>
        <v>286200</v>
      </c>
      <c r="D15" s="42">
        <f>IF(C15="",0,C15*J$15)</f>
        <v>34344</v>
      </c>
      <c r="E15" s="89">
        <f>IF(DigitaTICA!H17&lt;&gt;"",DigitaTICA!H17,"")</f>
        <v>1450</v>
      </c>
      <c r="F15" s="42">
        <f>IF(E15="",0,E15*PREMIOS!F15)</f>
        <v>123250</v>
      </c>
      <c r="G15" s="90">
        <f t="shared" si="6"/>
        <v>128606</v>
      </c>
      <c r="I15" s="76" t="s">
        <v>36</v>
      </c>
      <c r="J15" s="77">
        <v>0.12</v>
      </c>
      <c r="K15" s="78">
        <f>MROUND(D7+D11+D15,50)</f>
        <v>73750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34500</v>
      </c>
      <c r="D16" s="42">
        <f>IF(C16="",0,C16*J$17)</f>
        <v>3450</v>
      </c>
      <c r="E16" s="89">
        <f>IF(DigitaREVENTADO!H17&lt;&gt;"",DigitaREVENTADO!H17,"")</f>
        <v>100</v>
      </c>
      <c r="F16" s="42">
        <f>IF(E16="",0,E16*PREMIOS!F16)</f>
        <v>0</v>
      </c>
      <c r="G16" s="90">
        <f t="shared" si="6"/>
        <v>31050</v>
      </c>
      <c r="I16" s="63" t="s">
        <v>37</v>
      </c>
      <c r="J16" s="64">
        <v>0.12</v>
      </c>
      <c r="K16" s="30">
        <f>MROUND(D5+D9+D13+D17,50)</f>
        <v>64800</v>
      </c>
    </row>
    <row r="17" spans="1:11" x14ac:dyDescent="0.35">
      <c r="A17" s="28" t="s">
        <v>52</v>
      </c>
      <c r="B17" s="132">
        <f>IF(DigitaNICA!I2&lt;&gt;"",DigitaNICA!I2,"")</f>
        <v>10</v>
      </c>
      <c r="C17" s="89">
        <f>IF(DigitaNICA!I17&lt;&gt;"",DigitaNICA!I17,"")</f>
        <v>193400</v>
      </c>
      <c r="D17" s="42">
        <f>IF(C17="",0,C17*J$16)</f>
        <v>23208</v>
      </c>
      <c r="E17" s="89">
        <f>IF(DigitaNICA!J17&lt;&gt;"",DigitaNICA!J17,"")</f>
        <v>9100</v>
      </c>
      <c r="F17" s="42">
        <f>IF(E17="",0,E17*PREMIOS!F17)</f>
        <v>773500</v>
      </c>
      <c r="G17" s="90">
        <f t="shared" si="6"/>
        <v>-603308</v>
      </c>
      <c r="I17" s="63" t="s">
        <v>38</v>
      </c>
      <c r="J17" s="64">
        <v>0.1</v>
      </c>
      <c r="K17" s="30">
        <f>MROUND(D6+D8+D10+D12+D14+D16+D18,50)</f>
        <v>8450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16700</v>
      </c>
    </row>
    <row r="19" spans="1:11" x14ac:dyDescent="0.35">
      <c r="A19" s="28" t="s">
        <v>97</v>
      </c>
      <c r="B19" s="132">
        <f>IF(DigitaPRIMERA!C2&lt;&gt;"",DigitaPRIMERA!C2,"")</f>
        <v>26</v>
      </c>
      <c r="C19" s="29">
        <f>IF(DigitaPRIMERA!$C$17&lt;&gt;"",DigitaPRIMERA!$C$17,"")</f>
        <v>84050</v>
      </c>
      <c r="D19" s="42">
        <f>IF(C19="",0,C19*J$18)</f>
        <v>10086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65464</v>
      </c>
      <c r="I19" s="63" t="s">
        <v>104</v>
      </c>
      <c r="J19" s="64">
        <v>0.12</v>
      </c>
      <c r="K19" s="30">
        <f>MROUND(D21+D22+D23,50)</f>
        <v>8900</v>
      </c>
    </row>
    <row r="20" spans="1:11" x14ac:dyDescent="0.35">
      <c r="A20" s="28" t="s">
        <v>98</v>
      </c>
      <c r="B20" s="132">
        <f>IF(DigitaPRIMERA!E2&lt;&gt;"",DigitaPRIMERA!E2,"")</f>
        <v>57</v>
      </c>
      <c r="C20" s="29">
        <f>IF(DigitaPRIMERA!$E$17&lt;&gt;"",DigitaPRIMERA!$E$17,"")</f>
        <v>54950</v>
      </c>
      <c r="D20" s="42">
        <f>IF(C20="",0,C20*J$18)</f>
        <v>6594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35606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11</v>
      </c>
      <c r="C21" s="29">
        <f>IF(DigitaHONDURAS!$C$17&lt;&gt;"",DigitaHONDURAS!$C$17,"")</f>
        <v>33550</v>
      </c>
      <c r="D21" s="42">
        <f>IF(C21="",0,C21*J$19)</f>
        <v>4026</v>
      </c>
      <c r="E21" s="29">
        <f>IF(DigitaHONDURAS!$D$17&lt;&gt;"",DigitaHONDURAS!$D$17,"")</f>
        <v>550</v>
      </c>
      <c r="F21" s="42">
        <f>IF(E21="",0,E21*PREMIOS!F20)</f>
        <v>46750</v>
      </c>
      <c r="G21" s="30">
        <f t="shared" si="6"/>
        <v>-17226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09</v>
      </c>
      <c r="C22" s="29">
        <f>IF(DigitaHONDURAS!$E$17&lt;&gt;"",DigitaHONDURAS!$E$17,"")</f>
        <v>18400</v>
      </c>
      <c r="D22" s="42">
        <f>IF(C22="",0,C22*J$19)</f>
        <v>2208</v>
      </c>
      <c r="E22" s="29">
        <f>IF(DigitaHONDURAS!$F$17&lt;&gt;"",DigitaHONDURAS!$F$17,"")</f>
        <v>550</v>
      </c>
      <c r="F22" s="42">
        <f>IF(E22="",0,E22*PREMIOS!F20)</f>
        <v>46750</v>
      </c>
      <c r="G22" s="30">
        <f t="shared" si="6"/>
        <v>-30558</v>
      </c>
    </row>
    <row r="23" spans="1:11" x14ac:dyDescent="0.35">
      <c r="A23" s="28" t="s">
        <v>101</v>
      </c>
      <c r="B23" s="132" t="str">
        <f>IF(DigitaHONDURAS!G2&lt;&gt;"",DigitaHONDURAS!G2,"")</f>
        <v>00</v>
      </c>
      <c r="C23" s="29">
        <f>IF(DigitaHONDURAS!$G$17&lt;&gt;"",DigitaHONDURAS!$G$17,"")</f>
        <v>22200</v>
      </c>
      <c r="D23" s="42">
        <f>IF(C23="",0,C23*J$19)</f>
        <v>2664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19536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1452550</v>
      </c>
      <c r="D27" s="68">
        <f t="shared" ref="D27:G27" si="7">SUM(D5:D26)</f>
        <v>172613</v>
      </c>
      <c r="E27" s="68">
        <f t="shared" si="7"/>
        <v>18400</v>
      </c>
      <c r="F27" s="68">
        <f t="shared" si="7"/>
        <v>1538500</v>
      </c>
      <c r="G27" s="88">
        <f t="shared" si="7"/>
        <v>-258563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162500</v>
      </c>
      <c r="K4" s="231">
        <f t="shared" ref="K4" si="0">D7+D11+D15</f>
        <v>19500</v>
      </c>
      <c r="L4" s="220">
        <f>F7+F11+F15</f>
        <v>51000</v>
      </c>
    </row>
    <row r="5" spans="1:12" x14ac:dyDescent="0.35">
      <c r="A5" s="28" t="str">
        <f>+Vendedor1!A5</f>
        <v>Nica 11am</v>
      </c>
      <c r="B5" s="132">
        <f>IF(DigitaNICA!C2&lt;&gt;"",DigitaNICA!C2,"")</f>
        <v>56</v>
      </c>
      <c r="C5" s="29">
        <f>IF(DigitaNICA!C18&lt;&gt;"",DigitaNICA!C18,"")</f>
        <v>52750</v>
      </c>
      <c r="D5" s="42">
        <f>IF(C5="",0,C5*J$16)</f>
        <v>6330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46420</v>
      </c>
      <c r="I5" s="217" t="s">
        <v>37</v>
      </c>
      <c r="J5" s="221">
        <f>SUM(IF(C5="",0,C5),IF(C9="",0,C9),IF(C13="",0,C13),IF(C17="",0,C17))</f>
        <v>163200</v>
      </c>
      <c r="K5" s="225">
        <f t="shared" ref="K5" si="2">D5+D9+D13+D17</f>
        <v>19584</v>
      </c>
      <c r="L5" s="222">
        <f>F5+F9+F13+F17</f>
        <v>93500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58050</v>
      </c>
      <c r="K6" s="226">
        <f t="shared" ref="K6" si="3">+D8+D12+D16</f>
        <v>5805</v>
      </c>
      <c r="L6" s="227">
        <f>+F8+F12+F16</f>
        <v>60000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06</v>
      </c>
      <c r="C7" s="29">
        <f>IF(DigitaTICA!C18&lt;&gt;"",DigitaTICA!C18,"")</f>
        <v>43300</v>
      </c>
      <c r="D7" s="42">
        <f>IF(C7="",0,C7*J$15)</f>
        <v>5196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29604</v>
      </c>
      <c r="I7" s="217" t="s">
        <v>96</v>
      </c>
      <c r="J7" s="223">
        <f>SUM(IF(C19="",0,C19),IF(C20="",0,C20))</f>
        <v>98000</v>
      </c>
      <c r="K7" s="226">
        <f>+D19+D20</f>
        <v>11760</v>
      </c>
      <c r="L7" s="227">
        <f>+F19+F20</f>
        <v>59500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15300</v>
      </c>
      <c r="D8" s="42">
        <f>IF(C8="",0,C8*J$17)</f>
        <v>1530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13770</v>
      </c>
      <c r="I8" s="217" t="s">
        <v>104</v>
      </c>
      <c r="J8" s="223">
        <f>SUM(IF(C21="",0,C21),IF(C22="",0,C22),IF(C23="",0,C23))</f>
        <v>38600</v>
      </c>
      <c r="K8" s="226">
        <f t="shared" ref="K8" si="4">D21+D22+D23</f>
        <v>4632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57</v>
      </c>
      <c r="C9" s="29">
        <f>IF(DigitaNICA!E18&lt;&gt;"",DigitaNICA!E18,"")</f>
        <v>47200</v>
      </c>
      <c r="D9" s="42">
        <f>IF(C9="",0,C9*J$16)</f>
        <v>5664</v>
      </c>
      <c r="E9" s="29">
        <f>IF(DigitaNICA!F18&lt;&gt;"",DigitaNICA!F18,"")</f>
        <v>700</v>
      </c>
      <c r="F9" s="42">
        <f>IF(E9="",0,E9*PREMIOS!F9)</f>
        <v>59500</v>
      </c>
      <c r="G9" s="30">
        <f t="shared" si="1"/>
        <v>-17964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IF(DigitaTICA!E18&lt;&gt;"",DigitaTICA!E18,"")</f>
        <v>44650</v>
      </c>
      <c r="D11" s="42">
        <f>IF(C11="",0,C11*J$15)</f>
        <v>5358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13792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15050</v>
      </c>
      <c r="D12" s="42">
        <f>IF(C12="",0,C12*J$17)</f>
        <v>1505</v>
      </c>
      <c r="E12" s="29">
        <f>IF(DigitaREVENTADO!F18&lt;&gt;"",DigitaREVENTADO!F18,"")</f>
        <v>300</v>
      </c>
      <c r="F12" s="42">
        <f>IF(E12="",0,E12*PREMIOS!F12)</f>
        <v>60000</v>
      </c>
      <c r="G12" s="30">
        <f t="shared" si="1"/>
        <v>-46455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74</v>
      </c>
      <c r="C13" s="29">
        <f>IF(DigitaNICA!G18&lt;&gt;"",DigitaNICA!G18,"")</f>
        <v>35050</v>
      </c>
      <c r="D13" s="42">
        <f>IF(C13="",0,C13*J$16)</f>
        <v>4206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30844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56</v>
      </c>
      <c r="C15" s="29">
        <f>IF(DigitaTICA!G18&lt;&gt;"",DigitaTICA!G18,"")</f>
        <v>74550</v>
      </c>
      <c r="D15" s="42">
        <f>IF(C15="",0,C15*J$15)</f>
        <v>8946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48604</v>
      </c>
      <c r="I15" s="76" t="s">
        <v>36</v>
      </c>
      <c r="J15" s="77">
        <v>0.12</v>
      </c>
      <c r="K15" s="78">
        <f>MROUND(D7+D11+D15,50)</f>
        <v>19500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27700</v>
      </c>
      <c r="D16" s="42">
        <f>IF(C16="",0,C16*J$17)</f>
        <v>2770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24930</v>
      </c>
      <c r="I16" s="63" t="s">
        <v>37</v>
      </c>
      <c r="J16" s="64">
        <v>0.12</v>
      </c>
      <c r="K16" s="30">
        <f>MROUND(D5+D9+D13+D17,50)</f>
        <v>19600</v>
      </c>
    </row>
    <row r="17" spans="1:11" x14ac:dyDescent="0.35">
      <c r="A17" s="28" t="str">
        <f>+Vendedor1!A17</f>
        <v>Nica 9pm</v>
      </c>
      <c r="B17" s="132">
        <f>IF(DigitaNICA!I2&lt;&gt;"",DigitaNICA!I2,"")</f>
        <v>10</v>
      </c>
      <c r="C17" s="29">
        <f>IF(DigitaNICA!I18&lt;&gt;"",DigitaNICA!I18,"")</f>
        <v>28200</v>
      </c>
      <c r="D17" s="42">
        <f>IF(C17="",0,C17*J$16)</f>
        <v>3384</v>
      </c>
      <c r="E17" s="29">
        <f>IF(DigitaNICA!J18&lt;&gt;"",DigitaNICA!J18,"")</f>
        <v>400</v>
      </c>
      <c r="F17" s="42">
        <f>IF(E17="",0,E17*PREMIOS!F17)</f>
        <v>34000</v>
      </c>
      <c r="G17" s="30">
        <f t="shared" si="6"/>
        <v>-9184</v>
      </c>
      <c r="I17" s="63" t="s">
        <v>38</v>
      </c>
      <c r="J17" s="64">
        <v>0.1</v>
      </c>
      <c r="K17" s="30">
        <f>MROUND(D6+D8+D10+D12+D14+D16+D18,50)</f>
        <v>5800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11750</v>
      </c>
    </row>
    <row r="19" spans="1:11" x14ac:dyDescent="0.35">
      <c r="A19" s="28" t="s">
        <v>97</v>
      </c>
      <c r="B19" s="132">
        <f>IF(DigitaPRIMERA!C2&lt;&gt;"",DigitaPRIMERA!C2,"")</f>
        <v>26</v>
      </c>
      <c r="C19" s="29">
        <f>IF(DigitaPRIMERA!$C$18&lt;&gt;"",DigitaPRIMERA!$C$18,"")</f>
        <v>51700</v>
      </c>
      <c r="D19" s="42">
        <f>IF(C19="",0,C19*J$18)</f>
        <v>6204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45496</v>
      </c>
      <c r="I19" s="63" t="s">
        <v>104</v>
      </c>
      <c r="J19" s="64">
        <v>0.12</v>
      </c>
      <c r="K19" s="30">
        <f>MROUND(D21+D22+D23,50)</f>
        <v>4650</v>
      </c>
    </row>
    <row r="20" spans="1:11" x14ac:dyDescent="0.35">
      <c r="A20" s="28" t="s">
        <v>98</v>
      </c>
      <c r="B20" s="132">
        <f>IF(DigitaPRIMERA!E2&lt;&gt;"",DigitaPRIMERA!E2,"")</f>
        <v>57</v>
      </c>
      <c r="C20" s="29">
        <f>IF(DigitaPRIMERA!$E$18&lt;&gt;"",DigitaPRIMERA!$E$18,"")</f>
        <v>46300</v>
      </c>
      <c r="D20" s="42">
        <f>IF(C20="",0,C20*J$18)</f>
        <v>5556</v>
      </c>
      <c r="E20" s="29">
        <f>IF(DigitaPRIMERA!$F$18&lt;&gt;"",DigitaPRIMERA!$F$18,"")</f>
        <v>700</v>
      </c>
      <c r="F20" s="42">
        <f>IF(E20="",0,E20*PREMIOS!F19)</f>
        <v>59500</v>
      </c>
      <c r="G20" s="30">
        <f t="shared" si="6"/>
        <v>-18756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11</v>
      </c>
      <c r="C21" s="29">
        <f>IF(DigitaHONDURAS!$C$18&lt;&gt;"",DigitaHONDURAS!$C$18,"")</f>
        <v>21200</v>
      </c>
      <c r="D21" s="42">
        <f>IF(C21="",0,C21*J$19)</f>
        <v>2544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18656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09</v>
      </c>
      <c r="C22" s="29">
        <f>IF(DigitaHONDURAS!$E$18&lt;&gt;"",DigitaHONDURAS!$E$18,"")</f>
        <v>12400</v>
      </c>
      <c r="D22" s="42">
        <f>IF(C22="",0,C22*J$19)</f>
        <v>1488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-6088</v>
      </c>
    </row>
    <row r="23" spans="1:11" x14ac:dyDescent="0.35">
      <c r="A23" s="28" t="s">
        <v>101</v>
      </c>
      <c r="B23" s="132" t="str">
        <f>IF(DigitaHONDURAS!G2&lt;&gt;"",DigitaHONDURAS!G2,"")</f>
        <v>00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4400</v>
      </c>
    </row>
    <row r="24" spans="1:11" x14ac:dyDescent="0.35">
      <c r="A24" s="28" t="s">
        <v>102</v>
      </c>
      <c r="B24" s="132">
        <f>IF(DigitaDOMINICANA!C2&lt;&gt;"",DigitaDOMINICANA!C2,"")</f>
        <v>69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520350</v>
      </c>
      <c r="D27" s="68">
        <f t="shared" ref="D27:G27" si="7">SUM(D5:D26)</f>
        <v>61281</v>
      </c>
      <c r="E27" s="68">
        <f t="shared" si="7"/>
        <v>3100</v>
      </c>
      <c r="F27" s="68">
        <f t="shared" si="7"/>
        <v>281000</v>
      </c>
      <c r="G27" s="88">
        <f t="shared" si="7"/>
        <v>178069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D17" sqref="D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06</v>
      </c>
      <c r="D2" s="268"/>
      <c r="E2" s="267">
        <f>IF(PREMIOS!$B11="","",PREMIOS!$B11)</f>
        <v>66</v>
      </c>
      <c r="F2" s="268"/>
      <c r="G2" s="267">
        <f>IF(PREMIOS!$B15="","",PREMIOS!$B15)</f>
        <v>56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59200</v>
      </c>
      <c r="D4" s="78">
        <f t="shared" ref="D4:H27" si="0">IF(C4="","",0)</f>
        <v>0</v>
      </c>
      <c r="E4" s="189">
        <v>37000</v>
      </c>
      <c r="F4" s="78">
        <v>2000</v>
      </c>
      <c r="G4" s="189">
        <v>129150</v>
      </c>
      <c r="H4" s="78">
        <f t="shared" si="0"/>
        <v>0</v>
      </c>
      <c r="J4" s="42">
        <f t="shared" ref="J4:J8" si="1">+C4+E4+G4</f>
        <v>225350</v>
      </c>
      <c r="K4" s="42">
        <f>IF(D4="",0,IF(F4="",D4,IF(H4="",D4+F4,D4+F4+H4)))</f>
        <v>2000</v>
      </c>
    </row>
    <row r="5" spans="1:11" x14ac:dyDescent="0.35">
      <c r="A5" s="47">
        <v>2</v>
      </c>
      <c r="B5" s="178" t="str">
        <f>Vendedor2!$B$2</f>
        <v>PUESTO 2</v>
      </c>
      <c r="C5" s="180">
        <v>61200</v>
      </c>
      <c r="D5" s="30">
        <v>300</v>
      </c>
      <c r="E5" s="180">
        <v>51250</v>
      </c>
      <c r="F5" s="30">
        <f t="shared" si="0"/>
        <v>0</v>
      </c>
      <c r="G5" s="180">
        <v>95250</v>
      </c>
      <c r="H5" s="30">
        <v>500</v>
      </c>
      <c r="J5" s="42">
        <f t="shared" si="1"/>
        <v>207700</v>
      </c>
      <c r="K5" s="42">
        <f t="shared" ref="K5:K27" si="2">IF(D5="",0,IF(F5="",D5,IF(H5="",D5+F5,D5+F5+H5)))</f>
        <v>800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81900</v>
      </c>
      <c r="D8" s="30">
        <v>900</v>
      </c>
      <c r="E8" s="180">
        <v>16400</v>
      </c>
      <c r="F8" s="30">
        <f t="shared" si="0"/>
        <v>0</v>
      </c>
      <c r="G8" s="180">
        <v>9800</v>
      </c>
      <c r="H8" s="30">
        <v>300</v>
      </c>
      <c r="J8" s="42">
        <f t="shared" si="1"/>
        <v>108100</v>
      </c>
      <c r="K8" s="42">
        <f t="shared" si="2"/>
        <v>1200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51700+99550</f>
        <v>151250</v>
      </c>
      <c r="D10" s="30">
        <f>250+100</f>
        <v>350</v>
      </c>
      <c r="E10" s="180">
        <f>45050+103850</f>
        <v>148900</v>
      </c>
      <c r="F10" s="30">
        <v>2150</v>
      </c>
      <c r="G10" s="180">
        <f>47550+95600</f>
        <v>143150</v>
      </c>
      <c r="H10" s="30">
        <f t="shared" si="0"/>
        <v>0</v>
      </c>
      <c r="J10" s="42">
        <f t="shared" si="3"/>
        <v>443300</v>
      </c>
      <c r="K10" s="42">
        <f t="shared" si="2"/>
        <v>2500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v>19500</v>
      </c>
      <c r="H11" s="30">
        <v>500</v>
      </c>
      <c r="J11" s="42">
        <f t="shared" si="3"/>
        <v>22500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50850</v>
      </c>
      <c r="D12" s="30">
        <v>250</v>
      </c>
      <c r="E12" s="180">
        <v>26700</v>
      </c>
      <c r="F12" s="30">
        <v>600</v>
      </c>
      <c r="G12" s="180">
        <v>35300</v>
      </c>
      <c r="H12" s="30">
        <f t="shared" si="0"/>
        <v>0</v>
      </c>
      <c r="J12" s="42">
        <f t="shared" si="3"/>
        <v>112850</v>
      </c>
      <c r="K12" s="42">
        <f t="shared" si="2"/>
        <v>850</v>
      </c>
    </row>
    <row r="13" spans="1:11" x14ac:dyDescent="0.35">
      <c r="A13" s="47">
        <v>10</v>
      </c>
      <c r="B13" s="178" t="str">
        <f>Vendedor10!$B$2</f>
        <v>MARIALIZ</v>
      </c>
      <c r="C13" s="180">
        <v>38800</v>
      </c>
      <c r="D13" s="30">
        <f t="shared" si="0"/>
        <v>0</v>
      </c>
      <c r="E13" s="180">
        <v>25050</v>
      </c>
      <c r="F13" s="30">
        <v>300</v>
      </c>
      <c r="G13" s="180">
        <v>89200</v>
      </c>
      <c r="H13" s="30">
        <v>1300</v>
      </c>
      <c r="J13" s="42">
        <f t="shared" si="3"/>
        <v>153050</v>
      </c>
      <c r="K13" s="42">
        <f t="shared" si="2"/>
        <v>1600</v>
      </c>
    </row>
    <row r="14" spans="1:11" x14ac:dyDescent="0.35">
      <c r="A14" s="47">
        <v>11</v>
      </c>
      <c r="B14" s="178" t="str">
        <f>Vendedor11!$B$2</f>
        <v>CHARLY</v>
      </c>
      <c r="C14" s="180">
        <v>49150</v>
      </c>
      <c r="D14" s="30">
        <v>500</v>
      </c>
      <c r="E14" s="180">
        <v>32800</v>
      </c>
      <c r="F14" s="30">
        <v>1000</v>
      </c>
      <c r="G14" s="180">
        <v>43800</v>
      </c>
      <c r="H14" s="30">
        <f t="shared" si="0"/>
        <v>0</v>
      </c>
      <c r="J14" s="42">
        <f t="shared" si="3"/>
        <v>125750</v>
      </c>
      <c r="K14" s="42">
        <f t="shared" si="2"/>
        <v>1500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14100</v>
      </c>
      <c r="D16" s="30">
        <v>0</v>
      </c>
      <c r="E16" s="180">
        <v>19500</v>
      </c>
      <c r="F16" s="30">
        <f t="shared" si="0"/>
        <v>0</v>
      </c>
      <c r="G16" s="180">
        <v>36850</v>
      </c>
      <c r="H16" s="30">
        <f t="shared" si="0"/>
        <v>0</v>
      </c>
      <c r="J16" s="42">
        <f t="shared" si="3"/>
        <v>70450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143500+46950</f>
        <v>190450</v>
      </c>
      <c r="D17" s="30">
        <f>2150+300</f>
        <v>2450</v>
      </c>
      <c r="E17" s="180">
        <f>118450+19600</f>
        <v>138050</v>
      </c>
      <c r="F17" s="30">
        <f>1250+0</f>
        <v>1250</v>
      </c>
      <c r="G17" s="180">
        <f>42350+243850</f>
        <v>286200</v>
      </c>
      <c r="H17" s="30">
        <f>300+1150</f>
        <v>1450</v>
      </c>
      <c r="J17" s="42">
        <f t="shared" si="3"/>
        <v>614700</v>
      </c>
      <c r="K17" s="42">
        <f t="shared" si="2"/>
        <v>5150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27000+16300</f>
        <v>43300</v>
      </c>
      <c r="D18" s="30">
        <v>100</v>
      </c>
      <c r="E18" s="180">
        <f>16050+28600</f>
        <v>44650</v>
      </c>
      <c r="F18" s="30">
        <f>300+0</f>
        <v>300</v>
      </c>
      <c r="G18" s="180">
        <f>28700+45850</f>
        <v>74550</v>
      </c>
      <c r="H18" s="30">
        <f>100+100</f>
        <v>200</v>
      </c>
      <c r="J18" s="42">
        <f t="shared" si="3"/>
        <v>162500</v>
      </c>
      <c r="K18" s="42">
        <f t="shared" si="2"/>
        <v>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743200</v>
      </c>
      <c r="D32" s="44">
        <f t="shared" si="6"/>
        <v>4850</v>
      </c>
      <c r="E32" s="43">
        <f t="shared" si="6"/>
        <v>540300</v>
      </c>
      <c r="F32" s="44">
        <f t="shared" si="6"/>
        <v>7600</v>
      </c>
      <c r="G32" s="43">
        <f t="shared" si="6"/>
        <v>962750</v>
      </c>
      <c r="H32" s="44">
        <f t="shared" si="6"/>
        <v>4250</v>
      </c>
      <c r="J32" s="95">
        <f>SUM(J4:J31)</f>
        <v>2246250</v>
      </c>
      <c r="K32" s="95"/>
    </row>
    <row r="33" spans="2:8" x14ac:dyDescent="0.35">
      <c r="D33" s="99">
        <f>+D32*85</f>
        <v>412250</v>
      </c>
      <c r="F33" s="99">
        <f>+F32*85</f>
        <v>646000</v>
      </c>
      <c r="H33" s="99">
        <f>+H32*85</f>
        <v>361250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>
        <f>250+500+100+2150+300+250+100+1200+0</f>
        <v>4850</v>
      </c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56</v>
      </c>
      <c r="D2" s="268"/>
      <c r="E2" s="267">
        <f>IF(PREMIOS!$B9="","",PREMIOS!$B9)</f>
        <v>57</v>
      </c>
      <c r="F2" s="268"/>
      <c r="G2" s="267">
        <f>IF(PREMIOS!$B13="","",PREMIOS!$B13)</f>
        <v>74</v>
      </c>
      <c r="H2" s="268"/>
      <c r="I2" s="267">
        <f>IF(PREMIOS!$B17="","",PREMIOS!$B17)</f>
        <v>10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29800</v>
      </c>
      <c r="D4" s="78">
        <f t="shared" ref="D4:J27" si="0">IF(C4="","",0)</f>
        <v>0</v>
      </c>
      <c r="E4" s="206">
        <v>33600</v>
      </c>
      <c r="F4" s="78">
        <f t="shared" si="0"/>
        <v>0</v>
      </c>
      <c r="G4" s="189">
        <v>5300</v>
      </c>
      <c r="H4" s="78">
        <f t="shared" ref="H4:H27" si="1">IF(G4="","",0)</f>
        <v>0</v>
      </c>
      <c r="I4" s="189">
        <v>5000</v>
      </c>
      <c r="J4" s="78">
        <f t="shared" si="0"/>
        <v>0</v>
      </c>
      <c r="L4" s="42">
        <f t="shared" ref="L4:L8" si="2">+C4+E4+G4+I4</f>
        <v>73700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39150</v>
      </c>
      <c r="D5" s="30">
        <f t="shared" si="0"/>
        <v>0</v>
      </c>
      <c r="E5" s="207">
        <v>27150</v>
      </c>
      <c r="F5" s="30">
        <v>1250</v>
      </c>
      <c r="G5" s="180">
        <v>8000</v>
      </c>
      <c r="H5" s="30">
        <f t="shared" si="1"/>
        <v>0</v>
      </c>
      <c r="I5" s="180">
        <v>2000</v>
      </c>
      <c r="J5" s="30">
        <f t="shared" ref="J5:J27" si="3">IF(I5="","",0)</f>
        <v>0</v>
      </c>
      <c r="L5" s="42">
        <f t="shared" si="2"/>
        <v>76300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91350</v>
      </c>
      <c r="D8" s="30">
        <v>300</v>
      </c>
      <c r="E8" s="207">
        <v>38600</v>
      </c>
      <c r="F8" s="30">
        <v>100</v>
      </c>
      <c r="G8" s="180">
        <v>7600</v>
      </c>
      <c r="H8" s="30">
        <f t="shared" si="1"/>
        <v>0</v>
      </c>
      <c r="I8" s="180">
        <v>8000</v>
      </c>
      <c r="J8" s="30">
        <v>200</v>
      </c>
      <c r="L8" s="42">
        <f t="shared" si="2"/>
        <v>145550</v>
      </c>
      <c r="M8" s="42">
        <f t="shared" si="4"/>
        <v>600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38800+24750</f>
        <v>63550</v>
      </c>
      <c r="D10" s="30">
        <v>50</v>
      </c>
      <c r="E10" s="207">
        <f>44800+45000</f>
        <v>89800</v>
      </c>
      <c r="F10" s="30">
        <v>300</v>
      </c>
      <c r="G10" s="180">
        <f>17050+18100</f>
        <v>35150</v>
      </c>
      <c r="H10" s="30">
        <f>100+0</f>
        <v>100</v>
      </c>
      <c r="I10" s="180">
        <f>29800+55100</f>
        <v>84900</v>
      </c>
      <c r="J10" s="30">
        <f>550+700</f>
        <v>1250</v>
      </c>
      <c r="L10" s="42">
        <f t="shared" si="5"/>
        <v>273400</v>
      </c>
      <c r="M10" s="42">
        <f t="shared" si="4"/>
        <v>1700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37150</v>
      </c>
      <c r="D12" s="30">
        <v>450</v>
      </c>
      <c r="E12" s="207">
        <v>24450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61600</v>
      </c>
      <c r="M12" s="42">
        <f t="shared" si="4"/>
        <v>950</v>
      </c>
    </row>
    <row r="13" spans="1:13" x14ac:dyDescent="0.35">
      <c r="A13" s="47">
        <v>10</v>
      </c>
      <c r="B13" s="178" t="str">
        <f>Vendedor10!$B$2</f>
        <v>MARIALIZ</v>
      </c>
      <c r="C13" s="180">
        <v>48650</v>
      </c>
      <c r="D13" s="30">
        <f t="shared" si="0"/>
        <v>0</v>
      </c>
      <c r="E13" s="207">
        <v>11100</v>
      </c>
      <c r="F13" s="30">
        <f t="shared" si="0"/>
        <v>0</v>
      </c>
      <c r="G13" s="180">
        <v>20000</v>
      </c>
      <c r="H13" s="30">
        <f t="shared" si="0"/>
        <v>0</v>
      </c>
      <c r="I13" s="180">
        <v>5300</v>
      </c>
      <c r="J13" s="30">
        <v>100</v>
      </c>
      <c r="L13" s="42">
        <f t="shared" si="5"/>
        <v>85050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14900</v>
      </c>
      <c r="D16" s="30">
        <f t="shared" si="0"/>
        <v>0</v>
      </c>
      <c r="E16" s="207">
        <v>13200</v>
      </c>
      <c r="F16" s="30">
        <f t="shared" si="0"/>
        <v>0</v>
      </c>
      <c r="G16" s="180">
        <v>14000</v>
      </c>
      <c r="H16" s="30">
        <f t="shared" si="0"/>
        <v>0</v>
      </c>
      <c r="I16" s="180">
        <v>10800</v>
      </c>
      <c r="J16" s="30">
        <v>100</v>
      </c>
      <c r="L16" s="42">
        <f t="shared" si="5"/>
        <v>52900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140450</v>
      </c>
      <c r="D17" s="30">
        <v>1800</v>
      </c>
      <c r="E17" s="207">
        <v>119250</v>
      </c>
      <c r="F17" s="30">
        <v>200</v>
      </c>
      <c r="G17" s="180">
        <v>86950</v>
      </c>
      <c r="H17" s="30">
        <v>500</v>
      </c>
      <c r="I17" s="180">
        <v>193400</v>
      </c>
      <c r="J17" s="30">
        <v>9100</v>
      </c>
      <c r="L17" s="42">
        <f t="shared" si="5"/>
        <v>540050</v>
      </c>
      <c r="M17" s="42">
        <f t="shared" si="4"/>
        <v>11600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52750</v>
      </c>
      <c r="D18" s="30">
        <f t="shared" si="0"/>
        <v>0</v>
      </c>
      <c r="E18" s="207">
        <v>47200</v>
      </c>
      <c r="F18" s="30">
        <v>700</v>
      </c>
      <c r="G18" s="180">
        <v>35050</v>
      </c>
      <c r="H18" s="30">
        <f t="shared" si="0"/>
        <v>0</v>
      </c>
      <c r="I18" s="180">
        <v>28200</v>
      </c>
      <c r="J18" s="30">
        <v>400</v>
      </c>
      <c r="L18" s="42">
        <f t="shared" si="5"/>
        <v>163200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517750</v>
      </c>
      <c r="D32" s="44">
        <f t="shared" si="7"/>
        <v>2600</v>
      </c>
      <c r="E32" s="43">
        <f t="shared" si="7"/>
        <v>404350</v>
      </c>
      <c r="F32" s="44">
        <f t="shared" si="7"/>
        <v>3050</v>
      </c>
      <c r="G32" s="43">
        <f t="shared" si="7"/>
        <v>212050</v>
      </c>
      <c r="H32" s="44">
        <f t="shared" si="7"/>
        <v>600</v>
      </c>
      <c r="I32" s="43">
        <f t="shared" si="7"/>
        <v>337600</v>
      </c>
      <c r="J32" s="44">
        <f t="shared" si="7"/>
        <v>11150</v>
      </c>
      <c r="L32" s="95">
        <f>SUM(L9:L31)</f>
        <v>1176200</v>
      </c>
      <c r="M32" s="95">
        <f>SUM(M9:M31)</f>
        <v>14250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06 Blanca</v>
      </c>
      <c r="D2" s="268"/>
      <c r="E2" s="267" t="str">
        <f>IF(E33=0,"",CONCATENATE(PREMIOS!$B11," ",PREMIOS!$B12))</f>
        <v>66 Roja</v>
      </c>
      <c r="F2" s="268"/>
      <c r="G2" s="267" t="str">
        <f>IF(G33=0,"",CONCATENATE(PREMIOS!$B15," ",PREMIOS!$B16))</f>
        <v>56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14150+5400</f>
        <v>19550</v>
      </c>
      <c r="D10" s="30">
        <f t="shared" si="0"/>
        <v>0</v>
      </c>
      <c r="E10" s="180">
        <f>17850+16350</f>
        <v>34200</v>
      </c>
      <c r="F10" s="30">
        <f t="shared" si="0"/>
        <v>0</v>
      </c>
      <c r="G10" s="180">
        <f>25050+8350</f>
        <v>33400</v>
      </c>
      <c r="H10" s="30">
        <f t="shared" si="0"/>
        <v>0</v>
      </c>
      <c r="J10" s="42">
        <f t="shared" si="3"/>
        <v>87150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2200</v>
      </c>
      <c r="D12" s="30">
        <f t="shared" si="0"/>
        <v>0</v>
      </c>
      <c r="E12" s="180">
        <v>600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33250</v>
      </c>
      <c r="D17" s="30">
        <v>200</v>
      </c>
      <c r="E17" s="180">
        <v>16900</v>
      </c>
      <c r="F17" s="30">
        <f t="shared" si="0"/>
        <v>0</v>
      </c>
      <c r="G17" s="180">
        <v>34500</v>
      </c>
      <c r="H17" s="30">
        <v>100</v>
      </c>
      <c r="J17" s="42">
        <f t="shared" si="3"/>
        <v>84650</v>
      </c>
      <c r="K17" s="42">
        <f t="shared" si="4"/>
        <v>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15300</v>
      </c>
      <c r="D18" s="30">
        <v>100</v>
      </c>
      <c r="E18" s="180">
        <v>15050</v>
      </c>
      <c r="F18" s="30">
        <v>300</v>
      </c>
      <c r="G18" s="180">
        <v>27700</v>
      </c>
      <c r="H18" s="30">
        <v>100</v>
      </c>
      <c r="J18" s="42">
        <f t="shared" si="3"/>
        <v>58050</v>
      </c>
      <c r="K18" s="42">
        <f t="shared" si="4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71800</v>
      </c>
      <c r="D33" s="44">
        <f t="shared" si="7"/>
        <v>300</v>
      </c>
      <c r="E33" s="43">
        <f t="shared" si="7"/>
        <v>66750</v>
      </c>
      <c r="F33" s="44">
        <f t="shared" si="7"/>
        <v>300</v>
      </c>
      <c r="G33" s="43">
        <f t="shared" si="7"/>
        <v>96600</v>
      </c>
      <c r="H33" s="44">
        <f t="shared" si="7"/>
        <v>200</v>
      </c>
      <c r="J33" s="45">
        <f>SUM(J4:J32)</f>
        <v>235150</v>
      </c>
      <c r="K33" s="95">
        <f>SUM(K4:K32)</f>
        <v>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26</v>
      </c>
      <c r="D2" s="268"/>
      <c r="E2" s="267">
        <f>IF(PREMIOS!$C19="","",PREMIOS!$C19)</f>
        <v>57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10150</v>
      </c>
      <c r="D4" s="78">
        <v>100</v>
      </c>
      <c r="E4" s="189">
        <v>2000</v>
      </c>
      <c r="F4" s="78">
        <f t="shared" ref="D4:F27" si="0">IF(E4="","",0)</f>
        <v>0</v>
      </c>
      <c r="H4" s="42">
        <f>+C4+E4</f>
        <v>12150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11450</v>
      </c>
      <c r="D8" s="30">
        <f t="shared" si="0"/>
        <v>0</v>
      </c>
      <c r="E8" s="194">
        <v>3600</v>
      </c>
      <c r="F8" s="195">
        <f t="shared" si="1"/>
        <v>0</v>
      </c>
      <c r="H8" s="42">
        <f t="shared" si="2"/>
        <v>15050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16400</v>
      </c>
      <c r="D10" s="30">
        <f t="shared" si="0"/>
        <v>0</v>
      </c>
      <c r="E10" s="180">
        <v>15600</v>
      </c>
      <c r="F10" s="195">
        <f t="shared" si="1"/>
        <v>0</v>
      </c>
      <c r="H10" s="42">
        <f t="shared" si="2"/>
        <v>32000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40600</v>
      </c>
      <c r="D12" s="30">
        <v>550</v>
      </c>
      <c r="E12" s="194"/>
      <c r="F12" s="30" t="str">
        <f t="shared" si="0"/>
        <v/>
      </c>
      <c r="H12" s="42">
        <f t="shared" si="2"/>
        <v>40600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8800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8800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84050</v>
      </c>
      <c r="D17" s="195">
        <v>100</v>
      </c>
      <c r="E17" s="180">
        <v>54950</v>
      </c>
      <c r="F17" s="30">
        <v>150</v>
      </c>
      <c r="H17" s="42">
        <f t="shared" si="2"/>
        <v>139000</v>
      </c>
      <c r="I17" s="42">
        <f t="shared" si="3"/>
        <v>250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51700</v>
      </c>
      <c r="D18" s="195">
        <f t="shared" si="0"/>
        <v>0</v>
      </c>
      <c r="E18" s="180">
        <v>46300</v>
      </c>
      <c r="F18" s="30">
        <v>700</v>
      </c>
      <c r="H18" s="42">
        <f t="shared" si="2"/>
        <v>98000</v>
      </c>
      <c r="I18" s="42">
        <f t="shared" si="3"/>
        <v>700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223150</v>
      </c>
      <c r="D33" s="44">
        <f>SUM(D4:D32)</f>
        <v>750</v>
      </c>
      <c r="E33" s="43">
        <f>SUM(E4:E32)</f>
        <v>122450</v>
      </c>
      <c r="F33" s="44">
        <f>SUM(F4:F32)</f>
        <v>850</v>
      </c>
      <c r="H33" s="95">
        <f>SUM(H4:H32)</f>
        <v>345600</v>
      </c>
      <c r="I33" s="95">
        <f>SUM(I4:I32)</f>
        <v>1600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11</v>
      </c>
      <c r="D2" s="268"/>
      <c r="E2" s="267" t="str">
        <f>IF(PREMIOS!$C20="","",PREMIOS!$C20)</f>
        <v>09</v>
      </c>
      <c r="F2" s="268"/>
      <c r="G2" s="267" t="str">
        <f>IF(PREMIOS!$D20="","",PREMIOS!$D20)</f>
        <v>00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9300</v>
      </c>
      <c r="D10" s="195">
        <v>500</v>
      </c>
      <c r="E10" s="180">
        <v>2000</v>
      </c>
      <c r="F10" s="30">
        <f t="shared" si="0"/>
        <v>0</v>
      </c>
      <c r="G10" s="180">
        <v>6900</v>
      </c>
      <c r="H10" s="195">
        <v>2500</v>
      </c>
      <c r="J10" s="42">
        <f t="shared" si="3"/>
        <v>18200</v>
      </c>
      <c r="K10" s="42">
        <f t="shared" si="4"/>
        <v>3000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9250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9250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600</v>
      </c>
      <c r="F16" s="195">
        <f t="shared" si="1"/>
        <v>0</v>
      </c>
      <c r="G16" s="194"/>
      <c r="H16" s="195" t="str">
        <f>IF(G16="","",0)</f>
        <v/>
      </c>
      <c r="J16" s="42">
        <f t="shared" si="3"/>
        <v>600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33550</v>
      </c>
      <c r="D17" s="195">
        <v>550</v>
      </c>
      <c r="E17" s="194">
        <v>18400</v>
      </c>
      <c r="F17" s="195">
        <v>550</v>
      </c>
      <c r="G17" s="194">
        <v>22200</v>
      </c>
      <c r="H17" s="195">
        <f t="shared" si="2"/>
        <v>0</v>
      </c>
      <c r="J17" s="42">
        <f t="shared" si="3"/>
        <v>74150</v>
      </c>
      <c r="K17" s="42">
        <f t="shared" si="4"/>
        <v>1100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21200</v>
      </c>
      <c r="D18" s="195">
        <f t="shared" si="0"/>
        <v>0</v>
      </c>
      <c r="E18" s="180">
        <v>12400</v>
      </c>
      <c r="F18" s="30">
        <v>200</v>
      </c>
      <c r="G18" s="180">
        <v>5000</v>
      </c>
      <c r="H18" s="30">
        <f t="shared" si="2"/>
        <v>0</v>
      </c>
      <c r="J18" s="42">
        <f t="shared" si="3"/>
        <v>38600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73300</v>
      </c>
      <c r="D33" s="44">
        <f t="shared" si="6"/>
        <v>1250</v>
      </c>
      <c r="E33" s="43">
        <f t="shared" si="6"/>
        <v>33400</v>
      </c>
      <c r="F33" s="44">
        <f t="shared" si="6"/>
        <v>750</v>
      </c>
      <c r="G33" s="43">
        <f t="shared" si="6"/>
        <v>34100</v>
      </c>
      <c r="H33" s="44">
        <f t="shared" si="6"/>
        <v>2500</v>
      </c>
      <c r="J33" s="45">
        <f>SUM(J4:J32)</f>
        <v>140800</v>
      </c>
      <c r="K33" s="95">
        <f>SUM(K4:K32)</f>
        <v>4500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69</v>
      </c>
      <c r="D2" s="268"/>
      <c r="E2" s="267" t="str">
        <f>IF(PREMIOS!$C21="","",PREMIOS!$C21)</f>
        <v>09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42000</v>
      </c>
      <c r="D10" s="30">
        <f t="shared" si="0"/>
        <v>0</v>
      </c>
      <c r="E10" s="180">
        <v>48500</v>
      </c>
      <c r="F10" s="30">
        <f t="shared" si="0"/>
        <v>0</v>
      </c>
      <c r="H10" s="42">
        <f t="shared" si="2"/>
        <v>90500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42000</v>
      </c>
      <c r="D33" s="44">
        <f>SUM(D4:D32)</f>
        <v>0</v>
      </c>
      <c r="E33" s="43">
        <f>SUM(E4:E32)</f>
        <v>48500</v>
      </c>
      <c r="F33" s="44">
        <f>SUM(F4:F32)</f>
        <v>0</v>
      </c>
      <c r="H33" s="45">
        <f>SUM(H4:H32)</f>
        <v>90500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2026-05-23T18:03:03Z</dcterms:modified>
  <dc:language>es-CR</dc:language>
</cp:coreProperties>
</file>
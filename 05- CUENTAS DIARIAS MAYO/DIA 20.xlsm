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73" documentId="11_068DD2496E7576B2D884A75F9C966BBE5EA08E1C" xr6:coauthVersionLast="47" xr6:coauthVersionMax="47" xr10:uidLastSave="{36858CDA-3005-4908-9243-7D35BCA170D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4"/>
  <c r="B2" i="16"/>
  <c r="B2" i="21"/>
  <c r="B2" i="22"/>
  <c r="I5" i="69"/>
  <c r="B2" i="15" s="1"/>
  <c r="K12" i="69"/>
  <c r="G10" i="62"/>
  <c r="E10" i="62"/>
  <c r="J10" i="61"/>
  <c r="I10" i="61"/>
  <c r="G10" i="61"/>
  <c r="G10" i="60"/>
  <c r="H17" i="60"/>
  <c r="G17" i="60"/>
  <c r="G18" i="60"/>
  <c r="F10" i="60"/>
  <c r="E10" i="60"/>
  <c r="F17" i="60"/>
  <c r="E17" i="60"/>
  <c r="E18" i="60"/>
  <c r="C10" i="62"/>
  <c r="E10" i="61"/>
  <c r="C10" i="61"/>
  <c r="D10" i="60"/>
  <c r="C10" i="60"/>
  <c r="D18" i="60"/>
  <c r="C18" i="60"/>
  <c r="D17" i="60"/>
  <c r="C17" i="60"/>
  <c r="D12" i="65" l="1"/>
  <c r="D11" i="65"/>
  <c r="D10" i="65"/>
  <c r="D10" i="61"/>
  <c r="D9" i="61"/>
  <c r="D8" i="61"/>
  <c r="C23" i="15"/>
  <c r="D23" i="15" s="1"/>
  <c r="C22" i="15"/>
  <c r="E16" i="71" s="1"/>
  <c r="C21" i="15"/>
  <c r="C16" i="71" s="1"/>
  <c r="H16" i="64"/>
  <c r="E23" i="15" s="1"/>
  <c r="F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G16" i="71" l="1"/>
  <c r="H16" i="71"/>
  <c r="D22" i="15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5" i="60"/>
  <c r="D35" i="60" s="1"/>
  <c r="D11" i="60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F8" i="65"/>
  <c r="F18" i="62"/>
  <c r="F10" i="62"/>
  <c r="D5" i="61"/>
  <c r="F18" i="61"/>
  <c r="F16" i="61"/>
  <c r="D6" i="60"/>
  <c r="F18" i="60"/>
  <c r="F15" i="60"/>
  <c r="F11" i="60"/>
  <c r="F35" i="60" s="1"/>
  <c r="F9" i="60"/>
  <c r="F8" i="60"/>
  <c r="F7" i="60"/>
  <c r="F6" i="60"/>
  <c r="H15" i="60"/>
  <c r="H14" i="60"/>
  <c r="H13" i="60"/>
  <c r="H12" i="60"/>
  <c r="H11" i="60"/>
  <c r="H9" i="60"/>
  <c r="H8" i="60"/>
  <c r="H7" i="60"/>
  <c r="H6" i="60"/>
  <c r="H5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N15" i="72"/>
  <c r="J32" i="64"/>
  <c r="K20" i="19"/>
  <c r="K9" i="19"/>
  <c r="L20" i="71"/>
  <c r="M20" i="71" s="1"/>
  <c r="J30" i="71"/>
  <c r="K30" i="71" s="1"/>
  <c r="I15" i="72"/>
  <c r="H24" i="72"/>
  <c r="H31" i="72"/>
  <c r="E27" i="72"/>
  <c r="J31" i="64"/>
  <c r="E33" i="66"/>
  <c r="H22" i="70"/>
  <c r="J25" i="70"/>
  <c r="K25" i="70" s="1"/>
  <c r="J29" i="71"/>
  <c r="J21" i="72"/>
  <c r="K21" i="72" s="1"/>
  <c r="J31" i="72"/>
  <c r="K31" i="72" s="1"/>
  <c r="F27" i="72"/>
  <c r="L7" i="23"/>
  <c r="D26" i="21"/>
  <c r="J10" i="21"/>
  <c r="J26" i="71"/>
  <c r="L29" i="71"/>
  <c r="M29" i="71" s="1"/>
  <c r="K28" i="70"/>
  <c r="J29" i="64"/>
  <c r="F25" i="19"/>
  <c r="L9" i="19" s="1"/>
  <c r="F18" i="72"/>
  <c r="L28" i="71"/>
  <c r="M28" i="71" s="1"/>
  <c r="H30" i="66"/>
  <c r="H33" i="66" s="1"/>
  <c r="H21" i="70"/>
  <c r="J24" i="70"/>
  <c r="K24" i="70" s="1"/>
  <c r="L25" i="71"/>
  <c r="M25" i="71" s="1"/>
  <c r="J23" i="72"/>
  <c r="K23" i="72" s="1"/>
  <c r="K27" i="64"/>
  <c r="J21" i="70"/>
  <c r="K21" i="70" s="1"/>
  <c r="H28" i="72"/>
  <c r="D17" i="72"/>
  <c r="F16" i="71"/>
  <c r="L16" i="71" s="1"/>
  <c r="M16" i="71" s="1"/>
  <c r="F22" i="15"/>
  <c r="L8" i="15" s="1"/>
  <c r="G22" i="15"/>
  <c r="C17" i="73"/>
  <c r="F17" i="73" s="1"/>
  <c r="J10" i="8"/>
  <c r="D26" i="19"/>
  <c r="J10" i="19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0" i="71" l="1"/>
  <c r="N27" i="72"/>
  <c r="K20" i="21"/>
  <c r="K10" i="21"/>
  <c r="L27" i="70"/>
  <c r="L27" i="71"/>
  <c r="M27" i="71" s="1"/>
  <c r="K21" i="8"/>
  <c r="K10" i="8"/>
  <c r="G26" i="8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F17" i="52" l="1"/>
  <c r="F12" i="8"/>
  <c r="M26" i="52"/>
  <c r="J5" i="23"/>
  <c r="J4" i="23"/>
  <c r="M20" i="52"/>
  <c r="C24" i="15"/>
  <c r="L5" i="23"/>
  <c r="M25" i="52"/>
  <c r="J5" i="19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J32" i="61"/>
  <c r="C32" i="61"/>
  <c r="I32" i="61"/>
  <c r="D32" i="61"/>
  <c r="K4" i="23"/>
  <c r="L19" i="71"/>
  <c r="M19" i="71" s="1"/>
  <c r="F24" i="15"/>
  <c r="H32" i="60"/>
  <c r="K5" i="23"/>
  <c r="J19" i="70"/>
  <c r="K19" i="70" s="1"/>
  <c r="G32" i="61"/>
  <c r="F32" i="61"/>
  <c r="L6" i="2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3" i="58"/>
  <c r="P24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4" i="52"/>
  <c r="C3" i="1" s="1"/>
  <c r="B3" i="1"/>
  <c r="K6" i="52"/>
  <c r="C5" i="1" s="1"/>
  <c r="B5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<sst xmlns="http://schemas.openxmlformats.org/spreadsheetml/2006/main" count="1294" uniqueCount="161">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</sst>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206500</v>
      </c>
      <c r="C3" s="9">
        <f>+HojaTICA!K4+HojaNICA!M4+HojaREVENTADO!K4+HojaPrimera!I4+HojaHonduras!K4+HojaDominicana!I4+HojaPANA!G4</f>
        <v>26900</v>
      </c>
      <c r="D3" s="9">
        <f>+HojaTICA!N4+HojaNICA!P4+HojaREVENTADO!O4+HojaPrimera!L4+HojaHonduras!N4+HojaDominicana!L4+HojaPANA!J4</f>
        <v>96500</v>
      </c>
      <c r="F3" s="10">
        <f t="shared" ref="F3:F27" si="0">+B3-C3-D3</f>
        <v>83100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195650</v>
      </c>
      <c r="C4" s="9">
        <f>+HojaTICA!K5+HojaNICA!M5+HojaREVENTADO!K5+HojaPrimera!I5+HojaHonduras!K5+HojaDominicana!I5+HojaPANA!G5</f>
        <v>25450</v>
      </c>
      <c r="D4" s="9">
        <f>+HojaTICA!N5+HojaNICA!P5+HojaREVENTADO!O5+HojaPrimera!L5+HojaHonduras!N5+HojaDominicana!L5+HojaPANA!J5</f>
        <v>382500</v>
      </c>
      <c r="F4" s="14">
        <f t="shared" si="0"/>
        <v>-212300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4000</v>
      </c>
      <c r="C6" s="9">
        <f>+HojaTICA!K7+HojaNICA!M7+HojaREVENTADO!K7+HojaPrimera!I7+HojaHonduras!K7+HojaDominicana!I7+HojaPANA!G7</f>
        <v>500</v>
      </c>
      <c r="D6" s="9">
        <f>+HojaTICA!N7+HojaNICA!P7+HojaREVENTADO!O7+HojaPrimera!L7+HojaHonduras!N7+HojaDominicana!L7+HojaPANA!J7</f>
        <v>0</v>
      </c>
      <c r="F6" s="14">
        <f t="shared" si="0"/>
        <v>3500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33100</v>
      </c>
      <c r="C7" s="9">
        <f>+HojaTICA!K8+HojaNICA!M8+HojaREVENTADO!K8+HojaPrimera!I8+HojaHonduras!K8+HojaDominicana!I8+HojaPANA!G8</f>
        <v>4000</v>
      </c>
      <c r="D7" s="9">
        <f>+HojaTICA!N8+HojaNICA!P8+HojaREVENTADO!O8+HojaPrimera!L8+HojaHonduras!N8+HojaDominicana!L8+HojaPANA!J8</f>
        <v>52000</v>
      </c>
      <c r="F7" s="14">
        <f t="shared" si="0"/>
        <v>-22900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957350</v>
      </c>
      <c r="C9" s="9">
        <f>+HojaTICA!K10+HojaNICA!M10+HojaREVENTADO!K10+HojaPrimera!I10+HojaHonduras!K10+HojaDominicana!I10+HojaPANA!G10</f>
        <v>113210</v>
      </c>
      <c r="D9" s="9">
        <f>+HojaTICA!N10+HojaNICA!P10+HojaREVENTADO!O10+HojaPrimera!L10+HojaHonduras!N10+HojaDominicana!L10+HojaPANA!J10</f>
        <v>531250</v>
      </c>
      <c r="F9" s="14">
        <f t="shared" si="0"/>
        <v>312890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2500</v>
      </c>
      <c r="C10" s="9">
        <f>+HojaTICA!K11+HojaNICA!M11+HojaREVENTADO!K11+HojaPrimera!I11+HojaHonduras!K11+HojaDominicana!I11+HojaPANA!G11</f>
        <v>300</v>
      </c>
      <c r="D10" s="9">
        <f>+HojaTICA!N11+HojaNICA!P11+HojaREVENTADO!O11+HojaPrimera!L11+HojaHonduras!N11+HojaDominicana!L11+HojaPANA!J11</f>
        <v>0</v>
      </c>
      <c r="F10" s="14">
        <f t="shared" si="0"/>
        <v>2200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75850</v>
      </c>
      <c r="C11" s="9">
        <f>+HojaTICA!K12+HojaNICA!M12+HojaREVENTADO!K12+HojaPrimera!I12+HojaHonduras!K12+HojaDominicana!I12+HojaPANA!G12</f>
        <v>9050</v>
      </c>
      <c r="D11" s="9">
        <f>+HojaTICA!N12+HojaNICA!P12+HojaREVENTADO!O12+HojaPrimera!L12+HojaHonduras!N12+HojaDominicana!L12+HojaPANA!J12</f>
        <v>403750</v>
      </c>
      <c r="F11" s="14">
        <f t="shared" si="0"/>
        <v>-336950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191100</v>
      </c>
      <c r="C12" s="9">
        <f>+HojaTICA!K13+HojaNICA!M13+HojaREVENTADO!K13+HojaPrimera!I13+HojaHonduras!K13+HojaDominicana!I13+HojaPANA!G13</f>
        <v>22950</v>
      </c>
      <c r="D12" s="9">
        <f>+HojaTICA!N13+HojaNICA!P13+HojaREVENTADO!O13+HojaPrimera!L13+HojaHonduras!N13+HojaDominicana!L13+HojaPANA!J13</f>
        <v>86250</v>
      </c>
      <c r="F12" s="14">
        <f t="shared" si="0"/>
        <v>81900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119700</v>
      </c>
      <c r="C13" s="9">
        <f>+HojaTICA!K14+HojaNICA!M14+HojaREVENTADO!K14+HojaPrimera!I14+HojaHonduras!K14+HojaDominicana!I14+HojaPANA!G14</f>
        <v>17950</v>
      </c>
      <c r="D13" s="9">
        <f>+HojaTICA!N14+HojaNICA!P14+HojaREVENTADO!O14+HojaPrimera!L14+HojaHonduras!N14+HojaDominicana!L14+HojaPANA!J14</f>
        <v>484000</v>
      </c>
      <c r="F13" s="14">
        <f t="shared" si="0"/>
        <v>-382250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 ca="1">Vendedor13!B$2</f>
        <v>MINERO 22-05-2026</v>
      </c>
      <c r="B15" s="9">
        <f>+HojaTICA!J16+HojaNICA!L16+HojaREVENTADO!J16+HojaPrimera!H16+HojaHonduras!J16+HojaDominicana!H16+HojaPANA!F16</f>
        <v>124100</v>
      </c>
      <c r="C15" s="9">
        <f>+HojaTICA!K16+HojaNICA!M16+HojaREVENTADO!K16+HojaPrimera!I16+HojaHonduras!K16+HojaDominicana!I16+HojaPANA!G16</f>
        <v>14900</v>
      </c>
      <c r="D15" s="9">
        <f>+HojaTICA!N16+HojaNICA!P16+HojaREVENTADO!O16+HojaPrimera!L16+HojaHonduras!N16+HojaDominicana!L16+HojaPANA!J16</f>
        <v>63000</v>
      </c>
      <c r="F15" s="14">
        <f t="shared" si="0"/>
        <v>46200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1140900</v>
      </c>
      <c r="C16" s="9">
        <f>+HojaTICA!K17+HojaNICA!M17+HojaREVENTADO!K17+HojaPrimera!I17+HojaHonduras!K17+HojaDominicana!I17+HojaPANA!G17</f>
        <v>135395</v>
      </c>
      <c r="D16" s="9">
        <f>+HojaTICA!N17+HojaNICA!P17+HojaREVENTADO!O17+HojaPrimera!L17+HojaHonduras!N17+HojaDominicana!L17+HojaPANA!J17</f>
        <v>973250</v>
      </c>
      <c r="F16" s="14">
        <f t="shared" si="0"/>
        <v>32255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414050</v>
      </c>
      <c r="C17" s="9">
        <f>+HojaTICA!K18+HojaNICA!M18+HojaREVENTADO!K18+HojaPrimera!I18+HojaHonduras!K18+HojaDominicana!I18+HojaPANA!G18</f>
        <v>48805</v>
      </c>
      <c r="D17" s="9">
        <f>+HojaTICA!N18+HojaNICA!P18+HojaREVENTADO!O18+HojaPrimera!L18+HojaHonduras!N18+HojaDominicana!L18+HojaPANA!J18</f>
        <v>215500</v>
      </c>
      <c r="F17" s="14">
        <f t="shared" si="0"/>
        <v>149745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3464800</v>
      </c>
      <c r="C28" s="17">
        <f t="shared" si="1"/>
        <v>419410</v>
      </c>
      <c r="D28" s="18">
        <f t="shared" si="1"/>
        <v>3288000</v>
      </c>
      <c r="F28" s="20">
        <f>SUM(F3:F27)</f>
        <v>-242610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9" sqref="C9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160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95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51</v>
      </c>
      <c r="C19" s="132">
        <v>56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81</v>
      </c>
      <c r="D20" s="166">
        <v>84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37</v>
      </c>
      <c r="C21" s="164">
        <v>16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03</v>
      </c>
      <c r="D2" s="268"/>
      <c r="E2" s="267">
        <f>DigitaTICA!E2</f>
        <v>44</v>
      </c>
      <c r="F2" s="268"/>
      <c r="G2" s="267">
        <f>DigitaTICA!G2</f>
        <v>95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64800</v>
      </c>
      <c r="D4" s="30">
        <f>IF(Vendedor1!$E$7="",0,Vendedor1!$E$7)</f>
        <v>200</v>
      </c>
      <c r="E4" s="180">
        <f>IF(Vendedor1!$C$11="",0,Vendedor1!$C$11)</f>
        <v>42500</v>
      </c>
      <c r="F4" s="30">
        <f>IF(Vendedor1!$E$11="",0,Vendedor1!$E$11)</f>
        <v>250</v>
      </c>
      <c r="G4" s="180">
        <f>IF(Vendedor1!$C$15="",0,Vendedor1!$C$15)</f>
        <v>64200</v>
      </c>
      <c r="H4" s="30">
        <f>IF(Vendedor1!$E$15="",0,Vendedor1!$E$15)</f>
        <v>450</v>
      </c>
      <c r="J4" s="42">
        <f t="shared" ref="J4:J7" si="0">+C4+E4+G4</f>
        <v>171500</v>
      </c>
      <c r="K4" s="41">
        <f>MROUND(J4*Vendedor1!J$9,50)</f>
        <v>22300</v>
      </c>
      <c r="L4" s="42">
        <f t="shared" ref="L4:L7" si="1">+D4+F4+H4</f>
        <v>900</v>
      </c>
      <c r="M4" s="42">
        <f t="shared" ref="M4:M7" si="2">+L4*85</f>
        <v>76500</v>
      </c>
      <c r="N4" s="42">
        <f>Vendedor1!$F$7+Vendedor1!$F$11+Vendedor1!$F$15</f>
        <v>76500</v>
      </c>
      <c r="P4" s="42">
        <f t="shared" ref="P4:P7" si="3">+J4-K4-N4</f>
        <v>72700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55550</v>
      </c>
      <c r="D5" s="30">
        <f>IF(Vendedor2!$E$7="",0,Vendedor2!$E$7)</f>
        <v>3250</v>
      </c>
      <c r="E5" s="180">
        <f>IF(Vendedor2!$C$11="",0,Vendedor2!$C$11)</f>
        <v>25300</v>
      </c>
      <c r="F5" s="30">
        <f>IF(Vendedor2!$E$11="",0,Vendedor2!$E$11)</f>
        <v>1250</v>
      </c>
      <c r="G5" s="180">
        <f>IF(Vendedor2!$C$15="",0,Vendedor2!$C$15)</f>
        <v>55550</v>
      </c>
      <c r="H5" s="30">
        <f>IF(Vendedor2!$E$15="",0,Vendedor2!$E$15)</f>
        <v>0</v>
      </c>
      <c r="J5" s="42">
        <f t="shared" si="0"/>
        <v>136400</v>
      </c>
      <c r="K5" s="41">
        <f>MROUND(J5*Vendedor2!J$9,50)</f>
        <v>17750</v>
      </c>
      <c r="L5" s="42">
        <f t="shared" si="1"/>
        <v>4500</v>
      </c>
      <c r="M5" s="42">
        <f t="shared" si="2"/>
        <v>382500</v>
      </c>
      <c r="N5" s="42">
        <f>Vendedor2!$F$7+Vendedor2!$F$11+Vendedor2!$F$15</f>
        <v>382500</v>
      </c>
      <c r="P5" s="42">
        <f t="shared" si="3"/>
        <v>-263850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4000</v>
      </c>
      <c r="H7" s="30">
        <f>IF(Vendedor4!$E$15="",0,Vendedor4!$E$15)</f>
        <v>0</v>
      </c>
      <c r="J7" s="42">
        <f t="shared" si="0"/>
        <v>4000</v>
      </c>
      <c r="K7" s="41">
        <f>MROUND(J7*Vendedor4!J$9,50)</f>
        <v>500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3500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6400</v>
      </c>
      <c r="D8" s="30">
        <f>IF(Vendedor5!$E$7="",0,Vendedor5!$E$7)</f>
        <v>0</v>
      </c>
      <c r="E8" s="180">
        <f>IF(Vendedor5!$C$11="",0,Vendedor5!$C$11)</f>
        <v>2500</v>
      </c>
      <c r="F8" s="30">
        <f>IF(Vendedor5!$E$11="",0,Vendedor5!$E$11)</f>
        <v>0</v>
      </c>
      <c r="G8" s="180">
        <f>IF(Vendedor5!$C$15="",0,Vendedor5!$C$15)</f>
        <v>3000</v>
      </c>
      <c r="H8" s="30">
        <f>IF(Vendedor5!$E$15="",0,Vendedor5!$E$15)</f>
        <v>0</v>
      </c>
      <c r="J8" s="42">
        <f t="shared" ref="J8" si="4">+C8+E8+G8</f>
        <v>11900</v>
      </c>
      <c r="K8" s="41">
        <f>MROUND(J8*Vendedor5!J$11,50)</f>
        <v>1450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10450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130150</v>
      </c>
      <c r="D10" s="30">
        <f>IF(Vendedor7!$E$7="",0,Vendedor7!$E$7)</f>
        <v>300</v>
      </c>
      <c r="E10" s="180">
        <f>IF(Vendedor7!$C$11="",0,Vendedor7!$C$11)</f>
        <v>118700</v>
      </c>
      <c r="F10" s="30">
        <f>IF(Vendedor7!$E$11="",0,Vendedor7!$E$11)</f>
        <v>1000</v>
      </c>
      <c r="G10" s="180">
        <f>IF(Vendedor7!$C$15="",0,Vendedor7!$C$15)</f>
        <v>160750</v>
      </c>
      <c r="H10" s="30">
        <f>IF(Vendedor7!$E$15="",0,Vendedor7!$E$15)</f>
        <v>1300</v>
      </c>
      <c r="J10" s="42">
        <f t="shared" si="8"/>
        <v>409600</v>
      </c>
      <c r="K10" s="41">
        <f>MROUND(J10*Vendedor7!J$14,50)</f>
        <v>49150</v>
      </c>
      <c r="L10" s="42">
        <f t="shared" si="9"/>
        <v>2600</v>
      </c>
      <c r="M10" s="42">
        <f t="shared" si="10"/>
        <v>221000</v>
      </c>
      <c r="N10" s="42">
        <f>Vendedor7!$F$7+Vendedor7!$F$11+Vendedor7!$F$15</f>
        <v>221000</v>
      </c>
      <c r="P10" s="42">
        <f t="shared" si="11"/>
        <v>139450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2500</v>
      </c>
      <c r="H11" s="30">
        <f>IF(Vendedor8!$E$15="",0,Vendedor8!$E$15)</f>
        <v>0</v>
      </c>
      <c r="J11" s="42">
        <f t="shared" si="8"/>
        <v>2500</v>
      </c>
      <c r="K11" s="41">
        <f>MROUND(J11*Vendedor8!J$11,50)</f>
        <v>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12450</v>
      </c>
      <c r="D12" s="30">
        <f>IF(Vendedor9!$E$7="",0,Vendedor9!$E$7)</f>
        <v>3000</v>
      </c>
      <c r="E12" s="180">
        <f>IF(Vendedor9!$C$11="",0,Vendedor9!$C$11)</f>
        <v>10900</v>
      </c>
      <c r="F12" s="30">
        <f>IF(Vendedor9!$E$11="",0,Vendedor9!$E$11)</f>
        <v>1750</v>
      </c>
      <c r="G12" s="180">
        <f>IF(Vendedor9!$C$15="",0,Vendedor9!$C$15)</f>
        <v>10900</v>
      </c>
      <c r="H12" s="30">
        <f>IF(Vendedor9!$E$15="",0,Vendedor9!$E$15)</f>
        <v>0</v>
      </c>
      <c r="J12" s="42">
        <f t="shared" si="8"/>
        <v>34250</v>
      </c>
      <c r="K12" s="41">
        <f>MROUND(J12*Vendedor9!J$11,50)</f>
        <v>4100</v>
      </c>
      <c r="L12" s="42">
        <f t="shared" si="9"/>
        <v>4750</v>
      </c>
      <c r="M12" s="42">
        <f t="shared" si="10"/>
        <v>403750</v>
      </c>
      <c r="N12" s="42">
        <f>Vendedor9!$F$7+Vendedor9!$F$11+Vendedor9!$F$15</f>
        <v>403750</v>
      </c>
      <c r="P12" s="42">
        <f t="shared" si="11"/>
        <v>-373600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41850</v>
      </c>
      <c r="D13" s="30">
        <f>IF(Vendedor10!$E$7="",0,Vendedor10!$E$7)</f>
        <v>300</v>
      </c>
      <c r="E13" s="180">
        <f>IF(Vendedor10!$C$11="",0,Vendedor10!$C$11)</f>
        <v>15350</v>
      </c>
      <c r="F13" s="30">
        <f>IF(Vendedor10!$E$11="",0,Vendedor10!$E$11)</f>
        <v>150</v>
      </c>
      <c r="G13" s="180">
        <f>IF(Vendedor10!$C$15="",0,Vendedor10!$C$15)</f>
        <v>67600</v>
      </c>
      <c r="H13" s="30">
        <f>IF(Vendedor10!$E$15="",0,Vendedor10!$E$15)</f>
        <v>0</v>
      </c>
      <c r="J13" s="42">
        <f t="shared" si="8"/>
        <v>124800</v>
      </c>
      <c r="K13" s="41">
        <f>MROUND(J13*Vendedor10!J$9,50)</f>
        <v>15000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71550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47400</v>
      </c>
      <c r="D14" s="30">
        <f>IF(Vendedor11!$E$7="",0,Vendedor11!$E$7)</f>
        <v>5050</v>
      </c>
      <c r="E14" s="180">
        <f>IF(Vendedor11!$C$11="",0,Vendedor11!$C$11)</f>
        <v>30150</v>
      </c>
      <c r="F14" s="30">
        <f>IF(Vendedor11!$E$11="",0,Vendedor11!$E$11)</f>
        <v>1000</v>
      </c>
      <c r="G14" s="180">
        <f>IF(Vendedor11!$C$15="",0,Vendedor11!$C$15)</f>
        <v>42150</v>
      </c>
      <c r="H14" s="30">
        <f>IF(Vendedor11!$E$15="",0,Vendedor11!$E$15)</f>
        <v>0</v>
      </c>
      <c r="J14" s="42">
        <f t="shared" si="8"/>
        <v>119700</v>
      </c>
      <c r="K14" s="41">
        <f>MROUND(J14*Vendedor11!J$9,50)</f>
        <v>17950</v>
      </c>
      <c r="L14" s="42">
        <f t="shared" si="9"/>
        <v>6050</v>
      </c>
      <c r="M14" s="42">
        <f t="shared" si="10"/>
        <v>514250</v>
      </c>
      <c r="N14" s="42">
        <f>Vendedor11!$F$7+Vendedor11!$F$11+Vendedor11!$F$15</f>
        <v>484000</v>
      </c>
      <c r="P14" s="42">
        <f t="shared" si="11"/>
        <v>-382250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 ca="1">Vendedor13!$B$2</f>
        <v>MINERO 22-05-2026</v>
      </c>
      <c r="C16" s="180">
        <f>IF(Vendedor13!$C$7="",0,Vendedor13!$C$7)</f>
        <v>21300</v>
      </c>
      <c r="D16" s="30">
        <f>IF(Vendedor13!$E$7="",0,Vendedor13!$E$7)</f>
        <v>150</v>
      </c>
      <c r="E16" s="180">
        <f>IF(Vendedor13!$C$11="",0,Vendedor13!$C$11)</f>
        <v>14600</v>
      </c>
      <c r="F16" s="30">
        <f>IF(Vendedor13!$E$11="",0,Vendedor13!$E$11)</f>
        <v>350</v>
      </c>
      <c r="G16" s="180">
        <f>IF(Vendedor13!$C$15="",0,Vendedor13!$C$15)</f>
        <v>21500</v>
      </c>
      <c r="H16" s="30">
        <f>IF(Vendedor13!$E$15="",0,Vendedor13!$E$15)</f>
        <v>100</v>
      </c>
      <c r="J16" s="42">
        <f t="shared" si="8"/>
        <v>57400</v>
      </c>
      <c r="K16" s="41">
        <f>MROUND(J16*Vendedor13!J$11,50)</f>
        <v>6900</v>
      </c>
      <c r="L16" s="42">
        <f t="shared" si="9"/>
        <v>600</v>
      </c>
      <c r="M16" s="42">
        <f t="shared" si="10"/>
        <v>51000</v>
      </c>
      <c r="N16" s="42">
        <f>Vendedor13!$F$7+Vendedor13!$F$11+Vendedor13!$F$15</f>
        <v>51000</v>
      </c>
      <c r="P16" s="42">
        <f t="shared" si="11"/>
        <v>-500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146950</v>
      </c>
      <c r="D17" s="30">
        <f>IF(Vendedor14!$E$7="",0,Vendedor14!$E$7)</f>
        <v>3350</v>
      </c>
      <c r="E17" s="180">
        <f>IF(Vendedor14!$C$11="",0,Vendedor14!$C$11)</f>
        <v>102900</v>
      </c>
      <c r="F17" s="30">
        <f>IF(Vendedor14!$E$11="",0,Vendedor14!$E$11)</f>
        <v>1500</v>
      </c>
      <c r="G17" s="180">
        <f>IF(Vendedor14!$C$15="",0,Vendedor14!$C$15)</f>
        <v>198350</v>
      </c>
      <c r="H17" s="30">
        <f>IF(Vendedor14!$E$15="",0,Vendedor14!$E$15)</f>
        <v>700</v>
      </c>
      <c r="J17" s="42">
        <f t="shared" si="8"/>
        <v>448200</v>
      </c>
      <c r="K17" s="41">
        <f>MROUND(J17*Vendedor14!J$15,50)</f>
        <v>53800</v>
      </c>
      <c r="L17" s="42">
        <f t="shared" si="9"/>
        <v>5550</v>
      </c>
      <c r="M17" s="42">
        <f t="shared" si="10"/>
        <v>471750</v>
      </c>
      <c r="N17" s="42">
        <f>Vendedor14!$F$7+Vendedor14!$F$11+Vendedor14!$F$15</f>
        <v>471750</v>
      </c>
      <c r="P17" s="42">
        <f t="shared" si="11"/>
        <v>-77350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64650</v>
      </c>
      <c r="D18" s="30">
        <f>IF(Vendedor15!$E$7="",0,Vendedor15!$E$7)</f>
        <v>1400</v>
      </c>
      <c r="E18" s="180">
        <f>IF(Vendedor15!$C$11="",0,Vendedor15!$C$11)</f>
        <v>40650</v>
      </c>
      <c r="F18" s="30">
        <f>IF(Vendedor15!$E$11="",0,Vendedor15!$E$11)</f>
        <v>0</v>
      </c>
      <c r="G18" s="180">
        <f>IF(Vendedor15!$C$15="",0,Vendedor15!$C$15)</f>
        <v>46650</v>
      </c>
      <c r="H18" s="30">
        <f>IF(Vendedor15!$E$15="",0,Vendedor15!$E$15)</f>
        <v>100</v>
      </c>
      <c r="J18" s="42">
        <f t="shared" ref="J18" si="12">+C18+E18+G18</f>
        <v>151950</v>
      </c>
      <c r="K18" s="41">
        <f>MROUND(J18*Vendedor15!J$15,50)</f>
        <v>18250</v>
      </c>
      <c r="L18" s="42">
        <f t="shared" ref="L18" si="13">+D18+F18+H18</f>
        <v>1500</v>
      </c>
      <c r="M18" s="42">
        <f t="shared" ref="M18" si="14">+L18*85</f>
        <v>127500</v>
      </c>
      <c r="N18" s="42">
        <f>Vendedor15!$F$7+Vendedor15!$F$11+Vendedor15!$F$15</f>
        <v>127500</v>
      </c>
      <c r="P18" s="42">
        <f t="shared" ref="P18" si="15">+J18-K18-N18</f>
        <v>6200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591500</v>
      </c>
      <c r="D32" s="44">
        <f t="shared" si="16"/>
        <v>17000</v>
      </c>
      <c r="E32" s="43">
        <f t="shared" si="16"/>
        <v>403550</v>
      </c>
      <c r="F32" s="44">
        <f t="shared" si="16"/>
        <v>7250</v>
      </c>
      <c r="G32" s="43">
        <f t="shared" si="16"/>
        <v>677150</v>
      </c>
      <c r="H32" s="44">
        <f t="shared" si="16"/>
        <v>2650</v>
      </c>
      <c r="J32" s="95">
        <f>SUM(J4:J31)</f>
        <v>1672200</v>
      </c>
      <c r="K32" s="45">
        <f>SUM(K7:K31)</f>
        <v>167400</v>
      </c>
      <c r="L32" s="95">
        <f>SUM(L4:L31)</f>
        <v>26900</v>
      </c>
      <c r="M32" s="95">
        <f>SUM(M4:M31)</f>
        <v>2286500</v>
      </c>
      <c r="N32" s="95">
        <f>SUM(N4:N31)</f>
        <v>2256250</v>
      </c>
      <c r="P32" s="79">
        <f>SUM(P4:P31)</f>
        <v>-791500</v>
      </c>
    </row>
    <row r="33" spans="3:13" x14ac:dyDescent="0.35">
      <c r="D33" s="99">
        <f>+D32*85</f>
        <v>1445000</v>
      </c>
      <c r="F33" s="99">
        <f>+F32*85</f>
        <v>616250</v>
      </c>
      <c r="H33" s="99">
        <f>+H32*85</f>
        <v>225250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1672200</v>
      </c>
      <c r="E36" s="43">
        <f>+D36-J4-J5-J6</f>
        <v>1364300</v>
      </c>
      <c r="G36" s="101"/>
    </row>
    <row r="37" spans="3:13" x14ac:dyDescent="0.35">
      <c r="C37" s="47" t="s">
        <v>33</v>
      </c>
      <c r="D37" s="48">
        <f>D36*13%</f>
        <v>217386</v>
      </c>
      <c r="E37">
        <f>+D37-K4-K5-K6</f>
        <v>177336</v>
      </c>
      <c r="G37" s="100"/>
      <c r="H37" s="100"/>
    </row>
    <row r="38" spans="3:13" ht="15" thickBot="1" x14ac:dyDescent="0.4">
      <c r="C38" s="47" t="s">
        <v>30</v>
      </c>
      <c r="D38" s="30">
        <f>M32</f>
        <v>2286500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-831686</v>
      </c>
      <c r="F39" s="98">
        <f>+P32-D39</f>
        <v>40186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-831686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95</v>
      </c>
      <c r="D2" s="268"/>
      <c r="E2" s="267">
        <f>DigitaNICA!E2</f>
        <v>62</v>
      </c>
      <c r="F2" s="268"/>
      <c r="G2" s="267">
        <f>DigitaNICA!G2</f>
        <v>63</v>
      </c>
      <c r="H2" s="268"/>
      <c r="I2" s="267">
        <f>DigitaNICA!I2</f>
        <v>38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19850</v>
      </c>
      <c r="D4" s="78">
        <f>IF(Vendedor1!$E$5="",0,Vendedor1!$E$5)</f>
        <v>250</v>
      </c>
      <c r="E4" s="189">
        <f>IF(Vendedor1!$C$9="",0,Vendedor1!$C$9)</f>
        <v>6400</v>
      </c>
      <c r="F4" s="78">
        <f>IF(Vendedor1!$E$9="",0,Vendedor1!$E$9)</f>
        <v>0</v>
      </c>
      <c r="G4" s="189">
        <f>IF(Vendedor1!$C$13="",0,Vendedor1!$C$13)</f>
        <v>4750</v>
      </c>
      <c r="H4" s="78">
        <f>IF(Vendedor1!$E$13="",0,Vendedor1!$E$13)</f>
        <v>0</v>
      </c>
      <c r="I4" s="189">
        <f>IF(Vendedor1!$C$17="",0,Vendedor1!$C$17)</f>
        <v>1500</v>
      </c>
      <c r="J4" s="78">
        <f>IF(Vendedor1!$E$17="",0,Vendedor1!$E$17)</f>
        <v>0</v>
      </c>
      <c r="L4" s="42">
        <f t="shared" ref="L4:L7" si="0">C4+E4+G4+I4</f>
        <v>32500</v>
      </c>
      <c r="M4" s="41">
        <f>MROUND(L4*Vendedor1!J$10,50)</f>
        <v>4250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7000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29800</v>
      </c>
      <c r="D5" s="30">
        <f>IF(Vendedor2!$E$5="",0,Vendedor2!$E$5)</f>
        <v>0</v>
      </c>
      <c r="E5" s="180">
        <f>IF(Vendedor2!$C$9="",0,Vendedor2!$C$9)</f>
        <v>11700</v>
      </c>
      <c r="F5" s="30">
        <f>IF(Vendedor2!$E$9="",0,Vendedor2!$E$9)</f>
        <v>0</v>
      </c>
      <c r="G5" s="180">
        <f>IF(Vendedor2!$C$13="",0,Vendedor2!$C$13)</f>
        <v>1250</v>
      </c>
      <c r="H5" s="30">
        <f>IF(Vendedor2!$E$13="",0,Vendedor2!$E$13)</f>
        <v>0</v>
      </c>
      <c r="I5" s="180">
        <f>IF(Vendedor2!$C$17="",0,Vendedor2!$C$17)</f>
        <v>3000</v>
      </c>
      <c r="J5" s="30">
        <f>IF(Vendedor2!$E$17="",0,Vendedor2!$E$17)</f>
        <v>0</v>
      </c>
      <c r="L5" s="42">
        <f t="shared" si="0"/>
        <v>45750</v>
      </c>
      <c r="M5" s="41">
        <f>MROUND(L5*Vendedor2!J$10,50)</f>
        <v>5950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39800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6900</v>
      </c>
      <c r="D8" s="30">
        <f>IF(Vendedor5!$E$5="",0,Vendedor5!$E$5)</f>
        <v>0</v>
      </c>
      <c r="E8" s="180">
        <f>IF(Vendedor5!$C$9="",0,Vendedor5!$C$9)</f>
        <v>3900</v>
      </c>
      <c r="F8" s="30">
        <f>IF(Vendedor5!$E$9="",0,Vendedor5!$E$9)</f>
        <v>0</v>
      </c>
      <c r="G8" s="180">
        <f>IF(Vendedor5!$C$13="",0,Vendedor5!$C$13)</f>
        <v>2000</v>
      </c>
      <c r="H8" s="30">
        <f>IF(Vendedor5!$E$13="",0,Vendedor5!$E$13)</f>
        <v>0</v>
      </c>
      <c r="I8" s="180">
        <f>IF(Vendedor5!$C$17="",0,Vendedor5!$C$17)</f>
        <v>3000</v>
      </c>
      <c r="J8" s="30">
        <f>IF(Vendedor5!$E$17="",0,Vendedor5!$E$17)</f>
        <v>0</v>
      </c>
      <c r="L8" s="42">
        <f t="shared" ref="L8" si="4">C8+E8+G8+I8</f>
        <v>15800</v>
      </c>
      <c r="M8" s="41">
        <f>MROUND(L8*Vendedor5!J$12,50)</f>
        <v>1900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13900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142150</v>
      </c>
      <c r="D10" s="30">
        <f>IF(Vendedor7!$E$5="",0,Vendedor7!$E$5)</f>
        <v>0</v>
      </c>
      <c r="E10" s="180">
        <f>IF(Vendedor7!$C$9="",0,Vendedor7!$C$9)</f>
        <v>65500</v>
      </c>
      <c r="F10" s="30">
        <f>IF(Vendedor7!$E$9="",0,Vendedor7!$E$9)</f>
        <v>0</v>
      </c>
      <c r="G10" s="180">
        <f>IF(Vendedor7!$C$13="",0,Vendedor7!$C$13)</f>
        <v>26500</v>
      </c>
      <c r="H10" s="30">
        <f>IF(Vendedor7!$E$13="",0,Vendedor7!$E$13)</f>
        <v>150</v>
      </c>
      <c r="I10" s="180">
        <f>IF(Vendedor7!$C$17="",0,Vendedor7!$C$17)</f>
        <v>78050</v>
      </c>
      <c r="J10" s="30">
        <f>IF(Vendedor7!$E$17="",0,Vendedor7!$E$17)</f>
        <v>1500</v>
      </c>
      <c r="L10" s="42">
        <f t="shared" si="7"/>
        <v>312200</v>
      </c>
      <c r="M10" s="41">
        <f>MROUND(L10*Vendedor7!J$15,50)</f>
        <v>37450</v>
      </c>
      <c r="N10" s="42">
        <f t="shared" ref="N10:N27" si="9">D10+F10+H10+J10</f>
        <v>1650</v>
      </c>
      <c r="O10" s="41">
        <f t="shared" si="3"/>
        <v>140250</v>
      </c>
      <c r="P10" s="42">
        <f>Vendedor7!$F$5+Vendedor7!$F$9+Vendedor7!$F$13+Vendedor7!$F$17</f>
        <v>140250</v>
      </c>
      <c r="R10" s="41">
        <f t="shared" si="8"/>
        <v>134500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28450</v>
      </c>
      <c r="D12" s="30">
        <f>IF(Vendedor9!$E$5="",0,Vendedor9!$E$5)</f>
        <v>0</v>
      </c>
      <c r="E12" s="180">
        <f>IF(Vendedor9!$C$9="",0,Vendedor9!$C$9)</f>
        <v>12150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40600</v>
      </c>
      <c r="M12" s="41">
        <f>MROUND(L12*Vendedor9!J$12,50)</f>
        <v>4850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35750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31050</v>
      </c>
      <c r="D13" s="30">
        <f>IF(Vendedor10!$E$5="",0,Vendedor10!$E$5)</f>
        <v>600</v>
      </c>
      <c r="E13" s="180">
        <f>IF(Vendedor10!$C$9="",0,Vendedor10!$C$9)</f>
        <v>13100</v>
      </c>
      <c r="F13" s="30">
        <f>IF(Vendedor10!$E$9="",0,Vendedor10!$E$9)</f>
        <v>0</v>
      </c>
      <c r="G13" s="180">
        <f>IF(Vendedor10!$C$13="",0,Vendedor10!$C$13)</f>
        <v>1200</v>
      </c>
      <c r="H13" s="30">
        <f>IF(Vendedor10!$E$13="",0,Vendedor10!$E$13)</f>
        <v>0</v>
      </c>
      <c r="I13" s="180">
        <f>IF(Vendedor10!$C$17="",0,Vendedor10!$C$17)</f>
        <v>20950</v>
      </c>
      <c r="J13" s="30">
        <f>IF(Vendedor10!$E$17="",0,Vendedor10!$E$17)</f>
        <v>0</v>
      </c>
      <c r="L13" s="42">
        <f t="shared" si="7"/>
        <v>66300</v>
      </c>
      <c r="M13" s="41">
        <f>MROUND(L13*Vendedor10!J$10,50)</f>
        <v>7950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7350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 ca="1">Vendedor13!$B$2</f>
        <v>MINERO 22-05-2026</v>
      </c>
      <c r="C16" s="180">
        <f>IF(Vendedor13!$C$5="",0,Vendedor13!$C$5)</f>
        <v>12800</v>
      </c>
      <c r="D16" s="30">
        <f>IF(Vendedor13!$E$5="",0,Vendedor13!$E$5)</f>
        <v>0</v>
      </c>
      <c r="E16" s="180">
        <f>IF(Vendedor13!$C$9="",0,Vendedor13!$C$9)</f>
        <v>8000</v>
      </c>
      <c r="F16" s="30">
        <f>IF(Vendedor13!$E$9="",0,Vendedor13!$E$9)</f>
        <v>0</v>
      </c>
      <c r="G16" s="180">
        <f>IF(Vendedor13!$C$13="",0,Vendedor13!$C$13)</f>
        <v>6600</v>
      </c>
      <c r="H16" s="30">
        <f>IF(Vendedor13!$E$13="",0,Vendedor13!$E$13)</f>
        <v>0</v>
      </c>
      <c r="I16" s="180">
        <f>IF(Vendedor13!$C$17="",0,Vendedor13!$C$17)</f>
        <v>26300</v>
      </c>
      <c r="J16" s="30">
        <f>IF(Vendedor13!$E$17="",0,Vendedor13!$E$17)</f>
        <v>0</v>
      </c>
      <c r="L16" s="42">
        <f t="shared" si="7"/>
        <v>53700</v>
      </c>
      <c r="M16" s="41">
        <f>MROUND(L16*Vendedor13!J$12,50)</f>
        <v>6450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47250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115300</v>
      </c>
      <c r="D17" s="30">
        <f>IF(Vendedor14!$E$5="",0,Vendedor14!$E$5)</f>
        <v>700</v>
      </c>
      <c r="E17" s="180">
        <f>IF(Vendedor14!$C$9="",0,Vendedor14!$C$9)</f>
        <v>85800</v>
      </c>
      <c r="F17" s="30">
        <f>IF(Vendedor14!$E$9="",0,Vendedor14!$E$9)</f>
        <v>600</v>
      </c>
      <c r="G17" s="180">
        <f>IF(Vendedor14!$C$13="",0,Vendedor14!$C$13)</f>
        <v>66050</v>
      </c>
      <c r="H17" s="30">
        <f>IF(Vendedor14!$E$13="",0,Vendedor14!$E$13)</f>
        <v>50</v>
      </c>
      <c r="I17" s="180">
        <f>IF(Vendedor14!$C$17="",0,Vendedor14!$C$17)</f>
        <v>132750</v>
      </c>
      <c r="J17" s="30">
        <f>IF(Vendedor14!$E$17="",0,Vendedor14!$E$17)</f>
        <v>250</v>
      </c>
      <c r="L17" s="42">
        <f>C17+E17+G17+I17</f>
        <v>399900</v>
      </c>
      <c r="M17" s="41">
        <f>MROUND(L17*Vendedor14!J$16,50)</f>
        <v>48000</v>
      </c>
      <c r="N17" s="42">
        <f t="shared" si="9"/>
        <v>1600</v>
      </c>
      <c r="O17" s="41">
        <f t="shared" si="3"/>
        <v>136000</v>
      </c>
      <c r="P17" s="42">
        <f>Vendedor14!$F$5+Vendedor14!$F$9+Vendedor14!$F$13+Vendedor14!$F$17</f>
        <v>136000</v>
      </c>
      <c r="R17" s="41">
        <f t="shared" si="8"/>
        <v>215900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65950</v>
      </c>
      <c r="D18" s="30">
        <f>IF(Vendedor15!$E$5="",0,Vendedor15!$E$5)</f>
        <v>600</v>
      </c>
      <c r="E18" s="180">
        <f>IF(Vendedor15!$C$9="",0,Vendedor15!$C$9)</f>
        <v>50650</v>
      </c>
      <c r="F18" s="30">
        <f>IF(Vendedor15!$E$9="",0,Vendedor15!$E$9)</f>
        <v>0</v>
      </c>
      <c r="G18" s="180">
        <f>IF(Vendedor15!$C$13="",0,Vendedor15!$C$13)</f>
        <v>8900</v>
      </c>
      <c r="H18" s="30">
        <f>IF(Vendedor15!$E$13="",0,Vendedor15!$E$13)</f>
        <v>0</v>
      </c>
      <c r="I18" s="180">
        <f>IF(Vendedor15!$C$17="",0,Vendedor15!$C$17)</f>
        <v>9950</v>
      </c>
      <c r="J18" s="30">
        <f>IF(Vendedor15!$E$17="",0,Vendedor15!$E$17)</f>
        <v>0</v>
      </c>
      <c r="L18" s="42">
        <f t="shared" ref="L18:L27" si="10">C18+E18+G18+I18</f>
        <v>135450</v>
      </c>
      <c r="M18" s="41">
        <f>MROUND(L18*Vendedor15!J$16,50)</f>
        <v>16250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68200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452250</v>
      </c>
      <c r="D32" s="44">
        <f t="shared" si="14"/>
        <v>2150</v>
      </c>
      <c r="E32" s="43">
        <f t="shared" si="14"/>
        <v>257200</v>
      </c>
      <c r="F32" s="44">
        <f t="shared" si="14"/>
        <v>600</v>
      </c>
      <c r="G32" s="43">
        <f t="shared" si="14"/>
        <v>117250</v>
      </c>
      <c r="H32" s="44">
        <f t="shared" si="14"/>
        <v>200</v>
      </c>
      <c r="I32" s="43">
        <f t="shared" si="14"/>
        <v>275500</v>
      </c>
      <c r="J32" s="44">
        <f t="shared" si="14"/>
        <v>1750</v>
      </c>
      <c r="L32" s="45">
        <f>SUM(L4:L31)</f>
        <v>1102200</v>
      </c>
      <c r="M32" s="45">
        <f>SUM(M7:M31)</f>
        <v>122850</v>
      </c>
      <c r="N32" s="95">
        <f>SUM(N4:N31)</f>
        <v>4700</v>
      </c>
      <c r="O32" s="46">
        <f>SUM(O4:O31)</f>
        <v>399500</v>
      </c>
      <c r="P32" s="140">
        <f>SUM(P4:P31)</f>
        <v>395250</v>
      </c>
      <c r="R32" s="79">
        <f>SUM(R4:R31)</f>
        <v>569650</v>
      </c>
    </row>
    <row r="33" spans="3:15" x14ac:dyDescent="0.35">
      <c r="D33" s="120">
        <f>+D32*85</f>
        <v>182750</v>
      </c>
      <c r="F33" s="120">
        <f>+F32*85</f>
        <v>51000</v>
      </c>
      <c r="H33" s="120">
        <f>+H32*85</f>
        <v>17000</v>
      </c>
      <c r="J33" s="120">
        <f>+J32*85</f>
        <v>148750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1102200</v>
      </c>
      <c r="E36" s="43">
        <f>+D36-L4-L5-L6</f>
        <v>1023950</v>
      </c>
    </row>
    <row r="37" spans="3:15" x14ac:dyDescent="0.35">
      <c r="C37" s="47" t="s">
        <v>33</v>
      </c>
      <c r="D37" s="48">
        <f>D36*13%</f>
        <v>143286</v>
      </c>
      <c r="E37">
        <f>+D37-M4-M5-M6</f>
        <v>133086</v>
      </c>
    </row>
    <row r="38" spans="3:15" x14ac:dyDescent="0.35">
      <c r="C38" s="47" t="s">
        <v>30</v>
      </c>
      <c r="D38" s="30">
        <f>SUM(O4:O27)</f>
        <v>399500</v>
      </c>
      <c r="G38" s="100"/>
    </row>
    <row r="39" spans="3:15" ht="15" thickBot="1" x14ac:dyDescent="0.4">
      <c r="C39" s="49" t="s">
        <v>4</v>
      </c>
      <c r="D39" s="80">
        <f>+D36-D37-D38</f>
        <v>559414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559414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03 Roja</v>
      </c>
      <c r="D2" s="268"/>
      <c r="E2" s="267" t="str">
        <f>IF(E33=0,"",CONCATENATE(PREMIOS!$B11," ",PREMIOS!$B12))</f>
        <v>44 Blanca</v>
      </c>
      <c r="F2" s="268"/>
      <c r="G2" s="267" t="str">
        <f>IF(G33=0,"",CONCATENATE(PREMIOS!$B15," ",PREMIOS!$B16))</f>
        <v>95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35600</v>
      </c>
      <c r="D10" s="30">
        <f>IF(Vendedor7!$E$8="",0,Vendedor7!$E$8)</f>
        <v>0</v>
      </c>
      <c r="E10" s="180">
        <f>IF(Vendedor7!$C$12="",0,Vendedor7!$C$12)</f>
        <v>24550</v>
      </c>
      <c r="F10" s="30">
        <f>IF(Vendedor7!$E$12="",0,Vendedor7!$E$12)</f>
        <v>0</v>
      </c>
      <c r="G10" s="180">
        <f>IF(Vendedor7!$C$16="",0,Vendedor7!$C$16)</f>
        <v>21950</v>
      </c>
      <c r="H10" s="30">
        <f>IF(Vendedor7!$E$16="",0,Vendedor7!$E$16)</f>
        <v>0</v>
      </c>
      <c r="J10" s="42">
        <f t="shared" si="1"/>
        <v>82100</v>
      </c>
      <c r="K10" s="41">
        <f>J10*Vendedor7!J$16</f>
        <v>8210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73890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900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 ca="1">Vendedor13!$B$2</f>
        <v>MINERO 22-05-2026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31500</v>
      </c>
      <c r="D17" s="30">
        <f>IF(Vendedor14!$E$8="",0,Vendedor14!$E$8)</f>
        <v>0</v>
      </c>
      <c r="E17" s="180">
        <f>IF(Vendedor14!$C$12="",0,Vendedor14!$C$12)</f>
        <v>19650</v>
      </c>
      <c r="F17" s="30">
        <f>IF(Vendedor14!$E$12="",0,Vendedor14!$E$12)</f>
        <v>0</v>
      </c>
      <c r="G17" s="180">
        <f>IF(Vendedor14!$C$16="",0,Vendedor14!$C$16)</f>
        <v>26800</v>
      </c>
      <c r="H17" s="30">
        <f>IF(Vendedor14!$E$16="",0,Vendedor14!$E$16)</f>
        <v>0</v>
      </c>
      <c r="J17" s="42">
        <f t="shared" si="1"/>
        <v>77950</v>
      </c>
      <c r="K17" s="41">
        <f>J17*Vendedor14!J$17</f>
        <v>7795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70155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21900</v>
      </c>
      <c r="D18" s="30">
        <f>IF(Vendedor15!$E$8="",0,Vendedor15!$E$8)</f>
        <v>100</v>
      </c>
      <c r="E18" s="180">
        <f>IF(Vendedor15!$C$12="",0,Vendedor15!$C$12)</f>
        <v>10250</v>
      </c>
      <c r="F18" s="30">
        <f>IF(Vendedor15!$E$12="",0,Vendedor15!$E$12)</f>
        <v>0</v>
      </c>
      <c r="G18" s="180">
        <f>IF(Vendedor15!$C$16="",0,Vendedor15!$C$16)</f>
        <v>10900</v>
      </c>
      <c r="H18" s="30">
        <f>IF(Vendedor15!$E$16="",0,Vendedor15!$E$16)</f>
        <v>100</v>
      </c>
      <c r="J18" s="42">
        <f t="shared" ref="J18" si="5">+C18+E18+G18</f>
        <v>43050</v>
      </c>
      <c r="K18" s="41">
        <f>J18*Vendedor15!J$17</f>
        <v>4305</v>
      </c>
      <c r="L18" s="42">
        <f t="shared" si="2"/>
        <v>100</v>
      </c>
      <c r="M18" s="42">
        <f t="shared" si="3"/>
        <v>200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18745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90400</v>
      </c>
      <c r="D33" s="44">
        <f>IF(PREMIOS!E8&lt;&gt;0,SUM(D4:D32),0)</f>
        <v>100</v>
      </c>
      <c r="E33" s="43">
        <f>SUM(E4:E32)</f>
        <v>54450</v>
      </c>
      <c r="F33" s="44">
        <f>IF(PREMIOS!E12&lt;&gt;0,SUM(F4:F32),0)</f>
        <v>0</v>
      </c>
      <c r="G33" s="43">
        <f>SUM(G4:G32)</f>
        <v>59750</v>
      </c>
      <c r="H33" s="44">
        <f>IF(PREMIOS!E16&lt;&gt;0,SUM(H4:H32),0)</f>
        <v>0</v>
      </c>
      <c r="J33" s="45">
        <f>SUM(J4:J32)</f>
        <v>204600</v>
      </c>
      <c r="K33" s="45">
        <f>SUM(K7:K32)</f>
        <v>20460</v>
      </c>
      <c r="L33" s="95">
        <f>SUM(L7:L32)</f>
        <v>100</v>
      </c>
      <c r="M33" s="95">
        <f>SUM(M7:M32)</f>
        <v>200</v>
      </c>
      <c r="N33" s="95">
        <f>SUM(N4:N27)</f>
        <v>22000</v>
      </c>
      <c r="O33" s="95">
        <f>SUM(O4:O27)</f>
        <v>20000</v>
      </c>
      <c r="Q33" s="79">
        <f>SUM(Q4:Q32)</f>
        <v>164140</v>
      </c>
    </row>
    <row r="34" spans="3:17" x14ac:dyDescent="0.35">
      <c r="D34" s="118">
        <f>IF(PREMIOS!$D8=PREMIOS!$J$10,D33*$G$38,IF(PREMIOS!$D8=PREMIOS!$J$11,D33*$F$38,IF(PREMIOS!$D8=PREMIOS!$J$12,0,"")))</f>
        <v>22000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204600</v>
      </c>
      <c r="E37" s="43">
        <f>+D37-J4-J5-J6</f>
        <v>204600</v>
      </c>
      <c r="F37" s="275"/>
      <c r="G37" s="275"/>
    </row>
    <row r="38" spans="3:17" ht="15" thickBot="1" x14ac:dyDescent="0.4">
      <c r="C38" s="47" t="s">
        <v>33</v>
      </c>
      <c r="D38" s="30">
        <f>D37*10%</f>
        <v>20460</v>
      </c>
      <c r="E38" s="43">
        <f>+D38-K4-K5-K6</f>
        <v>20460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22000</v>
      </c>
    </row>
    <row r="40" spans="3:17" ht="15" thickBot="1" x14ac:dyDescent="0.4">
      <c r="C40" s="49" t="s">
        <v>4</v>
      </c>
      <c r="D40" s="80">
        <f>+D37-D38-D39</f>
        <v>162140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162140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51</v>
      </c>
      <c r="D2" s="268"/>
      <c r="E2" s="267">
        <f>DigitaPRIMERA!E2</f>
        <v>56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1300</v>
      </c>
      <c r="D4" s="78">
        <f>IF(Vendedor1!$E$19="",0,Vendedor1!$E$19)</f>
        <v>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2500</v>
      </c>
      <c r="I4" s="41">
        <f>MROUND(H4*Vendedor1!J$9,50)</f>
        <v>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13500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13500</v>
      </c>
      <c r="I5" s="41">
        <f>MROUND(H5*Vendedor2!J$9,50)</f>
        <v>1750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11750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3400</v>
      </c>
      <c r="D8" s="30">
        <f>IF(Vendedor5!$E$19="",0,Vendedor5!$E$19)</f>
        <v>650</v>
      </c>
      <c r="E8" s="180">
        <f>IF(Vendedor5!$C$20="",0,Vendedor5!$C$20)</f>
        <v>2000</v>
      </c>
      <c r="F8" s="30">
        <f>IF(Vendedor5!$E$20="",0,Vendedor5!$E$20)</f>
        <v>0</v>
      </c>
      <c r="H8" s="133">
        <f t="shared" si="1"/>
        <v>5400</v>
      </c>
      <c r="I8" s="148">
        <f>MROUND(H8*Vendedor5!J$11,50)</f>
        <v>650</v>
      </c>
      <c r="J8" s="133">
        <f t="shared" si="2"/>
        <v>650</v>
      </c>
      <c r="K8" s="133">
        <f t="shared" si="3"/>
        <v>55250</v>
      </c>
      <c r="L8" s="133">
        <f>Vendedor5!$F$19+Vendedor5!$F$20</f>
        <v>52000</v>
      </c>
      <c r="M8" s="155"/>
      <c r="N8" s="133">
        <f t="shared" si="0"/>
        <v>-47250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27950</v>
      </c>
      <c r="D10" s="30">
        <f>IF(Vendedor7!$E$19="",0,Vendedor7!$E$19)</f>
        <v>0</v>
      </c>
      <c r="E10" s="180">
        <f>IF(Vendedor7!$C$20="",0,Vendedor7!$C$20)</f>
        <v>7100</v>
      </c>
      <c r="F10" s="30">
        <f>IF(Vendedor7!$E$20="",0,Vendedor7!$E$20)</f>
        <v>0</v>
      </c>
      <c r="H10" s="42">
        <f t="shared" si="1"/>
        <v>35050</v>
      </c>
      <c r="I10" s="41">
        <f>MROUND(H10*Vendedor7!J$14,50)</f>
        <v>4200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30850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0</v>
      </c>
      <c r="I12" s="148">
        <f>MROUND(H12*Vendedor9!J$11,50)</f>
        <v>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 ca="1">Vendedor13!$B$2</f>
        <v>MINERO 22-05-2026</v>
      </c>
      <c r="C16" s="180">
        <f>IF(Vendedor13!$C$19="",0,Vendedor13!$C$19)</f>
        <v>2800</v>
      </c>
      <c r="D16" s="30">
        <f>IF(Vendedor13!$E$19="",0,Vendedor13!$E$19)</f>
        <v>150</v>
      </c>
      <c r="E16" s="180">
        <f>IF(Vendedor13!$C$20="",0,Vendedor13!$C$20)</f>
        <v>2800</v>
      </c>
      <c r="F16" s="30">
        <f>IF(Vendedor13!$E$20="",0,Vendedor13!$E$20)</f>
        <v>0</v>
      </c>
      <c r="H16" s="133">
        <f t="shared" si="1"/>
        <v>5600</v>
      </c>
      <c r="I16" s="148">
        <f>MROUND(H16*Vendedor13!J$11,50)</f>
        <v>650</v>
      </c>
      <c r="J16" s="133">
        <f t="shared" si="2"/>
        <v>150</v>
      </c>
      <c r="K16" s="133">
        <f t="shared" si="3"/>
        <v>12750</v>
      </c>
      <c r="L16" s="42">
        <f>Vendedor13!$F$19+Vendedor13!$F$20</f>
        <v>12000</v>
      </c>
      <c r="M16" s="155"/>
      <c r="N16" s="133">
        <f t="shared" si="0"/>
        <v>-7050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87800</v>
      </c>
      <c r="D17" s="30">
        <f>IF(Vendedor14!$E$19="",0,Vendedor14!$E$19)</f>
        <v>1550</v>
      </c>
      <c r="E17" s="180">
        <f>IF(Vendedor14!$C$20="",0,Vendedor14!$C$20)</f>
        <v>46200</v>
      </c>
      <c r="F17" s="30">
        <f>IF(Vendedor14!$E$20="",0,Vendedor14!$E$20)</f>
        <v>700</v>
      </c>
      <c r="H17" s="42">
        <f t="shared" si="1"/>
        <v>134000</v>
      </c>
      <c r="I17" s="41">
        <f>MROUND(H17*Vendedor14!J$15,50)</f>
        <v>16100</v>
      </c>
      <c r="J17" s="42">
        <f t="shared" si="2"/>
        <v>2250</v>
      </c>
      <c r="K17" s="42">
        <f t="shared" si="3"/>
        <v>191250</v>
      </c>
      <c r="L17" s="42">
        <f>Vendedor14!$F$19+Vendedor14!$F$20</f>
        <v>191250</v>
      </c>
      <c r="N17" s="42">
        <f t="shared" si="0"/>
        <v>-73350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39200</v>
      </c>
      <c r="D18" s="30">
        <f>IF(Vendedor15!$E$19="",0,Vendedor15!$E$19)</f>
        <v>100</v>
      </c>
      <c r="E18" s="180">
        <f>IF(Vendedor15!$C$20="",0,Vendedor15!$C$20)</f>
        <v>15500</v>
      </c>
      <c r="F18" s="30">
        <f>IF(Vendedor15!$E$20="",0,Vendedor15!$E$20)</f>
        <v>0</v>
      </c>
      <c r="H18" s="42">
        <f t="shared" si="1"/>
        <v>54700</v>
      </c>
      <c r="I18" s="41">
        <f>MROUND(H18*Vendedor15!J$15,50)</f>
        <v>6550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39650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175950</v>
      </c>
      <c r="D32" s="44">
        <f>SUM(D4:D31)</f>
        <v>2450</v>
      </c>
      <c r="E32" s="43">
        <f>SUM(E4:E31)</f>
        <v>74800</v>
      </c>
      <c r="F32" s="44">
        <f>SUM(F4:F31)</f>
        <v>700</v>
      </c>
      <c r="H32" s="95">
        <f>SUM(H4:H31)</f>
        <v>250750</v>
      </c>
      <c r="I32" s="45">
        <f>SUM(I7:I31)</f>
        <v>28150</v>
      </c>
      <c r="J32" s="95"/>
      <c r="K32" s="95">
        <f>SUM(K4:K31)</f>
        <v>267750</v>
      </c>
      <c r="L32" s="95">
        <f>SUM(L4:L31)</f>
        <v>263750</v>
      </c>
      <c r="N32" s="79">
        <f>SUM(N4:N31)</f>
        <v>-43250</v>
      </c>
    </row>
    <row r="33" spans="3:6" x14ac:dyDescent="0.35">
      <c r="D33" s="99">
        <f>+D32*85</f>
        <v>208250</v>
      </c>
      <c r="F33" s="99">
        <f>+F32*85</f>
        <v>59500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250750</v>
      </c>
      <c r="E36" s="43">
        <f>+D36-H4-H5-H6</f>
        <v>234750</v>
      </c>
    </row>
    <row r="37" spans="3:6" x14ac:dyDescent="0.35">
      <c r="C37" s="47" t="s">
        <v>33</v>
      </c>
      <c r="D37" s="48">
        <f>D36*13%</f>
        <v>32597.5</v>
      </c>
      <c r="E37">
        <f>+D37-I4-I5-I6</f>
        <v>30497.5</v>
      </c>
    </row>
    <row r="38" spans="3:6" ht="15" thickBot="1" x14ac:dyDescent="0.4">
      <c r="C38" s="47" t="s">
        <v>30</v>
      </c>
      <c r="D38" s="30">
        <f>SUM(K4:K27)</f>
        <v>267750</v>
      </c>
    </row>
    <row r="39" spans="3:6" ht="15" thickBot="1" x14ac:dyDescent="0.4">
      <c r="C39" s="49" t="s">
        <v>4</v>
      </c>
      <c r="D39" s="80">
        <f>+D36-D37-D38</f>
        <v>-49597.5</v>
      </c>
      <c r="F39" s="98">
        <f>+N32-D39</f>
        <v>6347.5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-49597.5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00</v>
      </c>
      <c r="D2" s="268"/>
      <c r="E2" s="267">
        <f>DigitaHONDURAS!E2</f>
        <v>81</v>
      </c>
      <c r="F2" s="268"/>
      <c r="G2" s="267">
        <f>DigitaHONDURAS!G2</f>
        <v>84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20700</v>
      </c>
      <c r="D10" s="30">
        <f>IF(Vendedor7!$E$21="",0,Vendedor7!$E$21)</f>
        <v>2000</v>
      </c>
      <c r="E10" s="180">
        <f>IF(Vendedor7!$C$22="",0,Vendedor7!$C$22)</f>
        <v>3000</v>
      </c>
      <c r="F10" s="30">
        <f>IF(Vendedor7!$E$22="",0,Vendedor7!$E$22)</f>
        <v>0</v>
      </c>
      <c r="G10" s="180">
        <f>IF(Vendedor7!$C$23="",0,Vendedor7!$C$23)</f>
        <v>1200</v>
      </c>
      <c r="H10" s="30">
        <f>IF(Vendedor7!$E$23="",0,Vendedor7!$E$23)</f>
        <v>0</v>
      </c>
      <c r="J10" s="42">
        <f t="shared" si="0"/>
        <v>24900</v>
      </c>
      <c r="K10" s="41">
        <f>MROUND(J10*Vendedor7!J$14,50)</f>
        <v>3000</v>
      </c>
      <c r="L10" s="42">
        <f t="shared" si="1"/>
        <v>2000</v>
      </c>
      <c r="M10" s="42">
        <f t="shared" si="3"/>
        <v>170000</v>
      </c>
      <c r="N10" s="42">
        <f>Vendedor7!$F$21+Vendedor7!$F$22+Vendedor7!$F$23</f>
        <v>170000</v>
      </c>
      <c r="P10" s="42">
        <f t="shared" si="2"/>
        <v>-148100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 ca="1">Vendedor13!$B$2</f>
        <v>MINERO 22-05-2026</v>
      </c>
      <c r="C16" s="180">
        <f>IF(Vendedor13!$C$21="",0,Vendedor13!$C$21)</f>
        <v>3000</v>
      </c>
      <c r="D16" s="30">
        <f>IF(Vendedor13!$E$21="",0,Vendedor13!$E$21)</f>
        <v>0</v>
      </c>
      <c r="E16" s="180">
        <f>IF(Vendedor13!$C$22="",0,Vendedor13!$C$22)</f>
        <v>1500</v>
      </c>
      <c r="F16" s="30">
        <f>IF(Vendedor13!$E$22="",0,Vendedor13!$E$22)</f>
        <v>0</v>
      </c>
      <c r="G16" s="180">
        <f>IF(Vendedor13!$C$23="",0,Vendedor13!$C$23)</f>
        <v>2400</v>
      </c>
      <c r="H16" s="30">
        <f>IF(Vendedor13!$E$23="",0,Vendedor13!$E$23)</f>
        <v>0</v>
      </c>
      <c r="J16" s="133">
        <f t="shared" si="0"/>
        <v>6900</v>
      </c>
      <c r="K16" s="148">
        <f>MROUND(J16*Vendedor13!J$11,50)</f>
        <v>850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6050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41050</v>
      </c>
      <c r="D17" s="30">
        <f>IF(Vendedor14!$E$21="",0,Vendedor14!$E$21)</f>
        <v>1400</v>
      </c>
      <c r="E17" s="180">
        <f>IF(Vendedor14!$C$22="",0,Vendedor14!$C$22)</f>
        <v>12900</v>
      </c>
      <c r="F17" s="30">
        <f>IF(Vendedor14!$E$22="",0,Vendedor14!$E$22)</f>
        <v>350</v>
      </c>
      <c r="G17" s="180">
        <f>IF(Vendedor14!$C$23="",0,Vendedor14!$C$23)</f>
        <v>21900</v>
      </c>
      <c r="H17" s="30">
        <f>IF(Vendedor14!$E$23="",0,Vendedor14!$E$23)</f>
        <v>300</v>
      </c>
      <c r="J17" s="42">
        <f t="shared" si="0"/>
        <v>75850</v>
      </c>
      <c r="K17" s="41">
        <f>MROUND(J17*Vendedor14!J$15,50)</f>
        <v>9100</v>
      </c>
      <c r="L17" s="42">
        <f t="shared" si="1"/>
        <v>2050</v>
      </c>
      <c r="M17" s="42">
        <f t="shared" si="3"/>
        <v>174250</v>
      </c>
      <c r="N17" s="42">
        <f>Vendedor14!$F$21+Vendedor14!$F$22+Vendedor14!$F$23</f>
        <v>174250</v>
      </c>
      <c r="P17" s="42">
        <f t="shared" si="2"/>
        <v>-107500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6600</v>
      </c>
      <c r="D18" s="30">
        <f>IF(Vendedor15!$E$21="",0,Vendedor15!$E$21)</f>
        <v>100</v>
      </c>
      <c r="E18" s="180">
        <f>IF(Vendedor15!$C$22="",0,Vendedor15!$C$22)</f>
        <v>18300</v>
      </c>
      <c r="F18" s="30">
        <f>IF(Vendedor15!$E$22="",0,Vendedor15!$E$22)</f>
        <v>0</v>
      </c>
      <c r="G18" s="180">
        <f>IF(Vendedor15!$C$23="",0,Vendedor15!$C$23)</f>
        <v>500</v>
      </c>
      <c r="H18" s="30">
        <f>IF(Vendedor15!$E$23="",0,Vendedor15!$E$23)</f>
        <v>0</v>
      </c>
      <c r="J18" s="42">
        <f t="shared" si="0"/>
        <v>25400</v>
      </c>
      <c r="K18" s="41">
        <f>MROUND(J18*Vendedor15!J$15,50)</f>
        <v>3050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13850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71350</v>
      </c>
      <c r="D32" s="44">
        <f t="shared" si="8"/>
        <v>3500</v>
      </c>
      <c r="E32" s="43">
        <f t="shared" si="8"/>
        <v>35700</v>
      </c>
      <c r="F32" s="44">
        <f t="shared" si="8"/>
        <v>350</v>
      </c>
      <c r="G32" s="43">
        <f t="shared" si="8"/>
        <v>26000</v>
      </c>
      <c r="H32" s="44">
        <f t="shared" si="8"/>
        <v>300</v>
      </c>
      <c r="J32" s="95">
        <f>SUM(J4:J31)</f>
        <v>133050</v>
      </c>
      <c r="K32" s="45">
        <f>SUM(K7:K31)</f>
        <v>16000</v>
      </c>
      <c r="L32" s="95"/>
      <c r="M32" s="95">
        <f>SUM(M4:M31)</f>
        <v>352750</v>
      </c>
      <c r="N32" s="95">
        <f>SUM(N4:N31)</f>
        <v>352750</v>
      </c>
      <c r="P32" s="79">
        <f>SUM(P4:P31)</f>
        <v>-235700</v>
      </c>
    </row>
    <row r="33" spans="3:8" x14ac:dyDescent="0.35">
      <c r="D33" s="99">
        <f>+D32*85</f>
        <v>297500</v>
      </c>
      <c r="F33" s="99">
        <f>+F32*85</f>
        <v>29750</v>
      </c>
      <c r="H33" s="99">
        <f>+H32*85</f>
        <v>25500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133050</v>
      </c>
      <c r="E36" s="43">
        <f>+D36-J4-J5-J6</f>
        <v>133050</v>
      </c>
    </row>
    <row r="37" spans="3:8" x14ac:dyDescent="0.35">
      <c r="C37" s="47" t="s">
        <v>33</v>
      </c>
      <c r="D37" s="48">
        <f>D36*13%</f>
        <v>17296.5</v>
      </c>
      <c r="E37">
        <f>+D37-K4-K5-K6</f>
        <v>17296.5</v>
      </c>
    </row>
    <row r="38" spans="3:8" ht="15" thickBot="1" x14ac:dyDescent="0.4">
      <c r="C38" s="47" t="s">
        <v>30</v>
      </c>
      <c r="D38" s="30">
        <f>SUM(M4:M27)</f>
        <v>352750</v>
      </c>
      <c r="G38" s="100"/>
    </row>
    <row r="39" spans="3:8" ht="15" thickBot="1" x14ac:dyDescent="0.4">
      <c r="C39" s="49" t="s">
        <v>4</v>
      </c>
      <c r="D39" s="80">
        <f>+D36-D37-D38</f>
        <v>-236996.5</v>
      </c>
      <c r="F39" s="98">
        <f>+P32-D39</f>
        <v>1296.5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-236996.5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37</v>
      </c>
      <c r="D2" s="268"/>
      <c r="E2" s="267">
        <f>DigitaDOMINICANA!E2</f>
        <v>16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43500</v>
      </c>
      <c r="D10" s="30">
        <f>IF(Vendedor7!$E$24="",0,Vendedor7!$E$24)</f>
        <v>0</v>
      </c>
      <c r="E10" s="180">
        <f>IF(Vendedor7!$C$25="",0,Vendedor7!$C$25)</f>
        <v>50000</v>
      </c>
      <c r="F10" s="30">
        <f>IF(Vendedor7!$E$25="",0,Vendedor7!$E$25)</f>
        <v>0</v>
      </c>
      <c r="H10" s="42">
        <f t="shared" si="1"/>
        <v>93500</v>
      </c>
      <c r="I10" s="41">
        <f>MROUND(H10*Vendedor7!J$14,50)</f>
        <v>11200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82300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 ca="1">Vendedor13!$B$2</f>
        <v>MINERO 22-05-2026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43500</v>
      </c>
      <c r="D32" s="44">
        <f>SUM(D4:D31)</f>
        <v>0</v>
      </c>
      <c r="E32" s="43">
        <f>SUM(E4:E31)</f>
        <v>50000</v>
      </c>
      <c r="F32" s="44">
        <f>SUM(F4:F31)</f>
        <v>0</v>
      </c>
      <c r="H32" s="95">
        <f>SUM(H4:H31)</f>
        <v>93500</v>
      </c>
      <c r="I32" s="45">
        <f>SUM(I7:I31)</f>
        <v>11200</v>
      </c>
      <c r="J32" s="95"/>
      <c r="K32" s="95">
        <f>SUM(K4:K31)</f>
        <v>0</v>
      </c>
      <c r="L32" s="95">
        <f>SUM(L4:L31)</f>
        <v>0</v>
      </c>
      <c r="N32" s="79">
        <f>SUM(N4:N31)</f>
        <v>82300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93500</v>
      </c>
      <c r="E36" s="43">
        <f>+D36-H4-H5-H6</f>
        <v>93500</v>
      </c>
    </row>
    <row r="37" spans="3:6" x14ac:dyDescent="0.35">
      <c r="C37" s="47" t="s">
        <v>33</v>
      </c>
      <c r="D37" s="48">
        <f>D36*13%</f>
        <v>12155</v>
      </c>
      <c r="E37">
        <f>+D37-I4-I5-I6</f>
        <v>12155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81345</v>
      </c>
      <c r="F39" s="98">
        <f>+N32-D39</f>
        <v>955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81345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 ca="1">Vendedor13!$B$2</f>
        <v>MINERO 22-05-2026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5000</v>
      </c>
      <c r="D17" s="30">
        <f>IF(Vendedor14!$E$26="",0,Vendedor14!$E$26)</f>
        <v>0</v>
      </c>
      <c r="F17" s="42">
        <f t="shared" si="1"/>
        <v>5000</v>
      </c>
      <c r="G17" s="41">
        <f>MROUND(F17*Vendedor14!J$15,50)</f>
        <v>600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4400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3500</v>
      </c>
      <c r="D18" s="30">
        <f>IF(Vendedor15!$E$26="",0,Vendedor15!$E$26)</f>
        <v>0</v>
      </c>
      <c r="F18" s="42">
        <f t="shared" si="1"/>
        <v>3500</v>
      </c>
      <c r="G18" s="41">
        <f>MROUND(F18*Vendedor15!J$15,50)</f>
        <v>400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3100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8500</v>
      </c>
      <c r="D32" s="44">
        <f>SUM(D4:D31)</f>
        <v>0</v>
      </c>
      <c r="F32" s="95">
        <f>SUM(F4:F31)</f>
        <v>8500</v>
      </c>
      <c r="G32" s="95">
        <f>SUM(G7:G31)</f>
        <v>1000</v>
      </c>
      <c r="H32" s="95"/>
      <c r="I32" s="95">
        <f>SUM(I4:I31)</f>
        <v>0</v>
      </c>
      <c r="J32" s="95">
        <f>SUM(J4:J31)</f>
        <v>0</v>
      </c>
      <c r="L32" s="91">
        <f>SUM(L4:L31)</f>
        <v>7500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8500</v>
      </c>
      <c r="F36" s="43">
        <f>+D36-F4-F5-F6</f>
        <v>8500</v>
      </c>
    </row>
    <row r="37" spans="3:6" x14ac:dyDescent="0.35">
      <c r="C37" s="47" t="s">
        <v>33</v>
      </c>
      <c r="D37" s="30">
        <f>D36*14%</f>
        <v>1190</v>
      </c>
      <c r="E37" s="43"/>
      <c r="F37" s="43">
        <f>+D37-G4-G5-G6</f>
        <v>1190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7310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7310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1023950</v>
      </c>
      <c r="C4" s="157">
        <f>HojaNICA!M32</f>
        <v>122850</v>
      </c>
      <c r="D4" s="150">
        <f>HojaNICA!E37</f>
        <v>133086</v>
      </c>
      <c r="E4" s="150">
        <f>HojaNICA!P32</f>
        <v>395250</v>
      </c>
      <c r="F4" s="150">
        <f>HojaNICA!O32</f>
        <v>399500</v>
      </c>
      <c r="G4" s="151">
        <f t="shared" ref="G4:G10" si="0">+D4-C4+F4-E4</f>
        <v>14486</v>
      </c>
      <c r="H4" s="21"/>
      <c r="I4" s="182"/>
    </row>
    <row r="5" spans="1:9" x14ac:dyDescent="0.35">
      <c r="A5" s="28" t="s">
        <v>19</v>
      </c>
      <c r="B5" s="156">
        <f>HojaTICA!$E$36</f>
        <v>1364300</v>
      </c>
      <c r="C5" s="157">
        <f>HojaTICA!K32</f>
        <v>167400</v>
      </c>
      <c r="D5" s="150">
        <f>HojaTICA!E37</f>
        <v>177336</v>
      </c>
      <c r="E5" s="150">
        <f>HojaTICA!N32</f>
        <v>2256250</v>
      </c>
      <c r="F5" s="150">
        <f>HojaTICA!D38</f>
        <v>2286500</v>
      </c>
      <c r="G5" s="151">
        <f t="shared" si="0"/>
        <v>40186</v>
      </c>
      <c r="H5" s="21"/>
      <c r="I5" s="182"/>
    </row>
    <row r="6" spans="1:9" x14ac:dyDescent="0.35">
      <c r="A6" s="28" t="s">
        <v>125</v>
      </c>
      <c r="B6" s="156">
        <f>HojaREVENTADO!$E$37</f>
        <v>204600</v>
      </c>
      <c r="C6" s="157">
        <f>HojaREVENTADO!K33</f>
        <v>20460</v>
      </c>
      <c r="D6" s="150">
        <f>HojaREVENTADO!E38</f>
        <v>20460</v>
      </c>
      <c r="E6" s="150">
        <f>HojaREVENTADO!O33</f>
        <v>20000</v>
      </c>
      <c r="F6" s="150">
        <f>HojaREVENTADO!N33</f>
        <v>22000</v>
      </c>
      <c r="G6" s="151">
        <f t="shared" si="0"/>
        <v>2000</v>
      </c>
      <c r="H6" s="21"/>
      <c r="I6" s="182"/>
    </row>
    <row r="7" spans="1:9" x14ac:dyDescent="0.35">
      <c r="A7" s="28" t="s">
        <v>96</v>
      </c>
      <c r="B7" s="156">
        <f>HojaPrimera!$E$36</f>
        <v>234750</v>
      </c>
      <c r="C7" s="157">
        <f>HojaPrimera!I32</f>
        <v>28150</v>
      </c>
      <c r="D7" s="150">
        <f>HojaPrimera!E37</f>
        <v>30497.5</v>
      </c>
      <c r="E7" s="150">
        <f>HojaPrimera!L32</f>
        <v>263750</v>
      </c>
      <c r="F7" s="150">
        <f>HojaPrimera!K32</f>
        <v>267750</v>
      </c>
      <c r="G7" s="151">
        <f t="shared" si="0"/>
        <v>6347.5</v>
      </c>
      <c r="H7" s="21"/>
      <c r="I7" s="21"/>
    </row>
    <row r="8" spans="1:9" x14ac:dyDescent="0.35">
      <c r="A8" s="28" t="s">
        <v>104</v>
      </c>
      <c r="B8" s="156">
        <f>HojaHonduras!$E$36</f>
        <v>133050</v>
      </c>
      <c r="C8" s="157">
        <f>HojaHonduras!K32</f>
        <v>16000</v>
      </c>
      <c r="D8" s="150">
        <f>HojaHonduras!E37</f>
        <v>17296.5</v>
      </c>
      <c r="E8" s="150">
        <f>HojaHonduras!N32</f>
        <v>352750</v>
      </c>
      <c r="F8" s="150">
        <f>HojaHonduras!M32</f>
        <v>352750</v>
      </c>
      <c r="G8" s="151">
        <f t="shared" si="0"/>
        <v>1296.5</v>
      </c>
      <c r="H8" s="21"/>
      <c r="I8" s="21"/>
    </row>
    <row r="9" spans="1:9" x14ac:dyDescent="0.35">
      <c r="A9" s="28" t="s">
        <v>20</v>
      </c>
      <c r="B9" s="156">
        <f>HojaDominicana!$E$36</f>
        <v>93500</v>
      </c>
      <c r="C9" s="157">
        <f>HojaDominicana!I32</f>
        <v>11200</v>
      </c>
      <c r="D9" s="150">
        <f>HojaDominicana!E37</f>
        <v>12155</v>
      </c>
      <c r="E9" s="150">
        <f>HojaDominicana!L32</f>
        <v>0</v>
      </c>
      <c r="F9" s="150">
        <f>HojaDominicana!K32</f>
        <v>0</v>
      </c>
      <c r="G9" s="151">
        <f t="shared" si="0"/>
        <v>955</v>
      </c>
      <c r="H9" s="21"/>
      <c r="I9" s="21"/>
    </row>
    <row r="10" spans="1:9" ht="15" thickBot="1" x14ac:dyDescent="0.4">
      <c r="A10" s="167" t="s">
        <v>21</v>
      </c>
      <c r="B10" s="168">
        <f>HojaPANA!F36</f>
        <v>8500</v>
      </c>
      <c r="C10" s="169">
        <f>HojaPANA!G32</f>
        <v>1000</v>
      </c>
      <c r="D10" s="170">
        <f>HojaPANA!F37</f>
        <v>1190</v>
      </c>
      <c r="E10" s="170">
        <f>HojaPANA!J32</f>
        <v>0</v>
      </c>
      <c r="F10" s="170">
        <f>HojaPANA!I32</f>
        <v>0</v>
      </c>
      <c r="G10" s="171">
        <f t="shared" si="0"/>
        <v>190</v>
      </c>
      <c r="H10" s="21"/>
      <c r="I10" s="21"/>
    </row>
    <row r="11" spans="1:9" ht="19" thickBot="1" x14ac:dyDescent="0.5">
      <c r="A11" s="174" t="s">
        <v>32</v>
      </c>
      <c r="B11" s="175">
        <f>SUM(B4:B10)</f>
        <v>3062650</v>
      </c>
      <c r="C11" s="175">
        <f>SUM(C4:C10)</f>
        <v>367060</v>
      </c>
      <c r="D11" s="175">
        <f t="shared" ref="D11:F11" si="1">SUM(D4:D10)</f>
        <v>392021</v>
      </c>
      <c r="E11" s="175">
        <f t="shared" si="1"/>
        <v>3288000</v>
      </c>
      <c r="F11" s="175">
        <f t="shared" si="1"/>
        <v>3328500</v>
      </c>
      <c r="G11" s="176">
        <f>SUM(G4:G10)</f>
        <v>65461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30461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206500</v>
      </c>
      <c r="E16" s="157">
        <f>+Vendedor1!D21</f>
        <v>26845</v>
      </c>
      <c r="F16" s="158">
        <f>IF(D16&lt;&gt;0,15000,0)</f>
        <v>15000</v>
      </c>
      <c r="G16" s="151">
        <f>+E16-F16</f>
        <v>11845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195650</v>
      </c>
      <c r="E17" s="157">
        <f>+Vendedor2!D21</f>
        <v>25434.5</v>
      </c>
      <c r="F17" s="158">
        <f>IF(D17&lt;&gt;0,15000,0)</f>
        <v>15000</v>
      </c>
      <c r="G17" s="151">
        <f>+E17-F17</f>
        <v>10434.5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402150</v>
      </c>
      <c r="E19" s="159">
        <f>SUM(E16:E18)</f>
        <v>52279.5</v>
      </c>
      <c r="F19" s="160">
        <f>SUM(F16:F18)</f>
        <v>30000</v>
      </c>
      <c r="G19" s="161">
        <f>SUM(G16:G18)</f>
        <v>22279.5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52740.5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1102200</v>
      </c>
      <c r="C5" s="150">
        <f>HojaNICA!D37</f>
        <v>143286</v>
      </c>
      <c r="D5" s="150">
        <f>HojaNICA!D38</f>
        <v>399500</v>
      </c>
      <c r="E5" s="150"/>
      <c r="F5" s="151">
        <f>+B5-C5-D5+E5</f>
        <v>559414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1672200</v>
      </c>
      <c r="C6" s="150">
        <f>HojaTICA!D37</f>
        <v>217386</v>
      </c>
      <c r="D6" s="150">
        <f>HojaTICA!D38</f>
        <v>2286500</v>
      </c>
      <c r="E6" s="150"/>
      <c r="F6" s="151">
        <f t="shared" ref="F6:F11" si="0">+B6-C6-D6+E6</f>
        <v>-831686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204600</v>
      </c>
      <c r="C7" s="150">
        <f>HojaREVENTADO!D38</f>
        <v>20460</v>
      </c>
      <c r="D7" s="150">
        <f>HojaREVENTADO!D39</f>
        <v>22000</v>
      </c>
      <c r="E7" s="150"/>
      <c r="F7" s="151">
        <f t="shared" si="0"/>
        <v>162140</v>
      </c>
    </row>
    <row r="8" spans="1:15" x14ac:dyDescent="0.35">
      <c r="A8" s="47" t="s">
        <v>96</v>
      </c>
      <c r="B8" s="150">
        <f>HojaPrimera!$D36</f>
        <v>250750</v>
      </c>
      <c r="C8" s="150">
        <f>HojaPrimera!$D37</f>
        <v>32597.5</v>
      </c>
      <c r="D8" s="150">
        <f>HojaPrimera!$D38</f>
        <v>267750</v>
      </c>
      <c r="E8" s="150"/>
      <c r="F8" s="151">
        <f t="shared" si="0"/>
        <v>-49597.5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133050</v>
      </c>
      <c r="C9" s="150">
        <f>HojaHonduras!$D37</f>
        <v>17296.5</v>
      </c>
      <c r="D9" s="150">
        <f>HojaHonduras!$D38</f>
        <v>352750</v>
      </c>
      <c r="E9" s="150"/>
      <c r="F9" s="151">
        <f t="shared" si="0"/>
        <v>-236996.5</v>
      </c>
      <c r="H9" s="250">
        <f>+K12-K10-H6</f>
        <v>-308071</v>
      </c>
    </row>
    <row r="10" spans="1:15" ht="15" thickBot="1" x14ac:dyDescent="0.4">
      <c r="A10" s="47" t="s">
        <v>20</v>
      </c>
      <c r="B10" s="150">
        <f>HojaDominicana!$D36</f>
        <v>93500</v>
      </c>
      <c r="C10" s="150">
        <f>HojaDominicana!$D37</f>
        <v>12155</v>
      </c>
      <c r="D10" s="150">
        <f>HojaDominicana!$D38</f>
        <v>0</v>
      </c>
      <c r="E10" s="150"/>
      <c r="F10" s="151">
        <f t="shared" si="0"/>
        <v>81345</v>
      </c>
      <c r="H10" s="154"/>
      <c r="J10" t="s">
        <v>148</v>
      </c>
      <c r="K10" s="252">
        <v>4878666.8499999996</v>
      </c>
    </row>
    <row r="11" spans="1:15" ht="15" thickBot="1" x14ac:dyDescent="0.4">
      <c r="A11" s="47" t="s">
        <v>21</v>
      </c>
      <c r="B11" s="150">
        <f>HojaPANA!$D36</f>
        <v>8500</v>
      </c>
      <c r="C11" s="150">
        <f>HojaPANA!$D37</f>
        <v>1190</v>
      </c>
      <c r="D11" s="165">
        <f>HojaPANA!$D38</f>
        <v>0</v>
      </c>
      <c r="E11" s="150"/>
      <c r="F11" s="151">
        <f t="shared" si="0"/>
        <v>7310</v>
      </c>
      <c r="H11" s="214" t="s">
        <v>154</v>
      </c>
      <c r="J11" t="s">
        <v>158</v>
      </c>
      <c r="K11" s="253">
        <f>+K10+F12+H6</f>
        <v>4570595.8499999996</v>
      </c>
    </row>
    <row r="12" spans="1:15" ht="16" thickBot="1" x14ac:dyDescent="0.4">
      <c r="A12" s="144" t="s">
        <v>5</v>
      </c>
      <c r="B12" s="152">
        <f>SUM(B5:B11)</f>
        <v>3464800</v>
      </c>
      <c r="C12" s="152">
        <f>SUM(C5:C11)</f>
        <v>444371</v>
      </c>
      <c r="D12" s="152">
        <f>SUM(D5:D11)</f>
        <v>3328500</v>
      </c>
      <c r="E12" s="152"/>
      <c r="F12" s="255">
        <f>SUM(F5:F11)</f>
        <v>-308071</v>
      </c>
      <c r="H12" s="251">
        <f>K12</f>
        <v>4570595.8499999996</v>
      </c>
      <c r="J12" t="s">
        <v>140</v>
      </c>
      <c r="K12" s="254">
        <f>-2481229.87+4298826.24+1523689.5+1229309.98</f>
        <v>4570595.8499999996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171500</v>
      </c>
      <c r="K4" s="231">
        <f t="shared" ref="K4" si="0">D7+D11+D15</f>
        <v>22295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IF(DigitaNICA!C4&lt;&gt;"",DigitaNICA!C4,"")</f>
        <v>19850</v>
      </c>
      <c r="D5" s="42">
        <f>IF(C5="",0,C5*J$10)</f>
        <v>2580.5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-2730.5</v>
      </c>
      <c r="I5" s="241" t="s">
        <v>37</v>
      </c>
      <c r="J5" s="221">
        <f>SUM(IF(C5="",0,C5),IF(C9="",0,C9),IF(C13="",0,C13),IF(C17="",0,C17))</f>
        <v>32500</v>
      </c>
      <c r="K5" s="225">
        <f t="shared" ref="K5" si="2">D5+D9+D13+D17</f>
        <v>4225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2500</v>
      </c>
      <c r="K6" s="228">
        <f>D19+D20</f>
        <v>325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>
        <f>IF(DigitaTICA!C4&lt;&gt;"",DigitaTICA!C4,"")</f>
        <v>64800</v>
      </c>
      <c r="D7" s="42">
        <f>IF(C7="",0,C7*J$9)</f>
        <v>8424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39376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62</v>
      </c>
      <c r="C9" s="29">
        <f>IF(DigitaNICA!E4&lt;&gt;"",DigitaNICA!E4,"")</f>
        <v>6400</v>
      </c>
      <c r="D9" s="42">
        <f>IF(C9="",0,C9*J$10)</f>
        <v>832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5568</v>
      </c>
      <c r="I9" s="76" t="s">
        <v>36</v>
      </c>
      <c r="J9" s="77">
        <v>0.13</v>
      </c>
      <c r="K9" s="78">
        <f>MROUND(D7+D11+D15,50)</f>
        <v>22300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4250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IF(DigitaTICA!E4&lt;&gt;"",DigitaTICA!E4,"")</f>
        <v>42500</v>
      </c>
      <c r="D11" s="42">
        <f>IF(C11="",0,C11*J$9)</f>
        <v>5525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15725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IF(DigitaNICA!G4&lt;&gt;"",DigitaNICA!G4,"")</f>
        <v>4750</v>
      </c>
      <c r="D13" s="42">
        <f>IF(C13="",0,C13*J$10)</f>
        <v>617.5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4132.5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IF(DigitaTICA!G4&lt;&gt;"",DigitaTICA!G4,"")</f>
        <v>64200</v>
      </c>
      <c r="D15" s="42">
        <f>IF(C15="",0,C15*J$9)</f>
        <v>8346</v>
      </c>
      <c r="E15" s="29">
        <f>IF(DigitaTICA!H4&lt;&gt;"",DigitaTICA!H4,"")</f>
        <v>450</v>
      </c>
      <c r="F15" s="42">
        <f>IF(E15="",0,E15*PREMIOS!F15)</f>
        <v>38250</v>
      </c>
      <c r="G15" s="30">
        <f t="shared" si="3"/>
        <v>17604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>
        <f>IF(DigitaPRIMERA!C4&lt;&gt;"",DigitaPRIMERA!C4,"")</f>
        <v>1300</v>
      </c>
      <c r="D19" s="42">
        <f>IF(C19="",0,C19*J$12)</f>
        <v>169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1131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206500</v>
      </c>
      <c r="D21" s="122">
        <f t="shared" ref="D21:G21" si="6">SUM(D5:D20)</f>
        <v>26845</v>
      </c>
      <c r="E21" s="122">
        <f t="shared" si="6"/>
        <v>1150</v>
      </c>
      <c r="F21" s="122">
        <f t="shared" si="6"/>
        <v>96500</v>
      </c>
      <c r="G21" s="123">
        <f t="shared" si="6"/>
        <v>83155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136400</v>
      </c>
      <c r="K4" s="231">
        <f t="shared" ref="K4" si="0">D7+D11+D15</f>
        <v>17732</v>
      </c>
      <c r="L4" s="220">
        <f>F7+F11+F15</f>
        <v>382500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IF(DigitaNICA!C5&lt;&gt;"",DigitaNICA!C5,"")</f>
        <v>29800</v>
      </c>
      <c r="D5" s="42">
        <f>IF(C5="",0,C5*J$10)</f>
        <v>3874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25926</v>
      </c>
      <c r="I5" s="241" t="s">
        <v>37</v>
      </c>
      <c r="J5" s="221">
        <f>SUM(IF(C5="",0,C5),IF(C9="",0,C9),IF(C13="",0,C13),IF(C17="",0,C17))</f>
        <v>45750</v>
      </c>
      <c r="K5" s="225">
        <f t="shared" ref="K5" si="2">D5+D9+D13+D17</f>
        <v>5947.5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13500</v>
      </c>
      <c r="K6" s="228">
        <f>D19+D20</f>
        <v>1755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>
        <f>IF(DigitaTICA!C5&lt;&gt;"",DigitaTICA!C5,"")</f>
        <v>55550</v>
      </c>
      <c r="D7" s="42">
        <f>IF(C7="",0,C7*J$9)</f>
        <v>7221.5</v>
      </c>
      <c r="E7" s="29">
        <f>IF(DigitaTICA!D5&lt;&gt;"",DigitaTICA!D5,"")</f>
        <v>3250</v>
      </c>
      <c r="F7" s="42">
        <f>IF(E7="",0,E7*PREMIOS!F7)</f>
        <v>276250</v>
      </c>
      <c r="G7" s="30">
        <f t="shared" si="1"/>
        <v>-227921.5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62</v>
      </c>
      <c r="C9" s="29">
        <f>IF(DigitaNICA!E5&lt;&gt;"",DigitaNICA!E5,"")</f>
        <v>11700</v>
      </c>
      <c r="D9" s="42">
        <f>IF(C9="",0,C9*J$10)</f>
        <v>1521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10179</v>
      </c>
      <c r="I9" s="60" t="s">
        <v>36</v>
      </c>
      <c r="J9" s="61">
        <v>0.13</v>
      </c>
      <c r="K9" s="62">
        <f>MROUND(D7+D11+D15,50)</f>
        <v>17750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IF(DigitaTICA!E5&lt;&gt;"",DigitaTICA!E5,"")</f>
        <v>25300</v>
      </c>
      <c r="D11" s="42">
        <f>IF(C11="",0,C11*J$9)</f>
        <v>3289</v>
      </c>
      <c r="E11" s="29">
        <f>IF(DigitaTICA!F5&lt;&gt;"",DigitaTICA!F5,"")</f>
        <v>1250</v>
      </c>
      <c r="F11" s="42">
        <f>IF(E11="",0,E11*PREMIOS!F11)</f>
        <v>106250</v>
      </c>
      <c r="G11" s="30">
        <f t="shared" si="1"/>
        <v>-84239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IF(DigitaTICA!G5&lt;&gt;"",DigitaTICA!G5,"")</f>
        <v>55550</v>
      </c>
      <c r="D15" s="42">
        <f>IF(C15="",0,C15*J$9)</f>
        <v>7221.5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48328.5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IF(DigitaNICA!I5&lt;&gt;"",DigitaNICA!I5,"")</f>
        <v>3000</v>
      </c>
      <c r="D17" s="42">
        <f>IF(C17="",0,C17*J$10)</f>
        <v>390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>
        <f>IF(DigitaPRIMERA!C5&lt;&gt;"",DigitaPRIMERA!C5,"")</f>
        <v>13500</v>
      </c>
      <c r="D19" s="42">
        <f>IF(C19="",0,C19*J$12)</f>
        <v>1755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11745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195650</v>
      </c>
      <c r="D21" s="68">
        <f t="shared" ref="D21:G21" si="4">SUM(D5:D20)</f>
        <v>25434.5</v>
      </c>
      <c r="E21" s="68">
        <f t="shared" si="4"/>
        <v>4500</v>
      </c>
      <c r="F21" s="68">
        <f t="shared" si="4"/>
        <v>382500</v>
      </c>
      <c r="G21" s="88">
        <f t="shared" si="4"/>
        <v>-212284.5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94">
        <f>IF(DigitaTICA!G7&lt;&gt;"",DigitaTICA!G7,"")</f>
        <v>4000</v>
      </c>
      <c r="D15" s="112">
        <f>IF(C15="",0,C15*J$9)</f>
        <v>480</v>
      </c>
      <c r="E15" s="113">
        <f>IF(DigitaTICA!H7&lt;&gt;"",DigitaTICA!H7,"")</f>
        <v>0</v>
      </c>
      <c r="F15" s="112">
        <f>IF(E15="",0,E15*PREMIOS!F15)</f>
        <v>0</v>
      </c>
      <c r="G15" s="114">
        <f t="shared" si="4"/>
        <v>3520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4000</v>
      </c>
      <c r="D19" s="68">
        <f>SUM(D5:D18)</f>
        <v>480</v>
      </c>
      <c r="E19" s="68">
        <f>SUM(E5:E18)</f>
        <v>0</v>
      </c>
      <c r="F19" s="68">
        <f>SUM(F5:F18)</f>
        <v>0</v>
      </c>
      <c r="G19" s="88">
        <f>SUM(G5:G18)</f>
        <v>3520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11900</v>
      </c>
      <c r="K4" s="231">
        <f t="shared" ref="K4" si="0">D7+D11+D15</f>
        <v>1428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IF(DigitaNICA!C8&lt;&gt;"",DigitaNICA!C8,"")</f>
        <v>6900</v>
      </c>
      <c r="D5" s="42">
        <f>IF(C5="",0,C5*J$12)</f>
        <v>828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6072</v>
      </c>
      <c r="I5" s="241" t="s">
        <v>37</v>
      </c>
      <c r="J5" s="221">
        <f>SUM(IF(C5="",0,C5),IF(C9="",0,C9),IF(C13="",0,C13),IF(C17="",0,C17))</f>
        <v>15800</v>
      </c>
      <c r="K5" s="225">
        <f t="shared" ref="K5" si="2">D5+D9+D13+D17</f>
        <v>1896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>
        <f>IF(DigitaTICA!C8&lt;&gt;"",DigitaTICA!C8,"")</f>
        <v>6400</v>
      </c>
      <c r="D7" s="42">
        <f>IF(C7="",0,C7*J$11)</f>
        <v>768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5632</v>
      </c>
      <c r="I7" s="242" t="s">
        <v>96</v>
      </c>
      <c r="J7" s="224">
        <f>SUM(IF(C19="",0,C19),IF(C20="",0,C20))</f>
        <v>5400</v>
      </c>
      <c r="K7" s="228">
        <f>+D19+D20</f>
        <v>648</v>
      </c>
      <c r="L7" s="229">
        <f>+F19+F20</f>
        <v>52000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62</v>
      </c>
      <c r="C9" s="29">
        <f>IF(DigitaNICA!E8&lt;&gt;"",DigitaNICA!E8,"")</f>
        <v>3900</v>
      </c>
      <c r="D9" s="42">
        <f>IF(C9="",0,C9*J$12)</f>
        <v>468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3432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IF(DigitaTICA!E8&lt;&gt;"",DigitaTICA!E8,"")</f>
        <v>2500</v>
      </c>
      <c r="D11" s="42">
        <f>IF(C11="",0,C11*J$11)</f>
        <v>300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2200</v>
      </c>
      <c r="I11" s="60" t="s">
        <v>36</v>
      </c>
      <c r="J11" s="61">
        <v>0.12</v>
      </c>
      <c r="K11" s="62">
        <f>MROUND(D7+D11+D15,50)</f>
        <v>1450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1900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IF(DigitaNICA!G8&lt;&gt;"",DigitaNICA!G8,"")</f>
        <v>2000</v>
      </c>
      <c r="D13" s="42">
        <f>IF(C13="",0,C13*J$12)</f>
        <v>240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650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IF(DigitaTICA!G8&lt;&gt;"",DigitaTICA!G8,"")</f>
        <v>3000</v>
      </c>
      <c r="D15" s="42">
        <f>IF(C15="",0,C15*J$11)</f>
        <v>360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2640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IF(DigitaNICA!I8&lt;&gt;"",DigitaNICA!I8,"")</f>
        <v>3000</v>
      </c>
      <c r="D17" s="42">
        <f>IF(C17="",0,C17*J$12)</f>
        <v>360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2640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>
        <f>IF(DigitaPRIMERA!C8&lt;&gt;"",DigitaPRIMERA!C8,"")</f>
        <v>3400</v>
      </c>
      <c r="D19" s="42">
        <f>IF(C19="",0,C19*J$14)</f>
        <v>408</v>
      </c>
      <c r="E19" s="29">
        <f>IF(DigitaPRIMERA!D8&lt;&gt;"",DigitaPRIMERA!D8,"")</f>
        <v>650</v>
      </c>
      <c r="F19" s="42">
        <f>IF(E19="",0,E19*PREMIOS!E19)</f>
        <v>52000</v>
      </c>
      <c r="G19" s="30">
        <f t="shared" si="4"/>
        <v>-49008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>
        <f>IF(DigitaPRIMERA!E8&lt;&gt;"",DigitaPRIMERA!E8,"")</f>
        <v>2000</v>
      </c>
      <c r="D20" s="42">
        <f>IF(C20="",0,C20*J$14)</f>
        <v>240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1760</v>
      </c>
    </row>
    <row r="21" spans="1:7" ht="15" thickBot="1" x14ac:dyDescent="0.4">
      <c r="A21" s="121" t="s">
        <v>5</v>
      </c>
      <c r="B21" s="128"/>
      <c r="C21" s="122">
        <f>SUM(C5:C20)</f>
        <v>33100</v>
      </c>
      <c r="D21" s="122">
        <f t="shared" ref="D21:G21" si="5">SUM(D5:D20)</f>
        <v>3972</v>
      </c>
      <c r="E21" s="122">
        <f t="shared" si="5"/>
        <v>650</v>
      </c>
      <c r="F21" s="122">
        <f t="shared" si="5"/>
        <v>52000</v>
      </c>
      <c r="G21" s="123">
        <f t="shared" si="5"/>
        <v>-22872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409600</v>
      </c>
      <c r="K4" s="231">
        <f t="shared" ref="K4" si="0">D7+D11+D15</f>
        <v>49152</v>
      </c>
      <c r="L4" s="220">
        <f>F7+F11+F15</f>
        <v>221000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IF(DigitaNICA!C10&lt;&gt;"",DigitaNICA!C10,"")</f>
        <v>142150</v>
      </c>
      <c r="D5" s="42">
        <f>IF(C5="",0,C5*J$15)</f>
        <v>17058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125092</v>
      </c>
      <c r="I5" s="217" t="s">
        <v>37</v>
      </c>
      <c r="J5" s="221">
        <f>SUM(IF(C5="",0,C5),IF(C9="",0,C9),IF(C13="",0,C13),IF(C17="",0,C17))</f>
        <v>312200</v>
      </c>
      <c r="K5" s="225">
        <f t="shared" ref="K5" si="2">D5+D9+D13+D17</f>
        <v>37464</v>
      </c>
      <c r="L5" s="222">
        <f>F5+F9+F13+F17</f>
        <v>140250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82100</v>
      </c>
      <c r="K6" s="226">
        <f t="shared" ref="K6" si="3">+D8+D12+D16</f>
        <v>8210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03</v>
      </c>
      <c r="C7" s="29">
        <f>IF(DigitaTICA!C10&lt;&gt;"",DigitaTICA!C10,"")</f>
        <v>130150</v>
      </c>
      <c r="D7" s="42">
        <f>IF(C7="",0,C7*J$14)</f>
        <v>15618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89032</v>
      </c>
      <c r="I7" s="217" t="s">
        <v>96</v>
      </c>
      <c r="J7" s="223">
        <f>SUM(IF(C19="",0,C19),IF(C20="",0,C20))</f>
        <v>35050</v>
      </c>
      <c r="K7" s="226">
        <f>+D19+D20</f>
        <v>4206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35600</v>
      </c>
      <c r="D8" s="42">
        <f>IF(C8="",0,C8*J$16)</f>
        <v>3560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32040</v>
      </c>
      <c r="I8" s="217" t="s">
        <v>104</v>
      </c>
      <c r="J8" s="223">
        <f>SUM(IF(C21="",0,C21),IF(C22="",0,C22),IF(C23="",0,C23))</f>
        <v>24900</v>
      </c>
      <c r="K8" s="226">
        <f t="shared" ref="K8" si="4">D21+D22+D23</f>
        <v>2988</v>
      </c>
      <c r="L8" s="227">
        <f>F21+F22+F23</f>
        <v>170000</v>
      </c>
    </row>
    <row r="9" spans="1:12" x14ac:dyDescent="0.35">
      <c r="A9" s="28" t="s">
        <v>48</v>
      </c>
      <c r="B9" s="132">
        <f>IF(DigitaNICA!E2&lt;&gt;"",DigitaNICA!E2,"")</f>
        <v>62</v>
      </c>
      <c r="C9" s="29">
        <f>IF(DigitaNICA!E10&lt;&gt;"",DigitaNICA!E10,"")</f>
        <v>65500</v>
      </c>
      <c r="D9" s="42">
        <f>IF(C9="",0,C9*J$15)</f>
        <v>7860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57640</v>
      </c>
      <c r="I9" s="217" t="s">
        <v>20</v>
      </c>
      <c r="J9" s="223">
        <f>SUM(IF(C24="",0,C24),IF(C25="",0,C25))</f>
        <v>93500</v>
      </c>
      <c r="K9" s="226">
        <f t="shared" ref="K9" si="5">+D24+D25</f>
        <v>11220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IF(DigitaTICA!E10&lt;&gt;"",DigitaTICA!E10,"")</f>
        <v>118700</v>
      </c>
      <c r="D11" s="42">
        <f>IF(C11="",0,C11*J$14)</f>
        <v>14244</v>
      </c>
      <c r="E11" s="29">
        <f>IF(DigitaTICA!F10&lt;&gt;"",DigitaTICA!F10,"")</f>
        <v>1000</v>
      </c>
      <c r="F11" s="42">
        <f>IF(E11="",0,E11*PREMIOS!F11)</f>
        <v>85000</v>
      </c>
      <c r="G11" s="30">
        <f t="shared" si="1"/>
        <v>19456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24550</v>
      </c>
      <c r="D12" s="42">
        <f>IF(C12="",0,C12*J$16)</f>
        <v>2455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22095</v>
      </c>
    </row>
    <row r="13" spans="1:12" ht="15" thickBot="1" x14ac:dyDescent="0.4">
      <c r="A13" s="28" t="s">
        <v>50</v>
      </c>
      <c r="B13" s="132">
        <f>IF(DigitaNICA!G2&lt;&gt;"",DigitaNICA!G2,"")</f>
        <v>63</v>
      </c>
      <c r="C13" s="29">
        <f>IF(DigitaNICA!G10&lt;&gt;"",DigitaNICA!G10,"")</f>
        <v>26500</v>
      </c>
      <c r="D13" s="42">
        <f>IF(C13="",0,C13*J$15)</f>
        <v>3180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10570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49150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IF(DigitaTICA!G10&lt;&gt;"",DigitaTICA!G10,"")</f>
        <v>160750</v>
      </c>
      <c r="D15" s="42">
        <f>IF(C15="",0,C15*J$14)</f>
        <v>19290</v>
      </c>
      <c r="E15" s="29">
        <f>IF(DigitaTICA!H10&lt;&gt;"",DigitaTICA!H10,"")</f>
        <v>1300</v>
      </c>
      <c r="F15" s="42">
        <f>IF(E15="",0,E15*PREMIOS!F15)</f>
        <v>110500</v>
      </c>
      <c r="G15" s="30">
        <f t="shared" si="6"/>
        <v>30960</v>
      </c>
      <c r="I15" s="63" t="s">
        <v>37</v>
      </c>
      <c r="J15" s="64">
        <v>0.12</v>
      </c>
      <c r="K15" s="30">
        <f>MROUND(D5+D9+D13+D17,50)</f>
        <v>37450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21950</v>
      </c>
      <c r="D16" s="42">
        <f>IF(C16="",0,C16*J$16)</f>
        <v>2195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19755</v>
      </c>
      <c r="I16" s="63" t="s">
        <v>38</v>
      </c>
      <c r="J16" s="64">
        <v>0.1</v>
      </c>
      <c r="K16" s="30">
        <f>MROUND(D6+D8+D10+D12+D14+D16+D18,50)</f>
        <v>8200</v>
      </c>
    </row>
    <row r="17" spans="1:11" x14ac:dyDescent="0.35">
      <c r="A17" s="28" t="s">
        <v>52</v>
      </c>
      <c r="B17" s="132">
        <f>IF(DigitaNICA!I2&lt;&gt;"",DigitaNICA!I2,"")</f>
        <v>38</v>
      </c>
      <c r="C17" s="29">
        <f>IF(DigitaNICA!I10&lt;&gt;"",DigitaNICA!I10,"")</f>
        <v>78050</v>
      </c>
      <c r="D17" s="42">
        <f>IF(C17="",0,C17*J$15)</f>
        <v>9366</v>
      </c>
      <c r="E17" s="29">
        <f>IF(DigitaNICA!J10&lt;&gt;"",DigitaNICA!J10,"")</f>
        <v>1500</v>
      </c>
      <c r="F17" s="42">
        <f>IF(E17="",0,E17*PREMIOS!F17)</f>
        <v>127500</v>
      </c>
      <c r="G17" s="30">
        <f t="shared" si="6"/>
        <v>-58816</v>
      </c>
      <c r="I17" s="63" t="s">
        <v>96</v>
      </c>
      <c r="J17" s="64">
        <v>0.12</v>
      </c>
      <c r="K17" s="30">
        <f>MROUND(D19+D20,50)</f>
        <v>4200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3000</v>
      </c>
    </row>
    <row r="19" spans="1:11" x14ac:dyDescent="0.35">
      <c r="A19" s="28" t="s">
        <v>97</v>
      </c>
      <c r="B19" s="132">
        <f>IF(DigitaPRIMERA!C2&lt;&gt;"",DigitaPRIMERA!C2,"")</f>
        <v>51</v>
      </c>
      <c r="C19" s="29">
        <f>IF(DigitaPRIMERA!$C$10&lt;&gt;"",DigitaPRIMERA!$C$10,"")</f>
        <v>27950</v>
      </c>
      <c r="D19" s="42">
        <f>IF(C19="",0,C19*J$17)</f>
        <v>3354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24596</v>
      </c>
      <c r="I19" s="63" t="s">
        <v>20</v>
      </c>
      <c r="J19" s="64">
        <v>0.12</v>
      </c>
      <c r="K19" s="30">
        <f>MROUND(D24+D25,50)</f>
        <v>11200</v>
      </c>
    </row>
    <row r="20" spans="1:11" ht="15" thickBot="1" x14ac:dyDescent="0.4">
      <c r="A20" s="28" t="s">
        <v>98</v>
      </c>
      <c r="B20" s="132">
        <f>IF(DigitaPRIMERA!E2&lt;&gt;"",DigitaPRIMERA!E2,"")</f>
        <v>56</v>
      </c>
      <c r="C20" s="29">
        <f>IF(DigitaPRIMERA!$E$10&lt;&gt;"",DigitaPRIMERA!$E$10,"")</f>
        <v>7100</v>
      </c>
      <c r="D20" s="42">
        <f>IF(C20="",0,C20*J$17)</f>
        <v>852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6248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00</v>
      </c>
      <c r="C21" s="29">
        <f>IF(DigitaHONDURAS!$C$10&lt;&gt;"",DigitaHONDURAS!$C$10,"")</f>
        <v>20700</v>
      </c>
      <c r="D21" s="42">
        <f>IF(C21="",0,C21*J$18)</f>
        <v>2484</v>
      </c>
      <c r="E21" s="29">
        <f>IF(DigitaHONDURAS!$D$10&lt;&gt;"",DigitaHONDURAS!$D$10,"")</f>
        <v>2000</v>
      </c>
      <c r="F21" s="42">
        <f>IF(E21="",0,E21*PREMIOS!F20)</f>
        <v>170000</v>
      </c>
      <c r="G21" s="30">
        <f t="shared" si="7"/>
        <v>-151784</v>
      </c>
    </row>
    <row r="22" spans="1:11" x14ac:dyDescent="0.35">
      <c r="A22" s="28" t="s">
        <v>100</v>
      </c>
      <c r="B22" s="132">
        <f>IF(DigitaHONDURAS!E2&lt;&gt;"",DigitaHONDURAS!E2,"")</f>
        <v>81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>
        <f>IF(DigitaHONDURAS!$G$10&lt;&gt;"",DigitaHONDURAS!$G$10,"")</f>
        <v>1200</v>
      </c>
      <c r="D23" s="42">
        <f>IF(C23="",0,C23*J$18)</f>
        <v>144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1056</v>
      </c>
    </row>
    <row r="24" spans="1:11" x14ac:dyDescent="0.35">
      <c r="A24" s="28" t="s">
        <v>107</v>
      </c>
      <c r="B24" s="132">
        <f>IF(DigitaDOMINICANA!C2&lt;&gt;"",DigitaDOMINICANA!C2,"")</f>
        <v>37</v>
      </c>
      <c r="C24" s="29">
        <f>IF(DigitaDOMINICANA!$C$10&lt;&gt;"",DigitaDOMINICANA!$C$10,"")</f>
        <v>43500</v>
      </c>
      <c r="D24" s="42">
        <f>IF(C24="",0,C24*J$19)</f>
        <v>5220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38280</v>
      </c>
    </row>
    <row r="25" spans="1:11" x14ac:dyDescent="0.35">
      <c r="A25" s="28" t="s">
        <v>108</v>
      </c>
      <c r="B25" s="132">
        <f>IF(DigitaDOMINICANA!E2&lt;&gt;"",DigitaDOMINICANA!E2,"")</f>
        <v>16</v>
      </c>
      <c r="C25" s="29">
        <f>IF(DigitaDOMINICANA!$E$10&lt;&gt;"",DigitaDOMINICANA!$E$10,"")</f>
        <v>50000</v>
      </c>
      <c r="D25" s="42">
        <f>IF(C25="",0,C25*J$19)</f>
        <v>6000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957350</v>
      </c>
      <c r="D27" s="68">
        <f t="shared" ref="D27:F27" si="9">SUM(D5:D26)</f>
        <v>113240</v>
      </c>
      <c r="E27" s="68">
        <f t="shared" si="9"/>
        <v>6250</v>
      </c>
      <c r="F27" s="68">
        <f t="shared" si="9"/>
        <v>531250</v>
      </c>
      <c r="G27" s="88">
        <f>SUM(G5:G26)</f>
        <v>312860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2500</v>
      </c>
      <c r="K4" s="231">
        <f t="shared" ref="K4" si="0">D7+D11+D15</f>
        <v>300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IF(DigitaTICA!G11&lt;&gt;"",DigitaTICA!G11,"")</f>
        <v>2500</v>
      </c>
      <c r="D15" s="42">
        <f>IF(C15="",0,C15*J$11)</f>
        <v>300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2200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2500</v>
      </c>
      <c r="D21" s="122">
        <f t="shared" ref="D21:G21" si="5">SUM(D5:D20)</f>
        <v>300</v>
      </c>
      <c r="E21" s="122">
        <f t="shared" si="5"/>
        <v>0</v>
      </c>
      <c r="F21" s="122">
        <f t="shared" si="5"/>
        <v>0</v>
      </c>
      <c r="G21" s="123">
        <f t="shared" si="5"/>
        <v>2200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34250</v>
      </c>
      <c r="K4" s="231">
        <f>D7+D11+D15</f>
        <v>4110</v>
      </c>
      <c r="L4" s="220">
        <f>F7+F11+F15</f>
        <v>403750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IF(DigitaNICA!C12&lt;&gt;"",DigitaNICA!C12,"")</f>
        <v>28450</v>
      </c>
      <c r="D5" s="42">
        <f>IF(C5="",0,C5*J$12)</f>
        <v>3414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25036</v>
      </c>
      <c r="I5" s="217" t="s">
        <v>37</v>
      </c>
      <c r="J5" s="221">
        <f>SUM(IF(C5="",0,C5),IF(C9="",0,C9),IF(C13="",0,C13),IF(C17="",0,C17))</f>
        <v>40600</v>
      </c>
      <c r="K5" s="225">
        <f t="shared" ref="K5" si="1">D5+D9+D13+D17</f>
        <v>4872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03</v>
      </c>
      <c r="C7" s="29">
        <f>IF(DigitaTICA!C12&lt;&gt;"",DigitaTICA!C12,"")</f>
        <v>12450</v>
      </c>
      <c r="D7" s="42">
        <f>IF(C7="",0,C7*J$11)</f>
        <v>1494</v>
      </c>
      <c r="E7" s="29">
        <f>IF(DigitaTICA!D12&lt;&gt;"",DigitaTICA!D12,"")</f>
        <v>3000</v>
      </c>
      <c r="F7" s="42">
        <f>IF(E7="",0,E7*PREMIOS!F7)</f>
        <v>255000</v>
      </c>
      <c r="G7" s="30">
        <f t="shared" si="0"/>
        <v>-244044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900</v>
      </c>
      <c r="D8" s="42">
        <f>IF(C8="",0,C8*J$13)</f>
        <v>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810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62</v>
      </c>
      <c r="C9" s="29">
        <f>IF(DigitaNICA!E12&lt;&gt;"",DigitaNICA!E12,"")</f>
        <v>12150</v>
      </c>
      <c r="D9" s="42">
        <f>IF(C9="",0,C9*J$12)</f>
        <v>1458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10692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IF(DigitaTICA!E12&lt;&gt;"",DigitaTICA!E12,"")</f>
        <v>10900</v>
      </c>
      <c r="D11" s="42">
        <f>IF(C11="",0,C11*J$11)</f>
        <v>1308</v>
      </c>
      <c r="E11" s="29">
        <f>IF(DigitaTICA!F12&lt;&gt;"",DigitaTICA!F12,"")</f>
        <v>1750</v>
      </c>
      <c r="F11" s="42">
        <f>IF(E11="",0,E11*PREMIOS!F11)</f>
        <v>148750</v>
      </c>
      <c r="G11" s="30">
        <f t="shared" si="0"/>
        <v>-139158</v>
      </c>
      <c r="I11" s="60" t="s">
        <v>36</v>
      </c>
      <c r="J11" s="61">
        <v>0.12</v>
      </c>
      <c r="K11" s="62">
        <f>MROUND(D7+D11+D15,50)</f>
        <v>4100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4850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95</v>
      </c>
      <c r="C15" s="29">
        <f>IF(DigitaTICA!G12&lt;&gt;"",DigitaTICA!G12,"")</f>
        <v>10900</v>
      </c>
      <c r="D15" s="42">
        <f>IF(C15="",0,C15*J$11)</f>
        <v>1308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9592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</v>
      </c>
      <c r="D16" s="42">
        <f>IF(C16="",0,C16*J$13)</f>
        <v>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75850</v>
      </c>
      <c r="D24" s="68">
        <f t="shared" ref="D24:G24" si="4">SUM(D5:D23)</f>
        <v>9082</v>
      </c>
      <c r="E24" s="68">
        <f t="shared" si="4"/>
        <v>4750</v>
      </c>
      <c r="F24" s="68">
        <f t="shared" si="4"/>
        <v>403750</v>
      </c>
      <c r="G24" s="88">
        <f t="shared" si="4"/>
        <v>-336982</v>
      </c>
    </row>
    <row r="27" spans="1:7" x14ac:dyDescent="0.35">
      <c r="G27" s="21">
        <v>219425</v>
      </c>
    </row>
    <row r="28" spans="1:7" x14ac:dyDescent="0.35">
      <c r="G28" s="141">
        <f>+G24+G27</f>
        <v>-117557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124800</v>
      </c>
      <c r="K4" s="231">
        <f t="shared" ref="K4" si="0">D7+D11+D15</f>
        <v>14976</v>
      </c>
      <c r="L4" s="220">
        <f>F7+F11+F15</f>
        <v>38250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>
        <f>IF(DigitaNICA!C13&lt;&gt;"",DigitaNICA!C13,"")</f>
        <v>31050</v>
      </c>
      <c r="D5" s="42">
        <f>IF(C5="",0,C5*J$10)</f>
        <v>3726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-20676</v>
      </c>
      <c r="I5" s="218" t="s">
        <v>37</v>
      </c>
      <c r="J5" s="232">
        <f>SUM(IF(C5="",0,C5),IF(C9="",0,C9),IF(C13="",0,C13),IF(C17="",0,C17))</f>
        <v>66300</v>
      </c>
      <c r="K5" s="233">
        <f t="shared" ref="K5" si="2">D5+D9+D13+D17</f>
        <v>7956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>
        <f>IF(DigitaTICA!C13&lt;&gt;"",DigitaTICA!C13,"")</f>
        <v>41850</v>
      </c>
      <c r="D7" s="42">
        <f>IF(C7="",0,C7*J$9)</f>
        <v>5022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11328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62</v>
      </c>
      <c r="C9" s="29">
        <f>IF(DigitaNICA!E13&lt;&gt;"",DigitaNICA!E13,"")</f>
        <v>13100</v>
      </c>
      <c r="D9" s="42">
        <f>IF(C9="",0,C9*J$10)</f>
        <v>1572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11528</v>
      </c>
      <c r="I9" s="60" t="s">
        <v>36</v>
      </c>
      <c r="J9" s="61">
        <v>0.12</v>
      </c>
      <c r="K9" s="62">
        <f>MROUND(D7+D11+D15,50)</f>
        <v>15000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7950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>
        <f>IF(DigitaTICA!E13&lt;&gt;"",DigitaTICA!E13,"")</f>
        <v>15350</v>
      </c>
      <c r="D11" s="42">
        <f>IF(C11="",0,C11*J$9)</f>
        <v>1842</v>
      </c>
      <c r="E11" s="29">
        <f>IF(DigitaTICA!F13&lt;&gt;"",DigitaTICA!F13,"")</f>
        <v>150</v>
      </c>
      <c r="F11" s="133">
        <f>IF(E11="",0,E11*PREMIOS!F11)</f>
        <v>12750</v>
      </c>
      <c r="G11" s="30">
        <f t="shared" si="1"/>
        <v>758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IF(DigitaNICA!G13&lt;&gt;"",DigitaNICA!G13,"")</f>
        <v>1200</v>
      </c>
      <c r="D13" s="42">
        <f>IF(C13="",0,C13*J$10)</f>
        <v>144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1056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IF(DigitaTICA!G13&lt;&gt;"",DigitaTICA!G13,"")</f>
        <v>67600</v>
      </c>
      <c r="D15" s="42">
        <f>IF(C15="",0,C15*J$9)</f>
        <v>8112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59488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IF(DigitaNICA!I13&lt;&gt;"",DigitaNICA!I13,"")</f>
        <v>20950</v>
      </c>
      <c r="D17" s="42">
        <f>IF(C17="",0,C17*J$10)</f>
        <v>2514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18436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191100</v>
      </c>
      <c r="D19" s="68">
        <f>MROUND(SUM(D5:D18),50)</f>
        <v>22950</v>
      </c>
      <c r="E19" s="68">
        <f>SUM(E5:E18)</f>
        <v>1050</v>
      </c>
      <c r="F19" s="68">
        <f>SUM(F5:F18)</f>
        <v>86250</v>
      </c>
      <c r="G19" s="88">
        <f>SUM(G5:G18)</f>
        <v>81918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119700</v>
      </c>
      <c r="K4" s="236">
        <f t="shared" ref="K4" si="0">D7+D11+D15</f>
        <v>17955</v>
      </c>
      <c r="L4" s="237">
        <f>F7+F11+F15</f>
        <v>484000</v>
      </c>
    </row>
    <row r="5" spans="1:12" x14ac:dyDescent="0.35">
      <c r="A5" s="28" t="s">
        <v>43</v>
      </c>
      <c r="B5" s="132">
        <f>IF(DigitaNICA!C2&lt;&gt;"",DigitaNICA!C2,"")</f>
        <v>95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>
        <f>IF(DigitaTICA!C14&lt;&gt;"",DigitaTICA!C14,"")</f>
        <v>47400</v>
      </c>
      <c r="D7" s="42">
        <f>IF(C7="",0,C7*J$9)</f>
        <v>7110</v>
      </c>
      <c r="E7" s="29">
        <f>IF(DigitaTICA!D14&lt;&gt;"",DigitaTICA!D14,"")</f>
        <v>5050</v>
      </c>
      <c r="F7" s="42">
        <f>IF(E7="",0,E7*PREMIOS!E7)</f>
        <v>404000</v>
      </c>
      <c r="G7" s="30">
        <f t="shared" si="1"/>
        <v>-363710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>
        <f>IF(DigitaTICA!E14&lt;&gt;"",DigitaTICA!E14,"")</f>
        <v>30150</v>
      </c>
      <c r="D11" s="42">
        <f>IF(C11="",0,C11*J$9)</f>
        <v>4522.5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-54372.5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>
        <f>IF(DigitaTICA!G14&lt;&gt;"",DigitaTICA!G14,"")</f>
        <v>42150</v>
      </c>
      <c r="D15" s="42">
        <f>IF(C15="",0,C15*J$9)</f>
        <v>6322.5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35827.5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119700</v>
      </c>
      <c r="D19" s="68">
        <f>MROUND(SUM(D5:D18),50)</f>
        <v>17950</v>
      </c>
      <c r="E19" s="68">
        <f>SUM(E5:E18)</f>
        <v>6050</v>
      </c>
      <c r="F19" s="68">
        <f>SUM(F5:F18)</f>
        <v>484000</v>
      </c>
      <c r="G19" s="88">
        <f>SUM(G5:G18)</f>
        <v>-382255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sqref="A1:G24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 ca="1">CONCATENATE(J2," ",TEXT('Ctas Banca'!I5,"dd-mm-yyyy"))</f>
        <v>MINERO 22-05-2026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57400</v>
      </c>
      <c r="K4" s="231">
        <f>D7+D11+D15</f>
        <v>6888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IF(DigitaNICA!C16&lt;&gt;"",DigitaNICA!C16,"")</f>
        <v>12800</v>
      </c>
      <c r="D5" s="42">
        <f>IF(C5="",0,C5*J$12)</f>
        <v>1536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11264</v>
      </c>
      <c r="I5" s="63" t="s">
        <v>37</v>
      </c>
      <c r="J5" s="225">
        <f>SUM(IF(C5="",0,C5),IF(C9="",0,C9),IF(C13="",0,C13),IF(C17="",0,C17))</f>
        <v>53700</v>
      </c>
      <c r="K5" s="225">
        <f t="shared" ref="K5" si="1">D5+D9+D13+D17</f>
        <v>6444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03</v>
      </c>
      <c r="C7" s="29">
        <f>IF(DigitaTICA!C16&lt;&gt;"",DigitaTICA!C16,"")</f>
        <v>21300</v>
      </c>
      <c r="D7" s="42">
        <f>IF(C7="",0,C7*J$11)</f>
        <v>2556</v>
      </c>
      <c r="E7" s="29">
        <f>IF(DigitaTICA!D16&lt;&gt;"",DigitaTICA!D16,"")</f>
        <v>150</v>
      </c>
      <c r="F7" s="133">
        <f>IF(E7="",0,E7*PREMIOS!F7)</f>
        <v>12750</v>
      </c>
      <c r="G7" s="30">
        <f t="shared" si="0"/>
        <v>5994</v>
      </c>
      <c r="I7" s="63" t="s">
        <v>96</v>
      </c>
      <c r="J7" s="226">
        <f>SUM(IF(C19="",0,C19),IF(C20="",0,C20))</f>
        <v>5600</v>
      </c>
      <c r="K7" s="226">
        <f>+D19+D20</f>
        <v>672</v>
      </c>
      <c r="L7" s="227">
        <f>+F19+F20</f>
        <v>12000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6900</v>
      </c>
      <c r="K8" s="228">
        <f>D21+D22+D23</f>
        <v>828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62</v>
      </c>
      <c r="C9" s="29">
        <f>IF(DigitaNICA!E16&lt;&gt;"",DigitaNICA!E16,"")</f>
        <v>8000</v>
      </c>
      <c r="D9" s="42">
        <f>IF(C9="",0,C9*J$12)</f>
        <v>960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IF(DigitaTICA!E16&lt;&gt;"",DigitaTICA!E16,"")</f>
        <v>14600</v>
      </c>
      <c r="D11" s="42">
        <f>IF(C11="",0,C11*J$11)</f>
        <v>1752</v>
      </c>
      <c r="E11" s="29">
        <f>IF(DigitaTICA!F16&lt;&gt;"",DigitaTICA!F16,"")</f>
        <v>350</v>
      </c>
      <c r="F11" s="133">
        <f>IF(E11="",0,E11*PREMIOS!F11)</f>
        <v>29750</v>
      </c>
      <c r="G11" s="30">
        <f t="shared" si="0"/>
        <v>-16902</v>
      </c>
      <c r="I11" s="76" t="s">
        <v>36</v>
      </c>
      <c r="J11" s="77">
        <v>0.12</v>
      </c>
      <c r="K11" s="78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6450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IF(DigitaNICA!G16&lt;&gt;"",DigitaNICA!G16,"")</f>
        <v>6600</v>
      </c>
      <c r="D13" s="42">
        <f>IF(C13="",0,C13*J$12)</f>
        <v>792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5808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650</v>
      </c>
    </row>
    <row r="15" spans="1:12" ht="15" thickBot="1" x14ac:dyDescent="0.4">
      <c r="A15" s="28" t="s">
        <v>61</v>
      </c>
      <c r="B15" s="132">
        <f>IF(DigitaTICA!G2&lt;&gt;"",DigitaTICA!G2,"")</f>
        <v>95</v>
      </c>
      <c r="C15" s="29">
        <f>IF(DigitaTICA!G16&lt;&gt;"",DigitaTICA!G16,"")</f>
        <v>21500</v>
      </c>
      <c r="D15" s="42">
        <f>IF(C15="",0,C15*J$11)</f>
        <v>2580</v>
      </c>
      <c r="E15" s="29">
        <f>IF(DigitaTICA!H16&lt;&gt;"",DigitaTICA!H16,"")</f>
        <v>100</v>
      </c>
      <c r="F15" s="133">
        <f>IF(E15="",0,E15*PREMIOS!F15)</f>
        <v>8500</v>
      </c>
      <c r="G15" s="30">
        <f t="shared" si="3"/>
        <v>10420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IF(DigitaNICA!I16&lt;&gt;"",DigitaNICA!I16,"")</f>
        <v>26300</v>
      </c>
      <c r="D17" s="42">
        <f>IF(C17="",0,C17*J$12)</f>
        <v>3156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23144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51</v>
      </c>
      <c r="C19" s="29">
        <f>IF(DigitaPRIMERA!C16&lt;&gt;"",DigitaPRIMERA!C16,"")</f>
        <v>2800</v>
      </c>
      <c r="D19" s="42">
        <f>IF(C19="",0,C19*J$14)</f>
        <v>336</v>
      </c>
      <c r="E19" s="29">
        <f>IF(DigitaPRIMERA!D16&lt;&gt;"",DigitaPRIMERA!D16,"")</f>
        <v>150</v>
      </c>
      <c r="F19" s="42">
        <f>IF(E19="",0,E19*PREMIOS!E19)</f>
        <v>12000</v>
      </c>
      <c r="G19" s="30">
        <f t="shared" si="3"/>
        <v>-9536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>
        <f>IF(DigitaPRIMERA!E16&lt;&gt;"",DigitaPRIMERA!E16,"")</f>
        <v>2800</v>
      </c>
      <c r="D20" s="42">
        <f>IF(C20="",0,C20*J$14)</f>
        <v>336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2464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>
        <f>IF(DigitaHONDURAS!$C$16&lt;&gt;"",DigitaHONDURAS!$C$16,"")</f>
        <v>3000</v>
      </c>
      <c r="D21" s="42">
        <f>IF(C21="",0,C21*J$15)</f>
        <v>360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2640</v>
      </c>
    </row>
    <row r="22" spans="1:7" x14ac:dyDescent="0.35">
      <c r="A22" s="28" t="s">
        <v>100</v>
      </c>
      <c r="B22" s="132">
        <f>IF(DigitaHONDURAS!E2&lt;&gt;"",DigitaHONDURAS!E2,"")</f>
        <v>81</v>
      </c>
      <c r="C22" s="29">
        <f>IF(DigitaHONDURAS!$E$16&lt;&gt;"",DigitaHONDURAS!$E$16,"")</f>
        <v>1500</v>
      </c>
      <c r="D22" s="42">
        <f t="shared" ref="D22:D23" si="4">IF(C22="",0,C22*J$15)</f>
        <v>180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1320</v>
      </c>
    </row>
    <row r="23" spans="1:7" x14ac:dyDescent="0.35">
      <c r="A23" s="28" t="s">
        <v>101</v>
      </c>
      <c r="B23" s="132">
        <f>IF(DigitaHONDURAS!G2&lt;&gt;"",DigitaHONDURAS!G2,"")</f>
        <v>84</v>
      </c>
      <c r="C23" s="29">
        <f>IF(DigitaHONDURAS!$G$16&lt;&gt;"",DigitaHONDURAS!$G$16,"")</f>
        <v>2400</v>
      </c>
      <c r="D23" s="42">
        <f t="shared" si="4"/>
        <v>288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2112</v>
      </c>
    </row>
    <row r="24" spans="1:7" ht="15" thickBot="1" x14ac:dyDescent="0.4">
      <c r="A24" s="121" t="s">
        <v>5</v>
      </c>
      <c r="B24" s="128"/>
      <c r="C24" s="122">
        <f>SUM(C5:C23)</f>
        <v>124100</v>
      </c>
      <c r="D24" s="122">
        <f t="shared" ref="D24:G24" si="5">SUM(D5:D23)</f>
        <v>14882</v>
      </c>
      <c r="E24" s="122">
        <f t="shared" si="5"/>
        <v>750</v>
      </c>
      <c r="F24" s="122">
        <f t="shared" si="5"/>
        <v>63000</v>
      </c>
      <c r="G24" s="123">
        <f t="shared" si="5"/>
        <v>46218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448200</v>
      </c>
      <c r="K4" s="231">
        <f t="shared" ref="K4" si="0">D7+D11+D15</f>
        <v>53784</v>
      </c>
      <c r="L4" s="220">
        <f>F7+F11+F15</f>
        <v>471750</v>
      </c>
    </row>
    <row r="5" spans="1:12" x14ac:dyDescent="0.35">
      <c r="A5" s="28" t="s">
        <v>43</v>
      </c>
      <c r="B5" s="132">
        <f>IF(DigitaNICA!C2&lt;&gt;"",DigitaNICA!C2,"")</f>
        <v>95</v>
      </c>
      <c r="C5" s="89">
        <f>IF(DigitaNICA!C17&lt;&gt;"",DigitaNICA!C17,"")</f>
        <v>115300</v>
      </c>
      <c r="D5" s="42">
        <f>IF(C5="",0,C5*J$16)</f>
        <v>13836</v>
      </c>
      <c r="E5" s="89">
        <f>IF(DigitaNICA!D17&lt;&gt;"",DigitaNICA!D17,"")</f>
        <v>700</v>
      </c>
      <c r="F5" s="42">
        <f>IF(E5="",0,E5*PREMIOS!F5)</f>
        <v>59500</v>
      </c>
      <c r="G5" s="90">
        <f t="shared" ref="G5:G12" si="1">IF(OR(C5="",E5=""),0,C5-D5-F5)</f>
        <v>41964</v>
      </c>
      <c r="I5" s="217" t="s">
        <v>37</v>
      </c>
      <c r="J5" s="221">
        <f>SUM(IF(C5="",0,C5),IF(C9="",0,C9),IF(C13="",0,C13),IF(C17="",0,C17))</f>
        <v>399900</v>
      </c>
      <c r="K5" s="225">
        <f t="shared" ref="K5" si="2">D5+D9+D13+D17</f>
        <v>47988</v>
      </c>
      <c r="L5" s="222">
        <f>F5+F9+F13+F17</f>
        <v>136000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77950</v>
      </c>
      <c r="K6" s="226">
        <f t="shared" ref="K6" si="3">+D8+D12+D16</f>
        <v>7795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03</v>
      </c>
      <c r="C7" s="89">
        <f>IF(DigitaTICA!C17&lt;&gt;"",DigitaTICA!C17,"")</f>
        <v>146950</v>
      </c>
      <c r="D7" s="42">
        <f>IF(C7="",0,C7*J$15)</f>
        <v>17634</v>
      </c>
      <c r="E7" s="89">
        <f>IF(DigitaTICA!D17&lt;&gt;"",DigitaTICA!D17,"")</f>
        <v>3350</v>
      </c>
      <c r="F7" s="42">
        <f>IF(E7="",0,E7*PREMIOS!F7)</f>
        <v>284750</v>
      </c>
      <c r="G7" s="90">
        <f t="shared" si="1"/>
        <v>-155434</v>
      </c>
      <c r="I7" s="217" t="s">
        <v>96</v>
      </c>
      <c r="J7" s="223">
        <f>SUM(IF(C19="",0,C19),IF(C20="",0,C20))</f>
        <v>134000</v>
      </c>
      <c r="K7" s="226">
        <f>+D19+D20</f>
        <v>16080</v>
      </c>
      <c r="L7" s="227">
        <f>+F19+F20</f>
        <v>191250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31500</v>
      </c>
      <c r="D8" s="42">
        <f>IF(C8="",0,C8*J$17)</f>
        <v>3150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28350</v>
      </c>
      <c r="I8" s="217" t="s">
        <v>104</v>
      </c>
      <c r="J8" s="223">
        <f>SUM(IF(C21="",0,C21),IF(C22="",0,C22),IF(C23="",0,C23))</f>
        <v>75850</v>
      </c>
      <c r="K8" s="226">
        <f t="shared" ref="K8" si="4">D21+D22+D23</f>
        <v>9102</v>
      </c>
      <c r="L8" s="227">
        <f>F21+F22+F23</f>
        <v>174250</v>
      </c>
    </row>
    <row r="9" spans="1:12" x14ac:dyDescent="0.35">
      <c r="A9" s="28" t="s">
        <v>48</v>
      </c>
      <c r="B9" s="132">
        <f>IF(DigitaNICA!E2&lt;&gt;"",DigitaNICA!E2,"")</f>
        <v>62</v>
      </c>
      <c r="C9" s="89">
        <f>IF(DigitaNICA!E17&lt;&gt;"",DigitaNICA!E17,"")</f>
        <v>85800</v>
      </c>
      <c r="D9" s="42">
        <f>IF(C9="",0,C9*J$16)</f>
        <v>10296</v>
      </c>
      <c r="E9" s="89">
        <f>IF(DigitaNICA!F17&lt;&gt;"",DigitaNICA!F17,"")</f>
        <v>600</v>
      </c>
      <c r="F9" s="42">
        <f>IF(E9="",0,E9*PREMIOS!F9)</f>
        <v>51000</v>
      </c>
      <c r="G9" s="90">
        <f t="shared" si="1"/>
        <v>24504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5000</v>
      </c>
      <c r="K10" s="228">
        <f>+D26</f>
        <v>600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89">
        <f>IF(DigitaTICA!E17&lt;&gt;"",DigitaTICA!E17,"")</f>
        <v>102900</v>
      </c>
      <c r="D11" s="42">
        <f>IF(C11="",0,C11*J$15)</f>
        <v>12348</v>
      </c>
      <c r="E11" s="89">
        <f>IF(DigitaTICA!F17&lt;&gt;"",DigitaTICA!F17,"")</f>
        <v>1500</v>
      </c>
      <c r="F11" s="42">
        <f>IF(E11="",0,E11*PREMIOS!F11)</f>
        <v>127500</v>
      </c>
      <c r="G11" s="90">
        <f t="shared" si="1"/>
        <v>-36948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19650</v>
      </c>
      <c r="D12" s="42">
        <f>IF(C12="",0,C12*J$17)</f>
        <v>1965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17685</v>
      </c>
    </row>
    <row r="13" spans="1:12" ht="15" thickBot="1" x14ac:dyDescent="0.4">
      <c r="A13" s="28" t="s">
        <v>50</v>
      </c>
      <c r="B13" s="132">
        <f>IF(DigitaNICA!G2&lt;&gt;"",DigitaNICA!G2,"")</f>
        <v>63</v>
      </c>
      <c r="C13" s="89">
        <f>IF(DigitaNICA!G17&lt;&gt;"",DigitaNICA!G17,"")</f>
        <v>66050</v>
      </c>
      <c r="D13" s="42">
        <f>IF(C13="",0,C13*J$16)</f>
        <v>7926</v>
      </c>
      <c r="E13" s="89">
        <f>IF(DigitaNICA!H17&lt;&gt;"",DigitaNICA!H17,"")</f>
        <v>50</v>
      </c>
      <c r="F13" s="42">
        <f>IF(E13="",0,E13*PREMIOS!F13)</f>
        <v>4250</v>
      </c>
      <c r="G13" s="90">
        <f>IF(OR(C13="",E13=""),0,C13-D13-F13)</f>
        <v>53874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95</v>
      </c>
      <c r="C15" s="89">
        <f>IF(DigitaTICA!G17&lt;&gt;"",DigitaTICA!G17,"")</f>
        <v>198350</v>
      </c>
      <c r="D15" s="42">
        <f>IF(C15="",0,C15*J$15)</f>
        <v>23802</v>
      </c>
      <c r="E15" s="89">
        <f>IF(DigitaTICA!H17&lt;&gt;"",DigitaTICA!H17,"")</f>
        <v>700</v>
      </c>
      <c r="F15" s="42">
        <f>IF(E15="",0,E15*PREMIOS!F15)</f>
        <v>59500</v>
      </c>
      <c r="G15" s="90">
        <f t="shared" si="6"/>
        <v>115048</v>
      </c>
      <c r="I15" s="76" t="s">
        <v>36</v>
      </c>
      <c r="J15" s="77">
        <v>0.12</v>
      </c>
      <c r="K15" s="78">
        <f>MROUND(D7+D11+D15,50)</f>
        <v>53800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26800</v>
      </c>
      <c r="D16" s="42">
        <f>IF(C16="",0,C16*J$17)</f>
        <v>2680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24120</v>
      </c>
      <c r="I16" s="63" t="s">
        <v>37</v>
      </c>
      <c r="J16" s="64">
        <v>0.12</v>
      </c>
      <c r="K16" s="30">
        <f>MROUND(D5+D9+D13+D17,50)</f>
        <v>48000</v>
      </c>
    </row>
    <row r="17" spans="1:11" x14ac:dyDescent="0.35">
      <c r="A17" s="28" t="s">
        <v>52</v>
      </c>
      <c r="B17" s="132">
        <f>IF(DigitaNICA!I2&lt;&gt;"",DigitaNICA!I2,"")</f>
        <v>38</v>
      </c>
      <c r="C17" s="89">
        <f>IF(DigitaNICA!I17&lt;&gt;"",DigitaNICA!I17,"")</f>
        <v>132750</v>
      </c>
      <c r="D17" s="42">
        <f>IF(C17="",0,C17*J$16)</f>
        <v>15930</v>
      </c>
      <c r="E17" s="89">
        <f>IF(DigitaNICA!J17&lt;&gt;"",DigitaNICA!J17,"")</f>
        <v>250</v>
      </c>
      <c r="F17" s="42">
        <f>IF(E17="",0,E17*PREMIOS!F17)</f>
        <v>21250</v>
      </c>
      <c r="G17" s="90">
        <f t="shared" si="6"/>
        <v>95570</v>
      </c>
      <c r="I17" s="63" t="s">
        <v>38</v>
      </c>
      <c r="J17" s="64">
        <v>0.1</v>
      </c>
      <c r="K17" s="30">
        <f>MROUND(D6+D8+D10+D12+D14+D16+D18,50)</f>
        <v>7800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16100</v>
      </c>
    </row>
    <row r="19" spans="1:11" x14ac:dyDescent="0.35">
      <c r="A19" s="28" t="s">
        <v>97</v>
      </c>
      <c r="B19" s="132">
        <f>IF(DigitaPRIMERA!C2&lt;&gt;"",DigitaPRIMERA!C2,"")</f>
        <v>51</v>
      </c>
      <c r="C19" s="29">
        <f>IF(DigitaPRIMERA!$C$17&lt;&gt;"",DigitaPRIMERA!$C$17,"")</f>
        <v>87800</v>
      </c>
      <c r="D19" s="42">
        <f>IF(C19="",0,C19*J$18)</f>
        <v>10536</v>
      </c>
      <c r="E19" s="29">
        <f>IF(DigitaPRIMERA!$D$17&lt;&gt;"",DigitaPRIMERA!$D$17,"")</f>
        <v>1550</v>
      </c>
      <c r="F19" s="42">
        <f>IF(E19="",0,E19*PREMIOS!F19)</f>
        <v>131750</v>
      </c>
      <c r="G19" s="30">
        <f t="shared" si="6"/>
        <v>-54486</v>
      </c>
      <c r="I19" s="63" t="s">
        <v>104</v>
      </c>
      <c r="J19" s="64">
        <v>0.12</v>
      </c>
      <c r="K19" s="30">
        <f>MROUND(D21+D22+D23,50)</f>
        <v>9100</v>
      </c>
    </row>
    <row r="20" spans="1:11" x14ac:dyDescent="0.35">
      <c r="A20" s="28" t="s">
        <v>98</v>
      </c>
      <c r="B20" s="132">
        <f>IF(DigitaPRIMERA!E2&lt;&gt;"",DigitaPRIMERA!E2,"")</f>
        <v>56</v>
      </c>
      <c r="C20" s="29">
        <f>IF(DigitaPRIMERA!$E$17&lt;&gt;"",DigitaPRIMERA!$E$17,"")</f>
        <v>46200</v>
      </c>
      <c r="D20" s="42">
        <f>IF(C20="",0,C20*J$18)</f>
        <v>5544</v>
      </c>
      <c r="E20" s="29">
        <f>IF(DigitaPRIMERA!$F$17&lt;&gt;"",DigitaPRIMERA!$F$17,"")</f>
        <v>700</v>
      </c>
      <c r="F20" s="42">
        <f>IF(E20="",0,E20*PREMIOS!F19)</f>
        <v>59500</v>
      </c>
      <c r="G20" s="30">
        <f t="shared" si="6"/>
        <v>-18844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IF(DigitaHONDURAS!$C$17&lt;&gt;"",DigitaHONDURAS!$C$17,"")</f>
        <v>41050</v>
      </c>
      <c r="D21" s="42">
        <f>IF(C21="",0,C21*J$19)</f>
        <v>4926</v>
      </c>
      <c r="E21" s="29">
        <f>IF(DigitaHONDURAS!$D$17&lt;&gt;"",DigitaHONDURAS!$D$17,"")</f>
        <v>1400</v>
      </c>
      <c r="F21" s="42">
        <f>IF(E21="",0,E21*PREMIOS!F20)</f>
        <v>119000</v>
      </c>
      <c r="G21" s="30">
        <f t="shared" si="6"/>
        <v>-82876</v>
      </c>
      <c r="I21" s="65" t="s">
        <v>21</v>
      </c>
      <c r="J21" s="66">
        <v>0.12</v>
      </c>
      <c r="K21" s="50">
        <f>MROUND(D26,50)</f>
        <v>600</v>
      </c>
    </row>
    <row r="22" spans="1:11" x14ac:dyDescent="0.35">
      <c r="A22" s="28" t="s">
        <v>100</v>
      </c>
      <c r="B22" s="132">
        <f>IF(DigitaHONDURAS!E2&lt;&gt;"",DigitaHONDURAS!E2,"")</f>
        <v>81</v>
      </c>
      <c r="C22" s="29">
        <f>IF(DigitaHONDURAS!$E$17&lt;&gt;"",DigitaHONDURAS!$E$17,"")</f>
        <v>12900</v>
      </c>
      <c r="D22" s="42">
        <f>IF(C22="",0,C22*J$19)</f>
        <v>1548</v>
      </c>
      <c r="E22" s="29">
        <f>IF(DigitaHONDURAS!$F$17&lt;&gt;"",DigitaHONDURAS!$F$17,"")</f>
        <v>350</v>
      </c>
      <c r="F22" s="42">
        <f>IF(E22="",0,E22*PREMIOS!F20)</f>
        <v>29750</v>
      </c>
      <c r="G22" s="30">
        <f t="shared" si="6"/>
        <v>-18398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>
        <f>IF(DigitaHONDURAS!$G$17&lt;&gt;"",DigitaHONDURAS!$G$17,"")</f>
        <v>21900</v>
      </c>
      <c r="D23" s="42">
        <f>IF(C23="",0,C23*J$19)</f>
        <v>2628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-6228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16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>
        <f>IF(DigitaPANAMENA!$C$17&lt;&gt;"",DigitaPANAMENA!$C$17,"")</f>
        <v>5000</v>
      </c>
      <c r="D26" s="42">
        <f>IF(C26="",0,C26*J$21)</f>
        <v>600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4400</v>
      </c>
    </row>
    <row r="27" spans="1:11" ht="15" thickBot="1" x14ac:dyDescent="0.4">
      <c r="A27" s="67" t="s">
        <v>5</v>
      </c>
      <c r="B27" s="127"/>
      <c r="C27" s="68">
        <f>SUM(C5:C26)</f>
        <v>1140900</v>
      </c>
      <c r="D27" s="68">
        <f t="shared" ref="D27:G27" si="7">SUM(D5:D26)</f>
        <v>135349</v>
      </c>
      <c r="E27" s="68">
        <f t="shared" si="7"/>
        <v>11450</v>
      </c>
      <c r="F27" s="68">
        <f t="shared" si="7"/>
        <v>973250</v>
      </c>
      <c r="G27" s="88">
        <f t="shared" si="7"/>
        <v>32301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151950</v>
      </c>
      <c r="K4" s="231">
        <f t="shared" ref="K4" si="0">D7+D11+D15</f>
        <v>18234</v>
      </c>
      <c r="L4" s="220">
        <f>F7+F11+F15</f>
        <v>127500</v>
      </c>
    </row>
    <row r="5" spans="1:12" x14ac:dyDescent="0.35">
      <c r="A5" s="28" t="str">
        <f>+Vendedor1!A5</f>
        <v>Nica 11am</v>
      </c>
      <c r="B5" s="132">
        <f>IF(DigitaNICA!C2&lt;&gt;"",DigitaNICA!C2,"")</f>
        <v>95</v>
      </c>
      <c r="C5" s="29">
        <f>IF(DigitaNICA!C18&lt;&gt;"",DigitaNICA!C18,"")</f>
        <v>65950</v>
      </c>
      <c r="D5" s="42">
        <f>IF(C5="",0,C5*J$16)</f>
        <v>7914</v>
      </c>
      <c r="E5" s="29">
        <f>IF(DigitaNICA!D18&lt;&gt;"",DigitaNICA!D18,"")</f>
        <v>600</v>
      </c>
      <c r="F5" s="42">
        <f>IF(E5="",0,E5*PREMIOS!F5)</f>
        <v>51000</v>
      </c>
      <c r="G5" s="30">
        <f t="shared" ref="G5:G12" si="1">IF(OR(C5="",E5=""),0,C5-D5-F5)</f>
        <v>7036</v>
      </c>
      <c r="I5" s="217" t="s">
        <v>37</v>
      </c>
      <c r="J5" s="221">
        <f>SUM(IF(C5="",0,C5),IF(C9="",0,C9),IF(C13="",0,C13),IF(C17="",0,C17))</f>
        <v>135450</v>
      </c>
      <c r="K5" s="225">
        <f t="shared" ref="K5" si="2">D5+D9+D13+D17</f>
        <v>16254</v>
      </c>
      <c r="L5" s="222">
        <f>F5+F9+F13+F17</f>
        <v>51000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43050</v>
      </c>
      <c r="K6" s="226">
        <f t="shared" ref="K6" si="3">+D8+D12+D16</f>
        <v>4305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03</v>
      </c>
      <c r="C7" s="29">
        <f>IF(DigitaTICA!C18&lt;&gt;"",DigitaTICA!C18,"")</f>
        <v>64650</v>
      </c>
      <c r="D7" s="42">
        <f>IF(C7="",0,C7*J$15)</f>
        <v>7758</v>
      </c>
      <c r="E7" s="29">
        <f>IF(DigitaTICA!D18&lt;&gt;"",DigitaTICA!D18,"")</f>
        <v>1400</v>
      </c>
      <c r="F7" s="42">
        <f>IF(E7="",0,E7*PREMIOS!F7)</f>
        <v>119000</v>
      </c>
      <c r="G7" s="30">
        <f t="shared" si="1"/>
        <v>-62108</v>
      </c>
      <c r="I7" s="217" t="s">
        <v>96</v>
      </c>
      <c r="J7" s="223">
        <f>SUM(IF(C19="",0,C19),IF(C20="",0,C20))</f>
        <v>54700</v>
      </c>
      <c r="K7" s="226">
        <f>+D19+D20</f>
        <v>6564</v>
      </c>
      <c r="L7" s="227">
        <f>+F19+F20</f>
        <v>8500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21900</v>
      </c>
      <c r="D8" s="42">
        <f>IF(C8="",0,C8*J$17)</f>
        <v>2190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-290</v>
      </c>
      <c r="I8" s="217" t="s">
        <v>104</v>
      </c>
      <c r="J8" s="223">
        <f>SUM(IF(C21="",0,C21),IF(C22="",0,C22),IF(C23="",0,C23))</f>
        <v>25400</v>
      </c>
      <c r="K8" s="226">
        <f t="shared" ref="K8" si="4">D21+D22+D23</f>
        <v>3048</v>
      </c>
      <c r="L8" s="227">
        <f>F21+F22+F23</f>
        <v>8500</v>
      </c>
    </row>
    <row r="9" spans="1:12" x14ac:dyDescent="0.35">
      <c r="A9" s="28" t="str">
        <f>+Vendedor1!A9</f>
        <v>Nica 3pm</v>
      </c>
      <c r="B9" s="132">
        <f>IF(DigitaNICA!E2&lt;&gt;"",DigitaNICA!E2,"")</f>
        <v>62</v>
      </c>
      <c r="C9" s="29">
        <f>IF(DigitaNICA!E18&lt;&gt;"",DigitaNICA!E18,"")</f>
        <v>50650</v>
      </c>
      <c r="D9" s="42">
        <f>IF(C9="",0,C9*J$16)</f>
        <v>6078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44572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3500</v>
      </c>
      <c r="K10" s="228">
        <f>+D26</f>
        <v>420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44</v>
      </c>
      <c r="C11" s="29">
        <f>IF(DigitaTICA!E18&lt;&gt;"",DigitaTICA!E18,"")</f>
        <v>40650</v>
      </c>
      <c r="D11" s="42">
        <f>IF(C11="",0,C11*J$15)</f>
        <v>4878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35772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10250</v>
      </c>
      <c r="D12" s="42">
        <f>IF(C12="",0,C12*J$17)</f>
        <v>1025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9225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63</v>
      </c>
      <c r="C13" s="29">
        <f>IF(DigitaNICA!G18&lt;&gt;"",DigitaNICA!G18,"")</f>
        <v>8900</v>
      </c>
      <c r="D13" s="42">
        <f>IF(C13="",0,C13*J$16)</f>
        <v>1068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7832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95</v>
      </c>
      <c r="C15" s="29">
        <f>IF(DigitaTICA!G18&lt;&gt;"",DigitaTICA!G18,"")</f>
        <v>46650</v>
      </c>
      <c r="D15" s="42">
        <f>IF(C15="",0,C15*J$15)</f>
        <v>5598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32552</v>
      </c>
      <c r="I15" s="76" t="s">
        <v>36</v>
      </c>
      <c r="J15" s="77">
        <v>0.12</v>
      </c>
      <c r="K15" s="78">
        <f>MROUND(D7+D11+D15,50)</f>
        <v>18250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10900</v>
      </c>
      <c r="D16" s="42">
        <f>IF(C16="",0,C16*J$17)</f>
        <v>1090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9810</v>
      </c>
      <c r="I16" s="63" t="s">
        <v>37</v>
      </c>
      <c r="J16" s="64">
        <v>0.12</v>
      </c>
      <c r="K16" s="30">
        <f>MROUND(D5+D9+D13+D17,50)</f>
        <v>16250</v>
      </c>
    </row>
    <row r="17" spans="1:11" x14ac:dyDescent="0.35">
      <c r="A17" s="28" t="str">
        <f>+Vendedor1!A17</f>
        <v>Nica 9pm</v>
      </c>
      <c r="B17" s="132">
        <f>IF(DigitaNICA!I2&lt;&gt;"",DigitaNICA!I2,"")</f>
        <v>38</v>
      </c>
      <c r="C17" s="29">
        <f>IF(DigitaNICA!I18&lt;&gt;"",DigitaNICA!I18,"")</f>
        <v>9950</v>
      </c>
      <c r="D17" s="42">
        <f>IF(C17="",0,C17*J$16)</f>
        <v>1194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8756</v>
      </c>
      <c r="I17" s="63" t="s">
        <v>38</v>
      </c>
      <c r="J17" s="64">
        <v>0.1</v>
      </c>
      <c r="K17" s="30">
        <f>MROUND(D6+D8+D10+D12+D14+D16+D18,50)</f>
        <v>4300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6550</v>
      </c>
    </row>
    <row r="19" spans="1:11" x14ac:dyDescent="0.35">
      <c r="A19" s="28" t="s">
        <v>97</v>
      </c>
      <c r="B19" s="132">
        <f>IF(DigitaPRIMERA!C2&lt;&gt;"",DigitaPRIMERA!C2,"")</f>
        <v>51</v>
      </c>
      <c r="C19" s="29">
        <f>IF(DigitaPRIMERA!$C$18&lt;&gt;"",DigitaPRIMERA!$C$18,"")</f>
        <v>39200</v>
      </c>
      <c r="D19" s="42">
        <f>IF(C19="",0,C19*J$18)</f>
        <v>4704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25996</v>
      </c>
      <c r="I19" s="63" t="s">
        <v>104</v>
      </c>
      <c r="J19" s="64">
        <v>0.12</v>
      </c>
      <c r="K19" s="30">
        <f>MROUND(D21+D22+D23,50)</f>
        <v>3050</v>
      </c>
    </row>
    <row r="20" spans="1:11" x14ac:dyDescent="0.35">
      <c r="A20" s="28" t="s">
        <v>98</v>
      </c>
      <c r="B20" s="132">
        <f>IF(DigitaPRIMERA!E2&lt;&gt;"",DigitaPRIMERA!E2,"")</f>
        <v>56</v>
      </c>
      <c r="C20" s="29">
        <f>IF(DigitaPRIMERA!$E$18&lt;&gt;"",DigitaPRIMERA!$E$18,"")</f>
        <v>15500</v>
      </c>
      <c r="D20" s="42">
        <f>IF(C20="",0,C20*J$18)</f>
        <v>1860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13640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IF(DigitaHONDURAS!$C$18&lt;&gt;"",DigitaHONDURAS!$C$18,"")</f>
        <v>6600</v>
      </c>
      <c r="D21" s="42">
        <f>IF(C21="",0,C21*J$19)</f>
        <v>792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-2692</v>
      </c>
      <c r="I21" s="65" t="s">
        <v>21</v>
      </c>
      <c r="J21" s="66">
        <v>0.12</v>
      </c>
      <c r="K21" s="50">
        <f>MROUND(D26,50)</f>
        <v>400</v>
      </c>
    </row>
    <row r="22" spans="1:11" x14ac:dyDescent="0.35">
      <c r="A22" s="28" t="s">
        <v>100</v>
      </c>
      <c r="B22" s="132">
        <f>IF(DigitaHONDURAS!E2&lt;&gt;"",DigitaHONDURAS!E2,"")</f>
        <v>81</v>
      </c>
      <c r="C22" s="29">
        <f>IF(DigitaHONDURAS!$E$18&lt;&gt;"",DigitaHONDURAS!$E$18,"")</f>
        <v>18300</v>
      </c>
      <c r="D22" s="42">
        <f>IF(C22="",0,C22*J$19)</f>
        <v>2196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16104</v>
      </c>
    </row>
    <row r="23" spans="1:11" x14ac:dyDescent="0.35">
      <c r="A23" s="28" t="s">
        <v>101</v>
      </c>
      <c r="B23" s="132">
        <f>IF(DigitaHONDURAS!G2&lt;&gt;"",DigitaHONDURAS!G2,"")</f>
        <v>84</v>
      </c>
      <c r="C23" s="29">
        <f>IF(DigitaHONDURAS!$G$18&lt;&gt;"",DigitaHONDURAS!$G$18,"")</f>
        <v>500</v>
      </c>
      <c r="D23" s="42">
        <f>IF(C23="",0,C23*J$19)</f>
        <v>60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</v>
      </c>
    </row>
    <row r="24" spans="1:11" x14ac:dyDescent="0.35">
      <c r="A24" s="28" t="s">
        <v>102</v>
      </c>
      <c r="B24" s="132">
        <f>IF(DigitaDOMINICANA!C2&lt;&gt;"",DigitaDOMINICANA!C2,"")</f>
        <v>37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16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>
        <f>IF(DigitaPANAMENA!$C$18&lt;&gt;"",DigitaPANAMENA!$C$18,"")</f>
        <v>3500</v>
      </c>
      <c r="D26" s="42">
        <f>IF(C26="",0,C26*J$21)</f>
        <v>420</v>
      </c>
      <c r="E26" s="29">
        <f>IF(DigitaPANAMENA!$D$18&lt;&gt;"",DigitaPANAMENA!$D$18,"")</f>
        <v>0</v>
      </c>
      <c r="F26" s="42">
        <f>IF(E26="",0,E26*PREMIOS!F22)</f>
        <v>0</v>
      </c>
      <c r="G26" s="30">
        <f t="shared" si="6"/>
        <v>3080</v>
      </c>
    </row>
    <row r="27" spans="1:11" ht="15" thickBot="1" x14ac:dyDescent="0.4">
      <c r="A27" s="67" t="s">
        <v>5</v>
      </c>
      <c r="B27" s="127"/>
      <c r="C27" s="68">
        <f>SUM(C5:C26)</f>
        <v>414050</v>
      </c>
      <c r="D27" s="68">
        <f t="shared" ref="D27:G27" si="7">SUM(D5:D26)</f>
        <v>48825</v>
      </c>
      <c r="E27" s="68">
        <f t="shared" si="7"/>
        <v>2500</v>
      </c>
      <c r="F27" s="68">
        <f t="shared" si="7"/>
        <v>215500</v>
      </c>
      <c r="G27" s="88">
        <f t="shared" si="7"/>
        <v>149725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03</v>
      </c>
      <c r="D2" s="268"/>
      <c r="E2" s="267">
        <f>IF(PREMIOS!$B11="","",PREMIOS!$B11)</f>
        <v>44</v>
      </c>
      <c r="F2" s="268"/>
      <c r="G2" s="267">
        <f>IF(PREMIOS!$B15="","",PREMIOS!$B15)</f>
        <v>95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64800</v>
      </c>
      <c r="D4" s="78">
        <v>200</v>
      </c>
      <c r="E4" s="189">
        <v>42500</v>
      </c>
      <c r="F4" s="78">
        <v>250</v>
      </c>
      <c r="G4" s="189">
        <v>64200</v>
      </c>
      <c r="H4" s="78">
        <v>450</v>
      </c>
      <c r="J4" s="42">
        <f t="shared" ref="J4:J8" si="0">+C4+E4+G4</f>
        <v>171500</v>
      </c>
      <c r="K4" s="42">
        <f>IF(D4="",0,IF(F4="",D4,IF(H4="",D4+F4,D4+F4+H4)))</f>
        <v>900</v>
      </c>
    </row>
    <row r="5" spans="1:11" x14ac:dyDescent="0.35">
      <c r="A5" s="47">
        <v>2</v>
      </c>
      <c r="B5" s="178" t="str">
        <f>Vendedor2!$B$2</f>
        <v>PUESTO 2</v>
      </c>
      <c r="C5" s="180">
        <v>55550</v>
      </c>
      <c r="D5" s="30">
        <v>3250</v>
      </c>
      <c r="E5" s="180">
        <v>25300</v>
      </c>
      <c r="F5" s="30">
        <v>1250</v>
      </c>
      <c r="G5" s="180">
        <v>55550</v>
      </c>
      <c r="H5" s="30">
        <f t="shared" ref="D5:H27" si="1">IF(G5="","",0)</f>
        <v>0</v>
      </c>
      <c r="J5" s="42">
        <f t="shared" si="0"/>
        <v>136400</v>
      </c>
      <c r="K5" s="42">
        <f t="shared" ref="K5:K27" si="2">IF(D5="",0,IF(F5="",D5,IF(H5="",D5+F5,D5+F5+H5)))</f>
        <v>4500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>
        <v>4000</v>
      </c>
      <c r="H7" s="30">
        <f t="shared" si="1"/>
        <v>0</v>
      </c>
      <c r="J7" s="42">
        <f t="shared" si="0"/>
        <v>4000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6400</v>
      </c>
      <c r="D8" s="30">
        <f t="shared" si="1"/>
        <v>0</v>
      </c>
      <c r="E8" s="180">
        <v>2500</v>
      </c>
      <c r="F8" s="30">
        <f t="shared" si="1"/>
        <v>0</v>
      </c>
      <c r="G8" s="180">
        <v>3000</v>
      </c>
      <c r="H8" s="30">
        <f t="shared" si="1"/>
        <v>0</v>
      </c>
      <c r="J8" s="42">
        <f t="shared" si="0"/>
        <v>11900</v>
      </c>
      <c r="K8" s="42">
        <f t="shared" si="2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48050+82100</f>
        <v>130150</v>
      </c>
      <c r="D10" s="30">
        <f>250+50</f>
        <v>300</v>
      </c>
      <c r="E10" s="180">
        <f>21900+96800</f>
        <v>118700</v>
      </c>
      <c r="F10" s="30">
        <f>1000+0</f>
        <v>1000</v>
      </c>
      <c r="G10" s="180">
        <f>30200+130550</f>
        <v>160750</v>
      </c>
      <c r="H10" s="30">
        <v>1300</v>
      </c>
      <c r="J10" s="42">
        <f t="shared" si="3"/>
        <v>409600</v>
      </c>
      <c r="K10" s="42">
        <f t="shared" si="2"/>
        <v>2600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180"/>
      <c r="F11" s="30" t="str">
        <f t="shared" si="1"/>
        <v/>
      </c>
      <c r="G11" s="180">
        <v>2500</v>
      </c>
      <c r="H11" s="30">
        <f t="shared" si="1"/>
        <v>0</v>
      </c>
      <c r="J11" s="42">
        <f t="shared" si="3"/>
        <v>2500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12450</v>
      </c>
      <c r="D12" s="30">
        <v>3000</v>
      </c>
      <c r="E12" s="180">
        <v>10900</v>
      </c>
      <c r="F12" s="30">
        <v>1750</v>
      </c>
      <c r="G12" s="180">
        <v>10900</v>
      </c>
      <c r="H12" s="30">
        <f t="shared" si="1"/>
        <v>0</v>
      </c>
      <c r="J12" s="42">
        <f t="shared" si="3"/>
        <v>34250</v>
      </c>
      <c r="K12" s="42">
        <f t="shared" si="2"/>
        <v>4750</v>
      </c>
    </row>
    <row r="13" spans="1:11" x14ac:dyDescent="0.35">
      <c r="A13" s="47">
        <v>10</v>
      </c>
      <c r="B13" s="178" t="str">
        <f>Vendedor10!$B$2</f>
        <v>MARIALIZ</v>
      </c>
      <c r="C13" s="180">
        <v>41850</v>
      </c>
      <c r="D13" s="30">
        <v>300</v>
      </c>
      <c r="E13" s="180">
        <v>15350</v>
      </c>
      <c r="F13" s="30">
        <v>150</v>
      </c>
      <c r="G13" s="180">
        <v>67600</v>
      </c>
      <c r="H13" s="30">
        <f t="shared" si="1"/>
        <v>0</v>
      </c>
      <c r="J13" s="42">
        <f t="shared" si="3"/>
        <v>124800</v>
      </c>
      <c r="K13" s="42">
        <f t="shared" si="2"/>
        <v>450</v>
      </c>
    </row>
    <row r="14" spans="1:11" x14ac:dyDescent="0.35">
      <c r="A14" s="47">
        <v>11</v>
      </c>
      <c r="B14" s="178" t="str">
        <f>Vendedor11!$B$2</f>
        <v>CHARLY</v>
      </c>
      <c r="C14" s="180">
        <v>47400</v>
      </c>
      <c r="D14" s="30">
        <v>5050</v>
      </c>
      <c r="E14" s="180">
        <v>30150</v>
      </c>
      <c r="F14" s="30">
        <v>1000</v>
      </c>
      <c r="G14" s="180">
        <v>42150</v>
      </c>
      <c r="H14" s="30">
        <f t="shared" si="1"/>
        <v>0</v>
      </c>
      <c r="J14" s="42">
        <f t="shared" si="3"/>
        <v>119700</v>
      </c>
      <c r="K14" s="42">
        <f t="shared" si="2"/>
        <v>6050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 ca="1">Vendedor13!$B$2</f>
        <v>MINERO 22-05-2026</v>
      </c>
      <c r="C16" s="180">
        <v>21300</v>
      </c>
      <c r="D16" s="30">
        <v>150</v>
      </c>
      <c r="E16" s="180">
        <v>14600</v>
      </c>
      <c r="F16" s="30">
        <v>350</v>
      </c>
      <c r="G16" s="180">
        <v>21500</v>
      </c>
      <c r="H16" s="30">
        <v>100</v>
      </c>
      <c r="J16" s="42">
        <f t="shared" si="3"/>
        <v>57400</v>
      </c>
      <c r="K16" s="42">
        <f t="shared" si="2"/>
        <v>600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104450+42500</f>
        <v>146950</v>
      </c>
      <c r="D17" s="30">
        <f>3350+0</f>
        <v>3350</v>
      </c>
      <c r="E17" s="180">
        <f>79950+22950</f>
        <v>102900</v>
      </c>
      <c r="F17" s="30">
        <f>1500+0</f>
        <v>1500</v>
      </c>
      <c r="G17" s="180">
        <f>165900+32450</f>
        <v>198350</v>
      </c>
      <c r="H17" s="30">
        <f>700+0</f>
        <v>700</v>
      </c>
      <c r="J17" s="42">
        <f t="shared" si="3"/>
        <v>448200</v>
      </c>
      <c r="K17" s="42">
        <f t="shared" si="2"/>
        <v>5550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38500+26150</f>
        <v>64650</v>
      </c>
      <c r="D18" s="30">
        <f>1300+100</f>
        <v>1400</v>
      </c>
      <c r="E18" s="180">
        <f>10750+29900</f>
        <v>40650</v>
      </c>
      <c r="F18" s="30">
        <f t="shared" si="1"/>
        <v>0</v>
      </c>
      <c r="G18" s="180">
        <f>35250+11400</f>
        <v>46650</v>
      </c>
      <c r="H18" s="30">
        <v>100</v>
      </c>
      <c r="J18" s="42">
        <f t="shared" si="3"/>
        <v>151950</v>
      </c>
      <c r="K18" s="42">
        <f t="shared" si="2"/>
        <v>1500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591500</v>
      </c>
      <c r="D32" s="44">
        <f t="shared" si="6"/>
        <v>17000</v>
      </c>
      <c r="E32" s="43">
        <f t="shared" si="6"/>
        <v>403550</v>
      </c>
      <c r="F32" s="44">
        <f t="shared" si="6"/>
        <v>7250</v>
      </c>
      <c r="G32" s="43">
        <f t="shared" si="6"/>
        <v>677150</v>
      </c>
      <c r="H32" s="44">
        <f t="shared" si="6"/>
        <v>2650</v>
      </c>
      <c r="J32" s="95">
        <f>SUM(J4:J31)</f>
        <v>1672200</v>
      </c>
      <c r="K32" s="95"/>
    </row>
    <row r="33" spans="2:8" x14ac:dyDescent="0.35">
      <c r="D33" s="99">
        <f>+D32*85</f>
        <v>1445000</v>
      </c>
      <c r="F33" s="99">
        <f>+F32*85</f>
        <v>616250</v>
      </c>
      <c r="H33" s="99">
        <f>+H32*85</f>
        <v>225250</v>
      </c>
    </row>
    <row r="34" spans="2:8" x14ac:dyDescent="0.35">
      <c r="B34" s="247" t="s">
        <v>149</v>
      </c>
      <c r="C34" s="43">
        <f t="shared" ref="C34:H34" si="7">+C4+C5+C6+C8+C13</f>
        <v>168600</v>
      </c>
      <c r="D34" s="43" t="e">
        <f t="shared" si="7"/>
        <v>#VALUE!</v>
      </c>
      <c r="E34" s="43">
        <f t="shared" si="7"/>
        <v>85650</v>
      </c>
      <c r="F34" s="43" t="e">
        <f t="shared" si="7"/>
        <v>#VALUE!</v>
      </c>
      <c r="G34" s="43">
        <f t="shared" si="7"/>
        <v>190350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259000</v>
      </c>
      <c r="D35" s="43" t="e">
        <f t="shared" ref="D35:H35" si="8">+D11+D14+D15+D17+D18</f>
        <v>#VALUE!</v>
      </c>
      <c r="E35" s="43">
        <f t="shared" si="8"/>
        <v>173700</v>
      </c>
      <c r="F35" s="43" t="e">
        <f t="shared" si="8"/>
        <v>#VALUE!</v>
      </c>
      <c r="G35" s="43">
        <f t="shared" si="8"/>
        <v>289650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142600</v>
      </c>
      <c r="D36" s="43" t="e">
        <f t="shared" ref="D36:H36" si="9">+D10+D12+D27</f>
        <v>#VALUE!</v>
      </c>
      <c r="E36" s="43">
        <f t="shared" si="9"/>
        <v>129600</v>
      </c>
      <c r="F36" s="43" t="e">
        <f t="shared" si="9"/>
        <v>#VALUE!</v>
      </c>
      <c r="G36" s="43">
        <f t="shared" si="9"/>
        <v>171650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95</v>
      </c>
      <c r="D2" s="268"/>
      <c r="E2" s="267">
        <f>IF(PREMIOS!$B9="","",PREMIOS!$B9)</f>
        <v>62</v>
      </c>
      <c r="F2" s="268"/>
      <c r="G2" s="267">
        <f>IF(PREMIOS!$B13="","",PREMIOS!$B13)</f>
        <v>63</v>
      </c>
      <c r="H2" s="268"/>
      <c r="I2" s="267">
        <f>IF(PREMIOS!$B17="","",PREMIOS!$B17)</f>
        <v>38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19850</v>
      </c>
      <c r="D4" s="78">
        <v>250</v>
      </c>
      <c r="E4" s="206">
        <v>6400</v>
      </c>
      <c r="F4" s="78">
        <f t="shared" ref="D4:J27" si="0">IF(E4="","",0)</f>
        <v>0</v>
      </c>
      <c r="G4" s="189">
        <v>4750</v>
      </c>
      <c r="H4" s="78">
        <f t="shared" ref="H4:H27" si="1">IF(G4="","",0)</f>
        <v>0</v>
      </c>
      <c r="I4" s="189">
        <v>1500</v>
      </c>
      <c r="J4" s="78">
        <f t="shared" si="0"/>
        <v>0</v>
      </c>
      <c r="L4" s="42">
        <f t="shared" ref="L4:L8" si="2">+C4+E4+G4+I4</f>
        <v>32500</v>
      </c>
      <c r="M4" s="42">
        <f>IF(D4=0,0,IF(F4="",D4,IF(H4="",D4+F4,IF(J4="",D4+F4+H4,D4+F4+H4+J4))))</f>
        <v>250</v>
      </c>
    </row>
    <row r="5" spans="1:13" x14ac:dyDescent="0.35">
      <c r="A5" s="47">
        <v>2</v>
      </c>
      <c r="B5" s="178" t="str">
        <f>Vendedor2!$B$2</f>
        <v>PUESTO 2</v>
      </c>
      <c r="C5" s="180">
        <v>29800</v>
      </c>
      <c r="D5" s="30">
        <f t="shared" si="0"/>
        <v>0</v>
      </c>
      <c r="E5" s="207">
        <v>11700</v>
      </c>
      <c r="F5" s="30">
        <f t="shared" si="0"/>
        <v>0</v>
      </c>
      <c r="G5" s="180">
        <v>1250</v>
      </c>
      <c r="H5" s="30">
        <f t="shared" si="1"/>
        <v>0</v>
      </c>
      <c r="I5" s="180">
        <v>3000</v>
      </c>
      <c r="J5" s="30">
        <f t="shared" ref="J5:J27" si="3">IF(I5="","",0)</f>
        <v>0</v>
      </c>
      <c r="L5" s="42">
        <f t="shared" si="2"/>
        <v>45750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6900</v>
      </c>
      <c r="D8" s="30">
        <f t="shared" si="0"/>
        <v>0</v>
      </c>
      <c r="E8" s="207">
        <v>3900</v>
      </c>
      <c r="F8" s="30">
        <f t="shared" si="0"/>
        <v>0</v>
      </c>
      <c r="G8" s="180">
        <v>2000</v>
      </c>
      <c r="H8" s="30">
        <f t="shared" si="1"/>
        <v>0</v>
      </c>
      <c r="I8" s="180">
        <v>3000</v>
      </c>
      <c r="J8" s="30">
        <f t="shared" si="0"/>
        <v>0</v>
      </c>
      <c r="L8" s="42">
        <f t="shared" si="2"/>
        <v>15800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25300+116850</f>
        <v>142150</v>
      </c>
      <c r="D10" s="30">
        <f t="shared" si="0"/>
        <v>0</v>
      </c>
      <c r="E10" s="207">
        <f>28000+37500</f>
        <v>65500</v>
      </c>
      <c r="F10" s="30">
        <f t="shared" si="0"/>
        <v>0</v>
      </c>
      <c r="G10" s="180">
        <f>9000+17500</f>
        <v>26500</v>
      </c>
      <c r="H10" s="30">
        <v>150</v>
      </c>
      <c r="I10" s="180">
        <f>26950+51100</f>
        <v>78050</v>
      </c>
      <c r="J10" s="30">
        <f>1500+0</f>
        <v>1500</v>
      </c>
      <c r="L10" s="42">
        <f t="shared" si="5"/>
        <v>312200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28450</v>
      </c>
      <c r="D12" s="30">
        <f t="shared" si="0"/>
        <v>0</v>
      </c>
      <c r="E12" s="207">
        <v>12150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40600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31050</v>
      </c>
      <c r="D13" s="30">
        <v>600</v>
      </c>
      <c r="E13" s="207">
        <v>13100</v>
      </c>
      <c r="F13" s="30">
        <f t="shared" si="0"/>
        <v>0</v>
      </c>
      <c r="G13" s="180">
        <v>1200</v>
      </c>
      <c r="H13" s="30">
        <f t="shared" si="0"/>
        <v>0</v>
      </c>
      <c r="I13" s="180">
        <v>20950</v>
      </c>
      <c r="J13" s="30">
        <f t="shared" si="0"/>
        <v>0</v>
      </c>
      <c r="L13" s="42">
        <f t="shared" si="5"/>
        <v>66300</v>
      </c>
      <c r="M13" s="42">
        <f t="shared" si="4"/>
        <v>600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 ca="1">Vendedor13!$B$2</f>
        <v>MINERO 22-05-2026</v>
      </c>
      <c r="C16" s="180">
        <v>12800</v>
      </c>
      <c r="D16" s="30">
        <f t="shared" si="0"/>
        <v>0</v>
      </c>
      <c r="E16" s="207">
        <v>8000</v>
      </c>
      <c r="F16" s="30">
        <f t="shared" si="0"/>
        <v>0</v>
      </c>
      <c r="G16" s="180">
        <v>6600</v>
      </c>
      <c r="H16" s="30">
        <f t="shared" si="0"/>
        <v>0</v>
      </c>
      <c r="I16" s="180">
        <v>26300</v>
      </c>
      <c r="J16" s="30">
        <f t="shared" si="0"/>
        <v>0</v>
      </c>
      <c r="L16" s="42">
        <f t="shared" si="5"/>
        <v>53700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115300</v>
      </c>
      <c r="D17" s="30">
        <v>700</v>
      </c>
      <c r="E17" s="207">
        <v>85800</v>
      </c>
      <c r="F17" s="30">
        <v>600</v>
      </c>
      <c r="G17" s="180">
        <v>66050</v>
      </c>
      <c r="H17" s="30">
        <v>50</v>
      </c>
      <c r="I17" s="180">
        <v>132750</v>
      </c>
      <c r="J17" s="30">
        <v>250</v>
      </c>
      <c r="L17" s="42">
        <f t="shared" si="5"/>
        <v>399900</v>
      </c>
      <c r="M17" s="42">
        <f t="shared" si="4"/>
        <v>1600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65950</v>
      </c>
      <c r="D18" s="30">
        <v>600</v>
      </c>
      <c r="E18" s="207">
        <v>50650</v>
      </c>
      <c r="F18" s="30">
        <f t="shared" si="0"/>
        <v>0</v>
      </c>
      <c r="G18" s="180">
        <v>8900</v>
      </c>
      <c r="H18" s="30">
        <f t="shared" si="0"/>
        <v>0</v>
      </c>
      <c r="I18" s="180">
        <v>9950</v>
      </c>
      <c r="J18" s="30">
        <f t="shared" si="3"/>
        <v>0</v>
      </c>
      <c r="L18" s="42">
        <f t="shared" si="5"/>
        <v>135450</v>
      </c>
      <c r="M18" s="42">
        <f t="shared" si="4"/>
        <v>600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452250</v>
      </c>
      <c r="D32" s="44">
        <f t="shared" si="7"/>
        <v>2150</v>
      </c>
      <c r="E32" s="43">
        <f t="shared" si="7"/>
        <v>257200</v>
      </c>
      <c r="F32" s="44">
        <f t="shared" si="7"/>
        <v>600</v>
      </c>
      <c r="G32" s="43">
        <f t="shared" si="7"/>
        <v>117250</v>
      </c>
      <c r="H32" s="44">
        <f t="shared" si="7"/>
        <v>200</v>
      </c>
      <c r="I32" s="43">
        <f t="shared" si="7"/>
        <v>275500</v>
      </c>
      <c r="J32" s="44">
        <f t="shared" si="7"/>
        <v>1750</v>
      </c>
      <c r="L32" s="95">
        <f>SUM(L9:L31)</f>
        <v>1008150</v>
      </c>
      <c r="M32" s="95">
        <f>SUM(M9:M31)</f>
        <v>2800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03 Roja</v>
      </c>
      <c r="D2" s="268"/>
      <c r="E2" s="267" t="str">
        <f>IF(E33=0,"",CONCATENATE(PREMIOS!$B11," ",PREMIOS!$B12))</f>
        <v>44 Blanca</v>
      </c>
      <c r="F2" s="268"/>
      <c r="G2" s="267" t="str">
        <f>IF(G33=0,"",CONCATENATE(PREMIOS!$B15," ",PREMIOS!$B16))</f>
        <v>95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26100+9500</f>
        <v>35600</v>
      </c>
      <c r="D10" s="30">
        <f t="shared" si="0"/>
        <v>0</v>
      </c>
      <c r="E10" s="180">
        <f>11900+12650</f>
        <v>24550</v>
      </c>
      <c r="F10" s="30">
        <f t="shared" si="0"/>
        <v>0</v>
      </c>
      <c r="G10" s="180">
        <f>10200+11750</f>
        <v>21950</v>
      </c>
      <c r="H10" s="30">
        <f t="shared" si="0"/>
        <v>0</v>
      </c>
      <c r="J10" s="42">
        <f t="shared" si="3"/>
        <v>82100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900</v>
      </c>
      <c r="D12" s="30">
        <f t="shared" si="0"/>
        <v>0</v>
      </c>
      <c r="E12" s="180"/>
      <c r="F12" s="30" t="str">
        <f t="shared" si="1"/>
        <v/>
      </c>
      <c r="G12" s="180">
        <v>100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 ca="1">Vendedor13!$B$2</f>
        <v>MINERO 22-05-2026</v>
      </c>
      <c r="C16" s="194">
        <v>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31500</v>
      </c>
      <c r="D17" s="30">
        <f t="shared" si="0"/>
        <v>0</v>
      </c>
      <c r="E17" s="180">
        <v>19650</v>
      </c>
      <c r="F17" s="30">
        <f t="shared" si="0"/>
        <v>0</v>
      </c>
      <c r="G17" s="180">
        <v>26800</v>
      </c>
      <c r="H17" s="30">
        <f t="shared" si="0"/>
        <v>0</v>
      </c>
      <c r="J17" s="42">
        <f t="shared" si="3"/>
        <v>77950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21900</v>
      </c>
      <c r="D18" s="30">
        <v>100</v>
      </c>
      <c r="E18" s="180">
        <v>10250</v>
      </c>
      <c r="F18" s="30">
        <f t="shared" si="0"/>
        <v>0</v>
      </c>
      <c r="G18" s="180">
        <v>10900</v>
      </c>
      <c r="H18" s="30">
        <v>100</v>
      </c>
      <c r="J18" s="42">
        <f t="shared" si="3"/>
        <v>43050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90400</v>
      </c>
      <c r="D33" s="44">
        <f t="shared" si="7"/>
        <v>100</v>
      </c>
      <c r="E33" s="43">
        <f t="shared" si="7"/>
        <v>54450</v>
      </c>
      <c r="F33" s="44">
        <f t="shared" si="7"/>
        <v>0</v>
      </c>
      <c r="G33" s="43">
        <f t="shared" si="7"/>
        <v>59750</v>
      </c>
      <c r="H33" s="44">
        <f t="shared" si="7"/>
        <v>100</v>
      </c>
      <c r="J33" s="45">
        <f>SUM(J4:J32)</f>
        <v>204600</v>
      </c>
      <c r="K33" s="95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51</v>
      </c>
      <c r="D2" s="268"/>
      <c r="E2" s="267">
        <f>IF(PREMIOS!$C19="","",PREMIOS!$C19)</f>
        <v>56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1300</v>
      </c>
      <c r="D4" s="78">
        <f t="shared" ref="D4:F27" si="0">IF(C4="","",0)</f>
        <v>0</v>
      </c>
      <c r="E4" s="189">
        <v>1200</v>
      </c>
      <c r="F4" s="78">
        <f t="shared" si="0"/>
        <v>0</v>
      </c>
      <c r="H4" s="42">
        <f>+C4+E4</f>
        <v>2500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13500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13500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3400</v>
      </c>
      <c r="D8" s="30">
        <v>650</v>
      </c>
      <c r="E8" s="194">
        <v>2000</v>
      </c>
      <c r="F8" s="195">
        <f t="shared" si="1"/>
        <v>0</v>
      </c>
      <c r="H8" s="42">
        <f t="shared" si="2"/>
        <v>5400</v>
      </c>
      <c r="I8" s="42">
        <f t="shared" si="3"/>
        <v>650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27950</v>
      </c>
      <c r="D10" s="30">
        <f t="shared" si="0"/>
        <v>0</v>
      </c>
      <c r="E10" s="180">
        <v>7100</v>
      </c>
      <c r="F10" s="195">
        <f t="shared" si="1"/>
        <v>0</v>
      </c>
      <c r="H10" s="42">
        <f t="shared" si="2"/>
        <v>35050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/>
      <c r="D12" s="30" t="str">
        <f t="shared" si="0"/>
        <v/>
      </c>
      <c r="E12" s="194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 ca="1">Vendedor13!$B$2</f>
        <v>MINERO 22-05-2026</v>
      </c>
      <c r="C16" s="194">
        <v>2800</v>
      </c>
      <c r="D16" s="195">
        <v>150</v>
      </c>
      <c r="E16" s="194">
        <v>2800</v>
      </c>
      <c r="F16" s="195">
        <f t="shared" si="0"/>
        <v>0</v>
      </c>
      <c r="H16" s="42">
        <f t="shared" si="2"/>
        <v>5600</v>
      </c>
      <c r="I16" s="42">
        <f t="shared" si="3"/>
        <v>150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87800</v>
      </c>
      <c r="D17" s="195">
        <v>1550</v>
      </c>
      <c r="E17" s="180">
        <v>46200</v>
      </c>
      <c r="F17" s="30">
        <v>700</v>
      </c>
      <c r="H17" s="42">
        <f t="shared" si="2"/>
        <v>134000</v>
      </c>
      <c r="I17" s="42">
        <f t="shared" si="3"/>
        <v>2250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39200</v>
      </c>
      <c r="D18" s="195">
        <v>100</v>
      </c>
      <c r="E18" s="180">
        <v>15500</v>
      </c>
      <c r="F18" s="30">
        <f t="shared" si="0"/>
        <v>0</v>
      </c>
      <c r="H18" s="42">
        <f t="shared" si="2"/>
        <v>54700</v>
      </c>
      <c r="I18" s="42">
        <f t="shared" si="3"/>
        <v>100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175950</v>
      </c>
      <c r="D33" s="44">
        <f>SUM(D4:D32)</f>
        <v>2450</v>
      </c>
      <c r="E33" s="43">
        <f>SUM(E4:E32)</f>
        <v>74800</v>
      </c>
      <c r="F33" s="44">
        <f>SUM(F4:F32)</f>
        <v>700</v>
      </c>
      <c r="H33" s="95">
        <f>SUM(H4:H32)</f>
        <v>250750</v>
      </c>
      <c r="I33" s="95">
        <f>SUM(I4:I32)</f>
        <v>3150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00</v>
      </c>
      <c r="D2" s="268"/>
      <c r="E2" s="267">
        <f>IF(PREMIOS!$C20="","",PREMIOS!$C20)</f>
        <v>81</v>
      </c>
      <c r="F2" s="268"/>
      <c r="G2" s="267">
        <f>IF(PREMIOS!$D20="","",PREMIOS!$D20)</f>
        <v>84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20700</v>
      </c>
      <c r="D10" s="195">
        <v>2000</v>
      </c>
      <c r="E10" s="180">
        <v>3000</v>
      </c>
      <c r="F10" s="30">
        <f t="shared" si="0"/>
        <v>0</v>
      </c>
      <c r="G10" s="180">
        <v>1200</v>
      </c>
      <c r="H10" s="195">
        <f t="shared" si="0"/>
        <v>0</v>
      </c>
      <c r="J10" s="42">
        <f t="shared" si="3"/>
        <v>24900</v>
      </c>
      <c r="K10" s="42">
        <f t="shared" si="4"/>
        <v>2000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 ca="1">Vendedor13!$B$2</f>
        <v>MINERO 22-05-2026</v>
      </c>
      <c r="C16" s="194">
        <v>3000</v>
      </c>
      <c r="D16" s="195">
        <f t="shared" si="0"/>
        <v>0</v>
      </c>
      <c r="E16" s="194">
        <v>1500</v>
      </c>
      <c r="F16" s="195">
        <f t="shared" si="1"/>
        <v>0</v>
      </c>
      <c r="G16" s="194">
        <v>2400</v>
      </c>
      <c r="H16" s="195">
        <f>IF(G16="","",0)</f>
        <v>0</v>
      </c>
      <c r="J16" s="42">
        <f t="shared" si="3"/>
        <v>6900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41050</v>
      </c>
      <c r="D17" s="195">
        <v>1400</v>
      </c>
      <c r="E17" s="194">
        <v>12900</v>
      </c>
      <c r="F17" s="195">
        <v>350</v>
      </c>
      <c r="G17" s="194">
        <v>21900</v>
      </c>
      <c r="H17" s="195">
        <v>300</v>
      </c>
      <c r="J17" s="42">
        <f t="shared" si="3"/>
        <v>75850</v>
      </c>
      <c r="K17" s="42">
        <f t="shared" si="4"/>
        <v>2050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6600</v>
      </c>
      <c r="D18" s="195">
        <v>100</v>
      </c>
      <c r="E18" s="180">
        <v>18300</v>
      </c>
      <c r="F18" s="30">
        <f t="shared" si="1"/>
        <v>0</v>
      </c>
      <c r="G18" s="180">
        <v>500</v>
      </c>
      <c r="H18" s="30">
        <f t="shared" si="2"/>
        <v>0</v>
      </c>
      <c r="J18" s="42">
        <f t="shared" si="3"/>
        <v>25400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71350</v>
      </c>
      <c r="D33" s="44">
        <f t="shared" si="6"/>
        <v>3500</v>
      </c>
      <c r="E33" s="43">
        <f t="shared" si="6"/>
        <v>35700</v>
      </c>
      <c r="F33" s="44">
        <f t="shared" si="6"/>
        <v>350</v>
      </c>
      <c r="G33" s="43">
        <f t="shared" si="6"/>
        <v>26000</v>
      </c>
      <c r="H33" s="44">
        <f t="shared" si="6"/>
        <v>300</v>
      </c>
      <c r="J33" s="45">
        <f>SUM(J4:J32)</f>
        <v>133050</v>
      </c>
      <c r="K33" s="95">
        <f>SUM(K4:K32)</f>
        <v>4150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37</v>
      </c>
      <c r="D2" s="268"/>
      <c r="E2" s="267">
        <f>IF(PREMIOS!$C21="","",PREMIOS!$C21)</f>
        <v>16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43500</v>
      </c>
      <c r="D10" s="30">
        <f t="shared" si="0"/>
        <v>0</v>
      </c>
      <c r="E10" s="180">
        <v>50000</v>
      </c>
      <c r="F10" s="30">
        <f t="shared" si="0"/>
        <v>0</v>
      </c>
      <c r="H10" s="42">
        <f t="shared" si="2"/>
        <v>93500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 ca="1">Vendedor13!$B$2</f>
        <v>MINERO 22-05-2026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43500</v>
      </c>
      <c r="D33" s="44">
        <f>SUM(D4:D32)</f>
        <v>0</v>
      </c>
      <c r="E33" s="43">
        <f>SUM(E4:E32)</f>
        <v>50000</v>
      </c>
      <c r="F33" s="44">
        <f>SUM(F4:F32)</f>
        <v>0</v>
      </c>
      <c r="H33" s="45">
        <f>SUM(H4:H32)</f>
        <v>93500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D17" sqref="D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 ca="1">Vendedor13!$B$2</f>
        <v>MINERO 22-05-2026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5000</v>
      </c>
      <c r="D17" s="30">
        <f t="shared" si="0"/>
        <v>0</v>
      </c>
    </row>
    <row r="18" spans="1:4" x14ac:dyDescent="0.35">
      <c r="A18" s="47">
        <v>15</v>
      </c>
      <c r="B18" s="178" t="str">
        <f>Vendedor15!$B$2</f>
        <v>EDUARDO PUESTO CENTRO</v>
      </c>
      <c r="C18" s="180">
        <v>3500</v>
      </c>
      <c r="D18" s="30">
        <f t="shared" si="0"/>
        <v>0</v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8500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2026-05-23T16:21:40Z</dcterms:modified>
  <dc:language>es-CR</dc:language>
</cp:coreProperties>
</file>
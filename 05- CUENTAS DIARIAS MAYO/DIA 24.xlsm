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219" documentId="13_ncr:1_{EB1C27A7-1EBD-4619-B18B-0BCA469E8746}" xr6:coauthVersionLast="47" xr6:coauthVersionMax="47" xr10:uidLastSave="{0407BC1B-566A-4C39-BC6F-5E6DB9535DC5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21" l="1"/>
  <c r="B2" i="7"/>
  <c r="B2" i="6"/>
  <c r="B2" i="15"/>
  <c r="B2" i="14"/>
  <c r="B2" i="16"/>
  <c r="B2" i="21"/>
  <c r="B2" i="22"/>
  <c r="I5" i="69"/>
  <c r="K12" i="69"/>
  <c r="G10" i="62"/>
  <c r="F10" i="62"/>
  <c r="E10" i="62"/>
  <c r="C10" i="62"/>
  <c r="J10" i="61"/>
  <c r="I10" i="61"/>
  <c r="G10" i="61"/>
  <c r="F10" i="61"/>
  <c r="E10" i="61"/>
  <c r="D10" i="61"/>
  <c r="C10" i="61"/>
  <c r="H17" i="60" l="1"/>
  <c r="G17" i="60"/>
  <c r="H10" i="60"/>
  <c r="G10" i="60"/>
  <c r="G18" i="60"/>
  <c r="F17" i="60"/>
  <c r="E17" i="60"/>
  <c r="F10" i="60"/>
  <c r="E10" i="60"/>
  <c r="F18" i="60"/>
  <c r="E18" i="60"/>
  <c r="D10" i="60"/>
  <c r="C10" i="60"/>
  <c r="D17" i="60"/>
  <c r="C17" i="60"/>
  <c r="D18" i="60"/>
  <c r="C18" i="60"/>
  <c r="D11" i="65" l="1"/>
  <c r="D10" i="65"/>
  <c r="D18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F35" i="60"/>
  <c r="E35" i="60"/>
  <c r="C36" i="60"/>
  <c r="C35" i="60"/>
  <c r="G34" i="60"/>
  <c r="E34" i="60"/>
  <c r="C34" i="60"/>
  <c r="L6" i="23"/>
  <c r="K6" i="23"/>
  <c r="J6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2" i="60"/>
  <c r="D36" i="60" s="1"/>
  <c r="D11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D5" i="61"/>
  <c r="F16" i="61"/>
  <c r="D6" i="60"/>
  <c r="F16" i="60"/>
  <c r="F15" i="60"/>
  <c r="F14" i="60"/>
  <c r="F13" i="60"/>
  <c r="F12" i="60"/>
  <c r="F11" i="60"/>
  <c r="F9" i="60"/>
  <c r="F7" i="60"/>
  <c r="F6" i="60"/>
  <c r="F5" i="60"/>
  <c r="F4" i="60"/>
  <c r="H15" i="60"/>
  <c r="H12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6" i="60" l="1"/>
  <c r="F36" i="60"/>
  <c r="D35" i="60"/>
  <c r="H34" i="60"/>
  <c r="F34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35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M21" i="52"/>
  <c r="N17" i="71"/>
  <c r="P17" i="71" s="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<sst xmlns="http://schemas.openxmlformats.org/spreadsheetml/2006/main" count="1294" uniqueCount="161">
  <si>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</si>
  <si>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</si>
  <si>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</si>
  <si>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</si>
  <si>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</si>
  <si>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</si>
  <si>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</si>
  <si>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</si>
  <si>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</si>
  <si>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</si>
  <si>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</si>
  <si>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</si>
  <si>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</si>
  <si>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</si>
  <si>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</si>
  <si>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</si>
  <si>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</si>
  <si>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</si>
  <si>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</si>
  <si>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</si>
  <si>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</si>
  <si>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</si>
  <si>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</si>
  <si>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</si>
  <si>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</si>
  <si>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</si>
  <si>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</si>
  <si>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</si>
  <si>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</si>
  <si>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</si>
  <si>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</si>
  <si>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</si>
  <si>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</si>
  <si>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</si>
  <si>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</si>
  <si>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</si>
  <si>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</si>
  <si>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</si>
  <si>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</si>
  <si>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</si>
  <si>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</si>
  <si>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</si>
  <si>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</si>
  <si>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</si>
  <si>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</si>
  <si>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</si>
  <si>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</si>
  <si>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</si>
  <si>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</si>
  <si>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</si>
  <si>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</si>
  <si>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</si>
  <si>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</si>
  <si>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</si>
  <si>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</si>
  <si>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</si>
  <si>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</si>
  <si>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</si>
  <si>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</si>
  <si>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</si>
  <si>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</si>
  <si>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</si>
  <si>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</si>
  <si>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</si>
  <si>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</si>
  <si>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</si>
  <si>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</si>
  <si>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</si>
  <si>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</si>
  <si>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</si>
  <si>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</si>
  <si>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</si>
  <si>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</si>
  <si>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</si>
  <si>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</si>
  <si>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</si>
  <si>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</si>
  <si>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</si>
  <si>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</si>
  <si>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</si>
  <si>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</si>
  <si>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</si>
  <si>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</si>
  <si>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</si>
  <si>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</si>
  <si>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</si>
  <si>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</si>
  <si>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</si>
  <si>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</si>
  <si>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</si>
  <si>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</si>
  <si>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</si>
  <si>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</si>
  <si>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</si>
  <si>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</si>
  <si>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</si>
  <si>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</si>
  <si>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</si>
  <si>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</si>
  <si>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</si>
  <si>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</si>
  <si>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</si>
  <si>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</si>
  <si>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</si>
  <si>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</si>
  <si>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</si>
  <si>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</si>
  <si>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</si>
  <si>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</si>
  <si>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</si>
  <si>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</si>
  <si>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</si>
  <si>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</si>
  <si>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</si>
  <si>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</si>
  <si>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</si>
  <si>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</si>
  <si>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</si>
  <si>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</si>
  <si>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</si>
  <si>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</si>
  <si>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</si>
  <si>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</si>
  <si>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</si>
  <si>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</si>
  <si>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</si>
  <si>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</si>
  <si>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</si>
  <si>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</si>
  <si>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</si>
  <si>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</si>
  <si>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</si>
  <si>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</si>
  <si>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</si>
  <si>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</si>
  <si>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</si>
  <si>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</si>
  <si>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</si>
  <si>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</si>
  <si>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</si>
  <si>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</si>
  <si>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</si>
  <si>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</si>
  <si>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</si>
  <si>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</si>
  <si>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</si>
  <si>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</si>
  <si>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</si>
  <si>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</si>
  <si>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</si>
  <si>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</si>
  <si>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</si>
  <si>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</si>
  <si>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</si>
  <si>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</si>
  <si>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</si>
  <si>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</si>
  <si>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</si>
  <si>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</si>
  <si>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05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</si>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</sst>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0" fillId="3" borderId="46" xfId="0" quotePrefix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314850</v>
      </c>
      <c r="C3" s="9">
        <f>+HojaTICA!K4+HojaNICA!M4+HojaREVENTADO!K4+HojaPrimera!I4+HojaHonduras!K4+HojaDominicana!I4+HojaPANA!G4</f>
        <v>40950</v>
      </c>
      <c r="D3" s="9">
        <f>+HojaTICA!N4+HojaNICA!P4+HojaREVENTADO!O4+HojaPrimera!L4+HojaHonduras!N4+HojaDominicana!L4+HojaPANA!J4</f>
        <v>490500</v>
      </c>
      <c r="F3" s="10">
        <f t="shared" ref="F3:F27" si="0">+B3-C3-D3</f>
        <v>-216600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106150</v>
      </c>
      <c r="C4" s="9">
        <f>+HojaTICA!K5+HojaNICA!M5+HojaREVENTADO!K5+HojaPrimera!I5+HojaHonduras!K5+HojaDominicana!I5+HojaPANA!G5</f>
        <v>13800</v>
      </c>
      <c r="D4" s="9">
        <f>+HojaTICA!N5+HojaNICA!P5+HojaREVENTADO!O5+HojaPrimera!L5+HojaHonduras!N5+HojaDominicana!L5+HojaPANA!J5</f>
        <v>229500</v>
      </c>
      <c r="F4" s="14">
        <f t="shared" si="0"/>
        <v>-137150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15000</v>
      </c>
      <c r="C6" s="9">
        <f>+HojaTICA!K7+HojaNICA!M7+HojaREVENTADO!K7+HojaPrimera!I7+HojaHonduras!K7+HojaDominicana!I7+HojaPANA!G7</f>
        <v>1800</v>
      </c>
      <c r="D6" s="9">
        <f>+HojaTICA!N7+HojaNICA!P7+HojaREVENTADO!O7+HojaPrimera!L7+HojaHonduras!N7+HojaDominicana!L7+HojaPANA!J7</f>
        <v>0</v>
      </c>
      <c r="F6" s="14">
        <f t="shared" si="0"/>
        <v>13200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234950</v>
      </c>
      <c r="C7" s="9">
        <f>+HojaTICA!K8+HojaNICA!M8+HojaREVENTADO!K8+HojaPrimera!I8+HojaHonduras!K8+HojaDominicana!I8+HojaPANA!G8</f>
        <v>28250</v>
      </c>
      <c r="D7" s="9">
        <f>+HojaTICA!N8+HojaNICA!P8+HojaREVENTADO!O8+HojaPrimera!L8+HojaHonduras!N8+HojaDominicana!L8+HojaPANA!J8</f>
        <v>142000</v>
      </c>
      <c r="F7" s="14">
        <f t="shared" si="0"/>
        <v>64700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1232950</v>
      </c>
      <c r="C9" s="9">
        <f>+HojaTICA!K10+HojaNICA!M10+HojaREVENTADO!K10+HojaPrimera!I10+HojaHonduras!K10+HojaDominicana!I10+HojaPANA!G10</f>
        <v>145930</v>
      </c>
      <c r="D9" s="9">
        <f>+HojaTICA!N10+HojaNICA!P10+HojaREVENTADO!O10+HojaPrimera!L10+HojaHonduras!N10+HojaDominicana!L10+HojaPANA!J10</f>
        <v>1649000</v>
      </c>
      <c r="F9" s="14">
        <f t="shared" si="0"/>
        <v>-561980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11500</v>
      </c>
      <c r="C10" s="9">
        <f>+HojaTICA!K11+HojaNICA!M11+HojaREVENTADO!K11+HojaPrimera!I11+HojaHonduras!K11+HojaDominicana!I11+HojaPANA!G11</f>
        <v>1400</v>
      </c>
      <c r="D10" s="9">
        <f>+HojaTICA!N11+HojaNICA!P11+HojaREVENTADO!O11+HojaPrimera!L11+HojaHonduras!N11+HojaDominicana!L11+HojaPANA!J11</f>
        <v>17000</v>
      </c>
      <c r="F10" s="14">
        <f t="shared" si="0"/>
        <v>-6900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106350</v>
      </c>
      <c r="C11" s="9">
        <f>+HojaTICA!K12+HojaNICA!M12+HojaREVENTADO!K12+HojaPrimera!I12+HojaHonduras!K12+HojaDominicana!I12+HojaPANA!G12</f>
        <v>12750</v>
      </c>
      <c r="D11" s="9">
        <f>+HojaTICA!N12+HojaNICA!P12+HojaREVENTADO!O12+HojaPrimera!L12+HojaHonduras!N12+HojaDominicana!L12+HojaPANA!J12</f>
        <v>21250</v>
      </c>
      <c r="F11" s="14">
        <f t="shared" si="0"/>
        <v>72350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183200</v>
      </c>
      <c r="C12" s="9">
        <f>+HojaTICA!K13+HojaNICA!M13+HojaREVENTADO!K13+HojaPrimera!I13+HojaHonduras!K13+HojaDominicana!I13+HojaPANA!G13</f>
        <v>22000</v>
      </c>
      <c r="D12" s="9">
        <f>+HojaTICA!N13+HojaNICA!P13+HojaREVENTADO!O13+HojaPrimera!L13+HojaHonduras!N13+HojaDominicana!L13+HojaPANA!J13</f>
        <v>161500</v>
      </c>
      <c r="F12" s="14">
        <f t="shared" si="0"/>
        <v>-300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122550</v>
      </c>
      <c r="C13" s="9">
        <f>+HojaTICA!K14+HojaNICA!M14+HojaREVENTADO!K14+HojaPrimera!I14+HojaHonduras!K14+HojaDominicana!I14+HojaPANA!G14</f>
        <v>18400</v>
      </c>
      <c r="D13" s="9">
        <f>+HojaTICA!N14+HojaNICA!P14+HojaREVENTADO!O14+HojaPrimera!L14+HojaHonduras!N14+HojaDominicana!L14+HojaPANA!J14</f>
        <v>68000</v>
      </c>
      <c r="F13" s="14">
        <f t="shared" si="0"/>
        <v>36150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149800</v>
      </c>
      <c r="C15" s="9">
        <f>+HojaTICA!K16+HojaNICA!M16+HojaREVENTADO!K16+HojaPrimera!I16+HojaHonduras!K16+HojaDominicana!I16+HojaPANA!G16</f>
        <v>17700</v>
      </c>
      <c r="D15" s="9">
        <f>+HojaTICA!N16+HojaNICA!P16+HojaREVENTADO!O16+HojaPrimera!L16+HojaHonduras!N16+HojaDominicana!L16+HojaPANA!J16</f>
        <v>143750</v>
      </c>
      <c r="F15" s="14">
        <f t="shared" si="0"/>
        <v>-11650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953900</v>
      </c>
      <c r="C16" s="9">
        <f>+HojaTICA!K17+HojaNICA!M17+HojaREVENTADO!K17+HojaPrimera!I17+HojaHonduras!K17+HojaDominicana!I17+HojaPANA!G17</f>
        <v>113445</v>
      </c>
      <c r="D16" s="9">
        <f>+HojaTICA!N17+HojaNICA!P17+HojaREVENTADO!O17+HojaPrimera!L17+HojaHonduras!N17+HojaDominicana!L17+HojaPANA!J17</f>
        <v>973250</v>
      </c>
      <c r="F16" s="14">
        <f t="shared" si="0"/>
        <v>-132795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724900</v>
      </c>
      <c r="C17" s="9">
        <f>+HojaTICA!K18+HojaNICA!M18+HojaREVENTADO!K18+HojaPrimera!I18+HojaHonduras!K18+HojaDominicana!I18+HojaPANA!G18</f>
        <v>85340</v>
      </c>
      <c r="D17" s="9">
        <f>+HojaTICA!N18+HojaNICA!P18+HojaREVENTADO!O18+HojaPrimera!L18+HojaHonduras!N18+HojaDominicana!L18+HojaPANA!J18</f>
        <v>442000</v>
      </c>
      <c r="F17" s="14">
        <f t="shared" si="0"/>
        <v>197560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4156100</v>
      </c>
      <c r="C28" s="17">
        <f t="shared" si="1"/>
        <v>501765</v>
      </c>
      <c r="D28" s="18">
        <f t="shared" si="1"/>
        <v>4337750</v>
      </c>
      <c r="F28" s="20">
        <f>SUM(F3:F27)</f>
        <v>-683415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7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93</v>
      </c>
      <c r="C5" s="132"/>
      <c r="D5" s="137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39</v>
      </c>
      <c r="C7" s="132"/>
      <c r="D7" s="137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14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36</v>
      </c>
      <c r="C11" s="132"/>
      <c r="D11" s="137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65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 t="s">
        <v>159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21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90</v>
      </c>
      <c r="C19" s="132">
        <v>88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63</v>
      </c>
      <c r="C20" s="163">
        <v>68</v>
      </c>
      <c r="D20" s="166">
        <v>89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45</v>
      </c>
      <c r="C21" s="164">
        <v>12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258" t="s">
        <v>160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39</v>
      </c>
      <c r="D2" s="269"/>
      <c r="E2" s="268">
        <f>DigitaTICA!E2</f>
        <v>36</v>
      </c>
      <c r="F2" s="269"/>
      <c r="G2" s="268" t="str">
        <f>DigitaTICA!G2</f>
        <v>05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88100</v>
      </c>
      <c r="D4" s="30">
        <f>IF(Vendedor1!$E$7="",0,Vendedor1!$E$7)</f>
        <v>700</v>
      </c>
      <c r="E4" s="180">
        <f>IF(Vendedor1!$C$11="",0,Vendedor1!$C$11)</f>
        <v>48500</v>
      </c>
      <c r="F4" s="30">
        <f>IF(Vendedor1!$E$11="",0,Vendedor1!$E$11)</f>
        <v>0</v>
      </c>
      <c r="G4" s="180">
        <f>IF(Vendedor1!$C$15="",0,Vendedor1!$C$15)</f>
        <v>112850</v>
      </c>
      <c r="H4" s="30">
        <f>IF(Vendedor1!$E$15="",0,Vendedor1!$E$15)</f>
        <v>4600</v>
      </c>
      <c r="J4" s="42">
        <f t="shared" ref="J4:J7" si="0">+C4+E4+G4</f>
        <v>249450</v>
      </c>
      <c r="K4" s="41">
        <f>MROUND(J4*Vendedor1!J$9,50)</f>
        <v>32450</v>
      </c>
      <c r="L4" s="42">
        <f t="shared" ref="L4:L7" si="1">+D4+F4+H4</f>
        <v>5300</v>
      </c>
      <c r="M4" s="42">
        <f t="shared" ref="M4:M7" si="2">+L4*85</f>
        <v>450500</v>
      </c>
      <c r="N4" s="42">
        <f>Vendedor1!$F$7+Vendedor1!$F$11+Vendedor1!$F$15</f>
        <v>450500</v>
      </c>
      <c r="P4" s="42">
        <f t="shared" ref="P4:P7" si="3">+J4-K4-N4</f>
        <v>-233500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31350</v>
      </c>
      <c r="D5" s="30">
        <f>IF(Vendedor2!$E$7="",0,Vendedor2!$E$7)</f>
        <v>300</v>
      </c>
      <c r="E5" s="180">
        <f>IF(Vendedor2!$C$11="",0,Vendedor2!$C$11)</f>
        <v>10850</v>
      </c>
      <c r="F5" s="30">
        <f>IF(Vendedor2!$E$11="",0,Vendedor2!$E$11)</f>
        <v>0</v>
      </c>
      <c r="G5" s="180">
        <f>IF(Vendedor2!$C$15="",0,Vendedor2!$C$15)</f>
        <v>40950</v>
      </c>
      <c r="H5" s="30">
        <f>IF(Vendedor2!$E$15="",0,Vendedor2!$E$15)</f>
        <v>2400</v>
      </c>
      <c r="J5" s="42">
        <f t="shared" si="0"/>
        <v>83150</v>
      </c>
      <c r="K5" s="41">
        <f>MROUND(J5*Vendedor2!J$9,50)</f>
        <v>10800</v>
      </c>
      <c r="L5" s="42">
        <f t="shared" si="1"/>
        <v>2700</v>
      </c>
      <c r="M5" s="42">
        <f t="shared" si="2"/>
        <v>229500</v>
      </c>
      <c r="N5" s="42">
        <f>Vendedor2!$F$7+Vendedor2!$F$11+Vendedor2!$F$15</f>
        <v>229500</v>
      </c>
      <c r="P5" s="42">
        <f t="shared" si="3"/>
        <v>-157150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15000</v>
      </c>
      <c r="H7" s="30">
        <f>IF(Vendedor4!$E$15="",0,Vendedor4!$E$15)</f>
        <v>0</v>
      </c>
      <c r="J7" s="42">
        <f t="shared" si="0"/>
        <v>15000</v>
      </c>
      <c r="K7" s="41">
        <f>MROUND(J7*Vendedor4!J$9,50)</f>
        <v>1800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13200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57350</v>
      </c>
      <c r="D8" s="30">
        <f>IF(Vendedor5!$E$7="",0,Vendedor5!$E$7)</f>
        <v>750</v>
      </c>
      <c r="E8" s="180">
        <f>IF(Vendedor5!$C$11="",0,Vendedor5!$C$11)</f>
        <v>42200</v>
      </c>
      <c r="F8" s="30">
        <f>IF(Vendedor5!$E$11="",0,Vendedor5!$E$11)</f>
        <v>250</v>
      </c>
      <c r="G8" s="180">
        <f>IF(Vendedor5!$C$15="",0,Vendedor5!$C$15)</f>
        <v>47750</v>
      </c>
      <c r="H8" s="30">
        <f>IF(Vendedor5!$E$15="",0,Vendedor5!$E$15)</f>
        <v>200</v>
      </c>
      <c r="J8" s="42">
        <f t="shared" ref="J8" si="4">+C8+E8+G8</f>
        <v>147300</v>
      </c>
      <c r="K8" s="41">
        <f>MROUND(J8*Vendedor5!J$11,50)</f>
        <v>17700</v>
      </c>
      <c r="L8" s="42">
        <f t="shared" ref="L8" si="5">+D8+F8+H8</f>
        <v>1200</v>
      </c>
      <c r="M8" s="42">
        <f t="shared" ref="M8" si="6">+L8*85</f>
        <v>102000</v>
      </c>
      <c r="N8" s="42">
        <f>Vendedor5!$F$7+Vendedor5!$F$11+Vendedor5!$F$15</f>
        <v>102000</v>
      </c>
      <c r="P8" s="42">
        <f t="shared" ref="P8" si="7">+J8-K8-N8</f>
        <v>27600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133100</v>
      </c>
      <c r="D10" s="30">
        <f>IF(Vendedor7!$E$7="",0,Vendedor7!$E$7)</f>
        <v>1650</v>
      </c>
      <c r="E10" s="180">
        <f>IF(Vendedor7!$C$11="",0,Vendedor7!$C$11)</f>
        <v>203200</v>
      </c>
      <c r="F10" s="30">
        <f>IF(Vendedor7!$E$11="",0,Vendedor7!$E$11)</f>
        <v>4500</v>
      </c>
      <c r="G10" s="180">
        <f>IF(Vendedor7!$C$15="",0,Vendedor7!$C$15)</f>
        <v>174150</v>
      </c>
      <c r="H10" s="30">
        <f>IF(Vendedor7!$E$15="",0,Vendedor7!$E$15)</f>
        <v>7000</v>
      </c>
      <c r="J10" s="42">
        <f t="shared" si="8"/>
        <v>510450</v>
      </c>
      <c r="K10" s="41">
        <f>MROUND(J10*Vendedor7!J$14,50)</f>
        <v>61250</v>
      </c>
      <c r="L10" s="42">
        <f t="shared" si="9"/>
        <v>13150</v>
      </c>
      <c r="M10" s="42">
        <f t="shared" si="10"/>
        <v>1117750</v>
      </c>
      <c r="N10" s="42">
        <f>Vendedor7!$F$7+Vendedor7!$F$11+Vendedor7!$F$15</f>
        <v>1117750</v>
      </c>
      <c r="P10" s="42">
        <f t="shared" si="11"/>
        <v>-668550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9000</v>
      </c>
      <c r="H11" s="30">
        <f>IF(Vendedor8!$E$15="",0,Vendedor8!$E$15)</f>
        <v>200</v>
      </c>
      <c r="J11" s="42">
        <f t="shared" si="8"/>
        <v>11500</v>
      </c>
      <c r="K11" s="41">
        <f>MROUND(J11*Vendedor8!J$11,50)</f>
        <v>1400</v>
      </c>
      <c r="L11" s="42">
        <f t="shared" si="9"/>
        <v>200</v>
      </c>
      <c r="M11" s="42">
        <f t="shared" si="10"/>
        <v>17000</v>
      </c>
      <c r="N11" s="42">
        <f>Vendedor8!$F$7+Vendedor8!$F$11+Vendedor8!$F$15</f>
        <v>17000</v>
      </c>
      <c r="P11" s="42">
        <f t="shared" si="11"/>
        <v>-6900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11400</v>
      </c>
      <c r="D12" s="30">
        <f>IF(Vendedor9!$E$7="",0,Vendedor9!$E$7)</f>
        <v>0</v>
      </c>
      <c r="E12" s="180">
        <f>IF(Vendedor9!$C$11="",0,Vendedor9!$C$11)</f>
        <v>8250</v>
      </c>
      <c r="F12" s="30">
        <f>IF(Vendedor9!$E$11="",0,Vendedor9!$E$11)</f>
        <v>0</v>
      </c>
      <c r="G12" s="180">
        <f>IF(Vendedor9!$C$15="",0,Vendedor9!$C$15)</f>
        <v>23250</v>
      </c>
      <c r="H12" s="30">
        <f>IF(Vendedor9!$E$15="",0,Vendedor9!$E$15)</f>
        <v>0</v>
      </c>
      <c r="J12" s="42">
        <f t="shared" si="8"/>
        <v>42900</v>
      </c>
      <c r="K12" s="41">
        <f>MROUND(J12*Vendedor9!J$11,50)</f>
        <v>5150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37750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46150</v>
      </c>
      <c r="D13" s="30">
        <f>IF(Vendedor10!$E$7="",0,Vendedor10!$E$7)</f>
        <v>100</v>
      </c>
      <c r="E13" s="180">
        <f>IF(Vendedor10!$C$11="",0,Vendedor10!$C$11)</f>
        <v>16000</v>
      </c>
      <c r="F13" s="30">
        <f>IF(Vendedor10!$E$11="",0,Vendedor10!$E$11)</f>
        <v>0</v>
      </c>
      <c r="G13" s="180">
        <f>IF(Vendedor10!$C$15="",0,Vendedor10!$C$15)</f>
        <v>80200</v>
      </c>
      <c r="H13" s="30">
        <f>IF(Vendedor10!$E$15="",0,Vendedor10!$E$15)</f>
        <v>1800</v>
      </c>
      <c r="J13" s="42">
        <f t="shared" si="8"/>
        <v>142350</v>
      </c>
      <c r="K13" s="41">
        <f>MROUND(J13*Vendedor10!J$9,50)</f>
        <v>17100</v>
      </c>
      <c r="L13" s="42">
        <f t="shared" si="9"/>
        <v>1900</v>
      </c>
      <c r="M13" s="42">
        <f t="shared" si="10"/>
        <v>161500</v>
      </c>
      <c r="N13" s="42">
        <f>Vendedor10!$F$7+Vendedor10!$F$11+Vendedor10!$F$15</f>
        <v>161500</v>
      </c>
      <c r="P13" s="42">
        <f t="shared" si="11"/>
        <v>-36250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45650</v>
      </c>
      <c r="D14" s="30">
        <f>IF(Vendedor11!$E$7="",0,Vendedor11!$E$7)</f>
        <v>0</v>
      </c>
      <c r="E14" s="180">
        <f>IF(Vendedor11!$C$11="",0,Vendedor11!$C$11)</f>
        <v>24100</v>
      </c>
      <c r="F14" s="30">
        <f>IF(Vendedor11!$E$11="",0,Vendedor11!$E$11)</f>
        <v>0</v>
      </c>
      <c r="G14" s="180">
        <f>IF(Vendedor11!$C$15="",0,Vendedor11!$C$15)</f>
        <v>52800</v>
      </c>
      <c r="H14" s="30">
        <f>IF(Vendedor11!$E$15="",0,Vendedor11!$E$15)</f>
        <v>850</v>
      </c>
      <c r="J14" s="42">
        <f t="shared" si="8"/>
        <v>122550</v>
      </c>
      <c r="K14" s="41">
        <f>MROUND(J14*Vendedor11!J$9,50)</f>
        <v>18400</v>
      </c>
      <c r="L14" s="42">
        <f t="shared" si="9"/>
        <v>850</v>
      </c>
      <c r="M14" s="42">
        <f t="shared" si="10"/>
        <v>72250</v>
      </c>
      <c r="N14" s="42">
        <f>Vendedor11!$F$7+Vendedor11!$F$11+Vendedor11!$F$15</f>
        <v>68000</v>
      </c>
      <c r="P14" s="42">
        <f t="shared" si="11"/>
        <v>36150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31350</v>
      </c>
      <c r="D16" s="30">
        <f>IF(Vendedor13!$E$7="",0,Vendedor13!$E$7)</f>
        <v>0</v>
      </c>
      <c r="E16" s="180">
        <f>IF(Vendedor13!$C$11="",0,Vendedor13!$C$11)</f>
        <v>21500</v>
      </c>
      <c r="F16" s="30">
        <f>IF(Vendedor13!$E$11="",0,Vendedor13!$E$11)</f>
        <v>0</v>
      </c>
      <c r="G16" s="180">
        <f>IF(Vendedor13!$C$15="",0,Vendedor13!$C$15)</f>
        <v>49350</v>
      </c>
      <c r="H16" s="30">
        <f>IF(Vendedor13!$E$15="",0,Vendedor13!$E$15)</f>
        <v>750</v>
      </c>
      <c r="J16" s="42">
        <f t="shared" si="8"/>
        <v>102200</v>
      </c>
      <c r="K16" s="41">
        <f>MROUND(J16*Vendedor13!J$11,50)</f>
        <v>12250</v>
      </c>
      <c r="L16" s="42">
        <f t="shared" si="9"/>
        <v>750</v>
      </c>
      <c r="M16" s="42">
        <f t="shared" si="10"/>
        <v>63750</v>
      </c>
      <c r="N16" s="42">
        <f>Vendedor13!$F$7+Vendedor13!$F$11+Vendedor13!$F$15</f>
        <v>63750</v>
      </c>
      <c r="P16" s="42">
        <f t="shared" si="11"/>
        <v>26200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142100</v>
      </c>
      <c r="D17" s="30">
        <f>IF(Vendedor14!$E$7="",0,Vendedor14!$E$7)</f>
        <v>800</v>
      </c>
      <c r="E17" s="180">
        <f>IF(Vendedor14!$C$11="",0,Vendedor14!$C$11)</f>
        <v>88250</v>
      </c>
      <c r="F17" s="30">
        <f>IF(Vendedor14!$E$11="",0,Vendedor14!$E$11)</f>
        <v>350</v>
      </c>
      <c r="G17" s="180">
        <f>IF(Vendedor14!$C$15="",0,Vendedor14!$C$15)</f>
        <v>178300</v>
      </c>
      <c r="H17" s="30">
        <f>IF(Vendedor14!$E$15="",0,Vendedor14!$E$15)</f>
        <v>5650</v>
      </c>
      <c r="J17" s="42">
        <f t="shared" si="8"/>
        <v>408650</v>
      </c>
      <c r="K17" s="41">
        <f>MROUND(J17*Vendedor14!J$15,50)</f>
        <v>49050</v>
      </c>
      <c r="L17" s="42">
        <f t="shared" si="9"/>
        <v>6800</v>
      </c>
      <c r="M17" s="42">
        <f t="shared" si="10"/>
        <v>578000</v>
      </c>
      <c r="N17" s="42">
        <f>Vendedor14!$F$7+Vendedor14!$F$11+Vendedor14!$F$15</f>
        <v>578000</v>
      </c>
      <c r="P17" s="42">
        <f t="shared" si="11"/>
        <v>-218400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75100</v>
      </c>
      <c r="D18" s="30">
        <f>IF(Vendedor15!$E$7="",0,Vendedor15!$E$7)</f>
        <v>600</v>
      </c>
      <c r="E18" s="180">
        <f>IF(Vendedor15!$C$11="",0,Vendedor15!$C$11)</f>
        <v>55200</v>
      </c>
      <c r="F18" s="30">
        <f>IF(Vendedor15!$E$11="",0,Vendedor15!$E$11)</f>
        <v>900</v>
      </c>
      <c r="G18" s="180">
        <f>IF(Vendedor15!$C$15="",0,Vendedor15!$C$15)</f>
        <v>71150</v>
      </c>
      <c r="H18" s="30">
        <f>IF(Vendedor15!$E$15="",0,Vendedor15!$E$15)</f>
        <v>100</v>
      </c>
      <c r="J18" s="42">
        <f t="shared" ref="J18" si="12">+C18+E18+G18</f>
        <v>201450</v>
      </c>
      <c r="K18" s="41">
        <f>MROUND(J18*Vendedor15!J$15,50)</f>
        <v>24150</v>
      </c>
      <c r="L18" s="42">
        <f t="shared" ref="L18" si="13">+D18+F18+H18</f>
        <v>1600</v>
      </c>
      <c r="M18" s="42">
        <f t="shared" ref="M18" si="14">+L18*85</f>
        <v>136000</v>
      </c>
      <c r="N18" s="42">
        <f>Vendedor15!$F$7+Vendedor15!$F$11+Vendedor15!$F$15</f>
        <v>136000</v>
      </c>
      <c r="P18" s="42">
        <f t="shared" ref="P18" si="15">+J18-K18-N18</f>
        <v>41300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664150</v>
      </c>
      <c r="D32" s="44">
        <f t="shared" si="16"/>
        <v>4900</v>
      </c>
      <c r="E32" s="43">
        <f t="shared" si="16"/>
        <v>518050</v>
      </c>
      <c r="F32" s="44">
        <f t="shared" si="16"/>
        <v>6000</v>
      </c>
      <c r="G32" s="43">
        <f t="shared" si="16"/>
        <v>854750</v>
      </c>
      <c r="H32" s="44">
        <f t="shared" si="16"/>
        <v>23550</v>
      </c>
      <c r="J32" s="95">
        <f>SUM(J4:J31)</f>
        <v>2036950</v>
      </c>
      <c r="K32" s="45">
        <f>SUM(K7:K31)</f>
        <v>208250</v>
      </c>
      <c r="L32" s="95">
        <f>SUM(L4:L31)</f>
        <v>34450</v>
      </c>
      <c r="M32" s="95">
        <f>SUM(M4:M31)</f>
        <v>2928250</v>
      </c>
      <c r="N32" s="95">
        <f>SUM(N4:N31)</f>
        <v>2924000</v>
      </c>
      <c r="P32" s="79">
        <f>SUM(P4:P31)</f>
        <v>-1138550</v>
      </c>
    </row>
    <row r="33" spans="3:13" x14ac:dyDescent="0.35">
      <c r="D33" s="99">
        <f>+D32*85</f>
        <v>416500</v>
      </c>
      <c r="F33" s="99">
        <f>+F32*85</f>
        <v>510000</v>
      </c>
      <c r="H33" s="99">
        <f>+H32*85</f>
        <v>2001750</v>
      </c>
    </row>
    <row r="34" spans="3:13" ht="15" thickBot="1" x14ac:dyDescent="0.4">
      <c r="L34" s="149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2036950</v>
      </c>
      <c r="E36" s="43">
        <f>+D36-J4-J5-J6</f>
        <v>1704350</v>
      </c>
      <c r="G36" s="101"/>
    </row>
    <row r="37" spans="3:13" x14ac:dyDescent="0.35">
      <c r="C37" s="47" t="s">
        <v>33</v>
      </c>
      <c r="D37" s="48">
        <f>D36*13%</f>
        <v>264803.5</v>
      </c>
      <c r="E37">
        <f>+D37-K4-K5-K6</f>
        <v>221553.5</v>
      </c>
      <c r="G37" s="100"/>
      <c r="H37" s="100"/>
    </row>
    <row r="38" spans="3:13" ht="15" thickBot="1" x14ac:dyDescent="0.4">
      <c r="C38" s="47" t="s">
        <v>30</v>
      </c>
      <c r="D38" s="30">
        <f>M32</f>
        <v>2928250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-1156103.5</v>
      </c>
      <c r="F39" s="98">
        <f>+P32-D39</f>
        <v>17553.5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-1156103.5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93</v>
      </c>
      <c r="D2" s="269"/>
      <c r="E2" s="268">
        <f>DigitaNICA!E2</f>
        <v>14</v>
      </c>
      <c r="F2" s="269"/>
      <c r="G2" s="268">
        <f>DigitaNICA!G2</f>
        <v>65</v>
      </c>
      <c r="H2" s="269"/>
      <c r="I2" s="268">
        <f>DigitaNICA!I2</f>
        <v>21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38900</v>
      </c>
      <c r="D4" s="78">
        <f>IF(Vendedor1!$E$5="",0,Vendedor1!$E$5)</f>
        <v>0</v>
      </c>
      <c r="E4" s="189">
        <f>IF(Vendedor1!$C$9="",0,Vendedor1!$C$9)</f>
        <v>8100</v>
      </c>
      <c r="F4" s="78">
        <f>IF(Vendedor1!$E$9="",0,Vendedor1!$E$9)</f>
        <v>500</v>
      </c>
      <c r="G4" s="189">
        <f>IF(Vendedor1!$C$13="",0,Vendedor1!$C$13)</f>
        <v>11100</v>
      </c>
      <c r="H4" s="78">
        <f>IF(Vendedor1!$E$13="",0,Vendedor1!$E$13)</f>
        <v>0</v>
      </c>
      <c r="I4" s="189">
        <f>IF(Vendedor1!$C$17="",0,Vendedor1!$C$17)</f>
        <v>2900</v>
      </c>
      <c r="J4" s="78">
        <f>IF(Vendedor1!$E$17="",0,Vendedor1!$E$17)</f>
        <v>0</v>
      </c>
      <c r="L4" s="42">
        <f t="shared" ref="L4:L7" si="0">C4+E4+G4+I4</f>
        <v>61000</v>
      </c>
      <c r="M4" s="41">
        <f>MROUND(L4*Vendedor1!J$10,50)</f>
        <v>7950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10550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11400</v>
      </c>
      <c r="D5" s="30">
        <f>IF(Vendedor2!$E$5="",0,Vendedor2!$E$5)</f>
        <v>0</v>
      </c>
      <c r="E5" s="180">
        <f>IF(Vendedor2!$C$9="",0,Vendedor2!$C$9)</f>
        <v>700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2000</v>
      </c>
      <c r="J5" s="30">
        <f>IF(Vendedor2!$E$17="",0,Vendedor2!$E$17)</f>
        <v>0</v>
      </c>
      <c r="L5" s="42">
        <f t="shared" si="0"/>
        <v>14100</v>
      </c>
      <c r="M5" s="41">
        <f>MROUND(L5*Vendedor2!J$10,50)</f>
        <v>1850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12250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34250</v>
      </c>
      <c r="D8" s="30">
        <f>IF(Vendedor5!$E$5="",0,Vendedor5!$E$5)</f>
        <v>0</v>
      </c>
      <c r="E8" s="180">
        <f>IF(Vendedor5!$C$9="",0,Vendedor5!$C$9)</f>
        <v>12100</v>
      </c>
      <c r="F8" s="30">
        <f>IF(Vendedor5!$E$9="",0,Vendedor5!$E$9)</f>
        <v>300</v>
      </c>
      <c r="G8" s="180">
        <f>IF(Vendedor5!$C$13="",0,Vendedor5!$C$13)</f>
        <v>9150</v>
      </c>
      <c r="H8" s="30">
        <f>IF(Vendedor5!$E$13="",0,Vendedor5!$E$13)</f>
        <v>0</v>
      </c>
      <c r="I8" s="180">
        <f>IF(Vendedor5!$C$17="",0,Vendedor5!$C$17)</f>
        <v>9400</v>
      </c>
      <c r="J8" s="30">
        <f>IF(Vendedor5!$E$17="",0,Vendedor5!$E$17)</f>
        <v>0</v>
      </c>
      <c r="L8" s="42">
        <f t="shared" ref="L8" si="4">C8+E8+G8+I8</f>
        <v>64900</v>
      </c>
      <c r="M8" s="41">
        <f>MROUND(L8*Vendedor5!J$12,50)</f>
        <v>7800</v>
      </c>
      <c r="N8" s="42">
        <f t="shared" ref="N8" si="5">D8+F8+H8+J8</f>
        <v>300</v>
      </c>
      <c r="O8" s="41">
        <f t="shared" si="3"/>
        <v>25500</v>
      </c>
      <c r="P8" s="42">
        <f>Vendedor5!$F$5+Vendedor5!$F$9+Vendedor5!$F$13+Vendedor5!$F$17</f>
        <v>24000</v>
      </c>
      <c r="Q8">
        <v>17</v>
      </c>
      <c r="R8" s="41">
        <f t="shared" ref="R8" si="6">+L8-M8-O8</f>
        <v>31600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66000</v>
      </c>
      <c r="D10" s="30">
        <f>IF(Vendedor7!$E$5="",0,Vendedor7!$E$5)</f>
        <v>350</v>
      </c>
      <c r="E10" s="180">
        <f>IF(Vendedor7!$C$9="",0,Vendedor7!$C$9)</f>
        <v>169850</v>
      </c>
      <c r="F10" s="30">
        <f>IF(Vendedor7!$E$9="",0,Vendedor7!$E$9)</f>
        <v>1900</v>
      </c>
      <c r="G10" s="180">
        <f>IF(Vendedor7!$C$13="",0,Vendedor7!$C$13)</f>
        <v>71550</v>
      </c>
      <c r="H10" s="30">
        <f>IF(Vendedor7!$E$13="",0,Vendedor7!$E$13)</f>
        <v>0</v>
      </c>
      <c r="I10" s="180">
        <f>IF(Vendedor7!$C$17="",0,Vendedor7!$C$17)</f>
        <v>147000</v>
      </c>
      <c r="J10" s="30">
        <f>IF(Vendedor7!$E$17="",0,Vendedor7!$E$17)</f>
        <v>3750</v>
      </c>
      <c r="L10" s="42">
        <f t="shared" si="7"/>
        <v>454400</v>
      </c>
      <c r="M10" s="41">
        <f>MROUND(L10*Vendedor7!J$15,50)</f>
        <v>54550</v>
      </c>
      <c r="N10" s="42">
        <f t="shared" ref="N10:N27" si="9">D10+F10+H10+J10</f>
        <v>6000</v>
      </c>
      <c r="O10" s="41">
        <f t="shared" si="3"/>
        <v>510000</v>
      </c>
      <c r="P10" s="42">
        <f>Vendedor7!$F$5+Vendedor7!$F$9+Vendedor7!$F$13+Vendedor7!$F$17</f>
        <v>510000</v>
      </c>
      <c r="R10" s="41">
        <f t="shared" si="8"/>
        <v>-110150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27450</v>
      </c>
      <c r="D12" s="30">
        <f>IF(Vendedor9!$E$5="",0,Vendedor9!$E$5)</f>
        <v>0</v>
      </c>
      <c r="E12" s="180">
        <f>IF(Vendedor9!$C$9="",0,Vendedor9!$C$9)</f>
        <v>11950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39400</v>
      </c>
      <c r="M12" s="41">
        <f>MROUND(L12*Vendedor9!J$12,50)</f>
        <v>4750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34650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19250</v>
      </c>
      <c r="D13" s="30">
        <f>IF(Vendedor10!$E$5="",0,Vendedor10!$E$5)</f>
        <v>0</v>
      </c>
      <c r="E13" s="180">
        <f>IF(Vendedor10!$C$9="",0,Vendedor10!$C$9)</f>
        <v>15600</v>
      </c>
      <c r="F13" s="30">
        <f>IF(Vendedor10!$E$9="",0,Vendedor10!$E$9)</f>
        <v>0</v>
      </c>
      <c r="G13" s="180">
        <f>IF(Vendedor10!$C$13="",0,Vendedor10!$C$13)</f>
        <v>5000</v>
      </c>
      <c r="H13" s="30">
        <f>IF(Vendedor10!$E$13="",0,Vendedor10!$E$13)</f>
        <v>0</v>
      </c>
      <c r="I13" s="180">
        <f>IF(Vendedor10!$C$17="",0,Vendedor10!$C$17)</f>
        <v>1000</v>
      </c>
      <c r="J13" s="30">
        <f>IF(Vendedor10!$E$17="",0,Vendedor10!$E$17)</f>
        <v>0</v>
      </c>
      <c r="L13" s="42">
        <f t="shared" si="7"/>
        <v>40850</v>
      </c>
      <c r="M13" s="41">
        <f>MROUND(L13*Vendedor10!J$10,50)</f>
        <v>4900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35950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6850</v>
      </c>
      <c r="D16" s="30">
        <f>IF(Vendedor13!$E$5="",0,Vendedor13!$E$5)</f>
        <v>0</v>
      </c>
      <c r="E16" s="180">
        <f>IF(Vendedor13!$C$9="",0,Vendedor13!$C$9)</f>
        <v>5200</v>
      </c>
      <c r="F16" s="30">
        <f>IF(Vendedor13!$E$9="",0,Vendedor13!$E$9)</f>
        <v>0</v>
      </c>
      <c r="G16" s="180">
        <f>IF(Vendedor13!$C$13="",0,Vendedor13!$C$13)</f>
        <v>6000</v>
      </c>
      <c r="H16" s="30">
        <f>IF(Vendedor13!$E$13="",0,Vendedor13!$E$13)</f>
        <v>0</v>
      </c>
      <c r="I16" s="180">
        <f>IF(Vendedor13!$C$17="",0,Vendedor13!$C$17)</f>
        <v>10950</v>
      </c>
      <c r="J16" s="30">
        <f>IF(Vendedor13!$E$17="",0,Vendedor13!$E$17)</f>
        <v>1000</v>
      </c>
      <c r="L16" s="42">
        <f t="shared" si="7"/>
        <v>29000</v>
      </c>
      <c r="M16" s="41">
        <f>MROUND(L16*Vendedor13!J$12,50)</f>
        <v>3500</v>
      </c>
      <c r="N16" s="42">
        <f t="shared" si="9"/>
        <v>1000</v>
      </c>
      <c r="O16" s="41">
        <f t="shared" si="3"/>
        <v>85000</v>
      </c>
      <c r="P16" s="42">
        <f>Vendedor13!$F$5+Vendedor13!$F$9+Vendedor13!$F$13+Vendedor13!$F$17</f>
        <v>80000</v>
      </c>
      <c r="R16" s="41">
        <f t="shared" si="8"/>
        <v>-59500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103650</v>
      </c>
      <c r="D17" s="30">
        <f>IF(Vendedor14!$E$5="",0,Vendedor14!$E$5)</f>
        <v>700</v>
      </c>
      <c r="E17" s="180">
        <f>IF(Vendedor14!$C$9="",0,Vendedor14!$C$9)</f>
        <v>50700</v>
      </c>
      <c r="F17" s="30">
        <f>IF(Vendedor14!$E$9="",0,Vendedor14!$E$9)</f>
        <v>50</v>
      </c>
      <c r="G17" s="180">
        <f>IF(Vendedor14!$C$13="",0,Vendedor14!$C$13)</f>
        <v>40800</v>
      </c>
      <c r="H17" s="30">
        <f>IF(Vendedor14!$E$13="",0,Vendedor14!$E$13)</f>
        <v>0</v>
      </c>
      <c r="I17" s="180">
        <f>IF(Vendedor14!$C$17="",0,Vendedor14!$C$17)</f>
        <v>141550</v>
      </c>
      <c r="J17" s="30">
        <f>IF(Vendedor14!$E$17="",0,Vendedor14!$E$17)</f>
        <v>3000</v>
      </c>
      <c r="L17" s="42">
        <f>C17+E17+G17+I17</f>
        <v>336700</v>
      </c>
      <c r="M17" s="41">
        <f>MROUND(L17*Vendedor14!J$16,50)</f>
        <v>40400</v>
      </c>
      <c r="N17" s="42">
        <f t="shared" si="9"/>
        <v>3750</v>
      </c>
      <c r="O17" s="41">
        <f t="shared" si="3"/>
        <v>318750</v>
      </c>
      <c r="P17" s="42">
        <f>Vendedor14!$F$5+Vendedor14!$F$9+Vendedor14!$F$13+Vendedor14!$F$17</f>
        <v>318750</v>
      </c>
      <c r="R17" s="41">
        <f t="shared" si="8"/>
        <v>-22450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93000</v>
      </c>
      <c r="D18" s="30">
        <f>IF(Vendedor15!$E$5="",0,Vendedor15!$E$5)</f>
        <v>0</v>
      </c>
      <c r="E18" s="180">
        <f>IF(Vendedor15!$C$9="",0,Vendedor15!$C$9)</f>
        <v>73850</v>
      </c>
      <c r="F18" s="30">
        <f>IF(Vendedor15!$E$9="",0,Vendedor15!$E$9)</f>
        <v>400</v>
      </c>
      <c r="G18" s="180">
        <f>IF(Vendedor15!$C$13="",0,Vendedor15!$C$13)</f>
        <v>72150</v>
      </c>
      <c r="H18" s="30">
        <f>IF(Vendedor15!$E$13="",0,Vendedor15!$E$13)</f>
        <v>0</v>
      </c>
      <c r="I18" s="180">
        <f>IF(Vendedor15!$C$17="",0,Vendedor15!$C$17)</f>
        <v>16500</v>
      </c>
      <c r="J18" s="30">
        <f>IF(Vendedor15!$E$17="",0,Vendedor15!$E$17)</f>
        <v>900</v>
      </c>
      <c r="L18" s="42">
        <f t="shared" ref="L18:L27" si="10">C18+E18+G18+I18</f>
        <v>255500</v>
      </c>
      <c r="M18" s="41">
        <f>MROUND(L18*Vendedor15!J$16,50)</f>
        <v>30650</v>
      </c>
      <c r="N18" s="42">
        <f t="shared" si="9"/>
        <v>1300</v>
      </c>
      <c r="O18" s="41">
        <f t="shared" si="3"/>
        <v>110500</v>
      </c>
      <c r="P18" s="42">
        <f>Vendedor15!$F$5+Vendedor15!$F$9+Vendedor15!$F$13+Vendedor15!$F$17</f>
        <v>110500</v>
      </c>
      <c r="R18" s="41">
        <f t="shared" si="8"/>
        <v>114350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400750</v>
      </c>
      <c r="D32" s="44">
        <f t="shared" si="14"/>
        <v>1050</v>
      </c>
      <c r="E32" s="43">
        <f t="shared" si="14"/>
        <v>348050</v>
      </c>
      <c r="F32" s="44">
        <f t="shared" si="14"/>
        <v>3150</v>
      </c>
      <c r="G32" s="43">
        <f t="shared" si="14"/>
        <v>215750</v>
      </c>
      <c r="H32" s="44">
        <f t="shared" si="14"/>
        <v>0</v>
      </c>
      <c r="I32" s="43">
        <f t="shared" si="14"/>
        <v>331300</v>
      </c>
      <c r="J32" s="44">
        <f t="shared" si="14"/>
        <v>8650</v>
      </c>
      <c r="L32" s="45">
        <f>SUM(L4:L31)</f>
        <v>1295850</v>
      </c>
      <c r="M32" s="45">
        <f>SUM(M7:M31)</f>
        <v>146550</v>
      </c>
      <c r="N32" s="95">
        <f>SUM(N4:N31)</f>
        <v>12850</v>
      </c>
      <c r="O32" s="46">
        <f>SUM(O4:O31)</f>
        <v>1092250</v>
      </c>
      <c r="P32" s="140">
        <f>SUM(P4:P31)</f>
        <v>1083250</v>
      </c>
      <c r="R32" s="79">
        <f>SUM(R4:R31)</f>
        <v>47250</v>
      </c>
    </row>
    <row r="33" spans="3:15" x14ac:dyDescent="0.35">
      <c r="D33" s="120">
        <f>+D32*85</f>
        <v>89250</v>
      </c>
      <c r="F33" s="120">
        <f>+F32*85</f>
        <v>267750</v>
      </c>
      <c r="H33" s="120">
        <f>+H32*85</f>
        <v>0</v>
      </c>
      <c r="J33" s="120">
        <f>+J32*85</f>
        <v>735250</v>
      </c>
    </row>
    <row r="34" spans="3:15" ht="15" thickBot="1" x14ac:dyDescent="0.4"/>
    <row r="35" spans="3:15" x14ac:dyDescent="0.35">
      <c r="C35" s="267" t="s">
        <v>89</v>
      </c>
      <c r="D35" s="267"/>
      <c r="N35" s="149"/>
      <c r="O35" s="43"/>
    </row>
    <row r="36" spans="3:15" x14ac:dyDescent="0.35">
      <c r="C36" s="47" t="s">
        <v>28</v>
      </c>
      <c r="D36" s="30">
        <f>+C32+E32+G32+I32</f>
        <v>1295850</v>
      </c>
      <c r="E36" s="43">
        <f>+D36-L4-L5-L6</f>
        <v>1220750</v>
      </c>
    </row>
    <row r="37" spans="3:15" x14ac:dyDescent="0.35">
      <c r="C37" s="47" t="s">
        <v>33</v>
      </c>
      <c r="D37" s="48">
        <f>D36*13%</f>
        <v>168460.5</v>
      </c>
      <c r="E37">
        <f>+D37-M4-M5-M6</f>
        <v>158660.5</v>
      </c>
    </row>
    <row r="38" spans="3:15" x14ac:dyDescent="0.35">
      <c r="C38" s="47" t="s">
        <v>30</v>
      </c>
      <c r="D38" s="30">
        <f>SUM(O4:O27)</f>
        <v>1092250</v>
      </c>
      <c r="G38" s="100"/>
    </row>
    <row r="39" spans="3:15" ht="15" thickBot="1" x14ac:dyDescent="0.4">
      <c r="C39" s="49" t="s">
        <v>4</v>
      </c>
      <c r="D39" s="80">
        <f>+D36-D37-D38</f>
        <v>35139.5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35139.5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39 Blanca</v>
      </c>
      <c r="D2" s="269"/>
      <c r="E2" s="268" t="str">
        <f>IF(E33=0,"",CONCATENATE(PREMIOS!$B11," ",PREMIOS!$B12))</f>
        <v>36 Blanca</v>
      </c>
      <c r="F2" s="269"/>
      <c r="G2" s="268" t="str">
        <f>IF(G33=0,"",CONCATENATE(PREMIOS!$B15," ",PREMIOS!$B16))</f>
        <v>05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22450</v>
      </c>
      <c r="D10" s="30">
        <f>IF(Vendedor7!$E$8="",0,Vendedor7!$E$8)</f>
        <v>300</v>
      </c>
      <c r="E10" s="180">
        <f>IF(Vendedor7!$C$12="",0,Vendedor7!$C$12)</f>
        <v>36700</v>
      </c>
      <c r="F10" s="30">
        <f>IF(Vendedor7!$E$12="",0,Vendedor7!$E$12)</f>
        <v>1900</v>
      </c>
      <c r="G10" s="180">
        <f>IF(Vendedor7!$C$16="",0,Vendedor7!$C$16)</f>
        <v>40650</v>
      </c>
      <c r="H10" s="30">
        <f>IF(Vendedor7!$E$16="",0,Vendedor7!$E$16)</f>
        <v>0</v>
      </c>
      <c r="J10" s="42">
        <f t="shared" si="1"/>
        <v>99800</v>
      </c>
      <c r="K10" s="41">
        <f>J10*Vendedor7!J$16</f>
        <v>9980</v>
      </c>
      <c r="L10" s="42">
        <f t="shared" si="2"/>
        <v>0</v>
      </c>
      <c r="M10" s="42">
        <f t="shared" si="3"/>
        <v>2200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89820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500</v>
      </c>
      <c r="D12" s="30">
        <f>IF(Vendedor9!$E$8="",0,Vendedor9!$E$8)</f>
        <v>0</v>
      </c>
      <c r="E12" s="180">
        <f>IF(Vendedor9!$C$12="",0,Vendedor9!$C$12)</f>
        <v>1500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2000</v>
      </c>
      <c r="K12" s="41">
        <f>J12*Vendedor9!J$13</f>
        <v>200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1800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8000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7000</v>
      </c>
      <c r="H16" s="30">
        <f>IF(Vendedor13!$E$16="",0,Vendedor13!$E$16)</f>
        <v>0</v>
      </c>
      <c r="J16" s="42">
        <f t="shared" si="1"/>
        <v>15000</v>
      </c>
      <c r="K16" s="41">
        <f>J16*Vendedor13!J$13</f>
        <v>1500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13500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23500</v>
      </c>
      <c r="D17" s="30">
        <f>IF(Vendedor14!$E$8="",0,Vendedor14!$E$8)</f>
        <v>0</v>
      </c>
      <c r="E17" s="180">
        <f>IF(Vendedor14!$C$12="",0,Vendedor14!$C$12)</f>
        <v>12300</v>
      </c>
      <c r="F17" s="30">
        <f>IF(Vendedor14!$E$12="",0,Vendedor14!$E$12)</f>
        <v>0</v>
      </c>
      <c r="G17" s="180">
        <f>IF(Vendedor14!$C$16="",0,Vendedor14!$C$16)</f>
        <v>15650</v>
      </c>
      <c r="H17" s="30">
        <f>IF(Vendedor14!$E$16="",0,Vendedor14!$E$16)</f>
        <v>1300</v>
      </c>
      <c r="J17" s="42">
        <f t="shared" si="1"/>
        <v>51450</v>
      </c>
      <c r="K17" s="41">
        <f>J17*Vendedor14!J$17</f>
        <v>5145</v>
      </c>
      <c r="L17" s="42">
        <f t="shared" si="2"/>
        <v>0</v>
      </c>
      <c r="M17" s="42">
        <f t="shared" si="3"/>
        <v>1300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46305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29100</v>
      </c>
      <c r="D18" s="30">
        <f>IF(Vendedor15!$E$8="",0,Vendedor15!$E$8)</f>
        <v>200</v>
      </c>
      <c r="E18" s="180">
        <f>IF(Vendedor15!$C$12="",0,Vendedor15!$C$12)</f>
        <v>25400</v>
      </c>
      <c r="F18" s="30">
        <f>IF(Vendedor15!$E$12="",0,Vendedor15!$E$12)</f>
        <v>200</v>
      </c>
      <c r="G18" s="180">
        <f>IF(Vendedor15!$C$16="",0,Vendedor15!$C$16)</f>
        <v>24900</v>
      </c>
      <c r="H18" s="30">
        <f>IF(Vendedor15!$E$16="",0,Vendedor15!$E$16)</f>
        <v>100</v>
      </c>
      <c r="J18" s="42">
        <f t="shared" ref="J18" si="5">+C18+E18+G18</f>
        <v>79400</v>
      </c>
      <c r="K18" s="41">
        <f>J18*Vendedor15!J$17</f>
        <v>7940</v>
      </c>
      <c r="L18" s="42">
        <f t="shared" si="2"/>
        <v>0</v>
      </c>
      <c r="M18" s="42">
        <f t="shared" si="3"/>
        <v>500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71460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83550</v>
      </c>
      <c r="D33" s="44">
        <f>IF(PREMIOS!E8&lt;&gt;0,SUM(D4:D32),0)</f>
        <v>0</v>
      </c>
      <c r="E33" s="43">
        <f>SUM(E4:E32)</f>
        <v>75900</v>
      </c>
      <c r="F33" s="44">
        <f>IF(PREMIOS!E12&lt;&gt;0,SUM(F4:F32),0)</f>
        <v>0</v>
      </c>
      <c r="G33" s="43">
        <f>SUM(G4:G32)</f>
        <v>88200</v>
      </c>
      <c r="H33" s="44">
        <f>IF(PREMIOS!E16&lt;&gt;0,SUM(H4:H32),0)</f>
        <v>0</v>
      </c>
      <c r="J33" s="45">
        <f>SUM(J4:J32)</f>
        <v>247650</v>
      </c>
      <c r="K33" s="45">
        <f>SUM(K7:K32)</f>
        <v>24765</v>
      </c>
      <c r="L33" s="95">
        <f>SUM(L7:L32)</f>
        <v>0</v>
      </c>
      <c r="M33" s="95">
        <f>SUM(M7:M32)</f>
        <v>4000</v>
      </c>
      <c r="N33" s="95">
        <f>SUM(N4:N27)</f>
        <v>0</v>
      </c>
      <c r="O33" s="95">
        <f>SUM(O4:O27)</f>
        <v>0</v>
      </c>
      <c r="Q33" s="79">
        <f>SUM(Q4:Q32)</f>
        <v>222885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247650</v>
      </c>
      <c r="E37" s="43">
        <f>+D37-J4-J5-J6</f>
        <v>247650</v>
      </c>
      <c r="F37" s="276"/>
      <c r="G37" s="276"/>
    </row>
    <row r="38" spans="3:17" ht="15" thickBot="1" x14ac:dyDescent="0.4">
      <c r="C38" s="47" t="s">
        <v>33</v>
      </c>
      <c r="D38" s="30">
        <f>D37*10%</f>
        <v>24765</v>
      </c>
      <c r="E38" s="43">
        <f>+D38-K4-K5-K6</f>
        <v>24765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222885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222885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90</v>
      </c>
      <c r="D2" s="269"/>
      <c r="E2" s="268">
        <f>DigitaPRIMERA!E2</f>
        <v>88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3400</v>
      </c>
      <c r="D4" s="78">
        <f>IF(Vendedor1!$E$19="",0,Vendedor1!$E$19)</f>
        <v>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4400</v>
      </c>
      <c r="I4" s="41">
        <f>MROUND(H4*Vendedor1!J$9,50)</f>
        <v>550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3850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8900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8900</v>
      </c>
      <c r="I5" s="41">
        <f>MROUND(H5*Vendedor2!J$9,50)</f>
        <v>1150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7750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17050</v>
      </c>
      <c r="D8" s="30">
        <f>IF(Vendedor5!$E$19="",0,Vendedor5!$E$19)</f>
        <v>200</v>
      </c>
      <c r="E8" s="180">
        <f>IF(Vendedor5!$C$20="",0,Vendedor5!$C$20)</f>
        <v>5700</v>
      </c>
      <c r="F8" s="30">
        <f>IF(Vendedor5!$E$20="",0,Vendedor5!$E$20)</f>
        <v>0</v>
      </c>
      <c r="H8" s="133">
        <f t="shared" si="1"/>
        <v>22750</v>
      </c>
      <c r="I8" s="148">
        <f>MROUND(H8*Vendedor5!J$11,50)</f>
        <v>2750</v>
      </c>
      <c r="J8" s="133">
        <f t="shared" si="2"/>
        <v>200</v>
      </c>
      <c r="K8" s="133">
        <f t="shared" si="3"/>
        <v>17000</v>
      </c>
      <c r="L8" s="133">
        <f>Vendedor5!$F$19+Vendedor5!$F$20</f>
        <v>16000</v>
      </c>
      <c r="M8" s="155"/>
      <c r="N8" s="133">
        <f t="shared" si="0"/>
        <v>4000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24000</v>
      </c>
      <c r="D10" s="30">
        <f>IF(Vendedor7!$E$19="",0,Vendedor7!$E$19)</f>
        <v>0</v>
      </c>
      <c r="E10" s="180">
        <f>IF(Vendedor7!$C$20="",0,Vendedor7!$C$20)</f>
        <v>36550</v>
      </c>
      <c r="F10" s="30">
        <f>IF(Vendedor7!$E$20="",0,Vendedor7!$E$20)</f>
        <v>250</v>
      </c>
      <c r="H10" s="42">
        <f t="shared" si="1"/>
        <v>60550</v>
      </c>
      <c r="I10" s="41">
        <f>MROUND(H10*Vendedor7!J$14,50)</f>
        <v>7250</v>
      </c>
      <c r="J10" s="42">
        <f t="shared" si="2"/>
        <v>250</v>
      </c>
      <c r="K10" s="42">
        <f t="shared" si="3"/>
        <v>21250</v>
      </c>
      <c r="L10" s="42">
        <f>Vendedor7!$F$19+Vendedor7!$F$20</f>
        <v>21250</v>
      </c>
      <c r="N10" s="42">
        <f t="shared" si="0"/>
        <v>32050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22050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22050</v>
      </c>
      <c r="I12" s="148">
        <f>MROUND(H12*Vendedor9!J$11,50)</f>
        <v>2650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-1850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3600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3600</v>
      </c>
      <c r="I16" s="148">
        <f>MROUND(H16*Vendedor13!J$11,50)</f>
        <v>450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3150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64850</v>
      </c>
      <c r="D17" s="30">
        <f>IF(Vendedor14!$E$19="",0,Vendedor14!$E$19)</f>
        <v>800</v>
      </c>
      <c r="E17" s="180">
        <f>IF(Vendedor14!$C$20="",0,Vendedor14!$C$20)</f>
        <v>20600</v>
      </c>
      <c r="F17" s="30">
        <f>IF(Vendedor14!$E$20="",0,Vendedor14!$E$20)</f>
        <v>0</v>
      </c>
      <c r="H17" s="42">
        <f t="shared" si="1"/>
        <v>85450</v>
      </c>
      <c r="I17" s="41">
        <f>MROUND(H17*Vendedor14!J$15,50)</f>
        <v>10250</v>
      </c>
      <c r="J17" s="42">
        <f t="shared" si="2"/>
        <v>800</v>
      </c>
      <c r="K17" s="42">
        <f t="shared" si="3"/>
        <v>68000</v>
      </c>
      <c r="L17" s="42">
        <f>Vendedor14!$F$19+Vendedor14!$F$20</f>
        <v>68000</v>
      </c>
      <c r="N17" s="42">
        <f t="shared" si="0"/>
        <v>7200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80600</v>
      </c>
      <c r="D18" s="30">
        <f>IF(Vendedor15!$E$19="",0,Vendedor15!$E$19)</f>
        <v>1400</v>
      </c>
      <c r="E18" s="180">
        <f>IF(Vendedor15!$C$20="",0,Vendedor15!$C$20)</f>
        <v>63700</v>
      </c>
      <c r="F18" s="30">
        <f>IF(Vendedor15!$E$20="",0,Vendedor15!$E$20)</f>
        <v>800</v>
      </c>
      <c r="H18" s="42">
        <f t="shared" si="1"/>
        <v>144300</v>
      </c>
      <c r="I18" s="41">
        <f>MROUND(H18*Vendedor15!J$15,50)</f>
        <v>17300</v>
      </c>
      <c r="J18" s="42">
        <f t="shared" si="2"/>
        <v>2200</v>
      </c>
      <c r="K18" s="42">
        <f t="shared" si="3"/>
        <v>187000</v>
      </c>
      <c r="L18" s="42">
        <f>Vendedor15!$F$19+Vendedor15!$F$20</f>
        <v>187000</v>
      </c>
      <c r="N18" s="42">
        <f t="shared" si="0"/>
        <v>-60000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224450</v>
      </c>
      <c r="D32" s="44">
        <f>SUM(D4:D31)</f>
        <v>2650</v>
      </c>
      <c r="E32" s="43">
        <f>SUM(E4:E31)</f>
        <v>127550</v>
      </c>
      <c r="F32" s="44">
        <f>SUM(F4:F31)</f>
        <v>1050</v>
      </c>
      <c r="H32" s="95">
        <f>SUM(H4:H31)</f>
        <v>352000</v>
      </c>
      <c r="I32" s="45">
        <f>SUM(I7:I31)</f>
        <v>40650</v>
      </c>
      <c r="J32" s="95"/>
      <c r="K32" s="95">
        <f>SUM(K4:K31)</f>
        <v>314500</v>
      </c>
      <c r="L32" s="95">
        <f>SUM(L4:L31)</f>
        <v>313500</v>
      </c>
      <c r="N32" s="79">
        <f>SUM(N4:N31)</f>
        <v>-3850</v>
      </c>
    </row>
    <row r="33" spans="3:6" x14ac:dyDescent="0.35">
      <c r="D33" s="99">
        <f>+D32*85</f>
        <v>225250</v>
      </c>
      <c r="F33" s="99">
        <f>+F32*85</f>
        <v>89250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352000</v>
      </c>
      <c r="E36" s="43">
        <f>+D36-H4-H5-H6</f>
        <v>338700</v>
      </c>
    </row>
    <row r="37" spans="3:6" x14ac:dyDescent="0.35">
      <c r="C37" s="47" t="s">
        <v>33</v>
      </c>
      <c r="D37" s="48">
        <f>D36*13%</f>
        <v>45760</v>
      </c>
      <c r="E37">
        <f>+D37-I4-I5-I6</f>
        <v>44060</v>
      </c>
    </row>
    <row r="38" spans="3:6" ht="15" thickBot="1" x14ac:dyDescent="0.4">
      <c r="C38" s="47" t="s">
        <v>30</v>
      </c>
      <c r="D38" s="30">
        <f>SUM(K4:K27)</f>
        <v>314500</v>
      </c>
    </row>
    <row r="39" spans="3:6" ht="15" thickBot="1" x14ac:dyDescent="0.4">
      <c r="C39" s="49" t="s">
        <v>4</v>
      </c>
      <c r="D39" s="80">
        <f>+D36-D37-D38</f>
        <v>-8260</v>
      </c>
      <c r="F39" s="98">
        <f>+N32-D39</f>
        <v>4410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-8260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63</v>
      </c>
      <c r="D2" s="269"/>
      <c r="E2" s="268">
        <f>DigitaHONDURAS!E2</f>
        <v>68</v>
      </c>
      <c r="F2" s="269"/>
      <c r="G2" s="268">
        <f>DigitaHONDURAS!G2</f>
        <v>89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22650</v>
      </c>
      <c r="D10" s="30">
        <f>IF(Vendedor7!$E$21="",0,Vendedor7!$E$21)</f>
        <v>0</v>
      </c>
      <c r="E10" s="180">
        <f>IF(Vendedor7!$C$22="",0,Vendedor7!$C$22)</f>
        <v>12600</v>
      </c>
      <c r="F10" s="30">
        <f>IF(Vendedor7!$E$22="",0,Vendedor7!$E$22)</f>
        <v>0</v>
      </c>
      <c r="G10" s="180">
        <f>IF(Vendedor7!$C$23="",0,Vendedor7!$C$23)</f>
        <v>11500</v>
      </c>
      <c r="H10" s="30">
        <f>IF(Vendedor7!$E$23="",0,Vendedor7!$E$23)</f>
        <v>0</v>
      </c>
      <c r="J10" s="42">
        <f t="shared" si="0"/>
        <v>46750</v>
      </c>
      <c r="K10" s="41">
        <f>MROUND(J10*Vendedor7!J$14,50)</f>
        <v>5600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41150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48900</v>
      </c>
      <c r="D17" s="30">
        <f>IF(Vendedor14!$E$21="",0,Vendedor14!$E$21)</f>
        <v>0</v>
      </c>
      <c r="E17" s="180">
        <f>IF(Vendedor14!$C$22="",0,Vendedor14!$C$22)</f>
        <v>5200</v>
      </c>
      <c r="F17" s="30">
        <f>IF(Vendedor14!$E$22="",0,Vendedor14!$E$22)</f>
        <v>0</v>
      </c>
      <c r="G17" s="180">
        <f>IF(Vendedor14!$C$23="",0,Vendedor14!$C$23)</f>
        <v>17550</v>
      </c>
      <c r="H17" s="30">
        <f>IF(Vendedor14!$E$23="",0,Vendedor14!$E$23)</f>
        <v>100</v>
      </c>
      <c r="J17" s="42">
        <f t="shared" si="0"/>
        <v>71650</v>
      </c>
      <c r="K17" s="41">
        <f>MROUND(J17*Vendedor14!J$15,50)</f>
        <v>8600</v>
      </c>
      <c r="L17" s="42">
        <f t="shared" si="1"/>
        <v>100</v>
      </c>
      <c r="M17" s="42">
        <f t="shared" si="3"/>
        <v>8500</v>
      </c>
      <c r="N17" s="42">
        <f>Vendedor14!$F$21+Vendedor14!$F$22+Vendedor14!$F$23</f>
        <v>8500</v>
      </c>
      <c r="P17" s="42">
        <f t="shared" si="2"/>
        <v>54550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29000</v>
      </c>
      <c r="D18" s="30">
        <f>IF(Vendedor15!$E$21="",0,Vendedor15!$E$21)</f>
        <v>100</v>
      </c>
      <c r="E18" s="180">
        <f>IF(Vendedor15!$C$22="",0,Vendedor15!$C$22)</f>
        <v>15250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44250</v>
      </c>
      <c r="K18" s="41">
        <f>MROUND(J18*Vendedor15!J$15,50)</f>
        <v>5300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30450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100550</v>
      </c>
      <c r="D32" s="44">
        <f t="shared" si="8"/>
        <v>100</v>
      </c>
      <c r="E32" s="43">
        <f t="shared" si="8"/>
        <v>33050</v>
      </c>
      <c r="F32" s="44">
        <f t="shared" si="8"/>
        <v>0</v>
      </c>
      <c r="G32" s="43">
        <f t="shared" si="8"/>
        <v>29050</v>
      </c>
      <c r="H32" s="44">
        <f t="shared" si="8"/>
        <v>100</v>
      </c>
      <c r="J32" s="95">
        <f>SUM(J4:J31)</f>
        <v>162650</v>
      </c>
      <c r="K32" s="45">
        <f>SUM(K7:K31)</f>
        <v>19500</v>
      </c>
      <c r="L32" s="95"/>
      <c r="M32" s="95">
        <f>SUM(M4:M31)</f>
        <v>17000</v>
      </c>
      <c r="N32" s="95">
        <f>SUM(N4:N31)</f>
        <v>17000</v>
      </c>
      <c r="P32" s="79">
        <f>SUM(P4:P31)</f>
        <v>126150</v>
      </c>
    </row>
    <row r="33" spans="3:8" x14ac:dyDescent="0.35">
      <c r="D33" s="99">
        <f>+D32*85</f>
        <v>8500</v>
      </c>
      <c r="F33" s="99">
        <f>+F32*85</f>
        <v>0</v>
      </c>
      <c r="H33" s="99">
        <f>+H32*85</f>
        <v>8500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162650</v>
      </c>
      <c r="E36" s="43">
        <f>+D36-J4-J5-J6</f>
        <v>162650</v>
      </c>
    </row>
    <row r="37" spans="3:8" x14ac:dyDescent="0.35">
      <c r="C37" s="47" t="s">
        <v>33</v>
      </c>
      <c r="D37" s="48">
        <f>D36*13%</f>
        <v>21144.5</v>
      </c>
      <c r="E37">
        <f>+D37-K4-K5-K6</f>
        <v>21144.5</v>
      </c>
    </row>
    <row r="38" spans="3:8" ht="15" thickBot="1" x14ac:dyDescent="0.4">
      <c r="C38" s="47" t="s">
        <v>30</v>
      </c>
      <c r="D38" s="30">
        <f>SUM(M4:M27)</f>
        <v>17000</v>
      </c>
      <c r="G38" s="100"/>
    </row>
    <row r="39" spans="3:8" ht="15" thickBot="1" x14ac:dyDescent="0.4">
      <c r="C39" s="49" t="s">
        <v>4</v>
      </c>
      <c r="D39" s="80">
        <f>+D36-D37-D38</f>
        <v>124505.5</v>
      </c>
      <c r="F39" s="98">
        <f>+P32-D39</f>
        <v>1644.5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124505.5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45</v>
      </c>
      <c r="D2" s="269"/>
      <c r="E2" s="268">
        <f>DigitaDOMINICANA!E2</f>
        <v>12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30000</v>
      </c>
      <c r="D10" s="30">
        <f>IF(Vendedor7!$E$24="",0,Vendedor7!$E$24)</f>
        <v>0</v>
      </c>
      <c r="E10" s="180">
        <f>IF(Vendedor7!$C$25="",0,Vendedor7!$C$25)</f>
        <v>31000</v>
      </c>
      <c r="F10" s="30">
        <f>IF(Vendedor7!$E$25="",0,Vendedor7!$E$25)</f>
        <v>0</v>
      </c>
      <c r="H10" s="42">
        <f t="shared" si="1"/>
        <v>61000</v>
      </c>
      <c r="I10" s="41">
        <f>MROUND(H10*Vendedor7!J$14,50)</f>
        <v>7300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53700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30000</v>
      </c>
      <c r="D32" s="44">
        <f>SUM(D4:D31)</f>
        <v>0</v>
      </c>
      <c r="E32" s="43">
        <f>SUM(E4:E31)</f>
        <v>31000</v>
      </c>
      <c r="F32" s="44">
        <f>SUM(F4:F31)</f>
        <v>0</v>
      </c>
      <c r="H32" s="95">
        <f>SUM(H4:H31)</f>
        <v>61000</v>
      </c>
      <c r="I32" s="45">
        <f>SUM(I7:I31)</f>
        <v>7300</v>
      </c>
      <c r="J32" s="95"/>
      <c r="K32" s="95">
        <f>SUM(K4:K31)</f>
        <v>0</v>
      </c>
      <c r="L32" s="95">
        <f>SUM(L4:L31)</f>
        <v>0</v>
      </c>
      <c r="N32" s="79">
        <f>SUM(N4:N31)</f>
        <v>53700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61000</v>
      </c>
      <c r="E36" s="43">
        <f>+D36-H4-H5-H6</f>
        <v>61000</v>
      </c>
    </row>
    <row r="37" spans="3:6" x14ac:dyDescent="0.35">
      <c r="C37" s="47" t="s">
        <v>33</v>
      </c>
      <c r="D37" s="48">
        <f>D36*13%</f>
        <v>7930</v>
      </c>
      <c r="E37">
        <f>+D37-I4-I5-I6</f>
        <v>7930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53070</v>
      </c>
      <c r="F39" s="98">
        <f>+N32-D39</f>
        <v>630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53070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2" t="s">
        <v>109</v>
      </c>
      <c r="D1" s="273"/>
    </row>
    <row r="2" spans="1:12" x14ac:dyDescent="0.35">
      <c r="C2" s="268" t="str">
        <f>DigitaPANAMENA!C2</f>
        <v>03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05-06-2026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1220750</v>
      </c>
      <c r="C4" s="157">
        <f>HojaNICA!M32</f>
        <v>146550</v>
      </c>
      <c r="D4" s="150">
        <f>HojaNICA!E37</f>
        <v>158660.5</v>
      </c>
      <c r="E4" s="150">
        <f>HojaNICA!P32</f>
        <v>1083250</v>
      </c>
      <c r="F4" s="150">
        <f>HojaNICA!O32</f>
        <v>1092250</v>
      </c>
      <c r="G4" s="151">
        <f t="shared" ref="G4:G10" si="0">+D4-C4+F4-E4</f>
        <v>21110.5</v>
      </c>
      <c r="H4" s="21"/>
      <c r="I4" s="182"/>
    </row>
    <row r="5" spans="1:9" x14ac:dyDescent="0.35">
      <c r="A5" s="28" t="s">
        <v>19</v>
      </c>
      <c r="B5" s="156">
        <f>HojaTICA!$E$36</f>
        <v>1704350</v>
      </c>
      <c r="C5" s="157">
        <f>HojaTICA!K32</f>
        <v>208250</v>
      </c>
      <c r="D5" s="150">
        <f>HojaTICA!E37</f>
        <v>221553.5</v>
      </c>
      <c r="E5" s="150">
        <f>HojaTICA!N32</f>
        <v>2924000</v>
      </c>
      <c r="F5" s="150">
        <f>HojaTICA!D38</f>
        <v>2928250</v>
      </c>
      <c r="G5" s="151">
        <f t="shared" si="0"/>
        <v>17553.5</v>
      </c>
      <c r="H5" s="21"/>
      <c r="I5" s="182"/>
    </row>
    <row r="6" spans="1:9" x14ac:dyDescent="0.35">
      <c r="A6" s="28" t="s">
        <v>125</v>
      </c>
      <c r="B6" s="156">
        <f>HojaREVENTADO!$E$37</f>
        <v>247650</v>
      </c>
      <c r="C6" s="157">
        <f>HojaREVENTADO!K33</f>
        <v>24765</v>
      </c>
      <c r="D6" s="150">
        <f>HojaREVENTADO!E38</f>
        <v>24765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338700</v>
      </c>
      <c r="C7" s="157">
        <f>HojaPrimera!I32</f>
        <v>40650</v>
      </c>
      <c r="D7" s="150">
        <f>HojaPrimera!E37</f>
        <v>44060</v>
      </c>
      <c r="E7" s="150">
        <f>HojaPrimera!L32</f>
        <v>313500</v>
      </c>
      <c r="F7" s="150">
        <f>HojaPrimera!K32</f>
        <v>314500</v>
      </c>
      <c r="G7" s="151">
        <f t="shared" si="0"/>
        <v>4410</v>
      </c>
      <c r="H7" s="21"/>
      <c r="I7" s="21"/>
    </row>
    <row r="8" spans="1:9" x14ac:dyDescent="0.35">
      <c r="A8" s="28" t="s">
        <v>104</v>
      </c>
      <c r="B8" s="156">
        <f>HojaHonduras!$E$36</f>
        <v>162650</v>
      </c>
      <c r="C8" s="157">
        <f>HojaHonduras!K32</f>
        <v>19500</v>
      </c>
      <c r="D8" s="150">
        <f>HojaHonduras!E37</f>
        <v>21144.5</v>
      </c>
      <c r="E8" s="150">
        <f>HojaHonduras!N32</f>
        <v>17000</v>
      </c>
      <c r="F8" s="150">
        <f>HojaHonduras!M32</f>
        <v>17000</v>
      </c>
      <c r="G8" s="151">
        <f t="shared" si="0"/>
        <v>1644.5</v>
      </c>
      <c r="H8" s="21"/>
      <c r="I8" s="21"/>
    </row>
    <row r="9" spans="1:9" x14ac:dyDescent="0.35">
      <c r="A9" s="28" t="s">
        <v>20</v>
      </c>
      <c r="B9" s="156">
        <f>HojaDominicana!$E$36</f>
        <v>61000</v>
      </c>
      <c r="C9" s="157">
        <f>HojaDominicana!I32</f>
        <v>7300</v>
      </c>
      <c r="D9" s="150">
        <f>HojaDominicana!E37</f>
        <v>7930</v>
      </c>
      <c r="E9" s="150">
        <f>HojaDominicana!L32</f>
        <v>0</v>
      </c>
      <c r="F9" s="150">
        <f>HojaDominicana!K32</f>
        <v>0</v>
      </c>
      <c r="G9" s="151">
        <f t="shared" si="0"/>
        <v>630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3735100</v>
      </c>
      <c r="C11" s="175">
        <f>SUM(C4:C10)</f>
        <v>447015</v>
      </c>
      <c r="D11" s="175">
        <f t="shared" ref="D11:F11" si="1">SUM(D4:D10)</f>
        <v>478113.5</v>
      </c>
      <c r="E11" s="175">
        <f t="shared" si="1"/>
        <v>4337750</v>
      </c>
      <c r="F11" s="175">
        <f t="shared" si="1"/>
        <v>4352000</v>
      </c>
      <c r="G11" s="176">
        <f>SUM(G4:G10)</f>
        <v>45348.5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30348.5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314850</v>
      </c>
      <c r="E16" s="157">
        <f>+Vendedor1!D21</f>
        <v>40930.5</v>
      </c>
      <c r="F16" s="158">
        <f>IF(D16&lt;&gt;0,15000,0)</f>
        <v>15000</v>
      </c>
      <c r="G16" s="151">
        <f>+E16-F16</f>
        <v>25930.5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106150</v>
      </c>
      <c r="E17" s="157">
        <f>+Vendedor2!D21</f>
        <v>13799.5</v>
      </c>
      <c r="F17" s="158">
        <f>IF(D17&lt;&gt;0,15000,0)</f>
        <v>15000</v>
      </c>
      <c r="G17" s="151">
        <f>+E17-F17</f>
        <v>-1200.5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421000</v>
      </c>
      <c r="E19" s="159">
        <f>SUM(E16:E18)</f>
        <v>54730</v>
      </c>
      <c r="F19" s="160">
        <f>SUM(F16:F18)</f>
        <v>30000</v>
      </c>
      <c r="G19" s="161">
        <f>SUM(G16:G18)</f>
        <v>24730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55078.5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05-06-2026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1295850</v>
      </c>
      <c r="C5" s="150">
        <f>HojaNICA!D37</f>
        <v>168460.5</v>
      </c>
      <c r="D5" s="150">
        <f>HojaNICA!D38</f>
        <v>1092250</v>
      </c>
      <c r="E5" s="150"/>
      <c r="F5" s="151">
        <f>+B5-C5-D5+E5</f>
        <v>35139.5</v>
      </c>
      <c r="H5" s="249" t="s">
        <v>105</v>
      </c>
      <c r="I5" s="243">
        <f ca="1">TODAY()-1</f>
        <v>46178</v>
      </c>
      <c r="O5" s="119"/>
    </row>
    <row r="6" spans="1:15" ht="15" thickBot="1" x14ac:dyDescent="0.4">
      <c r="A6" s="47" t="s">
        <v>36</v>
      </c>
      <c r="B6" s="150">
        <f>HojaTICA!D36</f>
        <v>2036950</v>
      </c>
      <c r="C6" s="150">
        <f>HojaTICA!D37</f>
        <v>264803.5</v>
      </c>
      <c r="D6" s="150">
        <f>HojaTICA!D38</f>
        <v>2928250</v>
      </c>
      <c r="E6" s="150"/>
      <c r="F6" s="151">
        <f t="shared" ref="F6:F11" si="0">+B6-C6-D6+E6</f>
        <v>-1156103.5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247650</v>
      </c>
      <c r="C7" s="150">
        <f>HojaREVENTADO!D38</f>
        <v>24765</v>
      </c>
      <c r="D7" s="150">
        <f>HojaREVENTADO!D39</f>
        <v>0</v>
      </c>
      <c r="E7" s="150"/>
      <c r="F7" s="151">
        <f t="shared" si="0"/>
        <v>222885</v>
      </c>
    </row>
    <row r="8" spans="1:15" x14ac:dyDescent="0.35">
      <c r="A8" s="47" t="s">
        <v>96</v>
      </c>
      <c r="B8" s="150">
        <f>HojaPrimera!$D36</f>
        <v>352000</v>
      </c>
      <c r="C8" s="150">
        <f>HojaPrimera!$D37</f>
        <v>45760</v>
      </c>
      <c r="D8" s="150">
        <f>HojaPrimera!$D38</f>
        <v>314500</v>
      </c>
      <c r="E8" s="150"/>
      <c r="F8" s="151">
        <f t="shared" si="0"/>
        <v>-8260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162650</v>
      </c>
      <c r="C9" s="150">
        <f>HojaHonduras!$D37</f>
        <v>21144.5</v>
      </c>
      <c r="D9" s="150">
        <f>HojaHonduras!$D38</f>
        <v>17000</v>
      </c>
      <c r="E9" s="150"/>
      <c r="F9" s="151">
        <f t="shared" si="0"/>
        <v>124505.5</v>
      </c>
      <c r="H9" s="250">
        <f>+K12-K10-H6</f>
        <v>-728763.5</v>
      </c>
    </row>
    <row r="10" spans="1:15" ht="15" thickBot="1" x14ac:dyDescent="0.4">
      <c r="A10" s="47" t="s">
        <v>20</v>
      </c>
      <c r="B10" s="150">
        <f>HojaDominicana!$D36</f>
        <v>61000</v>
      </c>
      <c r="C10" s="150">
        <f>HojaDominicana!$D37</f>
        <v>7930</v>
      </c>
      <c r="D10" s="150">
        <f>HojaDominicana!$D38</f>
        <v>0</v>
      </c>
      <c r="E10" s="150"/>
      <c r="F10" s="151">
        <f t="shared" si="0"/>
        <v>53070</v>
      </c>
      <c r="H10" s="154"/>
      <c r="J10" t="s">
        <v>148</v>
      </c>
      <c r="K10" s="252">
        <v>3450870.9600000004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2722107.4600000004</v>
      </c>
    </row>
    <row r="12" spans="1:15" ht="16" thickBot="1" x14ac:dyDescent="0.4">
      <c r="A12" s="144" t="s">
        <v>5</v>
      </c>
      <c r="B12" s="152">
        <f>SUM(B5:B11)</f>
        <v>4156100</v>
      </c>
      <c r="C12" s="152">
        <f>SUM(C5:C11)</f>
        <v>532863.5</v>
      </c>
      <c r="D12" s="152">
        <f>SUM(D5:D11)</f>
        <v>4352000</v>
      </c>
      <c r="E12" s="152"/>
      <c r="F12" s="255">
        <f>SUM(F5:F11)</f>
        <v>-728763.5</v>
      </c>
      <c r="H12" s="251">
        <f>K12</f>
        <v>2722107.4600000004</v>
      </c>
      <c r="J12" t="s">
        <v>140</v>
      </c>
      <c r="K12" s="254">
        <f>-3971646.26+2928458.74+1791944.5+1973350.48</f>
        <v>2722107.4600000004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249450</v>
      </c>
      <c r="K4" s="231">
        <f t="shared" ref="K4" si="0">D7+D11+D15</f>
        <v>32428.5</v>
      </c>
      <c r="L4" s="220">
        <f>F7+F11+F15</f>
        <v>450500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IF(DigitaNICA!C4&lt;&gt;"",DigitaNICA!C4,"")</f>
        <v>38900</v>
      </c>
      <c r="D5" s="42">
        <f>IF(C5="",0,C5*J$10)</f>
        <v>5057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33843</v>
      </c>
      <c r="I5" s="241" t="s">
        <v>37</v>
      </c>
      <c r="J5" s="221">
        <f>SUM(IF(C5="",0,C5),IF(C9="",0,C9),IF(C13="",0,C13),IF(C17="",0,C17))</f>
        <v>61000</v>
      </c>
      <c r="K5" s="225">
        <f t="shared" ref="K5" si="2">D5+D9+D13+D17</f>
        <v>7930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4400</v>
      </c>
      <c r="K6" s="228">
        <f>D19+D20</f>
        <v>572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39</v>
      </c>
      <c r="C7" s="29">
        <f>IF(DigitaTICA!C4&lt;&gt;"",DigitaTICA!C4,"")</f>
        <v>88100</v>
      </c>
      <c r="D7" s="42">
        <f>IF(C7="",0,C7*J$9)</f>
        <v>11453</v>
      </c>
      <c r="E7" s="29">
        <f>IF(DigitaTICA!D4&lt;&gt;"",DigitaTICA!D4,"")</f>
        <v>700</v>
      </c>
      <c r="F7" s="42">
        <f>IF(E7="",0,E7*PREMIOS!F7)</f>
        <v>59500</v>
      </c>
      <c r="G7" s="30">
        <f t="shared" si="1"/>
        <v>17147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14</v>
      </c>
      <c r="C9" s="29">
        <f>IF(DigitaNICA!E4&lt;&gt;"",DigitaNICA!E4,"")</f>
        <v>8100</v>
      </c>
      <c r="D9" s="42">
        <f>IF(C9="",0,C9*J$10)</f>
        <v>1053</v>
      </c>
      <c r="E9" s="29">
        <f>IF(DigitaNICA!F4&lt;&gt;"",DigitaNICA!F4,"")</f>
        <v>500</v>
      </c>
      <c r="F9" s="42">
        <f>IF(E9="",0,E9*PREMIOS!E9)</f>
        <v>40000</v>
      </c>
      <c r="G9" s="30">
        <f t="shared" si="1"/>
        <v>-32953</v>
      </c>
      <c r="I9" s="76" t="s">
        <v>36</v>
      </c>
      <c r="J9" s="77">
        <v>0.13</v>
      </c>
      <c r="K9" s="78">
        <f>MROUND(D7+D11+D15,50)</f>
        <v>32450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7950</v>
      </c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IF(DigitaTICA!E4&lt;&gt;"",DigitaTICA!E4,"")</f>
        <v>48500</v>
      </c>
      <c r="D11" s="42">
        <f>IF(C11="",0,C11*J$9)</f>
        <v>6305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42195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>
        <f>IF(DigitaNICA!G2&lt;&gt;"",DigitaNICA!G2,"")</f>
        <v>65</v>
      </c>
      <c r="C13" s="29">
        <f>IF(DigitaNICA!G4&lt;&gt;"",DigitaNICA!G4,"")</f>
        <v>11100</v>
      </c>
      <c r="D13" s="42">
        <f>IF(C13="",0,C13*J$10)</f>
        <v>1443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9657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IF(DigitaTICA!G4&lt;&gt;"",DigitaTICA!G4,"")</f>
        <v>112850</v>
      </c>
      <c r="D15" s="42">
        <f>IF(C15="",0,C15*J$9)</f>
        <v>14670.5</v>
      </c>
      <c r="E15" s="29">
        <f>IF(DigitaTICA!H4&lt;&gt;"",DigitaTICA!H4,"")</f>
        <v>4600</v>
      </c>
      <c r="F15" s="42">
        <f>IF(E15="",0,E15*PREMIOS!F15)</f>
        <v>391000</v>
      </c>
      <c r="G15" s="30">
        <f t="shared" si="3"/>
        <v>-292820.5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IF(DigitaNICA!I4&lt;&gt;"",DigitaNICA!I4,"")</f>
        <v>2900</v>
      </c>
      <c r="D17" s="42">
        <f>IF(C17="",0,C17*J$10)</f>
        <v>377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2523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90</v>
      </c>
      <c r="C19" s="29">
        <f>IF(DigitaPRIMERA!C4&lt;&gt;"",DigitaPRIMERA!C4,"")</f>
        <v>3400</v>
      </c>
      <c r="D19" s="42">
        <f>IF(C19="",0,C19*J$12)</f>
        <v>442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2958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314850</v>
      </c>
      <c r="D21" s="122">
        <f t="shared" ref="D21:G21" si="6">SUM(D5:D20)</f>
        <v>40930.5</v>
      </c>
      <c r="E21" s="122">
        <f t="shared" si="6"/>
        <v>5800</v>
      </c>
      <c r="F21" s="122">
        <f t="shared" si="6"/>
        <v>490500</v>
      </c>
      <c r="G21" s="123">
        <f t="shared" si="6"/>
        <v>-216580.5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83150</v>
      </c>
      <c r="K4" s="231">
        <f t="shared" ref="K4" si="0">D7+D11+D15</f>
        <v>10809.5</v>
      </c>
      <c r="L4" s="220">
        <f>F7+F11+F15</f>
        <v>229500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IF(DigitaNICA!C5&lt;&gt;"",DigitaNICA!C5,"")</f>
        <v>11400</v>
      </c>
      <c r="D5" s="42">
        <f>IF(C5="",0,C5*J$10)</f>
        <v>1482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9918</v>
      </c>
      <c r="I5" s="241" t="s">
        <v>37</v>
      </c>
      <c r="J5" s="221">
        <f>SUM(IF(C5="",0,C5),IF(C9="",0,C9),IF(C13="",0,C13),IF(C17="",0,C17))</f>
        <v>14100</v>
      </c>
      <c r="K5" s="225">
        <f t="shared" ref="K5" si="2">D5+D9+D13+D17</f>
        <v>1833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8900</v>
      </c>
      <c r="K6" s="228">
        <f>D19+D20</f>
        <v>1157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39</v>
      </c>
      <c r="C7" s="29">
        <f>IF(DigitaTICA!C5&lt;&gt;"",DigitaTICA!C5,"")</f>
        <v>31350</v>
      </c>
      <c r="D7" s="42">
        <f>IF(C7="",0,C7*J$9)</f>
        <v>4075.5</v>
      </c>
      <c r="E7" s="29">
        <f>IF(DigitaTICA!D5&lt;&gt;"",DigitaTICA!D5,"")</f>
        <v>300</v>
      </c>
      <c r="F7" s="42">
        <f>IF(E7="",0,E7*PREMIOS!F7)</f>
        <v>25500</v>
      </c>
      <c r="G7" s="30">
        <f t="shared" si="1"/>
        <v>1774.5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14</v>
      </c>
      <c r="C9" s="29">
        <f>IF(DigitaNICA!E5&lt;&gt;"",DigitaNICA!E5,"")</f>
        <v>700</v>
      </c>
      <c r="D9" s="42">
        <f>IF(C9="",0,C9*J$10)</f>
        <v>91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609</v>
      </c>
      <c r="I9" s="60" t="s">
        <v>36</v>
      </c>
      <c r="J9" s="61">
        <v>0.13</v>
      </c>
      <c r="K9" s="62">
        <f>MROUND(D7+D11+D15,50)</f>
        <v>10800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1850</v>
      </c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IF(DigitaTICA!E5&lt;&gt;"",DigitaTICA!E5,"")</f>
        <v>10850</v>
      </c>
      <c r="D11" s="42">
        <f>IF(C11="",0,C11*J$9)</f>
        <v>1410.5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9439.5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IF(DigitaTICA!G5&lt;&gt;"",DigitaTICA!G5,"")</f>
        <v>40950</v>
      </c>
      <c r="D15" s="42">
        <f>IF(C15="",0,C15*J$9)</f>
        <v>5323.5</v>
      </c>
      <c r="E15" s="29">
        <f>IF(DigitaTICA!H5&lt;&gt;"",DigitaTICA!H5,"")</f>
        <v>2400</v>
      </c>
      <c r="F15" s="42">
        <f>IF(E15="",0,E15*PREMIOS!F15)</f>
        <v>204000</v>
      </c>
      <c r="G15" s="30">
        <f t="shared" si="3"/>
        <v>-168373.5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IF(DigitaNICA!I5&lt;&gt;"",DigitaNICA!I5,"")</f>
        <v>2000</v>
      </c>
      <c r="D17" s="42">
        <f>IF(C17="",0,C17*J$10)</f>
        <v>260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90</v>
      </c>
      <c r="C19" s="29">
        <f>IF(DigitaPRIMERA!C5&lt;&gt;"",DigitaPRIMERA!C5,"")</f>
        <v>8900</v>
      </c>
      <c r="D19" s="42">
        <f>IF(C19="",0,C19*J$12)</f>
        <v>1157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7743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106150</v>
      </c>
      <c r="D21" s="68">
        <f t="shared" ref="D21:G21" si="4">SUM(D5:D20)</f>
        <v>13799.5</v>
      </c>
      <c r="E21" s="68">
        <f t="shared" si="4"/>
        <v>2700</v>
      </c>
      <c r="F21" s="68">
        <f t="shared" si="4"/>
        <v>229500</v>
      </c>
      <c r="G21" s="88">
        <f t="shared" si="4"/>
        <v>-137149.5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14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36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15000</v>
      </c>
      <c r="K4" s="231">
        <f t="shared" ref="K4" si="0">D7+D11+D15</f>
        <v>1800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14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1800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94">
        <f>IF(DigitaTICA!G7&lt;&gt;"",DigitaTICA!G7,"")</f>
        <v>15000</v>
      </c>
      <c r="D15" s="112">
        <f>IF(C15="",0,C15*J$9)</f>
        <v>1800</v>
      </c>
      <c r="E15" s="113">
        <f>IF(DigitaTICA!H7&lt;&gt;"",DigitaTICA!H7,"")</f>
        <v>0</v>
      </c>
      <c r="F15" s="112">
        <f>IF(E15="",0,E15*PREMIOS!F15)</f>
        <v>0</v>
      </c>
      <c r="G15" s="114">
        <f t="shared" si="4"/>
        <v>13200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15000</v>
      </c>
      <c r="D19" s="68">
        <f>SUM(D5:D18)</f>
        <v>1800</v>
      </c>
      <c r="E19" s="68">
        <f>SUM(E5:E18)</f>
        <v>0</v>
      </c>
      <c r="F19" s="68">
        <f>SUM(F5:F18)</f>
        <v>0</v>
      </c>
      <c r="G19" s="88">
        <f>SUM(G5:G18)</f>
        <v>13200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147300</v>
      </c>
      <c r="K4" s="231">
        <f t="shared" ref="K4" si="0">D7+D11+D15</f>
        <v>17676</v>
      </c>
      <c r="L4" s="220">
        <f>F7+F11+F15</f>
        <v>102000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IF(DigitaNICA!C8&lt;&gt;"",DigitaNICA!C8,"")</f>
        <v>34250</v>
      </c>
      <c r="D5" s="42">
        <f>IF(C5="",0,C5*J$12)</f>
        <v>4110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30140</v>
      </c>
      <c r="I5" s="241" t="s">
        <v>37</v>
      </c>
      <c r="J5" s="221">
        <f>SUM(IF(C5="",0,C5),IF(C9="",0,C9),IF(C13="",0,C13),IF(C17="",0,C17))</f>
        <v>64900</v>
      </c>
      <c r="K5" s="225">
        <f t="shared" ref="K5" si="2">D5+D9+D13+D17</f>
        <v>7788</v>
      </c>
      <c r="L5" s="222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39</v>
      </c>
      <c r="C7" s="29">
        <f>IF(DigitaTICA!C8&lt;&gt;"",DigitaTICA!C8,"")</f>
        <v>57350</v>
      </c>
      <c r="D7" s="42">
        <f>IF(C7="",0,C7*J$11)</f>
        <v>6882</v>
      </c>
      <c r="E7" s="29">
        <f>IF(DigitaTICA!D8&lt;&gt;"",DigitaTICA!D8,"")</f>
        <v>750</v>
      </c>
      <c r="F7" s="42">
        <f>IF(E7="",0,E7*PREMIOS!F7)</f>
        <v>63750</v>
      </c>
      <c r="G7" s="30">
        <f t="shared" si="1"/>
        <v>-13282</v>
      </c>
      <c r="I7" s="242" t="s">
        <v>96</v>
      </c>
      <c r="J7" s="224">
        <f>SUM(IF(C19="",0,C19),IF(C20="",0,C20))</f>
        <v>22750</v>
      </c>
      <c r="K7" s="228">
        <f>+D19+D20</f>
        <v>2730</v>
      </c>
      <c r="L7" s="229">
        <f>+F19+F20</f>
        <v>16000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14</v>
      </c>
      <c r="C9" s="29">
        <f>IF(DigitaNICA!E8&lt;&gt;"",DigitaNICA!E8,"")</f>
        <v>12100</v>
      </c>
      <c r="D9" s="42">
        <f>IF(C9="",0,C9*J$12)</f>
        <v>1452</v>
      </c>
      <c r="E9" s="29">
        <f>IF(DigitaNICA!F8&lt;&gt;"",DigitaNICA!F8,"")</f>
        <v>300</v>
      </c>
      <c r="F9" s="42">
        <f>IF(E9="",0,E9*PREMIOS!E9)</f>
        <v>24000</v>
      </c>
      <c r="G9" s="30">
        <f t="shared" si="1"/>
        <v>-13352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IF(DigitaTICA!E8&lt;&gt;"",DigitaTICA!E8,"")</f>
        <v>42200</v>
      </c>
      <c r="D11" s="42">
        <f>IF(C11="",0,C11*J$11)</f>
        <v>5064</v>
      </c>
      <c r="E11" s="29">
        <f>IF(DigitaTICA!F8&lt;&gt;"",DigitaTICA!F8,"")</f>
        <v>250</v>
      </c>
      <c r="F11" s="42">
        <f>IF(E11="",0,E11*PREMIOS!F11)</f>
        <v>21250</v>
      </c>
      <c r="G11" s="30">
        <f t="shared" si="1"/>
        <v>15886</v>
      </c>
      <c r="I11" s="60" t="s">
        <v>36</v>
      </c>
      <c r="J11" s="61">
        <v>0.12</v>
      </c>
      <c r="K11" s="62">
        <f>MROUND(D7+D11+D15,50)</f>
        <v>17700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7800</v>
      </c>
    </row>
    <row r="13" spans="1:12" x14ac:dyDescent="0.35">
      <c r="A13" s="28" t="s">
        <v>50</v>
      </c>
      <c r="B13" s="132">
        <f>IF(DigitaNICA!G2&lt;&gt;"",DigitaNICA!G2,"")</f>
        <v>65</v>
      </c>
      <c r="C13" s="29">
        <f>IF(DigitaNICA!G8&lt;&gt;"",DigitaNICA!G8,"")</f>
        <v>9150</v>
      </c>
      <c r="D13" s="42">
        <f>IF(C13="",0,C13*J$12)</f>
        <v>1098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8052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2750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IF(DigitaTICA!G8&lt;&gt;"",DigitaTICA!G8,"")</f>
        <v>47750</v>
      </c>
      <c r="D15" s="42">
        <f>IF(C15="",0,C15*J$11)</f>
        <v>5730</v>
      </c>
      <c r="E15" s="29">
        <f>IF(DigitaTICA!H8&lt;&gt;"",DigitaTICA!H8,"")</f>
        <v>200</v>
      </c>
      <c r="F15" s="42">
        <f>IF(E15="",0,E15*PREMIOS!F15)</f>
        <v>17000</v>
      </c>
      <c r="G15" s="30">
        <f t="shared" si="4"/>
        <v>25020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IF(DigitaNICA!I8&lt;&gt;"",DigitaNICA!I8,"")</f>
        <v>9400</v>
      </c>
      <c r="D17" s="42">
        <f>IF(C17="",0,C17*J$12)</f>
        <v>1128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8272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90</v>
      </c>
      <c r="C19" s="29">
        <f>IF(DigitaPRIMERA!C8&lt;&gt;"",DigitaPRIMERA!C8,"")</f>
        <v>17050</v>
      </c>
      <c r="D19" s="42">
        <f>IF(C19="",0,C19*J$14)</f>
        <v>2046</v>
      </c>
      <c r="E19" s="29">
        <f>IF(DigitaPRIMERA!D8&lt;&gt;"",DigitaPRIMERA!D8,"")</f>
        <v>200</v>
      </c>
      <c r="F19" s="42">
        <f>IF(E19="",0,E19*PREMIOS!E19)</f>
        <v>16000</v>
      </c>
      <c r="G19" s="30">
        <f t="shared" si="4"/>
        <v>-996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>
        <f>IF(DigitaPRIMERA!E8&lt;&gt;"",DigitaPRIMERA!E8,"")</f>
        <v>5700</v>
      </c>
      <c r="D20" s="42">
        <f>IF(C20="",0,C20*J$14)</f>
        <v>684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5016</v>
      </c>
    </row>
    <row r="21" spans="1:7" ht="15" thickBot="1" x14ac:dyDescent="0.4">
      <c r="A21" s="121" t="s">
        <v>5</v>
      </c>
      <c r="B21" s="128"/>
      <c r="C21" s="122">
        <f>SUM(C5:C20)</f>
        <v>234950</v>
      </c>
      <c r="D21" s="122">
        <f t="shared" ref="D21:G21" si="5">SUM(D5:D20)</f>
        <v>28194</v>
      </c>
      <c r="E21" s="122">
        <f t="shared" si="5"/>
        <v>1700</v>
      </c>
      <c r="F21" s="122">
        <f t="shared" si="5"/>
        <v>142000</v>
      </c>
      <c r="G21" s="123">
        <f t="shared" si="5"/>
        <v>64756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93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36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30"/>
  <sheetViews>
    <sheetView showGridLines="0" topLeftCell="A5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510450</v>
      </c>
      <c r="K4" s="231">
        <f t="shared" ref="K4" si="0">D7+D11+D15</f>
        <v>61254</v>
      </c>
      <c r="L4" s="220">
        <f>F7+F11+F15</f>
        <v>1117750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IF(DigitaNICA!C10&lt;&gt;"",DigitaNICA!C10,"")</f>
        <v>66000</v>
      </c>
      <c r="D5" s="42">
        <f>IF(C5="",0,C5*J$15)</f>
        <v>7920</v>
      </c>
      <c r="E5" s="29">
        <f>IF(DigitaNICA!D10&lt;&gt;"",DigitaNICA!D10,"")</f>
        <v>350</v>
      </c>
      <c r="F5" s="42">
        <f>IF(E5="",0,E5*PREMIOS!F5)</f>
        <v>29750</v>
      </c>
      <c r="G5" s="30">
        <f t="shared" ref="G5:G12" si="1">IF(OR(C5="",E5=""),0,C5-D5-F5)</f>
        <v>28330</v>
      </c>
      <c r="I5" s="217" t="s">
        <v>37</v>
      </c>
      <c r="J5" s="221">
        <f>SUM(IF(C5="",0,C5),IF(C9="",0,C9),IF(C13="",0,C13),IF(C17="",0,C17))</f>
        <v>454400</v>
      </c>
      <c r="K5" s="225">
        <f t="shared" ref="K5" si="2">D5+D9+D13+D17</f>
        <v>54528</v>
      </c>
      <c r="L5" s="222">
        <f>F5+F9+F13+F17</f>
        <v>510000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99800</v>
      </c>
      <c r="K6" s="226">
        <f t="shared" ref="K6" si="3">+D8+D12+D16</f>
        <v>9980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39</v>
      </c>
      <c r="C7" s="29">
        <f>IF(DigitaTICA!C10&lt;&gt;"",DigitaTICA!C10,"")</f>
        <v>133100</v>
      </c>
      <c r="D7" s="42">
        <f>IF(C7="",0,C7*J$14)</f>
        <v>15972</v>
      </c>
      <c r="E7" s="29">
        <f>IF(DigitaTICA!D10&lt;&gt;"",DigitaTICA!D10,"")</f>
        <v>1650</v>
      </c>
      <c r="F7" s="42">
        <f>IF(E7="",0,E7*PREMIOS!F7)</f>
        <v>140250</v>
      </c>
      <c r="G7" s="30">
        <f t="shared" si="1"/>
        <v>-23122</v>
      </c>
      <c r="I7" s="217" t="s">
        <v>96</v>
      </c>
      <c r="J7" s="223">
        <f>SUM(IF(C19="",0,C19),IF(C20="",0,C20))</f>
        <v>60550</v>
      </c>
      <c r="K7" s="226">
        <f>+D19+D20</f>
        <v>7266</v>
      </c>
      <c r="L7" s="227">
        <f>+F19+F20</f>
        <v>21250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22450</v>
      </c>
      <c r="D8" s="42">
        <f>IF(C8="",0,C8*J$16)</f>
        <v>2245</v>
      </c>
      <c r="E8" s="29">
        <f>IF(DigitaREVENTADO!D10&lt;&gt;"",DigitaREVENTADO!D10,"")</f>
        <v>300</v>
      </c>
      <c r="F8" s="42">
        <f>IF(E8="",0,E8*PREMIOS!F8)</f>
        <v>0</v>
      </c>
      <c r="G8" s="30">
        <f t="shared" si="1"/>
        <v>20205</v>
      </c>
      <c r="I8" s="217" t="s">
        <v>104</v>
      </c>
      <c r="J8" s="223">
        <f>SUM(IF(C21="",0,C21),IF(C22="",0,C22),IF(C23="",0,C23))</f>
        <v>46750</v>
      </c>
      <c r="K8" s="226">
        <f t="shared" ref="K8" si="4">D21+D22+D23</f>
        <v>5610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14</v>
      </c>
      <c r="C9" s="29">
        <f>IF(DigitaNICA!E10&lt;&gt;"",DigitaNICA!E10,"")</f>
        <v>169850</v>
      </c>
      <c r="D9" s="42">
        <f>IF(C9="",0,C9*J$15)</f>
        <v>20382</v>
      </c>
      <c r="E9" s="29">
        <f>IF(DigitaNICA!F10&lt;&gt;"",DigitaNICA!F10,"")</f>
        <v>1900</v>
      </c>
      <c r="F9" s="42">
        <f>IF(E9="",0,E9*PREMIOS!F9)</f>
        <v>161500</v>
      </c>
      <c r="G9" s="30">
        <f t="shared" si="1"/>
        <v>-12032</v>
      </c>
      <c r="I9" s="217" t="s">
        <v>20</v>
      </c>
      <c r="J9" s="223">
        <f>SUM(IF(C24="",0,C24),IF(C25="",0,C25))</f>
        <v>61000</v>
      </c>
      <c r="K9" s="226">
        <f t="shared" ref="K9" si="5">+D24+D25</f>
        <v>7320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IF(DigitaTICA!E10&lt;&gt;"",DigitaTICA!E10,"")</f>
        <v>203200</v>
      </c>
      <c r="D11" s="42">
        <f>IF(C11="",0,C11*J$14)</f>
        <v>24384</v>
      </c>
      <c r="E11" s="29">
        <f>IF(DigitaTICA!F10&lt;&gt;"",DigitaTICA!F10,"")</f>
        <v>4500</v>
      </c>
      <c r="F11" s="42">
        <f>IF(E11="",0,E11*PREMIOS!F11)</f>
        <v>382500</v>
      </c>
      <c r="G11" s="30">
        <f t="shared" si="1"/>
        <v>-203684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36700</v>
      </c>
      <c r="D12" s="42">
        <f>IF(C12="",0,C12*J$16)</f>
        <v>3670</v>
      </c>
      <c r="E12" s="29">
        <f>IF(DigitaREVENTADO!F10&lt;&gt;"",DigitaREVENTADO!F10,"")</f>
        <v>1900</v>
      </c>
      <c r="F12" s="42">
        <f>IF(E12="",0,E12*PREMIOS!F12)</f>
        <v>0</v>
      </c>
      <c r="G12" s="30">
        <f t="shared" si="1"/>
        <v>33030</v>
      </c>
    </row>
    <row r="13" spans="1:12" ht="15" thickBot="1" x14ac:dyDescent="0.4">
      <c r="A13" s="28" t="s">
        <v>50</v>
      </c>
      <c r="B13" s="132">
        <f>IF(DigitaNICA!G2&lt;&gt;"",DigitaNICA!G2,"")</f>
        <v>65</v>
      </c>
      <c r="C13" s="29">
        <f>IF(DigitaNICA!G10&lt;&gt;"",DigitaNICA!G10,"")</f>
        <v>71550</v>
      </c>
      <c r="D13" s="42">
        <f>IF(C13="",0,C13*J$15)</f>
        <v>8586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62964</v>
      </c>
      <c r="I13" s="280" t="s">
        <v>34</v>
      </c>
      <c r="J13" s="280"/>
      <c r="K13" s="280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61250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IF(DigitaTICA!G10&lt;&gt;"",DigitaTICA!G10,"")</f>
        <v>174150</v>
      </c>
      <c r="D15" s="42">
        <f>IF(C15="",0,C15*J$14)</f>
        <v>20898</v>
      </c>
      <c r="E15" s="29">
        <f>IF(DigitaTICA!H10&lt;&gt;"",DigitaTICA!H10,"")</f>
        <v>7000</v>
      </c>
      <c r="F15" s="42">
        <f>IF(E15="",0,E15*PREMIOS!F15)</f>
        <v>595000</v>
      </c>
      <c r="G15" s="30">
        <f t="shared" si="6"/>
        <v>-441748</v>
      </c>
      <c r="I15" s="63" t="s">
        <v>37</v>
      </c>
      <c r="J15" s="64">
        <v>0.12</v>
      </c>
      <c r="K15" s="30">
        <f>MROUND(D5+D9+D13+D17,50)</f>
        <v>54550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40650</v>
      </c>
      <c r="D16" s="42">
        <f>IF(C16="",0,C16*J$16)</f>
        <v>4065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36585</v>
      </c>
      <c r="I16" s="63" t="s">
        <v>38</v>
      </c>
      <c r="J16" s="64">
        <v>0.1</v>
      </c>
      <c r="K16" s="30">
        <f>MROUND(D6+D8+D10+D12+D14+D16+D18,50)</f>
        <v>10000</v>
      </c>
    </row>
    <row r="17" spans="1:11" x14ac:dyDescent="0.35">
      <c r="A17" s="28" t="s">
        <v>52</v>
      </c>
      <c r="B17" s="132">
        <f>IF(DigitaNICA!I2&lt;&gt;"",DigitaNICA!I2,"")</f>
        <v>21</v>
      </c>
      <c r="C17" s="29">
        <f>IF(DigitaNICA!I10&lt;&gt;"",DigitaNICA!I10,"")</f>
        <v>147000</v>
      </c>
      <c r="D17" s="42">
        <f>IF(C17="",0,C17*J$15)</f>
        <v>17640</v>
      </c>
      <c r="E17" s="29">
        <f>IF(DigitaNICA!J10&lt;&gt;"",DigitaNICA!J10,"")</f>
        <v>3750</v>
      </c>
      <c r="F17" s="42">
        <f>IF(E17="",0,E17*PREMIOS!F17)</f>
        <v>318750</v>
      </c>
      <c r="G17" s="30">
        <f t="shared" si="6"/>
        <v>-189390</v>
      </c>
      <c r="I17" s="63" t="s">
        <v>96</v>
      </c>
      <c r="J17" s="64">
        <v>0.12</v>
      </c>
      <c r="K17" s="30">
        <f>MROUND(D19+D20,50)</f>
        <v>7250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5600</v>
      </c>
    </row>
    <row r="19" spans="1:11" x14ac:dyDescent="0.35">
      <c r="A19" s="28" t="s">
        <v>97</v>
      </c>
      <c r="B19" s="132">
        <f>IF(DigitaPRIMERA!C2&lt;&gt;"",DigitaPRIMERA!C2,"")</f>
        <v>90</v>
      </c>
      <c r="C19" s="29">
        <f>IF(DigitaPRIMERA!$C$10&lt;&gt;"",DigitaPRIMERA!$C$10,"")</f>
        <v>24000</v>
      </c>
      <c r="D19" s="42">
        <f>IF(C19="",0,C19*J$17)</f>
        <v>2880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21120</v>
      </c>
      <c r="I19" s="63" t="s">
        <v>20</v>
      </c>
      <c r="J19" s="64">
        <v>0.12</v>
      </c>
      <c r="K19" s="30">
        <f>MROUND(D24+D25,50)</f>
        <v>7300</v>
      </c>
    </row>
    <row r="20" spans="1:11" ht="15" thickBot="1" x14ac:dyDescent="0.4">
      <c r="A20" s="28" t="s">
        <v>98</v>
      </c>
      <c r="B20" s="132">
        <f>IF(DigitaPRIMERA!E2&lt;&gt;"",DigitaPRIMERA!E2,"")</f>
        <v>88</v>
      </c>
      <c r="C20" s="29">
        <f>IF(DigitaPRIMERA!$E$10&lt;&gt;"",DigitaPRIMERA!$E$10,"")</f>
        <v>36550</v>
      </c>
      <c r="D20" s="42">
        <f>IF(C20="",0,C20*J$17)</f>
        <v>4386</v>
      </c>
      <c r="E20" s="29">
        <f>IF(DigitaPRIMERA!$F$10&lt;&gt;"",DigitaPRIMERA!$F$10,"")</f>
        <v>250</v>
      </c>
      <c r="F20" s="42">
        <f>IF(E20="",0,E20*PREMIOS!F19)</f>
        <v>21250</v>
      </c>
      <c r="G20" s="30">
        <f t="shared" si="7"/>
        <v>10914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63</v>
      </c>
      <c r="C21" s="29">
        <f>IF(DigitaHONDURAS!$C$10&lt;&gt;"",DigitaHONDURAS!$C$10,"")</f>
        <v>22650</v>
      </c>
      <c r="D21" s="42">
        <f>IF(C21="",0,C21*J$18)</f>
        <v>2718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19932</v>
      </c>
    </row>
    <row r="22" spans="1:11" x14ac:dyDescent="0.35">
      <c r="A22" s="28" t="s">
        <v>100</v>
      </c>
      <c r="B22" s="132">
        <f>IF(DigitaHONDURAS!E2&lt;&gt;"",DigitaHONDURAS!E2,"")</f>
        <v>68</v>
      </c>
      <c r="C22" s="29">
        <f>IF(DigitaHONDURAS!$E$10&lt;&gt;"",DigitaHONDURAS!$E$10,"")</f>
        <v>12600</v>
      </c>
      <c r="D22" s="42">
        <f>IF(C22="",0,C22*J$18)</f>
        <v>1512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11088</v>
      </c>
    </row>
    <row r="23" spans="1:11" x14ac:dyDescent="0.35">
      <c r="A23" s="28" t="s">
        <v>101</v>
      </c>
      <c r="B23" s="132">
        <f>IF(DigitaHONDURAS!G2&lt;&gt;"",DigitaHONDURAS!G2,"")</f>
        <v>89</v>
      </c>
      <c r="C23" s="29">
        <f>IF(DigitaHONDURAS!$G$10&lt;&gt;"",DigitaHONDURAS!$G$10,"")</f>
        <v>11500</v>
      </c>
      <c r="D23" s="42">
        <f>IF(C23="",0,C23*J$18)</f>
        <v>1380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10120</v>
      </c>
    </row>
    <row r="24" spans="1:11" x14ac:dyDescent="0.35">
      <c r="A24" s="28" t="s">
        <v>107</v>
      </c>
      <c r="B24" s="132">
        <f>IF(DigitaDOMINICANA!C2&lt;&gt;"",DigitaDOMINICANA!C2,"")</f>
        <v>45</v>
      </c>
      <c r="C24" s="29">
        <f>IF(DigitaDOMINICANA!$C$10&lt;&gt;"",DigitaDOMINICANA!$C$10,"")</f>
        <v>30000</v>
      </c>
      <c r="D24" s="42">
        <f>IF(C24="",0,C24*J$19)</f>
        <v>3600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26400</v>
      </c>
    </row>
    <row r="25" spans="1:11" x14ac:dyDescent="0.35">
      <c r="A25" s="28" t="s">
        <v>108</v>
      </c>
      <c r="B25" s="132">
        <f>IF(DigitaDOMINICANA!E2&lt;&gt;"",DigitaDOMINICANA!E2,"")</f>
        <v>12</v>
      </c>
      <c r="C25" s="29">
        <f>IF(DigitaDOMINICANA!$E$10&lt;&gt;"",DigitaDOMINICANA!$E$10,"")</f>
        <v>31000</v>
      </c>
      <c r="D25" s="42">
        <f>IF(C25="",0,C25*J$19)</f>
        <v>3720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27280</v>
      </c>
    </row>
    <row r="26" spans="1:11" x14ac:dyDescent="0.35">
      <c r="A26" s="28" t="s">
        <v>21</v>
      </c>
      <c r="B26" s="132" t="str">
        <f>IF(DigitaPANAMENA!C2&lt;&gt;"",DigitaPANAMENA!C2,"")</f>
        <v>03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1232950</v>
      </c>
      <c r="D27" s="68">
        <f t="shared" ref="D27:F27" si="9">SUM(D5:D26)</f>
        <v>145958</v>
      </c>
      <c r="E27" s="68">
        <f t="shared" si="9"/>
        <v>21600</v>
      </c>
      <c r="F27" s="68">
        <f t="shared" si="9"/>
        <v>1649000</v>
      </c>
      <c r="G27" s="88">
        <f>SUM(G5:G26)</f>
        <v>-562008</v>
      </c>
    </row>
    <row r="29" spans="1:11" x14ac:dyDescent="0.35">
      <c r="G29" s="21">
        <v>-596000</v>
      </c>
    </row>
    <row r="30" spans="1:11" x14ac:dyDescent="0.35">
      <c r="G30" s="141">
        <f>+G29-G27</f>
        <v>-33992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11500</v>
      </c>
      <c r="K4" s="231">
        <f t="shared" ref="K4" si="0">D7+D11+D15</f>
        <v>1380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93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39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>
        <f>IF(DigitaTICA!E2&lt;&gt;"",DigitaTICA!E2,"")</f>
        <v>36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1400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IF(DigitaTICA!G11&lt;&gt;"",DigitaTICA!G11,"")</f>
        <v>9000</v>
      </c>
      <c r="D15" s="42">
        <f>IF(C15="",0,C15*J$11)</f>
        <v>1080</v>
      </c>
      <c r="E15" s="29">
        <f>IF(DigitaTICA!H11&lt;&gt;"",DigitaTICA!H11,"")</f>
        <v>200</v>
      </c>
      <c r="F15" s="133">
        <f>IF(E15="",0,E15*PREMIOS!F15)</f>
        <v>17000</v>
      </c>
      <c r="G15" s="30">
        <f t="shared" si="4"/>
        <v>-9080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11500</v>
      </c>
      <c r="D21" s="122">
        <f t="shared" ref="D21:G21" si="5">SUM(D5:D20)</f>
        <v>1380</v>
      </c>
      <c r="E21" s="122">
        <f t="shared" si="5"/>
        <v>200</v>
      </c>
      <c r="F21" s="122">
        <f t="shared" si="5"/>
        <v>17000</v>
      </c>
      <c r="G21" s="123">
        <f t="shared" si="5"/>
        <v>-6880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42900</v>
      </c>
      <c r="K4" s="231">
        <f>D7+D11+D15</f>
        <v>5148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IF(DigitaNICA!C12&lt;&gt;"",DigitaNICA!C12,"")</f>
        <v>27450</v>
      </c>
      <c r="D5" s="42">
        <f>IF(C5="",0,C5*J$12)</f>
        <v>3294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24156</v>
      </c>
      <c r="I5" s="217" t="s">
        <v>37</v>
      </c>
      <c r="J5" s="221">
        <f>SUM(IF(C5="",0,C5),IF(C9="",0,C9),IF(C13="",0,C13),IF(C17="",0,C17))</f>
        <v>39400</v>
      </c>
      <c r="K5" s="225">
        <f t="shared" ref="K5" si="1">D5+D9+D13+D17</f>
        <v>4728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2000</v>
      </c>
      <c r="K6" s="226">
        <f t="shared" ref="K6" si="2">+D8+D12+D16</f>
        <v>200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39</v>
      </c>
      <c r="C7" s="29">
        <f>IF(DigitaTICA!C12&lt;&gt;"",DigitaTICA!C12,"")</f>
        <v>11400</v>
      </c>
      <c r="D7" s="42">
        <f>IF(C7="",0,C7*J$11)</f>
        <v>1368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10032</v>
      </c>
      <c r="I7" s="217" t="s">
        <v>96</v>
      </c>
      <c r="J7" s="223">
        <f>SUM(IF(C19="",0,C19),IF(C20="",0,C20))</f>
        <v>22050</v>
      </c>
      <c r="K7" s="226">
        <f>+D19+D20</f>
        <v>2646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500</v>
      </c>
      <c r="D8" s="42">
        <f>IF(C8="",0,C8*J$13)</f>
        <v>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450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14</v>
      </c>
      <c r="C9" s="29">
        <f>IF(DigitaNICA!E12&lt;&gt;"",DigitaNICA!E12,"")</f>
        <v>11950</v>
      </c>
      <c r="D9" s="42">
        <f>IF(C9="",0,C9*J$12)</f>
        <v>1434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10516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IF(DigitaTICA!E12&lt;&gt;"",DigitaTICA!E12,"")</f>
        <v>8250</v>
      </c>
      <c r="D11" s="42">
        <f>IF(C11="",0,C11*J$11)</f>
        <v>990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7260</v>
      </c>
      <c r="I11" s="60" t="s">
        <v>36</v>
      </c>
      <c r="J11" s="61">
        <v>0.12</v>
      </c>
      <c r="K11" s="62">
        <f>MROUND(D7+D11+D15,50)</f>
        <v>5150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1500</v>
      </c>
      <c r="D12" s="42">
        <f>IF(C12="",0,C12*J$13)</f>
        <v>150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1350</v>
      </c>
      <c r="I12" s="63" t="s">
        <v>37</v>
      </c>
      <c r="J12" s="64">
        <v>0.12</v>
      </c>
      <c r="K12" s="30">
        <f>MROUND(D5+D9+D13+D17,50)</f>
        <v>4750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2650</v>
      </c>
    </row>
    <row r="15" spans="1:12" ht="15" thickBot="1" x14ac:dyDescent="0.4">
      <c r="A15" s="28" t="s">
        <v>61</v>
      </c>
      <c r="B15" s="132" t="str">
        <f>IF(DigitaTICA!G2&lt;&gt;"",DigitaTICA!G2,"")</f>
        <v>05</v>
      </c>
      <c r="C15" s="29">
        <f>IF(DigitaTICA!G12&lt;&gt;"",DigitaTICA!G12,"")</f>
        <v>23250</v>
      </c>
      <c r="D15" s="42">
        <f>IF(C15="",0,C15*J$11)</f>
        <v>2790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20460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90</v>
      </c>
      <c r="C19" s="29">
        <f>IF(DigitaPRIMERA!$C$12&lt;&gt;"",DigitaPRIMERA!$C$12,"")</f>
        <v>22050</v>
      </c>
      <c r="D19" s="42">
        <f>IF(C19="",0,C19*J$14)</f>
        <v>2646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-1846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106350</v>
      </c>
      <c r="D24" s="68">
        <f t="shared" ref="D24:G24" si="4">SUM(D5:D23)</f>
        <v>12722</v>
      </c>
      <c r="E24" s="68">
        <f t="shared" si="4"/>
        <v>250</v>
      </c>
      <c r="F24" s="68">
        <f t="shared" si="4"/>
        <v>21250</v>
      </c>
      <c r="G24" s="88">
        <f t="shared" si="4"/>
        <v>72378</v>
      </c>
    </row>
    <row r="27" spans="1:7" x14ac:dyDescent="0.35">
      <c r="G27" s="21">
        <v>-114240</v>
      </c>
    </row>
    <row r="28" spans="1:7" x14ac:dyDescent="0.35">
      <c r="G28" s="141">
        <f>+G24+G27</f>
        <v>-41862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142350</v>
      </c>
      <c r="K4" s="231">
        <f t="shared" ref="K4" si="0">D7+D11+D15</f>
        <v>17082</v>
      </c>
      <c r="L4" s="220">
        <f>F7+F11+F15</f>
        <v>161500</v>
      </c>
    </row>
    <row r="5" spans="1:12" ht="15" thickBot="1" x14ac:dyDescent="0.4">
      <c r="A5" s="28" t="s">
        <v>43</v>
      </c>
      <c r="B5" s="132">
        <f>IF(DigitaNICA!C2&lt;&gt;"",DigitaNICA!C2,"")</f>
        <v>93</v>
      </c>
      <c r="C5" s="29">
        <f>IF(DigitaNICA!C13&lt;&gt;"",DigitaNICA!C13,"")</f>
        <v>19250</v>
      </c>
      <c r="D5" s="42">
        <f>IF(C5="",0,C5*J$10)</f>
        <v>2310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16940</v>
      </c>
      <c r="I5" s="218" t="s">
        <v>37</v>
      </c>
      <c r="J5" s="232">
        <f>SUM(IF(C5="",0,C5),IF(C9="",0,C9),IF(C13="",0,C13),IF(C17="",0,C17))</f>
        <v>40850</v>
      </c>
      <c r="K5" s="233">
        <f t="shared" ref="K5" si="2">D5+D9+D13+D17</f>
        <v>4902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39</v>
      </c>
      <c r="C7" s="29">
        <f>IF(DigitaTICA!C13&lt;&gt;"",DigitaTICA!C13,"")</f>
        <v>46150</v>
      </c>
      <c r="D7" s="42">
        <f>IF(C7="",0,C7*J$9)</f>
        <v>5538</v>
      </c>
      <c r="E7" s="29">
        <f>IF(DigitaTICA!D13&lt;&gt;"",DigitaTICA!D13,"")</f>
        <v>100</v>
      </c>
      <c r="F7" s="133">
        <f>IF(E7="",0,E7*PREMIOS!F7)</f>
        <v>8500</v>
      </c>
      <c r="G7" s="30">
        <f t="shared" si="1"/>
        <v>32112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14</v>
      </c>
      <c r="C9" s="29">
        <f>IF(DigitaNICA!E13&lt;&gt;"",DigitaNICA!E13,"")</f>
        <v>15600</v>
      </c>
      <c r="D9" s="42">
        <f>IF(C9="",0,C9*J$10)</f>
        <v>1872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13728</v>
      </c>
      <c r="I9" s="60" t="s">
        <v>36</v>
      </c>
      <c r="J9" s="61">
        <v>0.12</v>
      </c>
      <c r="K9" s="62">
        <f>MROUND(D7+D11+D15,50)</f>
        <v>17100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4900</v>
      </c>
    </row>
    <row r="11" spans="1:12" ht="15" thickBot="1" x14ac:dyDescent="0.4">
      <c r="A11" s="28" t="s">
        <v>59</v>
      </c>
      <c r="B11" s="132">
        <f>IF(DigitaTICA!E2&lt;&gt;"",DigitaTICA!E2,"")</f>
        <v>36</v>
      </c>
      <c r="C11" s="29">
        <f>IF(DigitaTICA!E13&lt;&gt;"",DigitaTICA!E13,"")</f>
        <v>16000</v>
      </c>
      <c r="D11" s="42">
        <f>IF(C11="",0,C11*J$9)</f>
        <v>1920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14080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>
        <f>IF(DigitaNICA!G13&lt;&gt;"",DigitaNICA!G13,"")</f>
        <v>5000</v>
      </c>
      <c r="D13" s="42">
        <f>IF(C13="",0,C13*J$10)</f>
        <v>600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4400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IF(DigitaTICA!G13&lt;&gt;"",DigitaTICA!G13,"")</f>
        <v>80200</v>
      </c>
      <c r="D15" s="42">
        <f>IF(C15="",0,C15*J$9)</f>
        <v>9624</v>
      </c>
      <c r="E15" s="29">
        <f>IF(DigitaTICA!H13&lt;&gt;"",DigitaTICA!H13,"")</f>
        <v>1800</v>
      </c>
      <c r="F15" s="133">
        <f>IF(E15="",0,E15*PREMIOS!F15)</f>
        <v>153000</v>
      </c>
      <c r="G15" s="30">
        <f t="shared" si="3"/>
        <v>-82424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183200</v>
      </c>
      <c r="D19" s="68">
        <f>MROUND(SUM(D5:D18),50)</f>
        <v>22000</v>
      </c>
      <c r="E19" s="68">
        <f>SUM(E5:E18)</f>
        <v>1900</v>
      </c>
      <c r="F19" s="68">
        <f>SUM(F5:F18)</f>
        <v>161500</v>
      </c>
      <c r="G19" s="88">
        <f>SUM(G5:G18)</f>
        <v>-284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122550</v>
      </c>
      <c r="K4" s="236">
        <f t="shared" ref="K4" si="0">D7+D11+D15</f>
        <v>18382.5</v>
      </c>
      <c r="L4" s="237">
        <f>F7+F11+F15</f>
        <v>68000</v>
      </c>
    </row>
    <row r="5" spans="1:12" x14ac:dyDescent="0.35">
      <c r="A5" s="28" t="s">
        <v>43</v>
      </c>
      <c r="B5" s="132">
        <f>IF(DigitaNICA!C2&lt;&gt;"",DigitaNICA!C2,"")</f>
        <v>93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39</v>
      </c>
      <c r="C7" s="29">
        <f>IF(DigitaTICA!C14&lt;&gt;"",DigitaTICA!C14,"")</f>
        <v>45650</v>
      </c>
      <c r="D7" s="42">
        <f>IF(C7="",0,C7*J$9)</f>
        <v>6847.5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38802.5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14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18400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36</v>
      </c>
      <c r="C11" s="29">
        <f>IF(DigitaTICA!E14&lt;&gt;"",DigitaTICA!E14,"")</f>
        <v>24100</v>
      </c>
      <c r="D11" s="42">
        <f>IF(C11="",0,C11*J$9)</f>
        <v>3615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20485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IF(DigitaTICA!G14&lt;&gt;"",DigitaTICA!G14,"")</f>
        <v>52800</v>
      </c>
      <c r="D15" s="42">
        <f>IF(C15="",0,C15*J$9)</f>
        <v>7920</v>
      </c>
      <c r="E15" s="29">
        <f>IF(DigitaTICA!H14&lt;&gt;"",DigitaTICA!H14,"")</f>
        <v>850</v>
      </c>
      <c r="F15" s="42">
        <f>IF(E15="",0,E15*PREMIOS!E15)</f>
        <v>68000</v>
      </c>
      <c r="G15" s="30">
        <f t="shared" si="2"/>
        <v>-23120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122550</v>
      </c>
      <c r="D19" s="68">
        <f>MROUND(SUM(D5:D18),50)</f>
        <v>18400</v>
      </c>
      <c r="E19" s="68">
        <f>SUM(E5:E18)</f>
        <v>850</v>
      </c>
      <c r="F19" s="68">
        <f>SUM(F5:F18)</f>
        <v>68000</v>
      </c>
      <c r="G19" s="88">
        <f>SUM(G5:G18)</f>
        <v>36167.5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14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102200</v>
      </c>
      <c r="K4" s="231">
        <f>D7+D11+D15</f>
        <v>12264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93</v>
      </c>
      <c r="C5" s="29">
        <f>IF(DigitaNICA!C16&lt;&gt;"",DigitaNICA!C16,"")</f>
        <v>6850</v>
      </c>
      <c r="D5" s="42">
        <f>IF(C5="",0,C5*J$12)</f>
        <v>822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6028</v>
      </c>
      <c r="I5" s="63" t="s">
        <v>37</v>
      </c>
      <c r="J5" s="225">
        <f>SUM(IF(C5="",0,C5),IF(C9="",0,C9),IF(C13="",0,C13),IF(C17="",0,C17))</f>
        <v>29000</v>
      </c>
      <c r="K5" s="225">
        <f t="shared" ref="K5" si="1">D5+D9+D13+D17</f>
        <v>3480</v>
      </c>
      <c r="L5" s="222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15000</v>
      </c>
      <c r="K6" s="226">
        <f t="shared" ref="K6" si="2">+D8+D12+D16</f>
        <v>1500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39</v>
      </c>
      <c r="C7" s="29">
        <f>IF(DigitaTICA!C16&lt;&gt;"",DigitaTICA!C16,"")</f>
        <v>31350</v>
      </c>
      <c r="D7" s="42">
        <f>IF(C7="",0,C7*J$11)</f>
        <v>3762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27588</v>
      </c>
      <c r="I7" s="63" t="s">
        <v>96</v>
      </c>
      <c r="J7" s="226">
        <f>SUM(IF(C19="",0,C19),IF(C20="",0,C20))</f>
        <v>3600</v>
      </c>
      <c r="K7" s="226">
        <f>+D19+D20</f>
        <v>432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8000</v>
      </c>
      <c r="D8" s="42">
        <f>IF(C8="",0,C8*J$13)</f>
        <v>800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7200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14</v>
      </c>
      <c r="C9" s="29">
        <f>IF(DigitaNICA!E16&lt;&gt;"",DigitaNICA!E16,"")</f>
        <v>5200</v>
      </c>
      <c r="D9" s="42">
        <f>IF(C9="",0,C9*J$12)</f>
        <v>624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4576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IF(DigitaTICA!E16&lt;&gt;"",DigitaTICA!E16,"")</f>
        <v>21500</v>
      </c>
      <c r="D11" s="42">
        <f>IF(C11="",0,C11*J$11)</f>
        <v>2580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18920</v>
      </c>
      <c r="I11" s="76" t="s">
        <v>36</v>
      </c>
      <c r="J11" s="77">
        <v>0.12</v>
      </c>
      <c r="K11" s="78">
        <f>MROUND(D7+D11+D15,50)</f>
        <v>12250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3500</v>
      </c>
    </row>
    <row r="13" spans="1:12" x14ac:dyDescent="0.35">
      <c r="A13" s="28" t="s">
        <v>50</v>
      </c>
      <c r="B13" s="132">
        <f>IF(DigitaNICA!G2&lt;&gt;"",DigitaNICA!G2,"")</f>
        <v>65</v>
      </c>
      <c r="C13" s="29">
        <f>IF(DigitaNICA!G16&lt;&gt;"",DigitaNICA!G16,"")</f>
        <v>6000</v>
      </c>
      <c r="D13" s="42">
        <f>IF(C13="",0,C13*J$12)</f>
        <v>720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5280</v>
      </c>
      <c r="I13" s="63" t="s">
        <v>38</v>
      </c>
      <c r="J13" s="64">
        <v>0.1</v>
      </c>
      <c r="K13" s="30">
        <f>MROUND(D6+D8+D10+D12+D14+D16+D18,50)</f>
        <v>1500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450</v>
      </c>
    </row>
    <row r="15" spans="1:12" ht="15" thickBot="1" x14ac:dyDescent="0.4">
      <c r="A15" s="28" t="s">
        <v>61</v>
      </c>
      <c r="B15" s="132" t="str">
        <f>IF(DigitaTICA!G2&lt;&gt;"",DigitaTICA!G2,"")</f>
        <v>05</v>
      </c>
      <c r="C15" s="29">
        <f>IF(DigitaTICA!G16&lt;&gt;"",DigitaTICA!G16,"")</f>
        <v>49350</v>
      </c>
      <c r="D15" s="42">
        <f>IF(C15="",0,C15*J$11)</f>
        <v>5922</v>
      </c>
      <c r="E15" s="29">
        <f>IF(DigitaTICA!H16&lt;&gt;"",DigitaTICA!H16,"")</f>
        <v>750</v>
      </c>
      <c r="F15" s="133">
        <f>IF(E15="",0,E15*PREMIOS!F15)</f>
        <v>63750</v>
      </c>
      <c r="G15" s="30">
        <f t="shared" si="3"/>
        <v>-20322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7000</v>
      </c>
      <c r="D16" s="42">
        <f>IF(C16="",0,C16*J$13)</f>
        <v>700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6300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IF(DigitaNICA!I16&lt;&gt;"",DigitaNICA!I16,"")</f>
        <v>10950</v>
      </c>
      <c r="D17" s="42">
        <f>IF(C17="",0,C17*J$12)</f>
        <v>1314</v>
      </c>
      <c r="E17" s="29">
        <f>IF(DigitaNICA!J16&lt;&gt;"",DigitaNICA!J16,"")</f>
        <v>1000</v>
      </c>
      <c r="F17" s="42">
        <f>IF(E17="",0,E17*PREMIOS!E17)</f>
        <v>80000</v>
      </c>
      <c r="G17" s="30">
        <f t="shared" si="3"/>
        <v>-70364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90</v>
      </c>
      <c r="C19" s="29">
        <f>IF(DigitaPRIMERA!C16&lt;&gt;"",DigitaPRIMERA!C16,"")</f>
        <v>3600</v>
      </c>
      <c r="D19" s="42">
        <f>IF(C19="",0,C19*J$14)</f>
        <v>432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3168</v>
      </c>
    </row>
    <row r="20" spans="1:7" x14ac:dyDescent="0.35">
      <c r="A20" s="28" t="s">
        <v>98</v>
      </c>
      <c r="B20" s="132">
        <f>IF(DigitaPRIMERA!E2&lt;&gt;"",DigitaPRIMERA!E2,"")</f>
        <v>88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149800</v>
      </c>
      <c r="D24" s="122">
        <f t="shared" ref="D24:G24" si="5">SUM(D5:D23)</f>
        <v>17676</v>
      </c>
      <c r="E24" s="122">
        <f t="shared" si="5"/>
        <v>1750</v>
      </c>
      <c r="F24" s="122">
        <f t="shared" si="5"/>
        <v>143750</v>
      </c>
      <c r="G24" s="123">
        <f t="shared" si="5"/>
        <v>-11626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408650</v>
      </c>
      <c r="K4" s="231">
        <f t="shared" ref="K4" si="0">D7+D11+D15</f>
        <v>49038</v>
      </c>
      <c r="L4" s="220">
        <f>F7+F11+F15</f>
        <v>578000</v>
      </c>
    </row>
    <row r="5" spans="1:12" x14ac:dyDescent="0.35">
      <c r="A5" s="28" t="s">
        <v>43</v>
      </c>
      <c r="B5" s="132">
        <f>IF(DigitaNICA!C2&lt;&gt;"",DigitaNICA!C2,"")</f>
        <v>93</v>
      </c>
      <c r="C5" s="89">
        <f>IF(DigitaNICA!C17&lt;&gt;"",DigitaNICA!C17,"")</f>
        <v>103650</v>
      </c>
      <c r="D5" s="42">
        <f>IF(C5="",0,C5*J$16)</f>
        <v>12438</v>
      </c>
      <c r="E5" s="89">
        <f>IF(DigitaNICA!D17&lt;&gt;"",DigitaNICA!D17,"")</f>
        <v>700</v>
      </c>
      <c r="F5" s="42">
        <f>IF(E5="",0,E5*PREMIOS!F5)</f>
        <v>59500</v>
      </c>
      <c r="G5" s="90">
        <f t="shared" ref="G5:G12" si="1">IF(OR(C5="",E5=""),0,C5-D5-F5)</f>
        <v>31712</v>
      </c>
      <c r="I5" s="217" t="s">
        <v>37</v>
      </c>
      <c r="J5" s="221">
        <f>SUM(IF(C5="",0,C5),IF(C9="",0,C9),IF(C13="",0,C13),IF(C17="",0,C17))</f>
        <v>336700</v>
      </c>
      <c r="K5" s="225">
        <f t="shared" ref="K5" si="2">D5+D9+D13+D17</f>
        <v>40404</v>
      </c>
      <c r="L5" s="222">
        <f>F5+F9+F13+F17</f>
        <v>318750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51450</v>
      </c>
      <c r="K6" s="226">
        <f t="shared" ref="K6" si="3">+D8+D12+D16</f>
        <v>5145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39</v>
      </c>
      <c r="C7" s="89">
        <f>IF(DigitaTICA!C17&lt;&gt;"",DigitaTICA!C17,"")</f>
        <v>142100</v>
      </c>
      <c r="D7" s="42">
        <f>IF(C7="",0,C7*J$15)</f>
        <v>17052</v>
      </c>
      <c r="E7" s="89">
        <f>IF(DigitaTICA!D17&lt;&gt;"",DigitaTICA!D17,"")</f>
        <v>800</v>
      </c>
      <c r="F7" s="42">
        <f>IF(E7="",0,E7*PREMIOS!F7)</f>
        <v>68000</v>
      </c>
      <c r="G7" s="90">
        <f t="shared" si="1"/>
        <v>57048</v>
      </c>
      <c r="I7" s="217" t="s">
        <v>96</v>
      </c>
      <c r="J7" s="223">
        <f>SUM(IF(C19="",0,C19),IF(C20="",0,C20))</f>
        <v>85450</v>
      </c>
      <c r="K7" s="226">
        <f>+D19+D20</f>
        <v>10254</v>
      </c>
      <c r="L7" s="227">
        <f>+F19+F20</f>
        <v>68000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23500</v>
      </c>
      <c r="D8" s="42">
        <f>IF(C8="",0,C8*J$17)</f>
        <v>2350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21150</v>
      </c>
      <c r="I8" s="217" t="s">
        <v>104</v>
      </c>
      <c r="J8" s="223">
        <f>SUM(IF(C21="",0,C21),IF(C22="",0,C22),IF(C23="",0,C23))</f>
        <v>71650</v>
      </c>
      <c r="K8" s="226">
        <f t="shared" ref="K8" si="4">D21+D22+D23</f>
        <v>8598</v>
      </c>
      <c r="L8" s="227">
        <f>F21+F22+F23</f>
        <v>8500</v>
      </c>
    </row>
    <row r="9" spans="1:12" x14ac:dyDescent="0.35">
      <c r="A9" s="28" t="s">
        <v>48</v>
      </c>
      <c r="B9" s="132">
        <f>IF(DigitaNICA!E2&lt;&gt;"",DigitaNICA!E2,"")</f>
        <v>14</v>
      </c>
      <c r="C9" s="89">
        <f>IF(DigitaNICA!E17&lt;&gt;"",DigitaNICA!E17,"")</f>
        <v>50700</v>
      </c>
      <c r="D9" s="42">
        <f>IF(C9="",0,C9*J$16)</f>
        <v>6084</v>
      </c>
      <c r="E9" s="89">
        <f>IF(DigitaNICA!F17&lt;&gt;"",DigitaNICA!F17,"")</f>
        <v>50</v>
      </c>
      <c r="F9" s="42">
        <f>IF(E9="",0,E9*PREMIOS!F9)</f>
        <v>4250</v>
      </c>
      <c r="G9" s="90">
        <f t="shared" si="1"/>
        <v>40366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36</v>
      </c>
      <c r="C11" s="89">
        <f>IF(DigitaTICA!E17&lt;&gt;"",DigitaTICA!E17,"")</f>
        <v>88250</v>
      </c>
      <c r="D11" s="42">
        <f>IF(C11="",0,C11*J$15)</f>
        <v>10590</v>
      </c>
      <c r="E11" s="89">
        <f>IF(DigitaTICA!F17&lt;&gt;"",DigitaTICA!F17,"")</f>
        <v>350</v>
      </c>
      <c r="F11" s="42">
        <f>IF(E11="",0,E11*PREMIOS!F11)</f>
        <v>29750</v>
      </c>
      <c r="G11" s="90">
        <f t="shared" si="1"/>
        <v>47910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12300</v>
      </c>
      <c r="D12" s="42">
        <f>IF(C12="",0,C12*J$17)</f>
        <v>1230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11070</v>
      </c>
    </row>
    <row r="13" spans="1:12" ht="15" thickBot="1" x14ac:dyDescent="0.4">
      <c r="A13" s="28" t="s">
        <v>50</v>
      </c>
      <c r="B13" s="132">
        <f>IF(DigitaNICA!G2&lt;&gt;"",DigitaNICA!G2,"")</f>
        <v>65</v>
      </c>
      <c r="C13" s="89">
        <f>IF(DigitaNICA!G17&lt;&gt;"",DigitaNICA!G17,"")</f>
        <v>40800</v>
      </c>
      <c r="D13" s="42">
        <f>IF(C13="",0,C13*J$16)</f>
        <v>4896</v>
      </c>
      <c r="E13" s="89">
        <f>IF(DigitaNICA!H17&lt;&gt;"",DigitaNICA!H17,"")</f>
        <v>0</v>
      </c>
      <c r="F13" s="42">
        <f>IF(E13="",0,E13*PREMIOS!F13)</f>
        <v>0</v>
      </c>
      <c r="G13" s="90">
        <f>IF(OR(C13="",E13=""),0,C13-D13-F13)</f>
        <v>35904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2" t="str">
        <f>IF(DigitaTICA!G2&lt;&gt;"",DigitaTICA!G2,"")</f>
        <v>05</v>
      </c>
      <c r="C15" s="89">
        <f>IF(DigitaTICA!G17&lt;&gt;"",DigitaTICA!G17,"")</f>
        <v>178300</v>
      </c>
      <c r="D15" s="42">
        <f>IF(C15="",0,C15*J$15)</f>
        <v>21396</v>
      </c>
      <c r="E15" s="89">
        <f>IF(DigitaTICA!H17&lt;&gt;"",DigitaTICA!H17,"")</f>
        <v>5650</v>
      </c>
      <c r="F15" s="42">
        <f>IF(E15="",0,E15*PREMIOS!F15)</f>
        <v>480250</v>
      </c>
      <c r="G15" s="90">
        <f t="shared" si="6"/>
        <v>-323346</v>
      </c>
      <c r="I15" s="76" t="s">
        <v>36</v>
      </c>
      <c r="J15" s="77">
        <v>0.12</v>
      </c>
      <c r="K15" s="78">
        <f>MROUND(D7+D11+D15,50)</f>
        <v>49050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15650</v>
      </c>
      <c r="D16" s="42">
        <f>IF(C16="",0,C16*J$17)</f>
        <v>1565</v>
      </c>
      <c r="E16" s="89">
        <f>IF(DigitaREVENTADO!H17&lt;&gt;"",DigitaREVENTADO!H17,"")</f>
        <v>1300</v>
      </c>
      <c r="F16" s="42">
        <f>IF(E16="",0,E16*PREMIOS!F16)</f>
        <v>0</v>
      </c>
      <c r="G16" s="90">
        <f t="shared" si="6"/>
        <v>14085</v>
      </c>
      <c r="I16" s="63" t="s">
        <v>37</v>
      </c>
      <c r="J16" s="64">
        <v>0.12</v>
      </c>
      <c r="K16" s="30">
        <f>MROUND(D5+D9+D13+D17,50)</f>
        <v>40400</v>
      </c>
    </row>
    <row r="17" spans="1:11" x14ac:dyDescent="0.35">
      <c r="A17" s="28" t="s">
        <v>52</v>
      </c>
      <c r="B17" s="132">
        <f>IF(DigitaNICA!I2&lt;&gt;"",DigitaNICA!I2,"")</f>
        <v>21</v>
      </c>
      <c r="C17" s="89">
        <f>IF(DigitaNICA!I17&lt;&gt;"",DigitaNICA!I17,"")</f>
        <v>141550</v>
      </c>
      <c r="D17" s="42">
        <f>IF(C17="",0,C17*J$16)</f>
        <v>16986</v>
      </c>
      <c r="E17" s="89">
        <f>IF(DigitaNICA!J17&lt;&gt;"",DigitaNICA!J17,"")</f>
        <v>3000</v>
      </c>
      <c r="F17" s="42">
        <f>IF(E17="",0,E17*PREMIOS!F17)</f>
        <v>255000</v>
      </c>
      <c r="G17" s="90">
        <f t="shared" si="6"/>
        <v>-130436</v>
      </c>
      <c r="I17" s="63" t="s">
        <v>38</v>
      </c>
      <c r="J17" s="64">
        <v>0.1</v>
      </c>
      <c r="K17" s="30">
        <f>MROUND(D6+D8+D10+D12+D14+D16+D18,50)</f>
        <v>5150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10250</v>
      </c>
    </row>
    <row r="19" spans="1:11" x14ac:dyDescent="0.35">
      <c r="A19" s="28" t="s">
        <v>97</v>
      </c>
      <c r="B19" s="132">
        <f>IF(DigitaPRIMERA!C2&lt;&gt;"",DigitaPRIMERA!C2,"")</f>
        <v>90</v>
      </c>
      <c r="C19" s="29">
        <f>IF(DigitaPRIMERA!$C$17&lt;&gt;"",DigitaPRIMERA!$C$17,"")</f>
        <v>64850</v>
      </c>
      <c r="D19" s="42">
        <f>IF(C19="",0,C19*J$18)</f>
        <v>7782</v>
      </c>
      <c r="E19" s="29">
        <f>IF(DigitaPRIMERA!$D$17&lt;&gt;"",DigitaPRIMERA!$D$17,"")</f>
        <v>800</v>
      </c>
      <c r="F19" s="42">
        <f>IF(E19="",0,E19*PREMIOS!F19)</f>
        <v>68000</v>
      </c>
      <c r="G19" s="30">
        <f t="shared" si="6"/>
        <v>-10932</v>
      </c>
      <c r="I19" s="63" t="s">
        <v>104</v>
      </c>
      <c r="J19" s="64">
        <v>0.12</v>
      </c>
      <c r="K19" s="30">
        <f>MROUND(D21+D22+D23,50)</f>
        <v>8600</v>
      </c>
    </row>
    <row r="20" spans="1:11" x14ac:dyDescent="0.35">
      <c r="A20" s="28" t="s">
        <v>98</v>
      </c>
      <c r="B20" s="132">
        <f>IF(DigitaPRIMERA!E2&lt;&gt;"",DigitaPRIMERA!E2,"")</f>
        <v>88</v>
      </c>
      <c r="C20" s="29">
        <f>IF(DigitaPRIMERA!$E$17&lt;&gt;"",DigitaPRIMERA!$E$17,"")</f>
        <v>20600</v>
      </c>
      <c r="D20" s="42">
        <f>IF(C20="",0,C20*J$18)</f>
        <v>2472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18128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63</v>
      </c>
      <c r="C21" s="29">
        <f>IF(DigitaHONDURAS!$C$17&lt;&gt;"",DigitaHONDURAS!$C$17,"")</f>
        <v>48900</v>
      </c>
      <c r="D21" s="42">
        <f>IF(C21="",0,C21*J$19)</f>
        <v>5868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43032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68</v>
      </c>
      <c r="C22" s="29">
        <f>IF(DigitaHONDURAS!$E$17&lt;&gt;"",DigitaHONDURAS!$E$17,"")</f>
        <v>5200</v>
      </c>
      <c r="D22" s="42">
        <f>IF(C22="",0,C22*J$19)</f>
        <v>624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4576</v>
      </c>
    </row>
    <row r="23" spans="1:11" x14ac:dyDescent="0.35">
      <c r="A23" s="28" t="s">
        <v>101</v>
      </c>
      <c r="B23" s="132">
        <f>IF(DigitaHONDURAS!G2&lt;&gt;"",DigitaHONDURAS!G2,"")</f>
        <v>89</v>
      </c>
      <c r="C23" s="29">
        <f>IF(DigitaHONDURAS!$G$17&lt;&gt;"",DigitaHONDURAS!$G$17,"")</f>
        <v>17550</v>
      </c>
      <c r="D23" s="42">
        <f>IF(C23="",0,C23*J$19)</f>
        <v>2106</v>
      </c>
      <c r="E23" s="29">
        <f>IF(DigitaHONDURAS!$H$17&lt;&gt;"",DigitaHONDURAS!$H$17,"")</f>
        <v>100</v>
      </c>
      <c r="F23" s="42">
        <f>IF(E23="",0,E23*PREMIOS!F20)</f>
        <v>8500</v>
      </c>
      <c r="G23" s="30">
        <f t="shared" si="6"/>
        <v>6944</v>
      </c>
    </row>
    <row r="24" spans="1:11" x14ac:dyDescent="0.35">
      <c r="A24" s="28" t="s">
        <v>102</v>
      </c>
      <c r="B24" s="132">
        <f>IF(DigitaDOMINICANA!C2&lt;&gt;"",DigitaDOMINICANA!C2,"")</f>
        <v>45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>03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953900</v>
      </c>
      <c r="D27" s="68">
        <f t="shared" ref="D27:G27" si="7">SUM(D5:D26)</f>
        <v>113439</v>
      </c>
      <c r="E27" s="68">
        <f t="shared" si="7"/>
        <v>12750</v>
      </c>
      <c r="F27" s="68">
        <f t="shared" si="7"/>
        <v>973250</v>
      </c>
      <c r="G27" s="88">
        <f t="shared" si="7"/>
        <v>-132789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201450</v>
      </c>
      <c r="K4" s="231">
        <f t="shared" ref="K4" si="0">D7+D11+D15</f>
        <v>24174</v>
      </c>
      <c r="L4" s="220">
        <f>F7+F11+F15</f>
        <v>136000</v>
      </c>
    </row>
    <row r="5" spans="1:12" x14ac:dyDescent="0.35">
      <c r="A5" s="28" t="str">
        <f>+Vendedor1!A5</f>
        <v>Nica 11am</v>
      </c>
      <c r="B5" s="132">
        <f>IF(DigitaNICA!C2&lt;&gt;"",DigitaNICA!C2,"")</f>
        <v>93</v>
      </c>
      <c r="C5" s="29">
        <f>IF(DigitaNICA!C18&lt;&gt;"",DigitaNICA!C18,"")</f>
        <v>93000</v>
      </c>
      <c r="D5" s="42">
        <f>IF(C5="",0,C5*J$16)</f>
        <v>11160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81840</v>
      </c>
      <c r="I5" s="217" t="s">
        <v>37</v>
      </c>
      <c r="J5" s="221">
        <f>SUM(IF(C5="",0,C5),IF(C9="",0,C9),IF(C13="",0,C13),IF(C17="",0,C17))</f>
        <v>255500</v>
      </c>
      <c r="K5" s="225">
        <f t="shared" ref="K5" si="2">D5+D9+D13+D17</f>
        <v>30660</v>
      </c>
      <c r="L5" s="222">
        <f>F5+F9+F13+F17</f>
        <v>110500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79400</v>
      </c>
      <c r="K6" s="226">
        <f t="shared" ref="K6" si="3">+D8+D12+D16</f>
        <v>7940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39</v>
      </c>
      <c r="C7" s="29">
        <f>IF(DigitaTICA!C18&lt;&gt;"",DigitaTICA!C18,"")</f>
        <v>75100</v>
      </c>
      <c r="D7" s="42">
        <f>IF(C7="",0,C7*J$15)</f>
        <v>9012</v>
      </c>
      <c r="E7" s="29">
        <f>IF(DigitaTICA!D18&lt;&gt;"",DigitaTICA!D18,"")</f>
        <v>600</v>
      </c>
      <c r="F7" s="42">
        <f>IF(E7="",0,E7*PREMIOS!F7)</f>
        <v>51000</v>
      </c>
      <c r="G7" s="30">
        <f t="shared" si="1"/>
        <v>15088</v>
      </c>
      <c r="I7" s="217" t="s">
        <v>96</v>
      </c>
      <c r="J7" s="223">
        <f>SUM(IF(C19="",0,C19),IF(C20="",0,C20))</f>
        <v>144300</v>
      </c>
      <c r="K7" s="226">
        <f>+D19+D20</f>
        <v>17316</v>
      </c>
      <c r="L7" s="227">
        <f>+F19+F20</f>
        <v>187000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29100</v>
      </c>
      <c r="D8" s="42">
        <f>IF(C8="",0,C8*J$17)</f>
        <v>2910</v>
      </c>
      <c r="E8" s="29">
        <f>IF(DigitaREVENTADO!D18&lt;&gt;"",DigitaREVENTADO!D18,"")</f>
        <v>200</v>
      </c>
      <c r="F8" s="42">
        <f>IF(E8="",0,E8*PREMIOS!F8)</f>
        <v>0</v>
      </c>
      <c r="G8" s="30">
        <f t="shared" si="1"/>
        <v>26190</v>
      </c>
      <c r="I8" s="217" t="s">
        <v>104</v>
      </c>
      <c r="J8" s="223">
        <f>SUM(IF(C21="",0,C21),IF(C22="",0,C22),IF(C23="",0,C23))</f>
        <v>44250</v>
      </c>
      <c r="K8" s="226">
        <f t="shared" ref="K8" si="4">D21+D22+D23</f>
        <v>5310</v>
      </c>
      <c r="L8" s="227">
        <f>F21+F22+F23</f>
        <v>8500</v>
      </c>
    </row>
    <row r="9" spans="1:12" x14ac:dyDescent="0.35">
      <c r="A9" s="28" t="str">
        <f>+Vendedor1!A9</f>
        <v>Nica 3pm</v>
      </c>
      <c r="B9" s="132">
        <f>IF(DigitaNICA!E2&lt;&gt;"",DigitaNICA!E2,"")</f>
        <v>14</v>
      </c>
      <c r="C9" s="29">
        <f>IF(DigitaNICA!E18&lt;&gt;"",DigitaNICA!E18,"")</f>
        <v>73850</v>
      </c>
      <c r="D9" s="42">
        <f>IF(C9="",0,C9*J$16)</f>
        <v>8862</v>
      </c>
      <c r="E9" s="29">
        <f>IF(DigitaNICA!F18&lt;&gt;"",DigitaNICA!F18,"")</f>
        <v>400</v>
      </c>
      <c r="F9" s="42">
        <f>IF(E9="",0,E9*PREMIOS!F9)</f>
        <v>34000</v>
      </c>
      <c r="G9" s="30">
        <f t="shared" si="1"/>
        <v>30988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36</v>
      </c>
      <c r="C11" s="29">
        <f>IF(DigitaTICA!E18&lt;&gt;"",DigitaTICA!E18,"")</f>
        <v>55200</v>
      </c>
      <c r="D11" s="42">
        <f>IF(C11="",0,C11*J$15)</f>
        <v>6624</v>
      </c>
      <c r="E11" s="29">
        <f>IF(DigitaTICA!F18&lt;&gt;"",DigitaTICA!F18,"")</f>
        <v>900</v>
      </c>
      <c r="F11" s="42">
        <f>IF(E11="",0,E11*PREMIOS!F11)</f>
        <v>76500</v>
      </c>
      <c r="G11" s="30">
        <f t="shared" si="1"/>
        <v>-27924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25400</v>
      </c>
      <c r="D12" s="42">
        <f>IF(C12="",0,C12*J$17)</f>
        <v>2540</v>
      </c>
      <c r="E12" s="29">
        <f>IF(DigitaREVENTADO!F18&lt;&gt;"",DigitaREVENTADO!F18,"")</f>
        <v>200</v>
      </c>
      <c r="F12" s="42">
        <f>IF(E12="",0,E12*PREMIOS!F12)</f>
        <v>0</v>
      </c>
      <c r="G12" s="30">
        <f t="shared" si="1"/>
        <v>22860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65</v>
      </c>
      <c r="C13" s="29">
        <f>IF(DigitaNICA!G18&lt;&gt;"",DigitaNICA!G18,"")</f>
        <v>72150</v>
      </c>
      <c r="D13" s="42">
        <f>IF(C13="",0,C13*J$16)</f>
        <v>8658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63492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2" t="str">
        <f>IF(DigitaTICA!G2&lt;&gt;"",DigitaTICA!G2,"")</f>
        <v>05</v>
      </c>
      <c r="C15" s="29">
        <f>IF(DigitaTICA!G18&lt;&gt;"",DigitaTICA!G18,"")</f>
        <v>71150</v>
      </c>
      <c r="D15" s="42">
        <f>IF(C15="",0,C15*J$15)</f>
        <v>8538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54112</v>
      </c>
      <c r="I15" s="76" t="s">
        <v>36</v>
      </c>
      <c r="J15" s="77">
        <v>0.12</v>
      </c>
      <c r="K15" s="78">
        <f>MROUND(D7+D11+D15,50)</f>
        <v>24150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24900</v>
      </c>
      <c r="D16" s="42">
        <f>IF(C16="",0,C16*J$17)</f>
        <v>2490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22410</v>
      </c>
      <c r="I16" s="63" t="s">
        <v>37</v>
      </c>
      <c r="J16" s="64">
        <v>0.12</v>
      </c>
      <c r="K16" s="30">
        <f>MROUND(D5+D9+D13+D17,50)</f>
        <v>30650</v>
      </c>
    </row>
    <row r="17" spans="1:11" x14ac:dyDescent="0.35">
      <c r="A17" s="28" t="str">
        <f>+Vendedor1!A17</f>
        <v>Nica 9pm</v>
      </c>
      <c r="B17" s="132">
        <f>IF(DigitaNICA!I2&lt;&gt;"",DigitaNICA!I2,"")</f>
        <v>21</v>
      </c>
      <c r="C17" s="29">
        <f>IF(DigitaNICA!I18&lt;&gt;"",DigitaNICA!I18,"")</f>
        <v>16500</v>
      </c>
      <c r="D17" s="42">
        <f>IF(C17="",0,C17*J$16)</f>
        <v>1980</v>
      </c>
      <c r="E17" s="29">
        <f>IF(DigitaNICA!J18&lt;&gt;"",DigitaNICA!J18,"")</f>
        <v>900</v>
      </c>
      <c r="F17" s="42">
        <f>IF(E17="",0,E17*PREMIOS!F17)</f>
        <v>76500</v>
      </c>
      <c r="G17" s="30">
        <f t="shared" si="6"/>
        <v>-61980</v>
      </c>
      <c r="I17" s="63" t="s">
        <v>38</v>
      </c>
      <c r="J17" s="64">
        <v>0.1</v>
      </c>
      <c r="K17" s="30">
        <f>MROUND(D6+D8+D10+D12+D14+D16+D18,50)</f>
        <v>7950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17300</v>
      </c>
    </row>
    <row r="19" spans="1:11" x14ac:dyDescent="0.35">
      <c r="A19" s="28" t="s">
        <v>97</v>
      </c>
      <c r="B19" s="132">
        <f>IF(DigitaPRIMERA!C2&lt;&gt;"",DigitaPRIMERA!C2,"")</f>
        <v>90</v>
      </c>
      <c r="C19" s="29">
        <f>IF(DigitaPRIMERA!$C$18&lt;&gt;"",DigitaPRIMERA!$C$18,"")</f>
        <v>80600</v>
      </c>
      <c r="D19" s="42">
        <f>IF(C19="",0,C19*J$18)</f>
        <v>9672</v>
      </c>
      <c r="E19" s="29">
        <f>IF(DigitaPRIMERA!$D$18&lt;&gt;"",DigitaPRIMERA!$D$18,"")</f>
        <v>1400</v>
      </c>
      <c r="F19" s="42">
        <f>IF(E19="",0,E19*PREMIOS!F19)</f>
        <v>119000</v>
      </c>
      <c r="G19" s="30">
        <f t="shared" si="6"/>
        <v>-48072</v>
      </c>
      <c r="I19" s="63" t="s">
        <v>104</v>
      </c>
      <c r="J19" s="64">
        <v>0.12</v>
      </c>
      <c r="K19" s="30">
        <f>MROUND(D21+D22+D23,50)</f>
        <v>5300</v>
      </c>
    </row>
    <row r="20" spans="1:11" x14ac:dyDescent="0.35">
      <c r="A20" s="28" t="s">
        <v>98</v>
      </c>
      <c r="B20" s="132">
        <f>IF(DigitaPRIMERA!E2&lt;&gt;"",DigitaPRIMERA!E2,"")</f>
        <v>88</v>
      </c>
      <c r="C20" s="29">
        <f>IF(DigitaPRIMERA!$E$18&lt;&gt;"",DigitaPRIMERA!$E$18,"")</f>
        <v>63700</v>
      </c>
      <c r="D20" s="42">
        <f>IF(C20="",0,C20*J$18)</f>
        <v>7644</v>
      </c>
      <c r="E20" s="29">
        <f>IF(DigitaPRIMERA!$F$18&lt;&gt;"",DigitaPRIMERA!$F$18,"")</f>
        <v>800</v>
      </c>
      <c r="F20" s="42">
        <f>IF(E20="",0,E20*PREMIOS!F19)</f>
        <v>68000</v>
      </c>
      <c r="G20" s="30">
        <f t="shared" si="6"/>
        <v>-11944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63</v>
      </c>
      <c r="C21" s="29">
        <f>IF(DigitaHONDURAS!$C$18&lt;&gt;"",DigitaHONDURAS!$C$18,"")</f>
        <v>29000</v>
      </c>
      <c r="D21" s="42">
        <f>IF(C21="",0,C21*J$19)</f>
        <v>3480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17020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68</v>
      </c>
      <c r="C22" s="29">
        <f>IF(DigitaHONDURAS!$E$18&lt;&gt;"",DigitaHONDURAS!$E$18,"")</f>
        <v>15250</v>
      </c>
      <c r="D22" s="42">
        <f>IF(C22="",0,C22*J$19)</f>
        <v>1830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13420</v>
      </c>
    </row>
    <row r="23" spans="1:11" x14ac:dyDescent="0.35">
      <c r="A23" s="28" t="s">
        <v>101</v>
      </c>
      <c r="B23" s="132">
        <f>IF(DigitaHONDURAS!G2&lt;&gt;"",DigitaHONDURAS!G2,"")</f>
        <v>89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>03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724900</v>
      </c>
      <c r="D27" s="68">
        <f t="shared" ref="D27:G27" si="7">SUM(D5:D26)</f>
        <v>85400</v>
      </c>
      <c r="E27" s="68">
        <f t="shared" si="7"/>
        <v>5700</v>
      </c>
      <c r="F27" s="68">
        <f t="shared" si="7"/>
        <v>442000</v>
      </c>
      <c r="G27" s="88">
        <f t="shared" si="7"/>
        <v>197500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88</v>
      </c>
      <c r="D2" s="282"/>
      <c r="E2" s="282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93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2">
        <f>IF(DigitaNICA!E2&lt;&gt;"",DigitaNICA!E2,"")</f>
        <v>14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>05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14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2" t="s">
        <v>84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14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83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14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82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14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H10" sqref="H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39</v>
      </c>
      <c r="D2" s="269"/>
      <c r="E2" s="268">
        <f>IF(PREMIOS!$B11="","",PREMIOS!$B11)</f>
        <v>36</v>
      </c>
      <c r="F2" s="269"/>
      <c r="G2" s="268" t="str">
        <f>IF(PREMIOS!$B15="","",PREMIOS!$B15)</f>
        <v>05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88100</v>
      </c>
      <c r="D4" s="78">
        <v>700</v>
      </c>
      <c r="E4" s="189">
        <v>48500</v>
      </c>
      <c r="F4" s="78">
        <f t="shared" ref="D4:H27" si="0">IF(E4="","",0)</f>
        <v>0</v>
      </c>
      <c r="G4" s="189">
        <v>112850</v>
      </c>
      <c r="H4" s="78">
        <v>4600</v>
      </c>
      <c r="J4" s="42">
        <f t="shared" ref="J4:J8" si="1">+C4+E4+G4</f>
        <v>249450</v>
      </c>
      <c r="K4" s="42">
        <f>IF(D4="",0,IF(F4="",D4,IF(H4="",D4+F4,D4+F4+H4)))</f>
        <v>5300</v>
      </c>
    </row>
    <row r="5" spans="1:11" x14ac:dyDescent="0.35">
      <c r="A5" s="47">
        <v>2</v>
      </c>
      <c r="B5" s="178" t="str">
        <f>Vendedor2!$B$2</f>
        <v>PUESTO 2</v>
      </c>
      <c r="C5" s="180">
        <v>31350</v>
      </c>
      <c r="D5" s="30">
        <v>300</v>
      </c>
      <c r="E5" s="180">
        <v>10850</v>
      </c>
      <c r="F5" s="30">
        <f t="shared" si="0"/>
        <v>0</v>
      </c>
      <c r="G5" s="180">
        <v>40950</v>
      </c>
      <c r="H5" s="30">
        <v>2400</v>
      </c>
      <c r="J5" s="42">
        <f t="shared" si="1"/>
        <v>83150</v>
      </c>
      <c r="K5" s="42">
        <f t="shared" ref="K5:K27" si="2">IF(D5="",0,IF(F5="",D5,IF(H5="",D5+F5,D5+F5+H5)))</f>
        <v>2700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>
        <v>15000</v>
      </c>
      <c r="H7" s="30">
        <f t="shared" si="0"/>
        <v>0</v>
      </c>
      <c r="J7" s="42">
        <f t="shared" si="1"/>
        <v>15000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57350</v>
      </c>
      <c r="D8" s="30">
        <v>750</v>
      </c>
      <c r="E8" s="180">
        <v>42200</v>
      </c>
      <c r="F8" s="30">
        <v>250</v>
      </c>
      <c r="G8" s="180">
        <v>47750</v>
      </c>
      <c r="H8" s="30">
        <v>200</v>
      </c>
      <c r="J8" s="42">
        <f t="shared" si="1"/>
        <v>147300</v>
      </c>
      <c r="K8" s="42">
        <f t="shared" si="2"/>
        <v>1200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41200+91900</f>
        <v>133100</v>
      </c>
      <c r="D10" s="30">
        <f>1000+650</f>
        <v>1650</v>
      </c>
      <c r="E10" s="180">
        <f>58400+144800</f>
        <v>203200</v>
      </c>
      <c r="F10" s="30">
        <f>1500+3000</f>
        <v>4500</v>
      </c>
      <c r="G10" s="180">
        <f>50400+123750</f>
        <v>174150</v>
      </c>
      <c r="H10" s="30">
        <f>2800+4200</f>
        <v>7000</v>
      </c>
      <c r="J10" s="42">
        <f t="shared" si="3"/>
        <v>510450</v>
      </c>
      <c r="K10" s="42">
        <f t="shared" si="2"/>
        <v>13150</v>
      </c>
    </row>
    <row r="11" spans="1:11" x14ac:dyDescent="0.35">
      <c r="A11" s="47">
        <v>8</v>
      </c>
      <c r="B11" s="178" t="str">
        <f>Vendedor8!$B$2</f>
        <v>ISA</v>
      </c>
      <c r="C11" s="180">
        <v>2500</v>
      </c>
      <c r="D11" s="30">
        <f t="shared" si="0"/>
        <v>0</v>
      </c>
      <c r="E11" s="180"/>
      <c r="F11" s="30" t="str">
        <f t="shared" si="0"/>
        <v/>
      </c>
      <c r="G11" s="180">
        <v>9000</v>
      </c>
      <c r="H11" s="30">
        <v>200</v>
      </c>
      <c r="J11" s="42">
        <f t="shared" si="3"/>
        <v>11500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11400</v>
      </c>
      <c r="D12" s="30">
        <f t="shared" si="0"/>
        <v>0</v>
      </c>
      <c r="E12" s="180">
        <v>8250</v>
      </c>
      <c r="F12" s="30">
        <f t="shared" si="0"/>
        <v>0</v>
      </c>
      <c r="G12" s="180">
        <v>23250</v>
      </c>
      <c r="H12" s="30">
        <f t="shared" si="0"/>
        <v>0</v>
      </c>
      <c r="J12" s="42">
        <f t="shared" si="3"/>
        <v>42900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46150</v>
      </c>
      <c r="D13" s="30">
        <v>100</v>
      </c>
      <c r="E13" s="180">
        <v>16000</v>
      </c>
      <c r="F13" s="30">
        <f t="shared" si="0"/>
        <v>0</v>
      </c>
      <c r="G13" s="180">
        <v>80200</v>
      </c>
      <c r="H13" s="30">
        <v>1800</v>
      </c>
      <c r="J13" s="42">
        <f t="shared" si="3"/>
        <v>142350</v>
      </c>
      <c r="K13" s="42">
        <f t="shared" si="2"/>
        <v>1900</v>
      </c>
    </row>
    <row r="14" spans="1:11" x14ac:dyDescent="0.35">
      <c r="A14" s="47">
        <v>11</v>
      </c>
      <c r="B14" s="178" t="str">
        <f>Vendedor11!$B$2</f>
        <v>CHARLY</v>
      </c>
      <c r="C14" s="180">
        <v>45650</v>
      </c>
      <c r="D14" s="30">
        <f t="shared" si="0"/>
        <v>0</v>
      </c>
      <c r="E14" s="180">
        <v>24100</v>
      </c>
      <c r="F14" s="30">
        <f t="shared" si="0"/>
        <v>0</v>
      </c>
      <c r="G14" s="180">
        <v>52800</v>
      </c>
      <c r="H14" s="30">
        <v>850</v>
      </c>
      <c r="J14" s="42">
        <f t="shared" si="3"/>
        <v>122550</v>
      </c>
      <c r="K14" s="42">
        <f t="shared" si="2"/>
        <v>850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31350</v>
      </c>
      <c r="D16" s="30">
        <f t="shared" si="0"/>
        <v>0</v>
      </c>
      <c r="E16" s="180">
        <v>21500</v>
      </c>
      <c r="F16" s="30">
        <f t="shared" si="0"/>
        <v>0</v>
      </c>
      <c r="G16" s="180">
        <v>49350</v>
      </c>
      <c r="H16" s="30">
        <v>750</v>
      </c>
      <c r="J16" s="42">
        <f t="shared" si="3"/>
        <v>102200</v>
      </c>
      <c r="K16" s="42">
        <f t="shared" si="2"/>
        <v>750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113700+28400</f>
        <v>142100</v>
      </c>
      <c r="D17" s="30">
        <f>800+0</f>
        <v>800</v>
      </c>
      <c r="E17" s="180">
        <f>75750+12500</f>
        <v>88250</v>
      </c>
      <c r="F17" s="30">
        <f>350+0</f>
        <v>350</v>
      </c>
      <c r="G17" s="180">
        <f>155850+22450</f>
        <v>178300</v>
      </c>
      <c r="H17" s="30">
        <f>4150+1500</f>
        <v>5650</v>
      </c>
      <c r="J17" s="42">
        <f t="shared" si="3"/>
        <v>408650</v>
      </c>
      <c r="K17" s="42">
        <f t="shared" si="2"/>
        <v>6800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44500+30600</f>
        <v>75100</v>
      </c>
      <c r="D18" s="30">
        <f>400+200</f>
        <v>600</v>
      </c>
      <c r="E18" s="180">
        <f>29800+25400</f>
        <v>55200</v>
      </c>
      <c r="F18" s="30">
        <f>700+200</f>
        <v>900</v>
      </c>
      <c r="G18" s="180">
        <f>44750+26400</f>
        <v>71150</v>
      </c>
      <c r="H18" s="30">
        <v>100</v>
      </c>
      <c r="J18" s="42">
        <f t="shared" si="3"/>
        <v>201450</v>
      </c>
      <c r="K18" s="42">
        <f t="shared" si="2"/>
        <v>1600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664150</v>
      </c>
      <c r="D32" s="44">
        <f t="shared" si="6"/>
        <v>4900</v>
      </c>
      <c r="E32" s="43">
        <f t="shared" si="6"/>
        <v>518050</v>
      </c>
      <c r="F32" s="44">
        <f t="shared" si="6"/>
        <v>6000</v>
      </c>
      <c r="G32" s="43">
        <f t="shared" si="6"/>
        <v>854750</v>
      </c>
      <c r="H32" s="44">
        <f t="shared" si="6"/>
        <v>23550</v>
      </c>
      <c r="J32" s="95">
        <f>SUM(J4:J31)</f>
        <v>2036950</v>
      </c>
      <c r="K32" s="95"/>
    </row>
    <row r="33" spans="2:8" x14ac:dyDescent="0.35">
      <c r="D33" s="99">
        <f>+D32*85</f>
        <v>416500</v>
      </c>
      <c r="F33" s="99">
        <f>+F32*85</f>
        <v>510000</v>
      </c>
      <c r="H33" s="99">
        <f>+H32*85</f>
        <v>2001750</v>
      </c>
    </row>
    <row r="34" spans="2:8" x14ac:dyDescent="0.35">
      <c r="B34" s="247" t="s">
        <v>149</v>
      </c>
      <c r="C34" s="43">
        <f t="shared" ref="C34:H34" si="7">+C4+C5+C6+C8+C13</f>
        <v>222950</v>
      </c>
      <c r="D34" s="43" t="e">
        <f t="shared" si="7"/>
        <v>#VALUE!</v>
      </c>
      <c r="E34" s="43">
        <f t="shared" si="7"/>
        <v>117550</v>
      </c>
      <c r="F34" s="43" t="e">
        <f t="shared" si="7"/>
        <v>#VALUE!</v>
      </c>
      <c r="G34" s="43">
        <f t="shared" si="7"/>
        <v>281750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265350</v>
      </c>
      <c r="D35" s="43" t="e">
        <f t="shared" ref="D35:H35" si="8">+D11+D14+D15+D17+D18</f>
        <v>#VALUE!</v>
      </c>
      <c r="E35" s="43">
        <f t="shared" si="8"/>
        <v>167550</v>
      </c>
      <c r="F35" s="43" t="e">
        <f t="shared" si="8"/>
        <v>#VALUE!</v>
      </c>
      <c r="G35" s="43">
        <f t="shared" si="8"/>
        <v>311250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144500</v>
      </c>
      <c r="D36" s="43" t="e">
        <f t="shared" ref="D36:H36" si="9">+D10+D12+D27</f>
        <v>#VALUE!</v>
      </c>
      <c r="E36" s="43">
        <f t="shared" si="9"/>
        <v>211450</v>
      </c>
      <c r="F36" s="43" t="e">
        <f t="shared" si="9"/>
        <v>#VALUE!</v>
      </c>
      <c r="G36" s="43">
        <f t="shared" si="9"/>
        <v>197400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J10" sqref="J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ht="21" customHeight="1" x14ac:dyDescent="0.35">
      <c r="C2" s="268">
        <f>IF(PREMIOS!$B5="","",PREMIOS!$B5)</f>
        <v>93</v>
      </c>
      <c r="D2" s="269"/>
      <c r="E2" s="268">
        <f>IF(PREMIOS!$B9="","",PREMIOS!$B9)</f>
        <v>14</v>
      </c>
      <c r="F2" s="269"/>
      <c r="G2" s="268">
        <f>IF(PREMIOS!$B13="","",PREMIOS!$B13)</f>
        <v>65</v>
      </c>
      <c r="H2" s="269"/>
      <c r="I2" s="268">
        <f>IF(PREMIOS!$B17="","",PREMIOS!$B17)</f>
        <v>21</v>
      </c>
      <c r="J2" s="269"/>
    </row>
    <row r="3" spans="1:13" ht="21" customHeight="1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38900</v>
      </c>
      <c r="D4" s="78">
        <f t="shared" ref="D4:J27" si="0">IF(C4="","",0)</f>
        <v>0</v>
      </c>
      <c r="E4" s="206">
        <v>8100</v>
      </c>
      <c r="F4" s="78">
        <v>500</v>
      </c>
      <c r="G4" s="189">
        <v>11100</v>
      </c>
      <c r="H4" s="78">
        <f t="shared" ref="H4:H27" si="1">IF(G4="","",0)</f>
        <v>0</v>
      </c>
      <c r="I4" s="189">
        <v>2900</v>
      </c>
      <c r="J4" s="78">
        <f t="shared" si="0"/>
        <v>0</v>
      </c>
      <c r="L4" s="42">
        <f t="shared" ref="L4:L8" si="2">+C4+E4+G4+I4</f>
        <v>61000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11400</v>
      </c>
      <c r="D5" s="30">
        <f t="shared" si="0"/>
        <v>0</v>
      </c>
      <c r="E5" s="207">
        <v>700</v>
      </c>
      <c r="F5" s="30">
        <f t="shared" si="0"/>
        <v>0</v>
      </c>
      <c r="G5" s="180"/>
      <c r="H5" s="30" t="str">
        <f t="shared" si="1"/>
        <v/>
      </c>
      <c r="I5" s="180">
        <v>2000</v>
      </c>
      <c r="J5" s="30">
        <f t="shared" ref="J5:J27" si="3">IF(I5="","",0)</f>
        <v>0</v>
      </c>
      <c r="L5" s="42">
        <f t="shared" si="2"/>
        <v>14100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34250</v>
      </c>
      <c r="D8" s="30">
        <f t="shared" si="0"/>
        <v>0</v>
      </c>
      <c r="E8" s="207">
        <v>12100</v>
      </c>
      <c r="F8" s="30">
        <v>300</v>
      </c>
      <c r="G8" s="180">
        <v>9150</v>
      </c>
      <c r="H8" s="30">
        <f t="shared" si="1"/>
        <v>0</v>
      </c>
      <c r="I8" s="180">
        <v>9400</v>
      </c>
      <c r="J8" s="30">
        <f t="shared" si="0"/>
        <v>0</v>
      </c>
      <c r="L8" s="42">
        <f t="shared" si="2"/>
        <v>64900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30500+35500</f>
        <v>66000</v>
      </c>
      <c r="D10" s="30">
        <f>350+0</f>
        <v>350</v>
      </c>
      <c r="E10" s="207">
        <f>48400+121450</f>
        <v>169850</v>
      </c>
      <c r="F10" s="30">
        <f>250+1650</f>
        <v>1900</v>
      </c>
      <c r="G10" s="180">
        <f>34900+36650</f>
        <v>71550</v>
      </c>
      <c r="H10" s="30">
        <f t="shared" si="0"/>
        <v>0</v>
      </c>
      <c r="I10" s="180">
        <f>74850+72150</f>
        <v>147000</v>
      </c>
      <c r="J10" s="30">
        <f>1950+1800</f>
        <v>3750</v>
      </c>
      <c r="L10" s="42">
        <f t="shared" si="5"/>
        <v>454400</v>
      </c>
      <c r="M10" s="42">
        <f t="shared" si="4"/>
        <v>6000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27450</v>
      </c>
      <c r="D12" s="30">
        <f t="shared" si="0"/>
        <v>0</v>
      </c>
      <c r="E12" s="207">
        <v>11950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39400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19250</v>
      </c>
      <c r="D13" s="30">
        <f t="shared" si="0"/>
        <v>0</v>
      </c>
      <c r="E13" s="207">
        <v>15600</v>
      </c>
      <c r="F13" s="30">
        <f t="shared" si="0"/>
        <v>0</v>
      </c>
      <c r="G13" s="180">
        <v>5000</v>
      </c>
      <c r="H13" s="30">
        <f t="shared" si="0"/>
        <v>0</v>
      </c>
      <c r="I13" s="180">
        <v>1000</v>
      </c>
      <c r="J13" s="30">
        <f t="shared" si="0"/>
        <v>0</v>
      </c>
      <c r="L13" s="42">
        <f t="shared" si="5"/>
        <v>40850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6850</v>
      </c>
      <c r="D16" s="30">
        <f t="shared" si="0"/>
        <v>0</v>
      </c>
      <c r="E16" s="207">
        <v>5200</v>
      </c>
      <c r="F16" s="30">
        <f t="shared" si="0"/>
        <v>0</v>
      </c>
      <c r="G16" s="180">
        <v>6000</v>
      </c>
      <c r="H16" s="30">
        <f t="shared" si="0"/>
        <v>0</v>
      </c>
      <c r="I16" s="180">
        <v>10950</v>
      </c>
      <c r="J16" s="30">
        <v>1000</v>
      </c>
      <c r="L16" s="42">
        <f t="shared" si="5"/>
        <v>29000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103650</v>
      </c>
      <c r="D17" s="30">
        <v>700</v>
      </c>
      <c r="E17" s="207">
        <v>50700</v>
      </c>
      <c r="F17" s="30">
        <v>50</v>
      </c>
      <c r="G17" s="180">
        <v>40800</v>
      </c>
      <c r="H17" s="30">
        <f t="shared" si="0"/>
        <v>0</v>
      </c>
      <c r="I17" s="180">
        <v>141550</v>
      </c>
      <c r="J17" s="30">
        <v>3000</v>
      </c>
      <c r="L17" s="42">
        <f t="shared" si="5"/>
        <v>336700</v>
      </c>
      <c r="M17" s="42">
        <f t="shared" si="4"/>
        <v>3750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93000</v>
      </c>
      <c r="D18" s="30">
        <f t="shared" si="0"/>
        <v>0</v>
      </c>
      <c r="E18" s="207">
        <v>73850</v>
      </c>
      <c r="F18" s="30">
        <v>400</v>
      </c>
      <c r="G18" s="180">
        <v>72150</v>
      </c>
      <c r="H18" s="30">
        <f t="shared" si="0"/>
        <v>0</v>
      </c>
      <c r="I18" s="180">
        <v>16500</v>
      </c>
      <c r="J18" s="30">
        <v>900</v>
      </c>
      <c r="L18" s="42">
        <f t="shared" si="5"/>
        <v>255500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400750</v>
      </c>
      <c r="D32" s="44">
        <f t="shared" si="7"/>
        <v>1050</v>
      </c>
      <c r="E32" s="43">
        <f t="shared" si="7"/>
        <v>348050</v>
      </c>
      <c r="F32" s="44">
        <f t="shared" si="7"/>
        <v>3150</v>
      </c>
      <c r="G32" s="43">
        <f t="shared" si="7"/>
        <v>215750</v>
      </c>
      <c r="H32" s="44">
        <f t="shared" si="7"/>
        <v>0</v>
      </c>
      <c r="I32" s="43">
        <f t="shared" si="7"/>
        <v>331300</v>
      </c>
      <c r="J32" s="44">
        <f t="shared" si="7"/>
        <v>8650</v>
      </c>
      <c r="L32" s="95">
        <f>SUM(L9:L31)</f>
        <v>1155850</v>
      </c>
      <c r="M32" s="95">
        <f>SUM(M9:M31)</f>
        <v>9750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0" sqref="G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IF(C33=0,"",CONCATENATE(PREMIOS!$B7," ",PREMIOS!$B8))</f>
        <v>39 Blanca</v>
      </c>
      <c r="D2" s="269"/>
      <c r="E2" s="268" t="str">
        <f>IF(E33=0,"",CONCATENATE(PREMIOS!$B11," ",PREMIOS!$B12))</f>
        <v>36 Blanca</v>
      </c>
      <c r="F2" s="269"/>
      <c r="G2" s="268" t="str">
        <f>IF(G33=0,"",CONCATENATE(PREMIOS!$B15," ",PREMIOS!$B16))</f>
        <v>05 Blanca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12200+10250</f>
        <v>22450</v>
      </c>
      <c r="D10" s="30">
        <v>300</v>
      </c>
      <c r="E10" s="180">
        <f>21300+15400</f>
        <v>36700</v>
      </c>
      <c r="F10" s="30">
        <f>1500+400</f>
        <v>1900</v>
      </c>
      <c r="G10" s="180">
        <f>23300+17350</f>
        <v>40650</v>
      </c>
      <c r="H10" s="30">
        <f t="shared" si="0"/>
        <v>0</v>
      </c>
      <c r="J10" s="42">
        <f t="shared" si="3"/>
        <v>99800</v>
      </c>
      <c r="K10" s="42">
        <f t="shared" si="4"/>
        <v>2200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500</v>
      </c>
      <c r="D12" s="30">
        <f t="shared" si="0"/>
        <v>0</v>
      </c>
      <c r="E12" s="180">
        <v>1500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2000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8000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7000</v>
      </c>
      <c r="H16" s="195">
        <f t="shared" si="0"/>
        <v>0</v>
      </c>
      <c r="J16" s="42">
        <f t="shared" si="3"/>
        <v>15000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23500</v>
      </c>
      <c r="D17" s="30">
        <f t="shared" si="0"/>
        <v>0</v>
      </c>
      <c r="E17" s="180">
        <v>12300</v>
      </c>
      <c r="F17" s="30">
        <f t="shared" si="0"/>
        <v>0</v>
      </c>
      <c r="G17" s="180">
        <v>15650</v>
      </c>
      <c r="H17" s="30">
        <v>1300</v>
      </c>
      <c r="J17" s="42">
        <f t="shared" si="3"/>
        <v>51450</v>
      </c>
      <c r="K17" s="42">
        <f t="shared" si="4"/>
        <v>1300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29100</v>
      </c>
      <c r="D18" s="30">
        <v>200</v>
      </c>
      <c r="E18" s="180">
        <v>25400</v>
      </c>
      <c r="F18" s="30">
        <v>200</v>
      </c>
      <c r="G18" s="180">
        <v>24900</v>
      </c>
      <c r="H18" s="30">
        <v>100</v>
      </c>
      <c r="J18" s="42">
        <f t="shared" si="3"/>
        <v>79400</v>
      </c>
      <c r="K18" s="42">
        <f t="shared" si="4"/>
        <v>500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83550</v>
      </c>
      <c r="D33" s="44">
        <f t="shared" si="7"/>
        <v>500</v>
      </c>
      <c r="E33" s="43">
        <f t="shared" si="7"/>
        <v>75900</v>
      </c>
      <c r="F33" s="44">
        <f t="shared" si="7"/>
        <v>2100</v>
      </c>
      <c r="G33" s="43">
        <f t="shared" si="7"/>
        <v>88200</v>
      </c>
      <c r="H33" s="44">
        <f t="shared" si="7"/>
        <v>1400</v>
      </c>
      <c r="J33" s="45">
        <f>SUM(J4:J32)</f>
        <v>247650</v>
      </c>
      <c r="K33" s="95">
        <f>SUM(K4:K32)</f>
        <v>4000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2" t="s">
        <v>97</v>
      </c>
      <c r="D1" s="273"/>
      <c r="E1" s="272" t="s">
        <v>98</v>
      </c>
      <c r="F1" s="273"/>
    </row>
    <row r="2" spans="1:9" ht="21" customHeight="1" x14ac:dyDescent="0.35">
      <c r="C2" s="268">
        <f>IF(PREMIOS!$B19="","",PREMIOS!$B19)</f>
        <v>90</v>
      </c>
      <c r="D2" s="269"/>
      <c r="E2" s="268">
        <f>IF(PREMIOS!$C19="","",PREMIOS!$C19)</f>
        <v>88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3400</v>
      </c>
      <c r="D4" s="78">
        <f t="shared" ref="D4:F27" si="0">IF(C4="","",0)</f>
        <v>0</v>
      </c>
      <c r="E4" s="189">
        <v>1000</v>
      </c>
      <c r="F4" s="78">
        <f t="shared" si="0"/>
        <v>0</v>
      </c>
      <c r="H4" s="42">
        <f>+C4+E4</f>
        <v>4400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8900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8900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17050</v>
      </c>
      <c r="D8" s="30">
        <v>200</v>
      </c>
      <c r="E8" s="194">
        <v>5700</v>
      </c>
      <c r="F8" s="195">
        <f t="shared" si="1"/>
        <v>0</v>
      </c>
      <c r="H8" s="42">
        <f t="shared" si="2"/>
        <v>22750</v>
      </c>
      <c r="I8" s="42">
        <f t="shared" si="3"/>
        <v>200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24000</v>
      </c>
      <c r="D10" s="30">
        <f t="shared" si="0"/>
        <v>0</v>
      </c>
      <c r="E10" s="180">
        <v>36550</v>
      </c>
      <c r="F10" s="195">
        <v>250</v>
      </c>
      <c r="H10" s="42">
        <f t="shared" si="2"/>
        <v>60550</v>
      </c>
      <c r="I10" s="42">
        <f t="shared" si="3"/>
        <v>250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22050</v>
      </c>
      <c r="D12" s="30">
        <v>250</v>
      </c>
      <c r="E12" s="194"/>
      <c r="F12" s="30" t="str">
        <f t="shared" si="0"/>
        <v/>
      </c>
      <c r="H12" s="42">
        <f t="shared" si="2"/>
        <v>22050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3600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3600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64850</v>
      </c>
      <c r="D17" s="195">
        <v>800</v>
      </c>
      <c r="E17" s="180">
        <v>20600</v>
      </c>
      <c r="F17" s="30">
        <f t="shared" si="0"/>
        <v>0</v>
      </c>
      <c r="H17" s="42">
        <f t="shared" si="2"/>
        <v>85450</v>
      </c>
      <c r="I17" s="42">
        <f t="shared" si="3"/>
        <v>800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80600</v>
      </c>
      <c r="D18" s="195">
        <v>1400</v>
      </c>
      <c r="E18" s="180">
        <v>63700</v>
      </c>
      <c r="F18" s="30">
        <v>800</v>
      </c>
      <c r="H18" s="42">
        <f t="shared" si="2"/>
        <v>144300</v>
      </c>
      <c r="I18" s="42">
        <f t="shared" si="3"/>
        <v>2200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224450</v>
      </c>
      <c r="D33" s="44">
        <f>SUM(D4:D32)</f>
        <v>2650</v>
      </c>
      <c r="E33" s="43">
        <f>SUM(E4:E32)</f>
        <v>127550</v>
      </c>
      <c r="F33" s="44">
        <f>SUM(F4:F32)</f>
        <v>1050</v>
      </c>
      <c r="H33" s="95">
        <f>SUM(H4:H32)</f>
        <v>352000</v>
      </c>
      <c r="I33" s="95">
        <f>SUM(I4:I32)</f>
        <v>3700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ht="21" customHeight="1" x14ac:dyDescent="0.35">
      <c r="C2" s="268">
        <f>IF(PREMIOS!$B20="","",PREMIOS!$B20)</f>
        <v>63</v>
      </c>
      <c r="D2" s="269"/>
      <c r="E2" s="268">
        <f>IF(PREMIOS!$C20="","",PREMIOS!$C20)</f>
        <v>68</v>
      </c>
      <c r="F2" s="269"/>
      <c r="G2" s="268">
        <f>IF(PREMIOS!$D20="","",PREMIOS!$D20)</f>
        <v>89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22650</v>
      </c>
      <c r="D10" s="195">
        <f t="shared" si="0"/>
        <v>0</v>
      </c>
      <c r="E10" s="180">
        <v>12600</v>
      </c>
      <c r="F10" s="30">
        <f t="shared" si="0"/>
        <v>0</v>
      </c>
      <c r="G10" s="180">
        <v>11500</v>
      </c>
      <c r="H10" s="195">
        <f t="shared" si="0"/>
        <v>0</v>
      </c>
      <c r="J10" s="42">
        <f t="shared" si="3"/>
        <v>46750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48900</v>
      </c>
      <c r="D17" s="195">
        <f t="shared" si="0"/>
        <v>0</v>
      </c>
      <c r="E17" s="194">
        <v>5200</v>
      </c>
      <c r="F17" s="195">
        <f t="shared" si="0"/>
        <v>0</v>
      </c>
      <c r="G17" s="194">
        <v>17550</v>
      </c>
      <c r="H17" s="195">
        <v>100</v>
      </c>
      <c r="J17" s="42">
        <f t="shared" si="3"/>
        <v>71650</v>
      </c>
      <c r="K17" s="42">
        <f t="shared" si="4"/>
        <v>100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29000</v>
      </c>
      <c r="D18" s="195">
        <v>100</v>
      </c>
      <c r="E18" s="180">
        <v>15250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44250</v>
      </c>
      <c r="K18" s="42">
        <f t="shared" si="4"/>
        <v>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100550</v>
      </c>
      <c r="D33" s="44">
        <f t="shared" si="6"/>
        <v>100</v>
      </c>
      <c r="E33" s="43">
        <f t="shared" si="6"/>
        <v>33050</v>
      </c>
      <c r="F33" s="44">
        <f t="shared" si="6"/>
        <v>0</v>
      </c>
      <c r="G33" s="43">
        <f t="shared" si="6"/>
        <v>29050</v>
      </c>
      <c r="H33" s="44">
        <f t="shared" si="6"/>
        <v>100</v>
      </c>
      <c r="J33" s="45">
        <f>SUM(J4:J32)</f>
        <v>162650</v>
      </c>
      <c r="K33" s="95">
        <f>SUM(K4:K32)</f>
        <v>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2" t="s">
        <v>110</v>
      </c>
      <c r="D1" s="273"/>
      <c r="E1" s="272" t="s">
        <v>111</v>
      </c>
      <c r="F1" s="273"/>
    </row>
    <row r="2" spans="1:9" ht="21" customHeight="1" x14ac:dyDescent="0.35">
      <c r="C2" s="268">
        <f>IF(PREMIOS!$B21="","",PREMIOS!$B21)</f>
        <v>45</v>
      </c>
      <c r="D2" s="269"/>
      <c r="E2" s="268">
        <f>IF(PREMIOS!$C21="","",PREMIOS!$C21)</f>
        <v>12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30000</v>
      </c>
      <c r="D10" s="30">
        <f t="shared" si="0"/>
        <v>0</v>
      </c>
      <c r="E10" s="180">
        <v>31000</v>
      </c>
      <c r="F10" s="30">
        <f t="shared" si="0"/>
        <v>0</v>
      </c>
      <c r="H10" s="42">
        <f t="shared" si="2"/>
        <v>61000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30000</v>
      </c>
      <c r="D33" s="44">
        <f>SUM(D4:D32)</f>
        <v>0</v>
      </c>
      <c r="E33" s="43">
        <f>SUM(E4:E32)</f>
        <v>31000</v>
      </c>
      <c r="F33" s="44">
        <f>SUM(F4:F32)</f>
        <v>0</v>
      </c>
      <c r="H33" s="45">
        <f>SUM(H4:H32)</f>
        <v>61000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2" t="s">
        <v>109</v>
      </c>
      <c r="D1" s="273"/>
    </row>
    <row r="2" spans="1:4" ht="21" customHeight="1" x14ac:dyDescent="0.35">
      <c r="C2" s="268" t="str">
        <f>IF(PREMIOS!$B22="","",PREMIOS!$B22)</f>
        <v>03</v>
      </c>
      <c r="D2" s="269"/>
    </row>
    <row r="3" spans="1:4" ht="21" customHeight="1" thickBot="1" x14ac:dyDescent="0.4">
      <c r="C3" s="268"/>
      <c r="D3" s="269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2026-06-06T22:59:47Z</dcterms:modified>
  <dc:language>es-CR</dc:language>
</cp:coreProperties>
</file>
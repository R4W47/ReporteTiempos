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0" documentId="13_ncr:1_{EB1C27A7-1EBD-4619-B18B-0BCA469E8746}" xr6:coauthVersionLast="47" xr6:coauthVersionMax="47" xr10:uidLastSave="{65756268-EDDA-468F-8A67-382724F61DA9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I5" i="69"/>
  <c r="K12" i="69"/>
  <c r="G10" i="62"/>
  <c r="E10" i="62"/>
  <c r="C10" i="62"/>
  <c r="I10" i="61"/>
  <c r="H10" i="61"/>
  <c r="G10" i="61"/>
  <c r="E10" i="61"/>
  <c r="D10" i="61"/>
  <c r="C10" i="61"/>
  <c r="H17" i="60" l="1"/>
  <c r="G17" i="60"/>
  <c r="H10" i="60"/>
  <c r="G10" i="60"/>
  <c r="H18" i="60"/>
  <c r="G18" i="60"/>
  <c r="F17" i="60"/>
  <c r="E17" i="60"/>
  <c r="E18" i="60"/>
  <c r="E10" i="60"/>
  <c r="D17" i="60"/>
  <c r="C17" i="60"/>
  <c r="C10" i="60"/>
  <c r="D18" i="60"/>
  <c r="C18" i="60"/>
  <c r="E4" i="60"/>
  <c r="C4" i="60"/>
  <c r="D18" i="64" l="1"/>
  <c r="D12" i="65"/>
  <c r="D11" i="65"/>
  <c r="D10" i="65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2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10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F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3" i="60"/>
  <c r="D12" i="60"/>
  <c r="D11" i="60"/>
  <c r="D9" i="60"/>
  <c r="D8" i="60"/>
  <c r="D7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8" i="65"/>
  <c r="F18" i="62"/>
  <c r="F10" i="62"/>
  <c r="D5" i="61"/>
  <c r="F18" i="61"/>
  <c r="F16" i="61"/>
  <c r="D6" i="60"/>
  <c r="F18" i="60"/>
  <c r="F15" i="60"/>
  <c r="F14" i="60"/>
  <c r="F12" i="60"/>
  <c r="F36" i="60" s="1"/>
  <c r="F11" i="60"/>
  <c r="F9" i="60"/>
  <c r="F8" i="60"/>
  <c r="F7" i="60"/>
  <c r="F6" i="60"/>
  <c r="H15" i="60"/>
  <c r="H12" i="60"/>
  <c r="H36" i="60" s="1"/>
  <c r="H11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2" i="61"/>
  <c r="J11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E5" i="16"/>
  <c r="H35" i="60" l="1"/>
  <c r="D36" i="60"/>
  <c r="D35" i="60"/>
  <c r="E7" i="16"/>
  <c r="H34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5" i="61"/>
  <c r="H14" i="61"/>
  <c r="H13" i="61"/>
  <c r="H12" i="61"/>
  <c r="H11" i="61"/>
  <c r="E13" i="16" s="1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C17" i="73"/>
  <c r="F17" i="73" s="1"/>
  <c r="J10" i="8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G26" i="8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2" i="52"/>
  <c r="D21" i="1"/>
  <c r="Q20" i="52"/>
  <c r="D19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<sst xmlns="http://schemas.openxmlformats.org/spreadsheetml/2006/main" count="1293" uniqueCount="160">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</sst>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381350</v>
      </c>
      <c r="C3" s="9">
        <f>+HojaTICA!K4+HojaNICA!M4+HojaREVENTADO!K4+HojaPrimera!I4+HojaHonduras!K4+HojaDominicana!I4+HojaPANA!G4</f>
        <v>49600</v>
      </c>
      <c r="D3" s="9">
        <f>+HojaTICA!N4+HojaNICA!P4+HojaREVENTADO!O4+HojaPrimera!L4+HojaHonduras!N4+HojaDominicana!L4+HojaPANA!J4</f>
        <v>493250</v>
      </c>
      <c r="F3" s="10">
        <f t="shared" ref="F3:F27" si="0">+B3-C3-D3</f>
        <v>-161500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258200</v>
      </c>
      <c r="C4" s="9">
        <f>+HojaTICA!K5+HojaNICA!M5+HojaREVENTADO!K5+HojaPrimera!I5+HojaHonduras!K5+HojaDominicana!I5+HojaPANA!G5</f>
        <v>33600</v>
      </c>
      <c r="D4" s="9">
        <f>+HojaTICA!N5+HojaNICA!P5+HojaREVENTADO!O5+HojaPrimera!L5+HojaHonduras!N5+HojaDominicana!L5+HojaPANA!J5</f>
        <v>160750</v>
      </c>
      <c r="F4" s="14">
        <f t="shared" si="0"/>
        <v>63850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0</v>
      </c>
      <c r="C7" s="9">
        <f>+HojaTICA!K8+HojaNICA!M8+HojaREVENTADO!K8+HojaPrimera!I8+HojaHonduras!K8+HojaDominicana!I8+HojaPANA!G8</f>
        <v>0</v>
      </c>
      <c r="D7" s="9">
        <f>+HojaTICA!N8+HojaNICA!P8+HojaREVENTADO!O8+HojaPrimera!L8+HojaHonduras!N8+HojaDominicana!L8+HojaPANA!J8</f>
        <v>0</v>
      </c>
      <c r="F7" s="14">
        <f t="shared" si="0"/>
        <v>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757200</v>
      </c>
      <c r="C9" s="9">
        <f>+HojaTICA!K10+HojaNICA!M10+HojaREVENTADO!K10+HojaPrimera!I10+HojaHonduras!K10+HojaDominicana!I10+HojaPANA!G10</f>
        <v>88745</v>
      </c>
      <c r="D9" s="9">
        <f>+HojaTICA!N10+HojaNICA!P10+HojaREVENTADO!O10+HojaPrimera!L10+HojaHonduras!N10+HojaDominicana!L10+HojaPANA!J10</f>
        <v>395250</v>
      </c>
      <c r="F9" s="14">
        <f t="shared" si="0"/>
        <v>273205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31300</v>
      </c>
      <c r="C10" s="9">
        <f>+HojaTICA!K11+HojaNICA!M11+HojaREVENTADO!K11+HojaPrimera!I11+HojaHonduras!K11+HojaDominicana!I11+HojaPANA!G11</f>
        <v>3750</v>
      </c>
      <c r="D10" s="9">
        <f>+HojaTICA!N11+HojaNICA!P11+HojaREVENTADO!O11+HojaPrimera!L11+HojaHonduras!N11+HojaDominicana!L11+HojaPANA!J11</f>
        <v>0</v>
      </c>
      <c r="F10" s="14">
        <f t="shared" si="0"/>
        <v>27550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121600</v>
      </c>
      <c r="C11" s="9">
        <f>+HojaTICA!K12+HojaNICA!M12+HojaREVENTADO!K12+HojaPrimera!I12+HojaHonduras!K12+HojaDominicana!I12+HojaPANA!G12</f>
        <v>14540</v>
      </c>
      <c r="D11" s="9">
        <f>+HojaTICA!N12+HojaNICA!P12+HojaREVENTADO!O12+HojaPrimera!L12+HojaHonduras!N12+HojaDominicana!L12+HojaPANA!J12</f>
        <v>46750</v>
      </c>
      <c r="F11" s="14">
        <f t="shared" si="0"/>
        <v>60310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316200</v>
      </c>
      <c r="C12" s="9">
        <f>+HojaTICA!K13+HojaNICA!M13+HojaREVENTADO!K13+HojaPrimera!I13+HojaHonduras!K13+HojaDominicana!I13+HojaPANA!G13</f>
        <v>37950</v>
      </c>
      <c r="D12" s="9">
        <f>+HojaTICA!N13+HojaNICA!P13+HojaREVENTADO!O13+HojaPrimera!L13+HojaHonduras!N13+HojaDominicana!L13+HojaPANA!J13</f>
        <v>165500</v>
      </c>
      <c r="F12" s="14">
        <f t="shared" si="0"/>
        <v>112750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55250</v>
      </c>
      <c r="C13" s="9">
        <f>+HojaTICA!K14+HojaNICA!M14+HojaREVENTADO!K14+HojaPrimera!I14+HojaHonduras!K14+HojaDominicana!I14+HojaPANA!G14</f>
        <v>8300</v>
      </c>
      <c r="D13" s="9">
        <f>+HojaTICA!N14+HojaNICA!P14+HojaREVENTADO!O14+HojaPrimera!L14+HojaHonduras!N14+HojaDominicana!L14+HojaPANA!J14</f>
        <v>16000</v>
      </c>
      <c r="F13" s="14">
        <f t="shared" si="0"/>
        <v>30950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132050</v>
      </c>
      <c r="C15" s="9">
        <f>+HojaTICA!K16+HojaNICA!M16+HojaREVENTADO!K16+HojaPrimera!I16+HojaHonduras!K16+HojaDominicana!I16+HojaPANA!G16</f>
        <v>15800</v>
      </c>
      <c r="D15" s="9">
        <f>+HojaTICA!N16+HojaNICA!P16+HojaREVENTADO!O16+HojaPrimera!L16+HojaHonduras!N16+HojaDominicana!L16+HojaPANA!J16</f>
        <v>204750</v>
      </c>
      <c r="F15" s="14">
        <f t="shared" si="0"/>
        <v>-88500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1163600</v>
      </c>
      <c r="C16" s="9">
        <f>+HojaTICA!K17+HojaNICA!M17+HojaREVENTADO!K17+HojaPrimera!I17+HojaHonduras!K17+HojaDominicana!I17+HojaPANA!G17</f>
        <v>138285</v>
      </c>
      <c r="D16" s="9">
        <f>+HojaTICA!N17+HojaNICA!P17+HojaREVENTADO!O17+HojaPrimera!L17+HojaHonduras!N17+HojaDominicana!L17+HojaPANA!J17</f>
        <v>1172000</v>
      </c>
      <c r="F16" s="14">
        <f t="shared" si="0"/>
        <v>-146685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427650</v>
      </c>
      <c r="C17" s="9">
        <f>+HojaTICA!K18+HojaNICA!M18+HojaREVENTADO!K18+HojaPrimera!I18+HojaHonduras!K18+HojaDominicana!I18+HojaPANA!G18</f>
        <v>50210</v>
      </c>
      <c r="D17" s="9">
        <f>+HojaTICA!N18+HojaNICA!P18+HojaREVENTADO!O18+HojaPrimera!L18+HojaHonduras!N18+HojaDominicana!L18+HojaPANA!J18</f>
        <v>242250</v>
      </c>
      <c r="F17" s="14">
        <f t="shared" si="0"/>
        <v>135190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3644400</v>
      </c>
      <c r="C28" s="17">
        <f t="shared" si="1"/>
        <v>440780</v>
      </c>
      <c r="D28" s="18">
        <f t="shared" si="1"/>
        <v>2896500</v>
      </c>
      <c r="F28" s="20">
        <f>SUM(F3:F27)</f>
        <v>307120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23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23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16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24</v>
      </c>
      <c r="C19" s="132">
        <v>64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83</v>
      </c>
      <c r="C20" s="163">
        <v>50</v>
      </c>
      <c r="D20" s="166">
        <v>82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36</v>
      </c>
      <c r="C21" s="164">
        <v>74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24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77</v>
      </c>
      <c r="D2" s="268"/>
      <c r="E2" s="267">
        <f>DigitaTICA!E2</f>
        <v>23</v>
      </c>
      <c r="F2" s="268"/>
      <c r="G2" s="267">
        <f>DigitaTICA!G2</f>
        <v>16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71300</v>
      </c>
      <c r="D4" s="30">
        <f>IF(Vendedor1!$E$7="",0,Vendedor1!$E$7)</f>
        <v>2000</v>
      </c>
      <c r="E4" s="180">
        <f>IF(Vendedor1!$C$11="",0,Vendedor1!$C$11)</f>
        <v>41300</v>
      </c>
      <c r="F4" s="30">
        <f>IF(Vendedor1!$E$11="",0,Vendedor1!$E$11)</f>
        <v>250</v>
      </c>
      <c r="G4" s="180">
        <f>IF(Vendedor1!$C$15="",0,Vendedor1!$C$15)</f>
        <v>161850</v>
      </c>
      <c r="H4" s="30">
        <f>IF(Vendedor1!$E$15="",0,Vendedor1!$E$15)</f>
        <v>1200</v>
      </c>
      <c r="J4" s="42">
        <f t="shared" ref="J4:J7" si="0">+C4+E4+G4</f>
        <v>274450</v>
      </c>
      <c r="K4" s="41">
        <f>MROUND(J4*Vendedor1!J$9,50)</f>
        <v>35700</v>
      </c>
      <c r="L4" s="42">
        <f t="shared" ref="L4:L7" si="1">+D4+F4+H4</f>
        <v>3450</v>
      </c>
      <c r="M4" s="42">
        <f t="shared" ref="M4:M7" si="2">+L4*85</f>
        <v>293250</v>
      </c>
      <c r="N4" s="42">
        <f>Vendedor1!$F$7+Vendedor1!$F$11+Vendedor1!$F$15</f>
        <v>293250</v>
      </c>
      <c r="P4" s="42">
        <f t="shared" ref="P4:P7" si="3">+J4-K4-N4</f>
        <v>-54500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80750</v>
      </c>
      <c r="D5" s="30">
        <f>IF(Vendedor2!$E$7="",0,Vendedor2!$E$7)</f>
        <v>500</v>
      </c>
      <c r="E5" s="180">
        <f>IF(Vendedor2!$C$11="",0,Vendedor2!$C$11)</f>
        <v>52100</v>
      </c>
      <c r="F5" s="30">
        <f>IF(Vendedor2!$E$11="",0,Vendedor2!$E$11)</f>
        <v>250</v>
      </c>
      <c r="G5" s="180">
        <f>IF(Vendedor2!$C$15="",0,Vendedor2!$C$15)</f>
        <v>62450</v>
      </c>
      <c r="H5" s="30">
        <f>IF(Vendedor2!$E$15="",0,Vendedor2!$E$15)</f>
        <v>200</v>
      </c>
      <c r="J5" s="42">
        <f t="shared" si="0"/>
        <v>195300</v>
      </c>
      <c r="K5" s="41">
        <f>MROUND(J5*Vendedor2!J$9,50)</f>
        <v>25400</v>
      </c>
      <c r="L5" s="42">
        <f t="shared" si="1"/>
        <v>950</v>
      </c>
      <c r="M5" s="42">
        <f t="shared" si="2"/>
        <v>80750</v>
      </c>
      <c r="N5" s="42">
        <f>Vendedor2!$F$7+Vendedor2!$F$11+Vendedor2!$F$15</f>
        <v>80750</v>
      </c>
      <c r="P5" s="42">
        <f t="shared" si="3"/>
        <v>89150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0</v>
      </c>
      <c r="D8" s="30">
        <f>IF(Vendedor5!$E$7="",0,Vendedor5!$E$7)</f>
        <v>0</v>
      </c>
      <c r="E8" s="180">
        <f>IF(Vendedor5!$C$11="",0,Vendedor5!$C$11)</f>
        <v>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0</v>
      </c>
      <c r="K8" s="41">
        <f>MROUND(J8*Vendedor5!J$11,50)</f>
        <v>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133600</v>
      </c>
      <c r="D10" s="30">
        <f>IF(Vendedor7!$E$7="",0,Vendedor7!$E$7)</f>
        <v>200</v>
      </c>
      <c r="E10" s="180">
        <f>IF(Vendedor7!$C$11="",0,Vendedor7!$C$11)</f>
        <v>72150</v>
      </c>
      <c r="F10" s="30">
        <f>IF(Vendedor7!$E$11="",0,Vendedor7!$E$11)</f>
        <v>100</v>
      </c>
      <c r="G10" s="180">
        <f>IF(Vendedor7!$C$15="",0,Vendedor7!$C$15)</f>
        <v>145100</v>
      </c>
      <c r="H10" s="30">
        <f>IF(Vendedor7!$E$15="",0,Vendedor7!$E$15)</f>
        <v>1800</v>
      </c>
      <c r="J10" s="42">
        <f t="shared" si="8"/>
        <v>350850</v>
      </c>
      <c r="K10" s="41">
        <f>MROUND(J10*Vendedor7!J$14,50)</f>
        <v>42100</v>
      </c>
      <c r="L10" s="42">
        <f t="shared" si="9"/>
        <v>2100</v>
      </c>
      <c r="M10" s="42">
        <f t="shared" si="10"/>
        <v>178500</v>
      </c>
      <c r="N10" s="42">
        <f>Vendedor7!$F$7+Vendedor7!$F$11+Vendedor7!$F$15</f>
        <v>178500</v>
      </c>
      <c r="P10" s="42">
        <f t="shared" si="11"/>
        <v>130250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7300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24000</v>
      </c>
      <c r="H11" s="30">
        <f>IF(Vendedor8!$E$15="",0,Vendedor8!$E$15)</f>
        <v>0</v>
      </c>
      <c r="J11" s="42">
        <f t="shared" si="8"/>
        <v>31300</v>
      </c>
      <c r="K11" s="41">
        <f>MROUND(J11*Vendedor8!J$11,50)</f>
        <v>3750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27550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17950</v>
      </c>
      <c r="D12" s="30">
        <f>IF(Vendedor9!$E$7="",0,Vendedor9!$E$7)</f>
        <v>0</v>
      </c>
      <c r="E12" s="180">
        <f>IF(Vendedor9!$C$11="",0,Vendedor9!$C$11)</f>
        <v>8250</v>
      </c>
      <c r="F12" s="30">
        <f>IF(Vendedor9!$E$11="",0,Vendedor9!$E$11)</f>
        <v>0</v>
      </c>
      <c r="G12" s="180">
        <f>IF(Vendedor9!$C$15="",0,Vendedor9!$C$15)</f>
        <v>19300</v>
      </c>
      <c r="H12" s="30">
        <f>IF(Vendedor9!$E$15="",0,Vendedor9!$E$15)</f>
        <v>0</v>
      </c>
      <c r="J12" s="42">
        <f t="shared" si="8"/>
        <v>45500</v>
      </c>
      <c r="K12" s="41">
        <f>MROUND(J12*Vendedor9!J$11,50)</f>
        <v>5450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40050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71400</v>
      </c>
      <c r="D13" s="30">
        <f>IF(Vendedor10!$E$7="",0,Vendedor10!$E$7)</f>
        <v>0</v>
      </c>
      <c r="E13" s="180">
        <f>IF(Vendedor10!$C$11="",0,Vendedor10!$C$11)</f>
        <v>47600</v>
      </c>
      <c r="F13" s="30">
        <f>IF(Vendedor10!$E$11="",0,Vendedor10!$E$11)</f>
        <v>100</v>
      </c>
      <c r="G13" s="180">
        <f>IF(Vendedor10!$C$15="",0,Vendedor10!$C$15)</f>
        <v>69150</v>
      </c>
      <c r="H13" s="30">
        <f>IF(Vendedor10!$E$15="",0,Vendedor10!$E$15)</f>
        <v>1000</v>
      </c>
      <c r="J13" s="42">
        <f t="shared" si="8"/>
        <v>188150</v>
      </c>
      <c r="K13" s="41">
        <f>MROUND(J13*Vendedor10!J$9,50)</f>
        <v>22600</v>
      </c>
      <c r="L13" s="42">
        <f t="shared" si="9"/>
        <v>1100</v>
      </c>
      <c r="M13" s="42">
        <f t="shared" si="10"/>
        <v>93500</v>
      </c>
      <c r="N13" s="42">
        <f>Vendedor10!$F$7+Vendedor10!$F$11+Vendedor10!$F$15</f>
        <v>93500</v>
      </c>
      <c r="P13" s="42">
        <f t="shared" si="11"/>
        <v>72050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22900</v>
      </c>
      <c r="D14" s="30">
        <f>IF(Vendedor11!$E$7="",0,Vendedor11!$E$7)</f>
        <v>0</v>
      </c>
      <c r="E14" s="180">
        <f>IF(Vendedor11!$C$11="",0,Vendedor11!$C$11)</f>
        <v>8200</v>
      </c>
      <c r="F14" s="30">
        <f>IF(Vendedor11!$E$11="",0,Vendedor11!$E$11)</f>
        <v>0</v>
      </c>
      <c r="G14" s="180">
        <f>IF(Vendedor11!$C$15="",0,Vendedor11!$C$15)</f>
        <v>24150</v>
      </c>
      <c r="H14" s="30">
        <f>IF(Vendedor11!$E$15="",0,Vendedor11!$E$15)</f>
        <v>200</v>
      </c>
      <c r="J14" s="42">
        <f t="shared" si="8"/>
        <v>55250</v>
      </c>
      <c r="K14" s="41">
        <f>MROUND(J14*Vendedor11!J$9,50)</f>
        <v>8300</v>
      </c>
      <c r="L14" s="42">
        <f t="shared" si="9"/>
        <v>200</v>
      </c>
      <c r="M14" s="42">
        <f t="shared" si="10"/>
        <v>17000</v>
      </c>
      <c r="N14" s="42">
        <f>Vendedor11!$F$7+Vendedor11!$F$11+Vendedor11!$F$15</f>
        <v>16000</v>
      </c>
      <c r="P14" s="42">
        <f t="shared" si="11"/>
        <v>30950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29800</v>
      </c>
      <c r="D16" s="30">
        <f>IF(Vendedor13!$E$7="",0,Vendedor13!$E$7)</f>
        <v>0</v>
      </c>
      <c r="E16" s="180">
        <f>IF(Vendedor13!$C$11="",0,Vendedor13!$C$11)</f>
        <v>24650</v>
      </c>
      <c r="F16" s="30">
        <f>IF(Vendedor13!$E$11="",0,Vendedor13!$E$11)</f>
        <v>1500</v>
      </c>
      <c r="G16" s="180">
        <f>IF(Vendedor13!$C$15="",0,Vendedor13!$C$15)</f>
        <v>38600</v>
      </c>
      <c r="H16" s="30">
        <f>IF(Vendedor13!$E$15="",0,Vendedor13!$E$15)</f>
        <v>250</v>
      </c>
      <c r="J16" s="42">
        <f t="shared" si="8"/>
        <v>93050</v>
      </c>
      <c r="K16" s="41">
        <f>MROUND(J16*Vendedor13!J$11,50)</f>
        <v>11150</v>
      </c>
      <c r="L16" s="42">
        <f t="shared" si="9"/>
        <v>1750</v>
      </c>
      <c r="M16" s="42">
        <f t="shared" si="10"/>
        <v>148750</v>
      </c>
      <c r="N16" s="42">
        <f>Vendedor13!$F$7+Vendedor13!$F$11+Vendedor13!$F$15</f>
        <v>148750</v>
      </c>
      <c r="P16" s="42">
        <f t="shared" si="11"/>
        <v>-66850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149350</v>
      </c>
      <c r="D17" s="30">
        <f>IF(Vendedor14!$E$7="",0,Vendedor14!$E$7)</f>
        <v>1300</v>
      </c>
      <c r="E17" s="180">
        <f>IF(Vendedor14!$C$11="",0,Vendedor14!$C$11)</f>
        <v>102750</v>
      </c>
      <c r="F17" s="30">
        <f>IF(Vendedor14!$E$11="",0,Vendedor14!$E$11)</f>
        <v>1400</v>
      </c>
      <c r="G17" s="180">
        <f>IF(Vendedor14!$C$15="",0,Vendedor14!$C$15)</f>
        <v>255050</v>
      </c>
      <c r="H17" s="30">
        <f>IF(Vendedor14!$E$15="",0,Vendedor14!$E$15)</f>
        <v>4000</v>
      </c>
      <c r="J17" s="42">
        <f t="shared" si="8"/>
        <v>507150</v>
      </c>
      <c r="K17" s="41">
        <f>MROUND(J17*Vendedor14!J$15,50)</f>
        <v>60850</v>
      </c>
      <c r="L17" s="42">
        <f t="shared" si="9"/>
        <v>6700</v>
      </c>
      <c r="M17" s="42">
        <f t="shared" si="10"/>
        <v>569500</v>
      </c>
      <c r="N17" s="42">
        <f>Vendedor14!$F$7+Vendedor14!$F$11+Vendedor14!$F$15</f>
        <v>569500</v>
      </c>
      <c r="P17" s="42">
        <f t="shared" si="11"/>
        <v>-123200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63550</v>
      </c>
      <c r="D18" s="30">
        <f>IF(Vendedor15!$E$7="",0,Vendedor15!$E$7)</f>
        <v>600</v>
      </c>
      <c r="E18" s="180">
        <f>IF(Vendedor15!$C$11="",0,Vendedor15!$C$11)</f>
        <v>52600</v>
      </c>
      <c r="F18" s="30">
        <f>IF(Vendedor15!$E$11="",0,Vendedor15!$E$11)</f>
        <v>0</v>
      </c>
      <c r="G18" s="180">
        <f>IF(Vendedor15!$C$15="",0,Vendedor15!$C$15)</f>
        <v>57900</v>
      </c>
      <c r="H18" s="30">
        <f>IF(Vendedor15!$E$15="",0,Vendedor15!$E$15)</f>
        <v>150</v>
      </c>
      <c r="J18" s="42">
        <f t="shared" ref="J18" si="12">+C18+E18+G18</f>
        <v>174050</v>
      </c>
      <c r="K18" s="41">
        <f>MROUND(J18*Vendedor15!J$15,50)</f>
        <v>20900</v>
      </c>
      <c r="L18" s="42">
        <f t="shared" ref="L18" si="13">+D18+F18+H18</f>
        <v>750</v>
      </c>
      <c r="M18" s="42">
        <f t="shared" ref="M18" si="14">+L18*85</f>
        <v>63750</v>
      </c>
      <c r="N18" s="42">
        <f>Vendedor15!$F$7+Vendedor15!$F$11+Vendedor15!$F$15</f>
        <v>63750</v>
      </c>
      <c r="P18" s="42">
        <f t="shared" ref="P18" si="15">+J18-K18-N18</f>
        <v>89400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647900</v>
      </c>
      <c r="D32" s="44">
        <f t="shared" si="16"/>
        <v>4600</v>
      </c>
      <c r="E32" s="43">
        <f t="shared" si="16"/>
        <v>409600</v>
      </c>
      <c r="F32" s="44">
        <f t="shared" si="16"/>
        <v>3600</v>
      </c>
      <c r="G32" s="43">
        <f t="shared" si="16"/>
        <v>857550</v>
      </c>
      <c r="H32" s="44">
        <f t="shared" si="16"/>
        <v>8800</v>
      </c>
      <c r="J32" s="95">
        <f>SUM(J4:J31)</f>
        <v>1915050</v>
      </c>
      <c r="K32" s="45">
        <f>SUM(K7:K31)</f>
        <v>175100</v>
      </c>
      <c r="L32" s="95">
        <f>SUM(L4:L31)</f>
        <v>17000</v>
      </c>
      <c r="M32" s="95">
        <f>SUM(M4:M31)</f>
        <v>1445000</v>
      </c>
      <c r="N32" s="95">
        <f>SUM(N4:N31)</f>
        <v>1444000</v>
      </c>
      <c r="P32" s="79">
        <f>SUM(P4:P31)</f>
        <v>234850</v>
      </c>
    </row>
    <row r="33" spans="3:13" x14ac:dyDescent="0.35">
      <c r="D33" s="99">
        <f>+D32*85</f>
        <v>391000</v>
      </c>
      <c r="F33" s="99">
        <f>+F32*85</f>
        <v>306000</v>
      </c>
      <c r="H33" s="99">
        <f>+H32*85</f>
        <v>748000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1915050</v>
      </c>
      <c r="E36" s="43">
        <f>+D36-J4-J5-J6</f>
        <v>1445300</v>
      </c>
      <c r="G36" s="101"/>
    </row>
    <row r="37" spans="3:13" x14ac:dyDescent="0.35">
      <c r="C37" s="47" t="s">
        <v>33</v>
      </c>
      <c r="D37" s="48">
        <f>D36*13%</f>
        <v>248956.5</v>
      </c>
      <c r="E37">
        <f>+D37-K4-K5-K6</f>
        <v>187856.5</v>
      </c>
      <c r="G37" s="100"/>
      <c r="H37" s="100"/>
    </row>
    <row r="38" spans="3:13" ht="15" thickBot="1" x14ac:dyDescent="0.4">
      <c r="C38" s="47" t="s">
        <v>30</v>
      </c>
      <c r="D38" s="30">
        <f>M32</f>
        <v>1445000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221093.5</v>
      </c>
      <c r="F39" s="98">
        <f>+P32-D39</f>
        <v>13756.5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221093.5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02</v>
      </c>
      <c r="D2" s="268"/>
      <c r="E2" s="267">
        <f>DigitaNICA!E2</f>
        <v>23</v>
      </c>
      <c r="F2" s="268"/>
      <c r="G2" s="267">
        <f>DigitaNICA!G2</f>
        <v>88</v>
      </c>
      <c r="H2" s="268"/>
      <c r="I2" s="267">
        <f>DigitaNICA!I2</f>
        <v>53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39450</v>
      </c>
      <c r="D4" s="78">
        <f>IF(Vendedor1!$E$5="",0,Vendedor1!$E$5)</f>
        <v>0</v>
      </c>
      <c r="E4" s="189">
        <f>IF(Vendedor1!$C$9="",0,Vendedor1!$C$9)</f>
        <v>26900</v>
      </c>
      <c r="F4" s="78">
        <f>IF(Vendedor1!$E$9="",0,Vendedor1!$E$9)</f>
        <v>2500</v>
      </c>
      <c r="G4" s="189">
        <f>IF(Vendedor1!$C$13="",0,Vendedor1!$C$13)</f>
        <v>22000</v>
      </c>
      <c r="H4" s="78">
        <f>IF(Vendedor1!$E$13="",0,Vendedor1!$E$13)</f>
        <v>0</v>
      </c>
      <c r="I4" s="189">
        <f>IF(Vendedor1!$C$17="",0,Vendedor1!$C$17)</f>
        <v>5350</v>
      </c>
      <c r="J4" s="78">
        <f>IF(Vendedor1!$E$17="",0,Vendedor1!$E$17)</f>
        <v>0</v>
      </c>
      <c r="L4" s="42">
        <f t="shared" ref="L4:L7" si="0">C4+E4+G4+I4</f>
        <v>93700</v>
      </c>
      <c r="M4" s="41">
        <f>MROUND(L4*Vendedor1!J$10,50)</f>
        <v>12200</v>
      </c>
      <c r="N4" s="42">
        <f t="shared" ref="N4:N7" si="1">D4+F4+H4+J4</f>
        <v>2500</v>
      </c>
      <c r="O4" s="41">
        <f>IFERROR(N4*85,0)</f>
        <v>212500</v>
      </c>
      <c r="P4" s="42">
        <f>Vendedor1!$F$5+Vendedor1!$F$9+Vendedor1!$F$13+Vendedor1!$F$17</f>
        <v>200000</v>
      </c>
      <c r="R4" s="41">
        <f t="shared" ref="R4:R7" si="2">+L4-M4-O4</f>
        <v>-131000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30500</v>
      </c>
      <c r="D5" s="30">
        <f>IF(Vendedor2!$E$5="",0,Vendedor2!$E$5)</f>
        <v>0</v>
      </c>
      <c r="E5" s="180">
        <f>IF(Vendedor2!$C$9="",0,Vendedor2!$C$9)</f>
        <v>3900</v>
      </c>
      <c r="F5" s="30">
        <f>IF(Vendedor2!$E$9="",0,Vendedor2!$E$9)</f>
        <v>0</v>
      </c>
      <c r="G5" s="180">
        <f>IF(Vendedor2!$C$13="",0,Vendedor2!$C$13)</f>
        <v>20750</v>
      </c>
      <c r="H5" s="30">
        <f>IF(Vendedor2!$E$13="",0,Vendedor2!$E$13)</f>
        <v>0</v>
      </c>
      <c r="I5" s="180">
        <f>IF(Vendedor2!$C$17="",0,Vendedor2!$C$17)</f>
        <v>1750</v>
      </c>
      <c r="J5" s="30">
        <f>IF(Vendedor2!$E$17="",0,Vendedor2!$E$17)</f>
        <v>0</v>
      </c>
      <c r="L5" s="42">
        <f t="shared" si="0"/>
        <v>56900</v>
      </c>
      <c r="M5" s="41">
        <f>MROUND(L5*Vendedor2!J$10,50)</f>
        <v>7400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49500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0</v>
      </c>
      <c r="D8" s="30">
        <f>IF(Vendedor5!$E$5="",0,Vendedor5!$E$5)</f>
        <v>0</v>
      </c>
      <c r="E8" s="180">
        <f>IF(Vendedor5!$C$9="",0,Vendedor5!$C$9)</f>
        <v>0</v>
      </c>
      <c r="F8" s="30">
        <f>IF(Vendedor5!$E$9="",0,Vendedor5!$E$9)</f>
        <v>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0</v>
      </c>
      <c r="M8" s="41">
        <f>MROUND(L8*Vendedor5!J$12,50)</f>
        <v>0</v>
      </c>
      <c r="N8" s="42">
        <f t="shared" ref="N8" si="5">D8+F8+H8+J8</f>
        <v>0</v>
      </c>
      <c r="O8" s="41">
        <f t="shared" si="3"/>
        <v>0</v>
      </c>
      <c r="P8" s="42">
        <f>Vendedor5!$F$5+Vendedor5!$F$9+Vendedor5!$F$13+Vendedor5!$F$17</f>
        <v>0</v>
      </c>
      <c r="Q8">
        <v>17</v>
      </c>
      <c r="R8" s="41">
        <f t="shared" ref="R8" si="6">+L8-M8-O8</f>
        <v>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72400</v>
      </c>
      <c r="D10" s="30">
        <f>IF(Vendedor7!$E$5="",0,Vendedor7!$E$5)</f>
        <v>2100</v>
      </c>
      <c r="E10" s="180">
        <f>IF(Vendedor7!$C$9="",0,Vendedor7!$C$9)</f>
        <v>90650</v>
      </c>
      <c r="F10" s="30">
        <f>IF(Vendedor7!$E$9="",0,Vendedor7!$E$9)</f>
        <v>0</v>
      </c>
      <c r="G10" s="180">
        <f>IF(Vendedor7!$C$13="",0,Vendedor7!$C$13)</f>
        <v>54250</v>
      </c>
      <c r="H10" s="30">
        <f>IF(Vendedor7!$E$13="",0,Vendedor7!$E$13)</f>
        <v>200</v>
      </c>
      <c r="I10" s="180">
        <f>IF(Vendedor7!$C$17="",0,Vendedor7!$C$17)</f>
        <v>68700</v>
      </c>
      <c r="J10" s="30">
        <f>IF(Vendedor7!$E$17="",0,Vendedor7!$E$17)</f>
        <v>250</v>
      </c>
      <c r="L10" s="42">
        <f t="shared" si="7"/>
        <v>286000</v>
      </c>
      <c r="M10" s="41">
        <f>MROUND(L10*Vendedor7!J$15,50)</f>
        <v>34300</v>
      </c>
      <c r="N10" s="42">
        <f t="shared" ref="N10:N27" si="9">D10+F10+H10+J10</f>
        <v>2550</v>
      </c>
      <c r="O10" s="41">
        <f t="shared" si="3"/>
        <v>216750</v>
      </c>
      <c r="P10" s="42">
        <f>Vendedor7!$F$5+Vendedor7!$F$9+Vendedor7!$F$13+Vendedor7!$F$17</f>
        <v>216750</v>
      </c>
      <c r="R10" s="41">
        <f t="shared" si="8"/>
        <v>34950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27550</v>
      </c>
      <c r="D12" s="30">
        <f>IF(Vendedor9!$E$5="",0,Vendedor9!$E$5)</f>
        <v>550</v>
      </c>
      <c r="E12" s="180">
        <f>IF(Vendedor9!$C$9="",0,Vendedor9!$C$9)</f>
        <v>18750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46300</v>
      </c>
      <c r="M12" s="41">
        <f>MROUND(L12*Vendedor9!J$12,50)</f>
        <v>5550</v>
      </c>
      <c r="N12" s="42">
        <f t="shared" si="9"/>
        <v>550</v>
      </c>
      <c r="O12" s="41">
        <f t="shared" si="3"/>
        <v>46750</v>
      </c>
      <c r="P12" s="42">
        <f>Vendedor9!$F$5+Vendedor9!$F$9+Vendedor9!$F$13+Vendedor9!$F$17</f>
        <v>46750</v>
      </c>
      <c r="R12" s="41">
        <f t="shared" si="8"/>
        <v>-6000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67200</v>
      </c>
      <c r="D13" s="30">
        <f>IF(Vendedor10!$E$5="",0,Vendedor10!$E$5)</f>
        <v>600</v>
      </c>
      <c r="E13" s="180">
        <f>IF(Vendedor10!$C$9="",0,Vendedor10!$C$9)</f>
        <v>49350</v>
      </c>
      <c r="F13" s="30">
        <f>IF(Vendedor10!$E$9="",0,Vendedor10!$E$9)</f>
        <v>0</v>
      </c>
      <c r="G13" s="180">
        <f>IF(Vendedor10!$C$13="",0,Vendedor10!$C$13)</f>
        <v>6500</v>
      </c>
      <c r="H13" s="30">
        <f>IF(Vendedor10!$E$13="",0,Vendedor10!$E$13)</f>
        <v>0</v>
      </c>
      <c r="I13" s="180">
        <f>IF(Vendedor10!$C$17="",0,Vendedor10!$C$17)</f>
        <v>5000</v>
      </c>
      <c r="J13" s="30">
        <f>IF(Vendedor10!$E$17="",0,Vendedor10!$E$17)</f>
        <v>300</v>
      </c>
      <c r="L13" s="42">
        <f t="shared" si="7"/>
        <v>128050</v>
      </c>
      <c r="M13" s="41">
        <f>MROUND(L13*Vendedor10!J$10,50)</f>
        <v>15350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36200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6400</v>
      </c>
      <c r="D16" s="30">
        <f>IF(Vendedor13!$E$5="",0,Vendedor13!$E$5)</f>
        <v>500</v>
      </c>
      <c r="E16" s="180">
        <f>IF(Vendedor13!$C$9="",0,Vendedor13!$C$9)</f>
        <v>13900</v>
      </c>
      <c r="F16" s="30">
        <f>IF(Vendedor13!$E$9="",0,Vendedor13!$E$9)</f>
        <v>0</v>
      </c>
      <c r="G16" s="180">
        <f>IF(Vendedor13!$C$13="",0,Vendedor13!$C$13)</f>
        <v>10900</v>
      </c>
      <c r="H16" s="30">
        <f>IF(Vendedor13!$E$13="",0,Vendedor13!$E$13)</f>
        <v>100</v>
      </c>
      <c r="I16" s="180">
        <f>IF(Vendedor13!$C$17="",0,Vendedor13!$C$17)</f>
        <v>5100</v>
      </c>
      <c r="J16" s="30">
        <f>IF(Vendedor13!$E$17="",0,Vendedor13!$E$17)</f>
        <v>100</v>
      </c>
      <c r="L16" s="42">
        <f t="shared" si="7"/>
        <v>36300</v>
      </c>
      <c r="M16" s="41">
        <f>MROUND(L16*Vendedor13!J$12,50)</f>
        <v>4350</v>
      </c>
      <c r="N16" s="42">
        <f t="shared" si="9"/>
        <v>700</v>
      </c>
      <c r="O16" s="41">
        <f t="shared" si="3"/>
        <v>59500</v>
      </c>
      <c r="P16" s="42">
        <f>Vendedor13!$F$5+Vendedor13!$F$9+Vendedor13!$F$13+Vendedor13!$F$17</f>
        <v>56000</v>
      </c>
      <c r="R16" s="41">
        <f t="shared" si="8"/>
        <v>-27550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103600</v>
      </c>
      <c r="D17" s="30">
        <f>IF(Vendedor14!$E$5="",0,Vendedor14!$E$5)</f>
        <v>1550</v>
      </c>
      <c r="E17" s="180">
        <f>IF(Vendedor14!$C$9="",0,Vendedor14!$C$9)</f>
        <v>66900</v>
      </c>
      <c r="F17" s="30">
        <f>IF(Vendedor14!$E$9="",0,Vendedor14!$E$9)</f>
        <v>950</v>
      </c>
      <c r="G17" s="180">
        <f>IF(Vendedor14!$C$13="",0,Vendedor14!$C$13)</f>
        <v>51950</v>
      </c>
      <c r="H17" s="30">
        <f>IF(Vendedor14!$E$13="",0,Vendedor14!$E$13)</f>
        <v>800</v>
      </c>
      <c r="I17" s="180">
        <f>IF(Vendedor14!$C$17="",0,Vendedor14!$C$17)</f>
        <v>148750</v>
      </c>
      <c r="J17" s="30">
        <f>IF(Vendedor14!$E$17="",0,Vendedor14!$E$17)</f>
        <v>2350</v>
      </c>
      <c r="L17" s="42">
        <f>C17+E17+G17+I17</f>
        <v>371200</v>
      </c>
      <c r="M17" s="41">
        <f>MROUND(L17*Vendedor14!J$16,50)</f>
        <v>44550</v>
      </c>
      <c r="N17" s="42">
        <f t="shared" si="9"/>
        <v>5650</v>
      </c>
      <c r="O17" s="41">
        <f t="shared" si="3"/>
        <v>480250</v>
      </c>
      <c r="P17" s="42">
        <f>Vendedor14!$F$5+Vendedor14!$F$9+Vendedor14!$F$13+Vendedor14!$F$17</f>
        <v>480250</v>
      </c>
      <c r="R17" s="41">
        <f t="shared" si="8"/>
        <v>-153600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45700</v>
      </c>
      <c r="D18" s="30">
        <f>IF(Vendedor15!$E$5="",0,Vendedor15!$E$5)</f>
        <v>700</v>
      </c>
      <c r="E18" s="180">
        <f>IF(Vendedor15!$C$9="",0,Vendedor15!$C$9)</f>
        <v>36000</v>
      </c>
      <c r="F18" s="30">
        <f>IF(Vendedor15!$E$9="",0,Vendedor15!$E$9)</f>
        <v>0</v>
      </c>
      <c r="G18" s="180">
        <f>IF(Vendedor15!$C$13="",0,Vendedor15!$C$13)</f>
        <v>9650</v>
      </c>
      <c r="H18" s="30">
        <f>IF(Vendedor15!$E$13="",0,Vendedor15!$E$13)</f>
        <v>0</v>
      </c>
      <c r="I18" s="180">
        <f>IF(Vendedor15!$C$17="",0,Vendedor15!$C$17)</f>
        <v>4550</v>
      </c>
      <c r="J18" s="30">
        <f>IF(Vendedor15!$E$17="",0,Vendedor15!$E$17)</f>
        <v>0</v>
      </c>
      <c r="L18" s="42">
        <f t="shared" ref="L18:L27" si="10">C18+E18+G18+I18</f>
        <v>95900</v>
      </c>
      <c r="M18" s="41">
        <f>MROUND(L18*Vendedor15!J$16,50)</f>
        <v>11500</v>
      </c>
      <c r="N18" s="42">
        <f t="shared" si="9"/>
        <v>700</v>
      </c>
      <c r="O18" s="41">
        <f t="shared" si="3"/>
        <v>59500</v>
      </c>
      <c r="P18" s="42">
        <f>Vendedor15!$F$5+Vendedor15!$F$9+Vendedor15!$F$13+Vendedor15!$F$17</f>
        <v>59500</v>
      </c>
      <c r="R18" s="41">
        <f t="shared" si="8"/>
        <v>24900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392800</v>
      </c>
      <c r="D32" s="44">
        <f t="shared" si="14"/>
        <v>6000</v>
      </c>
      <c r="E32" s="43">
        <f t="shared" si="14"/>
        <v>306350</v>
      </c>
      <c r="F32" s="44">
        <f t="shared" si="14"/>
        <v>3450</v>
      </c>
      <c r="G32" s="43">
        <f t="shared" si="14"/>
        <v>176000</v>
      </c>
      <c r="H32" s="44">
        <f t="shared" si="14"/>
        <v>1100</v>
      </c>
      <c r="I32" s="43">
        <f t="shared" si="14"/>
        <v>239200</v>
      </c>
      <c r="J32" s="44">
        <f t="shared" si="14"/>
        <v>3000</v>
      </c>
      <c r="L32" s="45">
        <f>SUM(L4:L31)</f>
        <v>1114350</v>
      </c>
      <c r="M32" s="45">
        <f>SUM(M7:M31)</f>
        <v>115600</v>
      </c>
      <c r="N32" s="95">
        <f>SUM(N4:N31)</f>
        <v>13550</v>
      </c>
      <c r="O32" s="46">
        <f>SUM(O4:O31)</f>
        <v>1151750</v>
      </c>
      <c r="P32" s="140">
        <f>SUM(P4:P31)</f>
        <v>1131250</v>
      </c>
      <c r="R32" s="79">
        <f>SUM(R4:R31)</f>
        <v>-172600</v>
      </c>
    </row>
    <row r="33" spans="3:15" x14ac:dyDescent="0.35">
      <c r="D33" s="120">
        <f>+D32*85</f>
        <v>510000</v>
      </c>
      <c r="F33" s="120">
        <f>+F32*85</f>
        <v>293250</v>
      </c>
      <c r="H33" s="120">
        <f>+H32*85</f>
        <v>93500</v>
      </c>
      <c r="J33" s="120">
        <f>+J32*85</f>
        <v>255000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1114350</v>
      </c>
      <c r="E36" s="43">
        <f>+D36-L4-L5-L6</f>
        <v>963750</v>
      </c>
    </row>
    <row r="37" spans="3:15" x14ac:dyDescent="0.35">
      <c r="C37" s="47" t="s">
        <v>33</v>
      </c>
      <c r="D37" s="48">
        <f>D36*13%</f>
        <v>144865.5</v>
      </c>
      <c r="E37">
        <f>+D37-M4-M5-M6</f>
        <v>125265.5</v>
      </c>
    </row>
    <row r="38" spans="3:15" x14ac:dyDescent="0.35">
      <c r="C38" s="47" t="s">
        <v>30</v>
      </c>
      <c r="D38" s="30">
        <f>SUM(O4:O27)</f>
        <v>1151750</v>
      </c>
      <c r="G38" s="100"/>
    </row>
    <row r="39" spans="3:15" ht="15" thickBot="1" x14ac:dyDescent="0.4">
      <c r="C39" s="49" t="s">
        <v>4</v>
      </c>
      <c r="D39" s="80">
        <f>+D36-D37-D38</f>
        <v>-182265.5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-182265.5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77 Blanca</v>
      </c>
      <c r="D2" s="268"/>
      <c r="E2" s="267" t="str">
        <f>IF(E33=0,"",CONCATENATE(PREMIOS!$B11," ",PREMIOS!$B12))</f>
        <v>23 Roja</v>
      </c>
      <c r="F2" s="268"/>
      <c r="G2" s="267" t="str">
        <f>IF(G33=0,"",CONCATENATE(PREMIOS!$B15," ",PREMIOS!$B16))</f>
        <v>16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35550</v>
      </c>
      <c r="D10" s="30">
        <f>IF(Vendedor7!$E$8="",0,Vendedor7!$E$8)</f>
        <v>0</v>
      </c>
      <c r="E10" s="180">
        <f>IF(Vendedor7!$C$12="",0,Vendedor7!$C$12)</f>
        <v>37500</v>
      </c>
      <c r="F10" s="30">
        <f>IF(Vendedor7!$E$12="",0,Vendedor7!$E$12)</f>
        <v>0</v>
      </c>
      <c r="G10" s="180">
        <f>IF(Vendedor7!$C$16="",0,Vendedor7!$C$16)</f>
        <v>30400</v>
      </c>
      <c r="H10" s="30">
        <f>IF(Vendedor7!$E$16="",0,Vendedor7!$E$16)</f>
        <v>0</v>
      </c>
      <c r="J10" s="42">
        <f t="shared" si="1"/>
        <v>103450</v>
      </c>
      <c r="K10" s="41">
        <f>J10*Vendedor7!J$16</f>
        <v>10345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93105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2900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2900</v>
      </c>
      <c r="K12" s="41">
        <f>J12*Vendedor9!J$13</f>
        <v>290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2610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23950</v>
      </c>
      <c r="D17" s="30">
        <f>IF(Vendedor14!$E$8="",0,Vendedor14!$E$8)</f>
        <v>1000</v>
      </c>
      <c r="E17" s="180">
        <f>IF(Vendedor14!$C$12="",0,Vendedor14!$C$12)</f>
        <v>13200</v>
      </c>
      <c r="F17" s="30">
        <f>IF(Vendedor14!$E$12="",0,Vendedor14!$E$12)</f>
        <v>250</v>
      </c>
      <c r="G17" s="180">
        <f>IF(Vendedor14!$C$16="",0,Vendedor14!$C$16)</f>
        <v>29700</v>
      </c>
      <c r="H17" s="30">
        <f>IF(Vendedor14!$E$16="",0,Vendedor14!$E$16)</f>
        <v>0</v>
      </c>
      <c r="J17" s="42">
        <f t="shared" si="1"/>
        <v>66850</v>
      </c>
      <c r="K17" s="41">
        <f>J17*Vendedor14!J$17</f>
        <v>6685</v>
      </c>
      <c r="L17" s="42">
        <f t="shared" si="2"/>
        <v>250</v>
      </c>
      <c r="M17" s="42">
        <f t="shared" si="3"/>
        <v>1250</v>
      </c>
      <c r="N17" s="42">
        <f t="shared" si="0"/>
        <v>55000</v>
      </c>
      <c r="O17" s="42">
        <f>Vendedor14!$F$8+Vendedor14!$F$12+Vendedor14!$F$16</f>
        <v>50000</v>
      </c>
      <c r="Q17" s="42">
        <f t="shared" si="4"/>
        <v>10165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20300</v>
      </c>
      <c r="D18" s="30">
        <f>IF(Vendedor15!$E$8="",0,Vendedor15!$E$8)</f>
        <v>500</v>
      </c>
      <c r="E18" s="180">
        <f>IF(Vendedor15!$C$12="",0,Vendedor15!$C$12)</f>
        <v>12100</v>
      </c>
      <c r="F18" s="30">
        <f>IF(Vendedor15!$E$12="",0,Vendedor15!$E$12)</f>
        <v>0</v>
      </c>
      <c r="G18" s="180">
        <f>IF(Vendedor15!$C$16="",0,Vendedor15!$C$16)</f>
        <v>22200</v>
      </c>
      <c r="H18" s="30">
        <f>IF(Vendedor15!$E$16="",0,Vendedor15!$E$16)</f>
        <v>0</v>
      </c>
      <c r="J18" s="42">
        <f t="shared" ref="J18" si="5">+C18+E18+G18</f>
        <v>54600</v>
      </c>
      <c r="K18" s="41">
        <f>J18*Vendedor15!J$17</f>
        <v>5460</v>
      </c>
      <c r="L18" s="42">
        <f t="shared" si="2"/>
        <v>0</v>
      </c>
      <c r="M18" s="42">
        <f t="shared" si="3"/>
        <v>500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49140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83700</v>
      </c>
      <c r="D33" s="44">
        <f>IF(PREMIOS!E8&lt;&gt;0,SUM(D4:D32),0)</f>
        <v>0</v>
      </c>
      <c r="E33" s="43">
        <f>SUM(E4:E32)</f>
        <v>62800</v>
      </c>
      <c r="F33" s="44">
        <f>IF(PREMIOS!E12&lt;&gt;0,SUM(F4:F32),0)</f>
        <v>250</v>
      </c>
      <c r="G33" s="43">
        <f>SUM(G4:G32)</f>
        <v>82300</v>
      </c>
      <c r="H33" s="44">
        <f>IF(PREMIOS!E16&lt;&gt;0,SUM(H4:H32),0)</f>
        <v>0</v>
      </c>
      <c r="J33" s="45">
        <f>SUM(J4:J32)</f>
        <v>228800</v>
      </c>
      <c r="K33" s="45">
        <f>SUM(K7:K32)</f>
        <v>22880</v>
      </c>
      <c r="L33" s="95">
        <f>SUM(L7:L32)</f>
        <v>250</v>
      </c>
      <c r="M33" s="95">
        <f>SUM(M7:M32)</f>
        <v>1750</v>
      </c>
      <c r="N33" s="95">
        <f>SUM(N4:N27)</f>
        <v>55000</v>
      </c>
      <c r="O33" s="95">
        <f>SUM(O4:O27)</f>
        <v>50000</v>
      </c>
      <c r="Q33" s="79">
        <f>SUM(Q4:Q32)</f>
        <v>155920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55000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228800</v>
      </c>
      <c r="E37" s="43">
        <f>+D37-J4-J5-J6</f>
        <v>228800</v>
      </c>
      <c r="F37" s="275"/>
      <c r="G37" s="275"/>
    </row>
    <row r="38" spans="3:17" ht="15" thickBot="1" x14ac:dyDescent="0.4">
      <c r="C38" s="47" t="s">
        <v>33</v>
      </c>
      <c r="D38" s="30">
        <f>D37*10%</f>
        <v>22880</v>
      </c>
      <c r="E38" s="43">
        <f>+D38-K4-K5-K6</f>
        <v>22880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55000</v>
      </c>
    </row>
    <row r="40" spans="3:17" ht="15" thickBot="1" x14ac:dyDescent="0.4">
      <c r="C40" s="49" t="s">
        <v>4</v>
      </c>
      <c r="D40" s="80">
        <f>+D37-D38-D39</f>
        <v>150920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150920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24</v>
      </c>
      <c r="D2" s="268"/>
      <c r="E2" s="267">
        <f>DigitaPRIMERA!E2</f>
        <v>64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10250</v>
      </c>
      <c r="D4" s="78">
        <f>IF(Vendedor1!$E$19="",0,Vendedor1!$E$19)</f>
        <v>0</v>
      </c>
      <c r="E4" s="189">
        <f>IF(Vendedor1!$C$20="",0,Vendedor1!$C$20)</f>
        <v>2950</v>
      </c>
      <c r="F4" s="78">
        <f>IF(Vendedor1!$E$20="",0,Vendedor1!$E$20)</f>
        <v>0</v>
      </c>
      <c r="H4" s="42">
        <f>+C4+E4</f>
        <v>13200</v>
      </c>
      <c r="I4" s="41">
        <f>MROUND(H4*Vendedor1!J$9,50)</f>
        <v>1700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11500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6000</v>
      </c>
      <c r="D5" s="30">
        <f>IF(Vendedor2!$E$19="",0,Vendedor2!$E$19)</f>
        <v>1000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-74800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0</v>
      </c>
      <c r="D8" s="30">
        <f>IF(Vendedor5!$E$19="",0,Vendedor5!$E$19)</f>
        <v>0</v>
      </c>
      <c r="E8" s="180">
        <f>IF(Vendedor5!$C$20="",0,Vendedor5!$C$20)</f>
        <v>0</v>
      </c>
      <c r="F8" s="30">
        <f>IF(Vendedor5!$E$20="",0,Vendedor5!$E$20)</f>
        <v>0</v>
      </c>
      <c r="H8" s="133">
        <f t="shared" si="1"/>
        <v>0</v>
      </c>
      <c r="I8" s="148">
        <f>MROUND(H8*Vendedor5!J$11,50)</f>
        <v>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14200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14200</v>
      </c>
      <c r="I10" s="41">
        <f>MROUND(H10*Vendedor7!J$14,50)</f>
        <v>1700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12500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26900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26900</v>
      </c>
      <c r="I12" s="148">
        <f>MROUND(H12*Vendedor9!J$11,50)</f>
        <v>3250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23650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1700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1700</v>
      </c>
      <c r="I16" s="148">
        <f>MROUND(H16*Vendedor13!J$11,50)</f>
        <v>200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1500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91250</v>
      </c>
      <c r="D17" s="30">
        <f>IF(Vendedor14!$E$19="",0,Vendedor14!$E$19)</f>
        <v>400</v>
      </c>
      <c r="E17" s="180">
        <f>IF(Vendedor14!$C$20="",0,Vendedor14!$C$20)</f>
        <v>29650</v>
      </c>
      <c r="F17" s="30">
        <f>IF(Vendedor14!$E$20="",0,Vendedor14!$E$20)</f>
        <v>150</v>
      </c>
      <c r="H17" s="42">
        <f t="shared" si="1"/>
        <v>120900</v>
      </c>
      <c r="I17" s="41">
        <f>MROUND(H17*Vendedor14!J$15,50)</f>
        <v>14500</v>
      </c>
      <c r="J17" s="42">
        <f t="shared" si="2"/>
        <v>550</v>
      </c>
      <c r="K17" s="42">
        <f t="shared" si="3"/>
        <v>46750</v>
      </c>
      <c r="L17" s="42">
        <f>Vendedor14!$F$19+Vendedor14!$F$20</f>
        <v>46750</v>
      </c>
      <c r="N17" s="42">
        <f t="shared" si="0"/>
        <v>59650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43850</v>
      </c>
      <c r="D18" s="30">
        <f>IF(Vendedor15!$E$19="",0,Vendedor15!$E$19)</f>
        <v>1400</v>
      </c>
      <c r="E18" s="180">
        <f>IF(Vendedor15!$C$20="",0,Vendedor15!$C$20)</f>
        <v>22800</v>
      </c>
      <c r="F18" s="30">
        <f>IF(Vendedor15!$E$20="",0,Vendedor15!$E$20)</f>
        <v>0</v>
      </c>
      <c r="H18" s="42">
        <f t="shared" si="1"/>
        <v>66650</v>
      </c>
      <c r="I18" s="41">
        <f>MROUND(H18*Vendedor15!J$15,50)</f>
        <v>8000</v>
      </c>
      <c r="J18" s="42">
        <f t="shared" si="2"/>
        <v>1400</v>
      </c>
      <c r="K18" s="42">
        <f t="shared" si="3"/>
        <v>119000</v>
      </c>
      <c r="L18" s="42">
        <f>Vendedor15!$F$19+Vendedor15!$F$20</f>
        <v>119000</v>
      </c>
      <c r="N18" s="42">
        <f t="shared" si="0"/>
        <v>-60350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194150</v>
      </c>
      <c r="D32" s="44">
        <f>SUM(D4:D31)</f>
        <v>2800</v>
      </c>
      <c r="E32" s="43">
        <f>SUM(E4:E31)</f>
        <v>55400</v>
      </c>
      <c r="F32" s="44">
        <f>SUM(F4:F31)</f>
        <v>150</v>
      </c>
      <c r="H32" s="95">
        <f>SUM(H4:H31)</f>
        <v>249550</v>
      </c>
      <c r="I32" s="45">
        <f>SUM(I7:I31)</f>
        <v>27650</v>
      </c>
      <c r="J32" s="95"/>
      <c r="K32" s="95">
        <f>SUM(K4:K31)</f>
        <v>250750</v>
      </c>
      <c r="L32" s="95">
        <f>SUM(L4:L31)</f>
        <v>245750</v>
      </c>
      <c r="N32" s="79">
        <f>SUM(N4:N31)</f>
        <v>-26350</v>
      </c>
    </row>
    <row r="33" spans="3:6" x14ac:dyDescent="0.35">
      <c r="D33" s="99">
        <f>+D32*85</f>
        <v>238000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249550</v>
      </c>
      <c r="E36" s="43">
        <f>+D36-H4-H5-H6</f>
        <v>230350</v>
      </c>
    </row>
    <row r="37" spans="3:6" x14ac:dyDescent="0.35">
      <c r="C37" s="47" t="s">
        <v>33</v>
      </c>
      <c r="D37" s="48">
        <f>D36*13%</f>
        <v>32441.5</v>
      </c>
      <c r="E37">
        <f>+D37-I4-I5-I6</f>
        <v>29941.5</v>
      </c>
    </row>
    <row r="38" spans="3:6" ht="15" thickBot="1" x14ac:dyDescent="0.4">
      <c r="C38" s="47" t="s">
        <v>30</v>
      </c>
      <c r="D38" s="30">
        <f>SUM(K4:K27)</f>
        <v>250750</v>
      </c>
    </row>
    <row r="39" spans="3:6" ht="15" thickBot="1" x14ac:dyDescent="0.4">
      <c r="C39" s="49" t="s">
        <v>4</v>
      </c>
      <c r="D39" s="80">
        <f>+D36-D37-D38</f>
        <v>-33641.5</v>
      </c>
      <c r="F39" s="98">
        <f>+N32-D39</f>
        <v>7291.5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-33641.5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83</v>
      </c>
      <c r="D2" s="268"/>
      <c r="E2" s="267">
        <f>DigitaHONDURAS!E2</f>
        <v>50</v>
      </c>
      <c r="F2" s="268"/>
      <c r="G2" s="267">
        <f>DigitaHONDURAS!G2</f>
        <v>82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2500</v>
      </c>
      <c r="D10" s="30">
        <f>IF(Vendedor7!$E$21="",0,Vendedor7!$E$21)</f>
        <v>0</v>
      </c>
      <c r="E10" s="180">
        <f>IF(Vendedor7!$C$22="",0,Vendedor7!$C$22)</f>
        <v>200</v>
      </c>
      <c r="F10" s="30">
        <f>IF(Vendedor7!$E$22="",0,Vendedor7!$E$22)</f>
        <v>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2700</v>
      </c>
      <c r="K10" s="41">
        <f>MROUND(J10*Vendedor7!J$14,50)</f>
        <v>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2400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54750</v>
      </c>
      <c r="D17" s="30">
        <f>IF(Vendedor14!$E$21="",0,Vendedor14!$E$21)</f>
        <v>0</v>
      </c>
      <c r="E17" s="180">
        <f>IF(Vendedor14!$C$22="",0,Vendedor14!$C$22)</f>
        <v>15200</v>
      </c>
      <c r="F17" s="30">
        <f>IF(Vendedor14!$E$22="",0,Vendedor14!$E$22)</f>
        <v>0</v>
      </c>
      <c r="G17" s="180">
        <f>IF(Vendedor14!$C$23="",0,Vendedor14!$C$23)</f>
        <v>20950</v>
      </c>
      <c r="H17" s="30">
        <f>IF(Vendedor14!$E$23="",0,Vendedor14!$E$23)</f>
        <v>0</v>
      </c>
      <c r="J17" s="42">
        <f t="shared" si="0"/>
        <v>90900</v>
      </c>
      <c r="K17" s="41">
        <f>MROUND(J17*Vendedor14!J$15,50)</f>
        <v>10900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80000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22950</v>
      </c>
      <c r="D18" s="30">
        <f>IF(Vendedor15!$E$21="",0,Vendedor15!$E$21)</f>
        <v>0</v>
      </c>
      <c r="E18" s="180">
        <f>IF(Vendedor15!$C$22="",0,Vendedor15!$C$22)</f>
        <v>11000</v>
      </c>
      <c r="F18" s="30">
        <f>IF(Vendedor15!$E$22="",0,Vendedor15!$E$22)</f>
        <v>0</v>
      </c>
      <c r="G18" s="180">
        <f>IF(Vendedor15!$C$23="",0,Vendedor15!$C$23)</f>
        <v>2500</v>
      </c>
      <c r="H18" s="30">
        <f>IF(Vendedor15!$E$23="",0,Vendedor15!$E$23)</f>
        <v>0</v>
      </c>
      <c r="J18" s="42">
        <f t="shared" si="0"/>
        <v>36450</v>
      </c>
      <c r="K18" s="41">
        <f>MROUND(J18*Vendedor15!J$15,50)</f>
        <v>4350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32100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80200</v>
      </c>
      <c r="D32" s="44">
        <f t="shared" si="8"/>
        <v>0</v>
      </c>
      <c r="E32" s="43">
        <f t="shared" si="8"/>
        <v>26400</v>
      </c>
      <c r="F32" s="44">
        <f t="shared" si="8"/>
        <v>0</v>
      </c>
      <c r="G32" s="43">
        <f t="shared" si="8"/>
        <v>23450</v>
      </c>
      <c r="H32" s="44">
        <f t="shared" si="8"/>
        <v>0</v>
      </c>
      <c r="J32" s="95">
        <f>SUM(J4:J31)</f>
        <v>130050</v>
      </c>
      <c r="K32" s="45">
        <f>SUM(K7:K31)</f>
        <v>15550</v>
      </c>
      <c r="L32" s="95"/>
      <c r="M32" s="95">
        <f>SUM(M4:M31)</f>
        <v>0</v>
      </c>
      <c r="N32" s="95">
        <f>SUM(N4:N31)</f>
        <v>0</v>
      </c>
      <c r="P32" s="79">
        <f>SUM(P4:P31)</f>
        <v>114500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130050</v>
      </c>
      <c r="E36" s="43">
        <f>+D36-J4-J5-J6</f>
        <v>130050</v>
      </c>
    </row>
    <row r="37" spans="3:8" x14ac:dyDescent="0.35">
      <c r="C37" s="47" t="s">
        <v>33</v>
      </c>
      <c r="D37" s="48">
        <f>D36*13%</f>
        <v>16906.5</v>
      </c>
      <c r="E37">
        <f>+D37-K4-K5-K6</f>
        <v>16906.5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113143.5</v>
      </c>
      <c r="F39" s="98">
        <f>+P32-D39</f>
        <v>1356.5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113143.5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36</v>
      </c>
      <c r="D2" s="268"/>
      <c r="E2" s="267">
        <f>DigitaDOMINICANA!E2</f>
        <v>74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0</v>
      </c>
      <c r="I10" s="41">
        <f>MROUND(H10*Vendedor7!J$14,50)</f>
        <v>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0</v>
      </c>
      <c r="I32" s="45">
        <f>SUM(I7:I31)</f>
        <v>0</v>
      </c>
      <c r="J32" s="95"/>
      <c r="K32" s="95">
        <f>SUM(K4:K31)</f>
        <v>0</v>
      </c>
      <c r="L32" s="95">
        <f>SUM(L4:L31)</f>
        <v>0</v>
      </c>
      <c r="N32" s="79">
        <f>SUM(N4:N31)</f>
        <v>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0</v>
      </c>
      <c r="E36" s="43">
        <f>+D36-H4-H5-H6</f>
        <v>0</v>
      </c>
    </row>
    <row r="37" spans="3:6" x14ac:dyDescent="0.35">
      <c r="C37" s="47" t="s">
        <v>33</v>
      </c>
      <c r="D37" s="48">
        <f>D36*13%</f>
        <v>0</v>
      </c>
      <c r="E37">
        <f>+D37-I4-I5-I6</f>
        <v>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0</v>
      </c>
      <c r="F39" s="98">
        <f>+N32-D39</f>
        <v>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24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6600</v>
      </c>
      <c r="D17" s="30">
        <f>IF(Vendedor14!$E$26="",0,Vendedor14!$E$26)</f>
        <v>300</v>
      </c>
      <c r="F17" s="42">
        <f t="shared" si="1"/>
        <v>6600</v>
      </c>
      <c r="G17" s="41">
        <f>MROUND(F17*Vendedor14!J$15,50)</f>
        <v>800</v>
      </c>
      <c r="H17" s="42">
        <f t="shared" si="2"/>
        <v>300</v>
      </c>
      <c r="I17" s="42">
        <f t="shared" si="3"/>
        <v>25500</v>
      </c>
      <c r="J17" s="42">
        <f>Vendedor14!$F$26</f>
        <v>25500</v>
      </c>
      <c r="L17" s="42">
        <f t="shared" si="0"/>
        <v>-19700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6600</v>
      </c>
      <c r="D32" s="44">
        <f>SUM(D4:D31)</f>
        <v>300</v>
      </c>
      <c r="F32" s="95">
        <f>SUM(F4:F31)</f>
        <v>6600</v>
      </c>
      <c r="G32" s="95">
        <f>SUM(G7:G31)</f>
        <v>800</v>
      </c>
      <c r="H32" s="95"/>
      <c r="I32" s="95">
        <f>SUM(I4:I31)</f>
        <v>25500</v>
      </c>
      <c r="J32" s="95">
        <f>SUM(J4:J31)</f>
        <v>25500</v>
      </c>
      <c r="L32" s="91">
        <f>SUM(L4:L31)</f>
        <v>-19700</v>
      </c>
    </row>
    <row r="33" spans="3:6" ht="16" customHeight="1" x14ac:dyDescent="0.35">
      <c r="D33" s="99">
        <f>+D32*85</f>
        <v>25500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6600</v>
      </c>
      <c r="F36" s="43">
        <f>+D36-F4-F5-F6</f>
        <v>6600</v>
      </c>
    </row>
    <row r="37" spans="3:6" x14ac:dyDescent="0.35">
      <c r="C37" s="47" t="s">
        <v>33</v>
      </c>
      <c r="D37" s="30">
        <f>D36*14%</f>
        <v>924.00000000000011</v>
      </c>
      <c r="E37" s="43"/>
      <c r="F37" s="43">
        <f>+D37-G4-G5-G6</f>
        <v>924.00000000000011</v>
      </c>
    </row>
    <row r="38" spans="3:6" x14ac:dyDescent="0.35">
      <c r="C38" s="47" t="s">
        <v>30</v>
      </c>
      <c r="D38" s="30">
        <f>SUM(I4:I27)</f>
        <v>25500</v>
      </c>
    </row>
    <row r="39" spans="3:6" ht="15" thickBot="1" x14ac:dyDescent="0.4">
      <c r="C39" s="49" t="s">
        <v>4</v>
      </c>
      <c r="D39" s="80">
        <f>+D36-D37-D38</f>
        <v>-19824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-19824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05-05-2026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963750</v>
      </c>
      <c r="C4" s="157">
        <f>HojaNICA!M32</f>
        <v>115600</v>
      </c>
      <c r="D4" s="150">
        <f>HojaNICA!E37</f>
        <v>125265.5</v>
      </c>
      <c r="E4" s="150">
        <f>HojaNICA!P32</f>
        <v>1131250</v>
      </c>
      <c r="F4" s="150">
        <f>HojaNICA!O32</f>
        <v>1151750</v>
      </c>
      <c r="G4" s="151">
        <f t="shared" ref="G4:G10" si="0">+D4-C4+F4-E4</f>
        <v>30165.5</v>
      </c>
      <c r="H4" s="21"/>
      <c r="I4" s="182"/>
    </row>
    <row r="5" spans="1:9" x14ac:dyDescent="0.35">
      <c r="A5" s="28" t="s">
        <v>19</v>
      </c>
      <c r="B5" s="156">
        <f>HojaTICA!$E$36</f>
        <v>1445300</v>
      </c>
      <c r="C5" s="157">
        <f>HojaTICA!K32</f>
        <v>175100</v>
      </c>
      <c r="D5" s="150">
        <f>HojaTICA!E37</f>
        <v>187856.5</v>
      </c>
      <c r="E5" s="150">
        <f>HojaTICA!N32</f>
        <v>1444000</v>
      </c>
      <c r="F5" s="150">
        <f>HojaTICA!D38</f>
        <v>1445000</v>
      </c>
      <c r="G5" s="151">
        <f t="shared" si="0"/>
        <v>13756.5</v>
      </c>
      <c r="H5" s="21"/>
      <c r="I5" s="182"/>
    </row>
    <row r="6" spans="1:9" x14ac:dyDescent="0.35">
      <c r="A6" s="28" t="s">
        <v>125</v>
      </c>
      <c r="B6" s="156">
        <f>HojaREVENTADO!$E$37</f>
        <v>228800</v>
      </c>
      <c r="C6" s="157">
        <f>HojaREVENTADO!K33</f>
        <v>22880</v>
      </c>
      <c r="D6" s="150">
        <f>HojaREVENTADO!E38</f>
        <v>22880</v>
      </c>
      <c r="E6" s="150">
        <f>HojaREVENTADO!O33</f>
        <v>50000</v>
      </c>
      <c r="F6" s="150">
        <f>HojaREVENTADO!N33</f>
        <v>55000</v>
      </c>
      <c r="G6" s="151">
        <f t="shared" si="0"/>
        <v>5000</v>
      </c>
      <c r="H6" s="21"/>
      <c r="I6" s="182"/>
    </row>
    <row r="7" spans="1:9" x14ac:dyDescent="0.35">
      <c r="A7" s="28" t="s">
        <v>96</v>
      </c>
      <c r="B7" s="156">
        <f>HojaPrimera!$E$36</f>
        <v>230350</v>
      </c>
      <c r="C7" s="157">
        <f>HojaPrimera!I32</f>
        <v>27650</v>
      </c>
      <c r="D7" s="150">
        <f>HojaPrimera!E37</f>
        <v>29941.5</v>
      </c>
      <c r="E7" s="150">
        <f>HojaPrimera!L32</f>
        <v>245750</v>
      </c>
      <c r="F7" s="150">
        <f>HojaPrimera!K32</f>
        <v>250750</v>
      </c>
      <c r="G7" s="151">
        <f t="shared" si="0"/>
        <v>7291.5</v>
      </c>
      <c r="H7" s="21"/>
      <c r="I7" s="21"/>
    </row>
    <row r="8" spans="1:9" x14ac:dyDescent="0.35">
      <c r="A8" s="28" t="s">
        <v>104</v>
      </c>
      <c r="B8" s="156">
        <f>HojaHonduras!$E$36</f>
        <v>130050</v>
      </c>
      <c r="C8" s="157">
        <f>HojaHonduras!K32</f>
        <v>15550</v>
      </c>
      <c r="D8" s="150">
        <f>HojaHonduras!E37</f>
        <v>16906.5</v>
      </c>
      <c r="E8" s="150">
        <f>HojaHonduras!N32</f>
        <v>0</v>
      </c>
      <c r="F8" s="150">
        <f>HojaHonduras!M32</f>
        <v>0</v>
      </c>
      <c r="G8" s="151">
        <f t="shared" si="0"/>
        <v>1356.5</v>
      </c>
      <c r="H8" s="21"/>
      <c r="I8" s="21"/>
    </row>
    <row r="9" spans="1:9" x14ac:dyDescent="0.35">
      <c r="A9" s="28" t="s">
        <v>20</v>
      </c>
      <c r="B9" s="156">
        <f>HojaDominicana!$E$36</f>
        <v>0</v>
      </c>
      <c r="C9" s="157">
        <f>HojaDominicana!I32</f>
        <v>0</v>
      </c>
      <c r="D9" s="150">
        <f>HojaDominicana!E37</f>
        <v>0</v>
      </c>
      <c r="E9" s="150">
        <f>HojaDominicana!L32</f>
        <v>0</v>
      </c>
      <c r="F9" s="150">
        <f>HojaDominicana!K32</f>
        <v>0</v>
      </c>
      <c r="G9" s="151">
        <f t="shared" si="0"/>
        <v>0</v>
      </c>
      <c r="H9" s="21"/>
      <c r="I9" s="21"/>
    </row>
    <row r="10" spans="1:9" ht="15" thickBot="1" x14ac:dyDescent="0.4">
      <c r="A10" s="167" t="s">
        <v>21</v>
      </c>
      <c r="B10" s="168">
        <f>HojaPANA!F36</f>
        <v>6600</v>
      </c>
      <c r="C10" s="169">
        <f>HojaPANA!G32</f>
        <v>800</v>
      </c>
      <c r="D10" s="170">
        <f>HojaPANA!F37</f>
        <v>924.00000000000011</v>
      </c>
      <c r="E10" s="170">
        <f>HojaPANA!J32</f>
        <v>25500</v>
      </c>
      <c r="F10" s="170">
        <f>HojaPANA!I32</f>
        <v>25500</v>
      </c>
      <c r="G10" s="171">
        <f t="shared" si="0"/>
        <v>124</v>
      </c>
      <c r="H10" s="21"/>
      <c r="I10" s="21"/>
    </row>
    <row r="11" spans="1:9" ht="19" thickBot="1" x14ac:dyDescent="0.5">
      <c r="A11" s="174" t="s">
        <v>32</v>
      </c>
      <c r="B11" s="175">
        <f>SUM(B4:B10)</f>
        <v>3004850</v>
      </c>
      <c r="C11" s="175">
        <f>SUM(C4:C10)</f>
        <v>357580</v>
      </c>
      <c r="D11" s="175">
        <f t="shared" ref="D11:F11" si="1">SUM(D4:D10)</f>
        <v>383774</v>
      </c>
      <c r="E11" s="175">
        <f t="shared" si="1"/>
        <v>2896500</v>
      </c>
      <c r="F11" s="175">
        <f t="shared" si="1"/>
        <v>2928000</v>
      </c>
      <c r="G11" s="176">
        <f>SUM(G4:G10)</f>
        <v>57694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15000</v>
      </c>
      <c r="H12" s="141">
        <f>+G11-G12</f>
        <v>42694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381350</v>
      </c>
      <c r="E16" s="157">
        <f>+Vendedor1!D21</f>
        <v>49575.5</v>
      </c>
      <c r="F16" s="158">
        <f>IF(D16&lt;&gt;0,15000,0)</f>
        <v>15000</v>
      </c>
      <c r="G16" s="151">
        <f>+E16-F16</f>
        <v>34575.5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258200</v>
      </c>
      <c r="E17" s="157">
        <f>+Vendedor2!D21</f>
        <v>33566</v>
      </c>
      <c r="F17" s="158">
        <f>IF(D17&lt;&gt;0,15000,0)</f>
        <v>15000</v>
      </c>
      <c r="G17" s="151">
        <f>+E17-F17</f>
        <v>18566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639550</v>
      </c>
      <c r="E19" s="159">
        <f>SUM(E16:E18)</f>
        <v>83141.5</v>
      </c>
      <c r="F19" s="160">
        <f>SUM(F16:F18)</f>
        <v>30000</v>
      </c>
      <c r="G19" s="161">
        <f>SUM(G16:G18)</f>
        <v>53141.5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95835.5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05-05-2026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1114350</v>
      </c>
      <c r="C5" s="150">
        <f>HojaNICA!D37</f>
        <v>144865.5</v>
      </c>
      <c r="D5" s="150">
        <f>HojaNICA!D38</f>
        <v>1151750</v>
      </c>
      <c r="E5" s="150"/>
      <c r="F5" s="151">
        <f>+B5-C5-D5+E5</f>
        <v>-182265.5</v>
      </c>
      <c r="H5" s="249" t="s">
        <v>105</v>
      </c>
      <c r="I5" s="243">
        <f ca="1">TODAY()-1</f>
        <v>46147</v>
      </c>
      <c r="O5" s="119"/>
    </row>
    <row r="6" spans="1:15" ht="15" thickBot="1" x14ac:dyDescent="0.4">
      <c r="A6" s="47" t="s">
        <v>36</v>
      </c>
      <c r="B6" s="150">
        <f>HojaTICA!D36</f>
        <v>1915050</v>
      </c>
      <c r="C6" s="150">
        <f>HojaTICA!D37</f>
        <v>248956.5</v>
      </c>
      <c r="D6" s="150">
        <f>HojaTICA!D38</f>
        <v>1445000</v>
      </c>
      <c r="E6" s="150"/>
      <c r="F6" s="151">
        <f t="shared" ref="F6:F11" si="0">+B6-C6-D6+E6</f>
        <v>221093.5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228800</v>
      </c>
      <c r="C7" s="150">
        <f>HojaREVENTADO!D38</f>
        <v>22880</v>
      </c>
      <c r="D7" s="150">
        <f>HojaREVENTADO!D39</f>
        <v>55000</v>
      </c>
      <c r="E7" s="150"/>
      <c r="F7" s="151">
        <f t="shared" si="0"/>
        <v>150920</v>
      </c>
    </row>
    <row r="8" spans="1:15" x14ac:dyDescent="0.35">
      <c r="A8" s="47" t="s">
        <v>96</v>
      </c>
      <c r="B8" s="150">
        <f>HojaPrimera!$D36</f>
        <v>249550</v>
      </c>
      <c r="C8" s="150">
        <f>HojaPrimera!$D37</f>
        <v>32441.5</v>
      </c>
      <c r="D8" s="150">
        <f>HojaPrimera!$D38</f>
        <v>250750</v>
      </c>
      <c r="E8" s="150"/>
      <c r="F8" s="151">
        <f t="shared" si="0"/>
        <v>-33641.5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130050</v>
      </c>
      <c r="C9" s="150">
        <f>HojaHonduras!$D37</f>
        <v>16906.5</v>
      </c>
      <c r="D9" s="150">
        <f>HojaHonduras!$D38</f>
        <v>0</v>
      </c>
      <c r="E9" s="150"/>
      <c r="F9" s="151">
        <f t="shared" si="0"/>
        <v>113143.5</v>
      </c>
      <c r="H9" s="250">
        <f>+K12-K10-H6</f>
        <v>249426</v>
      </c>
    </row>
    <row r="10" spans="1:15" ht="15" thickBot="1" x14ac:dyDescent="0.4">
      <c r="A10" s="47" t="s">
        <v>20</v>
      </c>
      <c r="B10" s="150">
        <f>HojaDominicana!$D36</f>
        <v>0</v>
      </c>
      <c r="C10" s="150">
        <f>HojaDominicana!$D37</f>
        <v>0</v>
      </c>
      <c r="D10" s="150">
        <f>HojaDominicana!$D38</f>
        <v>0</v>
      </c>
      <c r="E10" s="150"/>
      <c r="F10" s="151">
        <f t="shared" si="0"/>
        <v>0</v>
      </c>
      <c r="H10" s="154"/>
      <c r="J10" t="s">
        <v>148</v>
      </c>
      <c r="K10" s="252">
        <v>4641540.45</v>
      </c>
    </row>
    <row r="11" spans="1:15" ht="15" thickBot="1" x14ac:dyDescent="0.4">
      <c r="A11" s="47" t="s">
        <v>21</v>
      </c>
      <c r="B11" s="150">
        <f>HojaPANA!$D36</f>
        <v>6600</v>
      </c>
      <c r="C11" s="150">
        <f>HojaPANA!$D37</f>
        <v>924.00000000000011</v>
      </c>
      <c r="D11" s="165">
        <f>HojaPANA!$D38</f>
        <v>25500</v>
      </c>
      <c r="E11" s="150"/>
      <c r="F11" s="151">
        <f t="shared" si="0"/>
        <v>-19824</v>
      </c>
      <c r="H11" s="214" t="s">
        <v>154</v>
      </c>
      <c r="J11" t="s">
        <v>158</v>
      </c>
      <c r="K11" s="253">
        <f>+K10+F12+H6</f>
        <v>4890966.45</v>
      </c>
    </row>
    <row r="12" spans="1:15" ht="16" thickBot="1" x14ac:dyDescent="0.4">
      <c r="A12" s="144" t="s">
        <v>5</v>
      </c>
      <c r="B12" s="152">
        <f>SUM(B5:B11)</f>
        <v>3644400</v>
      </c>
      <c r="C12" s="152">
        <f>SUM(C5:C11)</f>
        <v>466974</v>
      </c>
      <c r="D12" s="152">
        <f>SUM(D5:D11)</f>
        <v>2928000</v>
      </c>
      <c r="E12" s="152"/>
      <c r="F12" s="255">
        <f>SUM(F5:F11)</f>
        <v>249426</v>
      </c>
      <c r="H12" s="251">
        <f>K12</f>
        <v>4890966.45</v>
      </c>
      <c r="J12" t="s">
        <v>140</v>
      </c>
      <c r="K12" s="254">
        <f>-2334367.37+4272273.74+1650888.6+1302171.48</f>
        <v>4890966.45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274450</v>
      </c>
      <c r="K4" s="231">
        <f t="shared" ref="K4" si="0">D7+D11+D15</f>
        <v>35678.5</v>
      </c>
      <c r="L4" s="220">
        <f>F7+F11+F15</f>
        <v>293250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IF(DigitaNICA!C4&lt;&gt;"",DigitaNICA!C4,"")</f>
        <v>39450</v>
      </c>
      <c r="D5" s="42">
        <f>IF(C5="",0,C5*J$10)</f>
        <v>5128.5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34321.5</v>
      </c>
      <c r="I5" s="241" t="s">
        <v>37</v>
      </c>
      <c r="J5" s="221">
        <f>SUM(IF(C5="",0,C5),IF(C9="",0,C9),IF(C13="",0,C13),IF(C17="",0,C17))</f>
        <v>93700</v>
      </c>
      <c r="K5" s="225">
        <f t="shared" ref="K5" si="2">D5+D9+D13+D17</f>
        <v>12181</v>
      </c>
      <c r="L5" s="222">
        <f>F5+F9+F13+F17</f>
        <v>200000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13200</v>
      </c>
      <c r="K6" s="228">
        <f>D19+D20</f>
        <v>1716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IF(DigitaTICA!C4&lt;&gt;"",DigitaTICA!C4,"")</f>
        <v>71300</v>
      </c>
      <c r="D7" s="42">
        <f>IF(C7="",0,C7*J$9)</f>
        <v>9269</v>
      </c>
      <c r="E7" s="29">
        <f>IF(DigitaTICA!D4&lt;&gt;"",DigitaTICA!D4,"")</f>
        <v>2000</v>
      </c>
      <c r="F7" s="42">
        <f>IF(E7="",0,E7*PREMIOS!F7)</f>
        <v>170000</v>
      </c>
      <c r="G7" s="30">
        <f t="shared" si="1"/>
        <v>-107969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IF(DigitaNICA!E4&lt;&gt;"",DigitaNICA!E4,"")</f>
        <v>26900</v>
      </c>
      <c r="D9" s="42">
        <f>IF(C9="",0,C9*J$10)</f>
        <v>3497</v>
      </c>
      <c r="E9" s="29">
        <f>IF(DigitaNICA!F4&lt;&gt;"",DigitaNICA!F4,"")</f>
        <v>2500</v>
      </c>
      <c r="F9" s="42">
        <f>IF(E9="",0,E9*PREMIOS!E9)</f>
        <v>200000</v>
      </c>
      <c r="G9" s="30">
        <f t="shared" si="1"/>
        <v>-176597</v>
      </c>
      <c r="I9" s="76" t="s">
        <v>36</v>
      </c>
      <c r="J9" s="77">
        <v>0.13</v>
      </c>
      <c r="K9" s="78">
        <f>MROUND(D7+D11+D15,50)</f>
        <v>35700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12200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IF(DigitaTICA!E4&lt;&gt;"",DigitaTICA!E4,"")</f>
        <v>41300</v>
      </c>
      <c r="D11" s="42">
        <f>IF(C11="",0,C11*J$9)</f>
        <v>5369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14681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1700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IF(DigitaNICA!G4&lt;&gt;"",DigitaNICA!G4,"")</f>
        <v>22000</v>
      </c>
      <c r="D13" s="42">
        <f>IF(C13="",0,C13*J$10)</f>
        <v>2860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19140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IF(DigitaTICA!G4&lt;&gt;"",DigitaTICA!G4,"")</f>
        <v>161850</v>
      </c>
      <c r="D15" s="42">
        <f>IF(C15="",0,C15*J$9)</f>
        <v>21040.5</v>
      </c>
      <c r="E15" s="29">
        <f>IF(DigitaTICA!H4&lt;&gt;"",DigitaTICA!H4,"")</f>
        <v>1200</v>
      </c>
      <c r="F15" s="42">
        <f>IF(E15="",0,E15*PREMIOS!F15)</f>
        <v>102000</v>
      </c>
      <c r="G15" s="30">
        <f t="shared" si="3"/>
        <v>38809.5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>
        <f>IF(DigitaNICA!I4&lt;&gt;"",DigitaNICA!I4,"")</f>
        <v>5350</v>
      </c>
      <c r="D17" s="42">
        <f>IF(C17="",0,C17*J$10)</f>
        <v>695.5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4654.5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IF(DigitaPRIMERA!C4&lt;&gt;"",DigitaPRIMERA!C4,"")</f>
        <v>10250</v>
      </c>
      <c r="D19" s="42">
        <f>IF(C19="",0,C19*J$12)</f>
        <v>1332.5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8917.5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>
        <f>IF(DigitaPRIMERA!E4&lt;&gt;"",DigitaPRIMERA!E4,"")</f>
        <v>2950</v>
      </c>
      <c r="D20" s="42">
        <f>IF(C20="",0,C20*J$12)</f>
        <v>383.5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2566.5</v>
      </c>
    </row>
    <row r="21" spans="1:7" ht="15" thickBot="1" x14ac:dyDescent="0.4">
      <c r="A21" s="121" t="s">
        <v>5</v>
      </c>
      <c r="B21" s="128"/>
      <c r="C21" s="122">
        <f>SUM(C5:C20)</f>
        <v>381350</v>
      </c>
      <c r="D21" s="122">
        <f t="shared" ref="D21:G21" si="6">SUM(D5:D20)</f>
        <v>49575.5</v>
      </c>
      <c r="E21" s="122">
        <f t="shared" si="6"/>
        <v>5950</v>
      </c>
      <c r="F21" s="122">
        <f t="shared" si="6"/>
        <v>493250</v>
      </c>
      <c r="G21" s="123">
        <f t="shared" si="6"/>
        <v>-161475.5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195300</v>
      </c>
      <c r="K4" s="231">
        <f t="shared" ref="K4" si="0">D7+D11+D15</f>
        <v>25389</v>
      </c>
      <c r="L4" s="220">
        <f>F7+F11+F15</f>
        <v>80750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IF(DigitaNICA!C5&lt;&gt;"",DigitaNICA!C5,"")</f>
        <v>30500</v>
      </c>
      <c r="D5" s="42">
        <f>IF(C5="",0,C5*J$10)</f>
        <v>3965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26535</v>
      </c>
      <c r="I5" s="241" t="s">
        <v>37</v>
      </c>
      <c r="J5" s="221">
        <f>SUM(IF(C5="",0,C5),IF(C9="",0,C9),IF(C13="",0,C13),IF(C17="",0,C17))</f>
        <v>56900</v>
      </c>
      <c r="K5" s="225">
        <f t="shared" ref="K5" si="2">D5+D9+D13+D17</f>
        <v>7397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6000</v>
      </c>
      <c r="K6" s="228">
        <f>D19+D20</f>
        <v>780</v>
      </c>
      <c r="L6" s="229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IF(DigitaTICA!C5&lt;&gt;"",DigitaTICA!C5,"")</f>
        <v>80750</v>
      </c>
      <c r="D7" s="42">
        <f>IF(C7="",0,C7*J$9)</f>
        <v>10497.5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27752.5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IF(DigitaNICA!E5&lt;&gt;"",DigitaNICA!E5,"")</f>
        <v>3900</v>
      </c>
      <c r="D9" s="42">
        <f>IF(C9="",0,C9*J$10)</f>
        <v>507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3393</v>
      </c>
      <c r="I9" s="60" t="s">
        <v>36</v>
      </c>
      <c r="J9" s="61">
        <v>0.13</v>
      </c>
      <c r="K9" s="62">
        <f>MROUND(D7+D11+D15,50)</f>
        <v>25400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7400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IF(DigitaTICA!E5&lt;&gt;"",DigitaTICA!E5,"")</f>
        <v>52100</v>
      </c>
      <c r="D11" s="42">
        <f>IF(C11="",0,C11*J$9)</f>
        <v>6773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24077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IF(DigitaNICA!G5&lt;&gt;"",DigitaNICA!G5,"")</f>
        <v>20750</v>
      </c>
      <c r="D13" s="42">
        <f>IF(C13="",0,C13*J$10)</f>
        <v>2697.5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18052.5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IF(DigitaTICA!G5&lt;&gt;"",DigitaTICA!G5,"")</f>
        <v>62450</v>
      </c>
      <c r="D15" s="42">
        <f>IF(C15="",0,C15*J$9)</f>
        <v>8118.5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37331.5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>
        <f>IF(DigitaNICA!I5&lt;&gt;"",DigitaNICA!I5,"")</f>
        <v>1750</v>
      </c>
      <c r="D17" s="42">
        <f>IF(C17="",0,C17*J$10)</f>
        <v>227.5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1522.5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-74780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258200</v>
      </c>
      <c r="D21" s="68">
        <f t="shared" ref="D21:G21" si="4">SUM(D5:D20)</f>
        <v>33566</v>
      </c>
      <c r="E21" s="68">
        <f t="shared" si="4"/>
        <v>1950</v>
      </c>
      <c r="F21" s="68">
        <f t="shared" si="4"/>
        <v>160750</v>
      </c>
      <c r="G21" s="88">
        <f t="shared" si="4"/>
        <v>63884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IF(DigitaNICA!C8&lt;&gt;"",DigitaNICA!C8,"")</f>
        <v/>
      </c>
      <c r="D5" s="42">
        <f>IF(C5="",0,C5*J$12)</f>
        <v>0</v>
      </c>
      <c r="E5" s="29" t="str">
        <f>IF(DigitaNICA!D8&lt;&gt;"",DigitaNICA!D8,"")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IF(DigitaTICA!C8&lt;&gt;"",DigitaTICA!C8,"")</f>
        <v/>
      </c>
      <c r="D7" s="42">
        <f>IF(C7="",0,C7*J$11)</f>
        <v>0</v>
      </c>
      <c r="E7" s="29" t="str">
        <f>IF(DigitaTICA!D8&lt;&gt;"",DigitaTICA!D8,"")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IF(DigitaNICA!E8&lt;&gt;"",DigitaNICA!E8,"")</f>
        <v/>
      </c>
      <c r="D9" s="42">
        <f>IF(C9="",0,C9*J$12)</f>
        <v>0</v>
      </c>
      <c r="E9" s="29" t="str">
        <f>IF(DigitaNICA!F8&lt;&gt;"",DigitaNICA!F8,"")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IF(DigitaTICA!E8&lt;&gt;"",DigitaTICA!E8,"")</f>
        <v/>
      </c>
      <c r="D11" s="42">
        <f>IF(C11="",0,C11*J$11)</f>
        <v>0</v>
      </c>
      <c r="E11" s="29" t="str">
        <f>IF(DigitaTICA!F8&lt;&gt;"",DigitaTICA!F8,"")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IF(DigitaPRIMERA!C8&lt;&gt;"",DigitaPRIMERA!C8,"")</f>
        <v/>
      </c>
      <c r="D19" s="42">
        <f>IF(C19="",0,C19*J$14)</f>
        <v>0</v>
      </c>
      <c r="E19" s="29" t="str">
        <f>IF(DigitaPRIMERA!D8&lt;&gt;"",DigitaPRIMERA!D8,"")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IF(DigitaPRIMERA!E8&lt;&gt;"",DigitaPRIMERA!E8,"")</f>
        <v/>
      </c>
      <c r="D20" s="42">
        <f>IF(C20="",0,C20*J$14)</f>
        <v>0</v>
      </c>
      <c r="E20" s="29" t="str">
        <f>IF(DigitaPRIMERA!F8&lt;&gt;"",DigitaPRIMERA!F8,"")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350850</v>
      </c>
      <c r="K4" s="231">
        <f t="shared" ref="K4" si="0">D7+D11+D15</f>
        <v>42102</v>
      </c>
      <c r="L4" s="220">
        <f>F7+F11+F15</f>
        <v>178500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IF(DigitaNICA!C10&lt;&gt;"",DigitaNICA!C10,"")</f>
        <v>72400</v>
      </c>
      <c r="D5" s="42">
        <f>IF(C5="",0,C5*J$15)</f>
        <v>8688</v>
      </c>
      <c r="E5" s="29">
        <f>IF(DigitaNICA!D10&lt;&gt;"",DigitaNICA!D10,"")</f>
        <v>2100</v>
      </c>
      <c r="F5" s="42">
        <f>IF(E5="",0,E5*PREMIOS!F5)</f>
        <v>178500</v>
      </c>
      <c r="G5" s="30">
        <f t="shared" ref="G5:G12" si="1">IF(OR(C5="",E5=""),0,C5-D5-F5)</f>
        <v>-114788</v>
      </c>
      <c r="I5" s="217" t="s">
        <v>37</v>
      </c>
      <c r="J5" s="221">
        <f>SUM(IF(C5="",0,C5),IF(C9="",0,C9),IF(C13="",0,C13),IF(C17="",0,C17))</f>
        <v>286000</v>
      </c>
      <c r="K5" s="225">
        <f t="shared" ref="K5" si="2">D5+D9+D13+D17</f>
        <v>34320</v>
      </c>
      <c r="L5" s="222">
        <f>F5+F9+F13+F17</f>
        <v>216750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103450</v>
      </c>
      <c r="K6" s="226">
        <f t="shared" ref="K6" si="3">+D8+D12+D16</f>
        <v>10345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IF(DigitaTICA!C10&lt;&gt;"",DigitaTICA!C10,"")</f>
        <v>133600</v>
      </c>
      <c r="D7" s="42">
        <f>IF(C7="",0,C7*J$14)</f>
        <v>16032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100568</v>
      </c>
      <c r="I7" s="217" t="s">
        <v>96</v>
      </c>
      <c r="J7" s="223">
        <f>SUM(IF(C19="",0,C19),IF(C20="",0,C20))</f>
        <v>14200</v>
      </c>
      <c r="K7" s="226">
        <f>+D19+D20</f>
        <v>1704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35550</v>
      </c>
      <c r="D8" s="42">
        <f>IF(C8="",0,C8*J$16)</f>
        <v>3555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31995</v>
      </c>
      <c r="I8" s="217" t="s">
        <v>104</v>
      </c>
      <c r="J8" s="223">
        <f>SUM(IF(C21="",0,C21),IF(C22="",0,C22),IF(C23="",0,C23))</f>
        <v>2700</v>
      </c>
      <c r="K8" s="226">
        <f t="shared" ref="K8" si="4">D21+D22+D23</f>
        <v>324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IF(DigitaNICA!E10&lt;&gt;"",DigitaNICA!E10,"")</f>
        <v>90650</v>
      </c>
      <c r="D9" s="42">
        <f>IF(C9="",0,C9*J$15)</f>
        <v>10878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79772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IF(DigitaTICA!E10&lt;&gt;"",DigitaTICA!E10,"")</f>
        <v>72150</v>
      </c>
      <c r="D11" s="42">
        <f>IF(C11="",0,C11*J$14)</f>
        <v>8658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54992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37500</v>
      </c>
      <c r="D12" s="42">
        <f>IF(C12="",0,C12*J$16)</f>
        <v>3750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33750</v>
      </c>
    </row>
    <row r="13" spans="1:12" ht="15" thickBot="1" x14ac:dyDescent="0.4">
      <c r="A13" s="28" t="s">
        <v>50</v>
      </c>
      <c r="B13" s="132">
        <f>IF(DigitaNICA!G2&lt;&gt;"",DigitaNICA!G2,"")</f>
        <v>88</v>
      </c>
      <c r="C13" s="29">
        <f>IF(DigitaNICA!G10&lt;&gt;"",DigitaNICA!G10,"")</f>
        <v>54250</v>
      </c>
      <c r="D13" s="42">
        <f>IF(C13="",0,C13*J$15)</f>
        <v>6510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30740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42100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IF(DigitaTICA!G10&lt;&gt;"",DigitaTICA!G10,"")</f>
        <v>145100</v>
      </c>
      <c r="D15" s="42">
        <f>IF(C15="",0,C15*J$14)</f>
        <v>17412</v>
      </c>
      <c r="E15" s="29">
        <f>IF(DigitaTICA!H10&lt;&gt;"",DigitaTICA!H10,"")</f>
        <v>1800</v>
      </c>
      <c r="F15" s="42">
        <f>IF(E15="",0,E15*PREMIOS!F15)</f>
        <v>153000</v>
      </c>
      <c r="G15" s="30">
        <f t="shared" si="6"/>
        <v>-25312</v>
      </c>
      <c r="I15" s="63" t="s">
        <v>37</v>
      </c>
      <c r="J15" s="64">
        <v>0.12</v>
      </c>
      <c r="K15" s="30">
        <f>MROUND(D5+D9+D13+D17,50)</f>
        <v>34300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30400</v>
      </c>
      <c r="D16" s="42">
        <f>IF(C16="",0,C16*J$16)</f>
        <v>3040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27360</v>
      </c>
      <c r="I16" s="63" t="s">
        <v>38</v>
      </c>
      <c r="J16" s="64">
        <v>0.1</v>
      </c>
      <c r="K16" s="30">
        <f>MROUND(D6+D8+D10+D12+D14+D16+D18,50)</f>
        <v>10350</v>
      </c>
    </row>
    <row r="17" spans="1:11" x14ac:dyDescent="0.35">
      <c r="A17" s="28" t="s">
        <v>52</v>
      </c>
      <c r="B17" s="132">
        <f>IF(DigitaNICA!I2&lt;&gt;"",DigitaNICA!I2,"")</f>
        <v>53</v>
      </c>
      <c r="C17" s="29">
        <f>IF(DigitaNICA!I10&lt;&gt;"",DigitaNICA!I10,"")</f>
        <v>68700</v>
      </c>
      <c r="D17" s="42">
        <f>IF(C17="",0,C17*J$15)</f>
        <v>8244</v>
      </c>
      <c r="E17" s="29">
        <f>IF(DigitaNICA!J10&lt;&gt;"",DigitaNICA!J10,"")</f>
        <v>250</v>
      </c>
      <c r="F17" s="42">
        <f>IF(E17="",0,E17*PREMIOS!F17)</f>
        <v>21250</v>
      </c>
      <c r="G17" s="30">
        <f t="shared" si="6"/>
        <v>39206</v>
      </c>
      <c r="I17" s="63" t="s">
        <v>96</v>
      </c>
      <c r="J17" s="64">
        <v>0.12</v>
      </c>
      <c r="K17" s="30">
        <f>MROUND(D19+D20,50)</f>
        <v>1700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300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>
        <f>IF(DigitaPRIMERA!$C$10&lt;&gt;"",DigitaPRIMERA!$C$10,"")</f>
        <v>14200</v>
      </c>
      <c r="D19" s="42">
        <f>IF(C19="",0,C19*J$17)</f>
        <v>1704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12496</v>
      </c>
      <c r="I19" s="63" t="s">
        <v>20</v>
      </c>
      <c r="J19" s="64">
        <v>0.12</v>
      </c>
      <c r="K19" s="30">
        <f>MROUND(D24+D25,50)</f>
        <v>0</v>
      </c>
    </row>
    <row r="20" spans="1:11" ht="15" thickBot="1" x14ac:dyDescent="0.4">
      <c r="A20" s="28" t="s">
        <v>98</v>
      </c>
      <c r="B20" s="132">
        <f>IF(DigitaPRIMERA!E2&lt;&gt;"",DigitaPRIMERA!E2,"")</f>
        <v>64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83</v>
      </c>
      <c r="C21" s="29">
        <f>IF(DigitaHONDURAS!$C$10&lt;&gt;"",DigitaHONDURAS!$C$10,"")</f>
        <v>2500</v>
      </c>
      <c r="D21" s="42">
        <f>IF(C21="",0,C21*J$18)</f>
        <v>300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2200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IF(DigitaHONDURAS!$E$10&lt;&gt;"",DigitaHONDURAS!$E$10,"")</f>
        <v>200</v>
      </c>
      <c r="D22" s="42">
        <f>IF(C22="",0,C22*J$18)</f>
        <v>24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176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>
        <f>IF(DigitaDOMINICANA!C2&lt;&gt;"",DigitaDOMINICANA!C2,"")</f>
        <v>36</v>
      </c>
      <c r="C24" s="29" t="str">
        <f>IF(DigitaDOMINICANA!$C$10&lt;&gt;"",DigitaDOMINICANA!$C$10,"")</f>
        <v/>
      </c>
      <c r="D24" s="42">
        <f>IF(C24="",0,C24*J$19)</f>
        <v>0</v>
      </c>
      <c r="E24" s="29" t="str">
        <f>IF(DigitaDOMINICANA!$D$10&lt;&gt;"",DigitaDOMINICANA!$D$10,"")</f>
        <v/>
      </c>
      <c r="F24" s="42">
        <f>IF(E24="",0,E24*PREMIOS!F21)</f>
        <v>0</v>
      </c>
      <c r="G24" s="30">
        <f t="shared" si="8"/>
        <v>0</v>
      </c>
    </row>
    <row r="25" spans="1:11" x14ac:dyDescent="0.35">
      <c r="A25" s="28" t="s">
        <v>108</v>
      </c>
      <c r="B25" s="132">
        <f>IF(DigitaDOMINICANA!E2&lt;&gt;"",DigitaDOMINICANA!E2,"")</f>
        <v>74</v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>
        <f>IF(DigitaPANAMENA!C2&lt;&gt;"",DigitaPANAMENA!C2,"")</f>
        <v>24</v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757200</v>
      </c>
      <c r="D27" s="68">
        <f t="shared" ref="D27:F27" si="9">SUM(D5:D26)</f>
        <v>88795</v>
      </c>
      <c r="E27" s="68">
        <f t="shared" si="9"/>
        <v>4650</v>
      </c>
      <c r="F27" s="68">
        <f t="shared" si="9"/>
        <v>395250</v>
      </c>
      <c r="G27" s="88">
        <f>SUM(G5:G26)</f>
        <v>273155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31300</v>
      </c>
      <c r="K4" s="231">
        <f t="shared" ref="K4" si="0">D7+D11+D15</f>
        <v>3756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IF(DigitaTICA!C11&lt;&gt;"",DigitaTICA!C11,"")</f>
        <v>7300</v>
      </c>
      <c r="D7" s="42">
        <f>IF(C7="",0,C7*J$11)</f>
        <v>876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6424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3750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IF(DigitaTICA!G11&lt;&gt;"",DigitaTICA!G11,"")</f>
        <v>24000</v>
      </c>
      <c r="D15" s="42">
        <f>IF(C15="",0,C15*J$11)</f>
        <v>2880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21120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31300</v>
      </c>
      <c r="D21" s="122">
        <f t="shared" ref="D21:G21" si="5">SUM(D5:D20)</f>
        <v>3756</v>
      </c>
      <c r="E21" s="122">
        <f t="shared" si="5"/>
        <v>0</v>
      </c>
      <c r="F21" s="122">
        <f t="shared" si="5"/>
        <v>0</v>
      </c>
      <c r="G21" s="123">
        <f t="shared" si="5"/>
        <v>27544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45500</v>
      </c>
      <c r="K4" s="231">
        <f>D7+D11+D15</f>
        <v>5460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IF(DigitaNICA!C12&lt;&gt;"",DigitaNICA!C12,"")</f>
        <v>27550</v>
      </c>
      <c r="D5" s="42">
        <f>IF(C5="",0,C5*J$12)</f>
        <v>3306</v>
      </c>
      <c r="E5" s="29">
        <f>IF(DigitaNICA!D12&lt;&gt;"",DigitaNICA!D12,"")</f>
        <v>550</v>
      </c>
      <c r="F5" s="42">
        <f>IF(E5="",0,E5*PREMIOS!F5)</f>
        <v>46750</v>
      </c>
      <c r="G5" s="30">
        <f t="shared" ref="G5:G12" si="0">IF(OR(C5="",E5=""),0,C5-D5-F5)</f>
        <v>-22506</v>
      </c>
      <c r="I5" s="217" t="s">
        <v>37</v>
      </c>
      <c r="J5" s="221">
        <f>SUM(IF(C5="",0,C5),IF(C9="",0,C9),IF(C13="",0,C13),IF(C17="",0,C17))</f>
        <v>46300</v>
      </c>
      <c r="K5" s="225">
        <f t="shared" ref="K5" si="1">D5+D9+D13+D17</f>
        <v>5556</v>
      </c>
      <c r="L5" s="222">
        <f>F5+F9+F13+F17</f>
        <v>46750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2900</v>
      </c>
      <c r="K6" s="226">
        <f t="shared" ref="K6" si="2">+D8+D12+D16</f>
        <v>290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IF(DigitaTICA!C12&lt;&gt;"",DigitaTICA!C12,"")</f>
        <v>17950</v>
      </c>
      <c r="D7" s="42">
        <f>IF(C7="",0,C7*J$11)</f>
        <v>2154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15796</v>
      </c>
      <c r="I7" s="217" t="s">
        <v>96</v>
      </c>
      <c r="J7" s="223">
        <f>SUM(IF(C19="",0,C19),IF(C20="",0,C20))</f>
        <v>26900</v>
      </c>
      <c r="K7" s="226">
        <f>+D19+D20</f>
        <v>3228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2900</v>
      </c>
      <c r="D8" s="42">
        <f>IF(C8="",0,C8*J$13)</f>
        <v>290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2610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>
        <f>IF(DigitaNICA!E12&lt;&gt;"",DigitaNICA!E12,"")</f>
        <v>18750</v>
      </c>
      <c r="D9" s="42">
        <f>IF(C9="",0,C9*J$12)</f>
        <v>2250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16500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IF(DigitaTICA!E12&lt;&gt;"",DigitaTICA!E12,"")</f>
        <v>8250</v>
      </c>
      <c r="D11" s="42">
        <f>IF(C11="",0,C11*J$11)</f>
        <v>990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7260</v>
      </c>
      <c r="I11" s="60" t="s">
        <v>36</v>
      </c>
      <c r="J11" s="61">
        <v>0.12</v>
      </c>
      <c r="K11" s="62">
        <f>MROUND(D7+D11+D15,50)</f>
        <v>5450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5550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3250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IF(DigitaTICA!G12&lt;&gt;"",DigitaTICA!G12,"")</f>
        <v>19300</v>
      </c>
      <c r="D15" s="42">
        <f>IF(C15="",0,C15*J$11)</f>
        <v>2316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16984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IF(DigitaPRIMERA!$C$12&lt;&gt;"",DigitaPRIMERA!$C$12,"")</f>
        <v>26900</v>
      </c>
      <c r="D19" s="42">
        <f>IF(C19="",0,C19*J$14)</f>
        <v>3228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23672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121600</v>
      </c>
      <c r="D24" s="68">
        <f t="shared" ref="D24:G24" si="4">SUM(D5:D23)</f>
        <v>14534</v>
      </c>
      <c r="E24" s="68">
        <f t="shared" si="4"/>
        <v>550</v>
      </c>
      <c r="F24" s="68">
        <f t="shared" si="4"/>
        <v>46750</v>
      </c>
      <c r="G24" s="88">
        <f t="shared" si="4"/>
        <v>60316</v>
      </c>
    </row>
    <row r="27" spans="1:7" x14ac:dyDescent="0.35">
      <c r="G27" s="21">
        <v>382790</v>
      </c>
    </row>
    <row r="28" spans="1:7" x14ac:dyDescent="0.35">
      <c r="G28" s="141">
        <f>+G24+G27</f>
        <v>443106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188150</v>
      </c>
      <c r="K4" s="231">
        <f t="shared" ref="K4" si="0">D7+D11+D15</f>
        <v>22578</v>
      </c>
      <c r="L4" s="220">
        <f>F7+F11+F15</f>
        <v>93500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>
        <f>IF(DigitaNICA!C13&lt;&gt;"",DigitaNICA!C13,"")</f>
        <v>67200</v>
      </c>
      <c r="D5" s="42">
        <f>IF(C5="",0,C5*J$10)</f>
        <v>8064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11136</v>
      </c>
      <c r="I5" s="218" t="s">
        <v>37</v>
      </c>
      <c r="J5" s="232">
        <f>SUM(IF(C5="",0,C5),IF(C9="",0,C9),IF(C13="",0,C13),IF(C17="",0,C17))</f>
        <v>128050</v>
      </c>
      <c r="K5" s="233">
        <f t="shared" ref="K5" si="2">D5+D9+D13+D17</f>
        <v>15366</v>
      </c>
      <c r="L5" s="234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IF(DigitaTICA!C13&lt;&gt;"",DigitaTICA!C13,"")</f>
        <v>71400</v>
      </c>
      <c r="D7" s="42">
        <f>IF(C7="",0,C7*J$9)</f>
        <v>8568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62832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>
        <f>IF(DigitaNICA!E13&lt;&gt;"",DigitaNICA!E13,"")</f>
        <v>49350</v>
      </c>
      <c r="D9" s="42">
        <f>IF(C9="",0,C9*J$10)</f>
        <v>5922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43428</v>
      </c>
      <c r="I9" s="60" t="s">
        <v>36</v>
      </c>
      <c r="J9" s="61">
        <v>0.12</v>
      </c>
      <c r="K9" s="62">
        <f>MROUND(D7+D11+D15,50)</f>
        <v>22600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15350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IF(DigitaTICA!E13&lt;&gt;"",DigitaTICA!E13,"")</f>
        <v>47600</v>
      </c>
      <c r="D11" s="42">
        <f>IF(C11="",0,C11*J$9)</f>
        <v>5712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33388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IF(DigitaNICA!G13&lt;&gt;"",DigitaNICA!G13,"")</f>
        <v>6500</v>
      </c>
      <c r="D13" s="42">
        <f>IF(C13="",0,C13*J$10)</f>
        <v>780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5720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IF(DigitaTICA!G13&lt;&gt;"",DigitaTICA!G13,"")</f>
        <v>69150</v>
      </c>
      <c r="D15" s="42">
        <f>IF(C15="",0,C15*J$9)</f>
        <v>8298</v>
      </c>
      <c r="E15" s="29">
        <f>IF(DigitaTICA!H13&lt;&gt;"",DigitaTICA!H13,"")</f>
        <v>1000</v>
      </c>
      <c r="F15" s="133">
        <f>IF(E15="",0,E15*PREMIOS!F15)</f>
        <v>85000</v>
      </c>
      <c r="G15" s="30">
        <f t="shared" si="3"/>
        <v>-24148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>
        <f>IF(DigitaNICA!I13&lt;&gt;"",DigitaNICA!I13,"")</f>
        <v>5000</v>
      </c>
      <c r="D17" s="42">
        <f>IF(C17="",0,C17*J$10)</f>
        <v>600</v>
      </c>
      <c r="E17" s="29">
        <f>IF(DigitaNICA!J13&lt;&gt;"",DigitaNICA!J13,"")</f>
        <v>300</v>
      </c>
      <c r="F17" s="42">
        <f>IF(E17="",0,E17*PREMIOS!E17)</f>
        <v>24000</v>
      </c>
      <c r="G17" s="30">
        <f t="shared" si="3"/>
        <v>-19600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316200</v>
      </c>
      <c r="D19" s="68">
        <f>MROUND(SUM(D5:D18),50)</f>
        <v>37950</v>
      </c>
      <c r="E19" s="68">
        <f>SUM(E5:E18)</f>
        <v>2000</v>
      </c>
      <c r="F19" s="68">
        <f>SUM(F5:F18)</f>
        <v>165500</v>
      </c>
      <c r="G19" s="88">
        <f>SUM(G5:G18)</f>
        <v>112756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55250</v>
      </c>
      <c r="K4" s="236">
        <f t="shared" ref="K4" si="0">D7+D11+D15</f>
        <v>8287.5</v>
      </c>
      <c r="L4" s="237">
        <f>F7+F11+F15</f>
        <v>16000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IF(DigitaTICA!C14&lt;&gt;"",DigitaTICA!C14,"")</f>
        <v>22900</v>
      </c>
      <c r="D7" s="42">
        <f>IF(C7="",0,C7*J$9)</f>
        <v>3435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19465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8300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>
        <f>IF(DigitaTICA!E14&lt;&gt;"",DigitaTICA!E14,"")</f>
        <v>8200</v>
      </c>
      <c r="D11" s="42">
        <f>IF(C11="",0,C11*J$9)</f>
        <v>1230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6970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>
        <f>IF(DigitaTICA!G14&lt;&gt;"",DigitaTICA!G14,"")</f>
        <v>24150</v>
      </c>
      <c r="D15" s="42">
        <f>IF(C15="",0,C15*J$9)</f>
        <v>3622.5</v>
      </c>
      <c r="E15" s="29">
        <f>IF(DigitaTICA!H14&lt;&gt;"",DigitaTICA!H14,"")</f>
        <v>200</v>
      </c>
      <c r="F15" s="42">
        <f>IF(E15="",0,E15*PREMIOS!E15)</f>
        <v>16000</v>
      </c>
      <c r="G15" s="30">
        <f t="shared" si="2"/>
        <v>4527.5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55250</v>
      </c>
      <c r="D19" s="68">
        <f>MROUND(SUM(D5:D18),50)</f>
        <v>8300</v>
      </c>
      <c r="E19" s="68">
        <f>SUM(E5:E18)</f>
        <v>200</v>
      </c>
      <c r="F19" s="68">
        <f>SUM(F5:F18)</f>
        <v>16000</v>
      </c>
      <c r="G19" s="88">
        <f>SUM(G5:G18)</f>
        <v>30962.5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23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93050</v>
      </c>
      <c r="K4" s="231">
        <f>D7+D11+D15</f>
        <v>11166</v>
      </c>
      <c r="L4" s="220">
        <f>F7+F11+F15</f>
        <v>148750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29">
        <f>IF(DigitaNICA!C16&lt;&gt;"",DigitaNICA!C16,"")</f>
        <v>6400</v>
      </c>
      <c r="D5" s="42">
        <f>IF(C5="",0,C5*J$12)</f>
        <v>768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-34368</v>
      </c>
      <c r="I5" s="63" t="s">
        <v>37</v>
      </c>
      <c r="J5" s="225">
        <f>SUM(IF(C5="",0,C5),IF(C9="",0,C9),IF(C13="",0,C13),IF(C17="",0,C17))</f>
        <v>36300</v>
      </c>
      <c r="K5" s="225">
        <f t="shared" ref="K5" si="1">D5+D9+D13+D17</f>
        <v>4356</v>
      </c>
      <c r="L5" s="222">
        <f>F5+F9+F13+F17</f>
        <v>56000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IF(DigitaTICA!C16&lt;&gt;"",DigitaTICA!C16,"")</f>
        <v>29800</v>
      </c>
      <c r="D7" s="42">
        <f>IF(C7="",0,C7*J$11)</f>
        <v>3576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26224</v>
      </c>
      <c r="I7" s="63" t="s">
        <v>96</v>
      </c>
      <c r="J7" s="226">
        <f>SUM(IF(C19="",0,C19),IF(C20="",0,C20))</f>
        <v>1700</v>
      </c>
      <c r="K7" s="226">
        <f>+D19+D20</f>
        <v>204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23</v>
      </c>
      <c r="C9" s="29">
        <f>IF(DigitaNICA!E16&lt;&gt;"",DigitaNICA!E16,"")</f>
        <v>13900</v>
      </c>
      <c r="D9" s="42">
        <f>IF(C9="",0,C9*J$12)</f>
        <v>1668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12232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IF(DigitaTICA!E16&lt;&gt;"",DigitaTICA!E16,"")</f>
        <v>24650</v>
      </c>
      <c r="D11" s="42">
        <f>IF(C11="",0,C11*J$11)</f>
        <v>2958</v>
      </c>
      <c r="E11" s="29">
        <f>IF(DigitaTICA!F16&lt;&gt;"",DigitaTICA!F16,"")</f>
        <v>1500</v>
      </c>
      <c r="F11" s="133">
        <f>IF(E11="",0,E11*PREMIOS!F11)</f>
        <v>127500</v>
      </c>
      <c r="G11" s="30">
        <f t="shared" si="0"/>
        <v>-105808</v>
      </c>
      <c r="I11" s="76" t="s">
        <v>36</v>
      </c>
      <c r="J11" s="77">
        <v>0.12</v>
      </c>
      <c r="K11" s="78">
        <f>MROUND(D7+D11+D15,50)</f>
        <v>11150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4350</v>
      </c>
    </row>
    <row r="13" spans="1:12" x14ac:dyDescent="0.35">
      <c r="A13" s="28" t="s">
        <v>50</v>
      </c>
      <c r="B13" s="132">
        <f>IF(DigitaNICA!G2&lt;&gt;"",DigitaNICA!G2,"")</f>
        <v>88</v>
      </c>
      <c r="C13" s="29">
        <f>IF(DigitaNICA!G16&lt;&gt;"",DigitaNICA!G16,"")</f>
        <v>10900</v>
      </c>
      <c r="D13" s="42">
        <f>IF(C13="",0,C13*J$12)</f>
        <v>1308</v>
      </c>
      <c r="E13" s="29">
        <f>IF(DigitaNICA!H16&lt;&gt;"",DigitaNICA!H16,"")</f>
        <v>100</v>
      </c>
      <c r="F13" s="133">
        <f>IF(E13="",0,E13*PREMIOS!E13)</f>
        <v>8000</v>
      </c>
      <c r="G13" s="30">
        <f>IF(OR(C13="",E13=""),0,C13-D13-F13)</f>
        <v>1592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2">
        <f>IF(DigitaTICA!G2&lt;&gt;"",DigitaTICA!G2,"")</f>
        <v>16</v>
      </c>
      <c r="C15" s="29">
        <f>IF(DigitaTICA!G16&lt;&gt;"",DigitaTICA!G16,"")</f>
        <v>38600</v>
      </c>
      <c r="D15" s="42">
        <f>IF(C15="",0,C15*J$11)</f>
        <v>4632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12718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>
        <f>IF(DigitaNICA!I16&lt;&gt;"",DigitaNICA!I16,"")</f>
        <v>5100</v>
      </c>
      <c r="D17" s="42">
        <f>IF(C17="",0,C17*J$12)</f>
        <v>612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-3512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IF(DigitaPRIMERA!C16&lt;&gt;"",DigitaPRIMERA!C16,"")</f>
        <v>1700</v>
      </c>
      <c r="D19" s="42">
        <f>IF(C19="",0,C19*J$14)</f>
        <v>204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1496</v>
      </c>
    </row>
    <row r="20" spans="1:7" x14ac:dyDescent="0.35">
      <c r="A20" s="28" t="s">
        <v>98</v>
      </c>
      <c r="B20" s="132">
        <f>IF(DigitaPRIMERA!E2&lt;&gt;"",DigitaPRIMERA!E2,"")</f>
        <v>64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132050</v>
      </c>
      <c r="D24" s="122">
        <f t="shared" ref="D24:G24" si="5">SUM(D5:D23)</f>
        <v>15826</v>
      </c>
      <c r="E24" s="122">
        <f t="shared" si="5"/>
        <v>2450</v>
      </c>
      <c r="F24" s="122">
        <f t="shared" si="5"/>
        <v>204750</v>
      </c>
      <c r="G24" s="123">
        <f t="shared" si="5"/>
        <v>-88526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507150</v>
      </c>
      <c r="K4" s="231">
        <f t="shared" ref="K4" si="0">D7+D11+D15</f>
        <v>60858</v>
      </c>
      <c r="L4" s="220">
        <f>F7+F11+F15</f>
        <v>569500</v>
      </c>
    </row>
    <row r="5" spans="1:12" x14ac:dyDescent="0.35">
      <c r="A5" s="28" t="s">
        <v>43</v>
      </c>
      <c r="B5" s="132" t="str">
        <f>IF(DigitaNICA!C2&lt;&gt;"",DigitaNICA!C2,"")</f>
        <v>02</v>
      </c>
      <c r="C5" s="89">
        <f>IF(DigitaNICA!C17&lt;&gt;"",DigitaNICA!C17,"")</f>
        <v>103600</v>
      </c>
      <c r="D5" s="42">
        <f>IF(C5="",0,C5*J$16)</f>
        <v>12432</v>
      </c>
      <c r="E5" s="89">
        <f>IF(DigitaNICA!D17&lt;&gt;"",DigitaNICA!D17,"")</f>
        <v>1550</v>
      </c>
      <c r="F5" s="42">
        <f>IF(E5="",0,E5*PREMIOS!F5)</f>
        <v>131750</v>
      </c>
      <c r="G5" s="90">
        <f t="shared" ref="G5:G12" si="1">IF(OR(C5="",E5=""),0,C5-D5-F5)</f>
        <v>-40582</v>
      </c>
      <c r="I5" s="217" t="s">
        <v>37</v>
      </c>
      <c r="J5" s="221">
        <f>SUM(IF(C5="",0,C5),IF(C9="",0,C9),IF(C13="",0,C13),IF(C17="",0,C17))</f>
        <v>371200</v>
      </c>
      <c r="K5" s="225">
        <f t="shared" ref="K5" si="2">D5+D9+D13+D17</f>
        <v>44544</v>
      </c>
      <c r="L5" s="222">
        <f>F5+F9+F13+F17</f>
        <v>480250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66850</v>
      </c>
      <c r="K6" s="226">
        <f t="shared" ref="K6" si="3">+D8+D12+D16</f>
        <v>6685</v>
      </c>
      <c r="L6" s="227">
        <f>+F8+F12+F16</f>
        <v>50000</v>
      </c>
    </row>
    <row r="7" spans="1:12" x14ac:dyDescent="0.35">
      <c r="A7" s="28" t="s">
        <v>46</v>
      </c>
      <c r="B7" s="132">
        <f>IF(DigitaTICA!C2&lt;&gt;"",DigitaTICA!C2,"")</f>
        <v>77</v>
      </c>
      <c r="C7" s="89">
        <f>IF(DigitaTICA!C17&lt;&gt;"",DigitaTICA!C17,"")</f>
        <v>149350</v>
      </c>
      <c r="D7" s="42">
        <f>IF(C7="",0,C7*J$15)</f>
        <v>17922</v>
      </c>
      <c r="E7" s="89">
        <f>IF(DigitaTICA!D17&lt;&gt;"",DigitaTICA!D17,"")</f>
        <v>1300</v>
      </c>
      <c r="F7" s="42">
        <f>IF(E7="",0,E7*PREMIOS!F7)</f>
        <v>110500</v>
      </c>
      <c r="G7" s="90">
        <f t="shared" si="1"/>
        <v>20928</v>
      </c>
      <c r="I7" s="217" t="s">
        <v>96</v>
      </c>
      <c r="J7" s="223">
        <f>SUM(IF(C19="",0,C19),IF(C20="",0,C20))</f>
        <v>120900</v>
      </c>
      <c r="K7" s="226">
        <f>+D19+D20</f>
        <v>14508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23950</v>
      </c>
      <c r="D8" s="42">
        <f>IF(C8="",0,C8*J$17)</f>
        <v>2395</v>
      </c>
      <c r="E8" s="89">
        <f>IF(DigitaREVENTADO!D17&lt;&gt;"",DigitaREVENTADO!D17,"")</f>
        <v>1000</v>
      </c>
      <c r="F8" s="42">
        <f>IF(E8="",0,E8*PREMIOS!F8)</f>
        <v>0</v>
      </c>
      <c r="G8" s="90">
        <f t="shared" si="1"/>
        <v>21555</v>
      </c>
      <c r="I8" s="217" t="s">
        <v>104</v>
      </c>
      <c r="J8" s="223">
        <f>SUM(IF(C21="",0,C21),IF(C22="",0,C22),IF(C23="",0,C23))</f>
        <v>90900</v>
      </c>
      <c r="K8" s="226">
        <f t="shared" ref="K8" si="4">D21+D22+D23</f>
        <v>10908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23</v>
      </c>
      <c r="C9" s="89">
        <f>IF(DigitaNICA!E17&lt;&gt;"",DigitaNICA!E17,"")</f>
        <v>66900</v>
      </c>
      <c r="D9" s="42">
        <f>IF(C9="",0,C9*J$16)</f>
        <v>8028</v>
      </c>
      <c r="E9" s="89">
        <f>IF(DigitaNICA!F17&lt;&gt;"",DigitaNICA!F17,"")</f>
        <v>950</v>
      </c>
      <c r="F9" s="42">
        <f>IF(E9="",0,E9*PREMIOS!F9)</f>
        <v>80750</v>
      </c>
      <c r="G9" s="90">
        <f t="shared" si="1"/>
        <v>-21878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6600</v>
      </c>
      <c r="K10" s="228">
        <f>+D26</f>
        <v>792</v>
      </c>
      <c r="L10" s="229">
        <f>F26</f>
        <v>25500</v>
      </c>
    </row>
    <row r="11" spans="1:12" x14ac:dyDescent="0.35">
      <c r="A11" s="28" t="s">
        <v>59</v>
      </c>
      <c r="B11" s="132">
        <f>IF(DigitaTICA!E2&lt;&gt;"",DigitaTICA!E2,"")</f>
        <v>23</v>
      </c>
      <c r="C11" s="89">
        <f>IF(DigitaTICA!E17&lt;&gt;"",DigitaTICA!E17,"")</f>
        <v>102750</v>
      </c>
      <c r="D11" s="42">
        <f>IF(C11="",0,C11*J$15)</f>
        <v>12330</v>
      </c>
      <c r="E11" s="89">
        <f>IF(DigitaTICA!F17&lt;&gt;"",DigitaTICA!F17,"")</f>
        <v>1400</v>
      </c>
      <c r="F11" s="42">
        <f>IF(E11="",0,E11*PREMIOS!F11)</f>
        <v>119000</v>
      </c>
      <c r="G11" s="90">
        <f t="shared" si="1"/>
        <v>-28580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13200</v>
      </c>
      <c r="D12" s="42">
        <f>IF(C12="",0,C12*J$17)</f>
        <v>1320</v>
      </c>
      <c r="E12" s="89">
        <f>IF(DigitaREVENTADO!F17&lt;&gt;"",DigitaREVENTADO!F17,"")</f>
        <v>250</v>
      </c>
      <c r="F12" s="42">
        <f>IF(E12="",0,E12*PREMIOS!F12)</f>
        <v>50000</v>
      </c>
      <c r="G12" s="90">
        <f t="shared" si="1"/>
        <v>-38120</v>
      </c>
    </row>
    <row r="13" spans="1:12" ht="15" thickBot="1" x14ac:dyDescent="0.4">
      <c r="A13" s="28" t="s">
        <v>50</v>
      </c>
      <c r="B13" s="132">
        <f>IF(DigitaNICA!G2&lt;&gt;"",DigitaNICA!G2,"")</f>
        <v>88</v>
      </c>
      <c r="C13" s="89">
        <f>IF(DigitaNICA!G17&lt;&gt;"",DigitaNICA!G17,"")</f>
        <v>51950</v>
      </c>
      <c r="D13" s="42">
        <f>IF(C13="",0,C13*J$16)</f>
        <v>6234</v>
      </c>
      <c r="E13" s="89">
        <f>IF(DigitaNICA!H17&lt;&gt;"",DigitaNICA!H17,"")</f>
        <v>800</v>
      </c>
      <c r="F13" s="42">
        <f>IF(E13="",0,E13*PREMIOS!F13)</f>
        <v>68000</v>
      </c>
      <c r="G13" s="90">
        <f>IF(OR(C13="",E13=""),0,C13-D13-F13)</f>
        <v>-22284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16</v>
      </c>
      <c r="C15" s="89">
        <f>IF(DigitaTICA!G17&lt;&gt;"",DigitaTICA!G17,"")</f>
        <v>255050</v>
      </c>
      <c r="D15" s="42">
        <f>IF(C15="",0,C15*J$15)</f>
        <v>30606</v>
      </c>
      <c r="E15" s="89">
        <f>IF(DigitaTICA!H17&lt;&gt;"",DigitaTICA!H17,"")</f>
        <v>4000</v>
      </c>
      <c r="F15" s="42">
        <f>IF(E15="",0,E15*PREMIOS!F15)</f>
        <v>340000</v>
      </c>
      <c r="G15" s="90">
        <f t="shared" si="6"/>
        <v>-115556</v>
      </c>
      <c r="I15" s="76" t="s">
        <v>36</v>
      </c>
      <c r="J15" s="77">
        <v>0.12</v>
      </c>
      <c r="K15" s="78">
        <f>MROUND(D7+D11+D15,50)</f>
        <v>60850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29700</v>
      </c>
      <c r="D16" s="42">
        <f>IF(C16="",0,C16*J$17)</f>
        <v>2970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26730</v>
      </c>
      <c r="I16" s="63" t="s">
        <v>37</v>
      </c>
      <c r="J16" s="64">
        <v>0.12</v>
      </c>
      <c r="K16" s="30">
        <f>MROUND(D5+D9+D13+D17,50)</f>
        <v>44550</v>
      </c>
    </row>
    <row r="17" spans="1:11" x14ac:dyDescent="0.35">
      <c r="A17" s="28" t="s">
        <v>52</v>
      </c>
      <c r="B17" s="132">
        <f>IF(DigitaNICA!I2&lt;&gt;"",DigitaNICA!I2,"")</f>
        <v>53</v>
      </c>
      <c r="C17" s="89">
        <f>IF(DigitaNICA!I17&lt;&gt;"",DigitaNICA!I17,"")</f>
        <v>148750</v>
      </c>
      <c r="D17" s="42">
        <f>IF(C17="",0,C17*J$16)</f>
        <v>17850</v>
      </c>
      <c r="E17" s="89">
        <f>IF(DigitaNICA!J17&lt;&gt;"",DigitaNICA!J17,"")</f>
        <v>2350</v>
      </c>
      <c r="F17" s="42">
        <f>IF(E17="",0,E17*PREMIOS!F17)</f>
        <v>199750</v>
      </c>
      <c r="G17" s="90">
        <f t="shared" si="6"/>
        <v>-68850</v>
      </c>
      <c r="I17" s="63" t="s">
        <v>38</v>
      </c>
      <c r="J17" s="64">
        <v>0.1</v>
      </c>
      <c r="K17" s="30">
        <f>MROUND(D6+D8+D10+D12+D14+D16+D18,50)</f>
        <v>6700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14500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>
        <f>IF(DigitaPRIMERA!$C$17&lt;&gt;"",DigitaPRIMERA!$C$17,"")</f>
        <v>91250</v>
      </c>
      <c r="D19" s="42">
        <f>IF(C19="",0,C19*J$18)</f>
        <v>10950</v>
      </c>
      <c r="E19" s="29">
        <f>IF(DigitaPRIMERA!$D$17&lt;&gt;"",DigitaPRIMERA!$D$17,"")</f>
        <v>400</v>
      </c>
      <c r="F19" s="42">
        <f>IF(E19="",0,E19*PREMIOS!F19)</f>
        <v>34000</v>
      </c>
      <c r="G19" s="30">
        <f t="shared" si="6"/>
        <v>46300</v>
      </c>
      <c r="I19" s="63" t="s">
        <v>104</v>
      </c>
      <c r="J19" s="64">
        <v>0.12</v>
      </c>
      <c r="K19" s="30">
        <f>MROUND(D21+D22+D23,50)</f>
        <v>10900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IF(DigitaPRIMERA!$E$17&lt;&gt;"",DigitaPRIMERA!$E$17,"")</f>
        <v>29650</v>
      </c>
      <c r="D20" s="42">
        <f>IF(C20="",0,C20*J$18)</f>
        <v>3558</v>
      </c>
      <c r="E20" s="29">
        <f>IF(DigitaPRIMERA!$F$17&lt;&gt;"",DigitaPRIMERA!$F$17,"")</f>
        <v>150</v>
      </c>
      <c r="F20" s="42">
        <f>IF(E20="",0,E20*PREMIOS!F19)</f>
        <v>12750</v>
      </c>
      <c r="G20" s="30">
        <f t="shared" si="6"/>
        <v>13342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83</v>
      </c>
      <c r="C21" s="29">
        <f>IF(DigitaHONDURAS!$C$17&lt;&gt;"",DigitaHONDURAS!$C$17,"")</f>
        <v>54750</v>
      </c>
      <c r="D21" s="42">
        <f>IF(C21="",0,C21*J$19)</f>
        <v>6570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48180</v>
      </c>
      <c r="I21" s="65" t="s">
        <v>21</v>
      </c>
      <c r="J21" s="66">
        <v>0.12</v>
      </c>
      <c r="K21" s="50">
        <f>MROUND(D26,50)</f>
        <v>800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IF(DigitaHONDURAS!$E$17&lt;&gt;"",DigitaHONDURAS!$E$17,"")</f>
        <v>15200</v>
      </c>
      <c r="D22" s="42">
        <f>IF(C22="",0,C22*J$19)</f>
        <v>1824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13376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>
        <f>IF(DigitaHONDURAS!$G$17&lt;&gt;"",DigitaHONDURAS!$G$17,"")</f>
        <v>20950</v>
      </c>
      <c r="D23" s="42">
        <f>IF(C23="",0,C23*J$19)</f>
        <v>2514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18436</v>
      </c>
    </row>
    <row r="24" spans="1:11" x14ac:dyDescent="0.35">
      <c r="A24" s="28" t="s">
        <v>102</v>
      </c>
      <c r="B24" s="132">
        <f>IF(DigitaDOMINICANA!C2&lt;&gt;"",DigitaDOMINICANA!C2,"")</f>
        <v>36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24</v>
      </c>
      <c r="C26" s="29">
        <f>IF(DigitaPANAMENA!$C$17&lt;&gt;"",DigitaPANAMENA!$C$17,"")</f>
        <v>6600</v>
      </c>
      <c r="D26" s="42">
        <f>IF(C26="",0,C26*J$21)</f>
        <v>792</v>
      </c>
      <c r="E26" s="29">
        <f>IF(DigitaPANAMENA!$D$17&lt;&gt;"",DigitaPANAMENA!$D$17,"")</f>
        <v>300</v>
      </c>
      <c r="F26" s="42">
        <f>IF(E26="",0,E26*PREMIOS!F22)</f>
        <v>25500</v>
      </c>
      <c r="G26" s="30">
        <f t="shared" si="6"/>
        <v>-19692</v>
      </c>
    </row>
    <row r="27" spans="1:11" ht="15" thickBot="1" x14ac:dyDescent="0.4">
      <c r="A27" s="67" t="s">
        <v>5</v>
      </c>
      <c r="B27" s="127"/>
      <c r="C27" s="68">
        <f>SUM(C5:C26)</f>
        <v>1163600</v>
      </c>
      <c r="D27" s="68">
        <f t="shared" ref="D27:G27" si="7">SUM(D5:D26)</f>
        <v>138295</v>
      </c>
      <c r="E27" s="68">
        <f t="shared" si="7"/>
        <v>14450</v>
      </c>
      <c r="F27" s="68">
        <f t="shared" si="7"/>
        <v>1172000</v>
      </c>
      <c r="G27" s="88">
        <f t="shared" si="7"/>
        <v>-146695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174050</v>
      </c>
      <c r="K4" s="231">
        <f t="shared" ref="K4" si="0">D7+D11+D15</f>
        <v>20886</v>
      </c>
      <c r="L4" s="220">
        <f>F7+F11+F15</f>
        <v>63750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02</v>
      </c>
      <c r="C5" s="29">
        <f>IF(DigitaNICA!C18&lt;&gt;"",DigitaNICA!C18,"")</f>
        <v>45700</v>
      </c>
      <c r="D5" s="42">
        <f>IF(C5="",0,C5*J$16)</f>
        <v>5484</v>
      </c>
      <c r="E5" s="29">
        <f>IF(DigitaNICA!D18&lt;&gt;"",DigitaNICA!D18,"")</f>
        <v>700</v>
      </c>
      <c r="F5" s="42">
        <f>IF(E5="",0,E5*PREMIOS!F5)</f>
        <v>59500</v>
      </c>
      <c r="G5" s="30">
        <f t="shared" ref="G5:G12" si="1">IF(OR(C5="",E5=""),0,C5-D5-F5)</f>
        <v>-19284</v>
      </c>
      <c r="I5" s="217" t="s">
        <v>37</v>
      </c>
      <c r="J5" s="221">
        <f>SUM(IF(C5="",0,C5),IF(C9="",0,C9),IF(C13="",0,C13),IF(C17="",0,C17))</f>
        <v>95900</v>
      </c>
      <c r="K5" s="225">
        <f t="shared" ref="K5" si="2">D5+D9+D13+D17</f>
        <v>11508</v>
      </c>
      <c r="L5" s="222">
        <f>F5+F9+F13+F17</f>
        <v>59500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54600</v>
      </c>
      <c r="K6" s="226">
        <f t="shared" ref="K6" si="3">+D8+D12+D16</f>
        <v>5460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77</v>
      </c>
      <c r="C7" s="29">
        <f>IF(DigitaTICA!C18&lt;&gt;"",DigitaTICA!C18,"")</f>
        <v>63550</v>
      </c>
      <c r="D7" s="42">
        <f>IF(C7="",0,C7*J$15)</f>
        <v>7626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4924</v>
      </c>
      <c r="I7" s="217" t="s">
        <v>96</v>
      </c>
      <c r="J7" s="223">
        <f>SUM(IF(C19="",0,C19),IF(C20="",0,C20))</f>
        <v>66650</v>
      </c>
      <c r="K7" s="226">
        <f>+D19+D20</f>
        <v>7998</v>
      </c>
      <c r="L7" s="227">
        <f>+F19+F20</f>
        <v>119000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20300</v>
      </c>
      <c r="D8" s="42">
        <f>IF(C8="",0,C8*J$17)</f>
        <v>2030</v>
      </c>
      <c r="E8" s="29">
        <f>IF(DigitaREVENTADO!D18&lt;&gt;"",DigitaREVENTADO!D18,"")</f>
        <v>500</v>
      </c>
      <c r="F8" s="42">
        <f>IF(E8="",0,E8*PREMIOS!F8)</f>
        <v>0</v>
      </c>
      <c r="G8" s="30">
        <f t="shared" si="1"/>
        <v>18270</v>
      </c>
      <c r="I8" s="217" t="s">
        <v>104</v>
      </c>
      <c r="J8" s="223">
        <f>SUM(IF(C21="",0,C21),IF(C22="",0,C22),IF(C23="",0,C23))</f>
        <v>36450</v>
      </c>
      <c r="K8" s="226">
        <f t="shared" ref="K8" si="4">D21+D22+D23</f>
        <v>4374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23</v>
      </c>
      <c r="C9" s="29">
        <f>IF(DigitaNICA!E18&lt;&gt;"",DigitaNICA!E18,"")</f>
        <v>36000</v>
      </c>
      <c r="D9" s="42">
        <f>IF(C9="",0,C9*J$16)</f>
        <v>4320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31680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23</v>
      </c>
      <c r="C11" s="29">
        <f>IF(DigitaTICA!E18&lt;&gt;"",DigitaTICA!E18,"")</f>
        <v>52600</v>
      </c>
      <c r="D11" s="42">
        <f>IF(C11="",0,C11*J$15)</f>
        <v>6312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46288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12100</v>
      </c>
      <c r="D12" s="42">
        <f>IF(C12="",0,C12*J$17)</f>
        <v>1210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10890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88</v>
      </c>
      <c r="C13" s="29">
        <f>IF(DigitaNICA!G18&lt;&gt;"",DigitaNICA!G18,"")</f>
        <v>9650</v>
      </c>
      <c r="D13" s="42">
        <f>IF(C13="",0,C13*J$16)</f>
        <v>1158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8492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16</v>
      </c>
      <c r="C15" s="29">
        <f>IF(DigitaTICA!G18&lt;&gt;"",DigitaTICA!G18,"")</f>
        <v>57900</v>
      </c>
      <c r="D15" s="42">
        <f>IF(C15="",0,C15*J$15)</f>
        <v>6948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38202</v>
      </c>
      <c r="I15" s="76" t="s">
        <v>36</v>
      </c>
      <c r="J15" s="77">
        <v>0.12</v>
      </c>
      <c r="K15" s="78">
        <f>MROUND(D7+D11+D15,50)</f>
        <v>20900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22200</v>
      </c>
      <c r="D16" s="42">
        <f>IF(C16="",0,C16*J$17)</f>
        <v>2220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19980</v>
      </c>
      <c r="I16" s="63" t="s">
        <v>37</v>
      </c>
      <c r="J16" s="64">
        <v>0.12</v>
      </c>
      <c r="K16" s="30">
        <f>MROUND(D5+D9+D13+D17,50)</f>
        <v>11500</v>
      </c>
    </row>
    <row r="17" spans="1:11" x14ac:dyDescent="0.35">
      <c r="A17" s="28" t="str">
        <f>+Vendedor1!A17</f>
        <v>Nica 9pm</v>
      </c>
      <c r="B17" s="132">
        <f>IF(DigitaNICA!I2&lt;&gt;"",DigitaNICA!I2,"")</f>
        <v>53</v>
      </c>
      <c r="C17" s="29">
        <f>IF(DigitaNICA!I18&lt;&gt;"",DigitaNICA!I18,"")</f>
        <v>4550</v>
      </c>
      <c r="D17" s="42">
        <f>IF(C17="",0,C17*J$16)</f>
        <v>546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4004</v>
      </c>
      <c r="I17" s="63" t="s">
        <v>38</v>
      </c>
      <c r="J17" s="64">
        <v>0.1</v>
      </c>
      <c r="K17" s="30">
        <f>MROUND(D6+D8+D10+D12+D14+D16+D18,50)</f>
        <v>5450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8000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>
        <f>IF(DigitaPRIMERA!$C$18&lt;&gt;"",DigitaPRIMERA!$C$18,"")</f>
        <v>43850</v>
      </c>
      <c r="D19" s="42">
        <f>IF(C19="",0,C19*J$18)</f>
        <v>5262</v>
      </c>
      <c r="E19" s="29">
        <f>IF(DigitaPRIMERA!$D$18&lt;&gt;"",DigitaPRIMERA!$D$18,"")</f>
        <v>1400</v>
      </c>
      <c r="F19" s="42">
        <f>IF(E19="",0,E19*PREMIOS!F19)</f>
        <v>119000</v>
      </c>
      <c r="G19" s="30">
        <f t="shared" si="6"/>
        <v>-80412</v>
      </c>
      <c r="I19" s="63" t="s">
        <v>104</v>
      </c>
      <c r="J19" s="64">
        <v>0.12</v>
      </c>
      <c r="K19" s="30">
        <f>MROUND(D21+D22+D23,50)</f>
        <v>4350</v>
      </c>
    </row>
    <row r="20" spans="1:11" x14ac:dyDescent="0.35">
      <c r="A20" s="28" t="s">
        <v>98</v>
      </c>
      <c r="B20" s="132">
        <f>IF(DigitaPRIMERA!E2&lt;&gt;"",DigitaPRIMERA!E2,"")</f>
        <v>64</v>
      </c>
      <c r="C20" s="29">
        <f>IF(DigitaPRIMERA!$E$18&lt;&gt;"",DigitaPRIMERA!$E$18,"")</f>
        <v>22800</v>
      </c>
      <c r="D20" s="42">
        <f>IF(C20="",0,C20*J$18)</f>
        <v>2736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20064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83</v>
      </c>
      <c r="C21" s="29">
        <f>IF(DigitaHONDURAS!$C$18&lt;&gt;"",DigitaHONDURAS!$C$18,"")</f>
        <v>22950</v>
      </c>
      <c r="D21" s="42">
        <f>IF(C21="",0,C21*J$19)</f>
        <v>2754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20196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50</v>
      </c>
      <c r="C22" s="29">
        <f>IF(DigitaHONDURAS!$E$18&lt;&gt;"",DigitaHONDURAS!$E$18,"")</f>
        <v>11000</v>
      </c>
      <c r="D22" s="42">
        <f>IF(C22="",0,C22*J$19)</f>
        <v>1320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9680</v>
      </c>
    </row>
    <row r="23" spans="1:11" x14ac:dyDescent="0.35">
      <c r="A23" s="28" t="s">
        <v>101</v>
      </c>
      <c r="B23" s="132">
        <f>IF(DigitaHONDURAS!G2&lt;&gt;"",DigitaHONDURAS!G2,"")</f>
        <v>82</v>
      </c>
      <c r="C23" s="29">
        <f>IF(DigitaHONDURAS!$G$18&lt;&gt;"",DigitaHONDURAS!$G$18,"")</f>
        <v>2500</v>
      </c>
      <c r="D23" s="42">
        <f>IF(C23="",0,C23*J$19)</f>
        <v>300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2200</v>
      </c>
    </row>
    <row r="24" spans="1:11" x14ac:dyDescent="0.35">
      <c r="A24" s="28" t="s">
        <v>102</v>
      </c>
      <c r="B24" s="132">
        <f>IF(DigitaDOMINICANA!C2&lt;&gt;"",DigitaDOMINICANA!C2,"")</f>
        <v>36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24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427650</v>
      </c>
      <c r="D27" s="68">
        <f t="shared" ref="D27:G27" si="7">SUM(D5:D26)</f>
        <v>50226</v>
      </c>
      <c r="E27" s="68">
        <f t="shared" si="7"/>
        <v>3350</v>
      </c>
      <c r="F27" s="68">
        <f t="shared" si="7"/>
        <v>242250</v>
      </c>
      <c r="G27" s="88">
        <f t="shared" si="7"/>
        <v>135174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23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23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77</v>
      </c>
      <c r="D2" s="268"/>
      <c r="E2" s="267">
        <f>IF(PREMIOS!$B11="","",PREMIOS!$B11)</f>
        <v>23</v>
      </c>
      <c r="F2" s="268"/>
      <c r="G2" s="267">
        <f>IF(PREMIOS!$B15="","",PREMIOS!$B15)</f>
        <v>16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f>61800+9500</f>
        <v>71300</v>
      </c>
      <c r="D4" s="78">
        <v>2000</v>
      </c>
      <c r="E4" s="189">
        <f>37800+3500</f>
        <v>41300</v>
      </c>
      <c r="F4" s="78">
        <v>250</v>
      </c>
      <c r="G4" s="189">
        <v>161850</v>
      </c>
      <c r="H4" s="78">
        <v>1200</v>
      </c>
      <c r="J4" s="42">
        <f t="shared" ref="J4:J8" si="0">+C4+E4+G4</f>
        <v>274450</v>
      </c>
      <c r="K4" s="42">
        <f>IF(D4="",0,IF(F4="",D4,IF(H4="",D4+F4,D4+F4+H4)))</f>
        <v>3450</v>
      </c>
    </row>
    <row r="5" spans="1:11" x14ac:dyDescent="0.35">
      <c r="A5" s="47">
        <v>2</v>
      </c>
      <c r="B5" s="178" t="str">
        <f>Vendedor2!$B$2</f>
        <v>PUESTO 2</v>
      </c>
      <c r="C5" s="180">
        <v>80750</v>
      </c>
      <c r="D5" s="30">
        <v>500</v>
      </c>
      <c r="E5" s="180">
        <v>52100</v>
      </c>
      <c r="F5" s="30">
        <v>250</v>
      </c>
      <c r="G5" s="180">
        <v>62450</v>
      </c>
      <c r="H5" s="30">
        <v>200</v>
      </c>
      <c r="J5" s="42">
        <f t="shared" si="0"/>
        <v>195300</v>
      </c>
      <c r="K5" s="42">
        <f t="shared" ref="K5:K27" si="1">IF(D5="",0,IF(F5="",D5,IF(H5="",D5+F5,D5+F5+H5)))</f>
        <v>950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ref="D6:H27" si="2">IF(C6="","",0)</f>
        <v/>
      </c>
      <c r="E6" s="180"/>
      <c r="F6" s="30" t="str">
        <f t="shared" si="2"/>
        <v/>
      </c>
      <c r="G6" s="180"/>
      <c r="H6" s="30" t="str">
        <f t="shared" si="2"/>
        <v/>
      </c>
      <c r="J6" s="42">
        <f t="shared" si="0"/>
        <v>0</v>
      </c>
      <c r="K6" s="42">
        <f t="shared" si="1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2"/>
        <v/>
      </c>
      <c r="E7" s="180"/>
      <c r="F7" s="30" t="str">
        <f t="shared" si="2"/>
        <v/>
      </c>
      <c r="G7" s="180"/>
      <c r="H7" s="30" t="str">
        <f t="shared" si="2"/>
        <v/>
      </c>
      <c r="J7" s="42">
        <f t="shared" si="0"/>
        <v>0</v>
      </c>
      <c r="K7" s="42">
        <f t="shared" si="1"/>
        <v>0</v>
      </c>
    </row>
    <row r="8" spans="1:11" x14ac:dyDescent="0.35">
      <c r="A8" s="47">
        <v>5</v>
      </c>
      <c r="B8" s="178" t="str">
        <f>Vendedor5!$B$2</f>
        <v>YOYO</v>
      </c>
      <c r="C8" s="180"/>
      <c r="D8" s="30" t="str">
        <f t="shared" si="2"/>
        <v/>
      </c>
      <c r="E8" s="180"/>
      <c r="F8" s="30" t="str">
        <f t="shared" si="2"/>
        <v/>
      </c>
      <c r="G8" s="180"/>
      <c r="H8" s="30" t="str">
        <f t="shared" si="2"/>
        <v/>
      </c>
      <c r="J8" s="42">
        <f t="shared" si="0"/>
        <v>0</v>
      </c>
      <c r="K8" s="42">
        <f t="shared" si="1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2"/>
        <v/>
      </c>
      <c r="E9" s="180"/>
      <c r="F9" s="30" t="str">
        <f t="shared" si="2"/>
        <v/>
      </c>
      <c r="G9" s="180"/>
      <c r="H9" s="30" t="str">
        <f t="shared" si="2"/>
        <v/>
      </c>
      <c r="J9" s="42">
        <f t="shared" ref="J9:J31" si="3">+C9+E9+G9</f>
        <v>0</v>
      </c>
      <c r="K9" s="42">
        <f t="shared" si="1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67650+65950</f>
        <v>133600</v>
      </c>
      <c r="D10" s="30">
        <v>200</v>
      </c>
      <c r="E10" s="180">
        <f>45400+26750</f>
        <v>72150</v>
      </c>
      <c r="F10" s="30">
        <v>100</v>
      </c>
      <c r="G10" s="180">
        <f>62750+82350</f>
        <v>145100</v>
      </c>
      <c r="H10" s="30">
        <f>500+1300</f>
        <v>1800</v>
      </c>
      <c r="J10" s="42">
        <f t="shared" si="3"/>
        <v>350850</v>
      </c>
      <c r="K10" s="42">
        <f t="shared" si="1"/>
        <v>2100</v>
      </c>
    </row>
    <row r="11" spans="1:11" x14ac:dyDescent="0.35">
      <c r="A11" s="47">
        <v>8</v>
      </c>
      <c r="B11" s="178" t="str">
        <f>Vendedor8!$B$2</f>
        <v>ISA</v>
      </c>
      <c r="C11" s="180">
        <v>7300</v>
      </c>
      <c r="D11" s="30">
        <f t="shared" si="2"/>
        <v>0</v>
      </c>
      <c r="E11" s="180"/>
      <c r="F11" s="30" t="str">
        <f t="shared" si="2"/>
        <v/>
      </c>
      <c r="G11" s="180">
        <v>24000</v>
      </c>
      <c r="H11" s="30">
        <f t="shared" si="2"/>
        <v>0</v>
      </c>
      <c r="J11" s="42">
        <f t="shared" si="3"/>
        <v>31300</v>
      </c>
      <c r="K11" s="42">
        <f t="shared" si="1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17950</v>
      </c>
      <c r="D12" s="30">
        <f t="shared" si="2"/>
        <v>0</v>
      </c>
      <c r="E12" s="180">
        <v>8250</v>
      </c>
      <c r="F12" s="30">
        <f t="shared" si="2"/>
        <v>0</v>
      </c>
      <c r="G12" s="180">
        <v>19300</v>
      </c>
      <c r="H12" s="30">
        <f t="shared" si="2"/>
        <v>0</v>
      </c>
      <c r="J12" s="42">
        <f t="shared" si="3"/>
        <v>45500</v>
      </c>
      <c r="K12" s="42">
        <f t="shared" si="1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71400</v>
      </c>
      <c r="D13" s="30">
        <f t="shared" si="2"/>
        <v>0</v>
      </c>
      <c r="E13" s="180">
        <v>47600</v>
      </c>
      <c r="F13" s="30">
        <v>100</v>
      </c>
      <c r="G13" s="180">
        <v>69150</v>
      </c>
      <c r="H13" s="30">
        <v>1000</v>
      </c>
      <c r="J13" s="42">
        <f t="shared" si="3"/>
        <v>188150</v>
      </c>
      <c r="K13" s="42">
        <f t="shared" si="1"/>
        <v>1100</v>
      </c>
    </row>
    <row r="14" spans="1:11" x14ac:dyDescent="0.35">
      <c r="A14" s="47">
        <v>11</v>
      </c>
      <c r="B14" s="178" t="str">
        <f>Vendedor11!$B$2</f>
        <v>CHARLY</v>
      </c>
      <c r="C14" s="180">
        <v>22900</v>
      </c>
      <c r="D14" s="30">
        <f t="shared" si="2"/>
        <v>0</v>
      </c>
      <c r="E14" s="180">
        <v>8200</v>
      </c>
      <c r="F14" s="30">
        <f t="shared" si="2"/>
        <v>0</v>
      </c>
      <c r="G14" s="180">
        <v>24150</v>
      </c>
      <c r="H14" s="30">
        <v>200</v>
      </c>
      <c r="J14" s="42">
        <f t="shared" si="3"/>
        <v>55250</v>
      </c>
      <c r="K14" s="42">
        <f t="shared" si="1"/>
        <v>200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2"/>
        <v/>
      </c>
      <c r="E15" s="180"/>
      <c r="F15" s="30" t="str">
        <f t="shared" si="2"/>
        <v/>
      </c>
      <c r="G15" s="180"/>
      <c r="H15" s="30" t="str">
        <f t="shared" si="2"/>
        <v/>
      </c>
      <c r="J15" s="42">
        <f t="shared" si="3"/>
        <v>0</v>
      </c>
      <c r="K15" s="42">
        <f t="shared" si="1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29800</v>
      </c>
      <c r="D16" s="30">
        <f t="shared" si="2"/>
        <v>0</v>
      </c>
      <c r="E16" s="180">
        <v>24650</v>
      </c>
      <c r="F16" s="30">
        <v>1500</v>
      </c>
      <c r="G16" s="180">
        <v>38600</v>
      </c>
      <c r="H16" s="30">
        <v>250</v>
      </c>
      <c r="J16" s="42">
        <f t="shared" si="3"/>
        <v>93050</v>
      </c>
      <c r="K16" s="42">
        <f t="shared" si="1"/>
        <v>1750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119050+30300</f>
        <v>149350</v>
      </c>
      <c r="D17" s="30">
        <f>300+1000</f>
        <v>1300</v>
      </c>
      <c r="E17" s="180">
        <f>86900+15850</f>
        <v>102750</v>
      </c>
      <c r="F17" s="30">
        <f>1150+250</f>
        <v>1400</v>
      </c>
      <c r="G17" s="180">
        <f>215550+39500</f>
        <v>255050</v>
      </c>
      <c r="H17" s="30">
        <f>4000+0</f>
        <v>4000</v>
      </c>
      <c r="J17" s="42">
        <f t="shared" si="3"/>
        <v>507150</v>
      </c>
      <c r="K17" s="42">
        <f t="shared" si="1"/>
        <v>6700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40850+22700</f>
        <v>63550</v>
      </c>
      <c r="D18" s="30">
        <f>100+500</f>
        <v>600</v>
      </c>
      <c r="E18" s="180">
        <f>38200+14400</f>
        <v>52600</v>
      </c>
      <c r="F18" s="30">
        <f t="shared" si="2"/>
        <v>0</v>
      </c>
      <c r="G18" s="180">
        <f>33000+24900</f>
        <v>57900</v>
      </c>
      <c r="H18" s="30">
        <f>150+0</f>
        <v>150</v>
      </c>
      <c r="J18" s="42">
        <f t="shared" si="3"/>
        <v>174050</v>
      </c>
      <c r="K18" s="42">
        <f t="shared" si="1"/>
        <v>750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2"/>
        <v/>
      </c>
      <c r="E19" s="180"/>
      <c r="F19" s="30" t="str">
        <f t="shared" si="2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1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2"/>
        <v/>
      </c>
      <c r="E20" s="180"/>
      <c r="F20" s="30" t="str">
        <f t="shared" si="2"/>
        <v/>
      </c>
      <c r="G20" s="180"/>
      <c r="H20" s="30" t="str">
        <f t="shared" si="4"/>
        <v/>
      </c>
      <c r="J20" s="42">
        <f t="shared" si="3"/>
        <v>0</v>
      </c>
      <c r="K20" s="42">
        <f t="shared" si="1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2"/>
        <v/>
      </c>
      <c r="E21" s="180"/>
      <c r="F21" s="30" t="str">
        <f t="shared" si="2"/>
        <v/>
      </c>
      <c r="G21" s="180"/>
      <c r="H21" s="30" t="str">
        <f t="shared" si="4"/>
        <v/>
      </c>
      <c r="J21" s="42">
        <f t="shared" si="3"/>
        <v>0</v>
      </c>
      <c r="K21" s="42">
        <f t="shared" si="1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2"/>
        <v/>
      </c>
      <c r="E22" s="180"/>
      <c r="F22" s="30" t="str">
        <f t="shared" si="2"/>
        <v/>
      </c>
      <c r="G22" s="180"/>
      <c r="H22" s="30" t="str">
        <f t="shared" si="4"/>
        <v/>
      </c>
      <c r="J22" s="42">
        <f t="shared" si="3"/>
        <v>0</v>
      </c>
      <c r="K22" s="42">
        <f t="shared" si="1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2"/>
        <v/>
      </c>
      <c r="E23" s="180"/>
      <c r="F23" s="30" t="str">
        <f t="shared" si="2"/>
        <v/>
      </c>
      <c r="G23" s="180"/>
      <c r="H23" s="30" t="str">
        <f t="shared" si="4"/>
        <v/>
      </c>
      <c r="J23" s="42">
        <f t="shared" si="3"/>
        <v>0</v>
      </c>
      <c r="K23" s="42">
        <f t="shared" si="1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2"/>
        <v/>
      </c>
      <c r="E24" s="180"/>
      <c r="F24" s="30" t="str">
        <f t="shared" si="2"/>
        <v/>
      </c>
      <c r="G24" s="180"/>
      <c r="H24" s="30" t="str">
        <f t="shared" si="4"/>
        <v/>
      </c>
      <c r="J24" s="42">
        <f t="shared" si="3"/>
        <v>0</v>
      </c>
      <c r="K24" s="42">
        <f t="shared" si="1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2"/>
        <v/>
      </c>
      <c r="E25" s="180"/>
      <c r="F25" s="30" t="str">
        <f t="shared" si="2"/>
        <v/>
      </c>
      <c r="G25" s="180"/>
      <c r="H25" s="30" t="str">
        <f t="shared" si="4"/>
        <v/>
      </c>
      <c r="J25" s="42">
        <f t="shared" si="3"/>
        <v>0</v>
      </c>
      <c r="K25" s="42">
        <f t="shared" si="1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2"/>
        <v/>
      </c>
      <c r="E26" s="180"/>
      <c r="F26" s="30" t="str">
        <f t="shared" si="2"/>
        <v/>
      </c>
      <c r="G26" s="180"/>
      <c r="H26" s="30" t="str">
        <f t="shared" si="4"/>
        <v/>
      </c>
      <c r="J26" s="42">
        <f t="shared" si="3"/>
        <v>0</v>
      </c>
      <c r="K26" s="42">
        <f t="shared" si="1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2"/>
        <v/>
      </c>
      <c r="E27" s="181"/>
      <c r="F27" s="50" t="str">
        <f t="shared" si="2"/>
        <v/>
      </c>
      <c r="G27" s="181"/>
      <c r="H27" s="50" t="str">
        <f t="shared" si="4"/>
        <v/>
      </c>
      <c r="J27" s="42">
        <f t="shared" si="3"/>
        <v>0</v>
      </c>
      <c r="K27" s="42">
        <f t="shared" si="1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647900</v>
      </c>
      <c r="D32" s="44">
        <f t="shared" si="6"/>
        <v>4600</v>
      </c>
      <c r="E32" s="43">
        <f t="shared" si="6"/>
        <v>409600</v>
      </c>
      <c r="F32" s="44">
        <f t="shared" si="6"/>
        <v>3600</v>
      </c>
      <c r="G32" s="43">
        <f t="shared" si="6"/>
        <v>857550</v>
      </c>
      <c r="H32" s="44">
        <f t="shared" si="6"/>
        <v>8800</v>
      </c>
      <c r="J32" s="95">
        <f>SUM(J4:J31)</f>
        <v>1915050</v>
      </c>
      <c r="K32" s="95"/>
    </row>
    <row r="33" spans="2:8" x14ac:dyDescent="0.35">
      <c r="D33" s="99">
        <f>+D32*85</f>
        <v>391000</v>
      </c>
      <c r="F33" s="99">
        <f>+F32*85</f>
        <v>306000</v>
      </c>
      <c r="H33" s="99">
        <f>+H32*85</f>
        <v>748000</v>
      </c>
    </row>
    <row r="34" spans="2:8" x14ac:dyDescent="0.35">
      <c r="B34" s="247" t="s">
        <v>149</v>
      </c>
      <c r="C34" s="43">
        <f t="shared" ref="C34:H34" si="7">+C4+C5+C6+C8+C13</f>
        <v>223450</v>
      </c>
      <c r="D34" s="43" t="e">
        <f t="shared" si="7"/>
        <v>#VALUE!</v>
      </c>
      <c r="E34" s="43">
        <f t="shared" si="7"/>
        <v>141000</v>
      </c>
      <c r="F34" s="43" t="e">
        <f t="shared" si="7"/>
        <v>#VALUE!</v>
      </c>
      <c r="G34" s="43">
        <f t="shared" si="7"/>
        <v>293450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243100</v>
      </c>
      <c r="D35" s="43" t="e">
        <f t="shared" ref="D35:H35" si="8">+D11+D14+D15+D17+D18</f>
        <v>#VALUE!</v>
      </c>
      <c r="E35" s="43">
        <f t="shared" si="8"/>
        <v>163550</v>
      </c>
      <c r="F35" s="43" t="e">
        <f t="shared" si="8"/>
        <v>#VALUE!</v>
      </c>
      <c r="G35" s="43">
        <f t="shared" si="8"/>
        <v>361100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151550</v>
      </c>
      <c r="D36" s="43" t="e">
        <f t="shared" ref="D36:H36" si="9">+D10+D12+D27</f>
        <v>#VALUE!</v>
      </c>
      <c r="E36" s="43">
        <f t="shared" si="9"/>
        <v>80400</v>
      </c>
      <c r="F36" s="43" t="e">
        <f t="shared" si="9"/>
        <v>#VALUE!</v>
      </c>
      <c r="G36" s="43">
        <f t="shared" si="9"/>
        <v>164400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02</v>
      </c>
      <c r="D2" s="268"/>
      <c r="E2" s="267">
        <f>IF(PREMIOS!$B9="","",PREMIOS!$B9)</f>
        <v>23</v>
      </c>
      <c r="F2" s="268"/>
      <c r="G2" s="267">
        <f>IF(PREMIOS!$B13="","",PREMIOS!$B13)</f>
        <v>88</v>
      </c>
      <c r="H2" s="268"/>
      <c r="I2" s="267">
        <f>IF(PREMIOS!$B17="","",PREMIOS!$B17)</f>
        <v>53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39450</v>
      </c>
      <c r="D4" s="78">
        <f t="shared" ref="D4:J27" si="0">IF(C4="","",0)</f>
        <v>0</v>
      </c>
      <c r="E4" s="206">
        <v>26900</v>
      </c>
      <c r="F4" s="78">
        <v>2500</v>
      </c>
      <c r="G4" s="189">
        <v>22000</v>
      </c>
      <c r="H4" s="78">
        <f t="shared" ref="H4:H27" si="1">IF(G4="","",0)</f>
        <v>0</v>
      </c>
      <c r="I4" s="189">
        <v>5350</v>
      </c>
      <c r="J4" s="78">
        <f t="shared" si="0"/>
        <v>0</v>
      </c>
      <c r="L4" s="42">
        <f t="shared" ref="L4:L8" si="2">+C4+E4+G4+I4</f>
        <v>93700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30500</v>
      </c>
      <c r="D5" s="30">
        <f t="shared" si="0"/>
        <v>0</v>
      </c>
      <c r="E5" s="207">
        <v>3900</v>
      </c>
      <c r="F5" s="30">
        <f t="shared" si="0"/>
        <v>0</v>
      </c>
      <c r="G5" s="180">
        <v>20750</v>
      </c>
      <c r="H5" s="30">
        <f t="shared" si="1"/>
        <v>0</v>
      </c>
      <c r="I5" s="180">
        <v>1750</v>
      </c>
      <c r="J5" s="30">
        <f t="shared" ref="J5:J27" si="3">IF(I5="","",0)</f>
        <v>0</v>
      </c>
      <c r="L5" s="42">
        <f t="shared" si="2"/>
        <v>56900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/>
      <c r="D8" s="30" t="str">
        <f t="shared" si="0"/>
        <v/>
      </c>
      <c r="E8" s="207"/>
      <c r="F8" s="30" t="str">
        <f t="shared" si="0"/>
        <v/>
      </c>
      <c r="G8" s="180"/>
      <c r="H8" s="30" t="str">
        <f t="shared" si="1"/>
        <v/>
      </c>
      <c r="I8" s="180"/>
      <c r="J8" s="30" t="str">
        <f t="shared" si="0"/>
        <v/>
      </c>
      <c r="L8" s="42">
        <f t="shared" si="2"/>
        <v>0</v>
      </c>
      <c r="M8" s="42" t="str">
        <f t="shared" si="4"/>
        <v/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41650+30750</f>
        <v>72400</v>
      </c>
      <c r="D10" s="30">
        <f>1500+600</f>
        <v>2100</v>
      </c>
      <c r="E10" s="207">
        <f>61300+29350</f>
        <v>90650</v>
      </c>
      <c r="F10" s="30">
        <f t="shared" si="0"/>
        <v>0</v>
      </c>
      <c r="G10" s="180">
        <f>42750+11500</f>
        <v>54250</v>
      </c>
      <c r="H10" s="30">
        <f>100+100</f>
        <v>200</v>
      </c>
      <c r="I10" s="180">
        <f>41400+27300</f>
        <v>68700</v>
      </c>
      <c r="J10" s="30">
        <v>250</v>
      </c>
      <c r="L10" s="42">
        <f t="shared" si="5"/>
        <v>286000</v>
      </c>
      <c r="M10" s="42">
        <f t="shared" si="4"/>
        <v>2550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27550</v>
      </c>
      <c r="D12" s="30">
        <v>550</v>
      </c>
      <c r="E12" s="207">
        <v>18750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46300</v>
      </c>
      <c r="M12" s="42">
        <f t="shared" si="4"/>
        <v>550</v>
      </c>
    </row>
    <row r="13" spans="1:13" x14ac:dyDescent="0.35">
      <c r="A13" s="47">
        <v>10</v>
      </c>
      <c r="B13" s="178" t="str">
        <f>Vendedor10!$B$2</f>
        <v>MARIALIZ</v>
      </c>
      <c r="C13" s="180">
        <v>67200</v>
      </c>
      <c r="D13" s="30">
        <v>600</v>
      </c>
      <c r="E13" s="207">
        <v>49350</v>
      </c>
      <c r="F13" s="30">
        <f t="shared" si="0"/>
        <v>0</v>
      </c>
      <c r="G13" s="180">
        <v>6500</v>
      </c>
      <c r="H13" s="30">
        <f t="shared" si="0"/>
        <v>0</v>
      </c>
      <c r="I13" s="180">
        <v>5000</v>
      </c>
      <c r="J13" s="30">
        <v>300</v>
      </c>
      <c r="L13" s="42">
        <f t="shared" si="5"/>
        <v>128050</v>
      </c>
      <c r="M13" s="42">
        <f t="shared" si="4"/>
        <v>900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6400</v>
      </c>
      <c r="D16" s="30">
        <v>500</v>
      </c>
      <c r="E16" s="207">
        <v>13900</v>
      </c>
      <c r="F16" s="30">
        <f t="shared" si="0"/>
        <v>0</v>
      </c>
      <c r="G16" s="180">
        <v>10900</v>
      </c>
      <c r="H16" s="30">
        <v>100</v>
      </c>
      <c r="I16" s="180">
        <v>5100</v>
      </c>
      <c r="J16" s="30">
        <v>100</v>
      </c>
      <c r="L16" s="42">
        <f t="shared" si="5"/>
        <v>36300</v>
      </c>
      <c r="M16" s="42">
        <f t="shared" si="4"/>
        <v>700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103600</v>
      </c>
      <c r="D17" s="30">
        <v>1550</v>
      </c>
      <c r="E17" s="207">
        <v>66900</v>
      </c>
      <c r="F17" s="30">
        <v>950</v>
      </c>
      <c r="G17" s="180">
        <v>51950</v>
      </c>
      <c r="H17" s="30">
        <v>800</v>
      </c>
      <c r="I17" s="180">
        <v>148750</v>
      </c>
      <c r="J17" s="30">
        <v>2350</v>
      </c>
      <c r="L17" s="42">
        <f t="shared" si="5"/>
        <v>371200</v>
      </c>
      <c r="M17" s="42">
        <f t="shared" si="4"/>
        <v>5650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45700</v>
      </c>
      <c r="D18" s="30">
        <v>700</v>
      </c>
      <c r="E18" s="207">
        <v>36000</v>
      </c>
      <c r="F18" s="30">
        <f t="shared" si="0"/>
        <v>0</v>
      </c>
      <c r="G18" s="180">
        <v>9650</v>
      </c>
      <c r="H18" s="30">
        <f t="shared" si="0"/>
        <v>0</v>
      </c>
      <c r="I18" s="180">
        <v>4550</v>
      </c>
      <c r="J18" s="30">
        <f t="shared" si="3"/>
        <v>0</v>
      </c>
      <c r="L18" s="42">
        <f t="shared" si="5"/>
        <v>95900</v>
      </c>
      <c r="M18" s="42">
        <f t="shared" si="4"/>
        <v>700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392800</v>
      </c>
      <c r="D32" s="44">
        <f t="shared" si="7"/>
        <v>6000</v>
      </c>
      <c r="E32" s="43">
        <f t="shared" si="7"/>
        <v>306350</v>
      </c>
      <c r="F32" s="44">
        <f t="shared" si="7"/>
        <v>3450</v>
      </c>
      <c r="G32" s="43">
        <f t="shared" si="7"/>
        <v>176000</v>
      </c>
      <c r="H32" s="44">
        <f t="shared" si="7"/>
        <v>1100</v>
      </c>
      <c r="I32" s="43">
        <f t="shared" si="7"/>
        <v>239200</v>
      </c>
      <c r="J32" s="44">
        <f t="shared" si="7"/>
        <v>3000</v>
      </c>
      <c r="L32" s="95">
        <f>SUM(L9:L31)</f>
        <v>963750</v>
      </c>
      <c r="M32" s="95">
        <f>SUM(M9:M31)</f>
        <v>11050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77 Blanca</v>
      </c>
      <c r="D2" s="268"/>
      <c r="E2" s="267" t="str">
        <f>IF(E33=0,"",CONCATENATE(PREMIOS!$B11," ",PREMIOS!$B12))</f>
        <v>23 Roja</v>
      </c>
      <c r="F2" s="268"/>
      <c r="G2" s="267" t="str">
        <f>IF(G33=0,"",CONCATENATE(PREMIOS!$B15," ",PREMIOS!$B16))</f>
        <v>16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26500+9050</f>
        <v>35550</v>
      </c>
      <c r="D10" s="30">
        <f t="shared" si="0"/>
        <v>0</v>
      </c>
      <c r="E10" s="180">
        <f>29850+7650</f>
        <v>37500</v>
      </c>
      <c r="F10" s="30">
        <f t="shared" si="0"/>
        <v>0</v>
      </c>
      <c r="G10" s="180">
        <f>18900+11500</f>
        <v>30400</v>
      </c>
      <c r="H10" s="30">
        <f t="shared" si="0"/>
        <v>0</v>
      </c>
      <c r="J10" s="42">
        <f t="shared" si="3"/>
        <v>103450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2900</v>
      </c>
      <c r="D12" s="30">
        <f t="shared" si="0"/>
        <v>0</v>
      </c>
      <c r="E12" s="180"/>
      <c r="F12" s="30" t="str">
        <f t="shared" si="1"/>
        <v/>
      </c>
      <c r="G12" s="180"/>
      <c r="H12" s="30" t="str">
        <f t="shared" si="0"/>
        <v/>
      </c>
      <c r="J12" s="42">
        <f t="shared" si="3"/>
        <v>2900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23950</v>
      </c>
      <c r="D17" s="30">
        <v>1000</v>
      </c>
      <c r="E17" s="180">
        <v>13200</v>
      </c>
      <c r="F17" s="30">
        <v>250</v>
      </c>
      <c r="G17" s="180">
        <v>29700</v>
      </c>
      <c r="H17" s="30">
        <f t="shared" si="0"/>
        <v>0</v>
      </c>
      <c r="J17" s="42">
        <f t="shared" si="3"/>
        <v>66850</v>
      </c>
      <c r="K17" s="42">
        <f t="shared" si="4"/>
        <v>1250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20300</v>
      </c>
      <c r="D18" s="30">
        <v>500</v>
      </c>
      <c r="E18" s="180">
        <v>12100</v>
      </c>
      <c r="F18" s="30">
        <f t="shared" si="0"/>
        <v>0</v>
      </c>
      <c r="G18" s="180">
        <v>22200</v>
      </c>
      <c r="H18" s="30">
        <f t="shared" si="0"/>
        <v>0</v>
      </c>
      <c r="J18" s="42">
        <f t="shared" si="3"/>
        <v>54600</v>
      </c>
      <c r="K18" s="42">
        <f t="shared" si="4"/>
        <v>500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83700</v>
      </c>
      <c r="D33" s="44">
        <f t="shared" si="7"/>
        <v>1500</v>
      </c>
      <c r="E33" s="43">
        <f t="shared" si="7"/>
        <v>62800</v>
      </c>
      <c r="F33" s="44">
        <f t="shared" si="7"/>
        <v>250</v>
      </c>
      <c r="G33" s="43">
        <f t="shared" si="7"/>
        <v>82300</v>
      </c>
      <c r="H33" s="44">
        <f t="shared" si="7"/>
        <v>0</v>
      </c>
      <c r="J33" s="45">
        <f>SUM(J4:J32)</f>
        <v>228800</v>
      </c>
      <c r="K33" s="95">
        <f>SUM(K4:K32)</f>
        <v>1750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24</v>
      </c>
      <c r="D2" s="268"/>
      <c r="E2" s="267">
        <f>IF(PREMIOS!$C19="","",PREMIOS!$C19)</f>
        <v>64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10250</v>
      </c>
      <c r="D4" s="78">
        <f t="shared" ref="D4:F27" si="0">IF(C4="","",0)</f>
        <v>0</v>
      </c>
      <c r="E4" s="189">
        <v>2950</v>
      </c>
      <c r="F4" s="78">
        <f t="shared" si="0"/>
        <v>0</v>
      </c>
      <c r="H4" s="42">
        <f>+C4+E4</f>
        <v>13200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6000</v>
      </c>
      <c r="D5" s="30">
        <v>1000</v>
      </c>
      <c r="E5" s="180"/>
      <c r="F5" s="30" t="str">
        <f t="shared" ref="F5:F27" si="1">IF(E5="","",0)</f>
        <v/>
      </c>
      <c r="H5" s="42">
        <f t="shared" ref="H5:H32" si="2">+C5+E5</f>
        <v>6000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/>
      <c r="D8" s="30" t="str">
        <f t="shared" si="0"/>
        <v/>
      </c>
      <c r="E8" s="194"/>
      <c r="F8" s="195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14200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14200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26900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26900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1700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1700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91250</v>
      </c>
      <c r="D17" s="195">
        <v>400</v>
      </c>
      <c r="E17" s="180">
        <v>29650</v>
      </c>
      <c r="F17" s="30">
        <v>150</v>
      </c>
      <c r="H17" s="42">
        <f t="shared" si="2"/>
        <v>120900</v>
      </c>
      <c r="I17" s="42">
        <f t="shared" si="3"/>
        <v>550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43850</v>
      </c>
      <c r="D18" s="195">
        <v>1400</v>
      </c>
      <c r="E18" s="180">
        <v>22800</v>
      </c>
      <c r="F18" s="30">
        <f t="shared" si="0"/>
        <v>0</v>
      </c>
      <c r="H18" s="42">
        <f t="shared" si="2"/>
        <v>66650</v>
      </c>
      <c r="I18" s="42">
        <f t="shared" si="3"/>
        <v>1400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194150</v>
      </c>
      <c r="D33" s="44">
        <f>SUM(D4:D32)</f>
        <v>2800</v>
      </c>
      <c r="E33" s="43">
        <f>SUM(E4:E32)</f>
        <v>55400</v>
      </c>
      <c r="F33" s="44">
        <f>SUM(F4:F32)</f>
        <v>150</v>
      </c>
      <c r="H33" s="95">
        <f>SUM(H4:H32)</f>
        <v>249550</v>
      </c>
      <c r="I33" s="95">
        <f>SUM(I4:I32)</f>
        <v>2950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83</v>
      </c>
      <c r="D2" s="268"/>
      <c r="E2" s="267">
        <f>IF(PREMIOS!$C20="","",PREMIOS!$C20)</f>
        <v>50</v>
      </c>
      <c r="F2" s="268"/>
      <c r="G2" s="267">
        <f>IF(PREMIOS!$D20="","",PREMIOS!$D20)</f>
        <v>82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2500</v>
      </c>
      <c r="D10" s="195">
        <f t="shared" si="0"/>
        <v>0</v>
      </c>
      <c r="E10" s="180">
        <v>200</v>
      </c>
      <c r="F10" s="30">
        <f t="shared" si="0"/>
        <v>0</v>
      </c>
      <c r="G10" s="180"/>
      <c r="H10" s="195" t="str">
        <f t="shared" si="0"/>
        <v/>
      </c>
      <c r="J10" s="42">
        <f t="shared" si="3"/>
        <v>2700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54750</v>
      </c>
      <c r="D17" s="195">
        <f t="shared" si="0"/>
        <v>0</v>
      </c>
      <c r="E17" s="194">
        <v>15200</v>
      </c>
      <c r="F17" s="195">
        <f t="shared" si="0"/>
        <v>0</v>
      </c>
      <c r="G17" s="194">
        <v>20950</v>
      </c>
      <c r="H17" s="195">
        <f t="shared" si="2"/>
        <v>0</v>
      </c>
      <c r="J17" s="42">
        <f t="shared" si="3"/>
        <v>90900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22950</v>
      </c>
      <c r="D18" s="195">
        <f t="shared" si="0"/>
        <v>0</v>
      </c>
      <c r="E18" s="180">
        <v>11000</v>
      </c>
      <c r="F18" s="30">
        <f t="shared" si="1"/>
        <v>0</v>
      </c>
      <c r="G18" s="180">
        <v>2500</v>
      </c>
      <c r="H18" s="30">
        <f t="shared" si="2"/>
        <v>0</v>
      </c>
      <c r="J18" s="42">
        <f t="shared" si="3"/>
        <v>36450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80200</v>
      </c>
      <c r="D33" s="44">
        <f t="shared" si="6"/>
        <v>0</v>
      </c>
      <c r="E33" s="43">
        <f t="shared" si="6"/>
        <v>26400</v>
      </c>
      <c r="F33" s="44">
        <f t="shared" si="6"/>
        <v>0</v>
      </c>
      <c r="G33" s="43">
        <f t="shared" si="6"/>
        <v>23450</v>
      </c>
      <c r="H33" s="44">
        <f t="shared" si="6"/>
        <v>0</v>
      </c>
      <c r="J33" s="45">
        <f>SUM(J4:J32)</f>
        <v>130050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36</v>
      </c>
      <c r="D2" s="268"/>
      <c r="E2" s="267">
        <f>IF(PREMIOS!$C21="","",PREMIOS!$C21)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  <c r="E10" s="180"/>
      <c r="F10" s="30" t="str">
        <f t="shared" si="0"/>
        <v/>
      </c>
      <c r="H10" s="42">
        <f t="shared" si="2"/>
        <v>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4" sqref="C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24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>
        <v>6600</v>
      </c>
      <c r="D17" s="30">
        <v>300</v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6600</v>
      </c>
      <c r="D33" s="44">
        <f>SUM(D4:D32)</f>
        <v>300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2026-05-06T17:05:40Z</dcterms:modified>
  <dc:language>es-CR</dc:language>
</cp:coreProperties>
</file>
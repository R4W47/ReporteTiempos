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62" documentId="13_ncr:1_{5777F3D1-1871-4A7E-9949-1A42448B840B}" xr6:coauthVersionLast="47" xr6:coauthVersionMax="47" xr10:uidLastSave="{9B810C36-EE62-40A6-A35F-98C14C7DC24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I10" i="61"/>
  <c r="G10" i="61"/>
  <c r="D17" i="60" l="1"/>
  <c r="C17" i="60"/>
  <c r="D10" i="60"/>
  <c r="C10" i="60"/>
  <c r="H10" i="60"/>
  <c r="G10" i="60"/>
  <c r="H18" i="60"/>
  <c r="G18" i="60"/>
  <c r="H17" i="60"/>
  <c r="G17" i="60"/>
  <c r="E10" i="64"/>
  <c r="E10" i="62"/>
  <c r="C10" i="62"/>
  <c r="E10" i="61"/>
  <c r="E10" i="60"/>
  <c r="E18" i="60"/>
  <c r="F17" i="60"/>
  <c r="E17" i="60"/>
  <c r="C18" i="60"/>
  <c r="E4" i="60"/>
  <c r="D4" i="60"/>
  <c r="D4" i="61" l="1"/>
  <c r="C4" i="61"/>
  <c r="C10" i="61"/>
  <c r="C10" i="65"/>
  <c r="D18" i="64" l="1"/>
  <c r="D11" i="65"/>
  <c r="D18" i="61"/>
  <c r="D17" i="61"/>
  <c r="D10" i="61"/>
  <c r="D9" i="61"/>
  <c r="D8" i="61"/>
  <c r="D23" i="15"/>
  <c r="C23" i="15"/>
  <c r="G16" i="71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E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6" i="60"/>
  <c r="D15" i="60"/>
  <c r="D14" i="60"/>
  <c r="D13" i="60"/>
  <c r="D12" i="60"/>
  <c r="D11" i="60"/>
  <c r="E7" i="16" s="1"/>
  <c r="D9" i="60"/>
  <c r="D7" i="60"/>
  <c r="D5" i="60"/>
  <c r="F18" i="23"/>
  <c r="F14" i="23"/>
  <c r="F10" i="23"/>
  <c r="F6" i="23"/>
  <c r="F6" i="14"/>
  <c r="F10" i="14"/>
  <c r="F14" i="14"/>
  <c r="F18" i="14"/>
  <c r="D10" i="66"/>
  <c r="H10" i="64"/>
  <c r="F17" i="64"/>
  <c r="F17" i="65"/>
  <c r="F8" i="65"/>
  <c r="F18" i="62"/>
  <c r="F10" i="62"/>
  <c r="D5" i="61"/>
  <c r="D6" i="60"/>
  <c r="F18" i="60"/>
  <c r="F16" i="60"/>
  <c r="F15" i="60"/>
  <c r="F12" i="60"/>
  <c r="F11" i="60"/>
  <c r="F35" i="60" s="1"/>
  <c r="F10" i="60"/>
  <c r="F9" i="60"/>
  <c r="F8" i="60"/>
  <c r="F7" i="60"/>
  <c r="F6" i="60"/>
  <c r="F5" i="60"/>
  <c r="F4" i="60"/>
  <c r="H15" i="60"/>
  <c r="H12" i="60"/>
  <c r="H11" i="60"/>
  <c r="H9" i="60"/>
  <c r="H7" i="60"/>
  <c r="H6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D36" i="60" l="1"/>
  <c r="H34" i="60"/>
  <c r="D35" i="60"/>
  <c r="F34" i="60"/>
  <c r="D34" i="60"/>
  <c r="J8" i="14"/>
  <c r="D21" i="14"/>
  <c r="C12" i="71"/>
  <c r="D22" i="14"/>
  <c r="K15" i="14" s="1"/>
  <c r="G12" i="71"/>
  <c r="E19" i="16"/>
  <c r="D20" i="16"/>
  <c r="F17" i="62"/>
  <c r="E11" i="16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10" i="61"/>
  <c r="H35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E29" i="72"/>
  <c r="D29" i="72"/>
  <c r="J29" i="72" s="1"/>
  <c r="K29" i="72" s="1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I15" i="72" s="1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E23" i="19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9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7" i="61"/>
  <c r="H6" i="61"/>
  <c r="H5" i="61"/>
  <c r="M5" i="61" s="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J32" i="64"/>
  <c r="L6" i="6"/>
  <c r="K20" i="19"/>
  <c r="K9" i="19"/>
  <c r="L21" i="71"/>
  <c r="M21" i="71" s="1"/>
  <c r="J22" i="71"/>
  <c r="J31" i="71"/>
  <c r="D18" i="72"/>
  <c r="L20" i="71"/>
  <c r="M20" i="71" s="1"/>
  <c r="J30" i="71"/>
  <c r="K30" i="71" s="1"/>
  <c r="H24" i="72"/>
  <c r="I24" i="72" s="1"/>
  <c r="N24" i="72" s="1"/>
  <c r="H31" i="72"/>
  <c r="E27" i="72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J7" i="19"/>
  <c r="F25" i="19"/>
  <c r="L9" i="19" s="1"/>
  <c r="F18" i="72"/>
  <c r="J18" i="72" s="1"/>
  <c r="K18" i="72" s="1"/>
  <c r="J26" i="71"/>
  <c r="L29" i="71"/>
  <c r="M29" i="71" s="1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J27" i="71" s="1"/>
  <c r="K27" i="71" s="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N27" i="71"/>
  <c r="N27" i="72"/>
  <c r="K20" i="21"/>
  <c r="K10" i="21"/>
  <c r="K21" i="19"/>
  <c r="K10" i="19"/>
  <c r="K12" i="17"/>
  <c r="L27" i="70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6" i="23" l="1"/>
  <c r="M26" i="52"/>
  <c r="J5" i="23"/>
  <c r="M23" i="52"/>
  <c r="J5" i="19"/>
  <c r="M20" i="52"/>
  <c r="F17" i="52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F13" i="29"/>
  <c r="G13" i="29" s="1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24" i="15" s="1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L6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G28" i="6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C32" i="61" l="1"/>
  <c r="I32" i="61"/>
  <c r="F32" i="60"/>
  <c r="G32" i="60"/>
  <c r="F24" i="15"/>
  <c r="H32" i="60"/>
  <c r="H33" i="60" s="1"/>
  <c r="L6" i="22"/>
  <c r="K5" i="23"/>
  <c r="G32" i="61"/>
  <c r="F32" i="61"/>
  <c r="H32" i="61"/>
  <c r="K6" i="23"/>
  <c r="K5" i="19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M4" i="52" s="1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6" i="52" l="1"/>
  <c r="M5" i="52"/>
  <c r="K6" i="25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5" i="58"/>
  <c r="P20" i="58"/>
  <c r="P23" i="58"/>
  <c r="P22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6" i="52"/>
  <c r="C25" i="1" s="1"/>
  <c r="B25" i="1"/>
  <c r="K24" i="52"/>
  <c r="C23" i="1" s="1"/>
  <c r="B23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23" i="52" l="1"/>
  <c r="C22" i="1" s="1"/>
  <c r="B22" i="1"/>
  <c r="F12" i="14"/>
  <c r="F12" i="8"/>
  <c r="F12" i="19"/>
  <c r="K20" i="52"/>
  <c r="C19" i="1" s="1"/>
  <c r="B19" i="1"/>
  <c r="K5" i="52"/>
  <c r="C4" i="1" s="1"/>
  <c r="B4" i="1"/>
  <c r="K6" i="52"/>
  <c r="C5" i="1" s="1"/>
  <c r="B5" i="1"/>
  <c r="K4" i="52"/>
  <c r="C3" i="1" s="1"/>
  <c r="B3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D39" i="52" s="1"/>
  <c r="D7" i="69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<sst xmlns="http://schemas.openxmlformats.org/spreadsheetml/2006/main" count="1295" uniqueCount="162">
  <si>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</si>
  <si>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</si>
  <si>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</si>
  <si>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</si>
  <si>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</si>
  <si>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</si>
  <si>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</si>
  <si>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</si>
  <si>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</si>
  <si>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</si>
  <si>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</si>
  <si>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</si>
  <si>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</si>
  <si>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</si>
  <si>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</si>
  <si>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</si>
  <si>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</si>
  <si>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</si>
  <si>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</si>
  <si>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</si>
  <si>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</si>
  <si>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</si>
  <si>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</si>
  <si>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</si>
  <si>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</si>
  <si>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</si>
  <si>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</si>
  <si>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</si>
  <si>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</si>
  <si>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</si>
  <si>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</si>
  <si>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</si>
  <si>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</si>
  <si>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</si>
  <si>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</si>
  <si>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</si>
  <si>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</si>
  <si>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</si>
  <si>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</si>
  <si>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</si>
  <si>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</si>
  <si>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</si>
  <si>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</si>
  <si>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</si>
  <si>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</si>
  <si>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</si>
  <si>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</si>
  <si>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</si>
  <si>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</si>
  <si>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</si>
  <si>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</si>
  <si>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</si>
  <si>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</si>
  <si>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</si>
  <si>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</si>
  <si>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</si>
  <si>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</si>
  <si>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</si>
  <si>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</si>
  <si>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</si>
  <si>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</si>
  <si>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</si>
  <si>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</si>
  <si>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</si>
  <si>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</si>
  <si>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</si>
  <si>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</si>
  <si>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</si>
  <si>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</si>
  <si>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</si>
  <si>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</si>
  <si>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</si>
  <si>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</si>
  <si>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</si>
  <si>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</si>
  <si>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</si>
  <si>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</si>
  <si>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</si>
  <si>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</si>
  <si>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</si>
  <si>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</si>
  <si>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</si>
  <si>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</si>
  <si>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</si>
  <si>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</si>
  <si>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</si>
  <si>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</si>
  <si>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</si>
  <si>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</si>
  <si>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</si>
  <si>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</si>
  <si>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</si>
  <si>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</si>
  <si>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</si>
  <si>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</si>
  <si>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</si>
  <si>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</si>
  <si>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</si>
  <si>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</si>
  <si>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</si>
  <si>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</si>
  <si>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</si>
  <si>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</si>
  <si>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</si>
  <si>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</si>
  <si>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</si>
  <si>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</si>
  <si>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</si>
  <si>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</si>
  <si>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</si>
  <si>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</si>
  <si>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</si>
  <si>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</si>
  <si>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</si>
  <si>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</si>
  <si>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</si>
  <si>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</si>
  <si>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</si>
  <si>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</si>
  <si>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</si>
  <si>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</si>
  <si>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</si>
  <si>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</si>
  <si>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</si>
  <si>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</si>
  <si>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</si>
  <si>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</si>
  <si>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</si>
  <si>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</si>
  <si>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</si>
  <si>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</si>
  <si>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</si>
  <si>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</si>
  <si>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</si>
  <si>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</si>
  <si>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</si>
  <si>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</si>
  <si>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</si>
  <si>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</si>
  <si>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</si>
  <si>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</si>
  <si>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</si>
  <si>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</si>
  <si>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</si>
  <si>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</si>
  <si>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</si>
  <si>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</si>
  <si>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</si>
  <si>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</si>
  <si>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</si>
  <si>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</si>
  <si>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</si>
  <si>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</si>
  <si>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</si>
  <si>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</si>
  <si>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</si>
  <si>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</si>
  <si>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</si>
  <si>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</si>
  <si>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06</t>
  </si>
  <si>
    <t>02</t>
  </si>
  <si>
    <t>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</si>
</sst>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198750</v>
      </c>
      <c r="C3" s="9">
        <f>+HojaTICA!K4+HojaNICA!M4+HojaREVENTADO!K4+HojaPrimera!I4+HojaHonduras!K4+HojaDominicana!I4+HojaPANA!G4</f>
        <v>25850</v>
      </c>
      <c r="D3" s="9">
        <f>+HojaTICA!N4+HojaNICA!P4+HojaREVENTADO!O4+HojaPrimera!L4+HojaHonduras!N4+HojaDominicana!L4+HojaPANA!J4</f>
        <v>303000</v>
      </c>
      <c r="F3" s="10">
        <f t="shared" ref="F3:F27" si="0">+B3-C3-D3</f>
        <v>-130100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165550</v>
      </c>
      <c r="C4" s="9">
        <f>+HojaTICA!K5+HojaNICA!M5+HojaREVENTADO!K5+HojaPrimera!I5+HojaHonduras!K5+HojaDominicana!I5+HojaPANA!G5</f>
        <v>21500</v>
      </c>
      <c r="D4" s="9">
        <f>+HojaTICA!N5+HojaNICA!P5+HojaREVENTADO!O5+HojaPrimera!L5+HojaHonduras!N5+HojaDominicana!L5+HojaPANA!J5</f>
        <v>80750</v>
      </c>
      <c r="F4" s="14">
        <f t="shared" si="0"/>
        <v>63300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387100</v>
      </c>
      <c r="C7" s="9">
        <f>+HojaTICA!K8+HojaNICA!M8+HojaREVENTADO!K8+HojaPrimera!I8+HojaHonduras!K8+HojaDominicana!I8+HojaPANA!G8</f>
        <v>46450</v>
      </c>
      <c r="D7" s="9">
        <f>+HojaTICA!N8+HojaNICA!P8+HojaREVENTADO!O8+HojaPrimera!L8+HojaHonduras!N8+HojaDominicana!L8+HojaPANA!J8</f>
        <v>348500</v>
      </c>
      <c r="F7" s="14">
        <f t="shared" si="0"/>
        <v>-7850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1042450</v>
      </c>
      <c r="C9" s="9">
        <f>+HojaTICA!K10+HojaNICA!M10+HojaREVENTADO!K10+HojaPrimera!I10+HojaHonduras!K10+HojaDominicana!I10+HojaPANA!G10</f>
        <v>123825</v>
      </c>
      <c r="D9" s="9">
        <f>+HojaTICA!N10+HojaNICA!P10+HojaREVENTADO!O10+HojaPrimera!L10+HojaHonduras!N10+HojaDominicana!L10+HojaPANA!J10</f>
        <v>760750</v>
      </c>
      <c r="F9" s="14">
        <f t="shared" si="0"/>
        <v>157875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8700</v>
      </c>
      <c r="C10" s="9">
        <f>+HojaTICA!K11+HojaNICA!M11+HojaREVENTADO!K11+HojaPrimera!I11+HojaHonduras!K11+HojaDominicana!I11+HojaPANA!G11</f>
        <v>1050</v>
      </c>
      <c r="D10" s="9">
        <f>+HojaTICA!N11+HojaNICA!P11+HojaREVENTADO!O11+HojaPrimera!L11+HojaHonduras!N11+HojaDominicana!L11+HojaPANA!J11</f>
        <v>0</v>
      </c>
      <c r="F10" s="14">
        <f t="shared" si="0"/>
        <v>7650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88800</v>
      </c>
      <c r="C11" s="9">
        <f>+HojaTICA!K12+HojaNICA!M12+HojaREVENTADO!K12+HojaPrimera!I12+HojaHonduras!K12+HojaDominicana!I12+HojaPANA!G12</f>
        <v>10625</v>
      </c>
      <c r="D11" s="9">
        <f>+HojaTICA!N12+HojaNICA!P12+HojaREVENTADO!O12+HojaPrimera!L12+HojaHonduras!N12+HojaDominicana!L12+HojaPANA!J12</f>
        <v>55250</v>
      </c>
      <c r="F11" s="14">
        <f t="shared" si="0"/>
        <v>22925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185550</v>
      </c>
      <c r="C12" s="9">
        <f>+HojaTICA!K13+HojaNICA!M13+HojaREVENTADO!K13+HojaPrimera!I13+HojaHonduras!K13+HojaDominicana!I13+HojaPANA!G13</f>
        <v>22300</v>
      </c>
      <c r="D12" s="9">
        <f>+HojaTICA!N13+HojaNICA!P13+HojaREVENTADO!O13+HojaPrimera!L13+HojaHonduras!N13+HojaDominicana!L13+HojaPANA!J13</f>
        <v>294500</v>
      </c>
      <c r="F12" s="14">
        <f t="shared" si="0"/>
        <v>-131250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78850</v>
      </c>
      <c r="C13" s="9">
        <f>+HojaTICA!K14+HojaNICA!M14+HojaREVENTADO!K14+HojaPrimera!I14+HojaHonduras!K14+HojaDominicana!I14+HojaPANA!G14</f>
        <v>11850</v>
      </c>
      <c r="D13" s="9">
        <f>+HojaTICA!N14+HojaNICA!P14+HojaREVENTADO!O14+HojaPrimera!L14+HojaHonduras!N14+HojaDominicana!L14+HojaPANA!J14</f>
        <v>152000</v>
      </c>
      <c r="F13" s="14">
        <f t="shared" si="0"/>
        <v>-85000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53000</v>
      </c>
      <c r="C15" s="9">
        <f>+HojaTICA!K16+HojaNICA!M16+HojaREVENTADO!K16+HojaPrimera!I16+HojaHonduras!K16+HojaDominicana!I16+HojaPANA!G16</f>
        <v>6300</v>
      </c>
      <c r="D15" s="9">
        <f>+HojaTICA!N16+HojaNICA!P16+HojaREVENTADO!O16+HojaPrimera!L16+HojaHonduras!N16+HojaDominicana!L16+HojaPANA!J16</f>
        <v>103750</v>
      </c>
      <c r="F15" s="14">
        <f t="shared" si="0"/>
        <v>-57050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985750</v>
      </c>
      <c r="C16" s="9">
        <f>+HojaTICA!K17+HojaNICA!M17+HojaREVENTADO!K17+HojaPrimera!I17+HojaHonduras!K17+HojaDominicana!I17+HojaPANA!G17</f>
        <v>117270</v>
      </c>
      <c r="D16" s="9">
        <f>+HojaTICA!N17+HojaNICA!P17+HojaREVENTADO!O17+HojaPrimera!L17+HojaHonduras!N17+HojaDominicana!L17+HojaPANA!J17</f>
        <v>864500</v>
      </c>
      <c r="F16" s="14">
        <f t="shared" si="0"/>
        <v>3980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469400</v>
      </c>
      <c r="C17" s="9">
        <f>+HojaTICA!K18+HojaNICA!M18+HojaREVENTADO!K18+HojaPrimera!I18+HojaHonduras!K18+HojaDominicana!I18+HojaPANA!G18</f>
        <v>55210</v>
      </c>
      <c r="D17" s="9">
        <f>+HojaTICA!N18+HojaNICA!P18+HojaREVENTADO!O18+HojaPrimera!L18+HojaHonduras!N18+HojaDominicana!L18+HojaPANA!J18</f>
        <v>584500</v>
      </c>
      <c r="F17" s="14">
        <f t="shared" si="0"/>
        <v>-170310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-70850</v>
      </c>
      <c r="C26" s="9">
        <f>+HojaTICA!K27+HojaNICA!M27+HojaREVENTADO!K27+HojaPrimera!I27+HojaHonduras!K27+HojaDominicana!I27+HojaPANA!G27</f>
        <v>-8500</v>
      </c>
      <c r="D26" s="9">
        <f>+HojaTICA!N27+HojaNICA!P27+HojaREVENTADO!O27+HojaPrimera!L27+HojaHonduras!N27+HojaDominicana!L27+HojaPANA!J27</f>
        <v>-29750</v>
      </c>
      <c r="F26" s="14">
        <f t="shared" si="0"/>
        <v>-32600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3593050</v>
      </c>
      <c r="C28" s="17">
        <f t="shared" si="1"/>
        <v>433730</v>
      </c>
      <c r="D28" s="18">
        <f t="shared" si="1"/>
        <v>3517750</v>
      </c>
      <c r="F28" s="20">
        <f>SUM(F3:F27)</f>
        <v>-358430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39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87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 t="s">
        <v>159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63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63" t="s">
        <v>160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 t="s">
        <v>161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23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66</v>
      </c>
      <c r="C19" s="132">
        <v>95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20</v>
      </c>
      <c r="C20" s="163">
        <v>24</v>
      </c>
      <c r="D20" s="166">
        <v>42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39</v>
      </c>
      <c r="C21" s="164">
        <v>39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87</v>
      </c>
      <c r="D2" s="268"/>
      <c r="E2" s="267">
        <f>DigitaTICA!E2</f>
        <v>63</v>
      </c>
      <c r="F2" s="268"/>
      <c r="G2" s="267" t="str">
        <f>DigitaTICA!G2</f>
        <v>09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46400</v>
      </c>
      <c r="D4" s="30">
        <f>IF(Vendedor1!$E$7="",0,Vendedor1!$E$7)</f>
        <v>500</v>
      </c>
      <c r="E4" s="180">
        <f>IF(Vendedor1!$C$11="",0,Vendedor1!$C$11)</f>
        <v>40800</v>
      </c>
      <c r="F4" s="30">
        <f>IF(Vendedor1!$E$11="",0,Vendedor1!$E$11)</f>
        <v>0</v>
      </c>
      <c r="G4" s="180">
        <f>IF(Vendedor1!$C$15="",0,Vendedor1!$C$15)</f>
        <v>58600</v>
      </c>
      <c r="H4" s="30">
        <f>IF(Vendedor1!$E$15="",0,Vendedor1!$E$15)</f>
        <v>2500</v>
      </c>
      <c r="J4" s="42">
        <f t="shared" ref="J4:J7" si="0">+C4+E4+G4</f>
        <v>145800</v>
      </c>
      <c r="K4" s="41">
        <f>MROUND(J4*Vendedor1!J$9,50)</f>
        <v>18950</v>
      </c>
      <c r="L4" s="42">
        <f t="shared" ref="L4:L7" si="1">+D4+F4+H4</f>
        <v>3000</v>
      </c>
      <c r="M4" s="42">
        <f t="shared" ref="M4:M7" si="2">+L4*85</f>
        <v>255000</v>
      </c>
      <c r="N4" s="42">
        <f>Vendedor1!$F$7+Vendedor1!$F$11+Vendedor1!$F$15</f>
        <v>255000</v>
      </c>
      <c r="P4" s="42">
        <f t="shared" ref="P4:P7" si="3">+J4-K4-N4</f>
        <v>-128150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33550</v>
      </c>
      <c r="D5" s="30">
        <f>IF(Vendedor2!$E$7="",0,Vendedor2!$E$7)</f>
        <v>0</v>
      </c>
      <c r="E5" s="180">
        <f>IF(Vendedor2!$C$11="",0,Vendedor2!$C$11)</f>
        <v>33500</v>
      </c>
      <c r="F5" s="30">
        <f>IF(Vendedor2!$E$11="",0,Vendedor2!$E$11)</f>
        <v>0</v>
      </c>
      <c r="G5" s="180">
        <f>IF(Vendedor2!$C$15="",0,Vendedor2!$C$15)</f>
        <v>75300</v>
      </c>
      <c r="H5" s="30">
        <f>IF(Vendedor2!$E$15="",0,Vendedor2!$E$15)</f>
        <v>950</v>
      </c>
      <c r="J5" s="42">
        <f t="shared" si="0"/>
        <v>142350</v>
      </c>
      <c r="K5" s="41">
        <f>MROUND(J5*Vendedor2!J$9,50)</f>
        <v>18500</v>
      </c>
      <c r="L5" s="42">
        <f t="shared" si="1"/>
        <v>950</v>
      </c>
      <c r="M5" s="42">
        <f t="shared" si="2"/>
        <v>80750</v>
      </c>
      <c r="N5" s="42">
        <f>Vendedor2!$F$7+Vendedor2!$F$11+Vendedor2!$F$15</f>
        <v>80750</v>
      </c>
      <c r="P5" s="42">
        <f t="shared" si="3"/>
        <v>43100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64500</v>
      </c>
      <c r="D8" s="30">
        <f>IF(Vendedor5!$E$7="",0,Vendedor5!$E$7)</f>
        <v>1000</v>
      </c>
      <c r="E8" s="180">
        <f>IF(Vendedor5!$C$11="",0,Vendedor5!$C$11)</f>
        <v>40100</v>
      </c>
      <c r="F8" s="30">
        <f>IF(Vendedor5!$E$11="",0,Vendedor5!$E$11)</f>
        <v>0</v>
      </c>
      <c r="G8" s="180">
        <f>IF(Vendedor5!$C$15="",0,Vendedor5!$C$15)</f>
        <v>57900</v>
      </c>
      <c r="H8" s="30">
        <f>IF(Vendedor5!$E$15="",0,Vendedor5!$E$15)</f>
        <v>2300</v>
      </c>
      <c r="J8" s="42">
        <f t="shared" ref="J8" si="4">+C8+E8+G8</f>
        <v>162500</v>
      </c>
      <c r="K8" s="41">
        <f>MROUND(J8*Vendedor5!J$11,50)</f>
        <v>19500</v>
      </c>
      <c r="L8" s="42">
        <f t="shared" ref="L8" si="5">+D8+F8+H8</f>
        <v>3300</v>
      </c>
      <c r="M8" s="42">
        <f t="shared" ref="M8" si="6">+L8*85</f>
        <v>280500</v>
      </c>
      <c r="N8" s="42">
        <f>Vendedor5!$F$7+Vendedor5!$F$11+Vendedor5!$F$15</f>
        <v>280500</v>
      </c>
      <c r="P8" s="42">
        <f t="shared" ref="P8" si="7">+J8-K8-N8</f>
        <v>-137500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167200</v>
      </c>
      <c r="D10" s="30">
        <f>IF(Vendedor7!$E$7="",0,Vendedor7!$E$7)</f>
        <v>750</v>
      </c>
      <c r="E10" s="180">
        <f>IF(Vendedor7!$C$11="",0,Vendedor7!$C$11)</f>
        <v>111700</v>
      </c>
      <c r="F10" s="30">
        <f>IF(Vendedor7!$E$11="",0,Vendedor7!$E$11)</f>
        <v>0</v>
      </c>
      <c r="G10" s="180">
        <f>IF(Vendedor7!$C$15="",0,Vendedor7!$C$15)</f>
        <v>128150</v>
      </c>
      <c r="H10" s="30">
        <f>IF(Vendedor7!$E$15="",0,Vendedor7!$E$15)</f>
        <v>3950</v>
      </c>
      <c r="J10" s="42">
        <f t="shared" si="8"/>
        <v>407050</v>
      </c>
      <c r="K10" s="41">
        <f>MROUND(J10*Vendedor7!J$14,50)</f>
        <v>48850</v>
      </c>
      <c r="L10" s="42">
        <f t="shared" si="9"/>
        <v>4700</v>
      </c>
      <c r="M10" s="42">
        <f t="shared" si="10"/>
        <v>399500</v>
      </c>
      <c r="N10" s="42">
        <f>Vendedor7!$F$7+Vendedor7!$F$11+Vendedor7!$F$15</f>
        <v>399500</v>
      </c>
      <c r="P10" s="42">
        <f t="shared" si="11"/>
        <v>-41300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3500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5200</v>
      </c>
      <c r="H11" s="30">
        <f>IF(Vendedor8!$E$15="",0,Vendedor8!$E$15)</f>
        <v>0</v>
      </c>
      <c r="J11" s="42">
        <f t="shared" si="8"/>
        <v>8700</v>
      </c>
      <c r="K11" s="41">
        <f>MROUND(J11*Vendedor8!J$11,50)</f>
        <v>1050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7650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21200</v>
      </c>
      <c r="D12" s="30">
        <f>IF(Vendedor9!$E$7="",0,Vendedor9!$E$7)</f>
        <v>0</v>
      </c>
      <c r="E12" s="180">
        <f>IF(Vendedor9!$C$11="",0,Vendedor9!$C$11)</f>
        <v>6000</v>
      </c>
      <c r="F12" s="30">
        <f>IF(Vendedor9!$E$11="",0,Vendedor9!$E$11)</f>
        <v>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27200</v>
      </c>
      <c r="K12" s="41">
        <f>MROUND(J12*Vendedor9!J$11,50)</f>
        <v>3250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23950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26950</v>
      </c>
      <c r="D13" s="30">
        <f>IF(Vendedor10!$E$7="",0,Vendedor10!$E$7)</f>
        <v>0</v>
      </c>
      <c r="E13" s="180">
        <f>IF(Vendedor10!$C$11="",0,Vendedor10!$C$11)</f>
        <v>48850</v>
      </c>
      <c r="F13" s="30">
        <f>IF(Vendedor10!$E$11="",0,Vendedor10!$E$11)</f>
        <v>700</v>
      </c>
      <c r="G13" s="180">
        <f>IF(Vendedor10!$C$15="",0,Vendedor10!$C$15)</f>
        <v>59500</v>
      </c>
      <c r="H13" s="30">
        <f>IF(Vendedor10!$E$15="",0,Vendedor10!$E$15)</f>
        <v>2200</v>
      </c>
      <c r="J13" s="42">
        <f t="shared" si="8"/>
        <v>135300</v>
      </c>
      <c r="K13" s="41">
        <f>MROUND(J13*Vendedor10!J$9,50)</f>
        <v>16250</v>
      </c>
      <c r="L13" s="42">
        <f t="shared" si="9"/>
        <v>2900</v>
      </c>
      <c r="M13" s="42">
        <f t="shared" si="10"/>
        <v>246500</v>
      </c>
      <c r="N13" s="42">
        <f>Vendedor10!$F$7+Vendedor10!$F$11+Vendedor10!$F$15</f>
        <v>246500</v>
      </c>
      <c r="P13" s="42">
        <f t="shared" si="11"/>
        <v>-127450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29400</v>
      </c>
      <c r="D14" s="30">
        <f>IF(Vendedor11!$E$7="",0,Vendedor11!$E$7)</f>
        <v>0</v>
      </c>
      <c r="E14" s="180">
        <f>IF(Vendedor11!$C$11="",0,Vendedor11!$C$11)</f>
        <v>19450</v>
      </c>
      <c r="F14" s="30">
        <f>IF(Vendedor11!$E$11="",0,Vendedor11!$E$11)</f>
        <v>300</v>
      </c>
      <c r="G14" s="180">
        <f>IF(Vendedor11!$C$15="",0,Vendedor11!$C$15)</f>
        <v>30000</v>
      </c>
      <c r="H14" s="30">
        <f>IF(Vendedor11!$E$15="",0,Vendedor11!$E$15)</f>
        <v>1600</v>
      </c>
      <c r="J14" s="42">
        <f t="shared" si="8"/>
        <v>78850</v>
      </c>
      <c r="K14" s="41">
        <f>MROUND(J14*Vendedor11!J$9,50)</f>
        <v>11850</v>
      </c>
      <c r="L14" s="42">
        <f t="shared" si="9"/>
        <v>1900</v>
      </c>
      <c r="M14" s="42">
        <f t="shared" si="10"/>
        <v>161500</v>
      </c>
      <c r="N14" s="42">
        <f>Vendedor11!$F$7+Vendedor11!$F$11+Vendedor11!$F$15</f>
        <v>152000</v>
      </c>
      <c r="P14" s="42">
        <f t="shared" si="11"/>
        <v>-85000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9600</v>
      </c>
      <c r="D16" s="30">
        <f>IF(Vendedor13!$E$7="",0,Vendedor13!$E$7)</f>
        <v>0</v>
      </c>
      <c r="E16" s="180">
        <f>IF(Vendedor13!$C$11="",0,Vendedor13!$C$11)</f>
        <v>0</v>
      </c>
      <c r="F16" s="30">
        <f>IF(Vendedor13!$E$11="",0,Vendedor13!$E$11)</f>
        <v>0</v>
      </c>
      <c r="G16" s="180">
        <f>IF(Vendedor13!$C$15="",0,Vendedor13!$C$15)</f>
        <v>35300</v>
      </c>
      <c r="H16" s="30">
        <f>IF(Vendedor13!$E$15="",0,Vendedor13!$E$15)</f>
        <v>750</v>
      </c>
      <c r="J16" s="42">
        <f t="shared" si="8"/>
        <v>44900</v>
      </c>
      <c r="K16" s="41">
        <f>MROUND(J16*Vendedor13!J$11,50)</f>
        <v>5400</v>
      </c>
      <c r="L16" s="42">
        <f t="shared" si="9"/>
        <v>750</v>
      </c>
      <c r="M16" s="42">
        <f t="shared" si="10"/>
        <v>63750</v>
      </c>
      <c r="N16" s="42">
        <f>Vendedor13!$F$7+Vendedor13!$F$11+Vendedor13!$F$15</f>
        <v>63750</v>
      </c>
      <c r="P16" s="42">
        <f t="shared" si="11"/>
        <v>-24250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137800</v>
      </c>
      <c r="D17" s="30">
        <f>IF(Vendedor14!$E$7="",0,Vendedor14!$E$7)</f>
        <v>1100</v>
      </c>
      <c r="E17" s="180">
        <f>IF(Vendedor14!$C$11="",0,Vendedor14!$C$11)</f>
        <v>81350</v>
      </c>
      <c r="F17" s="30">
        <f>IF(Vendedor14!$E$11="",0,Vendedor14!$E$11)</f>
        <v>100</v>
      </c>
      <c r="G17" s="180">
        <f>IF(Vendedor14!$C$15="",0,Vendedor14!$C$15)</f>
        <v>193650</v>
      </c>
      <c r="H17" s="30">
        <f>IF(Vendedor14!$E$15="",0,Vendedor14!$E$15)</f>
        <v>4900</v>
      </c>
      <c r="J17" s="42">
        <f t="shared" si="8"/>
        <v>412800</v>
      </c>
      <c r="K17" s="41">
        <f>MROUND(J17*Vendedor14!J$15,50)</f>
        <v>49550</v>
      </c>
      <c r="L17" s="42">
        <f t="shared" si="9"/>
        <v>6100</v>
      </c>
      <c r="M17" s="42">
        <f t="shared" si="10"/>
        <v>518500</v>
      </c>
      <c r="N17" s="42">
        <f>Vendedor14!$F$7+Vendedor14!$F$11+Vendedor14!$F$15</f>
        <v>518500</v>
      </c>
      <c r="P17" s="42">
        <f t="shared" si="11"/>
        <v>-155250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38250</v>
      </c>
      <c r="D18" s="30">
        <f>IF(Vendedor15!$E$7="",0,Vendedor15!$E$7)</f>
        <v>0</v>
      </c>
      <c r="E18" s="180">
        <f>IF(Vendedor15!$C$11="",0,Vendedor15!$C$11)</f>
        <v>45750</v>
      </c>
      <c r="F18" s="30">
        <f>IF(Vendedor15!$E$11="",0,Vendedor15!$E$11)</f>
        <v>0</v>
      </c>
      <c r="G18" s="180">
        <f>IF(Vendedor15!$C$15="",0,Vendedor15!$C$15)</f>
        <v>65150</v>
      </c>
      <c r="H18" s="30">
        <f>IF(Vendedor15!$E$15="",0,Vendedor15!$E$15)</f>
        <v>1700</v>
      </c>
      <c r="J18" s="42">
        <f t="shared" ref="J18" si="12">+C18+E18+G18</f>
        <v>149150</v>
      </c>
      <c r="K18" s="41">
        <f>MROUND(J18*Vendedor15!J$15,50)</f>
        <v>17900</v>
      </c>
      <c r="L18" s="42">
        <f t="shared" ref="L18" si="13">+D18+F18+H18</f>
        <v>1700</v>
      </c>
      <c r="M18" s="42">
        <f t="shared" ref="M18" si="14">+L18*85</f>
        <v>144500</v>
      </c>
      <c r="N18" s="42">
        <f>Vendedor15!$F$7+Vendedor15!$F$11+Vendedor15!$F$15</f>
        <v>144500</v>
      </c>
      <c r="P18" s="42">
        <f t="shared" ref="P18" si="15">+J18-K18-N18</f>
        <v>-13250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578350</v>
      </c>
      <c r="D32" s="44">
        <f t="shared" si="16"/>
        <v>3350</v>
      </c>
      <c r="E32" s="43">
        <f t="shared" si="16"/>
        <v>427500</v>
      </c>
      <c r="F32" s="44">
        <f t="shared" si="16"/>
        <v>1100</v>
      </c>
      <c r="G32" s="43">
        <f t="shared" si="16"/>
        <v>708750</v>
      </c>
      <c r="H32" s="44">
        <f t="shared" si="16"/>
        <v>20850</v>
      </c>
      <c r="J32" s="95">
        <f>SUM(J4:J31)</f>
        <v>1714600</v>
      </c>
      <c r="K32" s="45">
        <f>SUM(K7:K31)</f>
        <v>173600</v>
      </c>
      <c r="L32" s="95">
        <f>SUM(L4:L31)</f>
        <v>25300</v>
      </c>
      <c r="M32" s="95">
        <f>SUM(M4:M31)</f>
        <v>2150500</v>
      </c>
      <c r="N32" s="95">
        <f>SUM(N4:N31)</f>
        <v>2141000</v>
      </c>
      <c r="P32" s="79">
        <f>SUM(P4:P31)</f>
        <v>-637450</v>
      </c>
    </row>
    <row r="33" spans="3:13" x14ac:dyDescent="0.35">
      <c r="D33" s="99">
        <f>+D32*85</f>
        <v>284750</v>
      </c>
      <c r="F33" s="99">
        <f>+F32*85</f>
        <v>93500</v>
      </c>
      <c r="H33" s="99">
        <f>+H32*85</f>
        <v>1772250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1714600</v>
      </c>
      <c r="E36" s="43">
        <f>+D36-J4-J5-J6</f>
        <v>1426450</v>
      </c>
      <c r="G36" s="101"/>
    </row>
    <row r="37" spans="3:13" x14ac:dyDescent="0.35">
      <c r="C37" s="47" t="s">
        <v>33</v>
      </c>
      <c r="D37" s="48">
        <f>D36*13%</f>
        <v>222898</v>
      </c>
      <c r="E37">
        <f>+D37-K4-K5-K6</f>
        <v>185448</v>
      </c>
      <c r="G37" s="100"/>
      <c r="H37" s="100"/>
    </row>
    <row r="38" spans="3:13" ht="15" thickBot="1" x14ac:dyDescent="0.4">
      <c r="C38" s="47" t="s">
        <v>30</v>
      </c>
      <c r="D38" s="30">
        <f>M32</f>
        <v>2150500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-658798</v>
      </c>
      <c r="F39" s="98">
        <f>+P32-D39</f>
        <v>21348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-658798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39</v>
      </c>
      <c r="D2" s="268"/>
      <c r="E2" s="267" t="str">
        <f>DigitaNICA!E2</f>
        <v>06</v>
      </c>
      <c r="F2" s="268"/>
      <c r="G2" s="267" t="str">
        <f>DigitaNICA!G2</f>
        <v>02</v>
      </c>
      <c r="H2" s="268"/>
      <c r="I2" s="267">
        <f>DigitaNICA!I2</f>
        <v>23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21300</v>
      </c>
      <c r="D4" s="78">
        <f>IF(Vendedor1!$E$5="",0,Vendedor1!$E$5)</f>
        <v>100</v>
      </c>
      <c r="E4" s="189">
        <f>IF(Vendedor1!$C$9="",0,Vendedor1!$C$9)</f>
        <v>12800</v>
      </c>
      <c r="F4" s="78">
        <f>IF(Vendedor1!$E$9="",0,Vendedor1!$E$9)</f>
        <v>150</v>
      </c>
      <c r="G4" s="189">
        <f>IF(Vendedor1!$C$13="",0,Vendedor1!$C$13)</f>
        <v>5100</v>
      </c>
      <c r="H4" s="78">
        <f>IF(Vendedor1!$E$13="",0,Vendedor1!$E$13)</f>
        <v>250</v>
      </c>
      <c r="I4" s="189">
        <f>IF(Vendedor1!$C$17="",0,Vendedor1!$C$17)</f>
        <v>3150</v>
      </c>
      <c r="J4" s="78">
        <f>IF(Vendedor1!$E$17="",0,Vendedor1!$E$17)</f>
        <v>0</v>
      </c>
      <c r="L4" s="42">
        <f t="shared" ref="L4:L7" si="0">C4+E4+G4+I4</f>
        <v>42350</v>
      </c>
      <c r="M4" s="41">
        <f>MROUND(L4*Vendedor1!J$10,50)</f>
        <v>5500</v>
      </c>
      <c r="N4" s="42">
        <f t="shared" ref="N4:N7" si="1">D4+F4+H4+J4</f>
        <v>500</v>
      </c>
      <c r="O4" s="41">
        <f>IFERROR(N4*85,0)</f>
        <v>42500</v>
      </c>
      <c r="P4" s="42">
        <f>Vendedor1!$F$5+Vendedor1!$F$9+Vendedor1!$F$13+Vendedor1!$F$17</f>
        <v>40000</v>
      </c>
      <c r="R4" s="41">
        <f t="shared" ref="R4:R7" si="2">+L4-M4-O4</f>
        <v>-5650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10000</v>
      </c>
      <c r="D5" s="30">
        <f>IF(Vendedor2!$E$5="",0,Vendedor2!$E$5)</f>
        <v>0</v>
      </c>
      <c r="E5" s="180">
        <f>IF(Vendedor2!$C$9="",0,Vendedor2!$C$9)</f>
        <v>3500</v>
      </c>
      <c r="F5" s="30">
        <f>IF(Vendedor2!$E$9="",0,Vendedor2!$E$9)</f>
        <v>0</v>
      </c>
      <c r="G5" s="180">
        <f>IF(Vendedor2!$C$13="",0,Vendedor2!$C$13)</f>
        <v>2000</v>
      </c>
      <c r="H5" s="30">
        <f>IF(Vendedor2!$E$13="",0,Vendedor2!$E$13)</f>
        <v>0</v>
      </c>
      <c r="I5" s="180">
        <f>IF(Vendedor2!$C$17="",0,Vendedor2!$C$17)</f>
        <v>350</v>
      </c>
      <c r="J5" s="30">
        <f>IF(Vendedor2!$E$17="",0,Vendedor2!$E$17)</f>
        <v>0</v>
      </c>
      <c r="L5" s="42">
        <f t="shared" si="0"/>
        <v>15850</v>
      </c>
      <c r="M5" s="41">
        <f>MROUND(L5*Vendedor2!J$10,50)</f>
        <v>2050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13800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94950</v>
      </c>
      <c r="D8" s="30">
        <f>IF(Vendedor5!$E$5="",0,Vendedor5!$E$5)</f>
        <v>0</v>
      </c>
      <c r="E8" s="180">
        <f>IF(Vendedor5!$C$9="",0,Vendedor5!$C$9)</f>
        <v>49000</v>
      </c>
      <c r="F8" s="30">
        <f>IF(Vendedor5!$E$9="",0,Vendedor5!$E$9)</f>
        <v>750</v>
      </c>
      <c r="G8" s="180">
        <f>IF(Vendedor5!$C$13="",0,Vendedor5!$C$13)</f>
        <v>12500</v>
      </c>
      <c r="H8" s="30">
        <f>IF(Vendedor5!$E$13="",0,Vendedor5!$E$13)</f>
        <v>100</v>
      </c>
      <c r="I8" s="180">
        <f>IF(Vendedor5!$C$17="",0,Vendedor5!$C$17)</f>
        <v>50950</v>
      </c>
      <c r="J8" s="30">
        <f>IF(Vendedor5!$E$17="",0,Vendedor5!$E$17)</f>
        <v>0</v>
      </c>
      <c r="L8" s="42">
        <f t="shared" ref="L8" si="4">C8+E8+G8+I8</f>
        <v>207400</v>
      </c>
      <c r="M8" s="41">
        <f>MROUND(L8*Vendedor5!J$12,50)</f>
        <v>24900</v>
      </c>
      <c r="N8" s="42">
        <f t="shared" ref="N8" si="5">D8+F8+H8+J8</f>
        <v>850</v>
      </c>
      <c r="O8" s="41">
        <f t="shared" si="3"/>
        <v>72250</v>
      </c>
      <c r="P8" s="42">
        <f>Vendedor5!$F$5+Vendedor5!$F$9+Vendedor5!$F$13+Vendedor5!$F$17</f>
        <v>68000</v>
      </c>
      <c r="Q8">
        <v>17</v>
      </c>
      <c r="R8" s="41">
        <f t="shared" ref="R8" si="6">+L8-M8-O8</f>
        <v>110250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100300</v>
      </c>
      <c r="D10" s="30">
        <f>IF(Vendedor7!$E$5="",0,Vendedor7!$E$5)</f>
        <v>0</v>
      </c>
      <c r="E10" s="180">
        <f>IF(Vendedor7!$C$9="",0,Vendedor7!$C$9)</f>
        <v>64550</v>
      </c>
      <c r="F10" s="30">
        <f>IF(Vendedor7!$E$9="",0,Vendedor7!$E$9)</f>
        <v>400</v>
      </c>
      <c r="G10" s="180">
        <f>IF(Vendedor7!$C$13="",0,Vendedor7!$C$13)</f>
        <v>71350</v>
      </c>
      <c r="H10" s="30">
        <f>IF(Vendedor7!$E$13="",0,Vendedor7!$E$13)</f>
        <v>0</v>
      </c>
      <c r="I10" s="180">
        <f>IF(Vendedor7!$C$17="",0,Vendedor7!$C$17)</f>
        <v>96850</v>
      </c>
      <c r="J10" s="30">
        <f>IF(Vendedor7!$E$17="",0,Vendedor7!$E$17)</f>
        <v>250</v>
      </c>
      <c r="L10" s="42">
        <f t="shared" si="7"/>
        <v>333050</v>
      </c>
      <c r="M10" s="41">
        <f>MROUND(L10*Vendedor7!J$15,50)</f>
        <v>39950</v>
      </c>
      <c r="N10" s="42">
        <f t="shared" ref="N10:N27" si="9">D10+F10+H10+J10</f>
        <v>650</v>
      </c>
      <c r="O10" s="41">
        <f t="shared" si="3"/>
        <v>55250</v>
      </c>
      <c r="P10" s="42">
        <f>Vendedor7!$F$5+Vendedor7!$F$9+Vendedor7!$F$13+Vendedor7!$F$17</f>
        <v>55250</v>
      </c>
      <c r="R10" s="41">
        <f t="shared" si="8"/>
        <v>237850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29200</v>
      </c>
      <c r="D12" s="30">
        <f>IF(Vendedor9!$E$5="",0,Vendedor9!$E$5)</f>
        <v>0</v>
      </c>
      <c r="E12" s="180">
        <f>IF(Vendedor9!$C$9="",0,Vendedor9!$C$9)</f>
        <v>12750</v>
      </c>
      <c r="F12" s="30">
        <f>IF(Vendedor9!$E$9="",0,Vendedor9!$E$9)</f>
        <v>400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41950</v>
      </c>
      <c r="M12" s="41">
        <f>MROUND(L12*Vendedor9!J$12,50)</f>
        <v>5050</v>
      </c>
      <c r="N12" s="42">
        <f t="shared" si="9"/>
        <v>400</v>
      </c>
      <c r="O12" s="41">
        <f t="shared" si="3"/>
        <v>34000</v>
      </c>
      <c r="P12" s="42">
        <f>Vendedor9!$F$5+Vendedor9!$F$9+Vendedor9!$F$13+Vendedor9!$F$17</f>
        <v>34000</v>
      </c>
      <c r="R12" s="41">
        <f t="shared" si="8"/>
        <v>2900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0</v>
      </c>
      <c r="D13" s="30">
        <f>IF(Vendedor10!$E$5="",0,Vendedor10!$E$5)</f>
        <v>0</v>
      </c>
      <c r="E13" s="180">
        <f>IF(Vendedor10!$C$9="",0,Vendedor10!$C$9)</f>
        <v>25500</v>
      </c>
      <c r="F13" s="30">
        <f>IF(Vendedor10!$E$9="",0,Vendedor10!$E$9)</f>
        <v>600</v>
      </c>
      <c r="G13" s="180">
        <f>IF(Vendedor10!$C$13="",0,Vendedor10!$C$13)</f>
        <v>22050</v>
      </c>
      <c r="H13" s="30">
        <f>IF(Vendedor10!$E$13="",0,Vendedor10!$E$13)</f>
        <v>0</v>
      </c>
      <c r="I13" s="180">
        <f>IF(Vendedor10!$C$17="",0,Vendedor10!$C$17)</f>
        <v>2700</v>
      </c>
      <c r="J13" s="30">
        <f>IF(Vendedor10!$E$17="",0,Vendedor10!$E$17)</f>
        <v>0</v>
      </c>
      <c r="L13" s="42">
        <f t="shared" si="7"/>
        <v>50250</v>
      </c>
      <c r="M13" s="41">
        <f>MROUND(L13*Vendedor10!J$10,50)</f>
        <v>6050</v>
      </c>
      <c r="N13" s="42">
        <f t="shared" si="9"/>
        <v>600</v>
      </c>
      <c r="O13" s="41">
        <f t="shared" si="3"/>
        <v>51000</v>
      </c>
      <c r="P13" s="42">
        <f>Vendedor10!$F$5+Vendedor10!$F$9+Vendedor10!$F$13+Vendedor10!$F$17</f>
        <v>48000</v>
      </c>
      <c r="R13" s="41">
        <f t="shared" si="8"/>
        <v>-6800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2600</v>
      </c>
      <c r="D16" s="30">
        <f>IF(Vendedor13!$E$5="",0,Vendedor13!$E$5)</f>
        <v>0</v>
      </c>
      <c r="E16" s="180">
        <f>IF(Vendedor13!$C$9="",0,Vendedor13!$C$9)</f>
        <v>3000</v>
      </c>
      <c r="F16" s="30">
        <f>IF(Vendedor13!$E$9="",0,Vendedor13!$E$9)</f>
        <v>500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0</v>
      </c>
      <c r="J16" s="30">
        <f>IF(Vendedor13!$E$17="",0,Vendedor13!$E$17)</f>
        <v>0</v>
      </c>
      <c r="L16" s="42">
        <f t="shared" si="7"/>
        <v>5600</v>
      </c>
      <c r="M16" s="41">
        <f>MROUND(L16*Vendedor13!J$12,50)</f>
        <v>650</v>
      </c>
      <c r="N16" s="42">
        <f t="shared" si="9"/>
        <v>500</v>
      </c>
      <c r="O16" s="41">
        <f t="shared" si="3"/>
        <v>42500</v>
      </c>
      <c r="P16" s="42">
        <f>Vendedor13!$F$5+Vendedor13!$F$9+Vendedor13!$F$13+Vendedor13!$F$17</f>
        <v>40000</v>
      </c>
      <c r="R16" s="41">
        <f t="shared" si="8"/>
        <v>-37550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97350</v>
      </c>
      <c r="D17" s="30">
        <f>IF(Vendedor14!$E$5="",0,Vendedor14!$E$5)</f>
        <v>0</v>
      </c>
      <c r="E17" s="180">
        <f>IF(Vendedor14!$C$9="",0,Vendedor14!$C$9)</f>
        <v>72100</v>
      </c>
      <c r="F17" s="30">
        <f>IF(Vendedor14!$E$9="",0,Vendedor14!$E$9)</f>
        <v>250</v>
      </c>
      <c r="G17" s="180">
        <f>IF(Vendedor14!$C$13="",0,Vendedor14!$C$13)</f>
        <v>51850</v>
      </c>
      <c r="H17" s="30">
        <f>IF(Vendedor14!$E$13="",0,Vendedor14!$E$13)</f>
        <v>700</v>
      </c>
      <c r="I17" s="180">
        <f>IF(Vendedor14!$C$17="",0,Vendedor14!$C$17)</f>
        <v>151700</v>
      </c>
      <c r="J17" s="30">
        <f>IF(Vendedor14!$E$17="",0,Vendedor14!$E$17)</f>
        <v>100</v>
      </c>
      <c r="L17" s="42">
        <f>C17+E17+G17+I17</f>
        <v>373000</v>
      </c>
      <c r="M17" s="41">
        <f>MROUND(L17*Vendedor14!J$16,50)</f>
        <v>44750</v>
      </c>
      <c r="N17" s="42">
        <f t="shared" si="9"/>
        <v>1050</v>
      </c>
      <c r="O17" s="41">
        <f t="shared" si="3"/>
        <v>89250</v>
      </c>
      <c r="P17" s="42">
        <f>Vendedor14!$F$5+Vendedor14!$F$9+Vendedor14!$F$13+Vendedor14!$F$17</f>
        <v>89250</v>
      </c>
      <c r="R17" s="41">
        <f t="shared" si="8"/>
        <v>239000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44800</v>
      </c>
      <c r="D18" s="30">
        <f>IF(Vendedor15!$E$5="",0,Vendedor15!$E$5)</f>
        <v>0</v>
      </c>
      <c r="E18" s="180">
        <f>IF(Vendedor15!$C$9="",0,Vendedor15!$C$9)</f>
        <v>43000</v>
      </c>
      <c r="F18" s="30">
        <f>IF(Vendedor15!$E$9="",0,Vendedor15!$E$9)</f>
        <v>700</v>
      </c>
      <c r="G18" s="180">
        <f>IF(Vendedor15!$C$13="",0,Vendedor15!$C$13)</f>
        <v>30700</v>
      </c>
      <c r="H18" s="30">
        <f>IF(Vendedor15!$E$13="",0,Vendedor15!$E$13)</f>
        <v>400</v>
      </c>
      <c r="I18" s="180">
        <f>IF(Vendedor15!$C$17="",0,Vendedor15!$C$17)</f>
        <v>32600</v>
      </c>
      <c r="J18" s="30">
        <f>IF(Vendedor15!$E$17="",0,Vendedor15!$E$17)</f>
        <v>0</v>
      </c>
      <c r="L18" s="42">
        <f t="shared" ref="L18:L27" si="10">C18+E18+G18+I18</f>
        <v>151100</v>
      </c>
      <c r="M18" s="41">
        <f>MROUND(L18*Vendedor15!J$16,50)</f>
        <v>18150</v>
      </c>
      <c r="N18" s="42">
        <f t="shared" si="9"/>
        <v>1100</v>
      </c>
      <c r="O18" s="41">
        <f t="shared" si="3"/>
        <v>93500</v>
      </c>
      <c r="P18" s="42">
        <f>Vendedor15!$F$5+Vendedor15!$F$9+Vendedor15!$F$13+Vendedor15!$F$17</f>
        <v>93500</v>
      </c>
      <c r="R18" s="41">
        <f t="shared" si="8"/>
        <v>39450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-29200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-41650</v>
      </c>
      <c r="H27" s="50">
        <f>IF(Vendedor24!$E$13="",0,Vendedor24!$E$13)</f>
        <v>-350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-70850</v>
      </c>
      <c r="M27" s="41">
        <f>IF((L27*Vendedor24!J$10)&lt;0,MROUND(L27*Vendedor24!J$10,-50),MROUND(L27*Vendedor24!J$10,50))</f>
        <v>-8500</v>
      </c>
      <c r="N27" s="42">
        <f t="shared" si="9"/>
        <v>-350</v>
      </c>
      <c r="O27" s="41">
        <f t="shared" si="3"/>
        <v>-29750</v>
      </c>
      <c r="P27" s="42">
        <f>Vendedor24!$F$5+Vendedor24!$F$9+Vendedor24!$F$13+Vendedor24!$F$17</f>
        <v>-29750</v>
      </c>
      <c r="R27" s="41">
        <f t="shared" si="8"/>
        <v>-32600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371300</v>
      </c>
      <c r="D32" s="44">
        <f t="shared" si="14"/>
        <v>100</v>
      </c>
      <c r="E32" s="43">
        <f t="shared" si="14"/>
        <v>286200</v>
      </c>
      <c r="F32" s="44">
        <f t="shared" si="14"/>
        <v>3750</v>
      </c>
      <c r="G32" s="43">
        <f t="shared" si="14"/>
        <v>153900</v>
      </c>
      <c r="H32" s="44">
        <f t="shared" si="14"/>
        <v>1100</v>
      </c>
      <c r="I32" s="43">
        <f t="shared" si="14"/>
        <v>338300</v>
      </c>
      <c r="J32" s="44">
        <f t="shared" si="14"/>
        <v>350</v>
      </c>
      <c r="L32" s="45">
        <f>SUM(L4:L31)</f>
        <v>1149700</v>
      </c>
      <c r="M32" s="45">
        <f>SUM(M7:M31)</f>
        <v>131000</v>
      </c>
      <c r="N32" s="95">
        <f>SUM(N4:N31)</f>
        <v>5300</v>
      </c>
      <c r="O32" s="46">
        <f>SUM(O4:O31)</f>
        <v>450500</v>
      </c>
      <c r="P32" s="140">
        <f>SUM(P4:P31)</f>
        <v>438250</v>
      </c>
      <c r="R32" s="79">
        <f>SUM(R4:R31)</f>
        <v>560650</v>
      </c>
    </row>
    <row r="33" spans="3:15" x14ac:dyDescent="0.35">
      <c r="D33" s="120">
        <f>+D32*85</f>
        <v>8500</v>
      </c>
      <c r="F33" s="120">
        <f>+F32*85</f>
        <v>318750</v>
      </c>
      <c r="H33" s="120">
        <f>+H32*85</f>
        <v>93500</v>
      </c>
      <c r="J33" s="120">
        <f>+J32*85</f>
        <v>29750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1149700</v>
      </c>
      <c r="E36" s="43">
        <f>+D36-L4-L5-L6</f>
        <v>1091500</v>
      </c>
    </row>
    <row r="37" spans="3:15" x14ac:dyDescent="0.35">
      <c r="C37" s="47" t="s">
        <v>33</v>
      </c>
      <c r="D37" s="48">
        <f>D36*13%</f>
        <v>149461</v>
      </c>
      <c r="E37">
        <f>+D37-M4-M5-M6</f>
        <v>141911</v>
      </c>
    </row>
    <row r="38" spans="3:15" x14ac:dyDescent="0.35">
      <c r="C38" s="47" t="s">
        <v>30</v>
      </c>
      <c r="D38" s="30">
        <f>SUM(O4:O27)</f>
        <v>450500</v>
      </c>
      <c r="G38" s="100"/>
    </row>
    <row r="39" spans="3:15" ht="15" thickBot="1" x14ac:dyDescent="0.4">
      <c r="C39" s="49" t="s">
        <v>4</v>
      </c>
      <c r="D39" s="80">
        <f>+D36-D37-D38</f>
        <v>549739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549739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87 Blanca</v>
      </c>
      <c r="D2" s="268"/>
      <c r="E2" s="267" t="str">
        <f>IF(E33=0,"",CONCATENATE(PREMIOS!$B11," ",PREMIOS!$B12))</f>
        <v>63 Roja</v>
      </c>
      <c r="F2" s="268"/>
      <c r="G2" s="267" t="str">
        <f>IF(G33=0,"",CONCATENATE(PREMIOS!$B15," ",PREMIOS!$B16))</f>
        <v>09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21450</v>
      </c>
      <c r="D10" s="30">
        <f>IF(Vendedor7!$E$8="",0,Vendedor7!$E$8)</f>
        <v>750</v>
      </c>
      <c r="E10" s="180">
        <f>IF(Vendedor7!$C$12="",0,Vendedor7!$C$12)</f>
        <v>22450</v>
      </c>
      <c r="F10" s="30">
        <f>IF(Vendedor7!$E$12="",0,Vendedor7!$E$12)</f>
        <v>0</v>
      </c>
      <c r="G10" s="180">
        <f>IF(Vendedor7!$C$16="",0,Vendedor7!$C$16)</f>
        <v>21350</v>
      </c>
      <c r="H10" s="30">
        <f>IF(Vendedor7!$E$16="",0,Vendedor7!$E$16)</f>
        <v>0</v>
      </c>
      <c r="J10" s="42">
        <f t="shared" si="1"/>
        <v>65250</v>
      </c>
      <c r="K10" s="41">
        <f>J10*Vendedor7!J$16</f>
        <v>6525</v>
      </c>
      <c r="L10" s="42">
        <f t="shared" si="2"/>
        <v>0</v>
      </c>
      <c r="M10" s="42">
        <f t="shared" si="3"/>
        <v>750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58725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1800</v>
      </c>
      <c r="D12" s="30">
        <f>IF(Vendedor9!$E$8="",0,Vendedor9!$E$8)</f>
        <v>0</v>
      </c>
      <c r="E12" s="180">
        <f>IF(Vendedor9!$C$12="",0,Vendedor9!$C$12)</f>
        <v>950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2750</v>
      </c>
      <c r="K12" s="41">
        <f>J12*Vendedor9!J$13</f>
        <v>275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2475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2500</v>
      </c>
      <c r="H16" s="30">
        <f>IF(Vendedor13!$E$16="",0,Vendedor13!$E$16)</f>
        <v>0</v>
      </c>
      <c r="J16" s="42">
        <f t="shared" si="1"/>
        <v>2500</v>
      </c>
      <c r="K16" s="41">
        <f>J16*Vendedor13!J$13</f>
        <v>250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2250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26650</v>
      </c>
      <c r="D17" s="30">
        <f>IF(Vendedor14!$E$8="",0,Vendedor14!$E$8)</f>
        <v>0</v>
      </c>
      <c r="E17" s="180">
        <f>IF(Vendedor14!$C$12="",0,Vendedor14!$C$12)</f>
        <v>9300</v>
      </c>
      <c r="F17" s="30">
        <f>IF(Vendedor14!$E$12="",0,Vendedor14!$E$12)</f>
        <v>0</v>
      </c>
      <c r="G17" s="180">
        <f>IF(Vendedor14!$C$16="",0,Vendedor14!$C$16)</f>
        <v>15250</v>
      </c>
      <c r="H17" s="30">
        <f>IF(Vendedor14!$E$16="",0,Vendedor14!$E$16)</f>
        <v>1050</v>
      </c>
      <c r="J17" s="42">
        <f t="shared" si="1"/>
        <v>51200</v>
      </c>
      <c r="K17" s="41">
        <f>J17*Vendedor14!J$17</f>
        <v>5120</v>
      </c>
      <c r="L17" s="42">
        <f t="shared" si="2"/>
        <v>1050</v>
      </c>
      <c r="M17" s="42">
        <f t="shared" si="3"/>
        <v>1050</v>
      </c>
      <c r="N17" s="42">
        <f t="shared" si="0"/>
        <v>231000</v>
      </c>
      <c r="O17" s="42">
        <f>Vendedor14!$F$8+Vendedor14!$F$12+Vendedor14!$F$16</f>
        <v>210000</v>
      </c>
      <c r="Q17" s="42">
        <f t="shared" si="4"/>
        <v>-163920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18200</v>
      </c>
      <c r="D18" s="30">
        <f>IF(Vendedor15!$E$8="",0,Vendedor15!$E$8)</f>
        <v>0</v>
      </c>
      <c r="E18" s="180">
        <f>IF(Vendedor15!$C$12="",0,Vendedor15!$C$12)</f>
        <v>21150</v>
      </c>
      <c r="F18" s="30">
        <f>IF(Vendedor15!$E$12="",0,Vendedor15!$E$12)</f>
        <v>0</v>
      </c>
      <c r="G18" s="180">
        <f>IF(Vendedor15!$C$16="",0,Vendedor15!$C$16)</f>
        <v>17250</v>
      </c>
      <c r="H18" s="30">
        <f>IF(Vendedor15!$E$16="",0,Vendedor15!$E$16)</f>
        <v>500</v>
      </c>
      <c r="J18" s="42">
        <f t="shared" ref="J18" si="5">+C18+E18+G18</f>
        <v>56600</v>
      </c>
      <c r="K18" s="41">
        <f>J18*Vendedor15!J$17</f>
        <v>5660</v>
      </c>
      <c r="L18" s="42">
        <f t="shared" si="2"/>
        <v>500</v>
      </c>
      <c r="M18" s="42">
        <f t="shared" si="3"/>
        <v>500</v>
      </c>
      <c r="N18" s="42">
        <f t="shared" si="0"/>
        <v>110000</v>
      </c>
      <c r="O18" s="42">
        <f>Vendedor15!$F$8+Vendedor15!$F$12+Vendedor15!$F$16</f>
        <v>100000</v>
      </c>
      <c r="Q18" s="42">
        <f t="shared" si="4"/>
        <v>-49060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68100</v>
      </c>
      <c r="D33" s="44">
        <f>IF(PREMIOS!E8&lt;&gt;0,SUM(D4:D32),0)</f>
        <v>0</v>
      </c>
      <c r="E33" s="43">
        <f>SUM(E4:E32)</f>
        <v>53850</v>
      </c>
      <c r="F33" s="44">
        <f>IF(PREMIOS!E12&lt;&gt;0,SUM(F4:F32),0)</f>
        <v>0</v>
      </c>
      <c r="G33" s="43">
        <f>SUM(G4:G32)</f>
        <v>56350</v>
      </c>
      <c r="H33" s="44">
        <f>IF(PREMIOS!E16&lt;&gt;0,SUM(H4:H32),0)</f>
        <v>1550</v>
      </c>
      <c r="J33" s="45">
        <f>SUM(J4:J32)</f>
        <v>178300</v>
      </c>
      <c r="K33" s="45">
        <f>SUM(K7:K32)</f>
        <v>17830</v>
      </c>
      <c r="L33" s="95">
        <f>SUM(L7:L32)</f>
        <v>1550</v>
      </c>
      <c r="M33" s="95">
        <f>SUM(M7:M32)</f>
        <v>2300</v>
      </c>
      <c r="N33" s="95">
        <f>SUM(N4:N27)</f>
        <v>341000</v>
      </c>
      <c r="O33" s="95">
        <f>SUM(O4:O27)</f>
        <v>310000</v>
      </c>
      <c r="Q33" s="79">
        <f>SUM(Q4:Q32)</f>
        <v>-149530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341000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178300</v>
      </c>
      <c r="E37" s="43">
        <f>+D37-J4-J5-J6</f>
        <v>178300</v>
      </c>
      <c r="F37" s="275"/>
      <c r="G37" s="275"/>
    </row>
    <row r="38" spans="3:17" ht="15" thickBot="1" x14ac:dyDescent="0.4">
      <c r="C38" s="47" t="s">
        <v>33</v>
      </c>
      <c r="D38" s="30">
        <f>D37*10%</f>
        <v>17830</v>
      </c>
      <c r="E38" s="43">
        <f>+D38-K4-K5-K6</f>
        <v>17830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341000</v>
      </c>
    </row>
    <row r="40" spans="3:17" ht="15" thickBot="1" x14ac:dyDescent="0.4">
      <c r="C40" s="49" t="s">
        <v>4</v>
      </c>
      <c r="D40" s="80">
        <f>+D37-D38-D39</f>
        <v>-180530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-180530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66</v>
      </c>
      <c r="D2" s="268"/>
      <c r="E2" s="267">
        <f>DigitaPRIMERA!E2</f>
        <v>95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9700</v>
      </c>
      <c r="D4" s="78">
        <f>IF(Vendedor1!$E$19="",0,Vendedor1!$E$19)</f>
        <v>100</v>
      </c>
      <c r="E4" s="189">
        <f>IF(Vendedor1!$C$20="",0,Vendedor1!$C$20)</f>
        <v>900</v>
      </c>
      <c r="F4" s="78">
        <f>IF(Vendedor1!$E$20="",0,Vendedor1!$E$20)</f>
        <v>0</v>
      </c>
      <c r="H4" s="42">
        <f>+C4+E4</f>
        <v>10600</v>
      </c>
      <c r="I4" s="41">
        <f>MROUND(H4*Vendedor1!J$9,50)</f>
        <v>1400</v>
      </c>
      <c r="J4" s="42">
        <f>+D4+F4</f>
        <v>100</v>
      </c>
      <c r="K4" s="42">
        <f>+J4*85</f>
        <v>8500</v>
      </c>
      <c r="L4" s="42">
        <f>Vendedor1!$F$19+Vendedor1!$F$20</f>
        <v>8000</v>
      </c>
      <c r="N4" s="42">
        <f t="shared" ref="N4:N31" si="0">+H4-I4-L4</f>
        <v>1200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6850</v>
      </c>
      <c r="D5" s="30">
        <f>IF(Vendedor2!$E$19="",0,Vendedor2!$E$19)</f>
        <v>0</v>
      </c>
      <c r="E5" s="180">
        <f>IF(Vendedor2!$C$20="",0,Vendedor2!$C$20)</f>
        <v>500</v>
      </c>
      <c r="F5" s="30">
        <f>IF(Vendedor2!$E$20="",0,Vendedor2!$E$20)</f>
        <v>0</v>
      </c>
      <c r="H5" s="42">
        <f t="shared" ref="H5:H31" si="1">+C5+E5</f>
        <v>7350</v>
      </c>
      <c r="I5" s="41">
        <f>MROUND(H5*Vendedor2!J$9,50)</f>
        <v>950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6400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0</v>
      </c>
      <c r="D8" s="30">
        <f>IF(Vendedor5!$E$19="",0,Vendedor5!$E$19)</f>
        <v>0</v>
      </c>
      <c r="E8" s="180">
        <f>IF(Vendedor5!$C$20="",0,Vendedor5!$C$20)</f>
        <v>17200</v>
      </c>
      <c r="F8" s="30">
        <f>IF(Vendedor5!$E$20="",0,Vendedor5!$E$20)</f>
        <v>0</v>
      </c>
      <c r="H8" s="133">
        <f t="shared" si="1"/>
        <v>17200</v>
      </c>
      <c r="I8" s="148">
        <f>MROUND(H8*Vendedor5!J$11,50)</f>
        <v>2050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15150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43200</v>
      </c>
      <c r="D10" s="30">
        <f>IF(Vendedor7!$E$19="",0,Vendedor7!$E$19)</f>
        <v>1000</v>
      </c>
      <c r="E10" s="180">
        <f>IF(Vendedor7!$C$20="",0,Vendedor7!$C$20)</f>
        <v>50000</v>
      </c>
      <c r="F10" s="30">
        <f>IF(Vendedor7!$E$20="",0,Vendedor7!$E$20)</f>
        <v>700</v>
      </c>
      <c r="H10" s="42">
        <f t="shared" si="1"/>
        <v>93200</v>
      </c>
      <c r="I10" s="41">
        <f>MROUND(H10*Vendedor7!J$14,50)</f>
        <v>11200</v>
      </c>
      <c r="J10" s="42">
        <f t="shared" si="2"/>
        <v>1700</v>
      </c>
      <c r="K10" s="42">
        <f t="shared" si="3"/>
        <v>144500</v>
      </c>
      <c r="L10" s="42">
        <f>Vendedor7!$F$19+Vendedor7!$F$20</f>
        <v>144500</v>
      </c>
      <c r="N10" s="42">
        <f t="shared" si="0"/>
        <v>-62500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16900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16900</v>
      </c>
      <c r="I12" s="148">
        <f>MROUND(H12*Vendedor9!J$11,50)</f>
        <v>2050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-6400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66300</v>
      </c>
      <c r="D17" s="30">
        <f>IF(Vendedor14!$E$19="",0,Vendedor14!$E$19)</f>
        <v>100</v>
      </c>
      <c r="E17" s="180">
        <f>IF(Vendedor14!$C$20="",0,Vendedor14!$C$20)</f>
        <v>23600</v>
      </c>
      <c r="F17" s="30">
        <f>IF(Vendedor14!$E$20="",0,Vendedor14!$E$20)</f>
        <v>0</v>
      </c>
      <c r="H17" s="42">
        <f t="shared" si="1"/>
        <v>89900</v>
      </c>
      <c r="I17" s="41">
        <f>MROUND(H17*Vendedor14!J$15,50)</f>
        <v>10800</v>
      </c>
      <c r="J17" s="42">
        <f t="shared" si="2"/>
        <v>100</v>
      </c>
      <c r="K17" s="42">
        <f t="shared" si="3"/>
        <v>8500</v>
      </c>
      <c r="L17" s="42">
        <f>Vendedor14!$F$19+Vendedor14!$F$20</f>
        <v>8500</v>
      </c>
      <c r="N17" s="42">
        <f t="shared" si="0"/>
        <v>70600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46300</v>
      </c>
      <c r="D18" s="30">
        <f>IF(Vendedor15!$E$19="",0,Vendedor15!$E$19)</f>
        <v>900</v>
      </c>
      <c r="E18" s="180">
        <f>IF(Vendedor15!$C$20="",0,Vendedor15!$C$20)</f>
        <v>31550</v>
      </c>
      <c r="F18" s="30">
        <f>IF(Vendedor15!$E$20="",0,Vendedor15!$E$20)</f>
        <v>0</v>
      </c>
      <c r="H18" s="42">
        <f t="shared" si="1"/>
        <v>77850</v>
      </c>
      <c r="I18" s="41">
        <f>MROUND(H18*Vendedor15!J$15,50)</f>
        <v>9350</v>
      </c>
      <c r="J18" s="42">
        <f t="shared" si="2"/>
        <v>900</v>
      </c>
      <c r="K18" s="42">
        <f t="shared" si="3"/>
        <v>76500</v>
      </c>
      <c r="L18" s="42">
        <f>Vendedor15!$F$19+Vendedor15!$F$20</f>
        <v>76500</v>
      </c>
      <c r="N18" s="42">
        <f t="shared" si="0"/>
        <v>-8000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189250</v>
      </c>
      <c r="D32" s="44">
        <f>SUM(D4:D31)</f>
        <v>2350</v>
      </c>
      <c r="E32" s="43">
        <f>SUM(E4:E31)</f>
        <v>123750</v>
      </c>
      <c r="F32" s="44">
        <f>SUM(F4:F31)</f>
        <v>700</v>
      </c>
      <c r="H32" s="95">
        <f>SUM(H4:H31)</f>
        <v>313000</v>
      </c>
      <c r="I32" s="45">
        <f>SUM(I7:I31)</f>
        <v>35450</v>
      </c>
      <c r="J32" s="95"/>
      <c r="K32" s="95">
        <f>SUM(K4:K31)</f>
        <v>259250</v>
      </c>
      <c r="L32" s="95">
        <f>SUM(L4:L31)</f>
        <v>258750</v>
      </c>
      <c r="N32" s="79">
        <f>SUM(N4:N31)</f>
        <v>16450</v>
      </c>
    </row>
    <row r="33" spans="3:6" x14ac:dyDescent="0.35">
      <c r="D33" s="99">
        <f>+D32*85</f>
        <v>199750</v>
      </c>
      <c r="F33" s="99">
        <f>+F32*85</f>
        <v>59500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313000</v>
      </c>
      <c r="E36" s="43">
        <f>+D36-H4-H5-H6</f>
        <v>295050</v>
      </c>
    </row>
    <row r="37" spans="3:6" x14ac:dyDescent="0.35">
      <c r="C37" s="47" t="s">
        <v>33</v>
      </c>
      <c r="D37" s="48">
        <f>D36*13%</f>
        <v>40690</v>
      </c>
      <c r="E37">
        <f>+D37-I4-I5-I6</f>
        <v>38340</v>
      </c>
    </row>
    <row r="38" spans="3:6" ht="15" thickBot="1" x14ac:dyDescent="0.4">
      <c r="C38" s="47" t="s">
        <v>30</v>
      </c>
      <c r="D38" s="30">
        <f>SUM(K4:K27)</f>
        <v>259250</v>
      </c>
    </row>
    <row r="39" spans="3:6" ht="15" thickBot="1" x14ac:dyDescent="0.4">
      <c r="C39" s="49" t="s">
        <v>4</v>
      </c>
      <c r="D39" s="80">
        <f>+D36-D37-D38</f>
        <v>13060</v>
      </c>
      <c r="F39" s="98">
        <f>+N32-D39</f>
        <v>3390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13060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20</v>
      </c>
      <c r="D2" s="268"/>
      <c r="E2" s="267">
        <f>DigitaHONDURAS!E2</f>
        <v>24</v>
      </c>
      <c r="F2" s="268"/>
      <c r="G2" s="267">
        <f>DigitaHONDURAS!G2</f>
        <v>42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71550</v>
      </c>
      <c r="D10" s="30">
        <f>IF(Vendedor7!$E$21="",0,Vendedor7!$E$21)</f>
        <v>900</v>
      </c>
      <c r="E10" s="180">
        <f>IF(Vendedor7!$C$22="",0,Vendedor7!$C$22)</f>
        <v>15700</v>
      </c>
      <c r="F10" s="30">
        <f>IF(Vendedor7!$E$22="",0,Vendedor7!$E$22)</f>
        <v>1000</v>
      </c>
      <c r="G10" s="180">
        <f>IF(Vendedor7!$C$23="",0,Vendedor7!$C$23)</f>
        <v>13900</v>
      </c>
      <c r="H10" s="30">
        <f>IF(Vendedor7!$E$23="",0,Vendedor7!$E$23)</f>
        <v>0</v>
      </c>
      <c r="J10" s="42">
        <f t="shared" si="0"/>
        <v>101150</v>
      </c>
      <c r="K10" s="41">
        <f>MROUND(J10*Vendedor7!J$14,50)</f>
        <v>12150</v>
      </c>
      <c r="L10" s="42">
        <f t="shared" si="1"/>
        <v>1900</v>
      </c>
      <c r="M10" s="42">
        <f t="shared" si="3"/>
        <v>161500</v>
      </c>
      <c r="N10" s="42">
        <f>Vendedor7!$F$21+Vendedor7!$F$22+Vendedor7!$F$23</f>
        <v>161500</v>
      </c>
      <c r="P10" s="42">
        <f t="shared" si="2"/>
        <v>-72500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37400</v>
      </c>
      <c r="D17" s="30">
        <f>IF(Vendedor14!$E$21="",0,Vendedor14!$E$21)</f>
        <v>100</v>
      </c>
      <c r="E17" s="180">
        <f>IF(Vendedor14!$C$22="",0,Vendedor14!$C$22)</f>
        <v>3600</v>
      </c>
      <c r="F17" s="30">
        <f>IF(Vendedor14!$E$22="",0,Vendedor14!$E$22)</f>
        <v>0</v>
      </c>
      <c r="G17" s="180">
        <f>IF(Vendedor14!$C$23="",0,Vendedor14!$C$23)</f>
        <v>17850</v>
      </c>
      <c r="H17" s="30">
        <f>IF(Vendedor14!$E$23="",0,Vendedor14!$E$23)</f>
        <v>350</v>
      </c>
      <c r="J17" s="42">
        <f t="shared" si="0"/>
        <v>58850</v>
      </c>
      <c r="K17" s="41">
        <f>MROUND(J17*Vendedor14!J$15,50)</f>
        <v>7050</v>
      </c>
      <c r="L17" s="42">
        <f t="shared" si="1"/>
        <v>450</v>
      </c>
      <c r="M17" s="42">
        <f t="shared" si="3"/>
        <v>38250</v>
      </c>
      <c r="N17" s="42">
        <f>Vendedor14!$F$21+Vendedor14!$F$22+Vendedor14!$F$23</f>
        <v>38250</v>
      </c>
      <c r="P17" s="42">
        <f t="shared" si="2"/>
        <v>13550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19600</v>
      </c>
      <c r="D18" s="30">
        <f>IF(Vendedor15!$E$21="",0,Vendedor15!$E$21)</f>
        <v>0</v>
      </c>
      <c r="E18" s="180">
        <f>IF(Vendedor15!$C$22="",0,Vendedor15!$C$22)</f>
        <v>10100</v>
      </c>
      <c r="F18" s="30">
        <f>IF(Vendedor15!$E$22="",0,Vendedor15!$E$22)</f>
        <v>1000</v>
      </c>
      <c r="G18" s="180">
        <f>IF(Vendedor15!$C$23="",0,Vendedor15!$C$23)</f>
        <v>5000</v>
      </c>
      <c r="H18" s="30">
        <f>IF(Vendedor15!$E$23="",0,Vendedor15!$E$23)</f>
        <v>1000</v>
      </c>
      <c r="J18" s="42">
        <f t="shared" si="0"/>
        <v>34700</v>
      </c>
      <c r="K18" s="41">
        <f>MROUND(J18*Vendedor15!J$15,50)</f>
        <v>4150</v>
      </c>
      <c r="L18" s="42">
        <f t="shared" si="1"/>
        <v>2000</v>
      </c>
      <c r="M18" s="42">
        <f t="shared" si="3"/>
        <v>170000</v>
      </c>
      <c r="N18" s="42">
        <f>Vendedor15!$F$21+Vendedor15!$F$22+Vendedor15!$F$23</f>
        <v>170000</v>
      </c>
      <c r="P18" s="42">
        <f t="shared" si="2"/>
        <v>-139450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128550</v>
      </c>
      <c r="D32" s="44">
        <f t="shared" si="8"/>
        <v>1000</v>
      </c>
      <c r="E32" s="43">
        <f t="shared" si="8"/>
        <v>29400</v>
      </c>
      <c r="F32" s="44">
        <f t="shared" si="8"/>
        <v>2000</v>
      </c>
      <c r="G32" s="43">
        <f t="shared" si="8"/>
        <v>36750</v>
      </c>
      <c r="H32" s="44">
        <f t="shared" si="8"/>
        <v>1350</v>
      </c>
      <c r="J32" s="95">
        <f>SUM(J4:J31)</f>
        <v>194700</v>
      </c>
      <c r="K32" s="45">
        <f>SUM(K7:K31)</f>
        <v>23350</v>
      </c>
      <c r="L32" s="95"/>
      <c r="M32" s="95">
        <f>SUM(M4:M31)</f>
        <v>369750</v>
      </c>
      <c r="N32" s="95">
        <f>SUM(N4:N31)</f>
        <v>369750</v>
      </c>
      <c r="P32" s="79">
        <f>SUM(P4:P31)</f>
        <v>-198400</v>
      </c>
    </row>
    <row r="33" spans="3:8" x14ac:dyDescent="0.35">
      <c r="D33" s="99">
        <f>+D32*85</f>
        <v>85000</v>
      </c>
      <c r="F33" s="99">
        <f>+F32*85</f>
        <v>170000</v>
      </c>
      <c r="H33" s="99">
        <f>+H32*85</f>
        <v>114750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194700</v>
      </c>
      <c r="E36" s="43">
        <f>+D36-J4-J5-J6</f>
        <v>194700</v>
      </c>
    </row>
    <row r="37" spans="3:8" x14ac:dyDescent="0.35">
      <c r="C37" s="47" t="s">
        <v>33</v>
      </c>
      <c r="D37" s="48">
        <f>D36*13%</f>
        <v>25311</v>
      </c>
      <c r="E37">
        <f>+D37-K4-K5-K6</f>
        <v>25311</v>
      </c>
    </row>
    <row r="38" spans="3:8" ht="15" thickBot="1" x14ac:dyDescent="0.4">
      <c r="C38" s="47" t="s">
        <v>30</v>
      </c>
      <c r="D38" s="30">
        <f>SUM(M4:M27)</f>
        <v>369750</v>
      </c>
      <c r="G38" s="100"/>
    </row>
    <row r="39" spans="3:8" ht="15" thickBot="1" x14ac:dyDescent="0.4">
      <c r="C39" s="49" t="s">
        <v>4</v>
      </c>
      <c r="D39" s="80">
        <f>+D36-D37-D38</f>
        <v>-200361</v>
      </c>
      <c r="F39" s="98">
        <f>+P32-D39</f>
        <v>1961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-200361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39</v>
      </c>
      <c r="D2" s="268"/>
      <c r="E2" s="267">
        <f>DigitaDOMINICANA!E2</f>
        <v>39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750</v>
      </c>
      <c r="D10" s="30">
        <f>IF(Vendedor7!$E$24="",0,Vendedor7!$E$24)</f>
        <v>0</v>
      </c>
      <c r="E10" s="180">
        <f>IF(Vendedor7!$C$25="",0,Vendedor7!$C$25)</f>
        <v>42000</v>
      </c>
      <c r="F10" s="30">
        <f>IF(Vendedor7!$E$25="",0,Vendedor7!$E$25)</f>
        <v>0</v>
      </c>
      <c r="H10" s="42">
        <f t="shared" si="1"/>
        <v>42750</v>
      </c>
      <c r="I10" s="41">
        <f>MROUND(H10*Vendedor7!J$14,50)</f>
        <v>5150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37600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750</v>
      </c>
      <c r="D32" s="44">
        <f>SUM(D4:D31)</f>
        <v>0</v>
      </c>
      <c r="E32" s="43">
        <f>SUM(E4:E31)</f>
        <v>42000</v>
      </c>
      <c r="F32" s="44">
        <f>SUM(F4:F31)</f>
        <v>0</v>
      </c>
      <c r="H32" s="95">
        <f>SUM(H4:H31)</f>
        <v>42750</v>
      </c>
      <c r="I32" s="45">
        <f>SUM(I7:I31)</f>
        <v>5150</v>
      </c>
      <c r="J32" s="95"/>
      <c r="K32" s="95">
        <f>SUM(K4:K31)</f>
        <v>0</v>
      </c>
      <c r="L32" s="95">
        <f>SUM(L4:L31)</f>
        <v>0</v>
      </c>
      <c r="N32" s="79">
        <f>SUM(N4:N31)</f>
        <v>37600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42750</v>
      </c>
      <c r="E36" s="43">
        <f>+D36-H4-H5-H6</f>
        <v>42750</v>
      </c>
    </row>
    <row r="37" spans="3:6" x14ac:dyDescent="0.35">
      <c r="C37" s="47" t="s">
        <v>33</v>
      </c>
      <c r="D37" s="48">
        <f>D36*13%</f>
        <v>5557.5</v>
      </c>
      <c r="E37">
        <f>+D37-I4-I5-I6</f>
        <v>5557.5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37192.5</v>
      </c>
      <c r="F39" s="98">
        <f>+N32-D39</f>
        <v>407.5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37192.5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14-05-2026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1091500</v>
      </c>
      <c r="C4" s="157">
        <f>HojaNICA!M32</f>
        <v>131000</v>
      </c>
      <c r="D4" s="150">
        <f>HojaNICA!E37</f>
        <v>141911</v>
      </c>
      <c r="E4" s="150">
        <f>HojaNICA!P32</f>
        <v>438250</v>
      </c>
      <c r="F4" s="150">
        <f>HojaNICA!O32</f>
        <v>450500</v>
      </c>
      <c r="G4" s="151">
        <f t="shared" ref="G4:G10" si="0">+D4-C4+F4-E4</f>
        <v>23161</v>
      </c>
      <c r="H4" s="21"/>
      <c r="I4" s="182"/>
    </row>
    <row r="5" spans="1:9" x14ac:dyDescent="0.35">
      <c r="A5" s="28" t="s">
        <v>19</v>
      </c>
      <c r="B5" s="156">
        <f>HojaTICA!$E$36</f>
        <v>1426450</v>
      </c>
      <c r="C5" s="157">
        <f>HojaTICA!K32</f>
        <v>173600</v>
      </c>
      <c r="D5" s="150">
        <f>HojaTICA!E37</f>
        <v>185448</v>
      </c>
      <c r="E5" s="150">
        <f>HojaTICA!N32</f>
        <v>2141000</v>
      </c>
      <c r="F5" s="150">
        <f>HojaTICA!D38</f>
        <v>2150500</v>
      </c>
      <c r="G5" s="151">
        <f t="shared" si="0"/>
        <v>21348</v>
      </c>
      <c r="H5" s="21"/>
      <c r="I5" s="182"/>
    </row>
    <row r="6" spans="1:9" x14ac:dyDescent="0.35">
      <c r="A6" s="28" t="s">
        <v>125</v>
      </c>
      <c r="B6" s="156">
        <f>HojaREVENTADO!$E$37</f>
        <v>178300</v>
      </c>
      <c r="C6" s="157">
        <f>HojaREVENTADO!K33</f>
        <v>17830</v>
      </c>
      <c r="D6" s="150">
        <f>HojaREVENTADO!E38</f>
        <v>17830</v>
      </c>
      <c r="E6" s="150">
        <f>HojaREVENTADO!O33</f>
        <v>310000</v>
      </c>
      <c r="F6" s="150">
        <f>HojaREVENTADO!N33</f>
        <v>341000</v>
      </c>
      <c r="G6" s="151">
        <f t="shared" si="0"/>
        <v>31000</v>
      </c>
      <c r="H6" s="21"/>
      <c r="I6" s="182"/>
    </row>
    <row r="7" spans="1:9" x14ac:dyDescent="0.35">
      <c r="A7" s="28" t="s">
        <v>96</v>
      </c>
      <c r="B7" s="156">
        <f>HojaPrimera!$E$36</f>
        <v>295050</v>
      </c>
      <c r="C7" s="157">
        <f>HojaPrimera!I32</f>
        <v>35450</v>
      </c>
      <c r="D7" s="150">
        <f>HojaPrimera!E37</f>
        <v>38340</v>
      </c>
      <c r="E7" s="150">
        <f>HojaPrimera!L32</f>
        <v>258750</v>
      </c>
      <c r="F7" s="150">
        <f>HojaPrimera!K32</f>
        <v>259250</v>
      </c>
      <c r="G7" s="151">
        <f t="shared" si="0"/>
        <v>3390</v>
      </c>
      <c r="H7" s="21"/>
      <c r="I7" s="21"/>
    </row>
    <row r="8" spans="1:9" x14ac:dyDescent="0.35">
      <c r="A8" s="28" t="s">
        <v>104</v>
      </c>
      <c r="B8" s="156">
        <f>HojaHonduras!$E$36</f>
        <v>194700</v>
      </c>
      <c r="C8" s="157">
        <f>HojaHonduras!K32</f>
        <v>23350</v>
      </c>
      <c r="D8" s="150">
        <f>HojaHonduras!E37</f>
        <v>25311</v>
      </c>
      <c r="E8" s="150">
        <f>HojaHonduras!N32</f>
        <v>369750</v>
      </c>
      <c r="F8" s="150">
        <f>HojaHonduras!M32</f>
        <v>369750</v>
      </c>
      <c r="G8" s="151">
        <f t="shared" si="0"/>
        <v>1961</v>
      </c>
      <c r="H8" s="21"/>
      <c r="I8" s="21"/>
    </row>
    <row r="9" spans="1:9" x14ac:dyDescent="0.35">
      <c r="A9" s="28" t="s">
        <v>20</v>
      </c>
      <c r="B9" s="156">
        <f>HojaDominicana!$E$36</f>
        <v>42750</v>
      </c>
      <c r="C9" s="157">
        <f>HojaDominicana!I32</f>
        <v>5150</v>
      </c>
      <c r="D9" s="150">
        <f>HojaDominicana!E37</f>
        <v>5557.5</v>
      </c>
      <c r="E9" s="150">
        <f>HojaDominicana!L32</f>
        <v>0</v>
      </c>
      <c r="F9" s="150">
        <f>HojaDominicana!K32</f>
        <v>0</v>
      </c>
      <c r="G9" s="151">
        <f t="shared" si="0"/>
        <v>407.5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3228750</v>
      </c>
      <c r="C11" s="175">
        <f>SUM(C4:C10)</f>
        <v>386380</v>
      </c>
      <c r="D11" s="175">
        <f t="shared" ref="D11:F11" si="1">SUM(D4:D10)</f>
        <v>414397.5</v>
      </c>
      <c r="E11" s="175">
        <f t="shared" si="1"/>
        <v>3517750</v>
      </c>
      <c r="F11" s="175">
        <f t="shared" si="1"/>
        <v>3571000</v>
      </c>
      <c r="G11" s="176">
        <f>SUM(G4:G10)</f>
        <v>81267.5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46267.5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198750</v>
      </c>
      <c r="E16" s="157">
        <f>+Vendedor1!D21</f>
        <v>25837.5</v>
      </c>
      <c r="F16" s="158">
        <f>IF(D16&lt;&gt;0,15000,0)</f>
        <v>15000</v>
      </c>
      <c r="G16" s="151">
        <f>+E16-F16</f>
        <v>10837.5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165550</v>
      </c>
      <c r="E17" s="157">
        <f>+Vendedor2!D21</f>
        <v>21521.5</v>
      </c>
      <c r="F17" s="158">
        <f>IF(D17&lt;&gt;0,15000,0)</f>
        <v>15000</v>
      </c>
      <c r="G17" s="151">
        <f>+E17-F17</f>
        <v>6521.5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364300</v>
      </c>
      <c r="E19" s="159">
        <f>SUM(E16:E18)</f>
        <v>47359</v>
      </c>
      <c r="F19" s="160">
        <f>SUM(F16:F18)</f>
        <v>30000</v>
      </c>
      <c r="G19" s="161">
        <f>SUM(G16:G18)</f>
        <v>17359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70850</v>
      </c>
      <c r="E22" s="157">
        <f>-Vendedor24!D27</f>
        <v>8502</v>
      </c>
      <c r="F22" s="158">
        <f>-Vendedor24!F27</f>
        <v>29750</v>
      </c>
      <c r="G22" s="151">
        <f>+D22-E22-F22</f>
        <v>32598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96224.5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14-05-2026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1149700</v>
      </c>
      <c r="C5" s="150">
        <f>HojaNICA!D37</f>
        <v>149461</v>
      </c>
      <c r="D5" s="150">
        <f>HojaNICA!D38</f>
        <v>450500</v>
      </c>
      <c r="E5" s="150"/>
      <c r="F5" s="151">
        <f>+B5-C5-D5+E5</f>
        <v>549739</v>
      </c>
      <c r="H5" s="249" t="s">
        <v>105</v>
      </c>
      <c r="I5" s="243">
        <f ca="1">TODAY()-1</f>
        <v>46156</v>
      </c>
      <c r="O5" s="119"/>
    </row>
    <row r="6" spans="1:15" ht="15" thickBot="1" x14ac:dyDescent="0.4">
      <c r="A6" s="47" t="s">
        <v>36</v>
      </c>
      <c r="B6" s="150">
        <f>HojaTICA!D36</f>
        <v>1714600</v>
      </c>
      <c r="C6" s="150">
        <f>HojaTICA!D37</f>
        <v>222898</v>
      </c>
      <c r="D6" s="150">
        <f>HojaTICA!D38</f>
        <v>2150500</v>
      </c>
      <c r="E6" s="150"/>
      <c r="F6" s="151">
        <f t="shared" ref="F6:F11" si="0">+B6-C6-D6+E6</f>
        <v>-658798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178300</v>
      </c>
      <c r="C7" s="150">
        <f>HojaREVENTADO!D38</f>
        <v>17830</v>
      </c>
      <c r="D7" s="150">
        <f>HojaREVENTADO!D39</f>
        <v>341000</v>
      </c>
      <c r="E7" s="150"/>
      <c r="F7" s="151">
        <f t="shared" si="0"/>
        <v>-180530</v>
      </c>
    </row>
    <row r="8" spans="1:15" x14ac:dyDescent="0.35">
      <c r="A8" s="47" t="s">
        <v>96</v>
      </c>
      <c r="B8" s="150">
        <f>HojaPrimera!$D36</f>
        <v>313000</v>
      </c>
      <c r="C8" s="150">
        <f>HojaPrimera!$D37</f>
        <v>40690</v>
      </c>
      <c r="D8" s="150">
        <f>HojaPrimera!$D38</f>
        <v>259250</v>
      </c>
      <c r="E8" s="150"/>
      <c r="F8" s="151">
        <f t="shared" si="0"/>
        <v>13060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194700</v>
      </c>
      <c r="C9" s="150">
        <f>HojaHonduras!$D37</f>
        <v>25311</v>
      </c>
      <c r="D9" s="150">
        <f>HojaHonduras!$D38</f>
        <v>369750</v>
      </c>
      <c r="E9" s="150"/>
      <c r="F9" s="151">
        <f t="shared" si="0"/>
        <v>-200361</v>
      </c>
      <c r="H9" s="250">
        <f>+K12-K10-H6</f>
        <v>-439697.5</v>
      </c>
    </row>
    <row r="10" spans="1:15" ht="15" thickBot="1" x14ac:dyDescent="0.4">
      <c r="A10" s="47" t="s">
        <v>20</v>
      </c>
      <c r="B10" s="150">
        <f>HojaDominicana!$D36</f>
        <v>42750</v>
      </c>
      <c r="C10" s="150">
        <f>HojaDominicana!$D37</f>
        <v>5557.5</v>
      </c>
      <c r="D10" s="150">
        <f>HojaDominicana!$D38</f>
        <v>0</v>
      </c>
      <c r="E10" s="150"/>
      <c r="F10" s="151">
        <f t="shared" si="0"/>
        <v>37192.5</v>
      </c>
      <c r="H10" s="154"/>
      <c r="J10" t="s">
        <v>148</v>
      </c>
      <c r="K10" s="252">
        <v>5151737.95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4712040.45</v>
      </c>
    </row>
    <row r="12" spans="1:15" ht="16" thickBot="1" x14ac:dyDescent="0.4">
      <c r="A12" s="144" t="s">
        <v>5</v>
      </c>
      <c r="B12" s="152">
        <f>SUM(B5:B11)</f>
        <v>3593050</v>
      </c>
      <c r="C12" s="152">
        <f>SUM(C5:C11)</f>
        <v>461747.5</v>
      </c>
      <c r="D12" s="152">
        <f>SUM(D5:D11)</f>
        <v>3571000</v>
      </c>
      <c r="E12" s="152"/>
      <c r="F12" s="255">
        <f>SUM(F5:F11)</f>
        <v>-439697.5</v>
      </c>
      <c r="H12" s="251">
        <f>K12</f>
        <v>4712040.45</v>
      </c>
      <c r="J12" t="s">
        <v>140</v>
      </c>
      <c r="K12" s="254">
        <f>-2719070.87+4473806.74+1928903.6+1028400.98</f>
        <v>4712040.45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145800</v>
      </c>
      <c r="K4" s="231">
        <f t="shared" ref="K4" si="0">D7+D11+D15</f>
        <v>18954</v>
      </c>
      <c r="L4" s="220">
        <f>F7+F11+F15</f>
        <v>255000</v>
      </c>
    </row>
    <row r="5" spans="1:12" x14ac:dyDescent="0.35">
      <c r="A5" s="28" t="s">
        <v>43</v>
      </c>
      <c r="B5" s="132">
        <f>IF(DigitaNICA!C2&lt;&gt;"",DigitaNICA!C2,"")</f>
        <v>39</v>
      </c>
      <c r="C5" s="29">
        <f>IF(DigitaNICA!C4&lt;&gt;"",DigitaNICA!C4,"")</f>
        <v>21300</v>
      </c>
      <c r="D5" s="42">
        <f>IF(C5="",0,C5*J$10)</f>
        <v>2769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10531</v>
      </c>
      <c r="I5" s="241" t="s">
        <v>37</v>
      </c>
      <c r="J5" s="221">
        <f>SUM(IF(C5="",0,C5),IF(C9="",0,C9),IF(C13="",0,C13),IF(C17="",0,C17))</f>
        <v>42350</v>
      </c>
      <c r="K5" s="225">
        <f t="shared" ref="K5" si="2">D5+D9+D13+D17</f>
        <v>5505.5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10600</v>
      </c>
      <c r="K6" s="228">
        <f>D19+D20</f>
        <v>1378</v>
      </c>
      <c r="L6" s="229">
        <f>F19+F20</f>
        <v>8000</v>
      </c>
    </row>
    <row r="7" spans="1:12" ht="15" thickBot="1" x14ac:dyDescent="0.4">
      <c r="A7" s="28" t="s">
        <v>46</v>
      </c>
      <c r="B7" s="132">
        <f>IF(DigitaTICA!C2&lt;&gt;"",DigitaTICA!C2,"")</f>
        <v>87</v>
      </c>
      <c r="C7" s="29">
        <f>IF(DigitaTICA!C4&lt;&gt;"",DigitaTICA!C4,"")</f>
        <v>46400</v>
      </c>
      <c r="D7" s="42">
        <f>IF(C7="",0,C7*J$9)</f>
        <v>6032</v>
      </c>
      <c r="E7" s="29">
        <f>IF(DigitaTICA!D4&lt;&gt;"",DigitaTICA!D4,"")</f>
        <v>500</v>
      </c>
      <c r="F7" s="42">
        <f>IF(E7="",0,E7*PREMIOS!F7)</f>
        <v>42500</v>
      </c>
      <c r="G7" s="30">
        <f t="shared" si="1"/>
        <v>-2132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>06</v>
      </c>
      <c r="C9" s="29">
        <f>IF(DigitaNICA!E4&lt;&gt;"",DigitaNICA!E4,"")</f>
        <v>12800</v>
      </c>
      <c r="D9" s="42">
        <f>IF(C9="",0,C9*J$10)</f>
        <v>1664</v>
      </c>
      <c r="E9" s="29">
        <f>IF(DigitaNICA!F4&lt;&gt;"",DigitaNICA!F4,"")</f>
        <v>150</v>
      </c>
      <c r="F9" s="42">
        <f>IF(E9="",0,E9*PREMIOS!E9)</f>
        <v>12000</v>
      </c>
      <c r="G9" s="30">
        <f t="shared" si="1"/>
        <v>-864</v>
      </c>
      <c r="I9" s="76" t="s">
        <v>36</v>
      </c>
      <c r="J9" s="77">
        <v>0.13</v>
      </c>
      <c r="K9" s="78">
        <f>MROUND(D7+D11+D15,50)</f>
        <v>18950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5500</v>
      </c>
    </row>
    <row r="11" spans="1:12" x14ac:dyDescent="0.35">
      <c r="A11" s="28" t="s">
        <v>59</v>
      </c>
      <c r="B11" s="132">
        <f>IF(DigitaTICA!E2&lt;&gt;"",DigitaTICA!E2,"")</f>
        <v>63</v>
      </c>
      <c r="C11" s="29">
        <f>IF(DigitaTICA!E4&lt;&gt;"",DigitaTICA!E4,"")</f>
        <v>40800</v>
      </c>
      <c r="D11" s="42">
        <f>IF(C11="",0,C11*J$9)</f>
        <v>5304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35496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1400</v>
      </c>
    </row>
    <row r="13" spans="1:12" x14ac:dyDescent="0.35">
      <c r="A13" s="28" t="s">
        <v>50</v>
      </c>
      <c r="B13" s="132" t="str">
        <f>IF(DigitaNICA!G2&lt;&gt;"",DigitaNICA!G2,"")</f>
        <v>02</v>
      </c>
      <c r="C13" s="29">
        <f>IF(DigitaNICA!G4&lt;&gt;"",DigitaNICA!G4,"")</f>
        <v>5100</v>
      </c>
      <c r="D13" s="42">
        <f>IF(C13="",0,C13*J$10)</f>
        <v>663</v>
      </c>
      <c r="E13" s="29">
        <f>IF(DigitaNICA!H4&lt;&gt;"",DigitaNICA!H4,"")</f>
        <v>250</v>
      </c>
      <c r="F13" s="42">
        <f>IF(E13="",0,E13*PREMIOS!E13)</f>
        <v>20000</v>
      </c>
      <c r="G13" s="30">
        <f>IF(OR(C13="",E13=""),0,C13-D13-F13)</f>
        <v>-15563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09</v>
      </c>
      <c r="C15" s="29">
        <f>IF(DigitaTICA!G4&lt;&gt;"",DigitaTICA!G4,"")</f>
        <v>58600</v>
      </c>
      <c r="D15" s="42">
        <f>IF(C15="",0,C15*J$9)</f>
        <v>7618</v>
      </c>
      <c r="E15" s="29">
        <f>IF(DigitaTICA!H4&lt;&gt;"",DigitaTICA!H4,"")</f>
        <v>2500</v>
      </c>
      <c r="F15" s="42">
        <f>IF(E15="",0,E15*PREMIOS!F15)</f>
        <v>212500</v>
      </c>
      <c r="G15" s="30">
        <f t="shared" si="3"/>
        <v>-161518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>
        <f>IF(DigitaNICA!I4&lt;&gt;"",DigitaNICA!I4,"")</f>
        <v>3150</v>
      </c>
      <c r="D17" s="42">
        <f>IF(C17="",0,C17*J$10)</f>
        <v>409.5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2740.5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>
        <f>IF(DigitaPRIMERA!C4&lt;&gt;"",DigitaPRIMERA!C4,"")</f>
        <v>9700</v>
      </c>
      <c r="D19" s="42">
        <f>IF(C19="",0,C19*J$12)</f>
        <v>1261</v>
      </c>
      <c r="E19" s="29">
        <f>IF(DigitaPRIMERA!D4&lt;&gt;"",DigitaPRIMERA!D4,"")</f>
        <v>100</v>
      </c>
      <c r="F19" s="42">
        <f>IF(E19="",0,E19*PREMIOS!E19)</f>
        <v>8000</v>
      </c>
      <c r="G19" s="30">
        <f t="shared" ref="G19" si="4">IF(OR(C19="",E19=""),0,C19-D19-F19)</f>
        <v>439</v>
      </c>
    </row>
    <row r="20" spans="1:7" x14ac:dyDescent="0.35">
      <c r="A20" s="28" t="s">
        <v>98</v>
      </c>
      <c r="B20" s="132">
        <f>IF(DigitaPRIMERA!E2&lt;&gt;"",DigitaPRIMERA!E2,"")</f>
        <v>95</v>
      </c>
      <c r="C20" s="29">
        <f>IF(DigitaPRIMERA!E4&lt;&gt;"",DigitaPRIMERA!E4,"")</f>
        <v>900</v>
      </c>
      <c r="D20" s="42">
        <f>IF(C20="",0,C20*J$12)</f>
        <v>117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783</v>
      </c>
    </row>
    <row r="21" spans="1:7" ht="15" thickBot="1" x14ac:dyDescent="0.4">
      <c r="A21" s="121" t="s">
        <v>5</v>
      </c>
      <c r="B21" s="128"/>
      <c r="C21" s="122">
        <f>SUM(C5:C20)</f>
        <v>198750</v>
      </c>
      <c r="D21" s="122">
        <f t="shared" ref="D21:G21" si="6">SUM(D5:D20)</f>
        <v>25837.5</v>
      </c>
      <c r="E21" s="122">
        <f t="shared" si="6"/>
        <v>3600</v>
      </c>
      <c r="F21" s="122">
        <f t="shared" si="6"/>
        <v>303000</v>
      </c>
      <c r="G21" s="123">
        <f t="shared" si="6"/>
        <v>-130087.5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142350</v>
      </c>
      <c r="K4" s="231">
        <f t="shared" ref="K4" si="0">D7+D11+D15</f>
        <v>18505.5</v>
      </c>
      <c r="L4" s="220">
        <f>F7+F11+F15</f>
        <v>80750</v>
      </c>
    </row>
    <row r="5" spans="1:12" x14ac:dyDescent="0.35">
      <c r="A5" s="28" t="s">
        <v>43</v>
      </c>
      <c r="B5" s="132">
        <f>IF(DigitaNICA!C2&lt;&gt;"",DigitaNICA!C2,"")</f>
        <v>39</v>
      </c>
      <c r="C5" s="29">
        <f>IF(DigitaNICA!C5&lt;&gt;"",DigitaNICA!C5,"")</f>
        <v>10000</v>
      </c>
      <c r="D5" s="42">
        <f>IF(C5="",0,C5*J$10)</f>
        <v>1300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8700</v>
      </c>
      <c r="I5" s="241" t="s">
        <v>37</v>
      </c>
      <c r="J5" s="221">
        <f>SUM(IF(C5="",0,C5),IF(C9="",0,C9),IF(C13="",0,C13),IF(C17="",0,C17))</f>
        <v>15850</v>
      </c>
      <c r="K5" s="225">
        <f t="shared" ref="K5" si="2">D5+D9+D13+D17</f>
        <v>2060.5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7350</v>
      </c>
      <c r="K6" s="228">
        <f>D19+D20</f>
        <v>955.5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87</v>
      </c>
      <c r="C7" s="29">
        <f>IF(DigitaTICA!C5&lt;&gt;"",DigitaTICA!C5,"")</f>
        <v>33550</v>
      </c>
      <c r="D7" s="42">
        <f>IF(C7="",0,C7*J$9)</f>
        <v>4361.5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29188.5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29">
        <f>IF(DigitaNICA!E5&lt;&gt;"",DigitaNICA!E5,"")</f>
        <v>3500</v>
      </c>
      <c r="D9" s="42">
        <f>IF(C9="",0,C9*J$10)</f>
        <v>455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3045</v>
      </c>
      <c r="I9" s="60" t="s">
        <v>36</v>
      </c>
      <c r="J9" s="61">
        <v>0.13</v>
      </c>
      <c r="K9" s="62">
        <f>MROUND(D7+D11+D15,50)</f>
        <v>18500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2050</v>
      </c>
    </row>
    <row r="11" spans="1:12" x14ac:dyDescent="0.35">
      <c r="A11" s="28" t="s">
        <v>59</v>
      </c>
      <c r="B11" s="132">
        <f>IF(DigitaTICA!E2&lt;&gt;"",DigitaTICA!E2,"")</f>
        <v>63</v>
      </c>
      <c r="C11" s="29">
        <f>IF(DigitaTICA!E5&lt;&gt;"",DigitaTICA!E5,"")</f>
        <v>33500</v>
      </c>
      <c r="D11" s="42">
        <f>IF(C11="",0,C11*J$9)</f>
        <v>4355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29145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950</v>
      </c>
    </row>
    <row r="13" spans="1:12" x14ac:dyDescent="0.35">
      <c r="A13" s="28" t="s">
        <v>50</v>
      </c>
      <c r="B13" s="132" t="str">
        <f>IF(DigitaNICA!G2&lt;&gt;"",DigitaNICA!G2,"")</f>
        <v>02</v>
      </c>
      <c r="C13" s="29">
        <f>IF(DigitaNICA!G5&lt;&gt;"",DigitaNICA!G5,"")</f>
        <v>2000</v>
      </c>
      <c r="D13" s="42">
        <f>IF(C13="",0,C13*J$10)</f>
        <v>260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1740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09</v>
      </c>
      <c r="C15" s="29">
        <f>IF(DigitaTICA!G5&lt;&gt;"",DigitaTICA!G5,"")</f>
        <v>75300</v>
      </c>
      <c r="D15" s="42">
        <f>IF(C15="",0,C15*J$9)</f>
        <v>9789</v>
      </c>
      <c r="E15" s="29">
        <f>IF(DigitaTICA!H5&lt;&gt;"",DigitaTICA!H5,"")</f>
        <v>950</v>
      </c>
      <c r="F15" s="42">
        <f>IF(E15="",0,E15*PREMIOS!F15)</f>
        <v>80750</v>
      </c>
      <c r="G15" s="30">
        <f t="shared" si="3"/>
        <v>-15239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>
        <f>IF(DigitaNICA!I5&lt;&gt;"",DigitaNICA!I5,"")</f>
        <v>350</v>
      </c>
      <c r="D17" s="42">
        <f>IF(C17="",0,C17*J$10)</f>
        <v>45.5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304.5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>
        <f>IF(DigitaPRIMERA!C5&lt;&gt;"",DigitaPRIMERA!C5,"")</f>
        <v>6850</v>
      </c>
      <c r="D19" s="42">
        <f>IF(C19="",0,C19*J$12)</f>
        <v>890.5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5959.5</v>
      </c>
    </row>
    <row r="20" spans="1:7" x14ac:dyDescent="0.35">
      <c r="A20" s="28" t="s">
        <v>98</v>
      </c>
      <c r="B20" s="132">
        <f>IF(DigitaPRIMERA!E2&lt;&gt;"",DigitaPRIMERA!E2,"")</f>
        <v>95</v>
      </c>
      <c r="C20" s="29">
        <f>IF(DigitaPRIMERA!E5&lt;&gt;"",DigitaPRIMERA!E5,"")</f>
        <v>500</v>
      </c>
      <c r="D20" s="42">
        <f>IF(C20="",0,C20*J$12)</f>
        <v>65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435</v>
      </c>
    </row>
    <row r="21" spans="1:7" ht="15" thickBot="1" x14ac:dyDescent="0.4">
      <c r="A21" s="67" t="s">
        <v>5</v>
      </c>
      <c r="B21" s="127"/>
      <c r="C21" s="68">
        <f>SUM(C5:C20)</f>
        <v>165550</v>
      </c>
      <c r="D21" s="68">
        <f t="shared" ref="D21:G21" si="4">SUM(D5:D20)</f>
        <v>21521.5</v>
      </c>
      <c r="E21" s="68">
        <f t="shared" si="4"/>
        <v>950</v>
      </c>
      <c r="F21" s="68">
        <f t="shared" si="4"/>
        <v>80750</v>
      </c>
      <c r="G21" s="88">
        <f t="shared" si="4"/>
        <v>63278.5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39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>06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63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>02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09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95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39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87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63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02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09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162500</v>
      </c>
      <c r="K4" s="231">
        <f t="shared" ref="K4" si="0">D7+D11+D15</f>
        <v>19500</v>
      </c>
      <c r="L4" s="220">
        <f>F7+F11+F15</f>
        <v>280500</v>
      </c>
    </row>
    <row r="5" spans="1:12" x14ac:dyDescent="0.35">
      <c r="A5" s="28" t="s">
        <v>43</v>
      </c>
      <c r="B5" s="132">
        <f>IF(DigitaNICA!C2&lt;&gt;"",DigitaNICA!C2,"")</f>
        <v>39</v>
      </c>
      <c r="C5" s="29">
        <f>IF(DigitaNICA!C8&lt;&gt;"",DigitaNICA!C8,"")</f>
        <v>94950</v>
      </c>
      <c r="D5" s="42">
        <f>IF(C5="",0,C5*J$12)</f>
        <v>11394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83556</v>
      </c>
      <c r="I5" s="241" t="s">
        <v>37</v>
      </c>
      <c r="J5" s="221">
        <f>SUM(IF(C5="",0,C5),IF(C9="",0,C9),IF(C13="",0,C13),IF(C17="",0,C17))</f>
        <v>207400</v>
      </c>
      <c r="K5" s="225">
        <f t="shared" ref="K5" si="2">D5+D9+D13+D17</f>
        <v>24888</v>
      </c>
      <c r="L5" s="222">
        <f>F5+F9+F13+F17</f>
        <v>68000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87</v>
      </c>
      <c r="C7" s="29">
        <f>IF(DigitaTICA!C8&lt;&gt;"",DigitaTICA!C8,"")</f>
        <v>64500</v>
      </c>
      <c r="D7" s="42">
        <f>IF(C7="",0,C7*J$11)</f>
        <v>7740</v>
      </c>
      <c r="E7" s="29">
        <f>IF(DigitaTICA!D8&lt;&gt;"",DigitaTICA!D8,"")</f>
        <v>1000</v>
      </c>
      <c r="F7" s="42">
        <f>IF(E7="",0,E7*PREMIOS!F7)</f>
        <v>85000</v>
      </c>
      <c r="G7" s="30">
        <f t="shared" si="1"/>
        <v>-28240</v>
      </c>
      <c r="I7" s="242" t="s">
        <v>96</v>
      </c>
      <c r="J7" s="224">
        <f>SUM(IF(C19="",0,C19),IF(C20="",0,C20))</f>
        <v>17200</v>
      </c>
      <c r="K7" s="228">
        <f>+D19+D20</f>
        <v>2064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>
        <f>IF(DigitaNICA!E8&lt;&gt;"",DigitaNICA!E8,"")</f>
        <v>49000</v>
      </c>
      <c r="D9" s="42">
        <f>IF(C9="",0,C9*J$12)</f>
        <v>5880</v>
      </c>
      <c r="E9" s="29">
        <f>IF(DigitaNICA!F8&lt;&gt;"",DigitaNICA!F8,"")</f>
        <v>750</v>
      </c>
      <c r="F9" s="42">
        <f>IF(E9="",0,E9*PREMIOS!E9)</f>
        <v>60000</v>
      </c>
      <c r="G9" s="30">
        <f t="shared" si="1"/>
        <v>-16880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63</v>
      </c>
      <c r="C11" s="29">
        <f>IF(DigitaTICA!E8&lt;&gt;"",DigitaTICA!E8,"")</f>
        <v>40100</v>
      </c>
      <c r="D11" s="42">
        <f>IF(C11="",0,C11*J$11)</f>
        <v>4812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35288</v>
      </c>
      <c r="I11" s="60" t="s">
        <v>36</v>
      </c>
      <c r="J11" s="61">
        <v>0.12</v>
      </c>
      <c r="K11" s="62">
        <f>MROUND(D7+D11+D15,50)</f>
        <v>19500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24900</v>
      </c>
    </row>
    <row r="13" spans="1:12" x14ac:dyDescent="0.35">
      <c r="A13" s="28" t="s">
        <v>50</v>
      </c>
      <c r="B13" s="132" t="str">
        <f>IF(DigitaNICA!G2&lt;&gt;"",DigitaNICA!G2,"")</f>
        <v>02</v>
      </c>
      <c r="C13" s="29">
        <f>IF(DigitaNICA!G8&lt;&gt;"",DigitaNICA!G8,"")</f>
        <v>12500</v>
      </c>
      <c r="D13" s="42">
        <f>IF(C13="",0,C13*J$12)</f>
        <v>1500</v>
      </c>
      <c r="E13" s="29">
        <f>IF(DigitaNICA!H8&lt;&gt;"",DigitaNICA!H8,"")</f>
        <v>100</v>
      </c>
      <c r="F13" s="42">
        <f>IF(E13="",0,E13*PREMIOS!E13)</f>
        <v>8000</v>
      </c>
      <c r="G13" s="30">
        <f>IF(OR(C13="",E13=""),0,C13-D13-F13)</f>
        <v>3000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2050</v>
      </c>
    </row>
    <row r="15" spans="1:12" x14ac:dyDescent="0.35">
      <c r="A15" s="28" t="s">
        <v>61</v>
      </c>
      <c r="B15" s="132" t="str">
        <f>IF(DigitaTICA!G2&lt;&gt;"",DigitaTICA!G2,"")</f>
        <v>09</v>
      </c>
      <c r="C15" s="29">
        <f>IF(DigitaTICA!G8&lt;&gt;"",DigitaTICA!G8,"")</f>
        <v>57900</v>
      </c>
      <c r="D15" s="42">
        <f>IF(C15="",0,C15*J$11)</f>
        <v>6948</v>
      </c>
      <c r="E15" s="29">
        <f>IF(DigitaTICA!H8&lt;&gt;"",DigitaTICA!H8,"")</f>
        <v>2300</v>
      </c>
      <c r="F15" s="42">
        <f>IF(E15="",0,E15*PREMIOS!F15)</f>
        <v>195500</v>
      </c>
      <c r="G15" s="30">
        <f t="shared" si="4"/>
        <v>-144548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>
        <f>IF(DigitaNICA!I8&lt;&gt;"",DigitaNICA!I8,"")</f>
        <v>50950</v>
      </c>
      <c r="D17" s="42">
        <f>IF(C17="",0,C17*J$12)</f>
        <v>6114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44836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95</v>
      </c>
      <c r="C20" s="29">
        <f>IF(DigitaPRIMERA!E8&lt;&gt;"",DigitaPRIMERA!E8,"")</f>
        <v>17200</v>
      </c>
      <c r="D20" s="42">
        <f>IF(C20="",0,C20*J$14)</f>
        <v>2064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15136</v>
      </c>
    </row>
    <row r="21" spans="1:7" ht="15" thickBot="1" x14ac:dyDescent="0.4">
      <c r="A21" s="121" t="s">
        <v>5</v>
      </c>
      <c r="B21" s="128"/>
      <c r="C21" s="122">
        <f>SUM(C5:C20)</f>
        <v>387100</v>
      </c>
      <c r="D21" s="122">
        <f t="shared" ref="D21:G21" si="5">SUM(D5:D20)</f>
        <v>46452</v>
      </c>
      <c r="E21" s="122">
        <f t="shared" si="5"/>
        <v>4150</v>
      </c>
      <c r="F21" s="122">
        <f t="shared" si="5"/>
        <v>348500</v>
      </c>
      <c r="G21" s="123">
        <f t="shared" si="5"/>
        <v>-7852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39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>02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>09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95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407050</v>
      </c>
      <c r="K4" s="231">
        <f t="shared" ref="K4" si="0">D7+D11+D15</f>
        <v>48846</v>
      </c>
      <c r="L4" s="220">
        <f>F7+F11+F15</f>
        <v>399500</v>
      </c>
    </row>
    <row r="5" spans="1:12" x14ac:dyDescent="0.35">
      <c r="A5" s="28" t="s">
        <v>43</v>
      </c>
      <c r="B5" s="132">
        <f>IF(DigitaNICA!C2&lt;&gt;"",DigitaNICA!C2,"")</f>
        <v>39</v>
      </c>
      <c r="C5" s="29">
        <f>IF(DigitaNICA!C10&lt;&gt;"",DigitaNICA!C10,"")</f>
        <v>100300</v>
      </c>
      <c r="D5" s="42">
        <f>IF(C5="",0,C5*J$15)</f>
        <v>12036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88264</v>
      </c>
      <c r="I5" s="217" t="s">
        <v>37</v>
      </c>
      <c r="J5" s="221">
        <f>SUM(IF(C5="",0,C5),IF(C9="",0,C9),IF(C13="",0,C13),IF(C17="",0,C17))</f>
        <v>333050</v>
      </c>
      <c r="K5" s="225">
        <f t="shared" ref="K5" si="2">D5+D9+D13+D17</f>
        <v>39966</v>
      </c>
      <c r="L5" s="222">
        <f>F5+F9+F13+F17</f>
        <v>55250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65250</v>
      </c>
      <c r="K6" s="226">
        <f t="shared" ref="K6" si="3">+D8+D12+D16</f>
        <v>6525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87</v>
      </c>
      <c r="C7" s="29">
        <f>IF(DigitaTICA!C10&lt;&gt;"",DigitaTICA!C10,"")</f>
        <v>167200</v>
      </c>
      <c r="D7" s="42">
        <f>IF(C7="",0,C7*J$14)</f>
        <v>20064</v>
      </c>
      <c r="E7" s="29">
        <f>IF(DigitaTICA!D10&lt;&gt;"",DigitaTICA!D10,"")</f>
        <v>750</v>
      </c>
      <c r="F7" s="42">
        <f>IF(E7="",0,E7*PREMIOS!F7)</f>
        <v>63750</v>
      </c>
      <c r="G7" s="30">
        <f t="shared" si="1"/>
        <v>83386</v>
      </c>
      <c r="I7" s="217" t="s">
        <v>96</v>
      </c>
      <c r="J7" s="223">
        <f>SUM(IF(C19="",0,C19),IF(C20="",0,C20))</f>
        <v>93200</v>
      </c>
      <c r="K7" s="226">
        <f>+D19+D20</f>
        <v>11184</v>
      </c>
      <c r="L7" s="227">
        <f>+F19+F20</f>
        <v>144500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21450</v>
      </c>
      <c r="D8" s="42">
        <f>IF(C8="",0,C8*J$16)</f>
        <v>2145</v>
      </c>
      <c r="E8" s="29">
        <f>IF(DigitaREVENTADO!D10&lt;&gt;"",DigitaREVENTADO!D10,"")</f>
        <v>750</v>
      </c>
      <c r="F8" s="42">
        <f>IF(E8="",0,E8*PREMIOS!F8)</f>
        <v>0</v>
      </c>
      <c r="G8" s="30">
        <f t="shared" si="1"/>
        <v>19305</v>
      </c>
      <c r="I8" s="217" t="s">
        <v>104</v>
      </c>
      <c r="J8" s="223">
        <f>SUM(IF(C21="",0,C21),IF(C22="",0,C22),IF(C23="",0,C23))</f>
        <v>101150</v>
      </c>
      <c r="K8" s="226">
        <f t="shared" ref="K8" si="4">D21+D22+D23</f>
        <v>12138</v>
      </c>
      <c r="L8" s="227">
        <f>F21+F22+F23</f>
        <v>161500</v>
      </c>
    </row>
    <row r="9" spans="1:12" x14ac:dyDescent="0.35">
      <c r="A9" s="28" t="s">
        <v>48</v>
      </c>
      <c r="B9" s="132" t="str">
        <f>IF(DigitaNICA!E2&lt;&gt;"",DigitaNICA!E2,"")</f>
        <v>06</v>
      </c>
      <c r="C9" s="29">
        <f>IF(DigitaNICA!E10&lt;&gt;"",DigitaNICA!E10,"")</f>
        <v>64550</v>
      </c>
      <c r="D9" s="42">
        <f>IF(C9="",0,C9*J$15)</f>
        <v>7746</v>
      </c>
      <c r="E9" s="29">
        <f>IF(DigitaNICA!F10&lt;&gt;"",DigitaNICA!F10,"")</f>
        <v>400</v>
      </c>
      <c r="F9" s="42">
        <f>IF(E9="",0,E9*PREMIOS!F9)</f>
        <v>34000</v>
      </c>
      <c r="G9" s="30">
        <f t="shared" si="1"/>
        <v>22804</v>
      </c>
      <c r="I9" s="217" t="s">
        <v>20</v>
      </c>
      <c r="J9" s="223">
        <f>SUM(IF(C24="",0,C24),IF(C25="",0,C25))</f>
        <v>42750</v>
      </c>
      <c r="K9" s="226">
        <f t="shared" ref="K9" si="5">+D24+D25</f>
        <v>5130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63</v>
      </c>
      <c r="C11" s="29">
        <f>IF(DigitaTICA!E10&lt;&gt;"",DigitaTICA!E10,"")</f>
        <v>111700</v>
      </c>
      <c r="D11" s="42">
        <f>IF(C11="",0,C11*J$14)</f>
        <v>13404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98296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22450</v>
      </c>
      <c r="D12" s="42">
        <f>IF(C12="",0,C12*J$16)</f>
        <v>2245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20205</v>
      </c>
    </row>
    <row r="13" spans="1:12" ht="15" thickBot="1" x14ac:dyDescent="0.4">
      <c r="A13" s="28" t="s">
        <v>50</v>
      </c>
      <c r="B13" s="132" t="str">
        <f>IF(DigitaNICA!G2&lt;&gt;"",DigitaNICA!G2,"")</f>
        <v>02</v>
      </c>
      <c r="C13" s="29">
        <f>IF(DigitaNICA!G10&lt;&gt;"",DigitaNICA!G10,"")</f>
        <v>71350</v>
      </c>
      <c r="D13" s="42">
        <f>IF(C13="",0,C13*J$15)</f>
        <v>8562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62788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48850</v>
      </c>
    </row>
    <row r="15" spans="1:12" x14ac:dyDescent="0.35">
      <c r="A15" s="28" t="s">
        <v>61</v>
      </c>
      <c r="B15" s="132" t="str">
        <f>IF(DigitaTICA!G2&lt;&gt;"",DigitaTICA!G2,"")</f>
        <v>09</v>
      </c>
      <c r="C15" s="29">
        <f>IF(DigitaTICA!G10&lt;&gt;"",DigitaTICA!G10,"")</f>
        <v>128150</v>
      </c>
      <c r="D15" s="42">
        <f>IF(C15="",0,C15*J$14)</f>
        <v>15378</v>
      </c>
      <c r="E15" s="29">
        <f>IF(DigitaTICA!H10&lt;&gt;"",DigitaTICA!H10,"")</f>
        <v>3950</v>
      </c>
      <c r="F15" s="42">
        <f>IF(E15="",0,E15*PREMIOS!F15)</f>
        <v>335750</v>
      </c>
      <c r="G15" s="30">
        <f t="shared" si="6"/>
        <v>-222978</v>
      </c>
      <c r="I15" s="63" t="s">
        <v>37</v>
      </c>
      <c r="J15" s="64">
        <v>0.12</v>
      </c>
      <c r="K15" s="30">
        <f>MROUND(D5+D9+D13+D17,50)</f>
        <v>39950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21350</v>
      </c>
      <c r="D16" s="42">
        <f>IF(C16="",0,C16*J$16)</f>
        <v>2135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19215</v>
      </c>
      <c r="I16" s="63" t="s">
        <v>38</v>
      </c>
      <c r="J16" s="64">
        <v>0.1</v>
      </c>
      <c r="K16" s="30">
        <f>MROUND(D6+D8+D10+D12+D14+D16+D18,50)</f>
        <v>6550</v>
      </c>
    </row>
    <row r="17" spans="1:11" x14ac:dyDescent="0.35">
      <c r="A17" s="28" t="s">
        <v>52</v>
      </c>
      <c r="B17" s="132">
        <f>IF(DigitaNICA!I2&lt;&gt;"",DigitaNICA!I2,"")</f>
        <v>23</v>
      </c>
      <c r="C17" s="29">
        <f>IF(DigitaNICA!I10&lt;&gt;"",DigitaNICA!I10,"")</f>
        <v>96850</v>
      </c>
      <c r="D17" s="42">
        <f>IF(C17="",0,C17*J$15)</f>
        <v>11622</v>
      </c>
      <c r="E17" s="29">
        <f>IF(DigitaNICA!J10&lt;&gt;"",DigitaNICA!J10,"")</f>
        <v>250</v>
      </c>
      <c r="F17" s="42">
        <f>IF(E17="",0,E17*PREMIOS!F17)</f>
        <v>21250</v>
      </c>
      <c r="G17" s="30">
        <f t="shared" si="6"/>
        <v>63978</v>
      </c>
      <c r="I17" s="63" t="s">
        <v>96</v>
      </c>
      <c r="J17" s="64">
        <v>0.12</v>
      </c>
      <c r="K17" s="30">
        <f>MROUND(D19+D20,50)</f>
        <v>11200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12150</v>
      </c>
    </row>
    <row r="19" spans="1:11" x14ac:dyDescent="0.35">
      <c r="A19" s="28" t="s">
        <v>97</v>
      </c>
      <c r="B19" s="132">
        <f>IF(DigitaPRIMERA!C2&lt;&gt;"",DigitaPRIMERA!C2,"")</f>
        <v>66</v>
      </c>
      <c r="C19" s="29">
        <f>IF(DigitaPRIMERA!$C$10&lt;&gt;"",DigitaPRIMERA!$C$10,"")</f>
        <v>43200</v>
      </c>
      <c r="D19" s="42">
        <f>IF(C19="",0,C19*J$17)</f>
        <v>5184</v>
      </c>
      <c r="E19" s="29">
        <f>IF(DigitaPRIMERA!$D$10&lt;&gt;"",DigitaPRIMERA!$D$10,"")</f>
        <v>1000</v>
      </c>
      <c r="F19" s="42">
        <f>IF(E19="",0,E19*PREMIOS!F19)</f>
        <v>85000</v>
      </c>
      <c r="G19" s="30">
        <f t="shared" ref="G19:G22" si="7">IF(OR(C19="",E19=""),0,C19-D19-F19)</f>
        <v>-46984</v>
      </c>
      <c r="I19" s="63" t="s">
        <v>20</v>
      </c>
      <c r="J19" s="64">
        <v>0.12</v>
      </c>
      <c r="K19" s="30">
        <f>MROUND(D24+D25,50)</f>
        <v>5150</v>
      </c>
    </row>
    <row r="20" spans="1:11" ht="15" thickBot="1" x14ac:dyDescent="0.4">
      <c r="A20" s="28" t="s">
        <v>98</v>
      </c>
      <c r="B20" s="132">
        <f>IF(DigitaPRIMERA!E2&lt;&gt;"",DigitaPRIMERA!E2,"")</f>
        <v>95</v>
      </c>
      <c r="C20" s="29">
        <f>IF(DigitaPRIMERA!$E$10&lt;&gt;"",DigitaPRIMERA!$E$10,"")</f>
        <v>50000</v>
      </c>
      <c r="D20" s="42">
        <f>IF(C20="",0,C20*J$17)</f>
        <v>6000</v>
      </c>
      <c r="E20" s="29">
        <f>IF(DigitaPRIMERA!$F$10&lt;&gt;"",DigitaPRIMERA!$F$10,"")</f>
        <v>700</v>
      </c>
      <c r="F20" s="42">
        <f>IF(E20="",0,E20*PREMIOS!F19)</f>
        <v>59500</v>
      </c>
      <c r="G20" s="30">
        <f t="shared" si="7"/>
        <v>-15500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20</v>
      </c>
      <c r="C21" s="29">
        <f>IF(DigitaHONDURAS!$C$10&lt;&gt;"",DigitaHONDURAS!$C$10,"")</f>
        <v>71550</v>
      </c>
      <c r="D21" s="42">
        <f>IF(C21="",0,C21*J$18)</f>
        <v>8586</v>
      </c>
      <c r="E21" s="29">
        <f>IF(DigitaHONDURAS!$D$10&lt;&gt;"",DigitaHONDURAS!$D$10,"")</f>
        <v>900</v>
      </c>
      <c r="F21" s="42">
        <f>IF(E21="",0,E21*PREMIOS!F20)</f>
        <v>76500</v>
      </c>
      <c r="G21" s="30">
        <f t="shared" si="7"/>
        <v>-13536</v>
      </c>
    </row>
    <row r="22" spans="1:11" x14ac:dyDescent="0.35">
      <c r="A22" s="28" t="s">
        <v>100</v>
      </c>
      <c r="B22" s="132">
        <f>IF(DigitaHONDURAS!E2&lt;&gt;"",DigitaHONDURAS!E2,"")</f>
        <v>24</v>
      </c>
      <c r="C22" s="29">
        <f>IF(DigitaHONDURAS!$E$10&lt;&gt;"",DigitaHONDURAS!$E$10,"")</f>
        <v>15700</v>
      </c>
      <c r="D22" s="42">
        <f>IF(C22="",0,C22*J$18)</f>
        <v>1884</v>
      </c>
      <c r="E22" s="29">
        <f>IF(DigitaHONDURAS!$F$10&lt;&gt;"",DigitaHONDURAS!$F$10,"")</f>
        <v>1000</v>
      </c>
      <c r="F22" s="42">
        <f>IF(E22="",0,E22*PREMIOS!F20)</f>
        <v>85000</v>
      </c>
      <c r="G22" s="30">
        <f t="shared" si="7"/>
        <v>-71184</v>
      </c>
    </row>
    <row r="23" spans="1:11" x14ac:dyDescent="0.35">
      <c r="A23" s="28" t="s">
        <v>101</v>
      </c>
      <c r="B23" s="132">
        <f>IF(DigitaHONDURAS!G2&lt;&gt;"",DigitaHONDURAS!G2,"")</f>
        <v>42</v>
      </c>
      <c r="C23" s="29">
        <f>IF(DigitaHONDURAS!$G$10&lt;&gt;"",DigitaHONDURAS!$G$10,"")</f>
        <v>13900</v>
      </c>
      <c r="D23" s="42">
        <f>IF(C23="",0,C23*J$18)</f>
        <v>1668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12232</v>
      </c>
    </row>
    <row r="24" spans="1:11" x14ac:dyDescent="0.35">
      <c r="A24" s="28" t="s">
        <v>107</v>
      </c>
      <c r="B24" s="132">
        <f>IF(DigitaDOMINICANA!C2&lt;&gt;"",DigitaDOMINICANA!C2,"")</f>
        <v>39</v>
      </c>
      <c r="C24" s="29">
        <f>IF(DigitaDOMINICANA!$C$10&lt;&gt;"",DigitaDOMINICANA!$C$10,"")</f>
        <v>750</v>
      </c>
      <c r="D24" s="42">
        <f>IF(C24="",0,C24*J$19)</f>
        <v>90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660</v>
      </c>
    </row>
    <row r="25" spans="1:11" x14ac:dyDescent="0.35">
      <c r="A25" s="28" t="s">
        <v>108</v>
      </c>
      <c r="B25" s="132">
        <f>IF(DigitaDOMINICANA!E2&lt;&gt;"",DigitaDOMINICANA!E2,"")</f>
        <v>39</v>
      </c>
      <c r="C25" s="29">
        <f>IF(DigitaDOMINICANA!$E$10&lt;&gt;"",DigitaDOMINICANA!$E$10,"")</f>
        <v>42000</v>
      </c>
      <c r="D25" s="42">
        <f>IF(C25="",0,C25*J$19)</f>
        <v>5040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36960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1042450</v>
      </c>
      <c r="D27" s="68">
        <f t="shared" ref="D27:F27" si="9">SUM(D5:D26)</f>
        <v>123789</v>
      </c>
      <c r="E27" s="68">
        <f t="shared" si="9"/>
        <v>9700</v>
      </c>
      <c r="F27" s="68">
        <f t="shared" si="9"/>
        <v>760750</v>
      </c>
      <c r="G27" s="88">
        <f>SUM(G5:G26)</f>
        <v>157911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8700</v>
      </c>
      <c r="K4" s="231">
        <f t="shared" ref="K4" si="0">D7+D11+D15</f>
        <v>1044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39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87</v>
      </c>
      <c r="C7" s="29">
        <f>IF(DigitaTICA!C11&lt;&gt;"",DigitaTICA!C11,"")</f>
        <v>3500</v>
      </c>
      <c r="D7" s="42">
        <f>IF(C7="",0,C7*J$11)</f>
        <v>420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3080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1050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>02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>09</v>
      </c>
      <c r="C15" s="29">
        <f>IF(DigitaTICA!G11&lt;&gt;"",DigitaTICA!G11,"")</f>
        <v>5200</v>
      </c>
      <c r="D15" s="42">
        <f>IF(C15="",0,C15*J$11)</f>
        <v>624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4576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95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8700</v>
      </c>
      <c r="D21" s="122">
        <f t="shared" ref="D21:G21" si="5">SUM(D5:D20)</f>
        <v>1044</v>
      </c>
      <c r="E21" s="122">
        <f t="shared" si="5"/>
        <v>0</v>
      </c>
      <c r="F21" s="122">
        <f t="shared" si="5"/>
        <v>0</v>
      </c>
      <c r="G21" s="123">
        <f t="shared" si="5"/>
        <v>7656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27200</v>
      </c>
      <c r="K4" s="231">
        <f>D7+D11+D15</f>
        <v>3264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39</v>
      </c>
      <c r="C5" s="29">
        <f>IF(DigitaNICA!C12&lt;&gt;"",DigitaNICA!C12,"")</f>
        <v>29200</v>
      </c>
      <c r="D5" s="42">
        <f>IF(C5="",0,C5*J$12)</f>
        <v>3504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25696</v>
      </c>
      <c r="I5" s="217" t="s">
        <v>37</v>
      </c>
      <c r="J5" s="221">
        <f>SUM(IF(C5="",0,C5),IF(C9="",0,C9),IF(C13="",0,C13),IF(C17="",0,C17))</f>
        <v>41950</v>
      </c>
      <c r="K5" s="225">
        <f t="shared" ref="K5" si="1">D5+D9+D13+D17</f>
        <v>5034</v>
      </c>
      <c r="L5" s="222">
        <f>F5+F9+F13+F17</f>
        <v>34000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2750</v>
      </c>
      <c r="K6" s="226">
        <f t="shared" ref="K6" si="2">+D8+D12+D16</f>
        <v>275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87</v>
      </c>
      <c r="C7" s="29">
        <f>IF(DigitaTICA!C12&lt;&gt;"",DigitaTICA!C12,"")</f>
        <v>21200</v>
      </c>
      <c r="D7" s="42">
        <f>IF(C7="",0,C7*J$11)</f>
        <v>2544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18656</v>
      </c>
      <c r="I7" s="217" t="s">
        <v>96</v>
      </c>
      <c r="J7" s="223">
        <f>SUM(IF(C19="",0,C19),IF(C20="",0,C20))</f>
        <v>16900</v>
      </c>
      <c r="K7" s="226">
        <f>+D19+D20</f>
        <v>2028</v>
      </c>
      <c r="L7" s="227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1800</v>
      </c>
      <c r="D8" s="42">
        <f>IF(C8="",0,C8*J$13)</f>
        <v>180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1620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>
        <f>IF(DigitaNICA!E12&lt;&gt;"",DigitaNICA!E12,"")</f>
        <v>12750</v>
      </c>
      <c r="D9" s="42">
        <f>IF(C9="",0,C9*J$12)</f>
        <v>1530</v>
      </c>
      <c r="E9" s="29">
        <f>IF(DigitaNICA!F12&lt;&gt;"",DigitaNICA!F12,"")</f>
        <v>400</v>
      </c>
      <c r="F9" s="42">
        <f>IF(E9="",0,E9*PREMIOS!F9)</f>
        <v>34000</v>
      </c>
      <c r="G9" s="30">
        <f t="shared" si="0"/>
        <v>-22780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63</v>
      </c>
      <c r="C11" s="29">
        <f>IF(DigitaTICA!E12&lt;&gt;"",DigitaTICA!E12,"")</f>
        <v>6000</v>
      </c>
      <c r="D11" s="42">
        <f>IF(C11="",0,C11*J$11)</f>
        <v>720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5280</v>
      </c>
      <c r="I11" s="60" t="s">
        <v>36</v>
      </c>
      <c r="J11" s="61">
        <v>0.12</v>
      </c>
      <c r="K11" s="62">
        <f>MROUND(D7+D11+D15,50)</f>
        <v>3250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950</v>
      </c>
      <c r="D12" s="42">
        <f>IF(C12="",0,C12*J$13)</f>
        <v>95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855</v>
      </c>
      <c r="I12" s="63" t="s">
        <v>37</v>
      </c>
      <c r="J12" s="64">
        <v>0.12</v>
      </c>
      <c r="K12" s="30">
        <f>MROUND(D5+D9+D13+D17,50)</f>
        <v>5050</v>
      </c>
    </row>
    <row r="13" spans="1:12" x14ac:dyDescent="0.35">
      <c r="A13" s="28" t="s">
        <v>50</v>
      </c>
      <c r="B13" s="132" t="str">
        <f>IF(DigitaNICA!G2&lt;&gt;"",DigitaNICA!G2,"")</f>
        <v>02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2050</v>
      </c>
    </row>
    <row r="15" spans="1:12" ht="15" thickBot="1" x14ac:dyDescent="0.4">
      <c r="A15" s="28" t="s">
        <v>61</v>
      </c>
      <c r="B15" s="132" t="str">
        <f>IF(DigitaTICA!G2&lt;&gt;"",DigitaTICA!G2,"")</f>
        <v>09</v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>
        <f>IF(DigitaPRIMERA!$C$12&lt;&gt;"",DigitaPRIMERA!$C$12,"")</f>
        <v>16900</v>
      </c>
      <c r="D19" s="42">
        <f>IF(C19="",0,C19*J$14)</f>
        <v>2028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-6378</v>
      </c>
    </row>
    <row r="20" spans="1:7" x14ac:dyDescent="0.35">
      <c r="A20" s="28" t="s">
        <v>98</v>
      </c>
      <c r="B20" s="132">
        <f>IF(DigitaPRIMERA!E2&lt;&gt;"",DigitaPRIMERA!E2,"")</f>
        <v>95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20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24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42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88800</v>
      </c>
      <c r="D24" s="68">
        <f t="shared" ref="D24:G24" si="4">SUM(D5:D23)</f>
        <v>10601</v>
      </c>
      <c r="E24" s="68">
        <f t="shared" si="4"/>
        <v>650</v>
      </c>
      <c r="F24" s="68">
        <f t="shared" si="4"/>
        <v>55250</v>
      </c>
      <c r="G24" s="88">
        <f t="shared" si="4"/>
        <v>22949</v>
      </c>
    </row>
    <row r="27" spans="1:7" x14ac:dyDescent="0.35">
      <c r="G27" s="21">
        <v>305111</v>
      </c>
    </row>
    <row r="28" spans="1:7" x14ac:dyDescent="0.35">
      <c r="G28" s="141">
        <f>+G24+G27</f>
        <v>328060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135300</v>
      </c>
      <c r="K4" s="231">
        <f t="shared" ref="K4" si="0">D7+D11+D15</f>
        <v>16236</v>
      </c>
      <c r="L4" s="220">
        <f>F7+F11+F15</f>
        <v>246500</v>
      </c>
    </row>
    <row r="5" spans="1:12" ht="15" thickBot="1" x14ac:dyDescent="0.4">
      <c r="A5" s="28" t="s">
        <v>43</v>
      </c>
      <c r="B5" s="132">
        <f>IF(DigitaNICA!C2&lt;&gt;"",DigitaNICA!C2,"")</f>
        <v>39</v>
      </c>
      <c r="C5" s="29" t="str">
        <f>IF(DigitaNICA!C13&lt;&gt;"",DigitaNICA!C13,"")</f>
        <v/>
      </c>
      <c r="D5" s="42">
        <f>IF(C5="",0,C5*J$10)</f>
        <v>0</v>
      </c>
      <c r="E5" s="29" t="str">
        <f>IF(DigitaNICA!D13&lt;&gt;"",DigitaNICA!D13,"")</f>
        <v/>
      </c>
      <c r="F5" s="42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50250</v>
      </c>
      <c r="K5" s="233">
        <f t="shared" ref="K5" si="2">D5+D9+D13+D17</f>
        <v>6030</v>
      </c>
      <c r="L5" s="234">
        <f>F5+F9+F13+F17</f>
        <v>48000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87</v>
      </c>
      <c r="C7" s="29">
        <f>IF(DigitaTICA!C13&lt;&gt;"",DigitaTICA!C13,"")</f>
        <v>26950</v>
      </c>
      <c r="D7" s="42">
        <f>IF(C7="",0,C7*J$9)</f>
        <v>3234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23716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29">
        <f>IF(DigitaNICA!E13&lt;&gt;"",DigitaNICA!E13,"")</f>
        <v>25500</v>
      </c>
      <c r="D9" s="42">
        <f>IF(C9="",0,C9*J$10)</f>
        <v>3060</v>
      </c>
      <c r="E9" s="29">
        <f>IF(DigitaNICA!F13&lt;&gt;"",DigitaNICA!F13,"")</f>
        <v>600</v>
      </c>
      <c r="F9" s="133">
        <f>IF(E9="",0,E9*PREMIOS!E9)</f>
        <v>48000</v>
      </c>
      <c r="G9" s="30">
        <f t="shared" si="1"/>
        <v>-25560</v>
      </c>
      <c r="I9" s="60" t="s">
        <v>36</v>
      </c>
      <c r="J9" s="61">
        <v>0.12</v>
      </c>
      <c r="K9" s="62">
        <f>MROUND(D7+D11+D15,50)</f>
        <v>16250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6050</v>
      </c>
    </row>
    <row r="11" spans="1:12" ht="15" thickBot="1" x14ac:dyDescent="0.4">
      <c r="A11" s="28" t="s">
        <v>59</v>
      </c>
      <c r="B11" s="132">
        <f>IF(DigitaTICA!E2&lt;&gt;"",DigitaTICA!E2,"")</f>
        <v>63</v>
      </c>
      <c r="C11" s="29">
        <f>IF(DigitaTICA!E13&lt;&gt;"",DigitaTICA!E13,"")</f>
        <v>48850</v>
      </c>
      <c r="D11" s="42">
        <f>IF(C11="",0,C11*J$9)</f>
        <v>5862</v>
      </c>
      <c r="E11" s="29">
        <f>IF(DigitaTICA!F13&lt;&gt;"",DigitaTICA!F13,"")</f>
        <v>700</v>
      </c>
      <c r="F11" s="133">
        <f>IF(E11="",0,E11*PREMIOS!F11)</f>
        <v>59500</v>
      </c>
      <c r="G11" s="30">
        <f t="shared" si="1"/>
        <v>-16512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02</v>
      </c>
      <c r="C13" s="29">
        <f>IF(DigitaNICA!G13&lt;&gt;"",DigitaNICA!G13,"")</f>
        <v>22050</v>
      </c>
      <c r="D13" s="42">
        <f>IF(C13="",0,C13*J$10)</f>
        <v>2646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19404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09</v>
      </c>
      <c r="C15" s="29">
        <f>IF(DigitaTICA!G13&lt;&gt;"",DigitaTICA!G13,"")</f>
        <v>59500</v>
      </c>
      <c r="D15" s="42">
        <f>IF(C15="",0,C15*J$9)</f>
        <v>7140</v>
      </c>
      <c r="E15" s="29">
        <f>IF(DigitaTICA!H13&lt;&gt;"",DigitaTICA!H13,"")</f>
        <v>2200</v>
      </c>
      <c r="F15" s="133">
        <f>IF(E15="",0,E15*PREMIOS!F15)</f>
        <v>187000</v>
      </c>
      <c r="G15" s="30">
        <f t="shared" si="3"/>
        <v>-134640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>
        <f>IF(DigitaNICA!I13&lt;&gt;"",DigitaNICA!I13,"")</f>
        <v>2700</v>
      </c>
      <c r="D17" s="42">
        <f>IF(C17="",0,C17*J$10)</f>
        <v>324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2376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185550</v>
      </c>
      <c r="D19" s="68">
        <f>MROUND(SUM(D5:D18),50)</f>
        <v>22250</v>
      </c>
      <c r="E19" s="68">
        <f>SUM(E5:E18)</f>
        <v>3500</v>
      </c>
      <c r="F19" s="68">
        <f>SUM(F5:F18)</f>
        <v>294500</v>
      </c>
      <c r="G19" s="88">
        <f>SUM(G5:G18)</f>
        <v>-131216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78850</v>
      </c>
      <c r="K4" s="236">
        <f t="shared" ref="K4" si="0">D7+D11+D15</f>
        <v>11827.5</v>
      </c>
      <c r="L4" s="237">
        <f>F7+F11+F15</f>
        <v>152000</v>
      </c>
    </row>
    <row r="5" spans="1:12" x14ac:dyDescent="0.35">
      <c r="A5" s="28" t="s">
        <v>43</v>
      </c>
      <c r="B5" s="132">
        <f>IF(DigitaNICA!C2&lt;&gt;"",DigitaNICA!C2,"")</f>
        <v>39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87</v>
      </c>
      <c r="C7" s="29">
        <f>IF(DigitaTICA!C14&lt;&gt;"",DigitaTICA!C14,"")</f>
        <v>29400</v>
      </c>
      <c r="D7" s="42">
        <f>IF(C7="",0,C7*J$9)</f>
        <v>4410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24990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11850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63</v>
      </c>
      <c r="C11" s="29">
        <f>IF(DigitaTICA!E14&lt;&gt;"",DigitaTICA!E14,"")</f>
        <v>19450</v>
      </c>
      <c r="D11" s="42">
        <f>IF(C11="",0,C11*J$9)</f>
        <v>2917.5</v>
      </c>
      <c r="E11" s="29">
        <f>IF(DigitaTICA!F14&lt;&gt;"",DigitaTICA!F14,"")</f>
        <v>300</v>
      </c>
      <c r="F11" s="42">
        <f>IF(E11="",0,E11*PREMIOS!E11)</f>
        <v>24000</v>
      </c>
      <c r="G11" s="30">
        <f t="shared" si="1"/>
        <v>-7467.5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02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09</v>
      </c>
      <c r="C15" s="29">
        <f>IF(DigitaTICA!G14&lt;&gt;"",DigitaTICA!G14,"")</f>
        <v>30000</v>
      </c>
      <c r="D15" s="42">
        <f>IF(C15="",0,C15*J$9)</f>
        <v>4500</v>
      </c>
      <c r="E15" s="29">
        <f>IF(DigitaTICA!H14&lt;&gt;"",DigitaTICA!H14,"")</f>
        <v>1600</v>
      </c>
      <c r="F15" s="42">
        <f>IF(E15="",0,E15*PREMIOS!E15)</f>
        <v>128000</v>
      </c>
      <c r="G15" s="30">
        <f t="shared" si="2"/>
        <v>-102500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78850</v>
      </c>
      <c r="D19" s="68">
        <f>MROUND(SUM(D5:D18),50)</f>
        <v>11850</v>
      </c>
      <c r="E19" s="68">
        <f>SUM(E5:E18)</f>
        <v>1900</v>
      </c>
      <c r="F19" s="68">
        <f>SUM(F5:F18)</f>
        <v>152000</v>
      </c>
      <c r="G19" s="88">
        <f>SUM(G5:G18)</f>
        <v>-84977.5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39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02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09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44900</v>
      </c>
      <c r="K4" s="231">
        <f>D7+D11+D15</f>
        <v>5388</v>
      </c>
      <c r="L4" s="220">
        <f>F7+F11+F15</f>
        <v>63750</v>
      </c>
    </row>
    <row r="5" spans="1:12" x14ac:dyDescent="0.35">
      <c r="A5" s="28" t="s">
        <v>43</v>
      </c>
      <c r="B5" s="132">
        <f>IF(DigitaNICA!C2&lt;&gt;"",DigitaNICA!C2,"")</f>
        <v>39</v>
      </c>
      <c r="C5" s="29">
        <f>IF(DigitaNICA!C16&lt;&gt;"",DigitaNICA!C16,"")</f>
        <v>2600</v>
      </c>
      <c r="D5" s="42">
        <f>IF(C5="",0,C5*J$12)</f>
        <v>312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2288</v>
      </c>
      <c r="I5" s="63" t="s">
        <v>37</v>
      </c>
      <c r="J5" s="225">
        <f>SUM(IF(C5="",0,C5),IF(C9="",0,C9),IF(C13="",0,C13),IF(C17="",0,C17))</f>
        <v>5600</v>
      </c>
      <c r="K5" s="225">
        <f t="shared" ref="K5" si="1">D5+D9+D13+D17</f>
        <v>672</v>
      </c>
      <c r="L5" s="222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2500</v>
      </c>
      <c r="K6" s="226">
        <f t="shared" ref="K6" si="2">+D8+D12+D16</f>
        <v>250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87</v>
      </c>
      <c r="C7" s="29">
        <f>IF(DigitaTICA!C16&lt;&gt;"",DigitaTICA!C16,"")</f>
        <v>9600</v>
      </c>
      <c r="D7" s="42">
        <f>IF(C7="",0,C7*J$11)</f>
        <v>1152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8448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>
        <f>IF(DigitaNICA!E16&lt;&gt;"",DigitaNICA!E16,"")</f>
        <v>3000</v>
      </c>
      <c r="D9" s="42">
        <f>IF(C9="",0,C9*J$12)</f>
        <v>360</v>
      </c>
      <c r="E9" s="29">
        <f>IF(DigitaNICA!F16&lt;&gt;"",DigitaNICA!F16,"")</f>
        <v>500</v>
      </c>
      <c r="F9" s="133">
        <f>IF(E9="",0,E9*PREMIOS!E9)</f>
        <v>40000</v>
      </c>
      <c r="G9" s="30">
        <f t="shared" si="0"/>
        <v>-37360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63</v>
      </c>
      <c r="C11" s="29" t="str">
        <f>IF(DigitaTICA!E16&lt;&gt;"",DigitaTICA!E16,"")</f>
        <v/>
      </c>
      <c r="D11" s="42">
        <f>IF(C11="",0,C11*J$11)</f>
        <v>0</v>
      </c>
      <c r="E11" s="29" t="str">
        <f>IF(DigitaTICA!F16&lt;&gt;"",DigitaTICA!F16,"")</f>
        <v/>
      </c>
      <c r="F11" s="133">
        <f>IF(E11="",0,E11*PREMIOS!F11)</f>
        <v>0</v>
      </c>
      <c r="G11" s="30">
        <f t="shared" si="0"/>
        <v>0</v>
      </c>
      <c r="I11" s="76" t="s">
        <v>36</v>
      </c>
      <c r="J11" s="77">
        <v>0.12</v>
      </c>
      <c r="K11" s="78">
        <f>MROUND(D7+D11+D15,50)</f>
        <v>5400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650</v>
      </c>
    </row>
    <row r="13" spans="1:12" x14ac:dyDescent="0.35">
      <c r="A13" s="28" t="s">
        <v>50</v>
      </c>
      <c r="B13" s="132" t="str">
        <f>IF(DigitaNICA!G2&lt;&gt;"",DigitaNICA!G2,"")</f>
        <v>02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 t="str">
        <f>IF(DigitaTICA!G2&lt;&gt;"",DigitaTICA!G2,"")</f>
        <v>09</v>
      </c>
      <c r="C15" s="29">
        <f>IF(DigitaTICA!G16&lt;&gt;"",DigitaTICA!G16,"")</f>
        <v>35300</v>
      </c>
      <c r="D15" s="42">
        <f>IF(C15="",0,C15*J$11)</f>
        <v>4236</v>
      </c>
      <c r="E15" s="29">
        <f>IF(DigitaTICA!H16&lt;&gt;"",DigitaTICA!H16,"")</f>
        <v>750</v>
      </c>
      <c r="F15" s="133">
        <f>IF(E15="",0,E15*PREMIOS!F15)</f>
        <v>63750</v>
      </c>
      <c r="G15" s="30">
        <f t="shared" si="3"/>
        <v>-32686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2500</v>
      </c>
      <c r="D16" s="42">
        <f>IF(C16="",0,C16*J$13)</f>
        <v>250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2250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95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20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24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42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53000</v>
      </c>
      <c r="D24" s="122">
        <f t="shared" ref="D24:G24" si="5">SUM(D5:D23)</f>
        <v>6310</v>
      </c>
      <c r="E24" s="122">
        <f t="shared" si="5"/>
        <v>1250</v>
      </c>
      <c r="F24" s="122">
        <f t="shared" si="5"/>
        <v>103750</v>
      </c>
      <c r="G24" s="123">
        <f t="shared" si="5"/>
        <v>-57060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412800</v>
      </c>
      <c r="K4" s="231">
        <f t="shared" ref="K4" si="0">D7+D11+D15</f>
        <v>49536</v>
      </c>
      <c r="L4" s="220">
        <f>F7+F11+F15</f>
        <v>518500</v>
      </c>
    </row>
    <row r="5" spans="1:12" x14ac:dyDescent="0.35">
      <c r="A5" s="28" t="s">
        <v>43</v>
      </c>
      <c r="B5" s="132">
        <f>IF(DigitaNICA!C2&lt;&gt;"",DigitaNICA!C2,"")</f>
        <v>39</v>
      </c>
      <c r="C5" s="89">
        <f>IF(DigitaNICA!C17&lt;&gt;"",DigitaNICA!C17,"")</f>
        <v>97350</v>
      </c>
      <c r="D5" s="42">
        <f>IF(C5="",0,C5*J$16)</f>
        <v>11682</v>
      </c>
      <c r="E5" s="89">
        <f>IF(DigitaNICA!D17&lt;&gt;"",DigitaNICA!D17,"")</f>
        <v>0</v>
      </c>
      <c r="F5" s="42">
        <f>IF(E5="",0,E5*PREMIOS!F5)</f>
        <v>0</v>
      </c>
      <c r="G5" s="90">
        <f t="shared" ref="G5:G12" si="1">IF(OR(C5="",E5=""),0,C5-D5-F5)</f>
        <v>85668</v>
      </c>
      <c r="I5" s="217" t="s">
        <v>37</v>
      </c>
      <c r="J5" s="221">
        <f>SUM(IF(C5="",0,C5),IF(C9="",0,C9),IF(C13="",0,C13),IF(C17="",0,C17))</f>
        <v>373000</v>
      </c>
      <c r="K5" s="225">
        <f t="shared" ref="K5" si="2">D5+D9+D13+D17</f>
        <v>44760</v>
      </c>
      <c r="L5" s="222">
        <f>F5+F9+F13+F17</f>
        <v>89250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51200</v>
      </c>
      <c r="K6" s="226">
        <f t="shared" ref="K6" si="3">+D8+D12+D16</f>
        <v>5120</v>
      </c>
      <c r="L6" s="227">
        <f>+F8+F12+F16</f>
        <v>210000</v>
      </c>
    </row>
    <row r="7" spans="1:12" x14ac:dyDescent="0.35">
      <c r="A7" s="28" t="s">
        <v>46</v>
      </c>
      <c r="B7" s="132">
        <f>IF(DigitaTICA!C2&lt;&gt;"",DigitaTICA!C2,"")</f>
        <v>87</v>
      </c>
      <c r="C7" s="89">
        <f>IF(DigitaTICA!C17&lt;&gt;"",DigitaTICA!C17,"")</f>
        <v>137800</v>
      </c>
      <c r="D7" s="42">
        <f>IF(C7="",0,C7*J$15)</f>
        <v>16536</v>
      </c>
      <c r="E7" s="89">
        <f>IF(DigitaTICA!D17&lt;&gt;"",DigitaTICA!D17,"")</f>
        <v>1100</v>
      </c>
      <c r="F7" s="42">
        <f>IF(E7="",0,E7*PREMIOS!F7)</f>
        <v>93500</v>
      </c>
      <c r="G7" s="90">
        <f t="shared" si="1"/>
        <v>27764</v>
      </c>
      <c r="I7" s="217" t="s">
        <v>96</v>
      </c>
      <c r="J7" s="223">
        <f>SUM(IF(C19="",0,C19),IF(C20="",0,C20))</f>
        <v>89900</v>
      </c>
      <c r="K7" s="226">
        <f>+D19+D20</f>
        <v>10788</v>
      </c>
      <c r="L7" s="227">
        <f>+F19+F20</f>
        <v>8500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26650</v>
      </c>
      <c r="D8" s="42">
        <f>IF(C8="",0,C8*J$17)</f>
        <v>2665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23985</v>
      </c>
      <c r="I8" s="217" t="s">
        <v>104</v>
      </c>
      <c r="J8" s="223">
        <f>SUM(IF(C21="",0,C21),IF(C22="",0,C22),IF(C23="",0,C23))</f>
        <v>58850</v>
      </c>
      <c r="K8" s="226">
        <f t="shared" ref="K8" si="4">D21+D22+D23</f>
        <v>7062</v>
      </c>
      <c r="L8" s="227">
        <f>F21+F22+F23</f>
        <v>38250</v>
      </c>
    </row>
    <row r="9" spans="1:12" x14ac:dyDescent="0.35">
      <c r="A9" s="28" t="s">
        <v>48</v>
      </c>
      <c r="B9" s="132" t="str">
        <f>IF(DigitaNICA!E2&lt;&gt;"",DigitaNICA!E2,"")</f>
        <v>06</v>
      </c>
      <c r="C9" s="89">
        <f>IF(DigitaNICA!E17&lt;&gt;"",DigitaNICA!E17,"")</f>
        <v>72100</v>
      </c>
      <c r="D9" s="42">
        <f>IF(C9="",0,C9*J$16)</f>
        <v>8652</v>
      </c>
      <c r="E9" s="89">
        <f>IF(DigitaNICA!F17&lt;&gt;"",DigitaNICA!F17,"")</f>
        <v>250</v>
      </c>
      <c r="F9" s="42">
        <f>IF(E9="",0,E9*PREMIOS!F9)</f>
        <v>21250</v>
      </c>
      <c r="G9" s="90">
        <f t="shared" si="1"/>
        <v>42198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63</v>
      </c>
      <c r="C11" s="89">
        <f>IF(DigitaTICA!E17&lt;&gt;"",DigitaTICA!E17,"")</f>
        <v>81350</v>
      </c>
      <c r="D11" s="42">
        <f>IF(C11="",0,C11*J$15)</f>
        <v>9762</v>
      </c>
      <c r="E11" s="89">
        <f>IF(DigitaTICA!F17&lt;&gt;"",DigitaTICA!F17,"")</f>
        <v>100</v>
      </c>
      <c r="F11" s="42">
        <f>IF(E11="",0,E11*PREMIOS!F11)</f>
        <v>8500</v>
      </c>
      <c r="G11" s="90">
        <f t="shared" si="1"/>
        <v>63088</v>
      </c>
    </row>
    <row r="12" spans="1:12" x14ac:dyDescent="0.35">
      <c r="A12" s="28" t="s">
        <v>60</v>
      </c>
      <c r="B12" s="132" t="str">
        <f>IF(B11&lt;&gt;"",PREMIOS!B12,"")</f>
        <v>Roja</v>
      </c>
      <c r="C12" s="89">
        <f>IF(DigitaREVENTADO!E17&lt;&gt;"",DigitaREVENTADO!E17,"")</f>
        <v>9300</v>
      </c>
      <c r="D12" s="42">
        <f>IF(C12="",0,C12*J$17)</f>
        <v>930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8370</v>
      </c>
    </row>
    <row r="13" spans="1:12" ht="15" thickBot="1" x14ac:dyDescent="0.4">
      <c r="A13" s="28" t="s">
        <v>50</v>
      </c>
      <c r="B13" s="132" t="str">
        <f>IF(DigitaNICA!G2&lt;&gt;"",DigitaNICA!G2,"")</f>
        <v>02</v>
      </c>
      <c r="C13" s="89">
        <f>IF(DigitaNICA!G17&lt;&gt;"",DigitaNICA!G17,"")</f>
        <v>51850</v>
      </c>
      <c r="D13" s="42">
        <f>IF(C13="",0,C13*J$16)</f>
        <v>6222</v>
      </c>
      <c r="E13" s="89">
        <f>IF(DigitaNICA!H17&lt;&gt;"",DigitaNICA!H17,"")</f>
        <v>700</v>
      </c>
      <c r="F13" s="42">
        <f>IF(E13="",0,E13*PREMIOS!F13)</f>
        <v>59500</v>
      </c>
      <c r="G13" s="90">
        <f>IF(OR(C13="",E13=""),0,C13-D13-F13)</f>
        <v>-13872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 t="str">
        <f>IF(DigitaTICA!G2&lt;&gt;"",DigitaTICA!G2,"")</f>
        <v>09</v>
      </c>
      <c r="C15" s="89">
        <f>IF(DigitaTICA!G17&lt;&gt;"",DigitaTICA!G17,"")</f>
        <v>193650</v>
      </c>
      <c r="D15" s="42">
        <f>IF(C15="",0,C15*J$15)</f>
        <v>23238</v>
      </c>
      <c r="E15" s="89">
        <f>IF(DigitaTICA!H17&lt;&gt;"",DigitaTICA!H17,"")</f>
        <v>4900</v>
      </c>
      <c r="F15" s="42">
        <f>IF(E15="",0,E15*PREMIOS!F15)</f>
        <v>416500</v>
      </c>
      <c r="G15" s="90">
        <f t="shared" si="6"/>
        <v>-246088</v>
      </c>
      <c r="I15" s="76" t="s">
        <v>36</v>
      </c>
      <c r="J15" s="77">
        <v>0.12</v>
      </c>
      <c r="K15" s="78">
        <f>MROUND(D7+D11+D15,50)</f>
        <v>49550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15250</v>
      </c>
      <c r="D16" s="42">
        <f>IF(C16="",0,C16*J$17)</f>
        <v>1525</v>
      </c>
      <c r="E16" s="89">
        <f>IF(DigitaREVENTADO!H17&lt;&gt;"",DigitaREVENTADO!H17,"")</f>
        <v>1050</v>
      </c>
      <c r="F16" s="42">
        <f>IF(E16="",0,E16*PREMIOS!F16)</f>
        <v>210000</v>
      </c>
      <c r="G16" s="90">
        <f t="shared" si="6"/>
        <v>-196275</v>
      </c>
      <c r="I16" s="63" t="s">
        <v>37</v>
      </c>
      <c r="J16" s="64">
        <v>0.12</v>
      </c>
      <c r="K16" s="30">
        <f>MROUND(D5+D9+D13+D17,50)</f>
        <v>44750</v>
      </c>
    </row>
    <row r="17" spans="1:11" x14ac:dyDescent="0.35">
      <c r="A17" s="28" t="s">
        <v>52</v>
      </c>
      <c r="B17" s="132">
        <f>IF(DigitaNICA!I2&lt;&gt;"",DigitaNICA!I2,"")</f>
        <v>23</v>
      </c>
      <c r="C17" s="89">
        <f>IF(DigitaNICA!I17&lt;&gt;"",DigitaNICA!I17,"")</f>
        <v>151700</v>
      </c>
      <c r="D17" s="42">
        <f>IF(C17="",0,C17*J$16)</f>
        <v>18204</v>
      </c>
      <c r="E17" s="89">
        <f>IF(DigitaNICA!J17&lt;&gt;"",DigitaNICA!J17,"")</f>
        <v>100</v>
      </c>
      <c r="F17" s="42">
        <f>IF(E17="",0,E17*PREMIOS!F17)</f>
        <v>8500</v>
      </c>
      <c r="G17" s="90">
        <f t="shared" si="6"/>
        <v>124996</v>
      </c>
      <c r="I17" s="63" t="s">
        <v>38</v>
      </c>
      <c r="J17" s="64">
        <v>0.1</v>
      </c>
      <c r="K17" s="30">
        <f>MROUND(D6+D8+D10+D12+D14+D16+D18,50)</f>
        <v>5100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10800</v>
      </c>
    </row>
    <row r="19" spans="1:11" x14ac:dyDescent="0.35">
      <c r="A19" s="28" t="s">
        <v>97</v>
      </c>
      <c r="B19" s="132">
        <f>IF(DigitaPRIMERA!C2&lt;&gt;"",DigitaPRIMERA!C2,"")</f>
        <v>66</v>
      </c>
      <c r="C19" s="29">
        <f>IF(DigitaPRIMERA!$C$17&lt;&gt;"",DigitaPRIMERA!$C$17,"")</f>
        <v>66300</v>
      </c>
      <c r="D19" s="42">
        <f>IF(C19="",0,C19*J$18)</f>
        <v>7956</v>
      </c>
      <c r="E19" s="29">
        <f>IF(DigitaPRIMERA!$D$17&lt;&gt;"",DigitaPRIMERA!$D$17,"")</f>
        <v>100</v>
      </c>
      <c r="F19" s="42">
        <f>IF(E19="",0,E19*PREMIOS!F19)</f>
        <v>8500</v>
      </c>
      <c r="G19" s="30">
        <f t="shared" si="6"/>
        <v>49844</v>
      </c>
      <c r="I19" s="63" t="s">
        <v>104</v>
      </c>
      <c r="J19" s="64">
        <v>0.12</v>
      </c>
      <c r="K19" s="30">
        <f>MROUND(D21+D22+D23,50)</f>
        <v>7050</v>
      </c>
    </row>
    <row r="20" spans="1:11" x14ac:dyDescent="0.35">
      <c r="A20" s="28" t="s">
        <v>98</v>
      </c>
      <c r="B20" s="132">
        <f>IF(DigitaPRIMERA!E2&lt;&gt;"",DigitaPRIMERA!E2,"")</f>
        <v>95</v>
      </c>
      <c r="C20" s="29">
        <f>IF(DigitaPRIMERA!$E$17&lt;&gt;"",DigitaPRIMERA!$E$17,"")</f>
        <v>23600</v>
      </c>
      <c r="D20" s="42">
        <f>IF(C20="",0,C20*J$18)</f>
        <v>2832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20768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20</v>
      </c>
      <c r="C21" s="29">
        <f>IF(DigitaHONDURAS!$C$17&lt;&gt;"",DigitaHONDURAS!$C$17,"")</f>
        <v>37400</v>
      </c>
      <c r="D21" s="42">
        <f>IF(C21="",0,C21*J$19)</f>
        <v>4488</v>
      </c>
      <c r="E21" s="29">
        <f>IF(DigitaHONDURAS!$D$17&lt;&gt;"",DigitaHONDURAS!$D$17,"")</f>
        <v>100</v>
      </c>
      <c r="F21" s="42">
        <f>IF(E21="",0,E21*PREMIOS!F20)</f>
        <v>8500</v>
      </c>
      <c r="G21" s="30">
        <f t="shared" si="6"/>
        <v>24412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24</v>
      </c>
      <c r="C22" s="29">
        <f>IF(DigitaHONDURAS!$E$17&lt;&gt;"",DigitaHONDURAS!$E$17,"")</f>
        <v>3600</v>
      </c>
      <c r="D22" s="42">
        <f>IF(C22="",0,C22*J$19)</f>
        <v>432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3168</v>
      </c>
    </row>
    <row r="23" spans="1:11" x14ac:dyDescent="0.35">
      <c r="A23" s="28" t="s">
        <v>101</v>
      </c>
      <c r="B23" s="132">
        <f>IF(DigitaHONDURAS!G2&lt;&gt;"",DigitaHONDURAS!G2,"")</f>
        <v>42</v>
      </c>
      <c r="C23" s="29">
        <f>IF(DigitaHONDURAS!$G$17&lt;&gt;"",DigitaHONDURAS!$G$17,"")</f>
        <v>17850</v>
      </c>
      <c r="D23" s="42">
        <f>IF(C23="",0,C23*J$19)</f>
        <v>2142</v>
      </c>
      <c r="E23" s="29">
        <f>IF(DigitaHONDURAS!$H$17&lt;&gt;"",DigitaHONDURAS!$H$17,"")</f>
        <v>350</v>
      </c>
      <c r="F23" s="42">
        <f>IF(E23="",0,E23*PREMIOS!F20)</f>
        <v>29750</v>
      </c>
      <c r="G23" s="30">
        <f t="shared" si="6"/>
        <v>-14042</v>
      </c>
    </row>
    <row r="24" spans="1:11" x14ac:dyDescent="0.35">
      <c r="A24" s="28" t="s">
        <v>102</v>
      </c>
      <c r="B24" s="132">
        <f>IF(DigitaDOMINICANA!C2&lt;&gt;"",DigitaDOMINICANA!C2,"")</f>
        <v>39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985750</v>
      </c>
      <c r="D27" s="68">
        <f t="shared" ref="D27:G27" si="7">SUM(D5:D26)</f>
        <v>117266</v>
      </c>
      <c r="E27" s="68">
        <f t="shared" si="7"/>
        <v>8750</v>
      </c>
      <c r="F27" s="68">
        <f t="shared" si="7"/>
        <v>864500</v>
      </c>
      <c r="G27" s="88">
        <f t="shared" si="7"/>
        <v>3984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149150</v>
      </c>
      <c r="K4" s="231">
        <f t="shared" ref="K4" si="0">D7+D11+D15</f>
        <v>17898</v>
      </c>
      <c r="L4" s="220">
        <f>F7+F11+F15</f>
        <v>144500</v>
      </c>
    </row>
    <row r="5" spans="1:12" x14ac:dyDescent="0.35">
      <c r="A5" s="28" t="str">
        <f>+Vendedor1!A5</f>
        <v>Nica 11am</v>
      </c>
      <c r="B5" s="132">
        <f>IF(DigitaNICA!C2&lt;&gt;"",DigitaNICA!C2,"")</f>
        <v>39</v>
      </c>
      <c r="C5" s="29">
        <f>IF(DigitaNICA!C18&lt;&gt;"",DigitaNICA!C18,"")</f>
        <v>44800</v>
      </c>
      <c r="D5" s="42">
        <f>IF(C5="",0,C5*J$16)</f>
        <v>5376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39424</v>
      </c>
      <c r="I5" s="217" t="s">
        <v>37</v>
      </c>
      <c r="J5" s="221">
        <f>SUM(IF(C5="",0,C5),IF(C9="",0,C9),IF(C13="",0,C13),IF(C17="",0,C17))</f>
        <v>151100</v>
      </c>
      <c r="K5" s="225">
        <f t="shared" ref="K5" si="2">D5+D9+D13+D17</f>
        <v>18132</v>
      </c>
      <c r="L5" s="222">
        <f>F5+F9+F13+F17</f>
        <v>93500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56600</v>
      </c>
      <c r="K6" s="226">
        <f t="shared" ref="K6" si="3">+D8+D12+D16</f>
        <v>5660</v>
      </c>
      <c r="L6" s="227">
        <f>+F8+F12+F16</f>
        <v>100000</v>
      </c>
    </row>
    <row r="7" spans="1:12" x14ac:dyDescent="0.35">
      <c r="A7" s="28" t="str">
        <f>+Vendedor1!A7</f>
        <v>Tica 1pm</v>
      </c>
      <c r="B7" s="132">
        <f>IF(DigitaTICA!C2&lt;&gt;"",DigitaTICA!C2,"")</f>
        <v>87</v>
      </c>
      <c r="C7" s="29">
        <f>IF(DigitaTICA!C18&lt;&gt;"",DigitaTICA!C18,"")</f>
        <v>38250</v>
      </c>
      <c r="D7" s="42">
        <f>IF(C7="",0,C7*J$15)</f>
        <v>4590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33660</v>
      </c>
      <c r="I7" s="217" t="s">
        <v>96</v>
      </c>
      <c r="J7" s="223">
        <f>SUM(IF(C19="",0,C19),IF(C20="",0,C20))</f>
        <v>77850</v>
      </c>
      <c r="K7" s="226">
        <f>+D19+D20</f>
        <v>9342</v>
      </c>
      <c r="L7" s="227">
        <f>+F19+F20</f>
        <v>76500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18200</v>
      </c>
      <c r="D8" s="42">
        <f>IF(C8="",0,C8*J$17)</f>
        <v>1820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16380</v>
      </c>
      <c r="I8" s="217" t="s">
        <v>104</v>
      </c>
      <c r="J8" s="223">
        <f>SUM(IF(C21="",0,C21),IF(C22="",0,C22),IF(C23="",0,C23))</f>
        <v>34700</v>
      </c>
      <c r="K8" s="226">
        <f t="shared" ref="K8" si="4">D21+D22+D23</f>
        <v>4164</v>
      </c>
      <c r="L8" s="227">
        <f>F21+F22+F23</f>
        <v>170000</v>
      </c>
    </row>
    <row r="9" spans="1:12" x14ac:dyDescent="0.35">
      <c r="A9" s="28" t="str">
        <f>+Vendedor1!A9</f>
        <v>Nica 3pm</v>
      </c>
      <c r="B9" s="132" t="str">
        <f>IF(DigitaNICA!E2&lt;&gt;"",DigitaNICA!E2,"")</f>
        <v>06</v>
      </c>
      <c r="C9" s="29">
        <f>IF(DigitaNICA!E18&lt;&gt;"",DigitaNICA!E18,"")</f>
        <v>43000</v>
      </c>
      <c r="D9" s="42">
        <f>IF(C9="",0,C9*J$16)</f>
        <v>5160</v>
      </c>
      <c r="E9" s="29">
        <f>IF(DigitaNICA!F18&lt;&gt;"",DigitaNICA!F18,"")</f>
        <v>700</v>
      </c>
      <c r="F9" s="42">
        <f>IF(E9="",0,E9*PREMIOS!F9)</f>
        <v>59500</v>
      </c>
      <c r="G9" s="30">
        <f t="shared" si="1"/>
        <v>-21660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63</v>
      </c>
      <c r="C11" s="29">
        <f>IF(DigitaTICA!E18&lt;&gt;"",DigitaTICA!E18,"")</f>
        <v>45750</v>
      </c>
      <c r="D11" s="42">
        <f>IF(C11="",0,C11*J$15)</f>
        <v>5490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40260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IF(DigitaREVENTADO!E18&lt;&gt;"",DigitaREVENTADO!E18,"")</f>
        <v>21150</v>
      </c>
      <c r="D12" s="42">
        <f>IF(C12="",0,C12*J$17)</f>
        <v>2115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19035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>02</v>
      </c>
      <c r="C13" s="29">
        <f>IF(DigitaNICA!G18&lt;&gt;"",DigitaNICA!G18,"")</f>
        <v>30700</v>
      </c>
      <c r="D13" s="42">
        <f>IF(C13="",0,C13*J$16)</f>
        <v>3684</v>
      </c>
      <c r="E13" s="29">
        <f>IF(DigitaNICA!H18&lt;&gt;"",DigitaNICA!H18,"")</f>
        <v>400</v>
      </c>
      <c r="F13" s="42">
        <f>IF(E13="",0,E13*PREMIOS!F13)</f>
        <v>34000</v>
      </c>
      <c r="G13" s="30">
        <f>IF(OR(C13="",E13=""),0,C13-D13-F13)</f>
        <v>-6984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 t="str">
        <f>IF(DigitaTICA!G2&lt;&gt;"",DigitaTICA!G2,"")</f>
        <v>09</v>
      </c>
      <c r="C15" s="29">
        <f>IF(DigitaTICA!G18&lt;&gt;"",DigitaTICA!G18,"")</f>
        <v>65150</v>
      </c>
      <c r="D15" s="42">
        <f>IF(C15="",0,C15*J$15)</f>
        <v>7818</v>
      </c>
      <c r="E15" s="29">
        <f>IF(DigitaTICA!H18&lt;&gt;"",DigitaTICA!H18,"")</f>
        <v>1700</v>
      </c>
      <c r="F15" s="42">
        <f>IF(E15="",0,E15*PREMIOS!F15)</f>
        <v>144500</v>
      </c>
      <c r="G15" s="30">
        <f t="shared" si="6"/>
        <v>-87168</v>
      </c>
      <c r="I15" s="76" t="s">
        <v>36</v>
      </c>
      <c r="J15" s="77">
        <v>0.12</v>
      </c>
      <c r="K15" s="78">
        <f>MROUND(D7+D11+D15,50)</f>
        <v>17900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17250</v>
      </c>
      <c r="D16" s="42">
        <f>IF(C16="",0,C16*J$17)</f>
        <v>1725</v>
      </c>
      <c r="E16" s="29">
        <f>IF(DigitaREVENTADO!H18&lt;&gt;"",DigitaREVENTADO!H18,"")</f>
        <v>500</v>
      </c>
      <c r="F16" s="42">
        <f>IF(E16="",0,E16*PREMIOS!F16)</f>
        <v>100000</v>
      </c>
      <c r="G16" s="30">
        <f t="shared" si="6"/>
        <v>-84475</v>
      </c>
      <c r="I16" s="63" t="s">
        <v>37</v>
      </c>
      <c r="J16" s="64">
        <v>0.12</v>
      </c>
      <c r="K16" s="30">
        <f>MROUND(D5+D9+D13+D17,50)</f>
        <v>18150</v>
      </c>
    </row>
    <row r="17" spans="1:11" x14ac:dyDescent="0.35">
      <c r="A17" s="28" t="str">
        <f>+Vendedor1!A17</f>
        <v>Nica 9pm</v>
      </c>
      <c r="B17" s="132">
        <f>IF(DigitaNICA!I2&lt;&gt;"",DigitaNICA!I2,"")</f>
        <v>23</v>
      </c>
      <c r="C17" s="29">
        <f>IF(DigitaNICA!I18&lt;&gt;"",DigitaNICA!I18,"")</f>
        <v>32600</v>
      </c>
      <c r="D17" s="42">
        <f>IF(C17="",0,C17*J$16)</f>
        <v>3912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28688</v>
      </c>
      <c r="I17" s="63" t="s">
        <v>38</v>
      </c>
      <c r="J17" s="64">
        <v>0.1</v>
      </c>
      <c r="K17" s="30">
        <f>MROUND(D6+D8+D10+D12+D14+D16+D18,50)</f>
        <v>5650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9350</v>
      </c>
    </row>
    <row r="19" spans="1:11" x14ac:dyDescent="0.35">
      <c r="A19" s="28" t="s">
        <v>97</v>
      </c>
      <c r="B19" s="132">
        <f>IF(DigitaPRIMERA!C2&lt;&gt;"",DigitaPRIMERA!C2,"")</f>
        <v>66</v>
      </c>
      <c r="C19" s="29">
        <f>IF(DigitaPRIMERA!$C$18&lt;&gt;"",DigitaPRIMERA!$C$18,"")</f>
        <v>46300</v>
      </c>
      <c r="D19" s="42">
        <f>IF(C19="",0,C19*J$18)</f>
        <v>5556</v>
      </c>
      <c r="E19" s="29">
        <f>IF(DigitaPRIMERA!$D$18&lt;&gt;"",DigitaPRIMERA!$D$18,"")</f>
        <v>900</v>
      </c>
      <c r="F19" s="42">
        <f>IF(E19="",0,E19*PREMIOS!F19)</f>
        <v>76500</v>
      </c>
      <c r="G19" s="30">
        <f t="shared" si="6"/>
        <v>-35756</v>
      </c>
      <c r="I19" s="63" t="s">
        <v>104</v>
      </c>
      <c r="J19" s="64">
        <v>0.12</v>
      </c>
      <c r="K19" s="30">
        <f>MROUND(D21+D22+D23,50)</f>
        <v>4150</v>
      </c>
    </row>
    <row r="20" spans="1:11" x14ac:dyDescent="0.35">
      <c r="A20" s="28" t="s">
        <v>98</v>
      </c>
      <c r="B20" s="132">
        <f>IF(DigitaPRIMERA!E2&lt;&gt;"",DigitaPRIMERA!E2,"")</f>
        <v>95</v>
      </c>
      <c r="C20" s="29">
        <f>IF(DigitaPRIMERA!$E$18&lt;&gt;"",DigitaPRIMERA!$E$18,"")</f>
        <v>31550</v>
      </c>
      <c r="D20" s="42">
        <f>IF(C20="",0,C20*J$18)</f>
        <v>3786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27764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20</v>
      </c>
      <c r="C21" s="29">
        <f>IF(DigitaHONDURAS!$C$18&lt;&gt;"",DigitaHONDURAS!$C$18,"")</f>
        <v>19600</v>
      </c>
      <c r="D21" s="42">
        <f>IF(C21="",0,C21*J$19)</f>
        <v>2352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17248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24</v>
      </c>
      <c r="C22" s="29">
        <f>IF(DigitaHONDURAS!$E$18&lt;&gt;"",DigitaHONDURAS!$E$18,"")</f>
        <v>10100</v>
      </c>
      <c r="D22" s="42">
        <f>IF(C22="",0,C22*J$19)</f>
        <v>1212</v>
      </c>
      <c r="E22" s="29">
        <f>IF(DigitaHONDURAS!$F$18&lt;&gt;"",DigitaHONDURAS!$F$18,"")</f>
        <v>1000</v>
      </c>
      <c r="F22" s="42">
        <f>IF(E22="",0,E22*PREMIOS!F20)</f>
        <v>85000</v>
      </c>
      <c r="G22" s="30">
        <f t="shared" si="6"/>
        <v>-76112</v>
      </c>
    </row>
    <row r="23" spans="1:11" x14ac:dyDescent="0.35">
      <c r="A23" s="28" t="s">
        <v>101</v>
      </c>
      <c r="B23" s="132">
        <f>IF(DigitaHONDURAS!G2&lt;&gt;"",DigitaHONDURAS!G2,"")</f>
        <v>42</v>
      </c>
      <c r="C23" s="29">
        <f>IF(DigitaHONDURAS!$G$18&lt;&gt;"",DigitaHONDURAS!$G$18,"")</f>
        <v>5000</v>
      </c>
      <c r="D23" s="42">
        <f>IF(C23="",0,C23*J$19)</f>
        <v>600</v>
      </c>
      <c r="E23" s="29">
        <f>IF(DigitaHONDURAS!$H$18&lt;&gt;"",DigitaHONDURAS!$H$18,"")</f>
        <v>1000</v>
      </c>
      <c r="F23" s="42">
        <f>IF(E23="",0,E23*PREMIOS!F20)</f>
        <v>85000</v>
      </c>
      <c r="G23" s="30">
        <f t="shared" si="6"/>
        <v>-80600</v>
      </c>
    </row>
    <row r="24" spans="1:11" x14ac:dyDescent="0.35">
      <c r="A24" s="28" t="s">
        <v>102</v>
      </c>
      <c r="B24" s="132">
        <f>IF(DigitaDOMINICANA!C2&lt;&gt;"",DigitaDOMINICANA!C2,"")</f>
        <v>39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469400</v>
      </c>
      <c r="D27" s="68">
        <f t="shared" ref="D27:G27" si="7">SUM(D5:D26)</f>
        <v>55196</v>
      </c>
      <c r="E27" s="68">
        <f t="shared" si="7"/>
        <v>6200</v>
      </c>
      <c r="F27" s="68">
        <f t="shared" si="7"/>
        <v>584500</v>
      </c>
      <c r="G27" s="88">
        <f t="shared" si="7"/>
        <v>-170296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39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87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 t="str">
        <f>IF(DigitaNICA!E2&lt;&gt;"",DigitaNICA!E2,"")</f>
        <v>06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63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>02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 t="str">
        <f>IF(DigitaTICA!G2&lt;&gt;"",DigitaTICA!G2,"")</f>
        <v>09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23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-350</v>
      </c>
      <c r="K4" s="56">
        <f>SUM(F5,F7,F9,F11,F13,F15,F17)</f>
        <v>-29750</v>
      </c>
    </row>
    <row r="5" spans="1:11" ht="15" thickBot="1" x14ac:dyDescent="0.4">
      <c r="A5" s="28" t="s">
        <v>43</v>
      </c>
      <c r="B5" s="126"/>
      <c r="C5" s="29">
        <f>IF(DigitaNICA!C27&lt;&gt;"",DigitaNICA!C27,"")</f>
        <v>-29200</v>
      </c>
      <c r="D5" s="42">
        <f>IF(C5="",0,C5*J$10)</f>
        <v>-3504</v>
      </c>
      <c r="E5" s="29">
        <f>IF(DigitaNICA!D27&lt;&gt;"",DigitaNICA!D27,"")</f>
        <v>0</v>
      </c>
      <c r="F5" s="42">
        <f>IF(E5="",0,E5*PREMIOS!F5)</f>
        <v>0</v>
      </c>
      <c r="G5" s="30">
        <f t="shared" ref="G5:G12" si="0">IF(OR(C5="",E5=""),0,C5-D5-F5)</f>
        <v>-25696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-8500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>
        <f>IF(DigitaNICA!G27&lt;&gt;"",DigitaNICA!G27,"")</f>
        <v>-41650</v>
      </c>
      <c r="D13" s="42">
        <f>IF(C13="",0,C13*J$10)</f>
        <v>-4998</v>
      </c>
      <c r="E13" s="29">
        <f>IF(DigitaNICA!H27&lt;&gt;"",DigitaNICA!H27,"")</f>
        <v>-350</v>
      </c>
      <c r="F13" s="42">
        <f>IF(E13="",0,E13*PREMIOS!F13)</f>
        <v>-29750</v>
      </c>
      <c r="G13" s="30">
        <f>IF(OR(C13="",E13=""),0,C13-D13-F13)</f>
        <v>-6902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-70850</v>
      </c>
      <c r="D27" s="68">
        <f t="shared" ref="D27:G27" si="2">SUM(D5:D26)</f>
        <v>-8502</v>
      </c>
      <c r="E27" s="68">
        <f t="shared" si="2"/>
        <v>-350</v>
      </c>
      <c r="F27" s="68">
        <f t="shared" si="2"/>
        <v>-29750</v>
      </c>
      <c r="G27" s="88">
        <f t="shared" si="2"/>
        <v>-32598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8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87</v>
      </c>
      <c r="D2" s="268"/>
      <c r="E2" s="267">
        <f>IF(PREMIOS!$B11="","",PREMIOS!$B11)</f>
        <v>63</v>
      </c>
      <c r="F2" s="268"/>
      <c r="G2" s="267" t="str">
        <f>IF(PREMIOS!$B15="","",PREMIOS!$B15)</f>
        <v>09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46400</v>
      </c>
      <c r="D4" s="78">
        <f>500+0</f>
        <v>500</v>
      </c>
      <c r="E4" s="189">
        <f>40800+0</f>
        <v>40800</v>
      </c>
      <c r="F4" s="78">
        <f t="shared" ref="D4:H27" si="0">IF(E4="","",0)</f>
        <v>0</v>
      </c>
      <c r="G4" s="189">
        <v>58600</v>
      </c>
      <c r="H4" s="78">
        <v>2500</v>
      </c>
      <c r="J4" s="42">
        <f t="shared" ref="J4:J8" si="1">+C4+E4+G4</f>
        <v>145800</v>
      </c>
      <c r="K4" s="42">
        <f>IF(D4="",0,IF(F4="",D4,IF(H4="",D4+F4,D4+F4+H4)))</f>
        <v>3000</v>
      </c>
    </row>
    <row r="5" spans="1:11" x14ac:dyDescent="0.35">
      <c r="A5" s="47">
        <v>2</v>
      </c>
      <c r="B5" s="178" t="str">
        <f>Vendedor2!$B$2</f>
        <v>PUESTO 2</v>
      </c>
      <c r="C5" s="180">
        <v>33550</v>
      </c>
      <c r="D5" s="30">
        <f t="shared" si="0"/>
        <v>0</v>
      </c>
      <c r="E5" s="180">
        <v>33500</v>
      </c>
      <c r="F5" s="30">
        <f t="shared" si="0"/>
        <v>0</v>
      </c>
      <c r="G5" s="180">
        <v>75300</v>
      </c>
      <c r="H5" s="30">
        <v>950</v>
      </c>
      <c r="J5" s="42">
        <f t="shared" si="1"/>
        <v>142350</v>
      </c>
      <c r="K5" s="42">
        <f t="shared" ref="K5:K27" si="2">IF(D5="",0,IF(F5="",D5,IF(H5="",D5+F5,D5+F5+H5)))</f>
        <v>950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64500</v>
      </c>
      <c r="D8" s="30">
        <v>1000</v>
      </c>
      <c r="E8" s="180">
        <v>40100</v>
      </c>
      <c r="F8" s="30">
        <f t="shared" si="0"/>
        <v>0</v>
      </c>
      <c r="G8" s="180">
        <v>57900</v>
      </c>
      <c r="H8" s="30">
        <v>2300</v>
      </c>
      <c r="J8" s="42">
        <f t="shared" si="1"/>
        <v>162500</v>
      </c>
      <c r="K8" s="42">
        <f t="shared" si="2"/>
        <v>3300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27650+139550</f>
        <v>167200</v>
      </c>
      <c r="D10" s="30">
        <f>750+0</f>
        <v>750</v>
      </c>
      <c r="E10" s="180">
        <f>35000+76700</f>
        <v>111700</v>
      </c>
      <c r="F10" s="30">
        <f t="shared" si="0"/>
        <v>0</v>
      </c>
      <c r="G10" s="180">
        <f>43300+84850</f>
        <v>128150</v>
      </c>
      <c r="H10" s="30">
        <f>1750+2200</f>
        <v>3950</v>
      </c>
      <c r="J10" s="42">
        <f t="shared" si="3"/>
        <v>407050</v>
      </c>
      <c r="K10" s="42">
        <f t="shared" si="2"/>
        <v>4700</v>
      </c>
    </row>
    <row r="11" spans="1:11" x14ac:dyDescent="0.35">
      <c r="A11" s="47">
        <v>8</v>
      </c>
      <c r="B11" s="178" t="str">
        <f>Vendedor8!$B$2</f>
        <v>ISA</v>
      </c>
      <c r="C11" s="180">
        <v>3500</v>
      </c>
      <c r="D11" s="30">
        <f t="shared" si="0"/>
        <v>0</v>
      </c>
      <c r="E11" s="180"/>
      <c r="F11" s="30" t="str">
        <f t="shared" si="0"/>
        <v/>
      </c>
      <c r="G11" s="180">
        <v>5200</v>
      </c>
      <c r="H11" s="30">
        <f t="shared" si="0"/>
        <v>0</v>
      </c>
      <c r="J11" s="42">
        <f t="shared" si="3"/>
        <v>8700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21200</v>
      </c>
      <c r="D12" s="30">
        <f t="shared" si="0"/>
        <v>0</v>
      </c>
      <c r="E12" s="180">
        <v>6000</v>
      </c>
      <c r="F12" s="30">
        <f t="shared" si="0"/>
        <v>0</v>
      </c>
      <c r="G12" s="180"/>
      <c r="H12" s="30" t="str">
        <f t="shared" si="0"/>
        <v/>
      </c>
      <c r="J12" s="42">
        <f t="shared" si="3"/>
        <v>27200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26950</v>
      </c>
      <c r="D13" s="30">
        <f t="shared" si="0"/>
        <v>0</v>
      </c>
      <c r="E13" s="180">
        <v>48850</v>
      </c>
      <c r="F13" s="30">
        <v>700</v>
      </c>
      <c r="G13" s="180">
        <v>59500</v>
      </c>
      <c r="H13" s="30">
        <v>2200</v>
      </c>
      <c r="J13" s="42">
        <f t="shared" si="3"/>
        <v>135300</v>
      </c>
      <c r="K13" s="42">
        <f t="shared" si="2"/>
        <v>2900</v>
      </c>
    </row>
    <row r="14" spans="1:11" x14ac:dyDescent="0.35">
      <c r="A14" s="47">
        <v>11</v>
      </c>
      <c r="B14" s="178" t="str">
        <f>Vendedor11!$B$2</f>
        <v>CHARLY</v>
      </c>
      <c r="C14" s="180">
        <v>29400</v>
      </c>
      <c r="D14" s="30">
        <f t="shared" si="0"/>
        <v>0</v>
      </c>
      <c r="E14" s="180">
        <v>19450</v>
      </c>
      <c r="F14" s="30">
        <v>300</v>
      </c>
      <c r="G14" s="180">
        <v>30000</v>
      </c>
      <c r="H14" s="30">
        <v>1600</v>
      </c>
      <c r="J14" s="42">
        <f t="shared" si="3"/>
        <v>78850</v>
      </c>
      <c r="K14" s="42">
        <f t="shared" si="2"/>
        <v>1900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9600</v>
      </c>
      <c r="D16" s="30">
        <f t="shared" si="0"/>
        <v>0</v>
      </c>
      <c r="E16" s="180"/>
      <c r="F16" s="30" t="str">
        <f t="shared" si="0"/>
        <v/>
      </c>
      <c r="G16" s="180">
        <v>35300</v>
      </c>
      <c r="H16" s="30">
        <v>750</v>
      </c>
      <c r="J16" s="42">
        <f t="shared" si="3"/>
        <v>44900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102600+35200</f>
        <v>137800</v>
      </c>
      <c r="D17" s="30">
        <f>1100+0</f>
        <v>1100</v>
      </c>
      <c r="E17" s="180">
        <f>70850+10500</f>
        <v>81350</v>
      </c>
      <c r="F17" s="30">
        <f>100+0</f>
        <v>100</v>
      </c>
      <c r="G17" s="180">
        <f>178000+15650</f>
        <v>193650</v>
      </c>
      <c r="H17" s="30">
        <f>3850+1050</f>
        <v>4900</v>
      </c>
      <c r="J17" s="42">
        <f t="shared" si="3"/>
        <v>412800</v>
      </c>
      <c r="K17" s="42">
        <f t="shared" si="2"/>
        <v>6100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20050+18200</f>
        <v>38250</v>
      </c>
      <c r="D18" s="30">
        <f t="shared" si="0"/>
        <v>0</v>
      </c>
      <c r="E18" s="180">
        <f>24400+21350</f>
        <v>45750</v>
      </c>
      <c r="F18" s="30">
        <f t="shared" si="0"/>
        <v>0</v>
      </c>
      <c r="G18" s="180">
        <f>18450+46700</f>
        <v>65150</v>
      </c>
      <c r="H18" s="30">
        <f>500+1200</f>
        <v>1700</v>
      </c>
      <c r="J18" s="42">
        <f t="shared" si="3"/>
        <v>149150</v>
      </c>
      <c r="K18" s="42">
        <f t="shared" si="2"/>
        <v>1700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578350</v>
      </c>
      <c r="D32" s="44">
        <f t="shared" si="6"/>
        <v>3350</v>
      </c>
      <c r="E32" s="43">
        <f t="shared" si="6"/>
        <v>427500</v>
      </c>
      <c r="F32" s="44">
        <f t="shared" si="6"/>
        <v>1100</v>
      </c>
      <c r="G32" s="43">
        <f t="shared" si="6"/>
        <v>708750</v>
      </c>
      <c r="H32" s="44">
        <f t="shared" si="6"/>
        <v>20850</v>
      </c>
      <c r="J32" s="95">
        <f>SUM(J4:J31)</f>
        <v>1714600</v>
      </c>
      <c r="K32" s="95"/>
    </row>
    <row r="33" spans="2:8" x14ac:dyDescent="0.35">
      <c r="D33" s="99">
        <f>+D32*85</f>
        <v>284750</v>
      </c>
      <c r="F33" s="99">
        <f>+F32*85</f>
        <v>93500</v>
      </c>
      <c r="H33" s="99">
        <f>+H32*85</f>
        <v>1772250</v>
      </c>
    </row>
    <row r="34" spans="2:8" x14ac:dyDescent="0.35">
      <c r="B34" s="247" t="s">
        <v>149</v>
      </c>
      <c r="C34" s="43">
        <f t="shared" ref="C34:H34" si="7">+C4+C5+C6+C8+C13</f>
        <v>171400</v>
      </c>
      <c r="D34" s="43" t="e">
        <f t="shared" si="7"/>
        <v>#VALUE!</v>
      </c>
      <c r="E34" s="43">
        <f t="shared" si="7"/>
        <v>163250</v>
      </c>
      <c r="F34" s="43" t="e">
        <f t="shared" si="7"/>
        <v>#VALUE!</v>
      </c>
      <c r="G34" s="43">
        <f t="shared" si="7"/>
        <v>251300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208950</v>
      </c>
      <c r="D35" s="43" t="e">
        <f t="shared" ref="D35:H35" si="8">+D11+D14+D15+D17+D18</f>
        <v>#VALUE!</v>
      </c>
      <c r="E35" s="43">
        <f t="shared" si="8"/>
        <v>146550</v>
      </c>
      <c r="F35" s="43" t="e">
        <f t="shared" si="8"/>
        <v>#VALUE!</v>
      </c>
      <c r="G35" s="43">
        <f t="shared" si="8"/>
        <v>294000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188400</v>
      </c>
      <c r="D36" s="43" t="e">
        <f t="shared" ref="D36:H36" si="9">+D10+D12+D27</f>
        <v>#VALUE!</v>
      </c>
      <c r="E36" s="43">
        <f t="shared" si="9"/>
        <v>117700</v>
      </c>
      <c r="F36" s="43" t="e">
        <f t="shared" si="9"/>
        <v>#VALUE!</v>
      </c>
      <c r="G36" s="43">
        <f t="shared" si="9"/>
        <v>128150</v>
      </c>
      <c r="H36" s="43" t="e">
        <f t="shared" si="9"/>
        <v>#VALUE!</v>
      </c>
    </row>
    <row r="38" spans="2:8" x14ac:dyDescent="0.35">
      <c r="E38">
        <v>-70850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E27" sqref="E2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39</v>
      </c>
      <c r="D2" s="268"/>
      <c r="E2" s="267" t="str">
        <f>IF(PREMIOS!$B9="","",PREMIOS!$B9)</f>
        <v>06</v>
      </c>
      <c r="F2" s="268"/>
      <c r="G2" s="267" t="str">
        <f>IF(PREMIOS!$B13="","",PREMIOS!$B13)</f>
        <v>02</v>
      </c>
      <c r="H2" s="268"/>
      <c r="I2" s="267">
        <f>IF(PREMIOS!$B17="","",PREMIOS!$B17)</f>
        <v>23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f>12800+8500</f>
        <v>21300</v>
      </c>
      <c r="D4" s="78">
        <f>100+0</f>
        <v>100</v>
      </c>
      <c r="E4" s="206">
        <v>12800</v>
      </c>
      <c r="F4" s="78">
        <v>150</v>
      </c>
      <c r="G4" s="189">
        <v>5100</v>
      </c>
      <c r="H4" s="78">
        <v>250</v>
      </c>
      <c r="I4" s="189">
        <v>3150</v>
      </c>
      <c r="J4" s="78">
        <f t="shared" ref="D4:J27" si="0">IF(I4="","",0)</f>
        <v>0</v>
      </c>
      <c r="L4" s="42">
        <f t="shared" ref="L4:L8" si="1">+C4+E4+G4+I4</f>
        <v>42350</v>
      </c>
      <c r="M4" s="42">
        <f>IF(D4=0,0,IF(F4="",D4,IF(H4="",D4+F4,IF(J4="",D4+F4+H4,D4+F4+H4+J4))))</f>
        <v>500</v>
      </c>
    </row>
    <row r="5" spans="1:13" x14ac:dyDescent="0.35">
      <c r="A5" s="47">
        <v>2</v>
      </c>
      <c r="B5" s="178" t="str">
        <f>Vendedor2!$B$2</f>
        <v>PUESTO 2</v>
      </c>
      <c r="C5" s="180">
        <v>10000</v>
      </c>
      <c r="D5" s="30">
        <f t="shared" si="0"/>
        <v>0</v>
      </c>
      <c r="E5" s="207">
        <v>3500</v>
      </c>
      <c r="F5" s="30">
        <f t="shared" si="0"/>
        <v>0</v>
      </c>
      <c r="G5" s="180">
        <v>2000</v>
      </c>
      <c r="H5" s="30">
        <f t="shared" ref="H5:H26" si="2">IF(G5="","",0)</f>
        <v>0</v>
      </c>
      <c r="I5" s="180">
        <v>350</v>
      </c>
      <c r="J5" s="30">
        <f t="shared" ref="J5:J27" si="3">IF(I5="","",0)</f>
        <v>0</v>
      </c>
      <c r="L5" s="42">
        <f t="shared" si="1"/>
        <v>15850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2"/>
        <v/>
      </c>
      <c r="I6" s="180"/>
      <c r="J6" s="30" t="str">
        <f t="shared" si="3"/>
        <v/>
      </c>
      <c r="L6" s="42">
        <f t="shared" si="1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2"/>
        <v/>
      </c>
      <c r="I7" s="180"/>
      <c r="J7" s="30" t="str">
        <f t="shared" si="0"/>
        <v/>
      </c>
      <c r="L7" s="42">
        <f t="shared" si="1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94950</v>
      </c>
      <c r="D8" s="30">
        <f t="shared" si="0"/>
        <v>0</v>
      </c>
      <c r="E8" s="207">
        <v>49000</v>
      </c>
      <c r="F8" s="30">
        <v>750</v>
      </c>
      <c r="G8" s="180">
        <v>12500</v>
      </c>
      <c r="H8" s="30">
        <v>100</v>
      </c>
      <c r="I8" s="180">
        <v>50950</v>
      </c>
      <c r="J8" s="30">
        <f t="shared" si="0"/>
        <v>0</v>
      </c>
      <c r="L8" s="42">
        <f t="shared" si="1"/>
        <v>207400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2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25750+74550</f>
        <v>100300</v>
      </c>
      <c r="D10" s="30">
        <f t="shared" si="0"/>
        <v>0</v>
      </c>
      <c r="E10" s="207">
        <f>26500+38050</f>
        <v>64550</v>
      </c>
      <c r="F10" s="30">
        <v>400</v>
      </c>
      <c r="G10" s="180">
        <f>9500+61850</f>
        <v>71350</v>
      </c>
      <c r="H10" s="30">
        <f t="shared" si="0"/>
        <v>0</v>
      </c>
      <c r="I10" s="180">
        <f>42750+54100</f>
        <v>96850</v>
      </c>
      <c r="J10" s="30">
        <v>250</v>
      </c>
      <c r="L10" s="42">
        <f t="shared" si="5"/>
        <v>333050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29200</v>
      </c>
      <c r="D12" s="30">
        <f t="shared" si="0"/>
        <v>0</v>
      </c>
      <c r="E12" s="207">
        <v>12750</v>
      </c>
      <c r="F12" s="30">
        <v>400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41950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/>
      <c r="D13" s="30" t="str">
        <f t="shared" si="0"/>
        <v/>
      </c>
      <c r="E13" s="207">
        <v>25500</v>
      </c>
      <c r="F13" s="30">
        <v>600</v>
      </c>
      <c r="G13" s="180">
        <v>22050</v>
      </c>
      <c r="H13" s="30">
        <f t="shared" si="0"/>
        <v>0</v>
      </c>
      <c r="I13" s="180">
        <v>2700</v>
      </c>
      <c r="J13" s="30">
        <f t="shared" si="0"/>
        <v>0</v>
      </c>
      <c r="L13" s="42">
        <f t="shared" si="5"/>
        <v>50250</v>
      </c>
      <c r="M13" s="42" t="e">
        <f t="shared" si="4"/>
        <v>#VALUE!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2600</v>
      </c>
      <c r="D16" s="30">
        <f t="shared" si="0"/>
        <v>0</v>
      </c>
      <c r="E16" s="207">
        <v>3000</v>
      </c>
      <c r="F16" s="30">
        <v>500</v>
      </c>
      <c r="G16" s="180"/>
      <c r="H16" s="30" t="str">
        <f t="shared" si="0"/>
        <v/>
      </c>
      <c r="I16" s="180"/>
      <c r="J16" s="30" t="str">
        <f t="shared" si="0"/>
        <v/>
      </c>
      <c r="L16" s="42">
        <f t="shared" si="5"/>
        <v>5600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97350</v>
      </c>
      <c r="D17" s="30">
        <f t="shared" si="0"/>
        <v>0</v>
      </c>
      <c r="E17" s="207">
        <v>72100</v>
      </c>
      <c r="F17" s="30">
        <v>250</v>
      </c>
      <c r="G17" s="180">
        <v>51850</v>
      </c>
      <c r="H17" s="30">
        <v>700</v>
      </c>
      <c r="I17" s="180">
        <v>151700</v>
      </c>
      <c r="J17" s="30">
        <v>100</v>
      </c>
      <c r="L17" s="42">
        <f t="shared" si="5"/>
        <v>373000</v>
      </c>
      <c r="M17" s="42">
        <f t="shared" si="4"/>
        <v>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44800</v>
      </c>
      <c r="D18" s="30">
        <f t="shared" si="0"/>
        <v>0</v>
      </c>
      <c r="E18" s="207">
        <v>43000</v>
      </c>
      <c r="F18" s="30">
        <v>700</v>
      </c>
      <c r="G18" s="180">
        <v>30700</v>
      </c>
      <c r="H18" s="30">
        <v>400</v>
      </c>
      <c r="I18" s="180">
        <v>32600</v>
      </c>
      <c r="J18" s="30">
        <f t="shared" si="3"/>
        <v>0</v>
      </c>
      <c r="L18" s="42">
        <f t="shared" si="5"/>
        <v>151100</v>
      </c>
      <c r="M18" s="42">
        <f t="shared" si="4"/>
        <v>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2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2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2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2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2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2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2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2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>
        <v>-29200</v>
      </c>
      <c r="D27" s="50">
        <f t="shared" si="0"/>
        <v>0</v>
      </c>
      <c r="E27" s="209"/>
      <c r="F27" s="50"/>
      <c r="G27" s="181">
        <v>-41650</v>
      </c>
      <c r="H27" s="50">
        <v>-350</v>
      </c>
      <c r="I27" s="181"/>
      <c r="J27" s="50" t="str">
        <f t="shared" si="3"/>
        <v/>
      </c>
      <c r="L27" s="42">
        <f t="shared" si="5"/>
        <v>-70850</v>
      </c>
      <c r="M27" s="42">
        <f t="shared" si="4"/>
        <v>0</v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371300</v>
      </c>
      <c r="D32" s="44">
        <f t="shared" si="7"/>
        <v>100</v>
      </c>
      <c r="E32" s="43">
        <f t="shared" si="7"/>
        <v>286200</v>
      </c>
      <c r="F32" s="44">
        <f t="shared" si="7"/>
        <v>3750</v>
      </c>
      <c r="G32" s="43">
        <f t="shared" si="7"/>
        <v>153900</v>
      </c>
      <c r="H32" s="44">
        <f t="shared" si="7"/>
        <v>1100</v>
      </c>
      <c r="I32" s="43">
        <f t="shared" si="7"/>
        <v>338300</v>
      </c>
      <c r="J32" s="44">
        <f t="shared" si="7"/>
        <v>350</v>
      </c>
      <c r="L32" s="95">
        <f>SUM(L9:L31)</f>
        <v>884100</v>
      </c>
      <c r="M32" s="95" t="e">
        <f>SUM(M9:M31)</f>
        <v>#VALUE!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87 Blanca</v>
      </c>
      <c r="D2" s="268"/>
      <c r="E2" s="267" t="str">
        <f>IF(E33=0,"",CONCATENATE(PREMIOS!$B11," ",PREMIOS!$B12))</f>
        <v>63 Roja</v>
      </c>
      <c r="F2" s="268"/>
      <c r="G2" s="267" t="str">
        <f>IF(G33=0,"",CONCATENATE(PREMIOS!$B15," ",PREMIOS!$B16))</f>
        <v>09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13750+7700</f>
        <v>21450</v>
      </c>
      <c r="D10" s="30">
        <v>750</v>
      </c>
      <c r="E10" s="180">
        <f>18700+3750</f>
        <v>22450</v>
      </c>
      <c r="F10" s="30">
        <f t="shared" si="0"/>
        <v>0</v>
      </c>
      <c r="G10" s="180">
        <f>15700+5650</f>
        <v>21350</v>
      </c>
      <c r="H10" s="30">
        <f t="shared" si="0"/>
        <v>0</v>
      </c>
      <c r="J10" s="42">
        <f t="shared" si="3"/>
        <v>65250</v>
      </c>
      <c r="K10" s="42">
        <f t="shared" si="4"/>
        <v>750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1800</v>
      </c>
      <c r="D12" s="30">
        <f t="shared" si="0"/>
        <v>0</v>
      </c>
      <c r="E12" s="180">
        <v>950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2750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>
        <v>2500</v>
      </c>
      <c r="H16" s="195">
        <f t="shared" si="0"/>
        <v>0</v>
      </c>
      <c r="J16" s="42">
        <f t="shared" si="3"/>
        <v>2500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26650</v>
      </c>
      <c r="D17" s="30">
        <f t="shared" si="0"/>
        <v>0</v>
      </c>
      <c r="E17" s="180">
        <v>9300</v>
      </c>
      <c r="F17" s="30">
        <f t="shared" si="0"/>
        <v>0</v>
      </c>
      <c r="G17" s="180">
        <v>15250</v>
      </c>
      <c r="H17" s="30">
        <v>1050</v>
      </c>
      <c r="J17" s="42">
        <f t="shared" si="3"/>
        <v>51200</v>
      </c>
      <c r="K17" s="42">
        <f t="shared" si="4"/>
        <v>1050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18200</v>
      </c>
      <c r="D18" s="30">
        <f t="shared" si="0"/>
        <v>0</v>
      </c>
      <c r="E18" s="180">
        <v>21150</v>
      </c>
      <c r="F18" s="30">
        <f t="shared" si="0"/>
        <v>0</v>
      </c>
      <c r="G18" s="180">
        <v>17250</v>
      </c>
      <c r="H18" s="30">
        <v>500</v>
      </c>
      <c r="J18" s="42">
        <f t="shared" si="3"/>
        <v>56600</v>
      </c>
      <c r="K18" s="42">
        <f t="shared" si="4"/>
        <v>500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68100</v>
      </c>
      <c r="D33" s="44">
        <f t="shared" si="7"/>
        <v>750</v>
      </c>
      <c r="E33" s="43">
        <f t="shared" si="7"/>
        <v>53850</v>
      </c>
      <c r="F33" s="44">
        <f t="shared" si="7"/>
        <v>0</v>
      </c>
      <c r="G33" s="43">
        <f t="shared" si="7"/>
        <v>56350</v>
      </c>
      <c r="H33" s="44">
        <f t="shared" si="7"/>
        <v>1550</v>
      </c>
      <c r="J33" s="45">
        <f>SUM(J4:J32)</f>
        <v>178300</v>
      </c>
      <c r="K33" s="95">
        <f>SUM(K4:K32)</f>
        <v>2300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66</v>
      </c>
      <c r="D2" s="268"/>
      <c r="E2" s="267">
        <f>IF(PREMIOS!$C19="","",PREMIOS!$C19)</f>
        <v>95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9700</v>
      </c>
      <c r="D4" s="78">
        <v>100</v>
      </c>
      <c r="E4" s="189">
        <v>900</v>
      </c>
      <c r="F4" s="78">
        <f t="shared" ref="D4:F27" si="0">IF(E4="","",0)</f>
        <v>0</v>
      </c>
      <c r="H4" s="42">
        <f>+C4+E4</f>
        <v>10600</v>
      </c>
      <c r="I4" s="42">
        <f>IF(D4="",0,IF(F4="",D4,D4+F4))</f>
        <v>100</v>
      </c>
    </row>
    <row r="5" spans="1:9" x14ac:dyDescent="0.35">
      <c r="A5" s="47">
        <v>2</v>
      </c>
      <c r="B5" s="178" t="str">
        <f>Vendedor2!$B$2</f>
        <v>PUESTO 2</v>
      </c>
      <c r="C5" s="180">
        <v>6850</v>
      </c>
      <c r="D5" s="30">
        <f t="shared" si="0"/>
        <v>0</v>
      </c>
      <c r="E5" s="180">
        <v>500</v>
      </c>
      <c r="F5" s="30">
        <f t="shared" ref="F5:F27" si="1">IF(E5="","",0)</f>
        <v>0</v>
      </c>
      <c r="H5" s="42">
        <f t="shared" ref="H5:H32" si="2">+C5+E5</f>
        <v>7350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/>
      <c r="D8" s="30" t="str">
        <f t="shared" si="0"/>
        <v/>
      </c>
      <c r="E8" s="194">
        <v>17200</v>
      </c>
      <c r="F8" s="195">
        <f t="shared" si="1"/>
        <v>0</v>
      </c>
      <c r="H8" s="42">
        <f t="shared" si="2"/>
        <v>17200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5500+37700</f>
        <v>43200</v>
      </c>
      <c r="D10" s="30">
        <v>1000</v>
      </c>
      <c r="E10" s="180">
        <v>50000</v>
      </c>
      <c r="F10" s="195">
        <v>700</v>
      </c>
      <c r="H10" s="42">
        <f t="shared" si="2"/>
        <v>93200</v>
      </c>
      <c r="I10" s="42">
        <f t="shared" si="3"/>
        <v>1700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16900</v>
      </c>
      <c r="D12" s="30">
        <v>250</v>
      </c>
      <c r="E12" s="194"/>
      <c r="F12" s="30" t="str">
        <f t="shared" si="0"/>
        <v/>
      </c>
      <c r="H12" s="42">
        <f t="shared" si="2"/>
        <v>16900</v>
      </c>
      <c r="I12" s="42">
        <f t="shared" si="3"/>
        <v>250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66300</v>
      </c>
      <c r="D17" s="195">
        <v>100</v>
      </c>
      <c r="E17" s="180">
        <v>23600</v>
      </c>
      <c r="F17" s="30">
        <f t="shared" si="0"/>
        <v>0</v>
      </c>
      <c r="H17" s="42">
        <f t="shared" si="2"/>
        <v>89900</v>
      </c>
      <c r="I17" s="42">
        <f t="shared" si="3"/>
        <v>100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46300</v>
      </c>
      <c r="D18" s="195">
        <v>900</v>
      </c>
      <c r="E18" s="180">
        <v>31550</v>
      </c>
      <c r="F18" s="30">
        <f t="shared" si="0"/>
        <v>0</v>
      </c>
      <c r="H18" s="42">
        <f t="shared" si="2"/>
        <v>77850</v>
      </c>
      <c r="I18" s="42">
        <f t="shared" si="3"/>
        <v>900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189250</v>
      </c>
      <c r="D33" s="44">
        <f>SUM(D4:D32)</f>
        <v>2350</v>
      </c>
      <c r="E33" s="43">
        <f>SUM(E4:E32)</f>
        <v>123750</v>
      </c>
      <c r="F33" s="44">
        <f>SUM(F4:F32)</f>
        <v>700</v>
      </c>
      <c r="H33" s="95">
        <f>SUM(H4:H32)</f>
        <v>313000</v>
      </c>
      <c r="I33" s="95">
        <f>SUM(I4:I32)</f>
        <v>3050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20</v>
      </c>
      <c r="D2" s="268"/>
      <c r="E2" s="267">
        <f>IF(PREMIOS!$C20="","",PREMIOS!$C20)</f>
        <v>24</v>
      </c>
      <c r="F2" s="268"/>
      <c r="G2" s="267">
        <f>IF(PREMIOS!$D20="","",PREMIOS!$D20)</f>
        <v>42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71550</v>
      </c>
      <c r="D10" s="195">
        <v>900</v>
      </c>
      <c r="E10" s="180">
        <f>2000+13700</f>
        <v>15700</v>
      </c>
      <c r="F10" s="30">
        <v>1000</v>
      </c>
      <c r="G10" s="180">
        <v>13900</v>
      </c>
      <c r="H10" s="195">
        <f t="shared" si="0"/>
        <v>0</v>
      </c>
      <c r="J10" s="42">
        <f t="shared" si="3"/>
        <v>101150</v>
      </c>
      <c r="K10" s="42">
        <f t="shared" si="4"/>
        <v>1900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37400</v>
      </c>
      <c r="D17" s="195">
        <v>100</v>
      </c>
      <c r="E17" s="194">
        <v>3600</v>
      </c>
      <c r="F17" s="195">
        <f t="shared" si="0"/>
        <v>0</v>
      </c>
      <c r="G17" s="194">
        <v>17850</v>
      </c>
      <c r="H17" s="195">
        <v>350</v>
      </c>
      <c r="J17" s="42">
        <f t="shared" si="3"/>
        <v>58850</v>
      </c>
      <c r="K17" s="42">
        <f t="shared" si="4"/>
        <v>450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19600</v>
      </c>
      <c r="D18" s="195">
        <f t="shared" si="0"/>
        <v>0</v>
      </c>
      <c r="E18" s="180">
        <v>10100</v>
      </c>
      <c r="F18" s="30">
        <v>1000</v>
      </c>
      <c r="G18" s="180">
        <v>5000</v>
      </c>
      <c r="H18" s="30">
        <v>1000</v>
      </c>
      <c r="J18" s="42">
        <f t="shared" si="3"/>
        <v>34700</v>
      </c>
      <c r="K18" s="42">
        <f t="shared" si="4"/>
        <v>2000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128550</v>
      </c>
      <c r="D33" s="44">
        <f t="shared" si="6"/>
        <v>1000</v>
      </c>
      <c r="E33" s="43">
        <f t="shared" si="6"/>
        <v>29400</v>
      </c>
      <c r="F33" s="44">
        <f t="shared" si="6"/>
        <v>2000</v>
      </c>
      <c r="G33" s="43">
        <f t="shared" si="6"/>
        <v>36750</v>
      </c>
      <c r="H33" s="44">
        <f t="shared" si="6"/>
        <v>1350</v>
      </c>
      <c r="J33" s="45">
        <f>SUM(J4:J32)</f>
        <v>194700</v>
      </c>
      <c r="K33" s="95">
        <f>SUM(K4:K32)</f>
        <v>4350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39</v>
      </c>
      <c r="D2" s="268"/>
      <c r="E2" s="267">
        <f>IF(PREMIOS!$C21="","",PREMIOS!$C21)</f>
        <v>39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750</v>
      </c>
      <c r="D10" s="30">
        <f t="shared" si="0"/>
        <v>0</v>
      </c>
      <c r="E10" s="180">
        <v>42000</v>
      </c>
      <c r="F10" s="30">
        <f t="shared" si="0"/>
        <v>0</v>
      </c>
      <c r="H10" s="42">
        <f t="shared" si="2"/>
        <v>42750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750</v>
      </c>
      <c r="D33" s="44">
        <f>SUM(D4:D32)</f>
        <v>0</v>
      </c>
      <c r="E33" s="43">
        <f>SUM(E4:E32)</f>
        <v>42000</v>
      </c>
      <c r="F33" s="44">
        <f>SUM(F4:F32)</f>
        <v>0</v>
      </c>
      <c r="H33" s="45">
        <f>SUM(H4:H32)</f>
        <v>42750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2026-05-15T16:22:20Z</dcterms:modified>
  <dc:language>es-CR</dc:language>
</cp:coreProperties>
</file>
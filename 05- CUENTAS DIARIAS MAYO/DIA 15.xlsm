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5- CUANTAS DIARIAS MAYO/"/>
    </mc:Choice>
  </mc:AlternateContent>
  <xr:revisionPtr revIDLastSave="2" documentId="11_FAB16A31FF389033905B10E8F99535A7F5437AF1" xr6:coauthVersionLast="47" xr6:coauthVersionMax="47" xr10:uidLastSave="{F159233F-7086-4BE4-AD55-23BE6367C336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15" l="1"/>
  <c r="B2" i="7"/>
  <c r="B2" i="6"/>
  <c r="B2" i="14"/>
  <c r="B2" i="16"/>
  <c r="B2" i="21"/>
  <c r="B2" i="22"/>
  <c r="I5" i="69"/>
  <c r="K12" i="69" l="1"/>
  <c r="J10" i="61"/>
  <c r="I10" i="61"/>
  <c r="G10" i="61"/>
  <c r="E10" i="61"/>
  <c r="C10" i="61"/>
  <c r="G10" i="62"/>
  <c r="F10" i="62"/>
  <c r="E10" i="62"/>
  <c r="C10" i="62"/>
  <c r="G10" i="60"/>
  <c r="F10" i="60"/>
  <c r="E10" i="60"/>
  <c r="C10" i="60"/>
  <c r="H17" i="60"/>
  <c r="G17" i="60"/>
  <c r="G18" i="60"/>
  <c r="F17" i="60"/>
  <c r="E17" i="60"/>
  <c r="F18" i="60"/>
  <c r="E18" i="60"/>
  <c r="D17" i="60"/>
  <c r="C17" i="60"/>
  <c r="D18" i="60"/>
  <c r="C18" i="60"/>
  <c r="C10" i="64" l="1"/>
  <c r="C10" i="65"/>
  <c r="D12" i="65" l="1"/>
  <c r="D11" i="65"/>
  <c r="D10" i="65"/>
  <c r="D18" i="61"/>
  <c r="D9" i="61"/>
  <c r="C23" i="15"/>
  <c r="D23" i="15" s="1"/>
  <c r="C22" i="15"/>
  <c r="E16" i="71" s="1"/>
  <c r="C21" i="15"/>
  <c r="C16" i="71" s="1"/>
  <c r="H16" i="64"/>
  <c r="E23" i="15" s="1"/>
  <c r="D16" i="64"/>
  <c r="E21" i="15" s="1"/>
  <c r="B2" i="23"/>
  <c r="B2" i="25"/>
  <c r="D27" i="6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F23" i="15" l="1"/>
  <c r="H16" i="71"/>
  <c r="D22" i="15"/>
  <c r="G16" i="71"/>
  <c r="F21" i="15"/>
  <c r="D16" i="71"/>
  <c r="D21" i="15"/>
  <c r="K15" i="15" s="1"/>
  <c r="G23" i="15"/>
  <c r="K8" i="15"/>
  <c r="J8" i="15"/>
  <c r="G36" i="60" l="1"/>
  <c r="E36" i="60"/>
  <c r="G35" i="60"/>
  <c r="E35" i="60"/>
  <c r="C36" i="60"/>
  <c r="C35" i="60"/>
  <c r="G34" i="60"/>
  <c r="E34" i="60"/>
  <c r="C34" i="60"/>
  <c r="D27" i="62"/>
  <c r="D26" i="62"/>
  <c r="D25" i="62"/>
  <c r="D24" i="62"/>
  <c r="D23" i="62"/>
  <c r="D22" i="62"/>
  <c r="D21" i="62"/>
  <c r="D20" i="62"/>
  <c r="D19" i="62"/>
  <c r="D17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3" i="61"/>
  <c r="D12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6" i="60"/>
  <c r="D15" i="60"/>
  <c r="D14" i="60"/>
  <c r="D12" i="60"/>
  <c r="D36" i="60" s="1"/>
  <c r="D11" i="60"/>
  <c r="D9" i="60"/>
  <c r="D7" i="60"/>
  <c r="D5" i="60"/>
  <c r="F18" i="23"/>
  <c r="F14" i="23"/>
  <c r="F10" i="23"/>
  <c r="F6" i="23"/>
  <c r="F6" i="14"/>
  <c r="F10" i="14"/>
  <c r="F14" i="14"/>
  <c r="F18" i="14"/>
  <c r="H10" i="64"/>
  <c r="D10" i="64"/>
  <c r="F18" i="62"/>
  <c r="D5" i="61"/>
  <c r="F16" i="61"/>
  <c r="D6" i="60"/>
  <c r="F16" i="60"/>
  <c r="F15" i="60"/>
  <c r="F12" i="60"/>
  <c r="F11" i="60"/>
  <c r="F35" i="60" s="1"/>
  <c r="F9" i="60"/>
  <c r="F7" i="60"/>
  <c r="F6" i="60"/>
  <c r="F5" i="60"/>
  <c r="F4" i="60"/>
  <c r="H15" i="60"/>
  <c r="H14" i="60"/>
  <c r="H13" i="60"/>
  <c r="H12" i="60"/>
  <c r="H11" i="60"/>
  <c r="H9" i="60"/>
  <c r="H8" i="60"/>
  <c r="H7" i="60"/>
  <c r="H6" i="60"/>
  <c r="H5" i="60"/>
  <c r="F18" i="21"/>
  <c r="F14" i="21"/>
  <c r="F10" i="21"/>
  <c r="F6" i="21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8" i="61"/>
  <c r="J7" i="61"/>
  <c r="F15" i="61"/>
  <c r="F14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7" i="61"/>
  <c r="F6" i="61"/>
  <c r="F4" i="61"/>
  <c r="E5" i="16"/>
  <c r="H34" i="60" l="1"/>
  <c r="D35" i="60"/>
  <c r="F34" i="60"/>
  <c r="D34" i="60"/>
  <c r="J8" i="14"/>
  <c r="D21" i="14"/>
  <c r="C12" i="71"/>
  <c r="D22" i="14"/>
  <c r="K15" i="14" s="1"/>
  <c r="G12" i="71"/>
  <c r="E19" i="16"/>
  <c r="D4" i="65"/>
  <c r="D20" i="16"/>
  <c r="F18" i="64"/>
  <c r="E11" i="16"/>
  <c r="F10" i="65"/>
  <c r="F4" i="65"/>
  <c r="J4" i="61"/>
  <c r="E17" i="16"/>
  <c r="E15" i="16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5" i="62"/>
  <c r="H14" i="62"/>
  <c r="H13" i="62"/>
  <c r="H12" i="62"/>
  <c r="H11" i="62"/>
  <c r="E16" i="16" s="1"/>
  <c r="H10" i="62"/>
  <c r="H15" i="61"/>
  <c r="H14" i="61"/>
  <c r="H13" i="61"/>
  <c r="H12" i="61"/>
  <c r="H11" i="61"/>
  <c r="E13" i="16" s="1"/>
  <c r="H10" i="61"/>
  <c r="H18" i="60"/>
  <c r="H35" i="60" s="1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4" i="17"/>
  <c r="F10" i="17"/>
  <c r="F6" i="17"/>
  <c r="F18" i="7"/>
  <c r="F14" i="7"/>
  <c r="F10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 s="1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36" i="60" s="1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C24" i="8"/>
  <c r="C17" i="72" s="1"/>
  <c r="C25" i="19"/>
  <c r="E18" i="72" s="1"/>
  <c r="C24" i="19"/>
  <c r="C25" i="8"/>
  <c r="C20" i="22"/>
  <c r="E8" i="70" s="1"/>
  <c r="C19" i="22"/>
  <c r="C18" i="72" l="1"/>
  <c r="J9" i="19"/>
  <c r="E17" i="72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36" i="60" s="1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7" i="23" l="1"/>
  <c r="K13" i="14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M21" i="61" s="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F30" i="73"/>
  <c r="H29" i="73"/>
  <c r="I29" i="73" s="1"/>
  <c r="F28" i="73"/>
  <c r="H22" i="73"/>
  <c r="I22" i="73" s="1"/>
  <c r="H16" i="73"/>
  <c r="I16" i="73" s="1"/>
  <c r="H15" i="73"/>
  <c r="I15" i="73" s="1"/>
  <c r="H14" i="73"/>
  <c r="I14" i="73" s="1"/>
  <c r="H13" i="73"/>
  <c r="I13" i="73" s="1"/>
  <c r="H12" i="73"/>
  <c r="I12" i="73" s="1"/>
  <c r="H11" i="73"/>
  <c r="I11" i="73" s="1"/>
  <c r="H9" i="73"/>
  <c r="I9" i="73" s="1"/>
  <c r="H8" i="73"/>
  <c r="I8" i="73" s="1"/>
  <c r="H7" i="73"/>
  <c r="I7" i="73" s="1"/>
  <c r="H6" i="73"/>
  <c r="I6" i="73" s="1"/>
  <c r="H5" i="73"/>
  <c r="I5" i="73" s="1"/>
  <c r="H4" i="73"/>
  <c r="I4" i="73" s="1"/>
  <c r="F25" i="73"/>
  <c r="F24" i="73"/>
  <c r="F20" i="73"/>
  <c r="F16" i="73"/>
  <c r="F15" i="73"/>
  <c r="F14" i="73"/>
  <c r="G14" i="73" s="1"/>
  <c r="L14" i="73" s="1"/>
  <c r="F13" i="73"/>
  <c r="F12" i="73"/>
  <c r="F11" i="73"/>
  <c r="F9" i="73"/>
  <c r="F8" i="73"/>
  <c r="G8" i="73" s="1"/>
  <c r="L8" i="73" s="1"/>
  <c r="F7" i="73"/>
  <c r="F6" i="73"/>
  <c r="F5" i="73"/>
  <c r="F4" i="73"/>
  <c r="G4" i="73" s="1"/>
  <c r="D31" i="73"/>
  <c r="H31" i="73" s="1"/>
  <c r="I31" i="73" s="1"/>
  <c r="C31" i="73"/>
  <c r="F31" i="73" s="1"/>
  <c r="B31" i="73"/>
  <c r="D30" i="73"/>
  <c r="H30" i="73" s="1"/>
  <c r="I30" i="73" s="1"/>
  <c r="C30" i="73"/>
  <c r="B30" i="73"/>
  <c r="D29" i="73"/>
  <c r="C29" i="73"/>
  <c r="F29" i="73" s="1"/>
  <c r="B29" i="73"/>
  <c r="D28" i="73"/>
  <c r="H28" i="73" s="1"/>
  <c r="I28" i="73" s="1"/>
  <c r="C28" i="73"/>
  <c r="B28" i="73"/>
  <c r="B27" i="73"/>
  <c r="D26" i="73"/>
  <c r="H26" i="73" s="1"/>
  <c r="I26" i="73" s="1"/>
  <c r="C26" i="73"/>
  <c r="F26" i="73" s="1"/>
  <c r="L26" i="73" s="1"/>
  <c r="B26" i="73"/>
  <c r="D25" i="73"/>
  <c r="H25" i="73" s="1"/>
  <c r="I25" i="73" s="1"/>
  <c r="C25" i="73"/>
  <c r="B25" i="73"/>
  <c r="D24" i="73"/>
  <c r="H24" i="73" s="1"/>
  <c r="I24" i="73" s="1"/>
  <c r="C24" i="73"/>
  <c r="B24" i="73"/>
  <c r="D23" i="73"/>
  <c r="H23" i="73" s="1"/>
  <c r="I23" i="73" s="1"/>
  <c r="C23" i="73"/>
  <c r="F23" i="73" s="1"/>
  <c r="B23" i="73"/>
  <c r="D22" i="73"/>
  <c r="C22" i="73"/>
  <c r="F22" i="73" s="1"/>
  <c r="B22" i="73"/>
  <c r="D21" i="73"/>
  <c r="H21" i="73" s="1"/>
  <c r="I21" i="73" s="1"/>
  <c r="C21" i="73"/>
  <c r="F21" i="73" s="1"/>
  <c r="B21" i="73"/>
  <c r="D20" i="73"/>
  <c r="H20" i="73" s="1"/>
  <c r="I20" i="73" s="1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7" i="73"/>
  <c r="L7" i="73" s="1"/>
  <c r="B7" i="73"/>
  <c r="B6" i="73"/>
  <c r="B5" i="73"/>
  <c r="B4" i="73"/>
  <c r="D18" i="72"/>
  <c r="H18" i="72"/>
  <c r="H17" i="72"/>
  <c r="F31" i="72"/>
  <c r="E31" i="72"/>
  <c r="D31" i="72"/>
  <c r="C31" i="72"/>
  <c r="B31" i="72"/>
  <c r="H30" i="72"/>
  <c r="F30" i="72"/>
  <c r="E30" i="72"/>
  <c r="D30" i="72"/>
  <c r="J30" i="72" s="1"/>
  <c r="K30" i="72" s="1"/>
  <c r="C30" i="72"/>
  <c r="B30" i="72"/>
  <c r="H29" i="72"/>
  <c r="I29" i="72" s="1"/>
  <c r="F29" i="72"/>
  <c r="J29" i="72" s="1"/>
  <c r="K29" i="72" s="1"/>
  <c r="E29" i="72"/>
  <c r="D29" i="72"/>
  <c r="C29" i="72"/>
  <c r="B29" i="72"/>
  <c r="F28" i="72"/>
  <c r="E28" i="72"/>
  <c r="D28" i="72"/>
  <c r="J28" i="72" s="1"/>
  <c r="K28" i="72" s="1"/>
  <c r="C28" i="72"/>
  <c r="B28" i="72"/>
  <c r="B27" i="72"/>
  <c r="F26" i="72"/>
  <c r="E26" i="72"/>
  <c r="D26" i="72"/>
  <c r="J26" i="72" s="1"/>
  <c r="K26" i="72" s="1"/>
  <c r="C26" i="72"/>
  <c r="H26" i="72" s="1"/>
  <c r="N26" i="72" s="1"/>
  <c r="B26" i="72"/>
  <c r="F25" i="72"/>
  <c r="E25" i="72"/>
  <c r="D25" i="72"/>
  <c r="J25" i="72" s="1"/>
  <c r="K25" i="72" s="1"/>
  <c r="C25" i="72"/>
  <c r="H25" i="72" s="1"/>
  <c r="B25" i="72"/>
  <c r="F24" i="72"/>
  <c r="E24" i="72"/>
  <c r="D24" i="72"/>
  <c r="J24" i="72" s="1"/>
  <c r="K24" i="72" s="1"/>
  <c r="C24" i="72"/>
  <c r="B24" i="72"/>
  <c r="F23" i="72"/>
  <c r="E23" i="72"/>
  <c r="D23" i="72"/>
  <c r="C23" i="72"/>
  <c r="H23" i="72" s="1"/>
  <c r="B23" i="72"/>
  <c r="F22" i="72"/>
  <c r="E22" i="72"/>
  <c r="D22" i="72"/>
  <c r="J22" i="72" s="1"/>
  <c r="K22" i="72" s="1"/>
  <c r="C22" i="72"/>
  <c r="H22" i="72" s="1"/>
  <c r="B22" i="72"/>
  <c r="F21" i="72"/>
  <c r="E21" i="72"/>
  <c r="H21" i="72" s="1"/>
  <c r="D21" i="72"/>
  <c r="C21" i="72"/>
  <c r="B21" i="72"/>
  <c r="J20" i="72"/>
  <c r="K20" i="72" s="1"/>
  <c r="F20" i="72"/>
  <c r="E20" i="72"/>
  <c r="D20" i="72"/>
  <c r="C20" i="72"/>
  <c r="H20" i="72" s="1"/>
  <c r="B20" i="72"/>
  <c r="B19" i="72"/>
  <c r="B18" i="72"/>
  <c r="B17" i="72"/>
  <c r="J16" i="72"/>
  <c r="K16" i="72" s="1"/>
  <c r="H16" i="72"/>
  <c r="I16" i="72" s="1"/>
  <c r="N16" i="72" s="1"/>
  <c r="B16" i="72"/>
  <c r="J15" i="72"/>
  <c r="K15" i="72" s="1"/>
  <c r="H15" i="72"/>
  <c r="B15" i="72"/>
  <c r="J14" i="72"/>
  <c r="K14" i="72" s="1"/>
  <c r="H14" i="72"/>
  <c r="I14" i="72" s="1"/>
  <c r="B14" i="72"/>
  <c r="J13" i="72"/>
  <c r="K13" i="72" s="1"/>
  <c r="H13" i="72"/>
  <c r="B13" i="72"/>
  <c r="J12" i="72"/>
  <c r="K12" i="72" s="1"/>
  <c r="H12" i="72"/>
  <c r="I12" i="72" s="1"/>
  <c r="N12" i="72" s="1"/>
  <c r="B12" i="72"/>
  <c r="J11" i="72"/>
  <c r="K11" i="72" s="1"/>
  <c r="H11" i="72"/>
  <c r="I11" i="72" s="1"/>
  <c r="N11" i="72" s="1"/>
  <c r="B10" i="72"/>
  <c r="J9" i="72"/>
  <c r="K9" i="72" s="1"/>
  <c r="H9" i="72"/>
  <c r="I9" i="72" s="1"/>
  <c r="N9" i="72" s="1"/>
  <c r="B9" i="72"/>
  <c r="J8" i="72"/>
  <c r="K8" i="72" s="1"/>
  <c r="I8" i="72"/>
  <c r="H8" i="72"/>
  <c r="J7" i="72"/>
  <c r="K7" i="72" s="1"/>
  <c r="H7" i="72"/>
  <c r="I7" i="72" s="1"/>
  <c r="B7" i="72"/>
  <c r="H6" i="72"/>
  <c r="J6" i="72"/>
  <c r="K6" i="72" s="1"/>
  <c r="B6" i="72"/>
  <c r="J5" i="72"/>
  <c r="K5" i="72" s="1"/>
  <c r="H5" i="72"/>
  <c r="B5" i="72"/>
  <c r="J4" i="72"/>
  <c r="K4" i="72" s="1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C29" i="71"/>
  <c r="B29" i="71"/>
  <c r="H28" i="71"/>
  <c r="G28" i="71"/>
  <c r="F28" i="71"/>
  <c r="E28" i="71"/>
  <c r="D28" i="71"/>
  <c r="C28" i="71"/>
  <c r="B28" i="71"/>
  <c r="B27" i="71"/>
  <c r="H26" i="71"/>
  <c r="G26" i="71"/>
  <c r="F26" i="71"/>
  <c r="E26" i="71"/>
  <c r="D26" i="71"/>
  <c r="C26" i="71"/>
  <c r="B26" i="71"/>
  <c r="H25" i="71"/>
  <c r="G25" i="71"/>
  <c r="F25" i="71"/>
  <c r="E25" i="71"/>
  <c r="D25" i="71"/>
  <c r="C25" i="71"/>
  <c r="B25" i="71"/>
  <c r="H24" i="71"/>
  <c r="G24" i="71"/>
  <c r="F24" i="71"/>
  <c r="L24" i="71" s="1"/>
  <c r="M24" i="71" s="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M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M20" i="71" s="1"/>
  <c r="C20" i="71"/>
  <c r="B20" i="71"/>
  <c r="B19" i="71"/>
  <c r="B18" i="71"/>
  <c r="B17" i="71"/>
  <c r="J16" i="71"/>
  <c r="B16" i="71"/>
  <c r="L15" i="71"/>
  <c r="M15" i="71" s="1"/>
  <c r="J15" i="71"/>
  <c r="B15" i="71"/>
  <c r="L14" i="71"/>
  <c r="M14" i="71" s="1"/>
  <c r="J14" i="71"/>
  <c r="B14" i="71"/>
  <c r="L13" i="71"/>
  <c r="M13" i="71" s="1"/>
  <c r="J13" i="71"/>
  <c r="B13" i="71"/>
  <c r="B12" i="71"/>
  <c r="J11" i="71"/>
  <c r="L11" i="71"/>
  <c r="M11" i="71" s="1"/>
  <c r="B10" i="71"/>
  <c r="L9" i="71"/>
  <c r="M9" i="71" s="1"/>
  <c r="J9" i="71"/>
  <c r="L8" i="71"/>
  <c r="M8" i="71" s="1"/>
  <c r="J8" i="71"/>
  <c r="L7" i="71"/>
  <c r="M7" i="71" s="1"/>
  <c r="J7" i="71"/>
  <c r="J6" i="71"/>
  <c r="L6" i="71"/>
  <c r="M6" i="71" s="1"/>
  <c r="B6" i="71"/>
  <c r="L5" i="71"/>
  <c r="M5" i="71" s="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H29" i="70"/>
  <c r="J15" i="70"/>
  <c r="K15" i="70" s="1"/>
  <c r="J14" i="70"/>
  <c r="K14" i="70" s="1"/>
  <c r="J13" i="70"/>
  <c r="K13" i="70" s="1"/>
  <c r="J11" i="70"/>
  <c r="K11" i="70" s="1"/>
  <c r="J7" i="70"/>
  <c r="K7" i="70" s="1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E25" i="29" s="1"/>
  <c r="F26" i="66"/>
  <c r="F25" i="66"/>
  <c r="F24" i="66"/>
  <c r="F23" i="66"/>
  <c r="F22" i="66"/>
  <c r="F21" i="66"/>
  <c r="F20" i="66"/>
  <c r="F19" i="66"/>
  <c r="F18" i="66"/>
  <c r="E25" i="19" s="1"/>
  <c r="F17" i="66"/>
  <c r="E25" i="8" s="1"/>
  <c r="F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E24" i="19" s="1"/>
  <c r="F24" i="19" s="1"/>
  <c r="D17" i="66"/>
  <c r="E24" i="8" s="1"/>
  <c r="F24" i="8" s="1"/>
  <c r="D16" i="66"/>
  <c r="I16" i="66" s="1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E23" i="19"/>
  <c r="F23" i="19" s="1"/>
  <c r="E23" i="8"/>
  <c r="F23" i="8" s="1"/>
  <c r="H15" i="64"/>
  <c r="H14" i="64"/>
  <c r="H13" i="64"/>
  <c r="H12" i="64"/>
  <c r="E23" i="14" s="1"/>
  <c r="F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K20" i="64" s="1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5" i="19"/>
  <c r="D24" i="19"/>
  <c r="C23" i="19"/>
  <c r="G18" i="71" s="1"/>
  <c r="C22" i="19"/>
  <c r="C21" i="19"/>
  <c r="C20" i="19"/>
  <c r="D20" i="19" s="1"/>
  <c r="C19" i="8"/>
  <c r="C26" i="8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5" i="66"/>
  <c r="I14" i="66"/>
  <c r="I13" i="66"/>
  <c r="I12" i="66"/>
  <c r="I11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J31" i="70" s="1"/>
  <c r="C31" i="70"/>
  <c r="H31" i="70" s="1"/>
  <c r="B31" i="70"/>
  <c r="F30" i="70"/>
  <c r="E30" i="70"/>
  <c r="H30" i="70" s="1"/>
  <c r="D30" i="70"/>
  <c r="J30" i="70" s="1"/>
  <c r="C30" i="70"/>
  <c r="B30" i="70"/>
  <c r="F29" i="70"/>
  <c r="E29" i="70"/>
  <c r="D29" i="70"/>
  <c r="J29" i="70" s="1"/>
  <c r="C29" i="70"/>
  <c r="B29" i="70"/>
  <c r="F28" i="70"/>
  <c r="E28" i="70"/>
  <c r="D28" i="70"/>
  <c r="J28" i="70" s="1"/>
  <c r="C28" i="70"/>
  <c r="H28" i="70" s="1"/>
  <c r="B28" i="70"/>
  <c r="B27" i="70"/>
  <c r="F26" i="70"/>
  <c r="E26" i="70"/>
  <c r="D26" i="70"/>
  <c r="C26" i="70"/>
  <c r="B26" i="70"/>
  <c r="F25" i="70"/>
  <c r="E25" i="70"/>
  <c r="D25" i="70"/>
  <c r="C25" i="70"/>
  <c r="B25" i="70"/>
  <c r="F24" i="70"/>
  <c r="E24" i="70"/>
  <c r="D24" i="70"/>
  <c r="J24" i="70" s="1"/>
  <c r="K24" i="70" s="1"/>
  <c r="C24" i="70"/>
  <c r="H24" i="70" s="1"/>
  <c r="B24" i="70"/>
  <c r="F23" i="70"/>
  <c r="E23" i="70"/>
  <c r="D23" i="70"/>
  <c r="J23" i="70" s="1"/>
  <c r="K23" i="70" s="1"/>
  <c r="C23" i="70"/>
  <c r="B23" i="70"/>
  <c r="F22" i="70"/>
  <c r="E22" i="70"/>
  <c r="D22" i="70"/>
  <c r="C22" i="70"/>
  <c r="B22" i="70"/>
  <c r="F21" i="70"/>
  <c r="E21" i="70"/>
  <c r="D21" i="70"/>
  <c r="C21" i="70"/>
  <c r="H21" i="70" s="1"/>
  <c r="B21" i="70"/>
  <c r="F20" i="70"/>
  <c r="E20" i="70"/>
  <c r="D20" i="70"/>
  <c r="J20" i="70" s="1"/>
  <c r="K20" i="70" s="1"/>
  <c r="C20" i="70"/>
  <c r="H20" i="70" s="1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F26" i="19" s="1"/>
  <c r="L10" i="19" s="1"/>
  <c r="B18" i="68"/>
  <c r="E26" i="8"/>
  <c r="F26" i="8" s="1"/>
  <c r="L10" i="8" s="1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I9" i="66" s="1"/>
  <c r="F8" i="66"/>
  <c r="D8" i="66"/>
  <c r="I8" i="66" s="1"/>
  <c r="F7" i="66"/>
  <c r="D7" i="66"/>
  <c r="I7" i="66" s="1"/>
  <c r="F6" i="66"/>
  <c r="D6" i="66"/>
  <c r="I6" i="66" s="1"/>
  <c r="B6" i="66"/>
  <c r="F5" i="66"/>
  <c r="D5" i="66"/>
  <c r="I5" i="66" s="1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F20" i="23" s="1"/>
  <c r="E19" i="23"/>
  <c r="F19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B31" i="64"/>
  <c r="H30" i="64"/>
  <c r="G30" i="64"/>
  <c r="F30" i="64"/>
  <c r="E30" i="64"/>
  <c r="D30" i="64"/>
  <c r="C30" i="64"/>
  <c r="B30" i="64"/>
  <c r="H29" i="64"/>
  <c r="G29" i="64"/>
  <c r="G33" i="64" s="1"/>
  <c r="F29" i="64"/>
  <c r="E29" i="64"/>
  <c r="D29" i="64"/>
  <c r="C29" i="64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J4" i="64"/>
  <c r="H4" i="64"/>
  <c r="F4" i="64"/>
  <c r="D4" i="64"/>
  <c r="K4" i="64" s="1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H4" i="61"/>
  <c r="M25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I25" i="72" l="1"/>
  <c r="N25" i="72" s="1"/>
  <c r="F25" i="29"/>
  <c r="F27" i="72"/>
  <c r="J31" i="64"/>
  <c r="E33" i="66"/>
  <c r="H22" i="70"/>
  <c r="I22" i="70" s="1"/>
  <c r="J25" i="70"/>
  <c r="K25" i="70" s="1"/>
  <c r="I15" i="72"/>
  <c r="N15" i="72" s="1"/>
  <c r="H24" i="72"/>
  <c r="H31" i="72"/>
  <c r="E27" i="72"/>
  <c r="L7" i="23"/>
  <c r="J22" i="70"/>
  <c r="K22" i="70" s="1"/>
  <c r="D26" i="21"/>
  <c r="J10" i="21"/>
  <c r="C17" i="73"/>
  <c r="F17" i="73" s="1"/>
  <c r="J10" i="8"/>
  <c r="D26" i="19"/>
  <c r="J10" i="19"/>
  <c r="J29" i="71"/>
  <c r="J21" i="72"/>
  <c r="K21" i="72" s="1"/>
  <c r="J31" i="72"/>
  <c r="K31" i="72" s="1"/>
  <c r="J29" i="64"/>
  <c r="J7" i="19"/>
  <c r="F25" i="19"/>
  <c r="L9" i="19" s="1"/>
  <c r="F18" i="72"/>
  <c r="J26" i="71"/>
  <c r="L29" i="71"/>
  <c r="M29" i="71" s="1"/>
  <c r="L28" i="71"/>
  <c r="M28" i="71" s="1"/>
  <c r="J21" i="70"/>
  <c r="K21" i="70" s="1"/>
  <c r="F22" i="15"/>
  <c r="L8" i="15" s="1"/>
  <c r="F16" i="71"/>
  <c r="L16" i="71" s="1"/>
  <c r="M16" i="71" s="1"/>
  <c r="G22" i="15"/>
  <c r="L25" i="71"/>
  <c r="M25" i="71" s="1"/>
  <c r="J23" i="72"/>
  <c r="K23" i="72" s="1"/>
  <c r="K20" i="19"/>
  <c r="K9" i="19"/>
  <c r="H32" i="66"/>
  <c r="H23" i="70"/>
  <c r="J26" i="70"/>
  <c r="K26" i="70" s="1"/>
  <c r="K28" i="70"/>
  <c r="H28" i="72"/>
  <c r="D17" i="72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G25" i="21" s="1"/>
  <c r="I5" i="65"/>
  <c r="D18" i="73"/>
  <c r="H18" i="73" s="1"/>
  <c r="I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F24" i="29"/>
  <c r="L27" i="72" s="1"/>
  <c r="D27" i="72"/>
  <c r="J27" i="72" s="1"/>
  <c r="K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I27" i="73" s="1"/>
  <c r="F21" i="29"/>
  <c r="D27" i="71"/>
  <c r="C33" i="64"/>
  <c r="J30" i="64"/>
  <c r="F27" i="71"/>
  <c r="F22" i="29"/>
  <c r="N27" i="71" s="1"/>
  <c r="F23" i="29"/>
  <c r="H27" i="7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M26" i="71" s="1"/>
  <c r="J28" i="71"/>
  <c r="L30" i="71"/>
  <c r="M30" i="71" s="1"/>
  <c r="L31" i="71"/>
  <c r="M31" i="71" s="1"/>
  <c r="J23" i="71"/>
  <c r="J20" i="71"/>
  <c r="K20" i="71" s="1"/>
  <c r="J21" i="71"/>
  <c r="K21" i="71" s="1"/>
  <c r="L23" i="71"/>
  <c r="M23" i="71" s="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F10" i="72"/>
  <c r="J18" i="72"/>
  <c r="K18" i="72" s="1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I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M4" i="71" s="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N27" i="72" l="1"/>
  <c r="K21" i="19"/>
  <c r="K10" i="19"/>
  <c r="N24" i="71"/>
  <c r="L27" i="71"/>
  <c r="M27" i="71" s="1"/>
  <c r="P21" i="59"/>
  <c r="K21" i="8"/>
  <c r="K10" i="8"/>
  <c r="K20" i="21"/>
  <c r="K10" i="2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K17" i="72" s="1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M26" i="52" s="1"/>
  <c r="C26" i="52"/>
  <c r="G25" i="52"/>
  <c r="F25" i="52"/>
  <c r="E25" i="52"/>
  <c r="D25" i="52"/>
  <c r="M25" i="52" s="1"/>
  <c r="C25" i="52"/>
  <c r="G24" i="52"/>
  <c r="F24" i="52"/>
  <c r="E24" i="52"/>
  <c r="D24" i="52"/>
  <c r="M24" i="52" s="1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E15" i="19"/>
  <c r="F15" i="19" s="1"/>
  <c r="E13" i="19"/>
  <c r="F13" i="19" s="1"/>
  <c r="E12" i="19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E15" i="15"/>
  <c r="F15" i="15" s="1"/>
  <c r="E13" i="15"/>
  <c r="F13" i="15" s="1"/>
  <c r="E12" i="15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F17" i="23" s="1"/>
  <c r="E16" i="23"/>
  <c r="F16" i="23" s="1"/>
  <c r="L6" i="23" s="1"/>
  <c r="E15" i="23"/>
  <c r="F15" i="23" s="1"/>
  <c r="E13" i="23"/>
  <c r="F13" i="23" s="1"/>
  <c r="E12" i="23"/>
  <c r="F12" i="23" s="1"/>
  <c r="E11" i="23"/>
  <c r="F11" i="23" s="1"/>
  <c r="E9" i="23"/>
  <c r="F9" i="23" s="1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J6" i="23" s="1"/>
  <c r="C7" i="23"/>
  <c r="C5" i="23"/>
  <c r="L4" i="23" l="1"/>
  <c r="M22" i="52"/>
  <c r="M23" i="52"/>
  <c r="J5" i="23"/>
  <c r="J4" i="23"/>
  <c r="M20" i="52"/>
  <c r="J5" i="19"/>
  <c r="F17" i="52"/>
  <c r="C24" i="15"/>
  <c r="M21" i="52"/>
  <c r="N17" i="71"/>
  <c r="F5" i="15"/>
  <c r="L5" i="15" s="1"/>
  <c r="E24" i="15"/>
  <c r="J6" i="15"/>
  <c r="J6" i="8"/>
  <c r="J6" i="19"/>
  <c r="J6" i="21"/>
  <c r="J4" i="8"/>
  <c r="J4" i="19"/>
  <c r="L5" i="8"/>
  <c r="J5" i="8"/>
  <c r="L5" i="19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M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P17" i="7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 s="1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D13" i="24"/>
  <c r="G13" i="24" s="1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K4" i="23" s="1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O26" i="59" s="1"/>
  <c r="N25" i="59"/>
  <c r="O25" i="59" s="1"/>
  <c r="L25" i="59"/>
  <c r="M25" i="59" s="1"/>
  <c r="L24" i="59"/>
  <c r="M24" i="59" s="1"/>
  <c r="N24" i="59"/>
  <c r="O24" i="59" s="1"/>
  <c r="L23" i="59"/>
  <c r="M23" i="59" s="1"/>
  <c r="N23" i="59"/>
  <c r="O23" i="59" s="1"/>
  <c r="L22" i="59"/>
  <c r="M22" i="59" s="1"/>
  <c r="N22" i="59"/>
  <c r="O22" i="59" s="1"/>
  <c r="L21" i="59"/>
  <c r="M21" i="59" s="1"/>
  <c r="N21" i="59"/>
  <c r="O21" i="59" s="1"/>
  <c r="N20" i="59"/>
  <c r="O20" i="59" s="1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L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F16" i="17" s="1"/>
  <c r="E15" i="17"/>
  <c r="F15" i="17" s="1"/>
  <c r="E13" i="17"/>
  <c r="F13" i="17" s="1"/>
  <c r="E12" i="17"/>
  <c r="F12" i="17" s="1"/>
  <c r="E11" i="17"/>
  <c r="F11" i="17" s="1"/>
  <c r="E9" i="17"/>
  <c r="F9" i="17" s="1"/>
  <c r="E8" i="17"/>
  <c r="F8" i="17" s="1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F16" i="7" s="1"/>
  <c r="E15" i="7"/>
  <c r="F15" i="7" s="1"/>
  <c r="E13" i="7"/>
  <c r="F13" i="7" s="1"/>
  <c r="E12" i="7"/>
  <c r="F12" i="7" s="1"/>
  <c r="E11" i="7"/>
  <c r="F11" i="7" s="1"/>
  <c r="E9" i="7"/>
  <c r="F9" i="7" s="1"/>
  <c r="E8" i="7"/>
  <c r="F8" i="7" s="1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J31" i="61"/>
  <c r="I31" i="61"/>
  <c r="H31" i="61"/>
  <c r="G31" i="61"/>
  <c r="F31" i="61"/>
  <c r="E31" i="61"/>
  <c r="D31" i="61"/>
  <c r="C31" i="61"/>
  <c r="B31" i="61"/>
  <c r="J30" i="61"/>
  <c r="I30" i="61"/>
  <c r="H30" i="61"/>
  <c r="G30" i="61"/>
  <c r="F30" i="61"/>
  <c r="E30" i="61"/>
  <c r="D30" i="61"/>
  <c r="C30" i="61"/>
  <c r="B30" i="61"/>
  <c r="J29" i="61"/>
  <c r="I29" i="61"/>
  <c r="H29" i="61"/>
  <c r="G29" i="61"/>
  <c r="F29" i="61"/>
  <c r="E29" i="61"/>
  <c r="E32" i="61" s="1"/>
  <c r="D29" i="61"/>
  <c r="C29" i="61"/>
  <c r="B29" i="61"/>
  <c r="J28" i="61"/>
  <c r="I28" i="61"/>
  <c r="H28" i="61"/>
  <c r="G28" i="61"/>
  <c r="F28" i="61"/>
  <c r="E28" i="61"/>
  <c r="D28" i="61"/>
  <c r="D32" i="61" s="1"/>
  <c r="C28" i="6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J32" i="61" l="1"/>
  <c r="C32" i="61"/>
  <c r="I32" i="61"/>
  <c r="G32" i="60"/>
  <c r="G32" i="61"/>
  <c r="F32" i="61"/>
  <c r="H19" i="70"/>
  <c r="H32" i="61"/>
  <c r="L6" i="22"/>
  <c r="K6" i="23"/>
  <c r="M27" i="52"/>
  <c r="K5" i="19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I19" i="73" s="1"/>
  <c r="D32" i="73"/>
  <c r="D33" i="73" s="1"/>
  <c r="J19" i="72"/>
  <c r="K19" i="72" s="1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G12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D13" i="22"/>
  <c r="G13" i="22" s="1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M4" i="52" l="1"/>
  <c r="M6" i="52"/>
  <c r="M5" i="52"/>
  <c r="K6" i="25"/>
  <c r="M7" i="52"/>
  <c r="K6" i="22"/>
  <c r="I32" i="73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K5" i="58" l="1"/>
  <c r="K4" i="58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P6" i="58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P26" i="58" l="1"/>
  <c r="M13" i="58"/>
  <c r="K16" i="58"/>
  <c r="K29" i="58"/>
  <c r="P29" i="58" s="1"/>
  <c r="K23" i="58"/>
  <c r="K25" i="58"/>
  <c r="K31" i="58"/>
  <c r="P31" i="58" s="1"/>
  <c r="K22" i="58"/>
  <c r="K9" i="58"/>
  <c r="K28" i="58"/>
  <c r="P28" i="58" s="1"/>
  <c r="K21" i="58"/>
  <c r="K12" i="58"/>
  <c r="K10" i="58"/>
  <c r="K27" i="58"/>
  <c r="P27" i="58" s="1"/>
  <c r="K20" i="58"/>
  <c r="K17" i="58"/>
  <c r="K19" i="58"/>
  <c r="K24" i="58"/>
  <c r="K15" i="58"/>
  <c r="K30" i="58"/>
  <c r="P30" i="58" s="1"/>
  <c r="K14" i="58"/>
  <c r="K13" i="58"/>
  <c r="P25" i="58" l="1"/>
  <c r="P24" i="58"/>
  <c r="P23" i="58"/>
  <c r="P22" i="58"/>
  <c r="P20" i="58"/>
  <c r="P21" i="58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B26" i="52"/>
  <c r="J25" i="52"/>
  <c r="B25" i="52"/>
  <c r="B24" i="52"/>
  <c r="J22" i="52"/>
  <c r="J19" i="52"/>
  <c r="J16" i="52"/>
  <c r="B12" i="52"/>
  <c r="J10" i="52"/>
  <c r="J8" i="52"/>
  <c r="B5" i="52"/>
  <c r="B4" i="52"/>
  <c r="J24" i="52"/>
  <c r="J10" i="30"/>
  <c r="J11" i="30"/>
  <c r="J9" i="30"/>
  <c r="K26" i="52" l="1"/>
  <c r="C25" i="1" s="1"/>
  <c r="B25" i="1"/>
  <c r="K22" i="52"/>
  <c r="C21" i="1" s="1"/>
  <c r="B21" i="1"/>
  <c r="K24" i="52"/>
  <c r="C23" i="1" s="1"/>
  <c r="B23" i="1"/>
  <c r="K25" i="52"/>
  <c r="C24" i="1" s="1"/>
  <c r="B24" i="1"/>
  <c r="K19" i="52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20"/>
  <c r="J23" i="52"/>
  <c r="J27" i="52"/>
  <c r="J29" i="52"/>
  <c r="K29" i="52" s="1"/>
  <c r="J7" i="52"/>
  <c r="J9" i="52"/>
  <c r="J13" i="52"/>
  <c r="J17" i="52"/>
  <c r="J21" i="52"/>
  <c r="J6" i="52"/>
  <c r="J12" i="52"/>
  <c r="J5" i="52"/>
  <c r="J15" i="52"/>
  <c r="J20" i="52"/>
  <c r="J14" i="52"/>
  <c r="F16" i="2"/>
  <c r="F12" i="2"/>
  <c r="K6" i="52" l="1"/>
  <c r="C5" i="1" s="1"/>
  <c r="B5" i="1"/>
  <c r="K23" i="52"/>
  <c r="C22" i="1" s="1"/>
  <c r="B22" i="1"/>
  <c r="F12" i="14"/>
  <c r="F12" i="15"/>
  <c r="F12" i="8"/>
  <c r="F12" i="19"/>
  <c r="G12" i="19" s="1"/>
  <c r="K4" i="52"/>
  <c r="C3" i="1" s="1"/>
  <c r="B3" i="1"/>
  <c r="K5" i="52"/>
  <c r="C4" i="1" s="1"/>
  <c r="B4" i="1"/>
  <c r="K20" i="52"/>
  <c r="C19" i="1" s="1"/>
  <c r="B19" i="1"/>
  <c r="F16" i="15"/>
  <c r="F16" i="8"/>
  <c r="G16" i="8" s="1"/>
  <c r="F16" i="19"/>
  <c r="K21" i="52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K27" i="52"/>
  <c r="G12" i="14"/>
  <c r="G16" i="23"/>
  <c r="F16" i="21"/>
  <c r="G16" i="21" s="1"/>
  <c r="G16" i="15"/>
  <c r="G16" i="7"/>
  <c r="F16" i="6"/>
  <c r="G16" i="6" s="1"/>
  <c r="F12" i="6"/>
  <c r="G12" i="15"/>
  <c r="G8" i="17"/>
  <c r="F12" i="21"/>
  <c r="G12" i="21" s="1"/>
  <c r="G8" i="23"/>
  <c r="G8" i="15"/>
  <c r="F8" i="21"/>
  <c r="L6" i="19" l="1"/>
  <c r="L6" i="15"/>
  <c r="F24" i="15"/>
  <c r="G24" i="15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3" i="52" l="1"/>
  <c r="D22" i="1"/>
  <c r="Q20" i="52"/>
  <c r="D19" i="1"/>
  <c r="Q22" i="52"/>
  <c r="D21" i="1"/>
  <c r="I32" i="70"/>
  <c r="C7" i="74" s="1"/>
  <c r="C26" i="1"/>
  <c r="G16" i="22"/>
  <c r="F21" i="2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Q4" i="52"/>
  <c r="D3" i="1"/>
  <c r="F3" i="1" s="1"/>
  <c r="G7" i="74"/>
  <c r="Q8" i="52"/>
  <c r="D7" i="1"/>
  <c r="F7" i="1" s="1"/>
  <c r="Q14" i="52"/>
  <c r="F8" i="69"/>
  <c r="G21" i="22"/>
  <c r="Q13" i="52"/>
  <c r="F39" i="70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4" i="1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 s="1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H33" i="52" s="1"/>
  <c r="H34" i="52" s="1"/>
  <c r="D39" i="52" s="1"/>
  <c r="D7" i="69" s="1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<sst xmlns="http://schemas.openxmlformats.org/spreadsheetml/2006/main" count="1294" uniqueCount="161">
  <si>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</si>
  <si>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</si>
  <si>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</si>
  <si>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</si>
  <si>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</si>
  <si>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</si>
  <si>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</si>
  <si>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</si>
  <si>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</si>
  <si>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</si>
  <si>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</si>
  <si>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</si>
  <si>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</si>
  <si>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</si>
  <si>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</si>
  <si>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</si>
  <si>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</si>
  <si>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</si>
  <si>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</si>
  <si>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</si>
  <si>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</si>
  <si>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</si>
  <si>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</si>
  <si>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</si>
  <si>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</si>
  <si>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</si>
  <si>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</si>
  <si>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</si>
  <si>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</si>
  <si>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</si>
  <si>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</si>
  <si>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</si>
  <si>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</si>
  <si>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</si>
  <si>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</si>
  <si>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</si>
  <si>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</si>
  <si>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</si>
  <si>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</si>
  <si>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</si>
  <si>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</si>
  <si>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</si>
  <si>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</si>
  <si>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</si>
  <si>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</si>
  <si>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</si>
  <si>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</si>
  <si>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</si>
  <si>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</si>
  <si>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</si>
  <si>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</si>
  <si>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</si>
  <si>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</si>
  <si>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</si>
  <si>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</si>
  <si>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</si>
  <si>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</si>
  <si>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</si>
  <si>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</si>
  <si>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</si>
  <si>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</si>
  <si>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</si>
  <si>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</si>
  <si>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</si>
  <si>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</si>
  <si>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</si>
  <si>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</si>
  <si>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</si>
  <si>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</si>
  <si>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</si>
  <si>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</si>
  <si>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</si>
  <si>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</si>
  <si>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</si>
  <si>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</si>
  <si>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</si>
  <si>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</si>
  <si>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</si>
  <si>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</si>
  <si>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</si>
  <si>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</si>
  <si>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</si>
  <si>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</si>
  <si>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</si>
  <si>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</si>
  <si>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</si>
  <si>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</si>
  <si>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</si>
  <si>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</si>
  <si>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</si>
  <si>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</si>
  <si>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</si>
  <si>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</si>
  <si>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</si>
  <si>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</si>
  <si>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</si>
  <si>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</si>
  <si>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</si>
  <si>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</si>
  <si>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</si>
  <si>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</si>
  <si>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</si>
  <si>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</si>
  <si>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</si>
  <si>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</si>
  <si>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</si>
  <si>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</si>
  <si>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</si>
  <si>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</si>
  <si>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</si>
  <si>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</si>
  <si>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</si>
  <si>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</si>
  <si>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</si>
  <si>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</si>
  <si>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</si>
  <si>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</si>
  <si>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</si>
  <si>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</si>
  <si>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</si>
  <si>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</si>
  <si>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</si>
  <si>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</si>
  <si>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</si>
  <si>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</si>
  <si>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</si>
  <si>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</si>
  <si>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</si>
  <si>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</si>
  <si>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</si>
  <si>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</si>
  <si>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</si>
  <si>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</si>
  <si>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</si>
  <si>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</si>
  <si>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</si>
  <si>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</si>
  <si>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</si>
  <si>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</si>
  <si>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</si>
  <si>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</si>
  <si>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</si>
  <si>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</si>
  <si>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</si>
  <si>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</si>
  <si>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</si>
  <si>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</si>
  <si>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</si>
  <si>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</si>
  <si>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</si>
  <si>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</si>
  <si>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</si>
  <si>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</si>
  <si>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</si>
  <si>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</si>
  <si>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</si>
  <si>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</si>
  <si>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</si>
  <si>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</si>
  <si>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00</t>
  </si>
  <si>
    <t>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</si>
</sst>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81640625" style="1" customWidth="1"/>
    <col min="3" max="3" width="11.81640625" style="1" customWidth="1"/>
    <col min="4" max="4" width="12.453125" style="1" customWidth="1"/>
    <col min="5" max="5" width="3.5429687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245250</v>
      </c>
      <c r="C3" s="9">
        <f>+HojaTICA!K4+HojaNICA!M4+HojaREVENTADO!K4+HojaPrimera!I4+HojaHonduras!K4+HojaDominicana!I4+HojaPANA!G4</f>
        <v>31900</v>
      </c>
      <c r="D3" s="9">
        <f>+HojaTICA!N4+HojaNICA!P4+HojaREVENTADO!O4+HojaPrimera!L4+HojaHonduras!N4+HojaDominicana!L4+HojaPANA!J4</f>
        <v>63750</v>
      </c>
      <c r="F3" s="10">
        <f t="shared" ref="F3:F27" si="0">+B3-C3-D3</f>
        <v>149600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170900</v>
      </c>
      <c r="C4" s="9">
        <f>+HojaTICA!K5+HojaNICA!M5+HojaREVENTADO!K5+HojaPrimera!I5+HojaHonduras!K5+HojaDominicana!I5+HojaPANA!G5</f>
        <v>22250</v>
      </c>
      <c r="D4" s="9">
        <f>+HojaTICA!N5+HojaNICA!P5+HojaREVENTADO!O5+HojaPrimera!L5+HojaHonduras!N5+HojaDominicana!L5+HojaPANA!J5</f>
        <v>92000</v>
      </c>
      <c r="F4" s="14">
        <f t="shared" si="0"/>
        <v>56650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332400</v>
      </c>
      <c r="C7" s="9">
        <f>+HojaTICA!K8+HojaNICA!M8+HojaREVENTADO!K8+HojaPrimera!I8+HojaHonduras!K8+HojaDominicana!I8+HojaPANA!G8</f>
        <v>39900</v>
      </c>
      <c r="D7" s="9">
        <f>+HojaTICA!N8+HojaNICA!P8+HojaREVENTADO!O8+HojaPrimera!L8+HojaHonduras!N8+HojaDominicana!L8+HojaPANA!J8</f>
        <v>563500</v>
      </c>
      <c r="F7" s="14">
        <f t="shared" si="0"/>
        <v>-271000</v>
      </c>
    </row>
    <row r="8" spans="1:7" ht="15.5" x14ac:dyDescent="0.35">
      <c r="A8" s="15" t="str">
        <f>Vendedor6!B$2</f>
        <v>MARTA ROSA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1150800</v>
      </c>
      <c r="C9" s="9">
        <f>+HojaTICA!K10+HojaNICA!M10+HojaREVENTADO!K10+HojaPrimera!I10+HojaHonduras!K10+HojaDominicana!I10+HojaPANA!G10</f>
        <v>135905</v>
      </c>
      <c r="D9" s="9">
        <f>+HojaTICA!N10+HojaNICA!P10+HojaREVENTADO!O10+HojaPrimera!L10+HojaHonduras!N10+HojaDominicana!L10+HojaPANA!J10</f>
        <v>531250</v>
      </c>
      <c r="F9" s="14">
        <f t="shared" si="0"/>
        <v>483645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15100</v>
      </c>
      <c r="C10" s="9">
        <f>+HojaTICA!K11+HojaNICA!M11+HojaREVENTADO!K11+HojaPrimera!I11+HojaHonduras!K11+HojaDominicana!I11+HojaPANA!G11</f>
        <v>1800</v>
      </c>
      <c r="D10" s="9">
        <f>+HojaTICA!N11+HojaNICA!P11+HojaREVENTADO!O11+HojaPrimera!L11+HojaHonduras!N11+HojaDominicana!L11+HojaPANA!J11</f>
        <v>0</v>
      </c>
      <c r="F10" s="14">
        <f t="shared" si="0"/>
        <v>13300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168550</v>
      </c>
      <c r="C11" s="9">
        <f>+HojaTICA!K12+HojaNICA!M12+HojaREVENTADO!K12+HojaPrimera!I12+HojaHonduras!K12+HojaDominicana!I12+HojaPANA!G12</f>
        <v>20115</v>
      </c>
      <c r="D11" s="9">
        <f>+HojaTICA!N12+HojaNICA!P12+HojaREVENTADO!O12+HojaPrimera!L12+HojaHonduras!N12+HojaDominicana!L12+HojaPANA!J12</f>
        <v>42500</v>
      </c>
      <c r="F11" s="14">
        <f t="shared" si="0"/>
        <v>105935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181500</v>
      </c>
      <c r="C12" s="9">
        <f>+HojaTICA!K13+HojaNICA!M13+HojaREVENTADO!K13+HojaPrimera!I13+HojaHonduras!K13+HojaDominicana!I13+HojaPANA!G13</f>
        <v>21800</v>
      </c>
      <c r="D12" s="9">
        <f>+HojaTICA!N13+HojaNICA!P13+HojaREVENTADO!O13+HojaPrimera!L13+HojaHonduras!N13+HojaDominicana!L13+HojaPANA!J13</f>
        <v>97500</v>
      </c>
      <c r="F12" s="14">
        <f t="shared" si="0"/>
        <v>62200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79850</v>
      </c>
      <c r="C13" s="9">
        <f>+HojaTICA!K14+HojaNICA!M14+HojaREVENTADO!K14+HojaPrimera!I14+HojaHonduras!K14+HojaDominicana!I14+HojaPANA!G14</f>
        <v>12000</v>
      </c>
      <c r="D13" s="9">
        <f>+HojaTICA!N14+HojaNICA!P14+HojaREVENTADO!O14+HojaPrimera!L14+HojaHonduras!N14+HojaDominicana!L14+HojaPANA!J14</f>
        <v>40000</v>
      </c>
      <c r="F13" s="14">
        <f t="shared" si="0"/>
        <v>27850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153600</v>
      </c>
      <c r="C15" s="9">
        <f>+HojaTICA!K16+HojaNICA!M16+HojaREVENTADO!K16+HojaPrimera!I16+HojaHonduras!K16+HojaDominicana!I16+HojaPANA!G16</f>
        <v>18300</v>
      </c>
      <c r="D15" s="9">
        <f>+HojaTICA!N16+HojaNICA!P16+HojaREVENTADO!O16+HojaPrimera!L16+HojaHonduras!N16+HojaDominicana!L16+HojaPANA!J16</f>
        <v>322750</v>
      </c>
      <c r="F15" s="14">
        <f t="shared" si="0"/>
        <v>-187450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1360300</v>
      </c>
      <c r="C16" s="9">
        <f>+HojaTICA!K17+HojaNICA!M17+HojaREVENTADO!K17+HojaPrimera!I17+HojaHonduras!K17+HojaDominicana!I17+HojaPANA!G17</f>
        <v>161830</v>
      </c>
      <c r="D16" s="9">
        <f>+HojaTICA!N17+HojaNICA!P17+HojaREVENTADO!O17+HojaPrimera!L17+HojaHonduras!N17+HojaDominicana!L17+HojaPANA!J17</f>
        <v>930750</v>
      </c>
      <c r="F16" s="14">
        <f t="shared" si="0"/>
        <v>267720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593050</v>
      </c>
      <c r="C17" s="9">
        <f>+HojaTICA!K18+HojaNICA!M18+HojaREVENTADO!K18+HojaPrimera!I18+HojaHonduras!K18+HojaDominicana!I18+HojaPANA!G18</f>
        <v>69795</v>
      </c>
      <c r="D17" s="9">
        <f>+HojaTICA!N18+HojaNICA!P18+HojaREVENTADO!O18+HojaPrimera!L18+HojaHonduras!N18+HojaDominicana!L18+HojaPANA!J18</f>
        <v>340000</v>
      </c>
      <c r="F17" s="14">
        <f t="shared" si="0"/>
        <v>183255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0</v>
      </c>
      <c r="C26" s="9">
        <f>+HojaTICA!K27+HojaNICA!M27+HojaREVENTADO!K27+HojaPrimera!I27+HojaHonduras!K27+HojaDominicana!I27+HojaPANA!G27</f>
        <v>0</v>
      </c>
      <c r="D26" s="9">
        <f>+HojaTICA!N27+HojaNICA!P27+HojaREVENTADO!O27+HojaPrimera!L27+HojaHonduras!N27+HojaDominicana!L27+HojaPANA!J27</f>
        <v>0</v>
      </c>
      <c r="F26" s="14">
        <f t="shared" si="0"/>
        <v>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4451300</v>
      </c>
      <c r="C28" s="17">
        <f t="shared" si="1"/>
        <v>535595</v>
      </c>
      <c r="D28" s="18">
        <f t="shared" si="1"/>
        <v>3024000</v>
      </c>
      <c r="F28" s="20">
        <f>SUM(F3:F27)</f>
        <v>891705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1000000}"/>
    <hyperlink ref="A6" location="Vendedor4!B5" display="#Vendedor4.B5" xr:uid="{00000000-0004-0000-0000-000002000000}"/>
    <hyperlink ref="A7" location="Vendedor5!B5" display="Vendedor5!B5" xr:uid="{00000000-0004-0000-0000-000003000000}"/>
    <hyperlink ref="A8" location="Vendedor6!B5" display="#Vendedor6.B5" xr:uid="{00000000-0004-0000-0000-000004000000}"/>
    <hyperlink ref="A9" location="Vendedor7!B5" display="#Vendedor7.B5" xr:uid="{00000000-0004-0000-0000-000005000000}"/>
    <hyperlink ref="A10" location="Vendedor8!B5" display="#Vendedor8.B5" xr:uid="{00000000-0004-0000-0000-000006000000}"/>
    <hyperlink ref="A11" location="Vendedor9!B5" display="Vendedor9!B5" xr:uid="{00000000-0004-0000-0000-000007000000}"/>
    <hyperlink ref="A12" location="Vendedor10!B5" display="#Vendedor10.B5" xr:uid="{00000000-0004-0000-0000-000008000000}"/>
    <hyperlink ref="A13" location="Vendedor11!B5" display="#Vendedor11.B5" xr:uid="{00000000-0004-0000-0000-000009000000}"/>
    <hyperlink ref="A14" location="Vendedor12!B5" display="#Vendedor12.B5" xr:uid="{00000000-0004-0000-0000-00000A000000}"/>
    <hyperlink ref="A15" location="Vendedor13!B5" display="#Vendedor13.B5" xr:uid="{00000000-0004-0000-0000-00000B000000}"/>
    <hyperlink ref="A16" location="Vendedor14!B5" display="#Vendedor14.B5" xr:uid="{00000000-0004-0000-0000-00000C000000}"/>
    <hyperlink ref="A17" location="Vendedor15!B5" display="#Vendedor15.B5" xr:uid="{00000000-0004-0000-0000-00000D000000}"/>
    <hyperlink ref="A18" location="Vendedor16!B5" display="#Vendedor16.B5" xr:uid="{00000000-0004-0000-0000-00000E000000}"/>
    <hyperlink ref="A19" location="Vendedor17!B5" display="#Vendedor17.B5" xr:uid="{00000000-0004-0000-0000-00000F000000}"/>
    <hyperlink ref="A20" location="Vendedor18!B5" display="#Vendedor18.B5" xr:uid="{00000000-0004-0000-0000-000010000000}"/>
    <hyperlink ref="A21" location="Vendedor19!B5" display="#Vendedor19.B5" xr:uid="{00000000-0004-0000-0000-000011000000}"/>
    <hyperlink ref="A22" location="Vendedor20!B5" display="#Vendedor20.B5" xr:uid="{00000000-0004-0000-0000-000012000000}"/>
    <hyperlink ref="A23" location="Vendedor21!B5" display="#Vendedor21.B5" xr:uid="{00000000-0004-0000-0000-000013000000}"/>
    <hyperlink ref="A24" location="Vendedor22!B5" display="#Vendedor22.B5" xr:uid="{00000000-0004-0000-0000-000014000000}"/>
    <hyperlink ref="A25" location="Vendedor23!B5" display="#Vendedor23.B5" xr:uid="{00000000-0004-0000-0000-000015000000}"/>
    <hyperlink ref="A26" location="Vendedor24!B5" display="#Vendedor24.B5" xr:uid="{00000000-0004-0000-0000-000016000000}"/>
    <hyperlink ref="A27" location="Vendedor25!B5" display="#Vendedor25.B5" xr:uid="{00000000-0004-0000-0000-000017000000}"/>
    <hyperlink ref="A4" location="Vendedor2!B5" display="Vendedor2!B5" xr:uid="{00000000-0004-0000-0000-000018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B22" sqref="B22"/>
    </sheetView>
  </sheetViews>
  <sheetFormatPr baseColWidth="10" defaultColWidth="11.453125" defaultRowHeight="14.5" x14ac:dyDescent="0.35"/>
  <cols>
    <col min="1" max="1" width="16.54296875" style="21" bestFit="1" customWidth="1"/>
    <col min="2" max="2" width="8.1796875" style="21" bestFit="1" customWidth="1"/>
    <col min="3" max="3" width="8.17968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95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68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Blanca</v>
      </c>
      <c r="C8" s="136"/>
      <c r="D8" s="137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98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86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Blanca</v>
      </c>
      <c r="C12" s="136"/>
      <c r="D12" s="137" t="s">
        <v>17</v>
      </c>
      <c r="E12" s="30">
        <f>IF(D12=J$10,K$10,IF(D12=J$11,K$11,IF(D12=J$12,K$12,"")))</f>
        <v>0</v>
      </c>
      <c r="F12" s="30">
        <f>IF(D12=J$10,L$10,IF(D12=J$11,L$11,IF(D12=J$12,L$12,"")))</f>
        <v>0</v>
      </c>
      <c r="G12" s="30">
        <f>IF($D12=$J$10,$M$10,IF($D12=$J$11,$M$11,IF($D12=$J$12,$M$12,"")))</f>
        <v>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32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82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Roja</v>
      </c>
      <c r="C16" s="136"/>
      <c r="D16" s="137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3">
        <v>36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>
        <v>45</v>
      </c>
      <c r="C19" s="132">
        <v>65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 t="s">
        <v>159</v>
      </c>
      <c r="C20" s="163">
        <v>28</v>
      </c>
      <c r="D20" s="166" t="s">
        <v>160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40</v>
      </c>
      <c r="C21" s="164">
        <v>30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68</v>
      </c>
      <c r="D2" s="268"/>
      <c r="E2" s="267">
        <f>DigitaTICA!E2</f>
        <v>86</v>
      </c>
      <c r="F2" s="268"/>
      <c r="G2" s="267">
        <f>DigitaTICA!G2</f>
        <v>82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47050</v>
      </c>
      <c r="D4" s="30">
        <f>IF(Vendedor1!$E$7="",0,Vendedor1!$E$7)</f>
        <v>500</v>
      </c>
      <c r="E4" s="180">
        <f>IF(Vendedor1!$C$11="",0,Vendedor1!$C$11)</f>
        <v>26500</v>
      </c>
      <c r="F4" s="30">
        <f>IF(Vendedor1!$E$11="",0,Vendedor1!$E$11)</f>
        <v>0</v>
      </c>
      <c r="G4" s="180">
        <f>IF(Vendedor1!$C$15="",0,Vendedor1!$C$15)</f>
        <v>112050</v>
      </c>
      <c r="H4" s="30">
        <f>IF(Vendedor1!$E$15="",0,Vendedor1!$E$15)</f>
        <v>250</v>
      </c>
      <c r="J4" s="42">
        <f t="shared" ref="J4:J7" si="0">+C4+E4+G4</f>
        <v>185600</v>
      </c>
      <c r="K4" s="41">
        <f>MROUND(J4*Vendedor1!J$9,50)</f>
        <v>24150</v>
      </c>
      <c r="L4" s="42">
        <f t="shared" ref="L4:L7" si="1">+D4+F4+H4</f>
        <v>750</v>
      </c>
      <c r="M4" s="42">
        <f t="shared" ref="M4:M7" si="2">+L4*85</f>
        <v>63750</v>
      </c>
      <c r="N4" s="42">
        <f>Vendedor1!$F$7+Vendedor1!$F$11+Vendedor1!$F$15</f>
        <v>63750</v>
      </c>
      <c r="P4" s="42">
        <f t="shared" ref="P4:P7" si="3">+J4-K4-N4</f>
        <v>97700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46250</v>
      </c>
      <c r="D5" s="30">
        <f>IF(Vendedor2!$E$7="",0,Vendedor2!$E$7)</f>
        <v>0</v>
      </c>
      <c r="E5" s="180">
        <f>IF(Vendedor2!$C$11="",0,Vendedor2!$C$11)</f>
        <v>27450</v>
      </c>
      <c r="F5" s="30">
        <f>IF(Vendedor2!$E$11="",0,Vendedor2!$E$11)</f>
        <v>0</v>
      </c>
      <c r="G5" s="180">
        <f>IF(Vendedor2!$C$15="",0,Vendedor2!$C$15)</f>
        <v>67900</v>
      </c>
      <c r="H5" s="30">
        <f>IF(Vendedor2!$E$15="",0,Vendedor2!$E$15)</f>
        <v>0</v>
      </c>
      <c r="J5" s="42">
        <f t="shared" si="0"/>
        <v>141600</v>
      </c>
      <c r="K5" s="41">
        <f>MROUND(J5*Vendedor2!J$9,50)</f>
        <v>18400</v>
      </c>
      <c r="L5" s="42">
        <f t="shared" si="1"/>
        <v>0</v>
      </c>
      <c r="M5" s="42">
        <f t="shared" si="2"/>
        <v>0</v>
      </c>
      <c r="N5" s="42">
        <f>Vendedor2!$F$7+Vendedor2!$F$11+Vendedor2!$F$15</f>
        <v>0</v>
      </c>
      <c r="P5" s="42">
        <f t="shared" si="3"/>
        <v>123200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65900</v>
      </c>
      <c r="D8" s="30">
        <f>IF(Vendedor5!$E$7="",0,Vendedor5!$E$7)</f>
        <v>650</v>
      </c>
      <c r="E8" s="180">
        <f>IF(Vendedor5!$C$11="",0,Vendedor5!$C$11)</f>
        <v>41600</v>
      </c>
      <c r="F8" s="30">
        <f>IF(Vendedor5!$E$11="",0,Vendedor5!$E$11)</f>
        <v>850</v>
      </c>
      <c r="G8" s="180">
        <f>IF(Vendedor5!$C$15="",0,Vendedor5!$C$15)</f>
        <v>42300</v>
      </c>
      <c r="H8" s="30">
        <f>IF(Vendedor5!$E$15="",0,Vendedor5!$E$15)</f>
        <v>0</v>
      </c>
      <c r="J8" s="42">
        <f t="shared" ref="J8" si="4">+C8+E8+G8</f>
        <v>149800</v>
      </c>
      <c r="K8" s="41">
        <f>MROUND(J8*Vendedor5!J$11,50)</f>
        <v>18000</v>
      </c>
      <c r="L8" s="42">
        <f t="shared" ref="L8" si="5">+D8+F8+H8</f>
        <v>1500</v>
      </c>
      <c r="M8" s="42">
        <f t="shared" ref="M8" si="6">+L8*85</f>
        <v>127500</v>
      </c>
      <c r="N8" s="42">
        <f>Vendedor5!$F$7+Vendedor5!$F$11+Vendedor5!$F$15</f>
        <v>127500</v>
      </c>
      <c r="P8" s="42">
        <f t="shared" ref="P8" si="7">+J8-K8-N8</f>
        <v>4300</v>
      </c>
    </row>
    <row r="9" spans="1:16" x14ac:dyDescent="0.35">
      <c r="A9" s="41">
        <v>6</v>
      </c>
      <c r="B9" s="178" t="str">
        <f>Vendedor6!$B$2</f>
        <v>MARTA ROSA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171950</v>
      </c>
      <c r="D10" s="30">
        <f>IF(Vendedor7!$E$7="",0,Vendedor7!$E$7)</f>
        <v>150</v>
      </c>
      <c r="E10" s="180">
        <f>IF(Vendedor7!$C$11="",0,Vendedor7!$C$11)</f>
        <v>149000</v>
      </c>
      <c r="F10" s="30">
        <f>IF(Vendedor7!$E$11="",0,Vendedor7!$E$11)</f>
        <v>3250</v>
      </c>
      <c r="G10" s="180">
        <f>IF(Vendedor7!$C$15="",0,Vendedor7!$C$15)</f>
        <v>170800</v>
      </c>
      <c r="H10" s="30">
        <f>IF(Vendedor7!$E$15="",0,Vendedor7!$E$15)</f>
        <v>150</v>
      </c>
      <c r="J10" s="42">
        <f t="shared" si="8"/>
        <v>491750</v>
      </c>
      <c r="K10" s="41">
        <f>MROUND(J10*Vendedor7!J$14,50)</f>
        <v>59000</v>
      </c>
      <c r="L10" s="42">
        <f t="shared" si="9"/>
        <v>3550</v>
      </c>
      <c r="M10" s="42">
        <f t="shared" si="10"/>
        <v>301750</v>
      </c>
      <c r="N10" s="42">
        <f>Vendedor7!$F$7+Vendedor7!$F$11+Vendedor7!$F$15</f>
        <v>301750</v>
      </c>
      <c r="P10" s="42">
        <f t="shared" si="11"/>
        <v>131000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3000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12100</v>
      </c>
      <c r="H11" s="30">
        <f>IF(Vendedor8!$E$15="",0,Vendedor8!$E$15)</f>
        <v>0</v>
      </c>
      <c r="J11" s="42">
        <f t="shared" si="8"/>
        <v>15100</v>
      </c>
      <c r="K11" s="41">
        <f>MROUND(J11*Vendedor8!J$11,50)</f>
        <v>1800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13300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37350</v>
      </c>
      <c r="D12" s="30">
        <f>IF(Vendedor9!$E$7="",0,Vendedor9!$E$7)</f>
        <v>0</v>
      </c>
      <c r="E12" s="180">
        <f>IF(Vendedor9!$C$11="",0,Vendedor9!$C$11)</f>
        <v>26900</v>
      </c>
      <c r="F12" s="30">
        <f>IF(Vendedor9!$E$11="",0,Vendedor9!$E$11)</f>
        <v>0</v>
      </c>
      <c r="G12" s="180">
        <f>IF(Vendedor9!$C$15="",0,Vendedor9!$C$15)</f>
        <v>25550</v>
      </c>
      <c r="H12" s="30">
        <f>IF(Vendedor9!$E$15="",0,Vendedor9!$E$15)</f>
        <v>0</v>
      </c>
      <c r="J12" s="42">
        <f t="shared" si="8"/>
        <v>89800</v>
      </c>
      <c r="K12" s="41">
        <f>MROUND(J12*Vendedor9!J$11,50)</f>
        <v>10800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79000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23000</v>
      </c>
      <c r="D13" s="30">
        <f>IF(Vendedor10!$E$7="",0,Vendedor10!$E$7)</f>
        <v>100</v>
      </c>
      <c r="E13" s="180">
        <f>IF(Vendedor10!$C$11="",0,Vendedor10!$C$11)</f>
        <v>29950</v>
      </c>
      <c r="F13" s="30">
        <f>IF(Vendedor10!$E$11="",0,Vendedor10!$E$11)</f>
        <v>200</v>
      </c>
      <c r="G13" s="180">
        <f>IF(Vendedor10!$C$15="",0,Vendedor10!$C$15)</f>
        <v>66950</v>
      </c>
      <c r="H13" s="30">
        <f>IF(Vendedor10!$E$15="",0,Vendedor10!$E$15)</f>
        <v>0</v>
      </c>
      <c r="J13" s="42">
        <f t="shared" si="8"/>
        <v>119900</v>
      </c>
      <c r="K13" s="41">
        <f>MROUND(J13*Vendedor10!J$9,50)</f>
        <v>14400</v>
      </c>
      <c r="L13" s="42">
        <f t="shared" si="9"/>
        <v>300</v>
      </c>
      <c r="M13" s="42">
        <f t="shared" si="10"/>
        <v>25500</v>
      </c>
      <c r="N13" s="42">
        <f>Vendedor10!$F$7+Vendedor10!$F$11+Vendedor10!$F$15</f>
        <v>25500</v>
      </c>
      <c r="P13" s="42">
        <f t="shared" si="11"/>
        <v>80000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35250</v>
      </c>
      <c r="D14" s="30">
        <f>IF(Vendedor11!$E$7="",0,Vendedor11!$E$7)</f>
        <v>0</v>
      </c>
      <c r="E14" s="180">
        <f>IF(Vendedor11!$C$11="",0,Vendedor11!$C$11)</f>
        <v>10900</v>
      </c>
      <c r="F14" s="30">
        <f>IF(Vendedor11!$E$11="",0,Vendedor11!$E$11)</f>
        <v>500</v>
      </c>
      <c r="G14" s="180">
        <f>IF(Vendedor11!$C$15="",0,Vendedor11!$C$15)</f>
        <v>33700</v>
      </c>
      <c r="H14" s="30">
        <f>IF(Vendedor11!$E$15="",0,Vendedor11!$E$15)</f>
        <v>0</v>
      </c>
      <c r="J14" s="42">
        <f t="shared" si="8"/>
        <v>79850</v>
      </c>
      <c r="K14" s="41">
        <f>MROUND(J14*Vendedor11!J$9,50)</f>
        <v>12000</v>
      </c>
      <c r="L14" s="42">
        <f t="shared" si="9"/>
        <v>500</v>
      </c>
      <c r="M14" s="42">
        <f t="shared" si="10"/>
        <v>42500</v>
      </c>
      <c r="N14" s="42">
        <f>Vendedor11!$F$7+Vendedor11!$F$11+Vendedor11!$F$15</f>
        <v>40000</v>
      </c>
      <c r="P14" s="42">
        <f t="shared" si="11"/>
        <v>27850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29850</v>
      </c>
      <c r="D16" s="30">
        <f>IF(Vendedor13!$E$7="",0,Vendedor13!$E$7)</f>
        <v>0</v>
      </c>
      <c r="E16" s="180">
        <f>IF(Vendedor13!$C$11="",0,Vendedor13!$C$11)</f>
        <v>15500</v>
      </c>
      <c r="F16" s="30">
        <f>IF(Vendedor13!$E$11="",0,Vendedor13!$E$11)</f>
        <v>0</v>
      </c>
      <c r="G16" s="180">
        <f>IF(Vendedor13!$C$15="",0,Vendedor13!$C$15)</f>
        <v>42300</v>
      </c>
      <c r="H16" s="30">
        <f>IF(Vendedor13!$E$15="",0,Vendedor13!$E$15)</f>
        <v>1350</v>
      </c>
      <c r="J16" s="42">
        <f t="shared" si="8"/>
        <v>87650</v>
      </c>
      <c r="K16" s="41">
        <f>MROUND(J16*Vendedor13!J$11,50)</f>
        <v>10500</v>
      </c>
      <c r="L16" s="42">
        <f t="shared" si="9"/>
        <v>1350</v>
      </c>
      <c r="M16" s="42">
        <f t="shared" si="10"/>
        <v>114750</v>
      </c>
      <c r="N16" s="42">
        <f>Vendedor13!$F$7+Vendedor13!$F$11+Vendedor13!$F$15</f>
        <v>114750</v>
      </c>
      <c r="P16" s="42">
        <f t="shared" si="11"/>
        <v>-37600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180150</v>
      </c>
      <c r="D17" s="30">
        <f>IF(Vendedor14!$E$7="",0,Vendedor14!$E$7)</f>
        <v>450</v>
      </c>
      <c r="E17" s="180">
        <f>IF(Vendedor14!$C$11="",0,Vendedor14!$C$11)</f>
        <v>117200</v>
      </c>
      <c r="F17" s="30">
        <f>IF(Vendedor14!$E$11="",0,Vendedor14!$E$11)</f>
        <v>1300</v>
      </c>
      <c r="G17" s="180">
        <f>IF(Vendedor14!$C$15="",0,Vendedor14!$C$15)</f>
        <v>248450</v>
      </c>
      <c r="H17" s="30">
        <f>IF(Vendedor14!$E$15="",0,Vendedor14!$E$15)</f>
        <v>1650</v>
      </c>
      <c r="J17" s="42">
        <f t="shared" si="8"/>
        <v>545800</v>
      </c>
      <c r="K17" s="41">
        <f>MROUND(J17*Vendedor14!J$15,50)</f>
        <v>65500</v>
      </c>
      <c r="L17" s="42">
        <f t="shared" si="9"/>
        <v>3400</v>
      </c>
      <c r="M17" s="42">
        <f t="shared" si="10"/>
        <v>289000</v>
      </c>
      <c r="N17" s="42">
        <f>Vendedor14!$F$7+Vendedor14!$F$11+Vendedor14!$F$15</f>
        <v>289000</v>
      </c>
      <c r="P17" s="42">
        <f t="shared" si="11"/>
        <v>191300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55600</v>
      </c>
      <c r="D18" s="30">
        <f>IF(Vendedor15!$E$7="",0,Vendedor15!$E$7)</f>
        <v>400</v>
      </c>
      <c r="E18" s="180">
        <f>IF(Vendedor15!$C$11="",0,Vendedor15!$C$11)</f>
        <v>63550</v>
      </c>
      <c r="F18" s="30">
        <f>IF(Vendedor15!$E$11="",0,Vendedor15!$E$11)</f>
        <v>400</v>
      </c>
      <c r="G18" s="180">
        <f>IF(Vendedor15!$C$15="",0,Vendedor15!$C$15)</f>
        <v>68800</v>
      </c>
      <c r="H18" s="30">
        <f>IF(Vendedor15!$E$15="",0,Vendedor15!$E$15)</f>
        <v>0</v>
      </c>
      <c r="J18" s="42">
        <f t="shared" ref="J18" si="12">+C18+E18+G18</f>
        <v>187950</v>
      </c>
      <c r="K18" s="41">
        <f>MROUND(J18*Vendedor15!J$15,50)</f>
        <v>22550</v>
      </c>
      <c r="L18" s="42">
        <f t="shared" ref="L18" si="13">+D18+F18+H18</f>
        <v>800</v>
      </c>
      <c r="M18" s="42">
        <f t="shared" ref="M18" si="14">+L18*85</f>
        <v>68000</v>
      </c>
      <c r="N18" s="42">
        <f>Vendedor15!$F$7+Vendedor15!$F$11+Vendedor15!$F$15</f>
        <v>68000</v>
      </c>
      <c r="P18" s="42">
        <f t="shared" ref="P18" si="15">+J18-K18-N18</f>
        <v>97400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695350</v>
      </c>
      <c r="D32" s="44">
        <f t="shared" si="16"/>
        <v>2250</v>
      </c>
      <c r="E32" s="43">
        <f t="shared" si="16"/>
        <v>508550</v>
      </c>
      <c r="F32" s="44">
        <f t="shared" si="16"/>
        <v>6500</v>
      </c>
      <c r="G32" s="43">
        <f t="shared" si="16"/>
        <v>890900</v>
      </c>
      <c r="H32" s="44">
        <f t="shared" si="16"/>
        <v>3400</v>
      </c>
      <c r="J32" s="95">
        <f>SUM(J4:J31)</f>
        <v>2094800</v>
      </c>
      <c r="K32" s="45">
        <f>SUM(K7:K31)</f>
        <v>214550</v>
      </c>
      <c r="L32" s="95">
        <f>SUM(L4:L31)</f>
        <v>12150</v>
      </c>
      <c r="M32" s="95">
        <f>SUM(M4:M31)</f>
        <v>1032750</v>
      </c>
      <c r="N32" s="95">
        <f>SUM(N4:N31)</f>
        <v>1030250</v>
      </c>
      <c r="P32" s="79">
        <f>SUM(P4:P31)</f>
        <v>807450</v>
      </c>
    </row>
    <row r="33" spans="3:13" x14ac:dyDescent="0.35">
      <c r="D33" s="99">
        <f>+D32*85</f>
        <v>191250</v>
      </c>
      <c r="F33" s="99">
        <f>+F32*85</f>
        <v>552500</v>
      </c>
      <c r="H33" s="99">
        <f>+H32*85</f>
        <v>289000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2094800</v>
      </c>
      <c r="E36" s="43">
        <f>+D36-J4-J5-J6</f>
        <v>1767600</v>
      </c>
      <c r="G36" s="101"/>
    </row>
    <row r="37" spans="3:13" x14ac:dyDescent="0.35">
      <c r="C37" s="47" t="s">
        <v>33</v>
      </c>
      <c r="D37" s="48">
        <f>D36*13%</f>
        <v>272324</v>
      </c>
      <c r="E37">
        <f>+D37-K4-K5-K6</f>
        <v>229774</v>
      </c>
      <c r="G37" s="100"/>
      <c r="H37" s="100"/>
    </row>
    <row r="38" spans="3:13" ht="15" thickBot="1" x14ac:dyDescent="0.4">
      <c r="C38" s="47" t="s">
        <v>30</v>
      </c>
      <c r="D38" s="30">
        <f>M32</f>
        <v>1032750</v>
      </c>
      <c r="G38" s="100"/>
      <c r="H38" s="100"/>
    </row>
    <row r="39" spans="3:13" ht="15" thickBot="1" x14ac:dyDescent="0.4">
      <c r="C39" s="49" t="s">
        <v>4</v>
      </c>
      <c r="D39" s="80">
        <f>+D36-D37-D38</f>
        <v>789726</v>
      </c>
      <c r="F39" s="98">
        <f>+P32-D39</f>
        <v>17724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789726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10" width="12.54296875" customWidth="1"/>
    <col min="11" max="11" width="3.54296875" customWidth="1"/>
    <col min="12" max="16" width="12.54296875" customWidth="1"/>
    <col min="17" max="17" width="3.5429687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95</v>
      </c>
      <c r="D2" s="268"/>
      <c r="E2" s="267">
        <f>DigitaNICA!E2</f>
        <v>98</v>
      </c>
      <c r="F2" s="268"/>
      <c r="G2" s="267">
        <f>DigitaNICA!G2</f>
        <v>32</v>
      </c>
      <c r="H2" s="268"/>
      <c r="I2" s="267">
        <f>DigitaNICA!I2</f>
        <v>36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14150</v>
      </c>
      <c r="D4" s="78">
        <f>IF(Vendedor1!$E$5="",0,Vendedor1!$E$5)</f>
        <v>0</v>
      </c>
      <c r="E4" s="189">
        <f>IF(Vendedor1!$C$9="",0,Vendedor1!$C$9)</f>
        <v>13350</v>
      </c>
      <c r="F4" s="78">
        <f>IF(Vendedor1!$E$9="",0,Vendedor1!$E$9)</f>
        <v>0</v>
      </c>
      <c r="G4" s="189">
        <f>IF(Vendedor1!$C$13="",0,Vendedor1!$C$13)</f>
        <v>6800</v>
      </c>
      <c r="H4" s="78">
        <f>IF(Vendedor1!$E$13="",0,Vendedor1!$E$13)</f>
        <v>0</v>
      </c>
      <c r="I4" s="189">
        <f>IF(Vendedor1!$C$17="",0,Vendedor1!$C$17)</f>
        <v>13300</v>
      </c>
      <c r="J4" s="78">
        <f>IF(Vendedor1!$E$17="",0,Vendedor1!$E$17)</f>
        <v>0</v>
      </c>
      <c r="L4" s="42">
        <f t="shared" ref="L4:L7" si="0">C4+E4+G4+I4</f>
        <v>47600</v>
      </c>
      <c r="M4" s="41">
        <f>MROUND(L4*Vendedor1!J$10,50)</f>
        <v>6200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41400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10300</v>
      </c>
      <c r="D5" s="30">
        <f>IF(Vendedor2!$E$5="",0,Vendedor2!$E$5)</f>
        <v>0</v>
      </c>
      <c r="E5" s="180">
        <f>IF(Vendedor2!$C$9="",0,Vendedor2!$C$9)</f>
        <v>6950</v>
      </c>
      <c r="F5" s="30">
        <f>IF(Vendedor2!$E$9="",0,Vendedor2!$E$9)</f>
        <v>1150</v>
      </c>
      <c r="G5" s="180">
        <f>IF(Vendedor2!$C$13="",0,Vendedor2!$C$13)</f>
        <v>8750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26000</v>
      </c>
      <c r="M5" s="41">
        <f>MROUND(L5*Vendedor2!J$10,50)</f>
        <v>3400</v>
      </c>
      <c r="N5" s="42">
        <f t="shared" si="1"/>
        <v>1150</v>
      </c>
      <c r="O5" s="41">
        <f t="shared" ref="O5:O27" si="3">IFERROR(N5*85,0)</f>
        <v>97750</v>
      </c>
      <c r="P5" s="42">
        <f>Vendedor2!$F$5+Vendedor2!$F$9+Vendedor2!$F$13+Vendedor2!$F$17</f>
        <v>92000</v>
      </c>
      <c r="Q5">
        <v>5</v>
      </c>
      <c r="R5" s="41">
        <f t="shared" si="2"/>
        <v>-75150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50700</v>
      </c>
      <c r="D8" s="30">
        <f>IF(Vendedor5!$E$5="",0,Vendedor5!$E$5)</f>
        <v>1900</v>
      </c>
      <c r="E8" s="180">
        <f>IF(Vendedor5!$C$9="",0,Vendedor5!$C$9)</f>
        <v>45600</v>
      </c>
      <c r="F8" s="30">
        <f>IF(Vendedor5!$E$9="",0,Vendedor5!$E$9)</f>
        <v>2050</v>
      </c>
      <c r="G8" s="180">
        <f>IF(Vendedor5!$C$13="",0,Vendedor5!$C$13)</f>
        <v>10300</v>
      </c>
      <c r="H8" s="30">
        <f>IF(Vendedor5!$E$13="",0,Vendedor5!$E$13)</f>
        <v>0</v>
      </c>
      <c r="I8" s="180">
        <f>IF(Vendedor5!$C$17="",0,Vendedor5!$C$17)</f>
        <v>27900</v>
      </c>
      <c r="J8" s="30">
        <f>IF(Vendedor5!$E$17="",0,Vendedor5!$E$17)</f>
        <v>0</v>
      </c>
      <c r="L8" s="42">
        <f t="shared" ref="L8" si="4">C8+E8+G8+I8</f>
        <v>134500</v>
      </c>
      <c r="M8" s="41">
        <f>MROUND(L8*Vendedor5!J$12,50)</f>
        <v>16150</v>
      </c>
      <c r="N8" s="42">
        <f t="shared" ref="N8" si="5">D8+F8+H8+J8</f>
        <v>3950</v>
      </c>
      <c r="O8" s="41">
        <f t="shared" si="3"/>
        <v>335750</v>
      </c>
      <c r="P8" s="42">
        <f>Vendedor5!$F$5+Vendedor5!$F$9+Vendedor5!$F$13+Vendedor5!$F$17</f>
        <v>316000</v>
      </c>
      <c r="Q8">
        <v>17</v>
      </c>
      <c r="R8" s="41">
        <f t="shared" ref="R8" si="6">+L8-M8-O8</f>
        <v>-217400</v>
      </c>
    </row>
    <row r="9" spans="1:18" x14ac:dyDescent="0.35">
      <c r="A9" s="47">
        <v>6</v>
      </c>
      <c r="B9" s="178" t="str">
        <f>Vendedor6!$B$2</f>
        <v>MARTA ROSA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119100</v>
      </c>
      <c r="D10" s="30">
        <f>IF(Vendedor7!$E$5="",0,Vendedor7!$E$5)</f>
        <v>100</v>
      </c>
      <c r="E10" s="180">
        <f>IF(Vendedor7!$C$9="",0,Vendedor7!$C$9)</f>
        <v>93750</v>
      </c>
      <c r="F10" s="30">
        <f>IF(Vendedor7!$E$9="",0,Vendedor7!$E$9)</f>
        <v>150</v>
      </c>
      <c r="G10" s="180">
        <f>IF(Vendedor7!$C$13="",0,Vendedor7!$C$13)</f>
        <v>78550</v>
      </c>
      <c r="H10" s="30">
        <f>IF(Vendedor7!$E$13="",0,Vendedor7!$E$13)</f>
        <v>0</v>
      </c>
      <c r="I10" s="180">
        <f>IF(Vendedor7!$C$17="",0,Vendedor7!$C$17)</f>
        <v>102000</v>
      </c>
      <c r="J10" s="30">
        <f>IF(Vendedor7!$E$17="",0,Vendedor7!$E$17)</f>
        <v>1450</v>
      </c>
      <c r="L10" s="42">
        <f t="shared" si="7"/>
        <v>393400</v>
      </c>
      <c r="M10" s="41">
        <f>MROUND(L10*Vendedor7!J$15,50)</f>
        <v>47200</v>
      </c>
      <c r="N10" s="42">
        <f t="shared" ref="N10:N27" si="9">D10+F10+H10+J10</f>
        <v>1700</v>
      </c>
      <c r="O10" s="41">
        <f t="shared" si="3"/>
        <v>144500</v>
      </c>
      <c r="P10" s="42">
        <f>Vendedor7!$F$5+Vendedor7!$F$9+Vendedor7!$F$13+Vendedor7!$F$17</f>
        <v>144500</v>
      </c>
      <c r="R10" s="41">
        <f t="shared" si="8"/>
        <v>201700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29650</v>
      </c>
      <c r="D12" s="30">
        <f>IF(Vendedor9!$E$5="",0,Vendedor9!$E$5)</f>
        <v>0</v>
      </c>
      <c r="E12" s="180">
        <f>IF(Vendedor9!$C$9="",0,Vendedor9!$C$9)</f>
        <v>14950</v>
      </c>
      <c r="F12" s="30">
        <f>IF(Vendedor9!$E$9="",0,Vendedor9!$E$9)</f>
        <v>500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44600</v>
      </c>
      <c r="M12" s="41">
        <f>MROUND(L12*Vendedor9!J$12,50)</f>
        <v>5350</v>
      </c>
      <c r="N12" s="42">
        <f t="shared" si="9"/>
        <v>500</v>
      </c>
      <c r="O12" s="41">
        <f t="shared" si="3"/>
        <v>42500</v>
      </c>
      <c r="P12" s="42">
        <f>Vendedor9!$F$5+Vendedor9!$F$9+Vendedor9!$F$13+Vendedor9!$F$17</f>
        <v>42500</v>
      </c>
      <c r="R12" s="41">
        <f t="shared" si="8"/>
        <v>-3250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35100</v>
      </c>
      <c r="D13" s="30">
        <f>IF(Vendedor10!$E$5="",0,Vendedor10!$E$5)</f>
        <v>0</v>
      </c>
      <c r="E13" s="180">
        <f>IF(Vendedor10!$C$9="",0,Vendedor10!$C$9)</f>
        <v>21100</v>
      </c>
      <c r="F13" s="30">
        <f>IF(Vendedor10!$E$9="",0,Vendedor10!$E$9)</f>
        <v>900</v>
      </c>
      <c r="G13" s="180">
        <f>IF(Vendedor10!$C$13="",0,Vendedor10!$C$13)</f>
        <v>1600</v>
      </c>
      <c r="H13" s="30">
        <f>IF(Vendedor10!$E$13="",0,Vendedor10!$E$13)</f>
        <v>0</v>
      </c>
      <c r="I13" s="180">
        <f>IF(Vendedor10!$C$17="",0,Vendedor10!$C$17)</f>
        <v>3800</v>
      </c>
      <c r="J13" s="30">
        <f>IF(Vendedor10!$E$17="",0,Vendedor10!$E$17)</f>
        <v>0</v>
      </c>
      <c r="L13" s="42">
        <f t="shared" si="7"/>
        <v>61600</v>
      </c>
      <c r="M13" s="41">
        <f>MROUND(L13*Vendedor10!J$10,50)</f>
        <v>7400</v>
      </c>
      <c r="N13" s="42">
        <f t="shared" si="9"/>
        <v>900</v>
      </c>
      <c r="O13" s="41">
        <f t="shared" si="3"/>
        <v>76500</v>
      </c>
      <c r="P13" s="42">
        <f>Vendedor10!$F$5+Vendedor10!$F$9+Vendedor10!$F$13+Vendedor10!$F$17</f>
        <v>72000</v>
      </c>
      <c r="R13" s="41">
        <f t="shared" si="8"/>
        <v>-22300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7900</v>
      </c>
      <c r="D16" s="30">
        <f>IF(Vendedor13!$E$5="",0,Vendedor13!$E$5)</f>
        <v>0</v>
      </c>
      <c r="E16" s="180">
        <f>IF(Vendedor13!$C$9="",0,Vendedor13!$C$9)</f>
        <v>7400</v>
      </c>
      <c r="F16" s="30">
        <f>IF(Vendedor13!$E$9="",0,Vendedor13!$E$9)</f>
        <v>0</v>
      </c>
      <c r="G16" s="180">
        <f>IF(Vendedor13!$C$13="",0,Vendedor13!$C$13)</f>
        <v>5450</v>
      </c>
      <c r="H16" s="30">
        <f>IF(Vendedor13!$E$13="",0,Vendedor13!$E$13)</f>
        <v>100</v>
      </c>
      <c r="I16" s="180">
        <f>IF(Vendedor13!$C$17="",0,Vendedor13!$C$17)</f>
        <v>28200</v>
      </c>
      <c r="J16" s="30">
        <f>IF(Vendedor13!$E$17="",0,Vendedor13!$E$17)</f>
        <v>0</v>
      </c>
      <c r="L16" s="42">
        <f t="shared" si="7"/>
        <v>48950</v>
      </c>
      <c r="M16" s="41">
        <f>MROUND(L16*Vendedor13!J$12,50)</f>
        <v>5850</v>
      </c>
      <c r="N16" s="42">
        <f t="shared" si="9"/>
        <v>100</v>
      </c>
      <c r="O16" s="41">
        <f t="shared" si="3"/>
        <v>8500</v>
      </c>
      <c r="P16" s="42">
        <f>Vendedor13!$F$5+Vendedor13!$F$9+Vendedor13!$F$13+Vendedor13!$F$17</f>
        <v>8000</v>
      </c>
      <c r="R16" s="41">
        <f t="shared" si="8"/>
        <v>34600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131350</v>
      </c>
      <c r="D17" s="30">
        <f>IF(Vendedor14!$E$5="",0,Vendedor14!$E$5)</f>
        <v>650</v>
      </c>
      <c r="E17" s="180">
        <f>IF(Vendedor14!$C$9="",0,Vendedor14!$C$9)</f>
        <v>101800</v>
      </c>
      <c r="F17" s="30">
        <f>IF(Vendedor14!$E$9="",0,Vendedor14!$E$9)</f>
        <v>200</v>
      </c>
      <c r="G17" s="180">
        <f>IF(Vendedor14!$C$13="",0,Vendedor14!$C$13)</f>
        <v>69550</v>
      </c>
      <c r="H17" s="30">
        <f>IF(Vendedor14!$E$13="",0,Vendedor14!$E$13)</f>
        <v>200</v>
      </c>
      <c r="I17" s="180">
        <f>IF(Vendedor14!$C$17="",0,Vendedor14!$C$17)</f>
        <v>194350</v>
      </c>
      <c r="J17" s="30">
        <f>IF(Vendedor14!$E$17="",0,Vendedor14!$E$17)</f>
        <v>3200</v>
      </c>
      <c r="L17" s="42">
        <f>C17+E17+G17+I17</f>
        <v>497050</v>
      </c>
      <c r="M17" s="41">
        <f>MROUND(L17*Vendedor14!J$16,50)</f>
        <v>59650</v>
      </c>
      <c r="N17" s="42">
        <f t="shared" si="9"/>
        <v>4250</v>
      </c>
      <c r="O17" s="41">
        <f t="shared" si="3"/>
        <v>361250</v>
      </c>
      <c r="P17" s="42">
        <f>Vendedor14!$F$5+Vendedor14!$F$9+Vendedor14!$F$13+Vendedor14!$F$17</f>
        <v>361250</v>
      </c>
      <c r="R17" s="41">
        <f t="shared" si="8"/>
        <v>76150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67600</v>
      </c>
      <c r="D18" s="30">
        <f>IF(Vendedor15!$E$5="",0,Vendedor15!$E$5)</f>
        <v>0</v>
      </c>
      <c r="E18" s="180">
        <f>IF(Vendedor15!$C$9="",0,Vendedor15!$C$9)</f>
        <v>56750</v>
      </c>
      <c r="F18" s="30">
        <f>IF(Vendedor15!$E$9="",0,Vendedor15!$E$9)</f>
        <v>300</v>
      </c>
      <c r="G18" s="180">
        <f>IF(Vendedor15!$C$13="",0,Vendedor15!$C$13)</f>
        <v>61200</v>
      </c>
      <c r="H18" s="30">
        <f>IF(Vendedor15!$E$13="",0,Vendedor15!$E$13)</f>
        <v>450</v>
      </c>
      <c r="I18" s="180">
        <f>IF(Vendedor15!$C$17="",0,Vendedor15!$C$17)</f>
        <v>8750</v>
      </c>
      <c r="J18" s="30">
        <f>IF(Vendedor15!$E$17="",0,Vendedor15!$E$17)</f>
        <v>0</v>
      </c>
      <c r="L18" s="42">
        <f t="shared" ref="L18:L27" si="10">C18+E18+G18+I18</f>
        <v>194300</v>
      </c>
      <c r="M18" s="41">
        <f>MROUND(L18*Vendedor15!J$16,50)</f>
        <v>23300</v>
      </c>
      <c r="N18" s="42">
        <f t="shared" si="9"/>
        <v>750</v>
      </c>
      <c r="O18" s="41">
        <f t="shared" si="3"/>
        <v>63750</v>
      </c>
      <c r="P18" s="42">
        <f>Vendedor15!$F$5+Vendedor15!$F$9+Vendedor15!$F$13+Vendedor15!$F$17</f>
        <v>63750</v>
      </c>
      <c r="R18" s="41">
        <f t="shared" si="8"/>
        <v>107250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0</v>
      </c>
      <c r="D27" s="50">
        <f>IF(Vendedor24!$E$5="",0,Vendedor24!$E$5)</f>
        <v>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465850</v>
      </c>
      <c r="D32" s="44">
        <f t="shared" si="14"/>
        <v>2650</v>
      </c>
      <c r="E32" s="43">
        <f t="shared" si="14"/>
        <v>361650</v>
      </c>
      <c r="F32" s="44">
        <f t="shared" si="14"/>
        <v>5250</v>
      </c>
      <c r="G32" s="43">
        <f t="shared" si="14"/>
        <v>242200</v>
      </c>
      <c r="H32" s="44">
        <f t="shared" si="14"/>
        <v>750</v>
      </c>
      <c r="I32" s="43">
        <f t="shared" si="14"/>
        <v>378300</v>
      </c>
      <c r="J32" s="44">
        <f t="shared" si="14"/>
        <v>4650</v>
      </c>
      <c r="L32" s="45">
        <f>SUM(L4:L31)</f>
        <v>1448000</v>
      </c>
      <c r="M32" s="45">
        <f>SUM(M7:M31)</f>
        <v>164900</v>
      </c>
      <c r="N32" s="95">
        <f>SUM(N4:N31)</f>
        <v>13300</v>
      </c>
      <c r="O32" s="46">
        <f>SUM(O4:O31)</f>
        <v>1130500</v>
      </c>
      <c r="P32" s="140">
        <f>SUM(P4:P31)</f>
        <v>1100000</v>
      </c>
      <c r="R32" s="79">
        <f>SUM(R4:R31)</f>
        <v>143000</v>
      </c>
    </row>
    <row r="33" spans="3:15" x14ac:dyDescent="0.35">
      <c r="D33" s="120">
        <f>+D32*85</f>
        <v>225250</v>
      </c>
      <c r="F33" s="120">
        <f>+F32*85</f>
        <v>446250</v>
      </c>
      <c r="H33" s="120">
        <f>+H32*85</f>
        <v>63750</v>
      </c>
      <c r="J33" s="120">
        <f>+J32*85</f>
        <v>395250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1448000</v>
      </c>
      <c r="E36" s="43">
        <f>+D36-L4-L5-L6</f>
        <v>1374400</v>
      </c>
    </row>
    <row r="37" spans="3:15" x14ac:dyDescent="0.35">
      <c r="C37" s="47" t="s">
        <v>33</v>
      </c>
      <c r="D37" s="48">
        <f>D36*13%</f>
        <v>188240</v>
      </c>
      <c r="E37">
        <f>+D37-M4-M5-M6</f>
        <v>178640</v>
      </c>
    </row>
    <row r="38" spans="3:15" x14ac:dyDescent="0.35">
      <c r="C38" s="47" t="s">
        <v>30</v>
      </c>
      <c r="D38" s="30">
        <f>SUM(O4:O27)</f>
        <v>1130500</v>
      </c>
      <c r="G38" s="100"/>
    </row>
    <row r="39" spans="3:15" ht="15" thickBot="1" x14ac:dyDescent="0.4">
      <c r="C39" s="49" t="s">
        <v>4</v>
      </c>
      <c r="D39" s="80">
        <f>+D36-D37-D38</f>
        <v>129260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129260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453125" customWidth="1"/>
    <col min="2" max="2" width="11.1796875" customWidth="1"/>
    <col min="3" max="8" width="12.54296875" customWidth="1"/>
    <col min="9" max="9" width="3.54296875" customWidth="1"/>
    <col min="10" max="14" width="12.54296875" customWidth="1"/>
    <col min="15" max="15" width="14.81640625" bestFit="1" customWidth="1"/>
    <col min="16" max="16" width="3.5429687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68 Blanca</v>
      </c>
      <c r="D2" s="268"/>
      <c r="E2" s="267" t="str">
        <f>IF(E33=0,"",CONCATENATE(PREMIOS!$B11," ",PREMIOS!$B12))</f>
        <v>86 Blanca</v>
      </c>
      <c r="F2" s="268"/>
      <c r="G2" s="267" t="str">
        <f>IF(G33=0,"",CONCATENATE(PREMIOS!$B15," ",PREMIOS!$B16))</f>
        <v>82 Roja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MARTA ROSA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31000</v>
      </c>
      <c r="D10" s="30">
        <f>IF(Vendedor7!$E$8="",0,Vendedor7!$E$8)</f>
        <v>0</v>
      </c>
      <c r="E10" s="180">
        <f>IF(Vendedor7!$C$12="",0,Vendedor7!$C$12)</f>
        <v>29550</v>
      </c>
      <c r="F10" s="30">
        <f>IF(Vendedor7!$E$12="",0,Vendedor7!$E$12)</f>
        <v>1750</v>
      </c>
      <c r="G10" s="180">
        <f>IF(Vendedor7!$C$16="",0,Vendedor7!$C$16)</f>
        <v>47000</v>
      </c>
      <c r="H10" s="30">
        <f>IF(Vendedor7!$E$16="",0,Vendedor7!$E$16)</f>
        <v>0</v>
      </c>
      <c r="J10" s="42">
        <f t="shared" si="1"/>
        <v>107550</v>
      </c>
      <c r="K10" s="41">
        <f>J10*Vendedor7!J$16</f>
        <v>10755</v>
      </c>
      <c r="L10" s="42">
        <f t="shared" si="2"/>
        <v>0</v>
      </c>
      <c r="M10" s="42">
        <f t="shared" si="3"/>
        <v>1750</v>
      </c>
      <c r="N10" s="42">
        <f t="shared" si="0"/>
        <v>0</v>
      </c>
      <c r="O10" s="42">
        <f>Vendedor7!$F$8+Vendedor7!$F$12+Vendedor7!$F$16</f>
        <v>0</v>
      </c>
      <c r="Q10" s="42">
        <f t="shared" si="4"/>
        <v>96795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3650</v>
      </c>
      <c r="D12" s="30">
        <f>IF(Vendedor9!$E$8="",0,Vendedor9!$E$8)</f>
        <v>0</v>
      </c>
      <c r="E12" s="180">
        <f>IF(Vendedor9!$C$12="",0,Vendedor9!$C$12)</f>
        <v>2000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5650</v>
      </c>
      <c r="K12" s="41">
        <f>J12*Vendedor9!J$13</f>
        <v>565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5085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500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4500</v>
      </c>
      <c r="H16" s="30">
        <f>IF(Vendedor13!$E$16="",0,Vendedor13!$E$16)</f>
        <v>1000</v>
      </c>
      <c r="J16" s="42">
        <f t="shared" si="1"/>
        <v>5000</v>
      </c>
      <c r="K16" s="41">
        <f>J16*Vendedor13!J$13</f>
        <v>500</v>
      </c>
      <c r="L16" s="42">
        <f t="shared" si="2"/>
        <v>1000</v>
      </c>
      <c r="M16" s="42">
        <f t="shared" si="3"/>
        <v>1000</v>
      </c>
      <c r="N16" s="42">
        <f t="shared" si="0"/>
        <v>220000</v>
      </c>
      <c r="O16" s="42">
        <f>Vendedor13!$F$8+Vendedor13!$F$12+Vendedor13!$F$16</f>
        <v>200000</v>
      </c>
      <c r="Q16" s="42">
        <f t="shared" si="4"/>
        <v>-195500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28550</v>
      </c>
      <c r="D17" s="30">
        <f>IF(Vendedor14!$E$8="",0,Vendedor14!$E$8)</f>
        <v>0</v>
      </c>
      <c r="E17" s="180">
        <f>IF(Vendedor14!$C$12="",0,Vendedor14!$C$12)</f>
        <v>15050</v>
      </c>
      <c r="F17" s="30">
        <f>IF(Vendedor14!$E$12="",0,Vendedor14!$E$12)</f>
        <v>200</v>
      </c>
      <c r="G17" s="180">
        <f>IF(Vendedor14!$C$16="",0,Vendedor14!$C$16)</f>
        <v>28200</v>
      </c>
      <c r="H17" s="30">
        <f>IF(Vendedor14!$E$16="",0,Vendedor14!$E$16)</f>
        <v>0</v>
      </c>
      <c r="J17" s="42">
        <f t="shared" si="1"/>
        <v>71800</v>
      </c>
      <c r="K17" s="41">
        <f>J17*Vendedor14!J$17</f>
        <v>7180</v>
      </c>
      <c r="L17" s="42">
        <f t="shared" si="2"/>
        <v>0</v>
      </c>
      <c r="M17" s="42">
        <f t="shared" si="3"/>
        <v>200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64620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21000</v>
      </c>
      <c r="D18" s="30">
        <f>IF(Vendedor15!$E$8="",0,Vendedor15!$E$8)</f>
        <v>300</v>
      </c>
      <c r="E18" s="180">
        <f>IF(Vendedor15!$C$12="",0,Vendedor15!$C$12)</f>
        <v>20450</v>
      </c>
      <c r="F18" s="30">
        <f>IF(Vendedor15!$E$12="",0,Vendedor15!$E$12)</f>
        <v>0</v>
      </c>
      <c r="G18" s="180">
        <f>IF(Vendedor15!$C$16="",0,Vendedor15!$C$16)</f>
        <v>27000</v>
      </c>
      <c r="H18" s="30">
        <f>IF(Vendedor15!$E$16="",0,Vendedor15!$E$16)</f>
        <v>0</v>
      </c>
      <c r="J18" s="42">
        <f t="shared" ref="J18" si="5">+C18+E18+G18</f>
        <v>68450</v>
      </c>
      <c r="K18" s="41">
        <f>J18*Vendedor15!J$17</f>
        <v>6845</v>
      </c>
      <c r="L18" s="42">
        <f t="shared" si="2"/>
        <v>0</v>
      </c>
      <c r="M18" s="42">
        <f t="shared" si="3"/>
        <v>300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61605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84700</v>
      </c>
      <c r="D33" s="44">
        <f>IF(PREMIOS!E8&lt;&gt;0,SUM(D4:D32),0)</f>
        <v>0</v>
      </c>
      <c r="E33" s="43">
        <f>SUM(E4:E32)</f>
        <v>67050</v>
      </c>
      <c r="F33" s="44">
        <f>IF(PREMIOS!E12&lt;&gt;0,SUM(F4:F32),0)</f>
        <v>0</v>
      </c>
      <c r="G33" s="43">
        <f>SUM(G4:G32)</f>
        <v>106700</v>
      </c>
      <c r="H33" s="44">
        <f>IF(PREMIOS!E16&lt;&gt;0,SUM(H4:H32),0)</f>
        <v>1000</v>
      </c>
      <c r="J33" s="45">
        <f>SUM(J4:J32)</f>
        <v>258450</v>
      </c>
      <c r="K33" s="45">
        <f>SUM(K7:K32)</f>
        <v>25845</v>
      </c>
      <c r="L33" s="95">
        <f>SUM(L7:L32)</f>
        <v>1000</v>
      </c>
      <c r="M33" s="95">
        <f>SUM(M7:M32)</f>
        <v>3250</v>
      </c>
      <c r="N33" s="95">
        <f>SUM(N4:N27)</f>
        <v>220000</v>
      </c>
      <c r="O33" s="95">
        <f>SUM(O4:O27)</f>
        <v>200000</v>
      </c>
      <c r="Q33" s="79">
        <f>SUM(Q4:Q32)</f>
        <v>32605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0</v>
      </c>
      <c r="H34" s="118">
        <f>IF(PREMIOS!$D16=PREMIOS!$J$10,H33*$G$38,IF(PREMIOS!$D16=PREMIOS!$J$11,H33*$F$38,IF(PREMIOS!$D16=PREMIOS!$J$12,0,"")))</f>
        <v>220000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258450</v>
      </c>
      <c r="E37" s="43">
        <f>+D37-J4-J5-J6</f>
        <v>258450</v>
      </c>
      <c r="F37" s="275"/>
      <c r="G37" s="275"/>
    </row>
    <row r="38" spans="3:17" ht="15" thickBot="1" x14ac:dyDescent="0.4">
      <c r="C38" s="47" t="s">
        <v>33</v>
      </c>
      <c r="D38" s="30">
        <f>D37*10%</f>
        <v>25845</v>
      </c>
      <c r="E38" s="43">
        <f>+D38-K4-K5-K6</f>
        <v>25845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220000</v>
      </c>
    </row>
    <row r="40" spans="3:17" ht="15" thickBot="1" x14ac:dyDescent="0.4">
      <c r="C40" s="49" t="s">
        <v>4</v>
      </c>
      <c r="D40" s="80">
        <f>+D37-D38-D39</f>
        <v>12605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12605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>
        <f>DigitaPRIMERA!C2</f>
        <v>45</v>
      </c>
      <c r="D2" s="268"/>
      <c r="E2" s="267">
        <f>DigitaPRIMERA!E2</f>
        <v>65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9650</v>
      </c>
      <c r="D4" s="78">
        <f>IF(Vendedor1!$E$19="",0,Vendedor1!$E$19)</f>
        <v>0</v>
      </c>
      <c r="E4" s="189">
        <f>IF(Vendedor1!$C$20="",0,Vendedor1!$C$20)</f>
        <v>2400</v>
      </c>
      <c r="F4" s="78">
        <f>IF(Vendedor1!$E$20="",0,Vendedor1!$E$20)</f>
        <v>0</v>
      </c>
      <c r="H4" s="42">
        <f>+C4+E4</f>
        <v>12050</v>
      </c>
      <c r="I4" s="41">
        <f>MROUND(H4*Vendedor1!J$9,50)</f>
        <v>1550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10500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3300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3300</v>
      </c>
      <c r="I5" s="41">
        <f>MROUND(H5*Vendedor2!J$9,50)</f>
        <v>450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2850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24000</v>
      </c>
      <c r="D8" s="30">
        <f>IF(Vendedor5!$E$19="",0,Vendedor5!$E$19)</f>
        <v>0</v>
      </c>
      <c r="E8" s="180">
        <f>IF(Vendedor5!$C$20="",0,Vendedor5!$C$20)</f>
        <v>24100</v>
      </c>
      <c r="F8" s="30">
        <f>IF(Vendedor5!$E$20="",0,Vendedor5!$E$20)</f>
        <v>1500</v>
      </c>
      <c r="H8" s="133">
        <f t="shared" si="1"/>
        <v>48100</v>
      </c>
      <c r="I8" s="148">
        <f>MROUND(H8*Vendedor5!J$11,50)</f>
        <v>5750</v>
      </c>
      <c r="J8" s="133">
        <f t="shared" si="2"/>
        <v>1500</v>
      </c>
      <c r="K8" s="133">
        <f t="shared" si="3"/>
        <v>127500</v>
      </c>
      <c r="L8" s="133">
        <f>Vendedor5!$F$19+Vendedor5!$F$20</f>
        <v>120000</v>
      </c>
      <c r="M8" s="155"/>
      <c r="N8" s="133">
        <f t="shared" si="0"/>
        <v>-77650</v>
      </c>
    </row>
    <row r="9" spans="1:14" x14ac:dyDescent="0.35">
      <c r="A9" s="203">
        <v>6</v>
      </c>
      <c r="B9" s="196" t="str">
        <f>Vendedor6!$B$2</f>
        <v>MARTA ROSA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36800</v>
      </c>
      <c r="D10" s="30">
        <f>IF(Vendedor7!$E$19="",0,Vendedor7!$E$19)</f>
        <v>0</v>
      </c>
      <c r="E10" s="180">
        <f>IF(Vendedor7!$C$20="",0,Vendedor7!$C$20)</f>
        <v>18400</v>
      </c>
      <c r="F10" s="30">
        <f>IF(Vendedor7!$E$20="",0,Vendedor7!$E$20)</f>
        <v>0</v>
      </c>
      <c r="H10" s="42">
        <f t="shared" si="1"/>
        <v>55200</v>
      </c>
      <c r="I10" s="41">
        <f>MROUND(H10*Vendedor7!J$14,50)</f>
        <v>6600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48600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28500</v>
      </c>
      <c r="D12" s="30">
        <f>IF(Vendedor9!$E$19="",0,Vendedor9!$E$19)</f>
        <v>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28500</v>
      </c>
      <c r="I12" s="148">
        <f>MROUND(H12*Vendedor9!J$11,50)</f>
        <v>3400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5"/>
      <c r="N12" s="133">
        <f t="shared" si="0"/>
        <v>25100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10800</v>
      </c>
      <c r="D16" s="30">
        <f>IF(Vendedor13!$E$19="",0,Vendedor13!$E$19)</f>
        <v>0</v>
      </c>
      <c r="E16" s="180">
        <f>IF(Vendedor13!$C$20="",0,Vendedor13!$C$20)</f>
        <v>700</v>
      </c>
      <c r="F16" s="30">
        <f>IF(Vendedor13!$E$20="",0,Vendedor13!$E$20)</f>
        <v>0</v>
      </c>
      <c r="H16" s="133">
        <f t="shared" si="1"/>
        <v>11500</v>
      </c>
      <c r="I16" s="148">
        <f>MROUND(H16*Vendedor13!J$11,50)</f>
        <v>1400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10100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111150</v>
      </c>
      <c r="D17" s="30">
        <f>IF(Vendedor14!$E$19="",0,Vendedor14!$E$19)</f>
        <v>1100</v>
      </c>
      <c r="E17" s="180">
        <f>IF(Vendedor14!$C$20="",0,Vendedor14!$C$20)</f>
        <v>47000</v>
      </c>
      <c r="F17" s="30">
        <f>IF(Vendedor14!$E$20="",0,Vendedor14!$E$20)</f>
        <v>1200</v>
      </c>
      <c r="H17" s="42">
        <f t="shared" si="1"/>
        <v>158150</v>
      </c>
      <c r="I17" s="41">
        <f>MROUND(H17*Vendedor14!J$15,50)</f>
        <v>19000</v>
      </c>
      <c r="J17" s="42">
        <f t="shared" si="2"/>
        <v>2300</v>
      </c>
      <c r="K17" s="42">
        <f t="shared" si="3"/>
        <v>195500</v>
      </c>
      <c r="L17" s="42">
        <f>Vendedor14!$F$19+Vendedor14!$F$20</f>
        <v>195500</v>
      </c>
      <c r="N17" s="42">
        <f t="shared" si="0"/>
        <v>-56350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59900</v>
      </c>
      <c r="D18" s="30">
        <f>IF(Vendedor15!$E$19="",0,Vendedor15!$E$19)</f>
        <v>1500</v>
      </c>
      <c r="E18" s="180">
        <f>IF(Vendedor15!$C$20="",0,Vendedor15!$C$20)</f>
        <v>53850</v>
      </c>
      <c r="F18" s="30">
        <f>IF(Vendedor15!$E$20="",0,Vendedor15!$E$20)</f>
        <v>600</v>
      </c>
      <c r="H18" s="42">
        <f t="shared" si="1"/>
        <v>113750</v>
      </c>
      <c r="I18" s="41">
        <f>MROUND(H18*Vendedor15!J$15,50)</f>
        <v>13650</v>
      </c>
      <c r="J18" s="42">
        <f t="shared" si="2"/>
        <v>2100</v>
      </c>
      <c r="K18" s="42">
        <f t="shared" si="3"/>
        <v>178500</v>
      </c>
      <c r="L18" s="42">
        <f>Vendedor15!$F$19+Vendedor15!$F$20</f>
        <v>178500</v>
      </c>
      <c r="N18" s="42">
        <f t="shared" si="0"/>
        <v>-78400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0</v>
      </c>
      <c r="D27" s="50">
        <f>IF(Vendedor24!$E$19="",0,Vendedor24!$E$19)</f>
        <v>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284100</v>
      </c>
      <c r="D32" s="44">
        <f>SUM(D4:D31)</f>
        <v>2600</v>
      </c>
      <c r="E32" s="43">
        <f>SUM(E4:E31)</f>
        <v>146450</v>
      </c>
      <c r="F32" s="44">
        <f>SUM(F4:F31)</f>
        <v>3300</v>
      </c>
      <c r="H32" s="95">
        <f>SUM(H4:H31)</f>
        <v>430550</v>
      </c>
      <c r="I32" s="45">
        <f>SUM(I7:I31)</f>
        <v>49800</v>
      </c>
      <c r="J32" s="95"/>
      <c r="K32" s="95">
        <f>SUM(K4:K31)</f>
        <v>501500</v>
      </c>
      <c r="L32" s="95">
        <f>SUM(L4:L31)</f>
        <v>494000</v>
      </c>
      <c r="N32" s="79">
        <f>SUM(N4:N31)</f>
        <v>-115250</v>
      </c>
    </row>
    <row r="33" spans="3:6" x14ac:dyDescent="0.35">
      <c r="D33" s="99">
        <f>+D32*85</f>
        <v>221000</v>
      </c>
      <c r="F33" s="99">
        <f>+F32*85</f>
        <v>280500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430550</v>
      </c>
      <c r="E36" s="43">
        <f>+D36-H4-H5-H6</f>
        <v>415200</v>
      </c>
    </row>
    <row r="37" spans="3:6" x14ac:dyDescent="0.35">
      <c r="C37" s="47" t="s">
        <v>33</v>
      </c>
      <c r="D37" s="48">
        <f>D36*13%</f>
        <v>55971.5</v>
      </c>
      <c r="E37">
        <f>+D37-I4-I5-I6</f>
        <v>53971.5</v>
      </c>
    </row>
    <row r="38" spans="3:6" ht="15" thickBot="1" x14ac:dyDescent="0.4">
      <c r="C38" s="47" t="s">
        <v>30</v>
      </c>
      <c r="D38" s="30">
        <f>SUM(K4:K27)</f>
        <v>501500</v>
      </c>
    </row>
    <row r="39" spans="3:6" ht="15" thickBot="1" x14ac:dyDescent="0.4">
      <c r="C39" s="49" t="s">
        <v>4</v>
      </c>
      <c r="D39" s="80">
        <f>+D36-D37-D38</f>
        <v>-126921.5</v>
      </c>
      <c r="F39" s="98">
        <f>+N32-D39</f>
        <v>11671.5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-126921.5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8" width="12.54296875" customWidth="1"/>
    <col min="9" max="9" width="3.54296875" customWidth="1"/>
    <col min="10" max="12" width="12.5429687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 t="str">
        <f>DigitaHONDURAS!C2</f>
        <v>00</v>
      </c>
      <c r="D2" s="268"/>
      <c r="E2" s="267">
        <f>DigitaHONDURAS!E2</f>
        <v>28</v>
      </c>
      <c r="F2" s="268"/>
      <c r="G2" s="267" t="str">
        <f>DigitaHONDURAS!G2</f>
        <v>02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MARTA ROSA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10000</v>
      </c>
      <c r="D10" s="30">
        <f>IF(Vendedor7!$E$21="",0,Vendedor7!$E$21)</f>
        <v>0</v>
      </c>
      <c r="E10" s="180">
        <f>IF(Vendedor7!$C$22="",0,Vendedor7!$C$22)</f>
        <v>7900</v>
      </c>
      <c r="F10" s="30">
        <f>IF(Vendedor7!$E$22="",0,Vendedor7!$E$22)</f>
        <v>0</v>
      </c>
      <c r="G10" s="180">
        <f>IF(Vendedor7!$C$23="",0,Vendedor7!$C$23)</f>
        <v>2000</v>
      </c>
      <c r="H10" s="30">
        <f>IF(Vendedor7!$E$23="",0,Vendedor7!$E$23)</f>
        <v>0</v>
      </c>
      <c r="J10" s="42">
        <f t="shared" si="0"/>
        <v>19900</v>
      </c>
      <c r="K10" s="41">
        <f>MROUND(J10*Vendedor7!J$14,50)</f>
        <v>2400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17500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500</v>
      </c>
      <c r="H16" s="30">
        <f>IF(Vendedor13!$E$23="",0,Vendedor13!$E$23)</f>
        <v>0</v>
      </c>
      <c r="J16" s="133">
        <f t="shared" si="0"/>
        <v>500</v>
      </c>
      <c r="K16" s="148">
        <f>MROUND(J16*Vendedor13!J$11,50)</f>
        <v>50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450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47350</v>
      </c>
      <c r="D17" s="30">
        <f>IF(Vendedor14!$E$21="",0,Vendedor14!$E$21)</f>
        <v>600</v>
      </c>
      <c r="E17" s="180">
        <f>IF(Vendedor14!$C$22="",0,Vendedor14!$C$22)</f>
        <v>21100</v>
      </c>
      <c r="F17" s="30">
        <f>IF(Vendedor14!$E$22="",0,Vendedor14!$E$22)</f>
        <v>200</v>
      </c>
      <c r="G17" s="180">
        <f>IF(Vendedor14!$C$23="",0,Vendedor14!$C$23)</f>
        <v>19050</v>
      </c>
      <c r="H17" s="30">
        <f>IF(Vendedor14!$E$23="",0,Vendedor14!$E$23)</f>
        <v>200</v>
      </c>
      <c r="J17" s="42">
        <f t="shared" si="0"/>
        <v>87500</v>
      </c>
      <c r="K17" s="41">
        <f>MROUND(J17*Vendedor14!J$15,50)</f>
        <v>10500</v>
      </c>
      <c r="L17" s="42">
        <f t="shared" si="1"/>
        <v>1000</v>
      </c>
      <c r="M17" s="42">
        <f t="shared" si="3"/>
        <v>85000</v>
      </c>
      <c r="N17" s="42">
        <f>Vendedor14!$F$21+Vendedor14!$F$22+Vendedor14!$F$23</f>
        <v>85000</v>
      </c>
      <c r="P17" s="42">
        <f t="shared" si="2"/>
        <v>-8000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12800</v>
      </c>
      <c r="D18" s="30">
        <f>IF(Vendedor15!$E$21="",0,Vendedor15!$E$21)</f>
        <v>200</v>
      </c>
      <c r="E18" s="180">
        <f>IF(Vendedor15!$C$22="",0,Vendedor15!$C$22)</f>
        <v>8200</v>
      </c>
      <c r="F18" s="30">
        <f>IF(Vendedor15!$E$22="",0,Vendedor15!$E$22)</f>
        <v>0</v>
      </c>
      <c r="G18" s="180">
        <f>IF(Vendedor15!$C$23="",0,Vendedor15!$C$23)</f>
        <v>7600</v>
      </c>
      <c r="H18" s="30">
        <f>IF(Vendedor15!$E$23="",0,Vendedor15!$E$23)</f>
        <v>150</v>
      </c>
      <c r="J18" s="42">
        <f t="shared" si="0"/>
        <v>28600</v>
      </c>
      <c r="K18" s="41">
        <f>MROUND(J18*Vendedor15!J$15,50)</f>
        <v>3450</v>
      </c>
      <c r="L18" s="42">
        <f t="shared" si="1"/>
        <v>350</v>
      </c>
      <c r="M18" s="42">
        <f t="shared" si="3"/>
        <v>29750</v>
      </c>
      <c r="N18" s="42">
        <f>Vendedor15!$F$21+Vendedor15!$F$22+Vendedor15!$F$23</f>
        <v>29750</v>
      </c>
      <c r="P18" s="42">
        <f t="shared" si="2"/>
        <v>-4600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70150</v>
      </c>
      <c r="D32" s="44">
        <f t="shared" si="8"/>
        <v>800</v>
      </c>
      <c r="E32" s="43">
        <f t="shared" si="8"/>
        <v>37200</v>
      </c>
      <c r="F32" s="44">
        <f t="shared" si="8"/>
        <v>200</v>
      </c>
      <c r="G32" s="43">
        <f t="shared" si="8"/>
        <v>29150</v>
      </c>
      <c r="H32" s="44">
        <f t="shared" si="8"/>
        <v>350</v>
      </c>
      <c r="J32" s="95">
        <f>SUM(J4:J31)</f>
        <v>136500</v>
      </c>
      <c r="K32" s="45">
        <f>SUM(K7:K31)</f>
        <v>16400</v>
      </c>
      <c r="L32" s="95"/>
      <c r="M32" s="95">
        <f>SUM(M4:M31)</f>
        <v>114750</v>
      </c>
      <c r="N32" s="95">
        <f>SUM(N4:N31)</f>
        <v>114750</v>
      </c>
      <c r="P32" s="79">
        <f>SUM(P4:P31)</f>
        <v>5350</v>
      </c>
    </row>
    <row r="33" spans="3:8" x14ac:dyDescent="0.35">
      <c r="D33" s="99">
        <f>+D32*85</f>
        <v>68000</v>
      </c>
      <c r="F33" s="99">
        <f>+F32*85</f>
        <v>17000</v>
      </c>
      <c r="H33" s="99">
        <f>+H32*85</f>
        <v>29750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136500</v>
      </c>
      <c r="E36" s="43">
        <f>+D36-J4-J5-J6</f>
        <v>136500</v>
      </c>
    </row>
    <row r="37" spans="3:8" x14ac:dyDescent="0.35">
      <c r="C37" s="47" t="s">
        <v>33</v>
      </c>
      <c r="D37" s="48">
        <f>D36*13%</f>
        <v>17745</v>
      </c>
      <c r="E37">
        <f>+D37-K4-K5-K6</f>
        <v>17745</v>
      </c>
    </row>
    <row r="38" spans="3:8" ht="15" thickBot="1" x14ac:dyDescent="0.4">
      <c r="C38" s="47" t="s">
        <v>30</v>
      </c>
      <c r="D38" s="30">
        <f>SUM(M4:M27)</f>
        <v>114750</v>
      </c>
      <c r="G38" s="100"/>
    </row>
    <row r="39" spans="3:8" ht="15" thickBot="1" x14ac:dyDescent="0.4">
      <c r="C39" s="49" t="s">
        <v>4</v>
      </c>
      <c r="D39" s="80">
        <f>+D36-D37-D38</f>
        <v>4005</v>
      </c>
      <c r="F39" s="98">
        <f>+P32-D39</f>
        <v>1345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4005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6" width="12.54296875" customWidth="1"/>
    <col min="7" max="7" width="3.54296875" customWidth="1"/>
    <col min="8" max="10" width="12.5429687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40</v>
      </c>
      <c r="D2" s="268"/>
      <c r="E2" s="267">
        <f>DigitaDOMINICANA!E2</f>
        <v>30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MARTA ROSA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36000</v>
      </c>
      <c r="D10" s="30">
        <f>IF(Vendedor7!$E$24="",0,Vendedor7!$E$24)</f>
        <v>1000</v>
      </c>
      <c r="E10" s="180">
        <f>IF(Vendedor7!$C$25="",0,Vendedor7!$C$25)</f>
        <v>47000</v>
      </c>
      <c r="F10" s="30">
        <f>IF(Vendedor7!$E$25="",0,Vendedor7!$E$25)</f>
        <v>0</v>
      </c>
      <c r="H10" s="42">
        <f t="shared" si="1"/>
        <v>83000</v>
      </c>
      <c r="I10" s="41">
        <f>MROUND(H10*Vendedor7!J$14,50)</f>
        <v>9950</v>
      </c>
      <c r="J10" s="42">
        <f t="shared" si="2"/>
        <v>1000</v>
      </c>
      <c r="K10" s="42">
        <f t="shared" si="3"/>
        <v>85000</v>
      </c>
      <c r="L10" s="42">
        <f>Vendedor7!$F$24+Vendedor7!$F$25</f>
        <v>85000</v>
      </c>
      <c r="N10" s="42">
        <f t="shared" si="0"/>
        <v>-11950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36000</v>
      </c>
      <c r="D32" s="44">
        <f>SUM(D4:D31)</f>
        <v>1000</v>
      </c>
      <c r="E32" s="43">
        <f>SUM(E4:E31)</f>
        <v>47000</v>
      </c>
      <c r="F32" s="44">
        <f>SUM(F4:F31)</f>
        <v>0</v>
      </c>
      <c r="H32" s="95">
        <f>SUM(H4:H31)</f>
        <v>83000</v>
      </c>
      <c r="I32" s="45">
        <f>SUM(I7:I31)</f>
        <v>9950</v>
      </c>
      <c r="J32" s="95"/>
      <c r="K32" s="95">
        <f>SUM(K4:K31)</f>
        <v>85000</v>
      </c>
      <c r="L32" s="95">
        <f>SUM(L4:L31)</f>
        <v>85000</v>
      </c>
      <c r="N32" s="79">
        <f>SUM(N4:N31)</f>
        <v>-11950</v>
      </c>
    </row>
    <row r="33" spans="3:6" x14ac:dyDescent="0.35">
      <c r="D33" s="99">
        <f>+D32*85</f>
        <v>85000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83000</v>
      </c>
      <c r="E36" s="43">
        <f>+D36-H4-H5-H6</f>
        <v>83000</v>
      </c>
    </row>
    <row r="37" spans="3:6" x14ac:dyDescent="0.35">
      <c r="C37" s="47" t="s">
        <v>33</v>
      </c>
      <c r="D37" s="48">
        <f>D36*13%</f>
        <v>10790</v>
      </c>
      <c r="E37">
        <f>+D37-I4-I5-I6</f>
        <v>10790</v>
      </c>
    </row>
    <row r="38" spans="3:6" ht="15" thickBot="1" x14ac:dyDescent="0.4">
      <c r="C38" s="47" t="s">
        <v>30</v>
      </c>
      <c r="D38" s="30">
        <f>SUM(K4:K27)</f>
        <v>85000</v>
      </c>
    </row>
    <row r="39" spans="3:6" ht="15" thickBot="1" x14ac:dyDescent="0.4">
      <c r="C39" s="49" t="s">
        <v>4</v>
      </c>
      <c r="D39" s="80">
        <f>+D36-D37-D38</f>
        <v>-12790</v>
      </c>
      <c r="F39" s="98">
        <f>+N32-D39</f>
        <v>840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-12790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453125" customWidth="1"/>
    <col min="2" max="2" width="15.54296875" customWidth="1"/>
    <col min="3" max="4" width="12.54296875" customWidth="1"/>
    <col min="5" max="5" width="3.54296875" customWidth="1"/>
    <col min="6" max="8" width="12.5429687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MARTA ROSA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54296875" bestFit="1" customWidth="1"/>
    <col min="8" max="8" width="13.7265625" bestFit="1" customWidth="1"/>
    <col min="9" max="9" width="14.54296875" bestFit="1" customWidth="1"/>
    <col min="10" max="10" width="13.7265625" hidden="1" customWidth="1"/>
    <col min="11" max="11" width="14.54296875" hidden="1" customWidth="1"/>
    <col min="12" max="15" width="0" hidden="1" customWidth="1"/>
    <col min="16" max="16384" width="10.81640625" hidden="1"/>
  </cols>
  <sheetData>
    <row r="1" spans="1:9" ht="18.5" x14ac:dyDescent="0.45">
      <c r="A1" s="276" t="str">
        <f ca="1">CONCATENATE("Cuentas ALI ",TEXT('Ctas Banca'!I5,"dd-mm-yyyy"))</f>
        <v>Cuentas ALI 22-05-2026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1374400</v>
      </c>
      <c r="C4" s="157">
        <f>HojaNICA!M32</f>
        <v>164900</v>
      </c>
      <c r="D4" s="150">
        <f>HojaNICA!E37</f>
        <v>178640</v>
      </c>
      <c r="E4" s="150">
        <f>HojaNICA!P32</f>
        <v>1100000</v>
      </c>
      <c r="F4" s="150">
        <f>HojaNICA!O32</f>
        <v>1130500</v>
      </c>
      <c r="G4" s="151">
        <f t="shared" ref="G4:G10" si="0">+D4-C4+F4-E4</f>
        <v>44240</v>
      </c>
      <c r="H4" s="21"/>
      <c r="I4" s="182"/>
    </row>
    <row r="5" spans="1:9" x14ac:dyDescent="0.35">
      <c r="A5" s="28" t="s">
        <v>19</v>
      </c>
      <c r="B5" s="156">
        <f>HojaTICA!$E$36</f>
        <v>1767600</v>
      </c>
      <c r="C5" s="157">
        <f>HojaTICA!K32</f>
        <v>214550</v>
      </c>
      <c r="D5" s="150">
        <f>HojaTICA!E37</f>
        <v>229774</v>
      </c>
      <c r="E5" s="150">
        <f>HojaTICA!N32</f>
        <v>1030250</v>
      </c>
      <c r="F5" s="150">
        <f>HojaTICA!D38</f>
        <v>1032750</v>
      </c>
      <c r="G5" s="151">
        <f t="shared" si="0"/>
        <v>17724</v>
      </c>
      <c r="H5" s="21"/>
      <c r="I5" s="182"/>
    </row>
    <row r="6" spans="1:9" x14ac:dyDescent="0.35">
      <c r="A6" s="28" t="s">
        <v>125</v>
      </c>
      <c r="B6" s="156">
        <f>HojaREVENTADO!$E$37</f>
        <v>258450</v>
      </c>
      <c r="C6" s="157">
        <f>HojaREVENTADO!K33</f>
        <v>25845</v>
      </c>
      <c r="D6" s="150">
        <f>HojaREVENTADO!E38</f>
        <v>25845</v>
      </c>
      <c r="E6" s="150">
        <f>HojaREVENTADO!O33</f>
        <v>200000</v>
      </c>
      <c r="F6" s="150">
        <f>HojaREVENTADO!N33</f>
        <v>220000</v>
      </c>
      <c r="G6" s="151">
        <f t="shared" si="0"/>
        <v>20000</v>
      </c>
      <c r="H6" s="21"/>
      <c r="I6" s="182"/>
    </row>
    <row r="7" spans="1:9" x14ac:dyDescent="0.35">
      <c r="A7" s="28" t="s">
        <v>96</v>
      </c>
      <c r="B7" s="156">
        <f>HojaPrimera!$E$36</f>
        <v>415200</v>
      </c>
      <c r="C7" s="157">
        <f>HojaPrimera!I32</f>
        <v>49800</v>
      </c>
      <c r="D7" s="150">
        <f>HojaPrimera!E37</f>
        <v>53971.5</v>
      </c>
      <c r="E7" s="150">
        <f>HojaPrimera!L32</f>
        <v>494000</v>
      </c>
      <c r="F7" s="150">
        <f>HojaPrimera!K32</f>
        <v>501500</v>
      </c>
      <c r="G7" s="151">
        <f t="shared" si="0"/>
        <v>11671.5</v>
      </c>
      <c r="H7" s="21"/>
      <c r="I7" s="21"/>
    </row>
    <row r="8" spans="1:9" x14ac:dyDescent="0.35">
      <c r="A8" s="28" t="s">
        <v>104</v>
      </c>
      <c r="B8" s="156">
        <f>HojaHonduras!$E$36</f>
        <v>136500</v>
      </c>
      <c r="C8" s="157">
        <f>HojaHonduras!K32</f>
        <v>16400</v>
      </c>
      <c r="D8" s="150">
        <f>HojaHonduras!E37</f>
        <v>17745</v>
      </c>
      <c r="E8" s="150">
        <f>HojaHonduras!N32</f>
        <v>114750</v>
      </c>
      <c r="F8" s="150">
        <f>HojaHonduras!M32</f>
        <v>114750</v>
      </c>
      <c r="G8" s="151">
        <f t="shared" si="0"/>
        <v>1345</v>
      </c>
      <c r="H8" s="21"/>
      <c r="I8" s="21"/>
    </row>
    <row r="9" spans="1:9" x14ac:dyDescent="0.35">
      <c r="A9" s="28" t="s">
        <v>20</v>
      </c>
      <c r="B9" s="156">
        <f>HojaDominicana!$E$36</f>
        <v>83000</v>
      </c>
      <c r="C9" s="157">
        <f>HojaDominicana!I32</f>
        <v>9950</v>
      </c>
      <c r="D9" s="150">
        <f>HojaDominicana!E37</f>
        <v>10790</v>
      </c>
      <c r="E9" s="150">
        <f>HojaDominicana!L32</f>
        <v>85000</v>
      </c>
      <c r="F9" s="150">
        <f>HojaDominicana!K32</f>
        <v>85000</v>
      </c>
      <c r="G9" s="151">
        <f t="shared" si="0"/>
        <v>840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4035150</v>
      </c>
      <c r="C11" s="175">
        <f>SUM(C4:C10)</f>
        <v>481445</v>
      </c>
      <c r="D11" s="175">
        <f t="shared" ref="D11:F11" si="1">SUM(D4:D10)</f>
        <v>516765.5</v>
      </c>
      <c r="E11" s="175">
        <f t="shared" si="1"/>
        <v>3024000</v>
      </c>
      <c r="F11" s="175">
        <f t="shared" si="1"/>
        <v>3084500</v>
      </c>
      <c r="G11" s="176">
        <f>SUM(G4:G10)</f>
        <v>95820.5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f>IF(F16&lt;&gt;0,35000,0)</f>
        <v>35000</v>
      </c>
      <c r="H12" s="141">
        <f>+G11-G12</f>
        <v>60820.5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245250</v>
      </c>
      <c r="E16" s="157">
        <f>+Vendedor1!D21</f>
        <v>31882.5</v>
      </c>
      <c r="F16" s="158">
        <f>IF(D16&lt;&gt;0,15000,0)</f>
        <v>15000</v>
      </c>
      <c r="G16" s="151">
        <f>+E16-F16</f>
        <v>16882.5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170900</v>
      </c>
      <c r="E17" s="157">
        <f>+Vendedor2!D21</f>
        <v>22217</v>
      </c>
      <c r="F17" s="158">
        <f>IF(D17&lt;&gt;0,15000,0)</f>
        <v>15000</v>
      </c>
      <c r="G17" s="151">
        <f>+E17-F17</f>
        <v>7217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416150</v>
      </c>
      <c r="E19" s="159">
        <f>SUM(E16:E18)</f>
        <v>54099.5</v>
      </c>
      <c r="F19" s="160">
        <f>SUM(F16:F18)</f>
        <v>30000</v>
      </c>
      <c r="G19" s="161">
        <f>SUM(G16:G18)</f>
        <v>24099.5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0</v>
      </c>
      <c r="E22" s="157">
        <f>-Vendedor24!D27</f>
        <v>0</v>
      </c>
      <c r="F22" s="158">
        <f>-Vendedor24!F27</f>
        <v>0</v>
      </c>
      <c r="G22" s="151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84920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453125" bestFit="1" customWidth="1"/>
    <col min="3" max="3" width="11.81640625" bestFit="1" customWidth="1"/>
    <col min="4" max="4" width="13.453125" bestFit="1" customWidth="1"/>
    <col min="6" max="6" width="11" bestFit="1" customWidth="1"/>
    <col min="7" max="7" width="4.1796875" customWidth="1"/>
    <col min="9" max="9" width="14.81640625" bestFit="1" customWidth="1"/>
    <col min="10" max="13" width="10.81640625" customWidth="1"/>
  </cols>
  <sheetData>
    <row r="2" spans="1:15" x14ac:dyDescent="0.35">
      <c r="A2" s="278" t="str">
        <f ca="1">CONCATENATE("Tiempos Pana ",TEXT(I5,"dd-mm-yyyy"))</f>
        <v>Tiempos Pana 22-05-2026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1448000</v>
      </c>
      <c r="C5" s="150">
        <f>HojaNICA!D37</f>
        <v>188240</v>
      </c>
      <c r="D5" s="150">
        <f>HojaNICA!D38</f>
        <v>1130500</v>
      </c>
      <c r="E5" s="150"/>
      <c r="F5" s="151">
        <f>+B5-C5-D5+E5</f>
        <v>129260</v>
      </c>
      <c r="H5" s="249" t="s">
        <v>105</v>
      </c>
      <c r="I5" s="243">
        <f ca="1">TODAY()-1</f>
        <v>46164</v>
      </c>
      <c r="O5" s="119"/>
    </row>
    <row r="6" spans="1:15" ht="15" thickBot="1" x14ac:dyDescent="0.4">
      <c r="A6" s="47" t="s">
        <v>36</v>
      </c>
      <c r="B6" s="150">
        <f>HojaTICA!D36</f>
        <v>2094800</v>
      </c>
      <c r="C6" s="150">
        <f>HojaTICA!D37</f>
        <v>272324</v>
      </c>
      <c r="D6" s="150">
        <f>HojaTICA!D38</f>
        <v>1032750</v>
      </c>
      <c r="E6" s="150"/>
      <c r="F6" s="151">
        <f t="shared" ref="F6:F11" si="0">+B6-C6-D6+E6</f>
        <v>789726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258450</v>
      </c>
      <c r="C7" s="150">
        <f>HojaREVENTADO!D38</f>
        <v>25845</v>
      </c>
      <c r="D7" s="150">
        <f>HojaREVENTADO!D39</f>
        <v>220000</v>
      </c>
      <c r="E7" s="150"/>
      <c r="F7" s="151">
        <f t="shared" si="0"/>
        <v>12605</v>
      </c>
    </row>
    <row r="8" spans="1:15" x14ac:dyDescent="0.35">
      <c r="A8" s="47" t="s">
        <v>96</v>
      </c>
      <c r="B8" s="150">
        <f>HojaPrimera!$D36</f>
        <v>430550</v>
      </c>
      <c r="C8" s="150">
        <f>HojaPrimera!$D37</f>
        <v>55971.5</v>
      </c>
      <c r="D8" s="150">
        <f>HojaPrimera!$D38</f>
        <v>501500</v>
      </c>
      <c r="E8" s="150"/>
      <c r="F8" s="151">
        <f t="shared" si="0"/>
        <v>-126921.5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136500</v>
      </c>
      <c r="C9" s="150">
        <f>HojaHonduras!$D37</f>
        <v>17745</v>
      </c>
      <c r="D9" s="150">
        <f>HojaHonduras!$D38</f>
        <v>114750</v>
      </c>
      <c r="E9" s="150"/>
      <c r="F9" s="151">
        <f t="shared" si="0"/>
        <v>4005</v>
      </c>
      <c r="H9" s="250">
        <f>+K12-K10-H6</f>
        <v>795884.49999999953</v>
      </c>
    </row>
    <row r="10" spans="1:15" ht="15" thickBot="1" x14ac:dyDescent="0.4">
      <c r="A10" s="47" t="s">
        <v>20</v>
      </c>
      <c r="B10" s="150">
        <f>HojaDominicana!$D36</f>
        <v>83000</v>
      </c>
      <c r="C10" s="150">
        <f>HojaDominicana!$D37</f>
        <v>10790</v>
      </c>
      <c r="D10" s="150">
        <f>HojaDominicana!$D38</f>
        <v>85000</v>
      </c>
      <c r="E10" s="150"/>
      <c r="F10" s="151">
        <f t="shared" si="0"/>
        <v>-12790</v>
      </c>
      <c r="H10" s="154"/>
      <c r="J10" t="s">
        <v>148</v>
      </c>
      <c r="K10" s="252">
        <v>3672434.35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4468318.8499999996</v>
      </c>
    </row>
    <row r="12" spans="1:15" ht="16" thickBot="1" x14ac:dyDescent="0.4">
      <c r="A12" s="144" t="s">
        <v>5</v>
      </c>
      <c r="B12" s="152">
        <f>SUM(B5:B11)</f>
        <v>4451300</v>
      </c>
      <c r="C12" s="152">
        <f>SUM(C5:C11)</f>
        <v>570915.5</v>
      </c>
      <c r="D12" s="152">
        <f>SUM(D5:D11)</f>
        <v>3084500</v>
      </c>
      <c r="E12" s="152"/>
      <c r="F12" s="255">
        <f>SUM(F5:F11)</f>
        <v>795884.5</v>
      </c>
      <c r="H12" s="251">
        <f>K12</f>
        <v>4468318.8499999996</v>
      </c>
      <c r="J12" t="s">
        <v>140</v>
      </c>
      <c r="K12" s="254">
        <f>-1960326.37+4624741.74+1104409.5+699493.98</f>
        <v>4468318.8499999996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185600</v>
      </c>
      <c r="K4" s="231">
        <f t="shared" ref="K4" si="0">D7+D11+D15</f>
        <v>24128</v>
      </c>
      <c r="L4" s="220">
        <f>F7+F11+F15</f>
        <v>63750</v>
      </c>
    </row>
    <row r="5" spans="1:12" x14ac:dyDescent="0.35">
      <c r="A5" s="28" t="s">
        <v>43</v>
      </c>
      <c r="B5" s="132">
        <f>IF(DigitaNICA!C2&lt;&gt;"",DigitaNICA!C2,"")</f>
        <v>95</v>
      </c>
      <c r="C5" s="29">
        <f>IF(DigitaNICA!C4&lt;&gt;"",DigitaNICA!C4,"")</f>
        <v>14150</v>
      </c>
      <c r="D5" s="42">
        <f>IF(C5="",0,C5*J$10)</f>
        <v>1839.5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12310.5</v>
      </c>
      <c r="I5" s="241" t="s">
        <v>37</v>
      </c>
      <c r="J5" s="221">
        <f>SUM(IF(C5="",0,C5),IF(C9="",0,C9),IF(C13="",0,C13),IF(C17="",0,C17))</f>
        <v>47600</v>
      </c>
      <c r="K5" s="225">
        <f t="shared" ref="K5" si="2">D5+D9+D13+D17</f>
        <v>6188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12050</v>
      </c>
      <c r="K6" s="228">
        <f>D19+D20</f>
        <v>1566.5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68</v>
      </c>
      <c r="C7" s="29">
        <f>IF(DigitaTICA!C4&lt;&gt;"",DigitaTICA!C4,"")</f>
        <v>47050</v>
      </c>
      <c r="D7" s="42">
        <f>IF(C7="",0,C7*J$9)</f>
        <v>6116.5</v>
      </c>
      <c r="E7" s="29">
        <f>IF(DigitaTICA!D4&lt;&gt;"",DigitaTICA!D4,"")</f>
        <v>500</v>
      </c>
      <c r="F7" s="42">
        <f>IF(E7="",0,E7*PREMIOS!F7)</f>
        <v>42500</v>
      </c>
      <c r="G7" s="30">
        <f t="shared" si="1"/>
        <v>-1566.5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98</v>
      </c>
      <c r="C9" s="29">
        <f>IF(DigitaNICA!E4&lt;&gt;"",DigitaNICA!E4,"")</f>
        <v>13350</v>
      </c>
      <c r="D9" s="42">
        <f>IF(C9="",0,C9*J$10)</f>
        <v>1735.5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11614.5</v>
      </c>
      <c r="I9" s="76" t="s">
        <v>36</v>
      </c>
      <c r="J9" s="77">
        <v>0.13</v>
      </c>
      <c r="K9" s="78">
        <f>MROUND(D7+D11+D15,50)</f>
        <v>24150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6200</v>
      </c>
    </row>
    <row r="11" spans="1:12" x14ac:dyDescent="0.35">
      <c r="A11" s="28" t="s">
        <v>59</v>
      </c>
      <c r="B11" s="132">
        <f>IF(DigitaTICA!E2&lt;&gt;"",DigitaTICA!E2,"")</f>
        <v>86</v>
      </c>
      <c r="C11" s="29">
        <f>IF(DigitaTICA!E4&lt;&gt;"",DigitaTICA!E4,"")</f>
        <v>26500</v>
      </c>
      <c r="D11" s="42">
        <f>IF(C11="",0,C11*J$9)</f>
        <v>3445</v>
      </c>
      <c r="E11" s="29">
        <f>IF(DigitaTICA!F4&lt;&gt;"",DigitaTICA!F4,"")</f>
        <v>0</v>
      </c>
      <c r="F11" s="42">
        <f>IF(E11="",0,E11*PREMIOS!F11)</f>
        <v>0</v>
      </c>
      <c r="G11" s="30">
        <f t="shared" si="1"/>
        <v>23055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1550</v>
      </c>
    </row>
    <row r="13" spans="1:12" x14ac:dyDescent="0.35">
      <c r="A13" s="28" t="s">
        <v>50</v>
      </c>
      <c r="B13" s="132">
        <f>IF(DigitaNICA!G2&lt;&gt;"",DigitaNICA!G2,"")</f>
        <v>32</v>
      </c>
      <c r="C13" s="29">
        <f>IF(DigitaNICA!G4&lt;&gt;"",DigitaNICA!G4,"")</f>
        <v>6800</v>
      </c>
      <c r="D13" s="42">
        <f>IF(C13="",0,C13*J$10)</f>
        <v>884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5916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82</v>
      </c>
      <c r="C15" s="29">
        <f>IF(DigitaTICA!G4&lt;&gt;"",DigitaTICA!G4,"")</f>
        <v>112050</v>
      </c>
      <c r="D15" s="42">
        <f>IF(C15="",0,C15*J$9)</f>
        <v>14566.5</v>
      </c>
      <c r="E15" s="29">
        <f>IF(DigitaTICA!H4&lt;&gt;"",DigitaTICA!H4,"")</f>
        <v>250</v>
      </c>
      <c r="F15" s="42">
        <f>IF(E15="",0,E15*PREMIOS!F15)</f>
        <v>21250</v>
      </c>
      <c r="G15" s="30">
        <f t="shared" si="3"/>
        <v>76233.5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36</v>
      </c>
      <c r="C17" s="29">
        <f>IF(DigitaNICA!I4&lt;&gt;"",DigitaNICA!I4,"")</f>
        <v>13300</v>
      </c>
      <c r="D17" s="42">
        <f>IF(C17="",0,C17*J$10)</f>
        <v>1729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11571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45</v>
      </c>
      <c r="C19" s="29">
        <f>IF(DigitaPRIMERA!C4&lt;&gt;"",DigitaPRIMERA!C4,"")</f>
        <v>9650</v>
      </c>
      <c r="D19" s="42">
        <f>IF(C19="",0,C19*J$12)</f>
        <v>1254.5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8395.5</v>
      </c>
    </row>
    <row r="20" spans="1:7" x14ac:dyDescent="0.35">
      <c r="A20" s="28" t="s">
        <v>98</v>
      </c>
      <c r="B20" s="132">
        <f>IF(DigitaPRIMERA!E2&lt;&gt;"",DigitaPRIMERA!E2,"")</f>
        <v>65</v>
      </c>
      <c r="C20" s="29">
        <f>IF(DigitaPRIMERA!E4&lt;&gt;"",DigitaPRIMERA!E4,"")</f>
        <v>2400</v>
      </c>
      <c r="D20" s="42">
        <f>IF(C20="",0,C20*J$12)</f>
        <v>312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2088</v>
      </c>
    </row>
    <row r="21" spans="1:7" ht="15" thickBot="1" x14ac:dyDescent="0.4">
      <c r="A21" s="121" t="s">
        <v>5</v>
      </c>
      <c r="B21" s="128"/>
      <c r="C21" s="122">
        <f>SUM(C5:C20)</f>
        <v>245250</v>
      </c>
      <c r="D21" s="122">
        <f t="shared" ref="D21:G21" si="6">SUM(D5:D20)</f>
        <v>31882.5</v>
      </c>
      <c r="E21" s="122">
        <f t="shared" si="6"/>
        <v>750</v>
      </c>
      <c r="F21" s="122">
        <f t="shared" si="6"/>
        <v>63750</v>
      </c>
      <c r="G21" s="123">
        <f t="shared" si="6"/>
        <v>149617.5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141600</v>
      </c>
      <c r="K4" s="231">
        <f t="shared" ref="K4" si="0">D7+D11+D15</f>
        <v>18408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95</v>
      </c>
      <c r="C5" s="29">
        <f>IF(DigitaNICA!C5&lt;&gt;"",DigitaNICA!C5,"")</f>
        <v>10300</v>
      </c>
      <c r="D5" s="42">
        <f>IF(C5="",0,C5*J$10)</f>
        <v>1339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8961</v>
      </c>
      <c r="I5" s="241" t="s">
        <v>37</v>
      </c>
      <c r="J5" s="221">
        <f>SUM(IF(C5="",0,C5),IF(C9="",0,C9),IF(C13="",0,C13),IF(C17="",0,C17))</f>
        <v>26000</v>
      </c>
      <c r="K5" s="225">
        <f t="shared" ref="K5" si="2">D5+D9+D13+D17</f>
        <v>3380</v>
      </c>
      <c r="L5" s="222">
        <f>F5+F9+F13+F17</f>
        <v>92000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3300</v>
      </c>
      <c r="K6" s="228">
        <f>D19+D20</f>
        <v>429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68</v>
      </c>
      <c r="C7" s="29">
        <f>IF(DigitaTICA!C5&lt;&gt;"",DigitaTICA!C5,"")</f>
        <v>46250</v>
      </c>
      <c r="D7" s="42">
        <f>IF(C7="",0,C7*J$9)</f>
        <v>6012.5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40237.5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98</v>
      </c>
      <c r="C9" s="29">
        <f>IF(DigitaNICA!E5&lt;&gt;"",DigitaNICA!E5,"")</f>
        <v>6950</v>
      </c>
      <c r="D9" s="42">
        <f>IF(C9="",0,C9*J$10)</f>
        <v>903.5</v>
      </c>
      <c r="E9" s="29">
        <f>IF(DigitaNICA!F5&lt;&gt;"",DigitaNICA!F5,"")</f>
        <v>1150</v>
      </c>
      <c r="F9" s="42">
        <f>IF(E9="",0,E9*PREMIOS!E9)</f>
        <v>92000</v>
      </c>
      <c r="G9" s="30">
        <f t="shared" si="1"/>
        <v>-85953.5</v>
      </c>
      <c r="I9" s="60" t="s">
        <v>36</v>
      </c>
      <c r="J9" s="61">
        <v>0.13</v>
      </c>
      <c r="K9" s="62">
        <f>MROUND(D7+D11+D15,50)</f>
        <v>18400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3400</v>
      </c>
    </row>
    <row r="11" spans="1:12" x14ac:dyDescent="0.35">
      <c r="A11" s="28" t="s">
        <v>59</v>
      </c>
      <c r="B11" s="132">
        <f>IF(DigitaTICA!E2&lt;&gt;"",DigitaTICA!E2,"")</f>
        <v>86</v>
      </c>
      <c r="C11" s="29">
        <f>IF(DigitaTICA!E5&lt;&gt;"",DigitaTICA!E5,"")</f>
        <v>27450</v>
      </c>
      <c r="D11" s="42">
        <f>IF(C11="",0,C11*J$9)</f>
        <v>3568.5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23881.5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450</v>
      </c>
    </row>
    <row r="13" spans="1:12" x14ac:dyDescent="0.35">
      <c r="A13" s="28" t="s">
        <v>50</v>
      </c>
      <c r="B13" s="132">
        <f>IF(DigitaNICA!G2&lt;&gt;"",DigitaNICA!G2,"")</f>
        <v>32</v>
      </c>
      <c r="C13" s="29">
        <f>IF(DigitaNICA!G5&lt;&gt;"",DigitaNICA!G5,"")</f>
        <v>8750</v>
      </c>
      <c r="D13" s="42">
        <f>IF(C13="",0,C13*J$10)</f>
        <v>1137.5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7612.5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82</v>
      </c>
      <c r="C15" s="29">
        <f>IF(DigitaTICA!G5&lt;&gt;"",DigitaTICA!G5,"")</f>
        <v>67900</v>
      </c>
      <c r="D15" s="42">
        <f>IF(C15="",0,C15*J$9)</f>
        <v>8827</v>
      </c>
      <c r="E15" s="29">
        <f>IF(DigitaTICA!H5&lt;&gt;"",DigitaTICA!H5,"")</f>
        <v>0</v>
      </c>
      <c r="F15" s="42">
        <f>IF(E15="",0,E15*PREMIOS!F15)</f>
        <v>0</v>
      </c>
      <c r="G15" s="30">
        <f t="shared" si="3"/>
        <v>59073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36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45</v>
      </c>
      <c r="C19" s="29">
        <f>IF(DigitaPRIMERA!C5&lt;&gt;"",DigitaPRIMERA!C5,"")</f>
        <v>3300</v>
      </c>
      <c r="D19" s="42">
        <f>IF(C19="",0,C19*J$12)</f>
        <v>429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2871</v>
      </c>
    </row>
    <row r="20" spans="1:7" x14ac:dyDescent="0.35">
      <c r="A20" s="28" t="s">
        <v>98</v>
      </c>
      <c r="B20" s="132">
        <f>IF(DigitaPRIMERA!E2&lt;&gt;"",DigitaPRIMERA!E2,"")</f>
        <v>65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170900</v>
      </c>
      <c r="D21" s="68">
        <f t="shared" ref="D21:G21" si="4">SUM(D5:D20)</f>
        <v>22217</v>
      </c>
      <c r="E21" s="68">
        <f t="shared" si="4"/>
        <v>1150</v>
      </c>
      <c r="F21" s="68">
        <f t="shared" si="4"/>
        <v>92000</v>
      </c>
      <c r="G21" s="88">
        <f t="shared" si="4"/>
        <v>56683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179687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95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68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98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86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32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82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36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45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65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95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68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98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86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32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82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36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149800</v>
      </c>
      <c r="K4" s="231">
        <f t="shared" ref="K4" si="0">D7+D11+D15</f>
        <v>17976</v>
      </c>
      <c r="L4" s="220">
        <f>F7+F11+F15</f>
        <v>127500</v>
      </c>
    </row>
    <row r="5" spans="1:12" x14ac:dyDescent="0.35">
      <c r="A5" s="28" t="s">
        <v>43</v>
      </c>
      <c r="B5" s="132">
        <f>IF(DigitaNICA!C2&lt;&gt;"",DigitaNICA!C2,"")</f>
        <v>95</v>
      </c>
      <c r="C5" s="29">
        <f>IF(DigitaNICA!C8&lt;&gt;"",DigitaNICA!C8,"")</f>
        <v>50700</v>
      </c>
      <c r="D5" s="42">
        <f>IF(C5="",0,C5*J$12)</f>
        <v>6084</v>
      </c>
      <c r="E5" s="29">
        <f>IF(DigitaNICA!D8&lt;&gt;"",DigitaNICA!D8,"")</f>
        <v>1900</v>
      </c>
      <c r="F5" s="42">
        <f>IF(E5="",0,E5*PREMIOS!E5)</f>
        <v>152000</v>
      </c>
      <c r="G5" s="30">
        <f t="shared" ref="G5:G12" si="1">IF(OR(C5="",E5=""),0,C5-D5-F5)</f>
        <v>-107384</v>
      </c>
      <c r="I5" s="241" t="s">
        <v>37</v>
      </c>
      <c r="J5" s="221">
        <f>SUM(IF(C5="",0,C5),IF(C9="",0,C9),IF(C13="",0,C13),IF(C17="",0,C17))</f>
        <v>134500</v>
      </c>
      <c r="K5" s="225">
        <f t="shared" ref="K5" si="2">D5+D9+D13+D17</f>
        <v>16140</v>
      </c>
      <c r="L5" s="222">
        <f>F5+F9+F13+F17</f>
        <v>316000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68</v>
      </c>
      <c r="C7" s="29">
        <f>IF(DigitaTICA!C8&lt;&gt;"",DigitaTICA!C8,"")</f>
        <v>65900</v>
      </c>
      <c r="D7" s="42">
        <f>IF(C7="",0,C7*J$11)</f>
        <v>7908</v>
      </c>
      <c r="E7" s="29">
        <f>IF(DigitaTICA!D8&lt;&gt;"",DigitaTICA!D8,"")</f>
        <v>650</v>
      </c>
      <c r="F7" s="42">
        <f>IF(E7="",0,E7*PREMIOS!F7)</f>
        <v>55250</v>
      </c>
      <c r="G7" s="30">
        <f t="shared" si="1"/>
        <v>2742</v>
      </c>
      <c r="I7" s="242" t="s">
        <v>96</v>
      </c>
      <c r="J7" s="224">
        <f>SUM(IF(C19="",0,C19),IF(C20="",0,C20))</f>
        <v>48100</v>
      </c>
      <c r="K7" s="228">
        <f>+D19+D20</f>
        <v>5772</v>
      </c>
      <c r="L7" s="229">
        <f>+F19+F20</f>
        <v>120000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98</v>
      </c>
      <c r="C9" s="29">
        <f>IF(DigitaNICA!E8&lt;&gt;"",DigitaNICA!E8,"")</f>
        <v>45600</v>
      </c>
      <c r="D9" s="42">
        <f>IF(C9="",0,C9*J$12)</f>
        <v>5472</v>
      </c>
      <c r="E9" s="29">
        <f>IF(DigitaNICA!F8&lt;&gt;"",DigitaNICA!F8,"")</f>
        <v>2050</v>
      </c>
      <c r="F9" s="42">
        <f>IF(E9="",0,E9*PREMIOS!E9)</f>
        <v>164000</v>
      </c>
      <c r="G9" s="30">
        <f t="shared" si="1"/>
        <v>-123872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86</v>
      </c>
      <c r="C11" s="29">
        <f>IF(DigitaTICA!E8&lt;&gt;"",DigitaTICA!E8,"")</f>
        <v>41600</v>
      </c>
      <c r="D11" s="42">
        <f>IF(C11="",0,C11*J$11)</f>
        <v>4992</v>
      </c>
      <c r="E11" s="29">
        <f>IF(DigitaTICA!F8&lt;&gt;"",DigitaTICA!F8,"")</f>
        <v>850</v>
      </c>
      <c r="F11" s="42">
        <f>IF(E11="",0,E11*PREMIOS!F11)</f>
        <v>72250</v>
      </c>
      <c r="G11" s="30">
        <f t="shared" si="1"/>
        <v>-35642</v>
      </c>
      <c r="I11" s="60" t="s">
        <v>36</v>
      </c>
      <c r="J11" s="61">
        <v>0.12</v>
      </c>
      <c r="K11" s="62">
        <f>MROUND(D7+D11+D15,50)</f>
        <v>18000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16150</v>
      </c>
    </row>
    <row r="13" spans="1:12" x14ac:dyDescent="0.35">
      <c r="A13" s="28" t="s">
        <v>50</v>
      </c>
      <c r="B13" s="132">
        <f>IF(DigitaNICA!G2&lt;&gt;"",DigitaNICA!G2,"")</f>
        <v>32</v>
      </c>
      <c r="C13" s="29">
        <f>IF(DigitaNICA!G8&lt;&gt;"",DigitaNICA!G8,"")</f>
        <v>10300</v>
      </c>
      <c r="D13" s="42">
        <f>IF(C13="",0,C13*J$12)</f>
        <v>1236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9064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5750</v>
      </c>
    </row>
    <row r="15" spans="1:12" x14ac:dyDescent="0.35">
      <c r="A15" s="28" t="s">
        <v>61</v>
      </c>
      <c r="B15" s="132">
        <f>IF(DigitaTICA!G2&lt;&gt;"",DigitaTICA!G2,"")</f>
        <v>82</v>
      </c>
      <c r="C15" s="29">
        <f>IF(DigitaTICA!G8&lt;&gt;"",DigitaTICA!G8,"")</f>
        <v>42300</v>
      </c>
      <c r="D15" s="42">
        <f>IF(C15="",0,C15*J$11)</f>
        <v>5076</v>
      </c>
      <c r="E15" s="29">
        <f>IF(DigitaTICA!H8&lt;&gt;"",DigitaTICA!H8,"")</f>
        <v>0</v>
      </c>
      <c r="F15" s="42">
        <f>IF(E15="",0,E15*PREMIOS!F15)</f>
        <v>0</v>
      </c>
      <c r="G15" s="30">
        <f t="shared" si="4"/>
        <v>37224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36</v>
      </c>
      <c r="C17" s="29">
        <f>IF(DigitaNICA!I8&lt;&gt;"",DigitaNICA!I8,"")</f>
        <v>27900</v>
      </c>
      <c r="D17" s="42">
        <f>IF(C17="",0,C17*J$12)</f>
        <v>3348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24552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45</v>
      </c>
      <c r="C19" s="29">
        <f>IF(DigitaPRIMERA!C8&lt;&gt;"",DigitaPRIMERA!C8,"")</f>
        <v>24000</v>
      </c>
      <c r="D19" s="42">
        <f>IF(C19="",0,C19*J$14)</f>
        <v>2880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21120</v>
      </c>
    </row>
    <row r="20" spans="1:7" x14ac:dyDescent="0.35">
      <c r="A20" s="28" t="s">
        <v>98</v>
      </c>
      <c r="B20" s="132">
        <f>IF(DigitaPRIMERA!E2&lt;&gt;"",DigitaPRIMERA!E2,"")</f>
        <v>65</v>
      </c>
      <c r="C20" s="29">
        <f>IF(DigitaPRIMERA!E8&lt;&gt;"",DigitaPRIMERA!E8,"")</f>
        <v>24100</v>
      </c>
      <c r="D20" s="42">
        <f>IF(C20="",0,C20*J$14)</f>
        <v>2892</v>
      </c>
      <c r="E20" s="29">
        <f>IF(DigitaPRIMERA!F8&lt;&gt;"",DigitaPRIMERA!F8,"")</f>
        <v>1500</v>
      </c>
      <c r="F20" s="42">
        <f>IF(E20="",0,E20*PREMIOS!E19)</f>
        <v>120000</v>
      </c>
      <c r="G20" s="30">
        <f t="shared" si="4"/>
        <v>-98792</v>
      </c>
    </row>
    <row r="21" spans="1:7" ht="15" thickBot="1" x14ac:dyDescent="0.4">
      <c r="A21" s="121" t="s">
        <v>5</v>
      </c>
      <c r="B21" s="128"/>
      <c r="C21" s="122">
        <f>SUM(C5:C20)</f>
        <v>332400</v>
      </c>
      <c r="D21" s="122">
        <f t="shared" ref="D21:G21" si="5">SUM(D5:D20)</f>
        <v>39888</v>
      </c>
      <c r="E21" s="122">
        <f t="shared" si="5"/>
        <v>6950</v>
      </c>
      <c r="F21" s="122">
        <f t="shared" si="5"/>
        <v>563500</v>
      </c>
      <c r="G21" s="123">
        <f t="shared" si="5"/>
        <v>-270988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24"/>
  <dimension ref="A1:AML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MARTA ROSA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95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68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98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86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32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82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36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45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65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2" width="11.54296875" style="21" customWidth="1"/>
    <col min="13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491750</v>
      </c>
      <c r="K4" s="231">
        <f t="shared" ref="K4" si="0">D7+D11+D15</f>
        <v>59010</v>
      </c>
      <c r="L4" s="220">
        <f>F7+F11+F15</f>
        <v>301750</v>
      </c>
    </row>
    <row r="5" spans="1:12" x14ac:dyDescent="0.35">
      <c r="A5" s="28" t="s">
        <v>43</v>
      </c>
      <c r="B5" s="132">
        <f>IF(DigitaNICA!C2&lt;&gt;"",DigitaNICA!C2,"")</f>
        <v>95</v>
      </c>
      <c r="C5" s="29">
        <f>IF(DigitaNICA!C10&lt;&gt;"",DigitaNICA!C10,"")</f>
        <v>119100</v>
      </c>
      <c r="D5" s="42">
        <f>IF(C5="",0,C5*J$15)</f>
        <v>14292</v>
      </c>
      <c r="E5" s="29">
        <f>IF(DigitaNICA!D10&lt;&gt;"",DigitaNICA!D10,"")</f>
        <v>100</v>
      </c>
      <c r="F5" s="42">
        <f>IF(E5="",0,E5*PREMIOS!F5)</f>
        <v>8500</v>
      </c>
      <c r="G5" s="30">
        <f t="shared" ref="G5:G12" si="1">IF(OR(C5="",E5=""),0,C5-D5-F5)</f>
        <v>96308</v>
      </c>
      <c r="I5" s="217" t="s">
        <v>37</v>
      </c>
      <c r="J5" s="221">
        <f>SUM(IF(C5="",0,C5),IF(C9="",0,C9),IF(C13="",0,C13),IF(C17="",0,C17))</f>
        <v>393400</v>
      </c>
      <c r="K5" s="225">
        <f t="shared" ref="K5" si="2">D5+D9+D13+D17</f>
        <v>47208</v>
      </c>
      <c r="L5" s="222">
        <f>F5+F9+F13+F17</f>
        <v>144500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107550</v>
      </c>
      <c r="K6" s="226">
        <f t="shared" ref="K6" si="3">+D8+D12+D16</f>
        <v>10755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68</v>
      </c>
      <c r="C7" s="29">
        <f>IF(DigitaTICA!C10&lt;&gt;"",DigitaTICA!C10,"")</f>
        <v>171950</v>
      </c>
      <c r="D7" s="42">
        <f>IF(C7="",0,C7*J$14)</f>
        <v>20634</v>
      </c>
      <c r="E7" s="29">
        <f>IF(DigitaTICA!D10&lt;&gt;"",DigitaTICA!D10,"")</f>
        <v>150</v>
      </c>
      <c r="F7" s="42">
        <f>IF(E7="",0,E7*PREMIOS!F7)</f>
        <v>12750</v>
      </c>
      <c r="G7" s="30">
        <f t="shared" si="1"/>
        <v>138566</v>
      </c>
      <c r="I7" s="217" t="s">
        <v>96</v>
      </c>
      <c r="J7" s="223">
        <f>SUM(IF(C19="",0,C19),IF(C20="",0,C20))</f>
        <v>55200</v>
      </c>
      <c r="K7" s="226">
        <f>+D19+D20</f>
        <v>6624</v>
      </c>
      <c r="L7" s="227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31000</v>
      </c>
      <c r="D8" s="42">
        <f>IF(C8="",0,C8*J$16)</f>
        <v>3100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27900</v>
      </c>
      <c r="I8" s="217" t="s">
        <v>104</v>
      </c>
      <c r="J8" s="223">
        <f>SUM(IF(C21="",0,C21),IF(C22="",0,C22),IF(C23="",0,C23))</f>
        <v>19900</v>
      </c>
      <c r="K8" s="226">
        <f t="shared" ref="K8" si="4">D21+D22+D23</f>
        <v>2388</v>
      </c>
      <c r="L8" s="227">
        <f>F21+F22+F23</f>
        <v>0</v>
      </c>
    </row>
    <row r="9" spans="1:12" x14ac:dyDescent="0.35">
      <c r="A9" s="28" t="s">
        <v>48</v>
      </c>
      <c r="B9" s="132">
        <f>IF(DigitaNICA!E2&lt;&gt;"",DigitaNICA!E2,"")</f>
        <v>98</v>
      </c>
      <c r="C9" s="29">
        <f>IF(DigitaNICA!E10&lt;&gt;"",DigitaNICA!E10,"")</f>
        <v>93750</v>
      </c>
      <c r="D9" s="42">
        <f>IF(C9="",0,C9*J$15)</f>
        <v>11250</v>
      </c>
      <c r="E9" s="29">
        <f>IF(DigitaNICA!F10&lt;&gt;"",DigitaNICA!F10,"")</f>
        <v>150</v>
      </c>
      <c r="F9" s="42">
        <f>IF(E9="",0,E9*PREMIOS!F9)</f>
        <v>12750</v>
      </c>
      <c r="G9" s="30">
        <f t="shared" si="1"/>
        <v>69750</v>
      </c>
      <c r="I9" s="217" t="s">
        <v>20</v>
      </c>
      <c r="J9" s="223">
        <f>SUM(IF(C24="",0,C24),IF(C25="",0,C25))</f>
        <v>83000</v>
      </c>
      <c r="K9" s="226">
        <f t="shared" ref="K9" si="5">+D24+D25</f>
        <v>9960</v>
      </c>
      <c r="L9" s="227">
        <f>F24+F25</f>
        <v>85000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86</v>
      </c>
      <c r="C11" s="29">
        <f>IF(DigitaTICA!E10&lt;&gt;"",DigitaTICA!E10,"")</f>
        <v>149000</v>
      </c>
      <c r="D11" s="42">
        <f>IF(C11="",0,C11*J$14)</f>
        <v>17880</v>
      </c>
      <c r="E11" s="29">
        <f>IF(DigitaTICA!F10&lt;&gt;"",DigitaTICA!F10,"")</f>
        <v>3250</v>
      </c>
      <c r="F11" s="42">
        <f>IF(E11="",0,E11*PREMIOS!F11)</f>
        <v>276250</v>
      </c>
      <c r="G11" s="30">
        <f t="shared" si="1"/>
        <v>-145130</v>
      </c>
    </row>
    <row r="12" spans="1:12" ht="15" thickBot="1" x14ac:dyDescent="0.4">
      <c r="A12" s="28" t="s">
        <v>60</v>
      </c>
      <c r="B12" s="132" t="str">
        <f>IF(B11&lt;&gt;"",PREMIOS!B12,"")</f>
        <v>Blanca</v>
      </c>
      <c r="C12" s="29">
        <f>IF(DigitaREVENTADO!E10&lt;&gt;"",DigitaREVENTADO!E10,"")</f>
        <v>29550</v>
      </c>
      <c r="D12" s="42">
        <f>IF(C12="",0,C12*J$16)</f>
        <v>2955</v>
      </c>
      <c r="E12" s="29">
        <f>IF(DigitaREVENTADO!F10&lt;&gt;"",DigitaREVENTADO!F10,"")</f>
        <v>1750</v>
      </c>
      <c r="F12" s="42">
        <f>IF(E12="",0,E12*PREMIOS!F12)</f>
        <v>0</v>
      </c>
      <c r="G12" s="30">
        <f t="shared" si="1"/>
        <v>26595</v>
      </c>
    </row>
    <row r="13" spans="1:12" ht="15" thickBot="1" x14ac:dyDescent="0.4">
      <c r="A13" s="28" t="s">
        <v>50</v>
      </c>
      <c r="B13" s="132">
        <f>IF(DigitaNICA!G2&lt;&gt;"",DigitaNICA!G2,"")</f>
        <v>32</v>
      </c>
      <c r="C13" s="29">
        <f>IF(DigitaNICA!G10&lt;&gt;"",DigitaNICA!G10,"")</f>
        <v>78550</v>
      </c>
      <c r="D13" s="42">
        <f>IF(C13="",0,C13*J$15)</f>
        <v>9426</v>
      </c>
      <c r="E13" s="29">
        <f>IF(DigitaNICA!H10&lt;&gt;"",DigitaNICA!H10,"")</f>
        <v>0</v>
      </c>
      <c r="F13" s="42">
        <f>IF(E13="",0,E13*PREMIOS!F13)</f>
        <v>0</v>
      </c>
      <c r="G13" s="30">
        <f>IF(OR(C13="",E13=""),0,C13-D13-F13)</f>
        <v>69124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59000</v>
      </c>
    </row>
    <row r="15" spans="1:12" x14ac:dyDescent="0.35">
      <c r="A15" s="28" t="s">
        <v>61</v>
      </c>
      <c r="B15" s="132">
        <f>IF(DigitaTICA!G2&lt;&gt;"",DigitaTICA!G2,"")</f>
        <v>82</v>
      </c>
      <c r="C15" s="29">
        <f>IF(DigitaTICA!G10&lt;&gt;"",DigitaTICA!G10,"")</f>
        <v>170800</v>
      </c>
      <c r="D15" s="42">
        <f>IF(C15="",0,C15*J$14)</f>
        <v>20496</v>
      </c>
      <c r="E15" s="29">
        <f>IF(DigitaTICA!H10&lt;&gt;"",DigitaTICA!H10,"")</f>
        <v>150</v>
      </c>
      <c r="F15" s="42">
        <f>IF(E15="",0,E15*PREMIOS!F15)</f>
        <v>12750</v>
      </c>
      <c r="G15" s="30">
        <f t="shared" si="6"/>
        <v>137554</v>
      </c>
      <c r="I15" s="63" t="s">
        <v>37</v>
      </c>
      <c r="J15" s="64">
        <v>0.12</v>
      </c>
      <c r="K15" s="30">
        <f>MROUND(D5+D9+D13+D17,50)</f>
        <v>47200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IF(DigitaREVENTADO!G10&lt;&gt;"",DigitaREVENTADO!G10,"")</f>
        <v>47000</v>
      </c>
      <c r="D16" s="42">
        <f>IF(C16="",0,C16*J$16)</f>
        <v>4700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42300</v>
      </c>
      <c r="I16" s="63" t="s">
        <v>38</v>
      </c>
      <c r="J16" s="64">
        <v>0.1</v>
      </c>
      <c r="K16" s="30">
        <f>MROUND(D6+D8+D10+D12+D14+D16+D18,50)</f>
        <v>10750</v>
      </c>
    </row>
    <row r="17" spans="1:11" x14ac:dyDescent="0.35">
      <c r="A17" s="28" t="s">
        <v>52</v>
      </c>
      <c r="B17" s="132">
        <f>IF(DigitaNICA!I2&lt;&gt;"",DigitaNICA!I2,"")</f>
        <v>36</v>
      </c>
      <c r="C17" s="29">
        <f>IF(DigitaNICA!I10&lt;&gt;"",DigitaNICA!I10,"")</f>
        <v>102000</v>
      </c>
      <c r="D17" s="42">
        <f>IF(C17="",0,C17*J$15)</f>
        <v>12240</v>
      </c>
      <c r="E17" s="29">
        <f>IF(DigitaNICA!J10&lt;&gt;"",DigitaNICA!J10,"")</f>
        <v>1450</v>
      </c>
      <c r="F17" s="42">
        <f>IF(E17="",0,E17*PREMIOS!F17)</f>
        <v>123250</v>
      </c>
      <c r="G17" s="30">
        <f t="shared" si="6"/>
        <v>-33490</v>
      </c>
      <c r="I17" s="63" t="s">
        <v>96</v>
      </c>
      <c r="J17" s="64">
        <v>0.12</v>
      </c>
      <c r="K17" s="30">
        <f>MROUND(D19+D20,50)</f>
        <v>6600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2400</v>
      </c>
    </row>
    <row r="19" spans="1:11" x14ac:dyDescent="0.35">
      <c r="A19" s="28" t="s">
        <v>97</v>
      </c>
      <c r="B19" s="132">
        <f>IF(DigitaPRIMERA!C2&lt;&gt;"",DigitaPRIMERA!C2,"")</f>
        <v>45</v>
      </c>
      <c r="C19" s="29">
        <f>IF(DigitaPRIMERA!$C$10&lt;&gt;"",DigitaPRIMERA!$C$10,"")</f>
        <v>36800</v>
      </c>
      <c r="D19" s="42">
        <f>IF(C19="",0,C19*J$17)</f>
        <v>4416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32384</v>
      </c>
      <c r="I19" s="63" t="s">
        <v>20</v>
      </c>
      <c r="J19" s="64">
        <v>0.12</v>
      </c>
      <c r="K19" s="30">
        <f>MROUND(D24+D25,50)</f>
        <v>9950</v>
      </c>
    </row>
    <row r="20" spans="1:11" ht="15" thickBot="1" x14ac:dyDescent="0.4">
      <c r="A20" s="28" t="s">
        <v>98</v>
      </c>
      <c r="B20" s="132">
        <f>IF(DigitaPRIMERA!E2&lt;&gt;"",DigitaPRIMERA!E2,"")</f>
        <v>65</v>
      </c>
      <c r="C20" s="29">
        <f>IF(DigitaPRIMERA!$E$10&lt;&gt;"",DigitaPRIMERA!$E$10,"")</f>
        <v>18400</v>
      </c>
      <c r="D20" s="42">
        <f>IF(C20="",0,C20*J$17)</f>
        <v>2208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16192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 t="str">
        <f>IF(DigitaHONDURAS!C2&lt;&gt;"",DigitaHONDURAS!C2,"")</f>
        <v>00</v>
      </c>
      <c r="C21" s="29">
        <f>IF(DigitaHONDURAS!$C$10&lt;&gt;"",DigitaHONDURAS!$C$10,"")</f>
        <v>10000</v>
      </c>
      <c r="D21" s="42">
        <f>IF(C21="",0,C21*J$18)</f>
        <v>1200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8800</v>
      </c>
    </row>
    <row r="22" spans="1:11" x14ac:dyDescent="0.35">
      <c r="A22" s="28" t="s">
        <v>100</v>
      </c>
      <c r="B22" s="132">
        <f>IF(DigitaHONDURAS!E2&lt;&gt;"",DigitaHONDURAS!E2,"")</f>
        <v>28</v>
      </c>
      <c r="C22" s="29">
        <f>IF(DigitaHONDURAS!$E$10&lt;&gt;"",DigitaHONDURAS!$E$10,"")</f>
        <v>7900</v>
      </c>
      <c r="D22" s="42">
        <f>IF(C22="",0,C22*J$18)</f>
        <v>948</v>
      </c>
      <c r="E22" s="29">
        <f>IF(DigitaHONDURAS!$F$10&lt;&gt;"",DigitaHONDURAS!$F$10,"")</f>
        <v>0</v>
      </c>
      <c r="F22" s="42">
        <f>IF(E22="",0,E22*PREMIOS!F20)</f>
        <v>0</v>
      </c>
      <c r="G22" s="30">
        <f t="shared" si="7"/>
        <v>6952</v>
      </c>
    </row>
    <row r="23" spans="1:11" x14ac:dyDescent="0.35">
      <c r="A23" s="28" t="s">
        <v>101</v>
      </c>
      <c r="B23" s="132" t="str">
        <f>IF(DigitaHONDURAS!G2&lt;&gt;"",DigitaHONDURAS!G2,"")</f>
        <v>02</v>
      </c>
      <c r="C23" s="29">
        <f>IF(DigitaHONDURAS!$G$10&lt;&gt;"",DigitaHONDURAS!$G$10,"")</f>
        <v>2000</v>
      </c>
      <c r="D23" s="42">
        <f>IF(C23="",0,C23*J$18)</f>
        <v>240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1760</v>
      </c>
    </row>
    <row r="24" spans="1:11" x14ac:dyDescent="0.35">
      <c r="A24" s="28" t="s">
        <v>107</v>
      </c>
      <c r="B24" s="132">
        <f>IF(DigitaDOMINICANA!C2&lt;&gt;"",DigitaDOMINICANA!C2,"")</f>
        <v>40</v>
      </c>
      <c r="C24" s="29">
        <f>IF(DigitaDOMINICANA!$C$10&lt;&gt;"",DigitaDOMINICANA!$C$10,"")</f>
        <v>36000</v>
      </c>
      <c r="D24" s="42">
        <f>IF(C24="",0,C24*J$19)</f>
        <v>4320</v>
      </c>
      <c r="E24" s="29">
        <f>IF(DigitaDOMINICANA!$D$10&lt;&gt;"",DigitaDOMINICANA!$D$10,"")</f>
        <v>1000</v>
      </c>
      <c r="F24" s="42">
        <f>IF(E24="",0,E24*PREMIOS!F21)</f>
        <v>85000</v>
      </c>
      <c r="G24" s="30">
        <f t="shared" si="8"/>
        <v>-53320</v>
      </c>
    </row>
    <row r="25" spans="1:11" x14ac:dyDescent="0.35">
      <c r="A25" s="28" t="s">
        <v>108</v>
      </c>
      <c r="B25" s="132">
        <f>IF(DigitaDOMINICANA!E2&lt;&gt;"",DigitaDOMINICANA!E2,"")</f>
        <v>30</v>
      </c>
      <c r="C25" s="29">
        <f>IF(DigitaDOMINICANA!$E$10&lt;&gt;"",DigitaDOMINICANA!$E$10,"")</f>
        <v>47000</v>
      </c>
      <c r="D25" s="42">
        <f>IF(C25="",0,C25*J$19)</f>
        <v>5640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41360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1150800</v>
      </c>
      <c r="D27" s="68">
        <f t="shared" ref="D27:F27" si="9">SUM(D5:D26)</f>
        <v>135945</v>
      </c>
      <c r="E27" s="68">
        <f t="shared" si="9"/>
        <v>8000</v>
      </c>
      <c r="F27" s="68">
        <f t="shared" si="9"/>
        <v>531250</v>
      </c>
      <c r="G27" s="88">
        <f>SUM(G5:G26)</f>
        <v>483605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4" style="21" customWidth="1"/>
    <col min="9" max="12" width="11.54296875" style="21" customWidth="1"/>
    <col min="13" max="13" width="7.453125" style="21" customWidth="1"/>
    <col min="14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15100</v>
      </c>
      <c r="K4" s="231">
        <f t="shared" ref="K4" si="0">D7+D11+D15</f>
        <v>1812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95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68</v>
      </c>
      <c r="C7" s="29">
        <f>IF(DigitaTICA!C11&lt;&gt;"",DigitaTICA!C11,"")</f>
        <v>3000</v>
      </c>
      <c r="D7" s="42">
        <f>IF(C7="",0,C7*J$11)</f>
        <v>360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2640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98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86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1800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32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82</v>
      </c>
      <c r="C15" s="29">
        <f>IF(DigitaTICA!G11&lt;&gt;"",DigitaTICA!G11,"")</f>
        <v>12100</v>
      </c>
      <c r="D15" s="42">
        <f>IF(C15="",0,C15*J$11)</f>
        <v>1452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10648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36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45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65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15100</v>
      </c>
      <c r="D21" s="122">
        <f t="shared" ref="D21:G21" si="5">SUM(D5:D20)</f>
        <v>1812</v>
      </c>
      <c r="E21" s="122">
        <f t="shared" si="5"/>
        <v>0</v>
      </c>
      <c r="F21" s="122">
        <f t="shared" si="5"/>
        <v>0</v>
      </c>
      <c r="G21" s="123">
        <f t="shared" si="5"/>
        <v>13288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15"/>
  <dimension ref="A1:AML28"/>
  <sheetViews>
    <sheetView showGridLines="0" topLeftCell="A8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4" width="11.453125" style="21"/>
    <col min="15" max="15" width="8.17968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89800</v>
      </c>
      <c r="K4" s="231">
        <f>D7+D11+D15</f>
        <v>10776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95</v>
      </c>
      <c r="C5" s="29">
        <f>IF(DigitaNICA!C12&lt;&gt;"",DigitaNICA!C12,"")</f>
        <v>29650</v>
      </c>
      <c r="D5" s="42">
        <f>IF(C5="",0,C5*J$12)</f>
        <v>3558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26092</v>
      </c>
      <c r="I5" s="217" t="s">
        <v>37</v>
      </c>
      <c r="J5" s="221">
        <f>SUM(IF(C5="",0,C5),IF(C9="",0,C9),IF(C13="",0,C13),IF(C17="",0,C17))</f>
        <v>44600</v>
      </c>
      <c r="K5" s="225">
        <f t="shared" ref="K5" si="1">D5+D9+D13+D17</f>
        <v>5352</v>
      </c>
      <c r="L5" s="222">
        <f>F5+F9+F13+F17</f>
        <v>42500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5650</v>
      </c>
      <c r="K6" s="226">
        <f t="shared" ref="K6" si="2">+D8+D12+D16</f>
        <v>565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68</v>
      </c>
      <c r="C7" s="29">
        <f>IF(DigitaTICA!C12&lt;&gt;"",DigitaTICA!C12,"")</f>
        <v>37350</v>
      </c>
      <c r="D7" s="42">
        <f>IF(C7="",0,C7*J$11)</f>
        <v>4482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32868</v>
      </c>
      <c r="I7" s="217" t="s">
        <v>96</v>
      </c>
      <c r="J7" s="223">
        <f>SUM(IF(C19="",0,C19),IF(C20="",0,C20))</f>
        <v>28500</v>
      </c>
      <c r="K7" s="226">
        <f>+D19+D20</f>
        <v>3420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3650</v>
      </c>
      <c r="D8" s="42">
        <f>IF(C8="",0,C8*J$13)</f>
        <v>365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3285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98</v>
      </c>
      <c r="C9" s="29">
        <f>IF(DigitaNICA!E12&lt;&gt;"",DigitaNICA!E12,"")</f>
        <v>14950</v>
      </c>
      <c r="D9" s="42">
        <f>IF(C9="",0,C9*J$12)</f>
        <v>1794</v>
      </c>
      <c r="E9" s="29">
        <f>IF(DigitaNICA!F12&lt;&gt;"",DigitaNICA!F12,"")</f>
        <v>500</v>
      </c>
      <c r="F9" s="42">
        <f>IF(E9="",0,E9*PREMIOS!F9)</f>
        <v>42500</v>
      </c>
      <c r="G9" s="30">
        <f t="shared" si="0"/>
        <v>-29344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86</v>
      </c>
      <c r="C11" s="29">
        <f>IF(DigitaTICA!E12&lt;&gt;"",DigitaTICA!E12,"")</f>
        <v>26900</v>
      </c>
      <c r="D11" s="42">
        <f>IF(C11="",0,C11*J$11)</f>
        <v>3228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23672</v>
      </c>
      <c r="I11" s="60" t="s">
        <v>36</v>
      </c>
      <c r="J11" s="61">
        <v>0.12</v>
      </c>
      <c r="K11" s="62">
        <f>MROUND(D7+D11+D15,50)</f>
        <v>10800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IF(DigitaREVENTADO!E12&lt;&gt;"",DigitaREVENTADO!E12,"")</f>
        <v>2000</v>
      </c>
      <c r="D12" s="42">
        <f>IF(C12="",0,C12*J$13)</f>
        <v>200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1800</v>
      </c>
      <c r="I12" s="63" t="s">
        <v>37</v>
      </c>
      <c r="J12" s="64">
        <v>0.12</v>
      </c>
      <c r="K12" s="30">
        <f>MROUND(D5+D9+D13+D17,50)</f>
        <v>5350</v>
      </c>
    </row>
    <row r="13" spans="1:12" x14ac:dyDescent="0.35">
      <c r="A13" s="28" t="s">
        <v>50</v>
      </c>
      <c r="B13" s="132">
        <f>IF(DigitaNICA!G2&lt;&gt;"",DigitaNICA!G2,"")</f>
        <v>32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550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3400</v>
      </c>
    </row>
    <row r="15" spans="1:12" ht="15" thickBot="1" x14ac:dyDescent="0.4">
      <c r="A15" s="28" t="s">
        <v>61</v>
      </c>
      <c r="B15" s="132">
        <f>IF(DigitaTICA!G2&lt;&gt;"",DigitaTICA!G2,"")</f>
        <v>82</v>
      </c>
      <c r="C15" s="29">
        <f>IF(DigitaTICA!G12&lt;&gt;"",DigitaTICA!G12,"")</f>
        <v>25550</v>
      </c>
      <c r="D15" s="42">
        <f>IF(C15="",0,C15*J$11)</f>
        <v>3066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22484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36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45</v>
      </c>
      <c r="C19" s="29">
        <f>IF(DigitaPRIMERA!$C$12&lt;&gt;"",DigitaPRIMERA!$C$12,"")</f>
        <v>28500</v>
      </c>
      <c r="D19" s="42">
        <f>IF(C19="",0,C19*J$14)</f>
        <v>3420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25080</v>
      </c>
    </row>
    <row r="20" spans="1:7" x14ac:dyDescent="0.35">
      <c r="A20" s="28" t="s">
        <v>98</v>
      </c>
      <c r="B20" s="132">
        <f>IF(DigitaPRIMERA!E2&lt;&gt;"",DigitaPRIMERA!E2,"")</f>
        <v>65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 t="str">
        <f>IF(DigitaHONDURAS!C2&lt;&gt;"",DigitaHONDURAS!C2,"")</f>
        <v>00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28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>02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168550</v>
      </c>
      <c r="D24" s="68">
        <f t="shared" ref="D24:G24" si="4">SUM(D5:D23)</f>
        <v>20113</v>
      </c>
      <c r="E24" s="68">
        <f t="shared" si="4"/>
        <v>500</v>
      </c>
      <c r="F24" s="68">
        <f t="shared" si="4"/>
        <v>42500</v>
      </c>
      <c r="G24" s="88">
        <f t="shared" si="4"/>
        <v>105937</v>
      </c>
    </row>
    <row r="27" spans="1:7" x14ac:dyDescent="0.35">
      <c r="G27" s="21">
        <v>144047</v>
      </c>
    </row>
    <row r="28" spans="1:7" x14ac:dyDescent="0.35">
      <c r="G28" s="141">
        <f>+G24+G27</f>
        <v>249984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119900</v>
      </c>
      <c r="K4" s="231">
        <f t="shared" ref="K4" si="0">D7+D11+D15</f>
        <v>14388</v>
      </c>
      <c r="L4" s="220">
        <f>F7+F11+F15</f>
        <v>25500</v>
      </c>
    </row>
    <row r="5" spans="1:12" ht="15" thickBot="1" x14ac:dyDescent="0.4">
      <c r="A5" s="28" t="s">
        <v>43</v>
      </c>
      <c r="B5" s="132">
        <f>IF(DigitaNICA!C2&lt;&gt;"",DigitaNICA!C2,"")</f>
        <v>95</v>
      </c>
      <c r="C5" s="29">
        <f>IF(DigitaNICA!C13&lt;&gt;"",DigitaNICA!C13,"")</f>
        <v>35100</v>
      </c>
      <c r="D5" s="42">
        <f>IF(C5="",0,C5*J$10)</f>
        <v>4212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30888</v>
      </c>
      <c r="I5" s="218" t="s">
        <v>37</v>
      </c>
      <c r="J5" s="232">
        <f>SUM(IF(C5="",0,C5),IF(C9="",0,C9),IF(C13="",0,C13),IF(C17="",0,C17))</f>
        <v>61600</v>
      </c>
      <c r="K5" s="233">
        <f t="shared" ref="K5" si="2">D5+D9+D13+D17</f>
        <v>7392</v>
      </c>
      <c r="L5" s="234">
        <f>F5+F9+F13+F17</f>
        <v>72000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68</v>
      </c>
      <c r="C7" s="29">
        <f>IF(DigitaTICA!C13&lt;&gt;"",DigitaTICA!C13,"")</f>
        <v>23000</v>
      </c>
      <c r="D7" s="42">
        <f>IF(C7="",0,C7*J$9)</f>
        <v>2760</v>
      </c>
      <c r="E7" s="29">
        <f>IF(DigitaTICA!D13&lt;&gt;"",DigitaTICA!D13,"")</f>
        <v>100</v>
      </c>
      <c r="F7" s="133">
        <f>IF(E7="",0,E7*PREMIOS!F7)</f>
        <v>8500</v>
      </c>
      <c r="G7" s="30">
        <f t="shared" si="1"/>
        <v>11740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98</v>
      </c>
      <c r="C9" s="29">
        <f>IF(DigitaNICA!E13&lt;&gt;"",DigitaNICA!E13,"")</f>
        <v>21100</v>
      </c>
      <c r="D9" s="42">
        <f>IF(C9="",0,C9*J$10)</f>
        <v>2532</v>
      </c>
      <c r="E9" s="29">
        <f>IF(DigitaNICA!F13&lt;&gt;"",DigitaNICA!F13,"")</f>
        <v>900</v>
      </c>
      <c r="F9" s="133">
        <f>IF(E9="",0,E9*PREMIOS!E9)</f>
        <v>72000</v>
      </c>
      <c r="G9" s="30">
        <f t="shared" si="1"/>
        <v>-53432</v>
      </c>
      <c r="I9" s="60" t="s">
        <v>36</v>
      </c>
      <c r="J9" s="61">
        <v>0.12</v>
      </c>
      <c r="K9" s="62">
        <f>MROUND(D7+D11+D15,50)</f>
        <v>14400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7400</v>
      </c>
    </row>
    <row r="11" spans="1:12" ht="15" thickBot="1" x14ac:dyDescent="0.4">
      <c r="A11" s="28" t="s">
        <v>59</v>
      </c>
      <c r="B11" s="132">
        <f>IF(DigitaTICA!E2&lt;&gt;"",DigitaTICA!E2,"")</f>
        <v>86</v>
      </c>
      <c r="C11" s="29">
        <f>IF(DigitaTICA!E13&lt;&gt;"",DigitaTICA!E13,"")</f>
        <v>29950</v>
      </c>
      <c r="D11" s="42">
        <f>IF(C11="",0,C11*J$9)</f>
        <v>3594</v>
      </c>
      <c r="E11" s="29">
        <f>IF(DigitaTICA!F13&lt;&gt;"",DigitaTICA!F13,"")</f>
        <v>200</v>
      </c>
      <c r="F11" s="133">
        <f>IF(E11="",0,E11*PREMIOS!F11)</f>
        <v>17000</v>
      </c>
      <c r="G11" s="30">
        <f t="shared" si="1"/>
        <v>9356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32</v>
      </c>
      <c r="C13" s="29">
        <f>IF(DigitaNICA!G13&lt;&gt;"",DigitaNICA!G13,"")</f>
        <v>1600</v>
      </c>
      <c r="D13" s="42">
        <f>IF(C13="",0,C13*J$10)</f>
        <v>192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1408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82</v>
      </c>
      <c r="C15" s="29">
        <f>IF(DigitaTICA!G13&lt;&gt;"",DigitaTICA!G13,"")</f>
        <v>66950</v>
      </c>
      <c r="D15" s="42">
        <f>IF(C15="",0,C15*J$9)</f>
        <v>8034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58916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36</v>
      </c>
      <c r="C17" s="29">
        <f>IF(DigitaNICA!I13&lt;&gt;"",DigitaNICA!I13,"")</f>
        <v>3800</v>
      </c>
      <c r="D17" s="42">
        <f>IF(C17="",0,C17*J$10)</f>
        <v>456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3344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181500</v>
      </c>
      <c r="D19" s="68">
        <f>MROUND(SUM(D5:D18),50)</f>
        <v>21800</v>
      </c>
      <c r="E19" s="68">
        <f>SUM(E5:E18)</f>
        <v>1200</v>
      </c>
      <c r="F19" s="68">
        <f>SUM(F5:F18)</f>
        <v>97500</v>
      </c>
      <c r="G19" s="88">
        <f>SUM(G5:G18)</f>
        <v>62220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79850</v>
      </c>
      <c r="K4" s="236">
        <f t="shared" ref="K4" si="0">D7+D11+D15</f>
        <v>11977.5</v>
      </c>
      <c r="L4" s="237">
        <f>F7+F11+F15</f>
        <v>40000</v>
      </c>
    </row>
    <row r="5" spans="1:12" x14ac:dyDescent="0.35">
      <c r="A5" s="28" t="s">
        <v>43</v>
      </c>
      <c r="B5" s="132">
        <f>IF(DigitaNICA!C2&lt;&gt;"",DigitaNICA!C2,"")</f>
        <v>95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68</v>
      </c>
      <c r="C7" s="29">
        <f>IF(DigitaTICA!C14&lt;&gt;"",DigitaTICA!C14,"")</f>
        <v>35250</v>
      </c>
      <c r="D7" s="42">
        <f>IF(C7="",0,C7*J$9)</f>
        <v>5287.5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29962.5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98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12000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86</v>
      </c>
      <c r="C11" s="29">
        <f>IF(DigitaTICA!E14&lt;&gt;"",DigitaTICA!E14,"")</f>
        <v>10900</v>
      </c>
      <c r="D11" s="42">
        <f>IF(C11="",0,C11*J$9)</f>
        <v>1635</v>
      </c>
      <c r="E11" s="29">
        <f>IF(DigitaTICA!F14&lt;&gt;"",DigitaTICA!F14,"")</f>
        <v>500</v>
      </c>
      <c r="F11" s="42">
        <f>IF(E11="",0,E11*PREMIOS!E11)</f>
        <v>40000</v>
      </c>
      <c r="G11" s="30">
        <f t="shared" si="1"/>
        <v>-30735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32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82</v>
      </c>
      <c r="C15" s="29">
        <f>IF(DigitaTICA!G14&lt;&gt;"",DigitaTICA!G14,"")</f>
        <v>33700</v>
      </c>
      <c r="D15" s="42">
        <f>IF(C15="",0,C15*J$9)</f>
        <v>5055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28645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36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79850</v>
      </c>
      <c r="D19" s="68">
        <f>MROUND(SUM(D5:D18),50)</f>
        <v>12000</v>
      </c>
      <c r="E19" s="68">
        <f>SUM(E5:E18)</f>
        <v>500</v>
      </c>
      <c r="F19" s="68">
        <f>SUM(F5:F18)</f>
        <v>40000</v>
      </c>
      <c r="G19" s="88">
        <f>SUM(G5:G18)</f>
        <v>27872.5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95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68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98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86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Blanca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32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82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36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87650</v>
      </c>
      <c r="K4" s="231">
        <f>D7+D11+D15</f>
        <v>10518</v>
      </c>
      <c r="L4" s="220">
        <f>F7+F11+F15</f>
        <v>114750</v>
      </c>
    </row>
    <row r="5" spans="1:12" x14ac:dyDescent="0.35">
      <c r="A5" s="28" t="s">
        <v>43</v>
      </c>
      <c r="B5" s="132">
        <f>IF(DigitaNICA!C2&lt;&gt;"",DigitaNICA!C2,"")</f>
        <v>95</v>
      </c>
      <c r="C5" s="29">
        <f>IF(DigitaNICA!C16&lt;&gt;"",DigitaNICA!C16,"")</f>
        <v>7900</v>
      </c>
      <c r="D5" s="42">
        <f>IF(C5="",0,C5*J$12)</f>
        <v>948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6952</v>
      </c>
      <c r="I5" s="63" t="s">
        <v>37</v>
      </c>
      <c r="J5" s="225">
        <f>SUM(IF(C5="",0,C5),IF(C9="",0,C9),IF(C13="",0,C13),IF(C17="",0,C17))</f>
        <v>48950</v>
      </c>
      <c r="K5" s="225">
        <f t="shared" ref="K5" si="1">D5+D9+D13+D17</f>
        <v>5874</v>
      </c>
      <c r="L5" s="222">
        <f>F5+F9+F13+F17</f>
        <v>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5000</v>
      </c>
      <c r="K6" s="226">
        <f t="shared" ref="K6" si="2">+D8+D12+D16</f>
        <v>500</v>
      </c>
      <c r="L6" s="227">
        <f>F8+F12+F16</f>
        <v>200000</v>
      </c>
    </row>
    <row r="7" spans="1:12" x14ac:dyDescent="0.35">
      <c r="A7" s="28" t="s">
        <v>46</v>
      </c>
      <c r="B7" s="132">
        <f>IF(DigitaTICA!C2&lt;&gt;"",DigitaTICA!C2,"")</f>
        <v>68</v>
      </c>
      <c r="C7" s="29">
        <f>IF(DigitaTICA!C16&lt;&gt;"",DigitaTICA!C16,"")</f>
        <v>29850</v>
      </c>
      <c r="D7" s="42">
        <f>IF(C7="",0,C7*J$11)</f>
        <v>3582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26268</v>
      </c>
      <c r="I7" s="63" t="s">
        <v>96</v>
      </c>
      <c r="J7" s="226">
        <f>SUM(IF(C19="",0,C19),IF(C20="",0,C20))</f>
        <v>11500</v>
      </c>
      <c r="K7" s="226">
        <f>+D19+D20</f>
        <v>1380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500</v>
      </c>
      <c r="D8" s="42">
        <f>IF(C8="",0,C8*J$13)</f>
        <v>50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450</v>
      </c>
      <c r="I8" s="65" t="s">
        <v>104</v>
      </c>
      <c r="J8" s="228">
        <f>SUM(IF(C21="",0,C21),IF(C22="",0,C22),IF(C23="",0,C23))</f>
        <v>500</v>
      </c>
      <c r="K8" s="228">
        <f>D21+D22+D23</f>
        <v>60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98</v>
      </c>
      <c r="C9" s="29">
        <f>IF(DigitaNICA!E16&lt;&gt;"",DigitaNICA!E16,"")</f>
        <v>7400</v>
      </c>
      <c r="D9" s="42">
        <f>IF(C9="",0,C9*J$12)</f>
        <v>888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6512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86</v>
      </c>
      <c r="C11" s="29">
        <f>IF(DigitaTICA!E16&lt;&gt;"",DigitaTICA!E16,"")</f>
        <v>15500</v>
      </c>
      <c r="D11" s="42">
        <f>IF(C11="",0,C11*J$11)</f>
        <v>1860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13640</v>
      </c>
      <c r="I11" s="76" t="s">
        <v>36</v>
      </c>
      <c r="J11" s="77">
        <v>0.12</v>
      </c>
      <c r="K11" s="78">
        <f>MROUND(D7+D11+D15,50)</f>
        <v>10500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5850</v>
      </c>
    </row>
    <row r="13" spans="1:12" x14ac:dyDescent="0.35">
      <c r="A13" s="28" t="s">
        <v>50</v>
      </c>
      <c r="B13" s="132">
        <f>IF(DigitaNICA!G2&lt;&gt;"",DigitaNICA!G2,"")</f>
        <v>32</v>
      </c>
      <c r="C13" s="29">
        <f>IF(DigitaNICA!G16&lt;&gt;"",DigitaNICA!G16,"")</f>
        <v>5450</v>
      </c>
      <c r="D13" s="42">
        <f>IF(C13="",0,C13*J$12)</f>
        <v>654</v>
      </c>
      <c r="E13" s="29">
        <f>IF(DigitaNICA!H16&lt;&gt;"",DigitaNICA!H16,"")</f>
        <v>100</v>
      </c>
      <c r="F13" s="133">
        <f>IF(E13="",0,E13*PREMIOS!E13)</f>
        <v>8000</v>
      </c>
      <c r="G13" s="30">
        <f>IF(OR(C13="",E13=""),0,C13-D13-F13)</f>
        <v>-3204</v>
      </c>
      <c r="I13" s="63" t="s">
        <v>38</v>
      </c>
      <c r="J13" s="64">
        <v>0.1</v>
      </c>
      <c r="K13" s="30">
        <f>MROUND(D6+D8+D10+D12+D14+D16+D18,50)</f>
        <v>500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1400</v>
      </c>
    </row>
    <row r="15" spans="1:12" ht="15" thickBot="1" x14ac:dyDescent="0.4">
      <c r="A15" s="28" t="s">
        <v>61</v>
      </c>
      <c r="B15" s="132">
        <f>IF(DigitaTICA!G2&lt;&gt;"",DigitaTICA!G2,"")</f>
        <v>82</v>
      </c>
      <c r="C15" s="29">
        <f>IF(DigitaTICA!G16&lt;&gt;"",DigitaTICA!G16,"")</f>
        <v>42300</v>
      </c>
      <c r="D15" s="42">
        <f>IF(C15="",0,C15*J$11)</f>
        <v>5076</v>
      </c>
      <c r="E15" s="29">
        <f>IF(DigitaTICA!H16&lt;&gt;"",DigitaTICA!H16,"")</f>
        <v>1350</v>
      </c>
      <c r="F15" s="133">
        <f>IF(E15="",0,E15*PREMIOS!F15)</f>
        <v>114750</v>
      </c>
      <c r="G15" s="30">
        <f t="shared" si="3"/>
        <v>-77526</v>
      </c>
      <c r="I15" s="65" t="s">
        <v>104</v>
      </c>
      <c r="J15" s="66">
        <v>0.12</v>
      </c>
      <c r="K15" s="50">
        <f>MROUND(D21+D22+D23,50)</f>
        <v>50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IF(DigitaREVENTADO!G16&lt;&gt;"",DigitaREVENTADO!G16,"")</f>
        <v>4500</v>
      </c>
      <c r="D16" s="42">
        <f>IF(C16="",0,C16*J$13)</f>
        <v>450</v>
      </c>
      <c r="E16" s="29">
        <f>IF(DigitaREVENTADO!H16&lt;&gt;"",DigitaREVENTADO!H16,"")</f>
        <v>1000</v>
      </c>
      <c r="F16" s="133">
        <f>IF(E16="",0,E16*PREMIOS!F16)</f>
        <v>200000</v>
      </c>
      <c r="G16" s="30">
        <f t="shared" si="3"/>
        <v>-195950</v>
      </c>
    </row>
    <row r="17" spans="1:7" x14ac:dyDescent="0.35">
      <c r="A17" s="28" t="s">
        <v>52</v>
      </c>
      <c r="B17" s="132">
        <f>IF(DigitaNICA!I2&lt;&gt;"",DigitaNICA!I2,"")</f>
        <v>36</v>
      </c>
      <c r="C17" s="29">
        <f>IF(DigitaNICA!I16&lt;&gt;"",DigitaNICA!I16,"")</f>
        <v>28200</v>
      </c>
      <c r="D17" s="42">
        <f>IF(C17="",0,C17*J$12)</f>
        <v>3384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24816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45</v>
      </c>
      <c r="C19" s="29">
        <f>IF(DigitaPRIMERA!C16&lt;&gt;"",DigitaPRIMERA!C16,"")</f>
        <v>10800</v>
      </c>
      <c r="D19" s="42">
        <f>IF(C19="",0,C19*J$14)</f>
        <v>1296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9504</v>
      </c>
    </row>
    <row r="20" spans="1:7" x14ac:dyDescent="0.35">
      <c r="A20" s="28" t="s">
        <v>98</v>
      </c>
      <c r="B20" s="132">
        <f>IF(DigitaPRIMERA!E2&lt;&gt;"",DigitaPRIMERA!E2,"")</f>
        <v>65</v>
      </c>
      <c r="C20" s="29">
        <f>IF(DigitaPRIMERA!E16&lt;&gt;"",DigitaPRIMERA!E16,"")</f>
        <v>700</v>
      </c>
      <c r="D20" s="42">
        <f>IF(C20="",0,C20*J$14)</f>
        <v>84</v>
      </c>
      <c r="E20" s="29">
        <f>IF(DigitaPRIMERA!F16&lt;&gt;"",DigitaPRIMERA!F16,"")</f>
        <v>0</v>
      </c>
      <c r="F20" s="42">
        <f>IF(E20="",0,E20*PREMIOS!E19)</f>
        <v>0</v>
      </c>
      <c r="G20" s="30">
        <f t="shared" si="3"/>
        <v>616</v>
      </c>
    </row>
    <row r="21" spans="1:7" x14ac:dyDescent="0.35">
      <c r="A21" s="28" t="s">
        <v>99</v>
      </c>
      <c r="B21" s="132" t="str">
        <f>IF(DigitaHONDURAS!C2&lt;&gt;"",DigitaHONDURAS!C2,"")</f>
        <v>00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28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 t="str">
        <f>IF(DigitaHONDURAS!G2&lt;&gt;"",DigitaHONDURAS!G2,"")</f>
        <v>02</v>
      </c>
      <c r="C23" s="29">
        <f>IF(DigitaHONDURAS!$G$16&lt;&gt;"",DigitaHONDURAS!$G$16,"")</f>
        <v>500</v>
      </c>
      <c r="D23" s="42">
        <f t="shared" si="4"/>
        <v>60</v>
      </c>
      <c r="E23" s="29">
        <f>IF(DigitaHONDURAS!$H$16&lt;&gt;"",DigitaHONDURAS!$H$16,"")</f>
        <v>0</v>
      </c>
      <c r="F23" s="42">
        <f>IF(E23="",0,E23*PREMIOS!E20)</f>
        <v>0</v>
      </c>
      <c r="G23" s="30">
        <f t="shared" si="3"/>
        <v>440</v>
      </c>
    </row>
    <row r="24" spans="1:7" ht="15" thickBot="1" x14ac:dyDescent="0.4">
      <c r="A24" s="121" t="s">
        <v>5</v>
      </c>
      <c r="B24" s="128"/>
      <c r="C24" s="122">
        <f>SUM(C5:C23)</f>
        <v>153600</v>
      </c>
      <c r="D24" s="122">
        <f t="shared" ref="D24:G24" si="5">SUM(D5:D23)</f>
        <v>18332</v>
      </c>
      <c r="E24" s="122">
        <f t="shared" si="5"/>
        <v>2450</v>
      </c>
      <c r="F24" s="122">
        <f t="shared" si="5"/>
        <v>322750</v>
      </c>
      <c r="G24" s="123">
        <f t="shared" si="5"/>
        <v>-187482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545800</v>
      </c>
      <c r="K4" s="231">
        <f t="shared" ref="K4" si="0">D7+D11+D15</f>
        <v>65496</v>
      </c>
      <c r="L4" s="220">
        <f>F7+F11+F15</f>
        <v>289000</v>
      </c>
    </row>
    <row r="5" spans="1:12" x14ac:dyDescent="0.35">
      <c r="A5" s="28" t="s">
        <v>43</v>
      </c>
      <c r="B5" s="132">
        <f>IF(DigitaNICA!C2&lt;&gt;"",DigitaNICA!C2,"")</f>
        <v>95</v>
      </c>
      <c r="C5" s="89">
        <f>IF(DigitaNICA!C17&lt;&gt;"",DigitaNICA!C17,"")</f>
        <v>131350</v>
      </c>
      <c r="D5" s="42">
        <f>IF(C5="",0,C5*J$16)</f>
        <v>15762</v>
      </c>
      <c r="E5" s="89">
        <f>IF(DigitaNICA!D17&lt;&gt;"",DigitaNICA!D17,"")</f>
        <v>650</v>
      </c>
      <c r="F5" s="42">
        <f>IF(E5="",0,E5*PREMIOS!F5)</f>
        <v>55250</v>
      </c>
      <c r="G5" s="90">
        <f t="shared" ref="G5:G12" si="1">IF(OR(C5="",E5=""),0,C5-D5-F5)</f>
        <v>60338</v>
      </c>
      <c r="I5" s="217" t="s">
        <v>37</v>
      </c>
      <c r="J5" s="221">
        <f>SUM(IF(C5="",0,C5),IF(C9="",0,C9),IF(C13="",0,C13),IF(C17="",0,C17))</f>
        <v>497050</v>
      </c>
      <c r="K5" s="225">
        <f t="shared" ref="K5" si="2">D5+D9+D13+D17</f>
        <v>59646</v>
      </c>
      <c r="L5" s="222">
        <f>F5+F9+F13+F17</f>
        <v>361250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71800</v>
      </c>
      <c r="K6" s="226">
        <f t="shared" ref="K6" si="3">+D8+D12+D16</f>
        <v>7180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68</v>
      </c>
      <c r="C7" s="89">
        <f>IF(DigitaTICA!C17&lt;&gt;"",DigitaTICA!C17,"")</f>
        <v>180150</v>
      </c>
      <c r="D7" s="42">
        <f>IF(C7="",0,C7*J$15)</f>
        <v>21618</v>
      </c>
      <c r="E7" s="89">
        <f>IF(DigitaTICA!D17&lt;&gt;"",DigitaTICA!D17,"")</f>
        <v>450</v>
      </c>
      <c r="F7" s="42">
        <f>IF(E7="",0,E7*PREMIOS!F7)</f>
        <v>38250</v>
      </c>
      <c r="G7" s="90">
        <f t="shared" si="1"/>
        <v>120282</v>
      </c>
      <c r="I7" s="217" t="s">
        <v>96</v>
      </c>
      <c r="J7" s="223">
        <f>SUM(IF(C19="",0,C19),IF(C20="",0,C20))</f>
        <v>158150</v>
      </c>
      <c r="K7" s="226">
        <f>+D19+D20</f>
        <v>18978</v>
      </c>
      <c r="L7" s="227">
        <f>+F19+F20</f>
        <v>195500</v>
      </c>
    </row>
    <row r="8" spans="1:12" x14ac:dyDescent="0.35">
      <c r="A8" s="28" t="s">
        <v>47</v>
      </c>
      <c r="B8" s="132" t="str">
        <f>IF(B7&lt;&gt;"",PREMIOS!B8,"")</f>
        <v>Blanca</v>
      </c>
      <c r="C8" s="89">
        <f>IF(DigitaREVENTADO!C17&lt;&gt;"",DigitaREVENTADO!C17,"")</f>
        <v>28550</v>
      </c>
      <c r="D8" s="42">
        <f>IF(C8="",0,C8*J$17)</f>
        <v>2855</v>
      </c>
      <c r="E8" s="89">
        <f>IF(DigitaREVENTADO!D17&lt;&gt;"",DigitaREVENTADO!D17,"")</f>
        <v>0</v>
      </c>
      <c r="F8" s="42">
        <f>IF(E8="",0,E8*PREMIOS!F8)</f>
        <v>0</v>
      </c>
      <c r="G8" s="90">
        <f t="shared" si="1"/>
        <v>25695</v>
      </c>
      <c r="I8" s="217" t="s">
        <v>104</v>
      </c>
      <c r="J8" s="223">
        <f>SUM(IF(C21="",0,C21),IF(C22="",0,C22),IF(C23="",0,C23))</f>
        <v>87500</v>
      </c>
      <c r="K8" s="226">
        <f t="shared" ref="K8" si="4">D21+D22+D23</f>
        <v>10500</v>
      </c>
      <c r="L8" s="227">
        <f>F21+F22+F23</f>
        <v>85000</v>
      </c>
    </row>
    <row r="9" spans="1:12" x14ac:dyDescent="0.35">
      <c r="A9" s="28" t="s">
        <v>48</v>
      </c>
      <c r="B9" s="132">
        <f>IF(DigitaNICA!E2&lt;&gt;"",DigitaNICA!E2,"")</f>
        <v>98</v>
      </c>
      <c r="C9" s="89">
        <f>IF(DigitaNICA!E17&lt;&gt;"",DigitaNICA!E17,"")</f>
        <v>101800</v>
      </c>
      <c r="D9" s="42">
        <f>IF(C9="",0,C9*J$16)</f>
        <v>12216</v>
      </c>
      <c r="E9" s="89">
        <f>IF(DigitaNICA!F17&lt;&gt;"",DigitaNICA!F17,"")</f>
        <v>200</v>
      </c>
      <c r="F9" s="42">
        <f>IF(E9="",0,E9*PREMIOS!F9)</f>
        <v>17000</v>
      </c>
      <c r="G9" s="90">
        <f t="shared" si="1"/>
        <v>72584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86</v>
      </c>
      <c r="C11" s="89">
        <f>IF(DigitaTICA!E17&lt;&gt;"",DigitaTICA!E17,"")</f>
        <v>117200</v>
      </c>
      <c r="D11" s="42">
        <f>IF(C11="",0,C11*J$15)</f>
        <v>14064</v>
      </c>
      <c r="E11" s="89">
        <f>IF(DigitaTICA!F17&lt;&gt;"",DigitaTICA!F17,"")</f>
        <v>1300</v>
      </c>
      <c r="F11" s="42">
        <f>IF(E11="",0,E11*PREMIOS!F11)</f>
        <v>110500</v>
      </c>
      <c r="G11" s="90">
        <f t="shared" si="1"/>
        <v>-7364</v>
      </c>
    </row>
    <row r="12" spans="1:12" x14ac:dyDescent="0.35">
      <c r="A12" s="28" t="s">
        <v>60</v>
      </c>
      <c r="B12" s="132" t="str">
        <f>IF(B11&lt;&gt;"",PREMIOS!B12,"")</f>
        <v>Blanca</v>
      </c>
      <c r="C12" s="89">
        <f>IF(DigitaREVENTADO!E17&lt;&gt;"",DigitaREVENTADO!E17,"")</f>
        <v>15050</v>
      </c>
      <c r="D12" s="42">
        <f>IF(C12="",0,C12*J$17)</f>
        <v>1505</v>
      </c>
      <c r="E12" s="89">
        <f>IF(DigitaREVENTADO!F17&lt;&gt;"",DigitaREVENTADO!F17,"")</f>
        <v>200</v>
      </c>
      <c r="F12" s="42">
        <f>IF(E12="",0,E12*PREMIOS!F12)</f>
        <v>0</v>
      </c>
      <c r="G12" s="90">
        <f t="shared" si="1"/>
        <v>13545</v>
      </c>
    </row>
    <row r="13" spans="1:12" ht="15" thickBot="1" x14ac:dyDescent="0.4">
      <c r="A13" s="28" t="s">
        <v>50</v>
      </c>
      <c r="B13" s="132">
        <f>IF(DigitaNICA!G2&lt;&gt;"",DigitaNICA!G2,"")</f>
        <v>32</v>
      </c>
      <c r="C13" s="89">
        <f>IF(DigitaNICA!G17&lt;&gt;"",DigitaNICA!G17,"")</f>
        <v>69550</v>
      </c>
      <c r="D13" s="42">
        <f>IF(C13="",0,C13*J$16)</f>
        <v>8346</v>
      </c>
      <c r="E13" s="89">
        <f>IF(DigitaNICA!H17&lt;&gt;"",DigitaNICA!H17,"")</f>
        <v>200</v>
      </c>
      <c r="F13" s="42">
        <f>IF(E13="",0,E13*PREMIOS!F13)</f>
        <v>17000</v>
      </c>
      <c r="G13" s="90">
        <f>IF(OR(C13="",E13=""),0,C13-D13-F13)</f>
        <v>44204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82</v>
      </c>
      <c r="C15" s="89">
        <f>IF(DigitaTICA!G17&lt;&gt;"",DigitaTICA!G17,"")</f>
        <v>248450</v>
      </c>
      <c r="D15" s="42">
        <f>IF(C15="",0,C15*J$15)</f>
        <v>29814</v>
      </c>
      <c r="E15" s="89">
        <f>IF(DigitaTICA!H17&lt;&gt;"",DigitaTICA!H17,"")</f>
        <v>1650</v>
      </c>
      <c r="F15" s="42">
        <f>IF(E15="",0,E15*PREMIOS!F15)</f>
        <v>140250</v>
      </c>
      <c r="G15" s="90">
        <f t="shared" si="6"/>
        <v>78386</v>
      </c>
      <c r="I15" s="76" t="s">
        <v>36</v>
      </c>
      <c r="J15" s="77">
        <v>0.12</v>
      </c>
      <c r="K15" s="78">
        <f>MROUND(D7+D11+D15,50)</f>
        <v>65500</v>
      </c>
    </row>
    <row r="16" spans="1:12" x14ac:dyDescent="0.35">
      <c r="A16" s="28" t="s">
        <v>62</v>
      </c>
      <c r="B16" s="132" t="str">
        <f>IF(B15&lt;&gt;"",PREMIOS!B16,"")</f>
        <v>Roja</v>
      </c>
      <c r="C16" s="89">
        <f>IF(DigitaREVENTADO!G17&lt;&gt;"",DigitaREVENTADO!G17,"")</f>
        <v>28200</v>
      </c>
      <c r="D16" s="42">
        <f>IF(C16="",0,C16*J$17)</f>
        <v>2820</v>
      </c>
      <c r="E16" s="89">
        <f>IF(DigitaREVENTADO!H17&lt;&gt;"",DigitaREVENTADO!H17,"")</f>
        <v>0</v>
      </c>
      <c r="F16" s="42">
        <f>IF(E16="",0,E16*PREMIOS!F16)</f>
        <v>0</v>
      </c>
      <c r="G16" s="90">
        <f t="shared" si="6"/>
        <v>25380</v>
      </c>
      <c r="I16" s="63" t="s">
        <v>37</v>
      </c>
      <c r="J16" s="64">
        <v>0.12</v>
      </c>
      <c r="K16" s="30">
        <f>MROUND(D5+D9+D13+D17,50)</f>
        <v>59650</v>
      </c>
    </row>
    <row r="17" spans="1:11" x14ac:dyDescent="0.35">
      <c r="A17" s="28" t="s">
        <v>52</v>
      </c>
      <c r="B17" s="132">
        <f>IF(DigitaNICA!I2&lt;&gt;"",DigitaNICA!I2,"")</f>
        <v>36</v>
      </c>
      <c r="C17" s="89">
        <f>IF(DigitaNICA!I17&lt;&gt;"",DigitaNICA!I17,"")</f>
        <v>194350</v>
      </c>
      <c r="D17" s="42">
        <f>IF(C17="",0,C17*J$16)</f>
        <v>23322</v>
      </c>
      <c r="E17" s="89">
        <f>IF(DigitaNICA!J17&lt;&gt;"",DigitaNICA!J17,"")</f>
        <v>3200</v>
      </c>
      <c r="F17" s="42">
        <f>IF(E17="",0,E17*PREMIOS!F17)</f>
        <v>272000</v>
      </c>
      <c r="G17" s="90">
        <f t="shared" si="6"/>
        <v>-100972</v>
      </c>
      <c r="I17" s="63" t="s">
        <v>38</v>
      </c>
      <c r="J17" s="64">
        <v>0.1</v>
      </c>
      <c r="K17" s="30">
        <f>MROUND(D6+D8+D10+D12+D14+D16+D18,50)</f>
        <v>7200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19000</v>
      </c>
    </row>
    <row r="19" spans="1:11" x14ac:dyDescent="0.35">
      <c r="A19" s="28" t="s">
        <v>97</v>
      </c>
      <c r="B19" s="132">
        <f>IF(DigitaPRIMERA!C2&lt;&gt;"",DigitaPRIMERA!C2,"")</f>
        <v>45</v>
      </c>
      <c r="C19" s="29">
        <f>IF(DigitaPRIMERA!$C$17&lt;&gt;"",DigitaPRIMERA!$C$17,"")</f>
        <v>111150</v>
      </c>
      <c r="D19" s="42">
        <f>IF(C19="",0,C19*J$18)</f>
        <v>13338</v>
      </c>
      <c r="E19" s="29">
        <f>IF(DigitaPRIMERA!$D$17&lt;&gt;"",DigitaPRIMERA!$D$17,"")</f>
        <v>1100</v>
      </c>
      <c r="F19" s="42">
        <f>IF(E19="",0,E19*PREMIOS!F19)</f>
        <v>93500</v>
      </c>
      <c r="G19" s="30">
        <f t="shared" si="6"/>
        <v>4312</v>
      </c>
      <c r="I19" s="63" t="s">
        <v>104</v>
      </c>
      <c r="J19" s="64">
        <v>0.12</v>
      </c>
      <c r="K19" s="30">
        <f>MROUND(D21+D22+D23,50)</f>
        <v>10500</v>
      </c>
    </row>
    <row r="20" spans="1:11" x14ac:dyDescent="0.35">
      <c r="A20" s="28" t="s">
        <v>98</v>
      </c>
      <c r="B20" s="132">
        <f>IF(DigitaPRIMERA!E2&lt;&gt;"",DigitaPRIMERA!E2,"")</f>
        <v>65</v>
      </c>
      <c r="C20" s="29">
        <f>IF(DigitaPRIMERA!$E$17&lt;&gt;"",DigitaPRIMERA!$E$17,"")</f>
        <v>47000</v>
      </c>
      <c r="D20" s="42">
        <f>IF(C20="",0,C20*J$18)</f>
        <v>5640</v>
      </c>
      <c r="E20" s="29">
        <f>IF(DigitaPRIMERA!$F$17&lt;&gt;"",DigitaPRIMERA!$F$17,"")</f>
        <v>1200</v>
      </c>
      <c r="F20" s="42">
        <f>IF(E20="",0,E20*PREMIOS!F19)</f>
        <v>102000</v>
      </c>
      <c r="G20" s="30">
        <f t="shared" si="6"/>
        <v>-60640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 t="str">
        <f>IF(DigitaHONDURAS!C2&lt;&gt;"",DigitaHONDURAS!C2,"")</f>
        <v>00</v>
      </c>
      <c r="C21" s="29">
        <f>IF(DigitaHONDURAS!$C$17&lt;&gt;"",DigitaHONDURAS!$C$17,"")</f>
        <v>47350</v>
      </c>
      <c r="D21" s="42">
        <f>IF(C21="",0,C21*J$19)</f>
        <v>5682</v>
      </c>
      <c r="E21" s="29">
        <f>IF(DigitaHONDURAS!$D$17&lt;&gt;"",DigitaHONDURAS!$D$17,"")</f>
        <v>600</v>
      </c>
      <c r="F21" s="42">
        <f>IF(E21="",0,E21*PREMIOS!F20)</f>
        <v>51000</v>
      </c>
      <c r="G21" s="30">
        <f t="shared" si="6"/>
        <v>-9332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28</v>
      </c>
      <c r="C22" s="29">
        <f>IF(DigitaHONDURAS!$E$17&lt;&gt;"",DigitaHONDURAS!$E$17,"")</f>
        <v>21100</v>
      </c>
      <c r="D22" s="42">
        <f>IF(C22="",0,C22*J$19)</f>
        <v>2532</v>
      </c>
      <c r="E22" s="29">
        <f>IF(DigitaHONDURAS!$F$17&lt;&gt;"",DigitaHONDURAS!$F$17,"")</f>
        <v>200</v>
      </c>
      <c r="F22" s="42">
        <f>IF(E22="",0,E22*PREMIOS!F20)</f>
        <v>17000</v>
      </c>
      <c r="G22" s="30">
        <f t="shared" si="6"/>
        <v>1568</v>
      </c>
    </row>
    <row r="23" spans="1:11" x14ac:dyDescent="0.35">
      <c r="A23" s="28" t="s">
        <v>101</v>
      </c>
      <c r="B23" s="132" t="str">
        <f>IF(DigitaHONDURAS!G2&lt;&gt;"",DigitaHONDURAS!G2,"")</f>
        <v>02</v>
      </c>
      <c r="C23" s="29">
        <f>IF(DigitaHONDURAS!$G$17&lt;&gt;"",DigitaHONDURAS!$G$17,"")</f>
        <v>19050</v>
      </c>
      <c r="D23" s="42">
        <f>IF(C23="",0,C23*J$19)</f>
        <v>2286</v>
      </c>
      <c r="E23" s="29">
        <f>IF(DigitaHONDURAS!$H$17&lt;&gt;"",DigitaHONDURAS!$H$17,"")</f>
        <v>200</v>
      </c>
      <c r="F23" s="42">
        <f>IF(E23="",0,E23*PREMIOS!F20)</f>
        <v>17000</v>
      </c>
      <c r="G23" s="30">
        <f t="shared" si="6"/>
        <v>-236</v>
      </c>
    </row>
    <row r="24" spans="1:11" x14ac:dyDescent="0.35">
      <c r="A24" s="28" t="s">
        <v>102</v>
      </c>
      <c r="B24" s="132">
        <f>IF(DigitaDOMINICANA!C2&lt;&gt;"",DigitaDOMINICANA!C2,"")</f>
        <v>40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30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1360300</v>
      </c>
      <c r="D27" s="68">
        <f t="shared" ref="D27:G27" si="7">SUM(D5:D26)</f>
        <v>161800</v>
      </c>
      <c r="E27" s="68">
        <f t="shared" si="7"/>
        <v>11150</v>
      </c>
      <c r="F27" s="68">
        <f t="shared" si="7"/>
        <v>930750</v>
      </c>
      <c r="G27" s="88">
        <f t="shared" si="7"/>
        <v>267750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187950</v>
      </c>
      <c r="K4" s="231">
        <f t="shared" ref="K4" si="0">D7+D11+D15</f>
        <v>22554</v>
      </c>
      <c r="L4" s="220">
        <f>F7+F11+F15</f>
        <v>68000</v>
      </c>
    </row>
    <row r="5" spans="1:12" x14ac:dyDescent="0.35">
      <c r="A5" s="28" t="str">
        <f>+Vendedor1!A5</f>
        <v>Nica 11am</v>
      </c>
      <c r="B5" s="132">
        <f>IF(DigitaNICA!C2&lt;&gt;"",DigitaNICA!C2,"")</f>
        <v>95</v>
      </c>
      <c r="C5" s="29">
        <f>IF(DigitaNICA!C18&lt;&gt;"",DigitaNICA!C18,"")</f>
        <v>67600</v>
      </c>
      <c r="D5" s="42">
        <f>IF(C5="",0,C5*J$16)</f>
        <v>8112</v>
      </c>
      <c r="E5" s="29">
        <f>IF(DigitaNICA!D18&lt;&gt;"",DigitaNICA!D18,"")</f>
        <v>0</v>
      </c>
      <c r="F5" s="42">
        <f>IF(E5="",0,E5*PREMIOS!F5)</f>
        <v>0</v>
      </c>
      <c r="G5" s="30">
        <f t="shared" ref="G5:G12" si="1">IF(OR(C5="",E5=""),0,C5-D5-F5)</f>
        <v>59488</v>
      </c>
      <c r="I5" s="217" t="s">
        <v>37</v>
      </c>
      <c r="J5" s="221">
        <f>SUM(IF(C5="",0,C5),IF(C9="",0,C9),IF(C13="",0,C13),IF(C17="",0,C17))</f>
        <v>194300</v>
      </c>
      <c r="K5" s="225">
        <f t="shared" ref="K5" si="2">D5+D9+D13+D17</f>
        <v>23316</v>
      </c>
      <c r="L5" s="222">
        <f>F5+F9+F13+F17</f>
        <v>63750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68450</v>
      </c>
      <c r="K6" s="226">
        <f t="shared" ref="K6" si="3">+D8+D12+D16</f>
        <v>6845</v>
      </c>
      <c r="L6" s="227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68</v>
      </c>
      <c r="C7" s="29">
        <f>IF(DigitaTICA!C18&lt;&gt;"",DigitaTICA!C18,"")</f>
        <v>55600</v>
      </c>
      <c r="D7" s="42">
        <f>IF(C7="",0,C7*J$15)</f>
        <v>6672</v>
      </c>
      <c r="E7" s="29">
        <f>IF(DigitaTICA!D18&lt;&gt;"",DigitaTICA!D18,"")</f>
        <v>400</v>
      </c>
      <c r="F7" s="42">
        <f>IF(E7="",0,E7*PREMIOS!F7)</f>
        <v>34000</v>
      </c>
      <c r="G7" s="30">
        <f t="shared" si="1"/>
        <v>14928</v>
      </c>
      <c r="I7" s="217" t="s">
        <v>96</v>
      </c>
      <c r="J7" s="223">
        <f>SUM(IF(C19="",0,C19),IF(C20="",0,C20))</f>
        <v>113750</v>
      </c>
      <c r="K7" s="226">
        <f>+D19+D20</f>
        <v>13650</v>
      </c>
      <c r="L7" s="227">
        <f>+F19+F20</f>
        <v>178500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>
        <f>IF(DigitaREVENTADO!C18&lt;&gt;"",DigitaREVENTADO!C18,"")</f>
        <v>21000</v>
      </c>
      <c r="D8" s="42">
        <f>IF(C8="",0,C8*J$17)</f>
        <v>2100</v>
      </c>
      <c r="E8" s="29">
        <f>IF(DigitaREVENTADO!D18&lt;&gt;"",DigitaREVENTADO!D18,"")</f>
        <v>300</v>
      </c>
      <c r="F8" s="42">
        <f>IF(E8="",0,E8*PREMIOS!F8)</f>
        <v>0</v>
      </c>
      <c r="G8" s="30">
        <f t="shared" si="1"/>
        <v>18900</v>
      </c>
      <c r="I8" s="217" t="s">
        <v>104</v>
      </c>
      <c r="J8" s="223">
        <f>SUM(IF(C21="",0,C21),IF(C22="",0,C22),IF(C23="",0,C23))</f>
        <v>28600</v>
      </c>
      <c r="K8" s="226">
        <f t="shared" ref="K8" si="4">D21+D22+D23</f>
        <v>3432</v>
      </c>
      <c r="L8" s="227">
        <f>F21+F22+F23</f>
        <v>29750</v>
      </c>
    </row>
    <row r="9" spans="1:12" x14ac:dyDescent="0.35">
      <c r="A9" s="28" t="str">
        <f>+Vendedor1!A9</f>
        <v>Nica 3pm</v>
      </c>
      <c r="B9" s="132">
        <f>IF(DigitaNICA!E2&lt;&gt;"",DigitaNICA!E2,"")</f>
        <v>98</v>
      </c>
      <c r="C9" s="29">
        <f>IF(DigitaNICA!E18&lt;&gt;"",DigitaNICA!E18,"")</f>
        <v>56750</v>
      </c>
      <c r="D9" s="42">
        <f>IF(C9="",0,C9*J$16)</f>
        <v>6810</v>
      </c>
      <c r="E9" s="29">
        <f>IF(DigitaNICA!F18&lt;&gt;"",DigitaNICA!F18,"")</f>
        <v>300</v>
      </c>
      <c r="F9" s="42">
        <f>IF(E9="",0,E9*PREMIOS!F9)</f>
        <v>25500</v>
      </c>
      <c r="G9" s="30">
        <f t="shared" si="1"/>
        <v>24440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86</v>
      </c>
      <c r="C11" s="29">
        <f>IF(DigitaTICA!E18&lt;&gt;"",DigitaTICA!E18,"")</f>
        <v>63550</v>
      </c>
      <c r="D11" s="42">
        <f>IF(C11="",0,C11*J$15)</f>
        <v>7626</v>
      </c>
      <c r="E11" s="29">
        <f>IF(DigitaTICA!F18&lt;&gt;"",DigitaTICA!F18,"")</f>
        <v>400</v>
      </c>
      <c r="F11" s="42">
        <f>IF(E11="",0,E11*PREMIOS!F11)</f>
        <v>34000</v>
      </c>
      <c r="G11" s="30">
        <f t="shared" si="1"/>
        <v>21924</v>
      </c>
    </row>
    <row r="12" spans="1:12" x14ac:dyDescent="0.35">
      <c r="A12" s="28" t="s">
        <v>60</v>
      </c>
      <c r="B12" s="132" t="str">
        <f>IF(B11&lt;&gt;"",PREMIOS!B12,"")</f>
        <v>Blanca</v>
      </c>
      <c r="C12" s="29">
        <f>IF(DigitaREVENTADO!E18&lt;&gt;"",DigitaREVENTADO!E18,"")</f>
        <v>20450</v>
      </c>
      <c r="D12" s="42">
        <f>IF(C12="",0,C12*J$17)</f>
        <v>2045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18405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32</v>
      </c>
      <c r="C13" s="29">
        <f>IF(DigitaNICA!G18&lt;&gt;"",DigitaNICA!G18,"")</f>
        <v>61200</v>
      </c>
      <c r="D13" s="42">
        <f>IF(C13="",0,C13*J$16)</f>
        <v>7344</v>
      </c>
      <c r="E13" s="29">
        <f>IF(DigitaNICA!H18&lt;&gt;"",DigitaNICA!H18,"")</f>
        <v>450</v>
      </c>
      <c r="F13" s="42">
        <f>IF(E13="",0,E13*PREMIOS!F13)</f>
        <v>38250</v>
      </c>
      <c r="G13" s="30">
        <f>IF(OR(C13="",E13=""),0,C13-D13-F13)</f>
        <v>15606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82</v>
      </c>
      <c r="C15" s="29">
        <f>IF(DigitaTICA!G18&lt;&gt;"",DigitaTICA!G18,"")</f>
        <v>68800</v>
      </c>
      <c r="D15" s="42">
        <f>IF(C15="",0,C15*J$15)</f>
        <v>8256</v>
      </c>
      <c r="E15" s="29">
        <f>IF(DigitaTICA!H18&lt;&gt;"",DigitaTICA!H18,"")</f>
        <v>0</v>
      </c>
      <c r="F15" s="42">
        <f>IF(E15="",0,E15*PREMIOS!F15)</f>
        <v>0</v>
      </c>
      <c r="G15" s="30">
        <f t="shared" si="6"/>
        <v>60544</v>
      </c>
      <c r="I15" s="76" t="s">
        <v>36</v>
      </c>
      <c r="J15" s="77">
        <v>0.12</v>
      </c>
      <c r="K15" s="78">
        <f>MROUND(D7+D11+D15,50)</f>
        <v>22550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Roja</v>
      </c>
      <c r="C16" s="29">
        <f>IF(DigitaREVENTADO!G18&lt;&gt;"",DigitaREVENTADO!G18,"")</f>
        <v>27000</v>
      </c>
      <c r="D16" s="42">
        <f>IF(C16="",0,C16*J$17)</f>
        <v>2700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24300</v>
      </c>
      <c r="I16" s="63" t="s">
        <v>37</v>
      </c>
      <c r="J16" s="64">
        <v>0.12</v>
      </c>
      <c r="K16" s="30">
        <f>MROUND(D5+D9+D13+D17,50)</f>
        <v>23300</v>
      </c>
    </row>
    <row r="17" spans="1:11" x14ac:dyDescent="0.35">
      <c r="A17" s="28" t="str">
        <f>+Vendedor1!A17</f>
        <v>Nica 9pm</v>
      </c>
      <c r="B17" s="132">
        <f>IF(DigitaNICA!I2&lt;&gt;"",DigitaNICA!I2,"")</f>
        <v>36</v>
      </c>
      <c r="C17" s="29">
        <f>IF(DigitaNICA!I18&lt;&gt;"",DigitaNICA!I18,"")</f>
        <v>8750</v>
      </c>
      <c r="D17" s="42">
        <f>IF(C17="",0,C17*J$16)</f>
        <v>1050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7700</v>
      </c>
      <c r="I17" s="63" t="s">
        <v>38</v>
      </c>
      <c r="J17" s="64">
        <v>0.1</v>
      </c>
      <c r="K17" s="30">
        <f>MROUND(D6+D8+D10+D12+D14+D16+D18,50)</f>
        <v>6850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13650</v>
      </c>
    </row>
    <row r="19" spans="1:11" x14ac:dyDescent="0.35">
      <c r="A19" s="28" t="s">
        <v>97</v>
      </c>
      <c r="B19" s="132">
        <f>IF(DigitaPRIMERA!C2&lt;&gt;"",DigitaPRIMERA!C2,"")</f>
        <v>45</v>
      </c>
      <c r="C19" s="29">
        <f>IF(DigitaPRIMERA!$C$18&lt;&gt;"",DigitaPRIMERA!$C$18,"")</f>
        <v>59900</v>
      </c>
      <c r="D19" s="42">
        <f>IF(C19="",0,C19*J$18)</f>
        <v>7188</v>
      </c>
      <c r="E19" s="29">
        <f>IF(DigitaPRIMERA!$D$18&lt;&gt;"",DigitaPRIMERA!$D$18,"")</f>
        <v>1500</v>
      </c>
      <c r="F19" s="42">
        <f>IF(E19="",0,E19*PREMIOS!F19)</f>
        <v>127500</v>
      </c>
      <c r="G19" s="30">
        <f t="shared" si="6"/>
        <v>-74788</v>
      </c>
      <c r="I19" s="63" t="s">
        <v>104</v>
      </c>
      <c r="J19" s="64">
        <v>0.12</v>
      </c>
      <c r="K19" s="30">
        <f>MROUND(D21+D22+D23,50)</f>
        <v>3450</v>
      </c>
    </row>
    <row r="20" spans="1:11" x14ac:dyDescent="0.35">
      <c r="A20" s="28" t="s">
        <v>98</v>
      </c>
      <c r="B20" s="132">
        <f>IF(DigitaPRIMERA!E2&lt;&gt;"",DigitaPRIMERA!E2,"")</f>
        <v>65</v>
      </c>
      <c r="C20" s="29">
        <f>IF(DigitaPRIMERA!$E$18&lt;&gt;"",DigitaPRIMERA!$E$18,"")</f>
        <v>53850</v>
      </c>
      <c r="D20" s="42">
        <f>IF(C20="",0,C20*J$18)</f>
        <v>6462</v>
      </c>
      <c r="E20" s="29">
        <f>IF(DigitaPRIMERA!$F$18&lt;&gt;"",DigitaPRIMERA!$F$18,"")</f>
        <v>600</v>
      </c>
      <c r="F20" s="42">
        <f>IF(E20="",0,E20*PREMIOS!F19)</f>
        <v>51000</v>
      </c>
      <c r="G20" s="30">
        <f t="shared" si="6"/>
        <v>-3612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 t="str">
        <f>IF(DigitaHONDURAS!C2&lt;&gt;"",DigitaHONDURAS!C2,"")</f>
        <v>00</v>
      </c>
      <c r="C21" s="29">
        <f>IF(DigitaHONDURAS!$C$18&lt;&gt;"",DigitaHONDURAS!$C$18,"")</f>
        <v>12800</v>
      </c>
      <c r="D21" s="42">
        <f>IF(C21="",0,C21*J$19)</f>
        <v>1536</v>
      </c>
      <c r="E21" s="29">
        <f>IF(DigitaHONDURAS!$D$18&lt;&gt;"",DigitaHONDURAS!$D$18,"")</f>
        <v>200</v>
      </c>
      <c r="F21" s="42">
        <f>IF(E21="",0,E21*PREMIOS!F20)</f>
        <v>17000</v>
      </c>
      <c r="G21" s="30">
        <f t="shared" si="6"/>
        <v>-5736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28</v>
      </c>
      <c r="C22" s="29">
        <f>IF(DigitaHONDURAS!$E$18&lt;&gt;"",DigitaHONDURAS!$E$18,"")</f>
        <v>8200</v>
      </c>
      <c r="D22" s="42">
        <f>IF(C22="",0,C22*J$19)</f>
        <v>984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7216</v>
      </c>
    </row>
    <row r="23" spans="1:11" x14ac:dyDescent="0.35">
      <c r="A23" s="28" t="s">
        <v>101</v>
      </c>
      <c r="B23" s="132" t="str">
        <f>IF(DigitaHONDURAS!G2&lt;&gt;"",DigitaHONDURAS!G2,"")</f>
        <v>02</v>
      </c>
      <c r="C23" s="29">
        <f>IF(DigitaHONDURAS!$G$18&lt;&gt;"",DigitaHONDURAS!$G$18,"")</f>
        <v>7600</v>
      </c>
      <c r="D23" s="42">
        <f>IF(C23="",0,C23*J$19)</f>
        <v>912</v>
      </c>
      <c r="E23" s="29">
        <f>IF(DigitaHONDURAS!$H$18&lt;&gt;"",DigitaHONDURAS!$H$18,"")</f>
        <v>150</v>
      </c>
      <c r="F23" s="42">
        <f>IF(E23="",0,E23*PREMIOS!F20)</f>
        <v>12750</v>
      </c>
      <c r="G23" s="30">
        <f t="shared" si="6"/>
        <v>-6062</v>
      </c>
    </row>
    <row r="24" spans="1:11" x14ac:dyDescent="0.35">
      <c r="A24" s="28" t="s">
        <v>102</v>
      </c>
      <c r="B24" s="132">
        <f>IF(DigitaDOMINICANA!C2&lt;&gt;"",DigitaDOMINICANA!C2,"")</f>
        <v>40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30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593050</v>
      </c>
      <c r="D27" s="68">
        <f t="shared" ref="D27:G27" si="7">SUM(D5:D26)</f>
        <v>69797</v>
      </c>
      <c r="E27" s="68">
        <f t="shared" si="7"/>
        <v>4300</v>
      </c>
      <c r="F27" s="68">
        <f t="shared" si="7"/>
        <v>340000</v>
      </c>
      <c r="G27" s="88">
        <f t="shared" si="7"/>
        <v>183253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81640625" style="21" bestFit="1" customWidth="1"/>
    <col min="3" max="7" width="11.54296875" style="21" customWidth="1"/>
    <col min="8" max="8" width="6.54296875" style="21" customWidth="1"/>
    <col min="9" max="11" width="11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95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68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98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86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32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82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36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1" width="12.5429687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95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68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98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86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Blanca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32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82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36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81640625" style="21" bestFit="1" customWidth="1"/>
    <col min="3" max="4" width="11.453125" style="21"/>
    <col min="5" max="5" width="13.1796875" style="21" customWidth="1"/>
    <col min="6" max="7" width="11.453125" style="21"/>
    <col min="8" max="8" width="6.5429687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0</v>
      </c>
      <c r="D27" s="68">
        <f t="shared" ref="D27:G27" si="2">SUM(D5:D26)</f>
        <v>0</v>
      </c>
      <c r="E27" s="68">
        <f t="shared" si="2"/>
        <v>0</v>
      </c>
      <c r="F27" s="68">
        <f t="shared" si="2"/>
        <v>0</v>
      </c>
      <c r="G27" s="88">
        <f t="shared" si="2"/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5429687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68</v>
      </c>
      <c r="D2" s="268"/>
      <c r="E2" s="267">
        <f>IF(PREMIOS!$B11="","",PREMIOS!$B11)</f>
        <v>86</v>
      </c>
      <c r="F2" s="268"/>
      <c r="G2" s="267">
        <f>IF(PREMIOS!$B15="","",PREMIOS!$B15)</f>
        <v>82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47050</v>
      </c>
      <c r="D4" s="78">
        <v>500</v>
      </c>
      <c r="E4" s="189">
        <v>26500</v>
      </c>
      <c r="F4" s="78">
        <f t="shared" ref="D4:H27" si="0">IF(E4="","",0)</f>
        <v>0</v>
      </c>
      <c r="G4" s="189">
        <v>112050</v>
      </c>
      <c r="H4" s="78">
        <v>250</v>
      </c>
      <c r="J4" s="42">
        <f t="shared" ref="J4:J8" si="1">+C4+E4+G4</f>
        <v>185600</v>
      </c>
      <c r="K4" s="42">
        <f>IF(D4="",0,IF(F4="",D4,IF(H4="",D4+F4,D4+F4+H4)))</f>
        <v>750</v>
      </c>
    </row>
    <row r="5" spans="1:11" x14ac:dyDescent="0.35">
      <c r="A5" s="47">
        <v>2</v>
      </c>
      <c r="B5" s="178" t="str">
        <f>Vendedor2!$B$2</f>
        <v>PUESTO 2</v>
      </c>
      <c r="C5" s="180">
        <v>46250</v>
      </c>
      <c r="D5" s="30">
        <f t="shared" si="0"/>
        <v>0</v>
      </c>
      <c r="E5" s="180">
        <v>27450</v>
      </c>
      <c r="F5" s="30">
        <f t="shared" si="0"/>
        <v>0</v>
      </c>
      <c r="G5" s="180">
        <v>67900</v>
      </c>
      <c r="H5" s="30">
        <f t="shared" si="0"/>
        <v>0</v>
      </c>
      <c r="J5" s="42">
        <f t="shared" si="1"/>
        <v>141600</v>
      </c>
      <c r="K5" s="42">
        <f t="shared" ref="K5:K27" si="2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65900</v>
      </c>
      <c r="D8" s="30">
        <v>650</v>
      </c>
      <c r="E8" s="180">
        <v>41600</v>
      </c>
      <c r="F8" s="30">
        <v>850</v>
      </c>
      <c r="G8" s="180">
        <v>42300</v>
      </c>
      <c r="H8" s="30">
        <f t="shared" si="0"/>
        <v>0</v>
      </c>
      <c r="J8" s="42">
        <f t="shared" si="1"/>
        <v>149800</v>
      </c>
      <c r="K8" s="42">
        <f t="shared" si="2"/>
        <v>1500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50500+121450</f>
        <v>171950</v>
      </c>
      <c r="D10" s="30">
        <v>150</v>
      </c>
      <c r="E10" s="180">
        <f>37200+111800</f>
        <v>149000</v>
      </c>
      <c r="F10" s="30">
        <f>2500+750</f>
        <v>3250</v>
      </c>
      <c r="G10" s="180">
        <f>65450+105350</f>
        <v>170800</v>
      </c>
      <c r="H10" s="30">
        <v>150</v>
      </c>
      <c r="J10" s="42">
        <f t="shared" si="3"/>
        <v>491750</v>
      </c>
      <c r="K10" s="42">
        <f t="shared" si="2"/>
        <v>3550</v>
      </c>
    </row>
    <row r="11" spans="1:11" x14ac:dyDescent="0.35">
      <c r="A11" s="47">
        <v>8</v>
      </c>
      <c r="B11" s="178" t="str">
        <f>Vendedor8!$B$2</f>
        <v>ISA</v>
      </c>
      <c r="C11" s="180">
        <v>3000</v>
      </c>
      <c r="D11" s="30">
        <f t="shared" si="0"/>
        <v>0</v>
      </c>
      <c r="E11" s="180"/>
      <c r="F11" s="30" t="str">
        <f t="shared" si="0"/>
        <v/>
      </c>
      <c r="G11" s="180">
        <v>12100</v>
      </c>
      <c r="H11" s="30">
        <f t="shared" si="0"/>
        <v>0</v>
      </c>
      <c r="J11" s="42">
        <f t="shared" si="3"/>
        <v>15100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37350</v>
      </c>
      <c r="D12" s="30">
        <f t="shared" si="0"/>
        <v>0</v>
      </c>
      <c r="E12" s="180">
        <v>26900</v>
      </c>
      <c r="F12" s="30">
        <f t="shared" si="0"/>
        <v>0</v>
      </c>
      <c r="G12" s="180">
        <v>25550</v>
      </c>
      <c r="H12" s="30">
        <f t="shared" si="0"/>
        <v>0</v>
      </c>
      <c r="J12" s="42">
        <f t="shared" si="3"/>
        <v>89800</v>
      </c>
      <c r="K12" s="42">
        <f t="shared" si="2"/>
        <v>0</v>
      </c>
    </row>
    <row r="13" spans="1:11" x14ac:dyDescent="0.35">
      <c r="A13" s="47">
        <v>10</v>
      </c>
      <c r="B13" s="178" t="str">
        <f>Vendedor10!$B$2</f>
        <v>MARIALIZ</v>
      </c>
      <c r="C13" s="180">
        <v>23000</v>
      </c>
      <c r="D13" s="30">
        <v>100</v>
      </c>
      <c r="E13" s="180">
        <v>29950</v>
      </c>
      <c r="F13" s="30">
        <v>200</v>
      </c>
      <c r="G13" s="180">
        <v>66950</v>
      </c>
      <c r="H13" s="30">
        <f t="shared" si="0"/>
        <v>0</v>
      </c>
      <c r="J13" s="42">
        <f t="shared" si="3"/>
        <v>119900</v>
      </c>
      <c r="K13" s="42">
        <f t="shared" si="2"/>
        <v>300</v>
      </c>
    </row>
    <row r="14" spans="1:11" x14ac:dyDescent="0.35">
      <c r="A14" s="47">
        <v>11</v>
      </c>
      <c r="B14" s="178" t="str">
        <f>Vendedor11!$B$2</f>
        <v>CHARLY</v>
      </c>
      <c r="C14" s="180">
        <v>35250</v>
      </c>
      <c r="D14" s="30">
        <f t="shared" si="0"/>
        <v>0</v>
      </c>
      <c r="E14" s="180">
        <v>10900</v>
      </c>
      <c r="F14" s="30">
        <v>500</v>
      </c>
      <c r="G14" s="180">
        <v>33700</v>
      </c>
      <c r="H14" s="30">
        <f t="shared" si="0"/>
        <v>0</v>
      </c>
      <c r="J14" s="42">
        <f t="shared" si="3"/>
        <v>79850</v>
      </c>
      <c r="K14" s="42">
        <f t="shared" si="2"/>
        <v>500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29850</v>
      </c>
      <c r="D16" s="30">
        <f t="shared" si="0"/>
        <v>0</v>
      </c>
      <c r="E16" s="180">
        <v>15500</v>
      </c>
      <c r="F16" s="30">
        <f t="shared" si="0"/>
        <v>0</v>
      </c>
      <c r="G16" s="180">
        <v>42300</v>
      </c>
      <c r="H16" s="30">
        <v>1350</v>
      </c>
      <c r="J16" s="42">
        <f t="shared" si="3"/>
        <v>87650</v>
      </c>
      <c r="K16" s="42">
        <f t="shared" si="2"/>
        <v>1350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136150+44000</f>
        <v>180150</v>
      </c>
      <c r="D17" s="30">
        <f>450+0</f>
        <v>450</v>
      </c>
      <c r="E17" s="180">
        <f>99550+17650</f>
        <v>117200</v>
      </c>
      <c r="F17" s="30">
        <f>1100+200</f>
        <v>1300</v>
      </c>
      <c r="G17" s="180">
        <f>209700+38750</f>
        <v>248450</v>
      </c>
      <c r="H17" s="30">
        <f>1650+0</f>
        <v>1650</v>
      </c>
      <c r="J17" s="42">
        <f t="shared" si="3"/>
        <v>545800</v>
      </c>
      <c r="K17" s="42">
        <f t="shared" si="2"/>
        <v>3400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28400+27200</f>
        <v>55600</v>
      </c>
      <c r="D18" s="30">
        <f>100+300</f>
        <v>400</v>
      </c>
      <c r="E18" s="180">
        <f>42100+21450</f>
        <v>63550</v>
      </c>
      <c r="F18" s="30">
        <f>400+0</f>
        <v>400</v>
      </c>
      <c r="G18" s="180">
        <f>29000+39800</f>
        <v>68800</v>
      </c>
      <c r="H18" s="30">
        <f t="shared" si="0"/>
        <v>0</v>
      </c>
      <c r="J18" s="42">
        <f t="shared" si="3"/>
        <v>187950</v>
      </c>
      <c r="K18" s="42">
        <f t="shared" si="2"/>
        <v>800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695350</v>
      </c>
      <c r="D32" s="44">
        <f t="shared" si="6"/>
        <v>2250</v>
      </c>
      <c r="E32" s="43">
        <f t="shared" si="6"/>
        <v>508550</v>
      </c>
      <c r="F32" s="44">
        <f t="shared" si="6"/>
        <v>6500</v>
      </c>
      <c r="G32" s="43">
        <f t="shared" si="6"/>
        <v>890900</v>
      </c>
      <c r="H32" s="44">
        <f t="shared" si="6"/>
        <v>3400</v>
      </c>
      <c r="J32" s="95">
        <f>SUM(J4:J31)</f>
        <v>2094800</v>
      </c>
      <c r="K32" s="95"/>
    </row>
    <row r="33" spans="2:8" x14ac:dyDescent="0.35">
      <c r="D33" s="99">
        <f>+D32*85</f>
        <v>191250</v>
      </c>
      <c r="F33" s="99">
        <f>+F32*85</f>
        <v>552500</v>
      </c>
      <c r="H33" s="99">
        <f>+H32*85</f>
        <v>289000</v>
      </c>
    </row>
    <row r="34" spans="2:8" x14ac:dyDescent="0.35">
      <c r="B34" s="247" t="s">
        <v>149</v>
      </c>
      <c r="C34" s="43">
        <f t="shared" ref="C34:H34" si="7">+C4+C5+C6+C8+C13</f>
        <v>182200</v>
      </c>
      <c r="D34" s="43" t="e">
        <f t="shared" si="7"/>
        <v>#VALUE!</v>
      </c>
      <c r="E34" s="43">
        <f t="shared" si="7"/>
        <v>125500</v>
      </c>
      <c r="F34" s="43" t="e">
        <f t="shared" si="7"/>
        <v>#VALUE!</v>
      </c>
      <c r="G34" s="43">
        <f t="shared" si="7"/>
        <v>289200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274000</v>
      </c>
      <c r="D35" s="43" t="e">
        <f t="shared" ref="D35:H35" si="8">+D11+D14+D15+D17+D18</f>
        <v>#VALUE!</v>
      </c>
      <c r="E35" s="43">
        <f t="shared" si="8"/>
        <v>191650</v>
      </c>
      <c r="F35" s="43" t="e">
        <f t="shared" si="8"/>
        <v>#VALUE!</v>
      </c>
      <c r="G35" s="43">
        <f t="shared" si="8"/>
        <v>363050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209300</v>
      </c>
      <c r="D36" s="43" t="e">
        <f t="shared" ref="D36:H36" si="9">+D10+D12+D27</f>
        <v>#VALUE!</v>
      </c>
      <c r="E36" s="43">
        <f t="shared" si="9"/>
        <v>175900</v>
      </c>
      <c r="F36" s="43" t="e">
        <f t="shared" si="9"/>
        <v>#VALUE!</v>
      </c>
      <c r="G36" s="43">
        <f t="shared" si="9"/>
        <v>196350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10" width="12.54296875" customWidth="1"/>
    <col min="11" max="11" width="3.54296875" customWidth="1"/>
    <col min="12" max="13" width="12.54296875" customWidth="1"/>
    <col min="14" max="14" width="3.5429687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95</v>
      </c>
      <c r="D2" s="268"/>
      <c r="E2" s="267">
        <f>IF(PREMIOS!$B9="","",PREMIOS!$B9)</f>
        <v>98</v>
      </c>
      <c r="F2" s="268"/>
      <c r="G2" s="267">
        <f>IF(PREMIOS!$B13="","",PREMIOS!$B13)</f>
        <v>32</v>
      </c>
      <c r="H2" s="268"/>
      <c r="I2" s="267">
        <f>IF(PREMIOS!$B17="","",PREMIOS!$B17)</f>
        <v>36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14150</v>
      </c>
      <c r="D4" s="78">
        <f t="shared" ref="D4:J27" si="0">IF(C4="","",0)</f>
        <v>0</v>
      </c>
      <c r="E4" s="206">
        <v>13350</v>
      </c>
      <c r="F4" s="78">
        <f t="shared" si="0"/>
        <v>0</v>
      </c>
      <c r="G4" s="189">
        <v>6800</v>
      </c>
      <c r="H4" s="78">
        <f t="shared" ref="H4:H27" si="1">IF(G4="","",0)</f>
        <v>0</v>
      </c>
      <c r="I4" s="189">
        <v>13300</v>
      </c>
      <c r="J4" s="78">
        <f t="shared" si="0"/>
        <v>0</v>
      </c>
      <c r="L4" s="42">
        <f t="shared" ref="L4:L8" si="2">+C4+E4+G4+I4</f>
        <v>47600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10300</v>
      </c>
      <c r="D5" s="30">
        <f t="shared" si="0"/>
        <v>0</v>
      </c>
      <c r="E5" s="207">
        <v>6950</v>
      </c>
      <c r="F5" s="30">
        <v>1150</v>
      </c>
      <c r="G5" s="180">
        <v>8750</v>
      </c>
      <c r="H5" s="30">
        <f t="shared" si="1"/>
        <v>0</v>
      </c>
      <c r="I5" s="180"/>
      <c r="J5" s="30" t="str">
        <f t="shared" ref="J5:J27" si="3">IF(I5="","",0)</f>
        <v/>
      </c>
      <c r="L5" s="42">
        <f t="shared" si="2"/>
        <v>26000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50700</v>
      </c>
      <c r="D8" s="30">
        <v>1900</v>
      </c>
      <c r="E8" s="207">
        <v>45600</v>
      </c>
      <c r="F8" s="30">
        <v>2050</v>
      </c>
      <c r="G8" s="180">
        <v>10300</v>
      </c>
      <c r="H8" s="30">
        <f t="shared" si="1"/>
        <v>0</v>
      </c>
      <c r="I8" s="180">
        <v>27900</v>
      </c>
      <c r="J8" s="30">
        <f t="shared" si="0"/>
        <v>0</v>
      </c>
      <c r="L8" s="42">
        <f t="shared" si="2"/>
        <v>134500</v>
      </c>
      <c r="M8" s="42">
        <f t="shared" si="4"/>
        <v>3950</v>
      </c>
    </row>
    <row r="9" spans="1:13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36850+82250</f>
        <v>119100</v>
      </c>
      <c r="D10" s="30">
        <v>100</v>
      </c>
      <c r="E10" s="207">
        <f>26750+67000</f>
        <v>93750</v>
      </c>
      <c r="F10" s="30">
        <v>150</v>
      </c>
      <c r="G10" s="180">
        <f>25000+53550</f>
        <v>78550</v>
      </c>
      <c r="H10" s="30">
        <f t="shared" si="0"/>
        <v>0</v>
      </c>
      <c r="I10" s="180">
        <f>55050+46950</f>
        <v>102000</v>
      </c>
      <c r="J10" s="30">
        <f>1000+450</f>
        <v>1450</v>
      </c>
      <c r="L10" s="42">
        <f t="shared" si="5"/>
        <v>393400</v>
      </c>
      <c r="M10" s="42">
        <f t="shared" si="4"/>
        <v>1700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29650</v>
      </c>
      <c r="D12" s="30">
        <f t="shared" si="0"/>
        <v>0</v>
      </c>
      <c r="E12" s="207">
        <v>14950</v>
      </c>
      <c r="F12" s="30">
        <v>500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44600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35100</v>
      </c>
      <c r="D13" s="30">
        <f t="shared" si="0"/>
        <v>0</v>
      </c>
      <c r="E13" s="207">
        <v>21100</v>
      </c>
      <c r="F13" s="30">
        <v>900</v>
      </c>
      <c r="G13" s="180">
        <v>1600</v>
      </c>
      <c r="H13" s="30">
        <f t="shared" si="0"/>
        <v>0</v>
      </c>
      <c r="I13" s="180">
        <v>3800</v>
      </c>
      <c r="J13" s="30">
        <f t="shared" si="0"/>
        <v>0</v>
      </c>
      <c r="L13" s="42">
        <f t="shared" si="5"/>
        <v>61600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7900</v>
      </c>
      <c r="D16" s="30">
        <f t="shared" si="0"/>
        <v>0</v>
      </c>
      <c r="E16" s="207">
        <v>7400</v>
      </c>
      <c r="F16" s="30">
        <f t="shared" si="0"/>
        <v>0</v>
      </c>
      <c r="G16" s="180">
        <v>5450</v>
      </c>
      <c r="H16" s="30">
        <v>100</v>
      </c>
      <c r="I16" s="180">
        <v>28200</v>
      </c>
      <c r="J16" s="30">
        <f t="shared" si="0"/>
        <v>0</v>
      </c>
      <c r="L16" s="42">
        <f t="shared" si="5"/>
        <v>48950</v>
      </c>
      <c r="M16" s="42">
        <f t="shared" si="4"/>
        <v>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131350</v>
      </c>
      <c r="D17" s="30">
        <v>650</v>
      </c>
      <c r="E17" s="207">
        <v>101800</v>
      </c>
      <c r="F17" s="30">
        <v>200</v>
      </c>
      <c r="G17" s="180">
        <v>69550</v>
      </c>
      <c r="H17" s="30">
        <v>200</v>
      </c>
      <c r="I17" s="180">
        <v>194350</v>
      </c>
      <c r="J17" s="30">
        <v>3200</v>
      </c>
      <c r="L17" s="42">
        <f t="shared" si="5"/>
        <v>497050</v>
      </c>
      <c r="M17" s="42">
        <f t="shared" si="4"/>
        <v>4250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67600</v>
      </c>
      <c r="D18" s="30">
        <f t="shared" si="0"/>
        <v>0</v>
      </c>
      <c r="E18" s="207">
        <v>56750</v>
      </c>
      <c r="F18" s="30">
        <v>300</v>
      </c>
      <c r="G18" s="180">
        <v>61200</v>
      </c>
      <c r="H18" s="30">
        <v>450</v>
      </c>
      <c r="I18" s="180">
        <v>8750</v>
      </c>
      <c r="J18" s="30">
        <f t="shared" si="3"/>
        <v>0</v>
      </c>
      <c r="L18" s="42">
        <f t="shared" si="5"/>
        <v>194300</v>
      </c>
      <c r="M18" s="42">
        <f t="shared" si="4"/>
        <v>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465850</v>
      </c>
      <c r="D32" s="44">
        <f t="shared" si="7"/>
        <v>2650</v>
      </c>
      <c r="E32" s="43">
        <f t="shared" si="7"/>
        <v>361650</v>
      </c>
      <c r="F32" s="44">
        <f t="shared" si="7"/>
        <v>5250</v>
      </c>
      <c r="G32" s="43">
        <f t="shared" si="7"/>
        <v>242200</v>
      </c>
      <c r="H32" s="44">
        <f t="shared" si="7"/>
        <v>750</v>
      </c>
      <c r="I32" s="43">
        <f t="shared" si="7"/>
        <v>378300</v>
      </c>
      <c r="J32" s="44">
        <f t="shared" si="7"/>
        <v>4650</v>
      </c>
      <c r="L32" s="95">
        <f>SUM(L9:L31)</f>
        <v>1239900</v>
      </c>
      <c r="M32" s="95">
        <f>SUM(M9:M31)</f>
        <v>5950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68 Blanca</v>
      </c>
      <c r="D2" s="268"/>
      <c r="E2" s="267" t="str">
        <f>IF(E33=0,"",CONCATENATE(PREMIOS!$B11," ",PREMIOS!$B12))</f>
        <v>86 Blanca</v>
      </c>
      <c r="F2" s="268"/>
      <c r="G2" s="267" t="str">
        <f>IF(G33=0,"",CONCATENATE(PREMIOS!$B15," ",PREMIOS!$B16))</f>
        <v>82 Roja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20550+10450</f>
        <v>31000</v>
      </c>
      <c r="D10" s="30">
        <f t="shared" si="0"/>
        <v>0</v>
      </c>
      <c r="E10" s="180">
        <f>21500+8050</f>
        <v>29550</v>
      </c>
      <c r="F10" s="30">
        <f>1500+250</f>
        <v>1750</v>
      </c>
      <c r="G10" s="180">
        <f>34200+12800</f>
        <v>47000</v>
      </c>
      <c r="H10" s="30">
        <f t="shared" si="0"/>
        <v>0</v>
      </c>
      <c r="J10" s="42">
        <f t="shared" si="3"/>
        <v>107550</v>
      </c>
      <c r="K10" s="42">
        <f t="shared" si="4"/>
        <v>1750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3650</v>
      </c>
      <c r="D12" s="30">
        <f t="shared" si="0"/>
        <v>0</v>
      </c>
      <c r="E12" s="180">
        <v>2000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5650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500</v>
      </c>
      <c r="D16" s="195">
        <f t="shared" si="0"/>
        <v>0</v>
      </c>
      <c r="E16" s="194">
        <v>0</v>
      </c>
      <c r="F16" s="195">
        <f t="shared" si="1"/>
        <v>0</v>
      </c>
      <c r="G16" s="194">
        <v>4500</v>
      </c>
      <c r="H16" s="195">
        <v>1000</v>
      </c>
      <c r="J16" s="42">
        <f t="shared" si="3"/>
        <v>5000</v>
      </c>
      <c r="K16" s="42">
        <f t="shared" si="4"/>
        <v>1000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28550</v>
      </c>
      <c r="D17" s="30">
        <f t="shared" si="0"/>
        <v>0</v>
      </c>
      <c r="E17" s="180">
        <v>15050</v>
      </c>
      <c r="F17" s="30">
        <v>200</v>
      </c>
      <c r="G17" s="180">
        <v>28200</v>
      </c>
      <c r="H17" s="30">
        <f t="shared" si="0"/>
        <v>0</v>
      </c>
      <c r="J17" s="42">
        <f t="shared" si="3"/>
        <v>71800</v>
      </c>
      <c r="K17" s="42">
        <f t="shared" si="4"/>
        <v>200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21000</v>
      </c>
      <c r="D18" s="30">
        <v>300</v>
      </c>
      <c r="E18" s="180">
        <v>20450</v>
      </c>
      <c r="F18" s="30">
        <f t="shared" si="0"/>
        <v>0</v>
      </c>
      <c r="G18" s="180">
        <v>27000</v>
      </c>
      <c r="H18" s="30">
        <f t="shared" si="0"/>
        <v>0</v>
      </c>
      <c r="J18" s="42">
        <f t="shared" si="3"/>
        <v>68450</v>
      </c>
      <c r="K18" s="42">
        <f t="shared" si="4"/>
        <v>300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84700</v>
      </c>
      <c r="D33" s="44">
        <f t="shared" si="7"/>
        <v>300</v>
      </c>
      <c r="E33" s="43">
        <f t="shared" si="7"/>
        <v>67050</v>
      </c>
      <c r="F33" s="44">
        <f t="shared" si="7"/>
        <v>1950</v>
      </c>
      <c r="G33" s="43">
        <f t="shared" si="7"/>
        <v>106700</v>
      </c>
      <c r="H33" s="44">
        <f t="shared" si="7"/>
        <v>1000</v>
      </c>
      <c r="J33" s="45">
        <f>SUM(J4:J32)</f>
        <v>258450</v>
      </c>
      <c r="K33" s="95">
        <f>SUM(K4:K32)</f>
        <v>3250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>
        <f>IF(PREMIOS!$B19="","",PREMIOS!$B19)</f>
        <v>45</v>
      </c>
      <c r="D2" s="268"/>
      <c r="E2" s="267">
        <f>IF(PREMIOS!$C19="","",PREMIOS!$C19)</f>
        <v>65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9650</v>
      </c>
      <c r="D4" s="78">
        <f t="shared" ref="D4:F27" si="0">IF(C4="","",0)</f>
        <v>0</v>
      </c>
      <c r="E4" s="189">
        <v>2400</v>
      </c>
      <c r="F4" s="78">
        <f t="shared" si="0"/>
        <v>0</v>
      </c>
      <c r="H4" s="42">
        <f>+C4+E4</f>
        <v>12050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3300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3300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24000</v>
      </c>
      <c r="D8" s="30">
        <f t="shared" si="0"/>
        <v>0</v>
      </c>
      <c r="E8" s="194">
        <v>24100</v>
      </c>
      <c r="F8" s="195">
        <v>1500</v>
      </c>
      <c r="H8" s="42">
        <f t="shared" si="2"/>
        <v>48100</v>
      </c>
      <c r="I8" s="42">
        <f t="shared" si="3"/>
        <v>1500</v>
      </c>
    </row>
    <row r="9" spans="1:9" x14ac:dyDescent="0.35">
      <c r="A9" s="47">
        <v>6</v>
      </c>
      <c r="B9" s="178" t="str">
        <f>Vendedor6!$B$2</f>
        <v>MARTA ROSA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f>14700+22100</f>
        <v>36800</v>
      </c>
      <c r="D10" s="30">
        <f t="shared" si="0"/>
        <v>0</v>
      </c>
      <c r="E10" s="180">
        <v>18400</v>
      </c>
      <c r="F10" s="195">
        <f t="shared" si="1"/>
        <v>0</v>
      </c>
      <c r="H10" s="42">
        <f t="shared" si="2"/>
        <v>55200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28500</v>
      </c>
      <c r="D12" s="30">
        <f t="shared" si="0"/>
        <v>0</v>
      </c>
      <c r="E12" s="194"/>
      <c r="F12" s="30" t="str">
        <f t="shared" si="0"/>
        <v/>
      </c>
      <c r="H12" s="42">
        <f t="shared" si="2"/>
        <v>28500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10800</v>
      </c>
      <c r="D16" s="195">
        <f t="shared" si="0"/>
        <v>0</v>
      </c>
      <c r="E16" s="194">
        <v>700</v>
      </c>
      <c r="F16" s="195">
        <f t="shared" si="0"/>
        <v>0</v>
      </c>
      <c r="H16" s="42">
        <f t="shared" si="2"/>
        <v>11500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111150</v>
      </c>
      <c r="D17" s="195">
        <v>1100</v>
      </c>
      <c r="E17" s="180">
        <v>47000</v>
      </c>
      <c r="F17" s="30">
        <v>1200</v>
      </c>
      <c r="H17" s="42">
        <f t="shared" si="2"/>
        <v>158150</v>
      </c>
      <c r="I17" s="42">
        <f t="shared" si="3"/>
        <v>2300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59900</v>
      </c>
      <c r="D18" s="195">
        <v>1500</v>
      </c>
      <c r="E18" s="180">
        <v>53850</v>
      </c>
      <c r="F18" s="30">
        <v>600</v>
      </c>
      <c r="H18" s="42">
        <f t="shared" si="2"/>
        <v>113750</v>
      </c>
      <c r="I18" s="42">
        <f t="shared" si="3"/>
        <v>2100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284100</v>
      </c>
      <c r="D33" s="44">
        <f>SUM(D4:D32)</f>
        <v>2600</v>
      </c>
      <c r="E33" s="43">
        <f>SUM(E4:E32)</f>
        <v>146450</v>
      </c>
      <c r="F33" s="44">
        <f>SUM(F4:F32)</f>
        <v>3300</v>
      </c>
      <c r="H33" s="95">
        <f>SUM(H4:H32)</f>
        <v>430550</v>
      </c>
      <c r="I33" s="95">
        <f>SUM(I4:I32)</f>
        <v>5900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8" width="12.54296875" customWidth="1"/>
    <col min="9" max="9" width="3.54296875" customWidth="1"/>
    <col min="10" max="11" width="12.54296875" customWidth="1"/>
    <col min="12" max="12" width="3.5429687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 t="str">
        <f>IF(PREMIOS!$B20="","",PREMIOS!$B20)</f>
        <v>00</v>
      </c>
      <c r="D2" s="268"/>
      <c r="E2" s="267">
        <f>IF(PREMIOS!$C20="","",PREMIOS!$C20)</f>
        <v>28</v>
      </c>
      <c r="F2" s="268"/>
      <c r="G2" s="267" t="str">
        <f>IF(PREMIOS!$D20="","",PREMIOS!$D20)</f>
        <v>02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8500+1500</f>
        <v>10000</v>
      </c>
      <c r="D10" s="195">
        <f t="shared" si="0"/>
        <v>0</v>
      </c>
      <c r="E10" s="180">
        <v>7900</v>
      </c>
      <c r="F10" s="30">
        <f t="shared" si="0"/>
        <v>0</v>
      </c>
      <c r="G10" s="180">
        <v>2000</v>
      </c>
      <c r="H10" s="195">
        <f t="shared" si="0"/>
        <v>0</v>
      </c>
      <c r="J10" s="42">
        <f t="shared" si="3"/>
        <v>19900</v>
      </c>
      <c r="K10" s="42">
        <f t="shared" si="4"/>
        <v>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>
        <v>500</v>
      </c>
      <c r="H16" s="195">
        <f>IF(G16="","",0)</f>
        <v>0</v>
      </c>
      <c r="J16" s="42">
        <f t="shared" si="3"/>
        <v>500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47350</v>
      </c>
      <c r="D17" s="195">
        <v>600</v>
      </c>
      <c r="E17" s="194">
        <v>21100</v>
      </c>
      <c r="F17" s="195">
        <v>200</v>
      </c>
      <c r="G17" s="194">
        <v>19050</v>
      </c>
      <c r="H17" s="195">
        <v>200</v>
      </c>
      <c r="J17" s="42">
        <f t="shared" si="3"/>
        <v>87500</v>
      </c>
      <c r="K17" s="42">
        <f t="shared" si="4"/>
        <v>1000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12800</v>
      </c>
      <c r="D18" s="195">
        <v>200</v>
      </c>
      <c r="E18" s="180">
        <v>8200</v>
      </c>
      <c r="F18" s="30">
        <f t="shared" si="1"/>
        <v>0</v>
      </c>
      <c r="G18" s="180">
        <v>7600</v>
      </c>
      <c r="H18" s="30">
        <v>150</v>
      </c>
      <c r="J18" s="42">
        <f t="shared" si="3"/>
        <v>28600</v>
      </c>
      <c r="K18" s="42">
        <f t="shared" si="4"/>
        <v>350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70150</v>
      </c>
      <c r="D33" s="44">
        <f t="shared" si="6"/>
        <v>800</v>
      </c>
      <c r="E33" s="43">
        <f t="shared" si="6"/>
        <v>37200</v>
      </c>
      <c r="F33" s="44">
        <f t="shared" si="6"/>
        <v>200</v>
      </c>
      <c r="G33" s="43">
        <f t="shared" si="6"/>
        <v>29150</v>
      </c>
      <c r="H33" s="44">
        <f t="shared" si="6"/>
        <v>350</v>
      </c>
      <c r="J33" s="45">
        <f>SUM(J4:J32)</f>
        <v>136500</v>
      </c>
      <c r="K33" s="95">
        <f>SUM(K4:K32)</f>
        <v>1350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6" width="12.54296875" customWidth="1"/>
    <col min="7" max="7" width="3.54296875" customWidth="1"/>
    <col min="8" max="9" width="12.54296875" customWidth="1"/>
    <col min="10" max="10" width="3.5429687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40</v>
      </c>
      <c r="D2" s="268"/>
      <c r="E2" s="267">
        <f>IF(PREMIOS!$C21="","",PREMIOS!$C21)</f>
        <v>30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36000</v>
      </c>
      <c r="D10" s="30">
        <v>1000</v>
      </c>
      <c r="E10" s="180">
        <v>47000</v>
      </c>
      <c r="F10" s="30">
        <f t="shared" si="0"/>
        <v>0</v>
      </c>
      <c r="H10" s="42">
        <f t="shared" si="2"/>
        <v>83000</v>
      </c>
      <c r="I10" s="42">
        <f t="shared" si="3"/>
        <v>1000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36000</v>
      </c>
      <c r="D33" s="44">
        <f>SUM(D4:D32)</f>
        <v>1000</v>
      </c>
      <c r="E33" s="43">
        <f>SUM(E4:E32)</f>
        <v>47000</v>
      </c>
      <c r="F33" s="44">
        <f>SUM(F4:F32)</f>
        <v>0</v>
      </c>
      <c r="H33" s="45">
        <f>SUM(H4:H32)</f>
        <v>83000</v>
      </c>
      <c r="I33" s="95">
        <f>SUM(I4:I32)</f>
        <v>1000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453125" customWidth="1"/>
    <col min="2" max="2" width="25.54296875" customWidth="1"/>
    <col min="3" max="4" width="12.54296875" customWidth="1"/>
    <col min="5" max="5" width="3.5429687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MARTA ROSA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2026-05-23T16:18:14Z</dcterms:modified>
  <dc:language>es-CR</dc:language>
</cp:coreProperties>
</file>
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67" documentId="11_5FCF995ED5CC0AF3D9C7071CBCC7831B2872CA26" xr6:coauthVersionLast="47" xr6:coauthVersionMax="47" xr10:uidLastSave="{292BD1DA-A288-4CED-89D9-2B3A561782D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4"/>
  <c r="G10" i="62"/>
  <c r="E10" i="62"/>
  <c r="C10" i="62"/>
  <c r="J10" i="61"/>
  <c r="I10" i="61"/>
  <c r="H10" i="61"/>
  <c r="G10" i="61"/>
  <c r="F10" i="61"/>
  <c r="E10" i="61"/>
  <c r="H17" i="60"/>
  <c r="G17" i="60"/>
  <c r="H10" i="60"/>
  <c r="G10" i="60"/>
  <c r="H18" i="60"/>
  <c r="G18" i="60"/>
  <c r="F17" i="60"/>
  <c r="E17" i="60"/>
  <c r="E18" i="60"/>
  <c r="F10" i="60"/>
  <c r="E10" i="60"/>
  <c r="C16" i="60"/>
  <c r="D17" i="60"/>
  <c r="C17" i="60"/>
  <c r="D10" i="60"/>
  <c r="C10" i="60"/>
  <c r="C18" i="60"/>
  <c r="D10" i="61"/>
  <c r="C10" i="61"/>
  <c r="C16" i="61"/>
  <c r="C10" i="64"/>
  <c r="D10" i="65"/>
  <c r="C10" i="65"/>
  <c r="D18" i="64" l="1"/>
  <c r="D18" i="65"/>
  <c r="D11" i="65"/>
  <c r="D9" i="61"/>
  <c r="D8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36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5"/>
  <c r="F8" i="65"/>
  <c r="F18" i="62"/>
  <c r="F10" i="62"/>
  <c r="D6" i="60"/>
  <c r="F15" i="60"/>
  <c r="F14" i="60"/>
  <c r="F35" i="60" s="1"/>
  <c r="F13" i="60"/>
  <c r="F12" i="60"/>
  <c r="F11" i="60"/>
  <c r="F9" i="60"/>
  <c r="F8" i="60"/>
  <c r="F7" i="60"/>
  <c r="F6" i="60"/>
  <c r="F4" i="60"/>
  <c r="H16" i="60"/>
  <c r="H15" i="60"/>
  <c r="H14" i="60"/>
  <c r="H13" i="60"/>
  <c r="H12" i="60"/>
  <c r="H11" i="60"/>
  <c r="H9" i="60"/>
  <c r="H8" i="60"/>
  <c r="H7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5" i="60" l="1"/>
  <c r="E7" i="16"/>
  <c r="H34" i="60"/>
  <c r="F34" i="60"/>
  <c r="D34" i="60"/>
  <c r="J8" i="14"/>
  <c r="D21" i="14"/>
  <c r="C12" i="71"/>
  <c r="D22" i="14"/>
  <c r="G12" i="71"/>
  <c r="E19" i="16"/>
  <c r="D4" i="65"/>
  <c r="D20" i="16"/>
  <c r="F17" i="62"/>
  <c r="E11" i="16"/>
  <c r="H17" i="64"/>
  <c r="F10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21" i="66"/>
  <c r="I19" i="66"/>
  <c r="I15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F25" i="29"/>
  <c r="F27" i="72"/>
  <c r="I25" i="72"/>
  <c r="N25" i="72" s="1"/>
  <c r="H29" i="66"/>
  <c r="L21" i="71"/>
  <c r="M21" i="71" s="1"/>
  <c r="J31" i="71"/>
  <c r="D18" i="72"/>
  <c r="J32" i="64"/>
  <c r="K20" i="19"/>
  <c r="K9" i="19"/>
  <c r="I15" i="72"/>
  <c r="N15" i="72" s="1"/>
  <c r="E27" i="72"/>
  <c r="K28" i="70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D26" i="21"/>
  <c r="J10" i="21"/>
  <c r="C17" i="73"/>
  <c r="F17" i="73" s="1"/>
  <c r="J10" i="8"/>
  <c r="D26" i="19"/>
  <c r="J10" i="19"/>
  <c r="F25" i="19"/>
  <c r="L9" i="19" s="1"/>
  <c r="F18" i="72"/>
  <c r="J26" i="71"/>
  <c r="L29" i="71"/>
  <c r="M29" i="71" s="1"/>
  <c r="H21" i="72"/>
  <c r="I21" i="72" s="1"/>
  <c r="N21" i="72" s="1"/>
  <c r="H30" i="66"/>
  <c r="H21" i="70"/>
  <c r="J24" i="70"/>
  <c r="K24" i="70" s="1"/>
  <c r="F22" i="15"/>
  <c r="L8" i="15" s="1"/>
  <c r="F16" i="71"/>
  <c r="L16" i="71" s="1"/>
  <c r="M16" i="71" s="1"/>
  <c r="G22" i="15"/>
  <c r="L25" i="71"/>
  <c r="M25" i="71" s="1"/>
  <c r="J23" i="72"/>
  <c r="K23" i="72" s="1"/>
  <c r="J21" i="70"/>
  <c r="K21" i="70" s="1"/>
  <c r="H28" i="72"/>
  <c r="D17" i="72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I33" i="66"/>
  <c r="L27" i="71"/>
  <c r="M27" i="71" s="1"/>
  <c r="K21" i="8"/>
  <c r="K10" i="8"/>
  <c r="K20" i="21"/>
  <c r="K10" i="2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2" i="52" l="1"/>
  <c r="C24" i="15"/>
  <c r="F17" i="52"/>
  <c r="F12" i="8"/>
  <c r="L6" i="23"/>
  <c r="M26" i="52"/>
  <c r="J5" i="23"/>
  <c r="M23" i="52"/>
  <c r="J4" i="23"/>
  <c r="J5" i="19"/>
  <c r="M20" i="52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F32" i="60"/>
  <c r="F33" i="60" s="1"/>
  <c r="D32" i="61"/>
  <c r="K4" i="23"/>
  <c r="L19" i="59"/>
  <c r="F24" i="15"/>
  <c r="G32" i="60"/>
  <c r="G32" i="61"/>
  <c r="F32" i="61"/>
  <c r="L6" i="25"/>
  <c r="H19" i="70"/>
  <c r="H32" i="61"/>
  <c r="K5" i="19"/>
  <c r="K6" i="23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M5" i="52" s="1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5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4" i="52"/>
  <c r="C3" i="1" s="1"/>
  <c r="B3" i="1"/>
  <c r="K5" i="52"/>
  <c r="C4" i="1" s="1"/>
  <c r="B4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<sst xmlns="http://schemas.openxmlformats.org/spreadsheetml/2006/main" count="1292" uniqueCount="159">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</sst>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236100</v>
      </c>
      <c r="C3" s="9">
        <f>+HojaTICA!K4+HojaNICA!M4+HojaREVENTADO!K4+HojaPrimera!I4+HojaHonduras!K4+HojaDominicana!I4+HojaPANA!G4</f>
        <v>30700</v>
      </c>
      <c r="D3" s="9">
        <f>+HojaTICA!N4+HojaNICA!P4+HojaREVENTADO!O4+HojaPrimera!L4+HojaHonduras!N4+HojaDominicana!L4+HojaPANA!J4</f>
        <v>298250</v>
      </c>
      <c r="F3" s="10">
        <f t="shared" ref="F3:F27" si="0">+B3-C3-D3</f>
        <v>-92850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237750</v>
      </c>
      <c r="C4" s="9">
        <f>+HojaTICA!K5+HojaNICA!M5+HojaREVENTADO!K5+HojaPrimera!I5+HojaHonduras!K5+HojaDominicana!I5+HojaPANA!G5</f>
        <v>30900</v>
      </c>
      <c r="D4" s="9">
        <f>+HojaTICA!N5+HojaNICA!P5+HojaREVENTADO!O5+HojaPrimera!L5+HojaHonduras!N5+HojaDominicana!L5+HojaPANA!J5</f>
        <v>99500</v>
      </c>
      <c r="F4" s="14">
        <f t="shared" si="0"/>
        <v>107350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484550</v>
      </c>
      <c r="C7" s="9">
        <f>+HojaTICA!K8+HojaNICA!M8+HojaREVENTADO!K8+HojaPrimera!I8+HojaHonduras!K8+HojaDominicana!I8+HojaPANA!G8</f>
        <v>58150</v>
      </c>
      <c r="D7" s="9">
        <f>+HojaTICA!N8+HojaNICA!P8+HojaREVENTADO!O8+HojaPrimera!L8+HojaHonduras!N8+HojaDominicana!L8+HojaPANA!J8</f>
        <v>264250</v>
      </c>
      <c r="F7" s="14">
        <f t="shared" si="0"/>
        <v>162150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1023000</v>
      </c>
      <c r="C9" s="9">
        <f>+HojaTICA!K10+HojaNICA!M10+HojaREVENTADO!K10+HojaPrimera!I10+HojaHonduras!K10+HojaDominicana!I10+HojaPANA!G10</f>
        <v>120980</v>
      </c>
      <c r="D9" s="9">
        <f>+HojaTICA!N10+HojaNICA!P10+HojaREVENTADO!O10+HojaPrimera!L10+HojaHonduras!N10+HojaDominicana!L10+HojaPANA!J10</f>
        <v>340000</v>
      </c>
      <c r="F9" s="14">
        <f t="shared" si="0"/>
        <v>562020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15600</v>
      </c>
      <c r="C10" s="9">
        <f>+HojaTICA!K11+HojaNICA!M11+HojaREVENTADO!K11+HojaPrimera!I11+HojaHonduras!K11+HojaDominicana!I11+HojaPANA!G11</f>
        <v>1850</v>
      </c>
      <c r="D10" s="9">
        <f>+HojaTICA!N11+HojaNICA!P11+HojaREVENTADO!O11+HojaPrimera!L11+HojaHonduras!N11+HojaDominicana!L11+HojaPANA!J11</f>
        <v>0</v>
      </c>
      <c r="F10" s="14">
        <f t="shared" si="0"/>
        <v>13750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179350</v>
      </c>
      <c r="C11" s="9">
        <f>+HojaTICA!K12+HojaNICA!M12+HojaREVENTADO!K12+HojaPrimera!I12+HojaHonduras!K12+HojaDominicana!I12+HojaPANA!G12</f>
        <v>21400</v>
      </c>
      <c r="D11" s="9">
        <f>+HojaTICA!N12+HojaNICA!P12+HojaREVENTADO!O12+HojaPrimera!L12+HojaHonduras!N12+HojaDominicana!L12+HojaPANA!J12</f>
        <v>89500</v>
      </c>
      <c r="F11" s="14">
        <f t="shared" si="0"/>
        <v>68450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212450</v>
      </c>
      <c r="C12" s="9">
        <f>+HojaTICA!K13+HojaNICA!M13+HojaREVENTADO!K13+HojaPrimera!I13+HojaHonduras!K13+HojaDominicana!I13+HojaPANA!G13</f>
        <v>25500</v>
      </c>
      <c r="D12" s="9">
        <f>+HojaTICA!N13+HojaNICA!P13+HojaREVENTADO!O13+HojaPrimera!L13+HojaHonduras!N13+HojaDominicana!L13+HojaPANA!J13</f>
        <v>133000</v>
      </c>
      <c r="F12" s="14">
        <f t="shared" si="0"/>
        <v>53950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82100</v>
      </c>
      <c r="C13" s="9">
        <f>+HojaTICA!K14+HojaNICA!M14+HojaREVENTADO!K14+HojaPrimera!I14+HojaHonduras!K14+HojaDominicana!I14+HojaPANA!G14</f>
        <v>12300</v>
      </c>
      <c r="D13" s="9">
        <f>+HojaTICA!N14+HojaNICA!P14+HojaREVENTADO!O14+HojaPrimera!L14+HojaHonduras!N14+HojaDominicana!L14+HojaPANA!J14</f>
        <v>16000</v>
      </c>
      <c r="F13" s="14">
        <f t="shared" si="0"/>
        <v>53800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95200</v>
      </c>
      <c r="C15" s="9">
        <f>+HojaTICA!K16+HojaNICA!M16+HojaREVENTADO!K16+HojaPrimera!I16+HojaHonduras!K16+HojaDominicana!I16+HojaPANA!G16</f>
        <v>11345</v>
      </c>
      <c r="D15" s="9">
        <f>+HojaTICA!N16+HojaNICA!P16+HojaREVENTADO!O16+HojaPrimera!L16+HojaHonduras!N16+HojaDominicana!L16+HojaPANA!J16</f>
        <v>105000</v>
      </c>
      <c r="F15" s="14">
        <f t="shared" si="0"/>
        <v>-21145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991500</v>
      </c>
      <c r="C16" s="9">
        <f>+HojaTICA!K17+HojaNICA!M17+HojaREVENTADO!K17+HojaPrimera!I17+HojaHonduras!K17+HojaDominicana!I17+HojaPANA!G17</f>
        <v>117555</v>
      </c>
      <c r="D16" s="9">
        <f>+HojaTICA!N17+HojaNICA!P17+HojaREVENTADO!O17+HojaPrimera!L17+HojaHonduras!N17+HojaDominicana!L17+HojaPANA!J17</f>
        <v>442000</v>
      </c>
      <c r="F16" s="14">
        <f t="shared" si="0"/>
        <v>431945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539600</v>
      </c>
      <c r="C17" s="9">
        <f>+HojaTICA!K18+HojaNICA!M18+HojaREVENTADO!K18+HojaPrimera!I18+HojaHonduras!K18+HojaDominicana!I18+HojaPANA!G18</f>
        <v>63470</v>
      </c>
      <c r="D17" s="9">
        <f>+HojaTICA!N18+HojaNICA!P18+HojaREVENTADO!O18+HojaPrimera!L18+HojaHonduras!N18+HojaDominicana!L18+HojaPANA!J18</f>
        <v>438250</v>
      </c>
      <c r="F17" s="14">
        <f t="shared" si="0"/>
        <v>37880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4097200</v>
      </c>
      <c r="C28" s="17">
        <f t="shared" si="1"/>
        <v>494150</v>
      </c>
      <c r="D28" s="18">
        <f t="shared" si="1"/>
        <v>2225750</v>
      </c>
      <c r="F28" s="20">
        <f>SUM(F3:F27)</f>
        <v>1377300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85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21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38</v>
      </c>
      <c r="C19" s="132">
        <v>99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49</v>
      </c>
      <c r="C20" s="163">
        <v>34</v>
      </c>
      <c r="D20" s="166">
        <v>65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93</v>
      </c>
      <c r="C21" s="164">
        <v>51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66</v>
      </c>
      <c r="D2" s="268"/>
      <c r="E2" s="267">
        <f>DigitaTICA!E2</f>
        <v>85</v>
      </c>
      <c r="F2" s="268"/>
      <c r="G2" s="267">
        <f>DigitaTICA!G2</f>
        <v>92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49850</v>
      </c>
      <c r="D4" s="30">
        <f>IF(Vendedor1!$E$7="",0,Vendedor1!$E$7)</f>
        <v>300</v>
      </c>
      <c r="E4" s="180">
        <f>IF(Vendedor1!$C$11="",0,Vendedor1!$C$11)</f>
        <v>19000</v>
      </c>
      <c r="F4" s="30">
        <f>IF(Vendedor1!$E$11="",0,Vendedor1!$E$11)</f>
        <v>0</v>
      </c>
      <c r="G4" s="180">
        <f>IF(Vendedor1!$C$15="",0,Vendedor1!$C$15)</f>
        <v>102650</v>
      </c>
      <c r="H4" s="30">
        <f>IF(Vendedor1!$E$15="",0,Vendedor1!$E$15)</f>
        <v>2550</v>
      </c>
      <c r="J4" s="42">
        <f t="shared" ref="J4:J7" si="0">+C4+E4+G4</f>
        <v>171500</v>
      </c>
      <c r="K4" s="41">
        <f>MROUND(J4*Vendedor1!J$9,50)</f>
        <v>22300</v>
      </c>
      <c r="L4" s="42">
        <f t="shared" ref="L4:L7" si="1">+D4+F4+H4</f>
        <v>2850</v>
      </c>
      <c r="M4" s="42">
        <f t="shared" ref="M4:M7" si="2">+L4*85</f>
        <v>242250</v>
      </c>
      <c r="N4" s="42">
        <f>Vendedor1!$F$7+Vendedor1!$F$11+Vendedor1!$F$15</f>
        <v>242250</v>
      </c>
      <c r="P4" s="42">
        <f t="shared" ref="P4:P7" si="3">+J4-K4-N4</f>
        <v>-93050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56800</v>
      </c>
      <c r="D5" s="30">
        <f>IF(Vendedor2!$E$7="",0,Vendedor2!$E$7)</f>
        <v>200</v>
      </c>
      <c r="E5" s="180">
        <f>IF(Vendedor2!$C$11="",0,Vendedor2!$C$11)</f>
        <v>56850</v>
      </c>
      <c r="F5" s="30">
        <f>IF(Vendedor2!$E$11="",0,Vendedor2!$E$11)</f>
        <v>500</v>
      </c>
      <c r="G5" s="180">
        <f>IF(Vendedor2!$C$15="",0,Vendedor2!$C$15)</f>
        <v>91700</v>
      </c>
      <c r="H5" s="30">
        <f>IF(Vendedor2!$E$15="",0,Vendedor2!$E$15)</f>
        <v>0</v>
      </c>
      <c r="J5" s="42">
        <f t="shared" si="0"/>
        <v>205350</v>
      </c>
      <c r="K5" s="41">
        <f>MROUND(J5*Vendedor2!J$9,50)</f>
        <v>26700</v>
      </c>
      <c r="L5" s="42">
        <f t="shared" si="1"/>
        <v>700</v>
      </c>
      <c r="M5" s="42">
        <f t="shared" si="2"/>
        <v>59500</v>
      </c>
      <c r="N5" s="42">
        <f>Vendedor2!$F$7+Vendedor2!$F$11+Vendedor2!$F$15</f>
        <v>59500</v>
      </c>
      <c r="P5" s="42">
        <f t="shared" si="3"/>
        <v>119150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71750</v>
      </c>
      <c r="D8" s="30">
        <f>IF(Vendedor5!$E$7="",0,Vendedor5!$E$7)</f>
        <v>850</v>
      </c>
      <c r="E8" s="180">
        <f>IF(Vendedor5!$C$11="",0,Vendedor5!$C$11)</f>
        <v>54750</v>
      </c>
      <c r="F8" s="30">
        <f>IF(Vendedor5!$E$11="",0,Vendedor5!$E$11)</f>
        <v>0</v>
      </c>
      <c r="G8" s="180">
        <f>IF(Vendedor5!$C$15="",0,Vendedor5!$C$15)</f>
        <v>89650</v>
      </c>
      <c r="H8" s="30">
        <f>IF(Vendedor5!$E$15="",0,Vendedor5!$E$15)</f>
        <v>0</v>
      </c>
      <c r="J8" s="42">
        <f t="shared" ref="J8" si="4">+C8+E8+G8</f>
        <v>216150</v>
      </c>
      <c r="K8" s="41">
        <f>MROUND(J8*Vendedor5!J$11,50)</f>
        <v>25950</v>
      </c>
      <c r="L8" s="42">
        <f t="shared" ref="L8" si="5">+D8+F8+H8</f>
        <v>850</v>
      </c>
      <c r="M8" s="42">
        <f t="shared" ref="M8" si="6">+L8*85</f>
        <v>72250</v>
      </c>
      <c r="N8" s="42">
        <f>Vendedor5!$F$7+Vendedor5!$F$11+Vendedor5!$F$15</f>
        <v>72250</v>
      </c>
      <c r="P8" s="42">
        <f t="shared" ref="P8" si="7">+J8-K8-N8</f>
        <v>117950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201300</v>
      </c>
      <c r="D10" s="30">
        <f>IF(Vendedor7!$E$7="",0,Vendedor7!$E$7)</f>
        <v>250</v>
      </c>
      <c r="E10" s="180">
        <f>IF(Vendedor7!$C$11="",0,Vendedor7!$C$11)</f>
        <v>121600</v>
      </c>
      <c r="F10" s="30">
        <f>IF(Vendedor7!$E$11="",0,Vendedor7!$E$11)</f>
        <v>250</v>
      </c>
      <c r="G10" s="180">
        <f>IF(Vendedor7!$C$15="",0,Vendedor7!$C$15)</f>
        <v>171550</v>
      </c>
      <c r="H10" s="30">
        <f>IF(Vendedor7!$E$15="",0,Vendedor7!$E$15)</f>
        <v>500</v>
      </c>
      <c r="J10" s="42">
        <f t="shared" si="8"/>
        <v>494450</v>
      </c>
      <c r="K10" s="41">
        <f>MROUND(J10*Vendedor7!J$14,50)</f>
        <v>59350</v>
      </c>
      <c r="L10" s="42">
        <f t="shared" si="9"/>
        <v>1000</v>
      </c>
      <c r="M10" s="42">
        <f t="shared" si="10"/>
        <v>85000</v>
      </c>
      <c r="N10" s="42">
        <f>Vendedor7!$F$7+Vendedor7!$F$11+Vendedor7!$F$15</f>
        <v>85000</v>
      </c>
      <c r="P10" s="42">
        <f t="shared" si="11"/>
        <v>350100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4600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11000</v>
      </c>
      <c r="H11" s="30">
        <f>IF(Vendedor8!$E$15="",0,Vendedor8!$E$15)</f>
        <v>0</v>
      </c>
      <c r="J11" s="42">
        <f t="shared" si="8"/>
        <v>15600</v>
      </c>
      <c r="K11" s="41">
        <f>MROUND(J11*Vendedor8!J$11,50)</f>
        <v>1850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13750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31650</v>
      </c>
      <c r="D12" s="30">
        <f>IF(Vendedor9!$E$7="",0,Vendedor9!$E$7)</f>
        <v>150</v>
      </c>
      <c r="E12" s="180">
        <f>IF(Vendedor9!$C$11="",0,Vendedor9!$C$11)</f>
        <v>19350</v>
      </c>
      <c r="F12" s="30">
        <f>IF(Vendedor9!$E$11="",0,Vendedor9!$E$11)</f>
        <v>0</v>
      </c>
      <c r="G12" s="180">
        <f>IF(Vendedor9!$C$15="",0,Vendedor9!$C$15)</f>
        <v>25400</v>
      </c>
      <c r="H12" s="30">
        <f>IF(Vendedor9!$E$15="",0,Vendedor9!$E$15)</f>
        <v>0</v>
      </c>
      <c r="J12" s="42">
        <f t="shared" si="8"/>
        <v>76400</v>
      </c>
      <c r="K12" s="41">
        <f>MROUND(J12*Vendedor9!J$11,50)</f>
        <v>9150</v>
      </c>
      <c r="L12" s="42">
        <f t="shared" si="9"/>
        <v>150</v>
      </c>
      <c r="M12" s="42">
        <f t="shared" si="10"/>
        <v>12750</v>
      </c>
      <c r="N12" s="42">
        <f>Vendedor9!$F$7+Vendedor9!$F$11+Vendedor9!$F$15</f>
        <v>12750</v>
      </c>
      <c r="P12" s="42">
        <f t="shared" si="11"/>
        <v>54500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43800</v>
      </c>
      <c r="D13" s="30">
        <f>IF(Vendedor10!$E$7="",0,Vendedor10!$E$7)</f>
        <v>200</v>
      </c>
      <c r="E13" s="180">
        <f>IF(Vendedor10!$C$11="",0,Vendedor10!$C$11)</f>
        <v>28200</v>
      </c>
      <c r="F13" s="30">
        <f>IF(Vendedor10!$E$11="",0,Vendedor10!$E$11)</f>
        <v>0</v>
      </c>
      <c r="G13" s="180">
        <f>IF(Vendedor10!$C$15="",0,Vendedor10!$C$15)</f>
        <v>56300</v>
      </c>
      <c r="H13" s="30">
        <f>IF(Vendedor10!$E$15="",0,Vendedor10!$E$15)</f>
        <v>0</v>
      </c>
      <c r="J13" s="42">
        <f t="shared" si="8"/>
        <v>128300</v>
      </c>
      <c r="K13" s="41">
        <f>MROUND(J13*Vendedor10!J$9,50)</f>
        <v>15400</v>
      </c>
      <c r="L13" s="42">
        <f t="shared" si="9"/>
        <v>200</v>
      </c>
      <c r="M13" s="42">
        <f t="shared" si="10"/>
        <v>17000</v>
      </c>
      <c r="N13" s="42">
        <f>Vendedor10!$F$7+Vendedor10!$F$11+Vendedor10!$F$15</f>
        <v>17000</v>
      </c>
      <c r="P13" s="42">
        <f t="shared" si="11"/>
        <v>95900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31100</v>
      </c>
      <c r="D14" s="30">
        <f>IF(Vendedor11!$E$7="",0,Vendedor11!$E$7)</f>
        <v>200</v>
      </c>
      <c r="E14" s="180">
        <f>IF(Vendedor11!$C$11="",0,Vendedor11!$C$11)</f>
        <v>17800</v>
      </c>
      <c r="F14" s="30">
        <f>IF(Vendedor11!$E$11="",0,Vendedor11!$E$11)</f>
        <v>0</v>
      </c>
      <c r="G14" s="180">
        <f>IF(Vendedor11!$C$15="",0,Vendedor11!$C$15)</f>
        <v>33200</v>
      </c>
      <c r="H14" s="30">
        <f>IF(Vendedor11!$E$15="",0,Vendedor11!$E$15)</f>
        <v>0</v>
      </c>
      <c r="J14" s="42">
        <f t="shared" si="8"/>
        <v>82100</v>
      </c>
      <c r="K14" s="41">
        <f>MROUND(J14*Vendedor11!J$9,50)</f>
        <v>12300</v>
      </c>
      <c r="L14" s="42">
        <f t="shared" si="9"/>
        <v>200</v>
      </c>
      <c r="M14" s="42">
        <f t="shared" si="10"/>
        <v>17000</v>
      </c>
      <c r="N14" s="42">
        <f>Vendedor11!$F$7+Vendedor11!$F$11+Vendedor11!$F$15</f>
        <v>16000</v>
      </c>
      <c r="P14" s="42">
        <f t="shared" si="11"/>
        <v>53800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17800</v>
      </c>
      <c r="D16" s="30">
        <f>IF(Vendedor13!$E$7="",0,Vendedor13!$E$7)</f>
        <v>0</v>
      </c>
      <c r="E16" s="180">
        <f>IF(Vendedor13!$C$11="",0,Vendedor13!$C$11)</f>
        <v>18500</v>
      </c>
      <c r="F16" s="30">
        <f>IF(Vendedor13!$E$11="",0,Vendedor13!$E$11)</f>
        <v>1000</v>
      </c>
      <c r="G16" s="180">
        <f>IF(Vendedor13!$C$15="",0,Vendedor13!$C$15)</f>
        <v>39900</v>
      </c>
      <c r="H16" s="30">
        <f>IF(Vendedor13!$E$15="",0,Vendedor13!$E$15)</f>
        <v>0</v>
      </c>
      <c r="J16" s="42">
        <f t="shared" si="8"/>
        <v>76200</v>
      </c>
      <c r="K16" s="41">
        <f>MROUND(J16*Vendedor13!J$11,50)</f>
        <v>9150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-17950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160400</v>
      </c>
      <c r="D17" s="30">
        <f>IF(Vendedor14!$E$7="",0,Vendedor14!$E$7)</f>
        <v>500</v>
      </c>
      <c r="E17" s="180">
        <f>IF(Vendedor14!$C$11="",0,Vendedor14!$C$11)</f>
        <v>72150</v>
      </c>
      <c r="F17" s="30">
        <f>IF(Vendedor14!$E$11="",0,Vendedor14!$E$11)</f>
        <v>600</v>
      </c>
      <c r="G17" s="180">
        <f>IF(Vendedor14!$C$15="",0,Vendedor14!$C$15)</f>
        <v>197550</v>
      </c>
      <c r="H17" s="30">
        <f>IF(Vendedor14!$E$15="",0,Vendedor14!$E$15)</f>
        <v>1850</v>
      </c>
      <c r="J17" s="42">
        <f t="shared" si="8"/>
        <v>430100</v>
      </c>
      <c r="K17" s="41">
        <f>MROUND(J17*Vendedor14!J$15,50)</f>
        <v>51600</v>
      </c>
      <c r="L17" s="42">
        <f t="shared" si="9"/>
        <v>2950</v>
      </c>
      <c r="M17" s="42">
        <f t="shared" si="10"/>
        <v>250750</v>
      </c>
      <c r="N17" s="42">
        <f>Vendedor14!$F$7+Vendedor14!$F$11+Vendedor14!$F$15</f>
        <v>250750</v>
      </c>
      <c r="P17" s="42">
        <f t="shared" si="11"/>
        <v>127750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42850</v>
      </c>
      <c r="D18" s="30">
        <f>IF(Vendedor15!$E$7="",0,Vendedor15!$E$7)</f>
        <v>300</v>
      </c>
      <c r="E18" s="180">
        <f>IF(Vendedor15!$C$11="",0,Vendedor15!$C$11)</f>
        <v>42900</v>
      </c>
      <c r="F18" s="30">
        <f>IF(Vendedor15!$E$11="",0,Vendedor15!$E$11)</f>
        <v>100</v>
      </c>
      <c r="G18" s="180">
        <f>IF(Vendedor15!$C$15="",0,Vendedor15!$C$15)</f>
        <v>104550</v>
      </c>
      <c r="H18" s="30">
        <f>IF(Vendedor15!$E$15="",0,Vendedor15!$E$15)</f>
        <v>700</v>
      </c>
      <c r="J18" s="42">
        <f t="shared" ref="J18" si="12">+C18+E18+G18</f>
        <v>190300</v>
      </c>
      <c r="K18" s="41">
        <f>MROUND(J18*Vendedor15!J$15,50)</f>
        <v>22850</v>
      </c>
      <c r="L18" s="42">
        <f t="shared" ref="L18" si="13">+D18+F18+H18</f>
        <v>1100</v>
      </c>
      <c r="M18" s="42">
        <f t="shared" ref="M18" si="14">+L18*85</f>
        <v>93500</v>
      </c>
      <c r="N18" s="42">
        <f>Vendedor15!$F$7+Vendedor15!$F$11+Vendedor15!$F$15</f>
        <v>93500</v>
      </c>
      <c r="P18" s="42">
        <f t="shared" ref="P18" si="15">+J18-K18-N18</f>
        <v>73950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711900</v>
      </c>
      <c r="D32" s="44">
        <f t="shared" si="16"/>
        <v>2950</v>
      </c>
      <c r="E32" s="43">
        <f t="shared" si="16"/>
        <v>451100</v>
      </c>
      <c r="F32" s="44">
        <f t="shared" si="16"/>
        <v>2450</v>
      </c>
      <c r="G32" s="43">
        <f t="shared" si="16"/>
        <v>923450</v>
      </c>
      <c r="H32" s="44">
        <f t="shared" si="16"/>
        <v>5600</v>
      </c>
      <c r="J32" s="95">
        <f>SUM(J4:J31)</f>
        <v>2086450</v>
      </c>
      <c r="K32" s="45">
        <f>SUM(K7:K31)</f>
        <v>207600</v>
      </c>
      <c r="L32" s="95">
        <f>SUM(L4:L31)</f>
        <v>11000</v>
      </c>
      <c r="M32" s="95">
        <f>SUM(M4:M31)</f>
        <v>935000</v>
      </c>
      <c r="N32" s="95">
        <f>SUM(N4:N31)</f>
        <v>934000</v>
      </c>
      <c r="P32" s="79">
        <f>SUM(P4:P31)</f>
        <v>895850</v>
      </c>
    </row>
    <row r="33" spans="3:13" x14ac:dyDescent="0.35">
      <c r="D33" s="99">
        <f>+D32*85</f>
        <v>250750</v>
      </c>
      <c r="F33" s="99">
        <f>+F32*85</f>
        <v>208250</v>
      </c>
      <c r="H33" s="99">
        <f>+H32*85</f>
        <v>476000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2086450</v>
      </c>
      <c r="E36" s="43">
        <f>+D36-J4-J5-J6</f>
        <v>1709600</v>
      </c>
      <c r="G36" s="101"/>
    </row>
    <row r="37" spans="3:13" x14ac:dyDescent="0.35">
      <c r="C37" s="47" t="s">
        <v>33</v>
      </c>
      <c r="D37" s="48">
        <f>D36*13%</f>
        <v>271238.5</v>
      </c>
      <c r="E37">
        <f>+D37-K4-K5-K6</f>
        <v>222238.5</v>
      </c>
      <c r="G37" s="100"/>
      <c r="H37" s="100"/>
    </row>
    <row r="38" spans="3:13" ht="15" thickBot="1" x14ac:dyDescent="0.4">
      <c r="C38" s="47" t="s">
        <v>30</v>
      </c>
      <c r="D38" s="30">
        <f>M32</f>
        <v>935000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880211.5</v>
      </c>
      <c r="F39" s="98">
        <f>+P32-D39</f>
        <v>15638.5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880211.5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93</v>
      </c>
      <c r="D2" s="268"/>
      <c r="E2" s="267">
        <f>DigitaNICA!E2</f>
        <v>17</v>
      </c>
      <c r="F2" s="268"/>
      <c r="G2" s="267">
        <f>DigitaNICA!G2</f>
        <v>21</v>
      </c>
      <c r="H2" s="268"/>
      <c r="I2" s="267">
        <f>DigitaNICA!I2</f>
        <v>62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25800</v>
      </c>
      <c r="D4" s="78">
        <f>IF(Vendedor1!$E$5="",0,Vendedor1!$E$5)</f>
        <v>100</v>
      </c>
      <c r="E4" s="189">
        <f>IF(Vendedor1!$C$9="",0,Vendedor1!$C$9)</f>
        <v>8200</v>
      </c>
      <c r="F4" s="78">
        <f>IF(Vendedor1!$E$9="",0,Vendedor1!$E$9)</f>
        <v>0</v>
      </c>
      <c r="G4" s="189">
        <f>IF(Vendedor1!$C$13="",0,Vendedor1!$C$13)</f>
        <v>11400</v>
      </c>
      <c r="H4" s="78">
        <f>IF(Vendedor1!$E$13="",0,Vendedor1!$E$13)</f>
        <v>500</v>
      </c>
      <c r="I4" s="189">
        <f>IF(Vendedor1!$C$17="",0,Vendedor1!$C$17)</f>
        <v>3300</v>
      </c>
      <c r="J4" s="78">
        <f>IF(Vendedor1!$E$17="",0,Vendedor1!$E$17)</f>
        <v>0</v>
      </c>
      <c r="L4" s="42">
        <f t="shared" ref="L4:L7" si="0">C4+E4+G4+I4</f>
        <v>48700</v>
      </c>
      <c r="M4" s="41">
        <f>MROUND(L4*Vendedor1!J$10,50)</f>
        <v>6350</v>
      </c>
      <c r="N4" s="42">
        <f t="shared" ref="N4:N7" si="1">D4+F4+H4+J4</f>
        <v>600</v>
      </c>
      <c r="O4" s="41">
        <f>IFERROR(N4*85,0)</f>
        <v>51000</v>
      </c>
      <c r="P4" s="42">
        <f>Vendedor1!$F$5+Vendedor1!$F$9+Vendedor1!$F$13+Vendedor1!$F$17</f>
        <v>48000</v>
      </c>
      <c r="R4" s="41">
        <f t="shared" ref="R4:R7" si="2">+L4-M4-O4</f>
        <v>-8650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16400</v>
      </c>
      <c r="D5" s="30">
        <f>IF(Vendedor2!$E$5="",0,Vendedor2!$E$5)</f>
        <v>500</v>
      </c>
      <c r="E5" s="180">
        <f>IF(Vendedor2!$C$9="",0,Vendedor2!$C$9)</f>
        <v>4250</v>
      </c>
      <c r="F5" s="30">
        <f>IF(Vendedor2!$E$9="",0,Vendedor2!$E$9)</f>
        <v>0</v>
      </c>
      <c r="G5" s="180">
        <f>IF(Vendedor2!$C$13="",0,Vendedor2!$C$13)</f>
        <v>2500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24150</v>
      </c>
      <c r="M5" s="41">
        <f>MROUND(L5*Vendedor2!J$10,50)</f>
        <v>3150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-21500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90300</v>
      </c>
      <c r="D8" s="30">
        <f>IF(Vendedor5!$E$5="",0,Vendedor5!$E$5)</f>
        <v>0</v>
      </c>
      <c r="E8" s="180">
        <f>IF(Vendedor5!$C$9="",0,Vendedor5!$C$9)</f>
        <v>51150</v>
      </c>
      <c r="F8" s="30">
        <f>IF(Vendedor5!$E$9="",0,Vendedor5!$E$9)</f>
        <v>500</v>
      </c>
      <c r="G8" s="180">
        <f>IF(Vendedor5!$C$13="",0,Vendedor5!$C$13)</f>
        <v>22450</v>
      </c>
      <c r="H8" s="30">
        <f>IF(Vendedor5!$E$13="",0,Vendedor5!$E$13)</f>
        <v>900</v>
      </c>
      <c r="I8" s="180">
        <f>IF(Vendedor5!$C$17="",0,Vendedor5!$C$17)</f>
        <v>38150</v>
      </c>
      <c r="J8" s="30">
        <f>IF(Vendedor5!$E$17="",0,Vendedor5!$E$17)</f>
        <v>0</v>
      </c>
      <c r="L8" s="42">
        <f t="shared" ref="L8" si="4">C8+E8+G8+I8</f>
        <v>202050</v>
      </c>
      <c r="M8" s="41">
        <f>MROUND(L8*Vendedor5!J$12,50)</f>
        <v>24250</v>
      </c>
      <c r="N8" s="42">
        <f t="shared" ref="N8" si="5">D8+F8+H8+J8</f>
        <v>1400</v>
      </c>
      <c r="O8" s="41">
        <f t="shared" si="3"/>
        <v>119000</v>
      </c>
      <c r="P8" s="42">
        <f>Vendedor5!$F$5+Vendedor5!$F$9+Vendedor5!$F$13+Vendedor5!$F$17</f>
        <v>112000</v>
      </c>
      <c r="Q8">
        <v>17</v>
      </c>
      <c r="R8" s="41">
        <f t="shared" ref="R8" si="6">+L8-M8-O8</f>
        <v>58800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62000</v>
      </c>
      <c r="D10" s="30">
        <f>IF(Vendedor7!$E$5="",0,Vendedor7!$E$5)</f>
        <v>100</v>
      </c>
      <c r="E10" s="180">
        <f>IF(Vendedor7!$C$9="",0,Vendedor7!$C$9)</f>
        <v>99450</v>
      </c>
      <c r="F10" s="30">
        <f>IF(Vendedor7!$E$9="",0,Vendedor7!$E$9)</f>
        <v>500</v>
      </c>
      <c r="G10" s="180">
        <f>IF(Vendedor7!$C$13="",0,Vendedor7!$C$13)</f>
        <v>69200</v>
      </c>
      <c r="H10" s="30">
        <f>IF(Vendedor7!$E$13="",0,Vendedor7!$E$13)</f>
        <v>950</v>
      </c>
      <c r="I10" s="180">
        <f>IF(Vendedor7!$C$17="",0,Vendedor7!$C$17)</f>
        <v>128550</v>
      </c>
      <c r="J10" s="30">
        <f>IF(Vendedor7!$E$17="",0,Vendedor7!$E$17)</f>
        <v>950</v>
      </c>
      <c r="L10" s="42">
        <f t="shared" si="7"/>
        <v>359200</v>
      </c>
      <c r="M10" s="41">
        <f>MROUND(L10*Vendedor7!J$15,50)</f>
        <v>43100</v>
      </c>
      <c r="N10" s="42">
        <f t="shared" ref="N10:N27" si="9">D10+F10+H10+J10</f>
        <v>2500</v>
      </c>
      <c r="O10" s="41">
        <f t="shared" si="3"/>
        <v>212500</v>
      </c>
      <c r="P10" s="42">
        <f>Vendedor7!$F$5+Vendedor7!$F$9+Vendedor7!$F$13+Vendedor7!$F$17</f>
        <v>212500</v>
      </c>
      <c r="R10" s="41">
        <f t="shared" si="8"/>
        <v>103600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33700</v>
      </c>
      <c r="D12" s="30">
        <f>IF(Vendedor9!$E$5="",0,Vendedor9!$E$5)</f>
        <v>0</v>
      </c>
      <c r="E12" s="180">
        <f>IF(Vendedor9!$C$9="",0,Vendedor9!$C$9)</f>
        <v>22950</v>
      </c>
      <c r="F12" s="30">
        <f>IF(Vendedor9!$E$9="",0,Vendedor9!$E$9)</f>
        <v>200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56650</v>
      </c>
      <c r="M12" s="41">
        <f>MROUND(L12*Vendedor9!J$12,50)</f>
        <v>6800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32850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30800</v>
      </c>
      <c r="D13" s="30">
        <f>IF(Vendedor10!$E$5="",0,Vendedor10!$E$5)</f>
        <v>0</v>
      </c>
      <c r="E13" s="180">
        <f>IF(Vendedor10!$C$9="",0,Vendedor10!$C$9)</f>
        <v>28500</v>
      </c>
      <c r="F13" s="30">
        <f>IF(Vendedor10!$E$9="",0,Vendedor10!$E$9)</f>
        <v>200</v>
      </c>
      <c r="G13" s="180">
        <f>IF(Vendedor10!$C$13="",0,Vendedor10!$C$13)</f>
        <v>24450</v>
      </c>
      <c r="H13" s="30">
        <f>IF(Vendedor10!$E$13="",0,Vendedor10!$E$13)</f>
        <v>1250</v>
      </c>
      <c r="I13" s="180">
        <f>IF(Vendedor10!$C$17="",0,Vendedor10!$C$17)</f>
        <v>400</v>
      </c>
      <c r="J13" s="30">
        <f>IF(Vendedor10!$E$17="",0,Vendedor10!$E$17)</f>
        <v>0</v>
      </c>
      <c r="L13" s="42">
        <f t="shared" si="7"/>
        <v>84150</v>
      </c>
      <c r="M13" s="41">
        <f>MROUND(L13*Vendedor10!J$10,50)</f>
        <v>10100</v>
      </c>
      <c r="N13" s="42">
        <f t="shared" si="9"/>
        <v>1450</v>
      </c>
      <c r="O13" s="41">
        <f t="shared" si="3"/>
        <v>123250</v>
      </c>
      <c r="P13" s="42">
        <f>Vendedor10!$F$5+Vendedor10!$F$9+Vendedor10!$F$13+Vendedor10!$F$17</f>
        <v>116000</v>
      </c>
      <c r="R13" s="41">
        <f t="shared" si="8"/>
        <v>-49200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3400</v>
      </c>
      <c r="D16" s="30">
        <f>IF(Vendedor13!$E$5="",0,Vendedor13!$E$5)</f>
        <v>0</v>
      </c>
      <c r="E16" s="180">
        <f>IF(Vendedor13!$C$9="",0,Vendedor13!$C$9)</f>
        <v>4000</v>
      </c>
      <c r="F16" s="30">
        <f>IF(Vendedor13!$E$9="",0,Vendedor13!$E$9)</f>
        <v>250</v>
      </c>
      <c r="G16" s="180">
        <f>IF(Vendedor13!$C$13="",0,Vendedor13!$C$13)</f>
        <v>2000</v>
      </c>
      <c r="H16" s="30">
        <f>IF(Vendedor13!$E$13="",0,Vendedor13!$E$13)</f>
        <v>0</v>
      </c>
      <c r="I16" s="180">
        <f>IF(Vendedor13!$C$17="",0,Vendedor13!$C$17)</f>
        <v>2750</v>
      </c>
      <c r="J16" s="30">
        <f>IF(Vendedor13!$E$17="",0,Vendedor13!$E$17)</f>
        <v>0</v>
      </c>
      <c r="L16" s="42">
        <f t="shared" si="7"/>
        <v>12150</v>
      </c>
      <c r="M16" s="41">
        <f>MROUND(L16*Vendedor13!J$12,50)</f>
        <v>1450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-10550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80850</v>
      </c>
      <c r="D17" s="30">
        <f>IF(Vendedor14!$E$5="",0,Vendedor14!$E$5)</f>
        <v>100</v>
      </c>
      <c r="E17" s="180">
        <f>IF(Vendedor14!$C$9="",0,Vendedor14!$C$9)</f>
        <v>71400</v>
      </c>
      <c r="F17" s="30">
        <f>IF(Vendedor14!$E$9="",0,Vendedor14!$E$9)</f>
        <v>150</v>
      </c>
      <c r="G17" s="180">
        <f>IF(Vendedor14!$C$13="",0,Vendedor14!$C$13)</f>
        <v>40000</v>
      </c>
      <c r="H17" s="30">
        <f>IF(Vendedor14!$E$13="",0,Vendedor14!$E$13)</f>
        <v>900</v>
      </c>
      <c r="I17" s="180">
        <f>IF(Vendedor14!$C$17="",0,Vendedor14!$C$17)</f>
        <v>146850</v>
      </c>
      <c r="J17" s="30">
        <f>IF(Vendedor14!$E$17="",0,Vendedor14!$E$17)</f>
        <v>250</v>
      </c>
      <c r="L17" s="42">
        <f>C17+E17+G17+I17</f>
        <v>339100</v>
      </c>
      <c r="M17" s="41">
        <f>MROUND(L17*Vendedor14!J$16,50)</f>
        <v>40700</v>
      </c>
      <c r="N17" s="42">
        <f t="shared" si="9"/>
        <v>1400</v>
      </c>
      <c r="O17" s="41">
        <f t="shared" si="3"/>
        <v>119000</v>
      </c>
      <c r="P17" s="42">
        <f>Vendedor14!$F$5+Vendedor14!$F$9+Vendedor14!$F$13+Vendedor14!$F$17</f>
        <v>119000</v>
      </c>
      <c r="R17" s="41">
        <f t="shared" si="8"/>
        <v>179400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45200</v>
      </c>
      <c r="D18" s="30">
        <f>IF(Vendedor15!$E$5="",0,Vendedor15!$E$5)</f>
        <v>100</v>
      </c>
      <c r="E18" s="180">
        <f>IF(Vendedor15!$C$9="",0,Vendedor15!$C$9)</f>
        <v>43950</v>
      </c>
      <c r="F18" s="30">
        <f>IF(Vendedor15!$E$9="",0,Vendedor15!$E$9)</f>
        <v>700</v>
      </c>
      <c r="G18" s="180">
        <f>IF(Vendedor15!$C$13="",0,Vendedor15!$C$13)</f>
        <v>51500</v>
      </c>
      <c r="H18" s="30">
        <f>IF(Vendedor15!$E$13="",0,Vendedor15!$E$13)</f>
        <v>1300</v>
      </c>
      <c r="I18" s="180">
        <f>IF(Vendedor15!$C$17="",0,Vendedor15!$C$17)</f>
        <v>29000</v>
      </c>
      <c r="J18" s="30">
        <f>IF(Vendedor15!$E$17="",0,Vendedor15!$E$17)</f>
        <v>0</v>
      </c>
      <c r="L18" s="42">
        <f t="shared" ref="L18:L27" si="10">C18+E18+G18+I18</f>
        <v>169650</v>
      </c>
      <c r="M18" s="41">
        <f>MROUND(L18*Vendedor15!J$16,50)</f>
        <v>20350</v>
      </c>
      <c r="N18" s="42">
        <f t="shared" si="9"/>
        <v>2100</v>
      </c>
      <c r="O18" s="41">
        <f t="shared" si="3"/>
        <v>178500</v>
      </c>
      <c r="P18" s="42">
        <f>Vendedor15!$F$5+Vendedor15!$F$9+Vendedor15!$F$13+Vendedor15!$F$17</f>
        <v>178500</v>
      </c>
      <c r="R18" s="41">
        <f t="shared" si="8"/>
        <v>-29200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388450</v>
      </c>
      <c r="D32" s="44">
        <f t="shared" si="14"/>
        <v>900</v>
      </c>
      <c r="E32" s="43">
        <f t="shared" si="14"/>
        <v>333850</v>
      </c>
      <c r="F32" s="44">
        <f t="shared" si="14"/>
        <v>2500</v>
      </c>
      <c r="G32" s="43">
        <f t="shared" si="14"/>
        <v>223500</v>
      </c>
      <c r="H32" s="44">
        <f t="shared" si="14"/>
        <v>5800</v>
      </c>
      <c r="I32" s="43">
        <f t="shared" si="14"/>
        <v>350000</v>
      </c>
      <c r="J32" s="44">
        <f t="shared" si="14"/>
        <v>1200</v>
      </c>
      <c r="L32" s="45">
        <f>SUM(L4:L31)</f>
        <v>1295800</v>
      </c>
      <c r="M32" s="45">
        <f>SUM(M7:M31)</f>
        <v>146750</v>
      </c>
      <c r="N32" s="95">
        <f>SUM(N4:N31)</f>
        <v>10400</v>
      </c>
      <c r="O32" s="46">
        <f>SUM(O4:O31)</f>
        <v>884000</v>
      </c>
      <c r="P32" s="140">
        <f>SUM(P4:P31)</f>
        <v>863000</v>
      </c>
      <c r="R32" s="79">
        <f>SUM(R4:R31)</f>
        <v>255550</v>
      </c>
    </row>
    <row r="33" spans="3:15" x14ac:dyDescent="0.35">
      <c r="D33" s="120">
        <f>+D32*85</f>
        <v>76500</v>
      </c>
      <c r="F33" s="120">
        <f>+F32*85</f>
        <v>212500</v>
      </c>
      <c r="H33" s="120">
        <f>+H32*85</f>
        <v>493000</v>
      </c>
      <c r="J33" s="120">
        <f>+J32*85</f>
        <v>102000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1295800</v>
      </c>
      <c r="E36" s="43">
        <f>+D36-L4-L5-L6</f>
        <v>1222950</v>
      </c>
    </row>
    <row r="37" spans="3:15" x14ac:dyDescent="0.35">
      <c r="C37" s="47" t="s">
        <v>33</v>
      </c>
      <c r="D37" s="48">
        <f>D36*13%</f>
        <v>168454</v>
      </c>
      <c r="E37">
        <f>+D37-M4-M5-M6</f>
        <v>158954</v>
      </c>
    </row>
    <row r="38" spans="3:15" x14ac:dyDescent="0.35">
      <c r="C38" s="47" t="s">
        <v>30</v>
      </c>
      <c r="D38" s="30">
        <f>SUM(O4:O27)</f>
        <v>884000</v>
      </c>
      <c r="G38" s="100"/>
    </row>
    <row r="39" spans="3:15" ht="15" thickBot="1" x14ac:dyDescent="0.4">
      <c r="C39" s="49" t="s">
        <v>4</v>
      </c>
      <c r="D39" s="80">
        <f>+D36-D37-D38</f>
        <v>243346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243346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66 Roja</v>
      </c>
      <c r="D2" s="268"/>
      <c r="E2" s="267" t="str">
        <f>IF(E33=0,"",CONCATENATE(PREMIOS!$B11," ",PREMIOS!$B12))</f>
        <v>85 Blanca</v>
      </c>
      <c r="F2" s="268"/>
      <c r="G2" s="267" t="str">
        <f>IF(G33=0,"",CONCATENATE(PREMIOS!$B15," ",PREMIOS!$B16))</f>
        <v>92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29550</v>
      </c>
      <c r="D10" s="30">
        <f>IF(Vendedor7!$E$8="",0,Vendedor7!$E$8)</f>
        <v>0</v>
      </c>
      <c r="E10" s="180">
        <f>IF(Vendedor7!$C$12="",0,Vendedor7!$C$12)</f>
        <v>24250</v>
      </c>
      <c r="F10" s="30">
        <f>IF(Vendedor7!$E$12="",0,Vendedor7!$E$12)</f>
        <v>0</v>
      </c>
      <c r="G10" s="180">
        <f>IF(Vendedor7!$C$16="",0,Vendedor7!$C$16)</f>
        <v>34500</v>
      </c>
      <c r="H10" s="30">
        <f>IF(Vendedor7!$E$16="",0,Vendedor7!$E$16)</f>
        <v>0</v>
      </c>
      <c r="J10" s="42">
        <f t="shared" si="1"/>
        <v>88300</v>
      </c>
      <c r="K10" s="41">
        <f>J10*Vendedor7!J$16</f>
        <v>8830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79470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2000</v>
      </c>
      <c r="D12" s="30">
        <f>IF(Vendedor9!$E$8="",0,Vendedor9!$E$8)</f>
        <v>150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3000</v>
      </c>
      <c r="K12" s="41">
        <f>J12*Vendedor9!J$13</f>
        <v>300</v>
      </c>
      <c r="L12" s="42">
        <f t="shared" si="2"/>
        <v>150</v>
      </c>
      <c r="M12" s="42">
        <f t="shared" si="3"/>
        <v>150</v>
      </c>
      <c r="N12" s="42">
        <f t="shared" si="0"/>
        <v>33000</v>
      </c>
      <c r="O12" s="42">
        <f>Vendedor9!$F$8+Vendedor9!$F$12+Vendedor9!$F$16</f>
        <v>30000</v>
      </c>
      <c r="Q12" s="42">
        <f t="shared" si="4"/>
        <v>-27300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1450</v>
      </c>
      <c r="H16" s="30">
        <f>IF(Vendedor13!$E$16="",0,Vendedor13!$E$16)</f>
        <v>0</v>
      </c>
      <c r="J16" s="42">
        <f t="shared" si="1"/>
        <v>3450</v>
      </c>
      <c r="K16" s="41">
        <f>J16*Vendedor13!J$13</f>
        <v>345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3105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34750</v>
      </c>
      <c r="D17" s="30">
        <f>IF(Vendedor14!$E$8="",0,Vendedor14!$E$8)</f>
        <v>0</v>
      </c>
      <c r="E17" s="180">
        <f>IF(Vendedor14!$C$12="",0,Vendedor14!$C$12)</f>
        <v>10950</v>
      </c>
      <c r="F17" s="30">
        <f>IF(Vendedor14!$E$12="",0,Vendedor14!$E$12)</f>
        <v>0</v>
      </c>
      <c r="G17" s="180">
        <f>IF(Vendedor14!$C$16="",0,Vendedor14!$C$16)</f>
        <v>25350</v>
      </c>
      <c r="H17" s="30">
        <f>IF(Vendedor14!$E$16="",0,Vendedor14!$E$16)</f>
        <v>0</v>
      </c>
      <c r="J17" s="42">
        <f t="shared" si="1"/>
        <v>71050</v>
      </c>
      <c r="K17" s="41">
        <f>J17*Vendedor14!J$17</f>
        <v>7105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63945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19200</v>
      </c>
      <c r="D18" s="30">
        <f>IF(Vendedor15!$E$8="",0,Vendedor15!$E$8)</f>
        <v>300</v>
      </c>
      <c r="E18" s="180">
        <f>IF(Vendedor15!$C$12="",0,Vendedor15!$C$12)</f>
        <v>19500</v>
      </c>
      <c r="F18" s="30">
        <f>IF(Vendedor15!$E$12="",0,Vendedor15!$E$12)</f>
        <v>0</v>
      </c>
      <c r="G18" s="180">
        <f>IF(Vendedor15!$C$16="",0,Vendedor15!$C$16)</f>
        <v>23500</v>
      </c>
      <c r="H18" s="30">
        <f>IF(Vendedor15!$E$16="",0,Vendedor15!$E$16)</f>
        <v>0</v>
      </c>
      <c r="J18" s="42">
        <f t="shared" ref="J18" si="5">+C18+E18+G18</f>
        <v>62200</v>
      </c>
      <c r="K18" s="41">
        <f>J18*Vendedor15!J$17</f>
        <v>6220</v>
      </c>
      <c r="L18" s="42">
        <f t="shared" si="2"/>
        <v>300</v>
      </c>
      <c r="M18" s="42">
        <f t="shared" si="3"/>
        <v>300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-4020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87500</v>
      </c>
      <c r="D33" s="44">
        <f>IF(PREMIOS!E8&lt;&gt;0,SUM(D4:D32),0)</f>
        <v>450</v>
      </c>
      <c r="E33" s="43">
        <f>SUM(E4:E32)</f>
        <v>55700</v>
      </c>
      <c r="F33" s="44">
        <f>IF(PREMIOS!E12&lt;&gt;0,SUM(F4:F32),0)</f>
        <v>0</v>
      </c>
      <c r="G33" s="43">
        <f>SUM(G4:G32)</f>
        <v>84800</v>
      </c>
      <c r="H33" s="44">
        <f>IF(PREMIOS!E16&lt;&gt;0,SUM(H4:H32),0)</f>
        <v>0</v>
      </c>
      <c r="J33" s="45">
        <f>SUM(J4:J32)</f>
        <v>228000</v>
      </c>
      <c r="K33" s="45">
        <f>SUM(K7:K32)</f>
        <v>22800</v>
      </c>
      <c r="L33" s="95">
        <f>SUM(L7:L32)</f>
        <v>450</v>
      </c>
      <c r="M33" s="95">
        <f>SUM(M7:M32)</f>
        <v>450</v>
      </c>
      <c r="N33" s="95">
        <f>SUM(N4:N27)</f>
        <v>99000</v>
      </c>
      <c r="O33" s="95">
        <f>SUM(O4:O27)</f>
        <v>90000</v>
      </c>
      <c r="Q33" s="79">
        <f>SUM(Q4:Q32)</f>
        <v>115200</v>
      </c>
    </row>
    <row r="34" spans="3:17" x14ac:dyDescent="0.35">
      <c r="D34" s="118">
        <f>IF(PREMIOS!$D8=PREMIOS!$J$10,D33*$G$38,IF(PREMIOS!$D8=PREMIOS!$J$11,D33*$F$38,IF(PREMIOS!$D8=PREMIOS!$J$12,0,"")))</f>
        <v>99000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228000</v>
      </c>
      <c r="E37" s="43">
        <f>+D37-J4-J5-J6</f>
        <v>228000</v>
      </c>
      <c r="F37" s="275"/>
      <c r="G37" s="275"/>
    </row>
    <row r="38" spans="3:17" ht="15" thickBot="1" x14ac:dyDescent="0.4">
      <c r="C38" s="47" t="s">
        <v>33</v>
      </c>
      <c r="D38" s="30">
        <f>D37*10%</f>
        <v>22800</v>
      </c>
      <c r="E38" s="43">
        <f>+D38-K4-K5-K6</f>
        <v>22800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99000</v>
      </c>
    </row>
    <row r="40" spans="3:17" ht="15" thickBot="1" x14ac:dyDescent="0.4">
      <c r="C40" s="49" t="s">
        <v>4</v>
      </c>
      <c r="D40" s="80">
        <f>+D37-D38-D39</f>
        <v>106200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106200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38</v>
      </c>
      <c r="D2" s="268"/>
      <c r="E2" s="267">
        <f>DigitaPRIMERA!E2</f>
        <v>99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13400</v>
      </c>
      <c r="D4" s="78">
        <f>IF(Vendedor1!$E$19="",0,Vendedor1!$E$19)</f>
        <v>0</v>
      </c>
      <c r="E4" s="189">
        <f>IF(Vendedor1!$C$20="",0,Vendedor1!$C$20)</f>
        <v>2500</v>
      </c>
      <c r="F4" s="78">
        <f>IF(Vendedor1!$E$20="",0,Vendedor1!$E$20)</f>
        <v>100</v>
      </c>
      <c r="H4" s="42">
        <f>+C4+E4</f>
        <v>15900</v>
      </c>
      <c r="I4" s="41">
        <f>MROUND(H4*Vendedor1!J$9,50)</f>
        <v>2050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5850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8250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8250</v>
      </c>
      <c r="I5" s="41">
        <f>MROUND(H5*Vendedor2!J$9,50)</f>
        <v>1050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21950</v>
      </c>
      <c r="D8" s="30">
        <f>IF(Vendedor5!$E$19="",0,Vendedor5!$E$19)</f>
        <v>1000</v>
      </c>
      <c r="E8" s="180">
        <f>IF(Vendedor5!$C$20="",0,Vendedor5!$C$20)</f>
        <v>44400</v>
      </c>
      <c r="F8" s="30">
        <f>IF(Vendedor5!$E$20="",0,Vendedor5!$E$20)</f>
        <v>0</v>
      </c>
      <c r="H8" s="133">
        <f t="shared" si="1"/>
        <v>66350</v>
      </c>
      <c r="I8" s="148">
        <f>MROUND(H8*Vendedor5!J$11,50)</f>
        <v>7950</v>
      </c>
      <c r="J8" s="133">
        <f t="shared" si="2"/>
        <v>1000</v>
      </c>
      <c r="K8" s="133">
        <f t="shared" si="3"/>
        <v>85000</v>
      </c>
      <c r="L8" s="133">
        <f>Vendedor5!$F$19+Vendedor5!$F$20</f>
        <v>80000</v>
      </c>
      <c r="M8" s="155"/>
      <c r="N8" s="133">
        <f t="shared" si="0"/>
        <v>-21600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16300</v>
      </c>
      <c r="D10" s="30">
        <f>IF(Vendedor7!$E$19="",0,Vendedor7!$E$19)</f>
        <v>500</v>
      </c>
      <c r="E10" s="180">
        <f>IF(Vendedor7!$C$20="",0,Vendedor7!$C$20)</f>
        <v>13550</v>
      </c>
      <c r="F10" s="30">
        <f>IF(Vendedor7!$E$20="",0,Vendedor7!$E$20)</f>
        <v>0</v>
      </c>
      <c r="H10" s="42">
        <f t="shared" si="1"/>
        <v>29850</v>
      </c>
      <c r="I10" s="41">
        <f>MROUND(H10*Vendedor7!J$14,50)</f>
        <v>3600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-16250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33100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33100</v>
      </c>
      <c r="I12" s="148">
        <f>MROUND(H12*Vendedor9!J$11,50)</f>
        <v>3950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12150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3400</v>
      </c>
      <c r="I16" s="148">
        <f>MROUND(H16*Vendedor13!J$11,50)</f>
        <v>400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3000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76650</v>
      </c>
      <c r="D17" s="30">
        <f>IF(Vendedor14!$E$19="",0,Vendedor14!$E$19)</f>
        <v>100</v>
      </c>
      <c r="E17" s="180">
        <f>IF(Vendedor14!$C$20="",0,Vendedor14!$C$20)</f>
        <v>10500</v>
      </c>
      <c r="F17" s="30">
        <f>IF(Vendedor14!$E$20="",0,Vendedor14!$E$20)</f>
        <v>0</v>
      </c>
      <c r="H17" s="42">
        <f t="shared" si="1"/>
        <v>87150</v>
      </c>
      <c r="I17" s="41">
        <f>MROUND(H17*Vendedor14!J$15,50)</f>
        <v>10450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68200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42500</v>
      </c>
      <c r="D18" s="30">
        <f>IF(Vendedor15!$E$19="",0,Vendedor15!$E$19)</f>
        <v>0</v>
      </c>
      <c r="E18" s="180">
        <f>IF(Vendedor15!$C$20="",0,Vendedor15!$C$20)</f>
        <v>50600</v>
      </c>
      <c r="F18" s="30">
        <f>IF(Vendedor15!$E$20="",0,Vendedor15!$E$20)</f>
        <v>1000</v>
      </c>
      <c r="H18" s="42">
        <f t="shared" si="1"/>
        <v>93100</v>
      </c>
      <c r="I18" s="41">
        <f>MROUND(H18*Vendedor15!J$15,50)</f>
        <v>11150</v>
      </c>
      <c r="J18" s="42">
        <f t="shared" si="2"/>
        <v>1000</v>
      </c>
      <c r="K18" s="42">
        <f t="shared" si="3"/>
        <v>85000</v>
      </c>
      <c r="L18" s="42">
        <f>Vendedor15!$F$19+Vendedor15!$F$20</f>
        <v>85000</v>
      </c>
      <c r="N18" s="42">
        <f t="shared" si="0"/>
        <v>-3050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215550</v>
      </c>
      <c r="D32" s="44">
        <f>SUM(D4:D31)</f>
        <v>1800</v>
      </c>
      <c r="E32" s="43">
        <f>SUM(E4:E31)</f>
        <v>121550</v>
      </c>
      <c r="F32" s="44">
        <f>SUM(F4:F31)</f>
        <v>1100</v>
      </c>
      <c r="H32" s="95">
        <f>SUM(H4:H31)</f>
        <v>337100</v>
      </c>
      <c r="I32" s="45">
        <f>SUM(I7:I31)</f>
        <v>37500</v>
      </c>
      <c r="J32" s="95"/>
      <c r="K32" s="95">
        <f>SUM(K4:K31)</f>
        <v>246500</v>
      </c>
      <c r="L32" s="95">
        <f>SUM(L4:L31)</f>
        <v>241000</v>
      </c>
      <c r="N32" s="79">
        <f>SUM(N4:N31)</f>
        <v>55500</v>
      </c>
    </row>
    <row r="33" spans="3:6" x14ac:dyDescent="0.35">
      <c r="D33" s="99">
        <f>+D32*85</f>
        <v>153000</v>
      </c>
      <c r="F33" s="99">
        <f>+F32*85</f>
        <v>93500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337100</v>
      </c>
      <c r="E36" s="43">
        <f>+D36-H4-H5-H6</f>
        <v>312950</v>
      </c>
    </row>
    <row r="37" spans="3:6" x14ac:dyDescent="0.35">
      <c r="C37" s="47" t="s">
        <v>33</v>
      </c>
      <c r="D37" s="48">
        <f>D36*13%</f>
        <v>43823</v>
      </c>
      <c r="E37">
        <f>+D37-I4-I5-I6</f>
        <v>40723</v>
      </c>
    </row>
    <row r="38" spans="3:6" ht="15" thickBot="1" x14ac:dyDescent="0.4">
      <c r="C38" s="47" t="s">
        <v>30</v>
      </c>
      <c r="D38" s="30">
        <f>SUM(K4:K27)</f>
        <v>246500</v>
      </c>
    </row>
    <row r="39" spans="3:6" ht="15" thickBot="1" x14ac:dyDescent="0.4">
      <c r="C39" s="49" t="s">
        <v>4</v>
      </c>
      <c r="D39" s="80">
        <f>+D36-D37-D38</f>
        <v>46777</v>
      </c>
      <c r="F39" s="98">
        <f>+N32-D39</f>
        <v>8723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46777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49</v>
      </c>
      <c r="D2" s="268"/>
      <c r="E2" s="267">
        <f>DigitaHONDURAS!E2</f>
        <v>34</v>
      </c>
      <c r="F2" s="268"/>
      <c r="G2" s="267">
        <f>DigitaHONDURAS!G2</f>
        <v>65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10800</v>
      </c>
      <c r="D10" s="30">
        <f>IF(Vendedor7!$E$21="",0,Vendedor7!$E$21)</f>
        <v>0</v>
      </c>
      <c r="E10" s="180">
        <f>IF(Vendedor7!$C$22="",0,Vendedor7!$C$22)</f>
        <v>3800</v>
      </c>
      <c r="F10" s="30">
        <f>IF(Vendedor7!$E$22="",0,Vendedor7!$E$22)</f>
        <v>0</v>
      </c>
      <c r="G10" s="180">
        <f>IF(Vendedor7!$C$23="",0,Vendedor7!$C$23)</f>
        <v>1850</v>
      </c>
      <c r="H10" s="30">
        <f>IF(Vendedor7!$E$23="",0,Vendedor7!$E$23)</f>
        <v>0</v>
      </c>
      <c r="J10" s="42">
        <f t="shared" si="0"/>
        <v>16450</v>
      </c>
      <c r="K10" s="41">
        <f>MROUND(J10*Vendedor7!J$14,50)</f>
        <v>1950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14500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10200</v>
      </c>
      <c r="D12" s="30">
        <f>IF(Vendedor9!$E$21="",0,Vendedor9!$E$21)</f>
        <v>150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10200</v>
      </c>
      <c r="K12" s="41">
        <f>MROUND(J12*Vendedor9!J$14,50)</f>
        <v>1200</v>
      </c>
      <c r="L12" s="42">
        <f t="shared" ref="L12" si="5">+D12+F12+H12</f>
        <v>150</v>
      </c>
      <c r="M12" s="42">
        <f t="shared" si="3"/>
        <v>12750</v>
      </c>
      <c r="N12" s="42">
        <f>Vendedor9!$F$21+Vendedor9!$F$22+Vendedor9!$F$23</f>
        <v>12750</v>
      </c>
      <c r="P12" s="42">
        <f t="shared" ref="P12" si="6">+J12-K12-N12</f>
        <v>-3750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36250</v>
      </c>
      <c r="D17" s="30">
        <f>IF(Vendedor14!$E$21="",0,Vendedor14!$E$21)</f>
        <v>600</v>
      </c>
      <c r="E17" s="180">
        <f>IF(Vendedor14!$C$22="",0,Vendedor14!$C$22)</f>
        <v>7750</v>
      </c>
      <c r="F17" s="30">
        <f>IF(Vendedor14!$E$22="",0,Vendedor14!$E$22)</f>
        <v>150</v>
      </c>
      <c r="G17" s="180">
        <f>IF(Vendedor14!$C$23="",0,Vendedor14!$C$23)</f>
        <v>20100</v>
      </c>
      <c r="H17" s="30">
        <f>IF(Vendedor14!$E$23="",0,Vendedor14!$E$23)</f>
        <v>0</v>
      </c>
      <c r="J17" s="42">
        <f t="shared" si="0"/>
        <v>64100</v>
      </c>
      <c r="K17" s="41">
        <f>MROUND(J17*Vendedor14!J$15,50)</f>
        <v>7700</v>
      </c>
      <c r="L17" s="42">
        <f t="shared" si="1"/>
        <v>750</v>
      </c>
      <c r="M17" s="42">
        <f t="shared" si="3"/>
        <v>63750</v>
      </c>
      <c r="N17" s="42">
        <f>Vendedor14!$F$21+Vendedor14!$F$22+Vendedor14!$F$23</f>
        <v>63750</v>
      </c>
      <c r="P17" s="42">
        <f t="shared" si="2"/>
        <v>-7350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7900</v>
      </c>
      <c r="D18" s="30">
        <f>IF(Vendedor15!$E$21="",0,Vendedor15!$E$21)</f>
        <v>0</v>
      </c>
      <c r="E18" s="180">
        <f>IF(Vendedor15!$C$22="",0,Vendedor15!$C$22)</f>
        <v>8850</v>
      </c>
      <c r="F18" s="30">
        <f>IF(Vendedor15!$E$22="",0,Vendedor15!$E$22)</f>
        <v>250</v>
      </c>
      <c r="G18" s="180">
        <f>IF(Vendedor15!$C$23="",0,Vendedor15!$C$23)</f>
        <v>7600</v>
      </c>
      <c r="H18" s="30">
        <f>IF(Vendedor15!$E$23="",0,Vendedor15!$E$23)</f>
        <v>0</v>
      </c>
      <c r="J18" s="42">
        <f t="shared" si="0"/>
        <v>24350</v>
      </c>
      <c r="K18" s="41">
        <f>MROUND(J18*Vendedor15!J$15,50)</f>
        <v>2900</v>
      </c>
      <c r="L18" s="42">
        <f t="shared" si="1"/>
        <v>250</v>
      </c>
      <c r="M18" s="42">
        <f t="shared" si="3"/>
        <v>21250</v>
      </c>
      <c r="N18" s="42">
        <f>Vendedor15!$F$21+Vendedor15!$F$22+Vendedor15!$F$23</f>
        <v>21250</v>
      </c>
      <c r="P18" s="42">
        <f t="shared" si="2"/>
        <v>200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65150</v>
      </c>
      <c r="D32" s="44">
        <f t="shared" si="8"/>
        <v>750</v>
      </c>
      <c r="E32" s="43">
        <f t="shared" si="8"/>
        <v>20400</v>
      </c>
      <c r="F32" s="44">
        <f t="shared" si="8"/>
        <v>400</v>
      </c>
      <c r="G32" s="43">
        <f t="shared" si="8"/>
        <v>29550</v>
      </c>
      <c r="H32" s="44">
        <f t="shared" si="8"/>
        <v>0</v>
      </c>
      <c r="J32" s="95">
        <f>SUM(J4:J31)</f>
        <v>115100</v>
      </c>
      <c r="K32" s="45">
        <f>SUM(K7:K31)</f>
        <v>13750</v>
      </c>
      <c r="L32" s="95"/>
      <c r="M32" s="95">
        <f>SUM(M4:M31)</f>
        <v>97750</v>
      </c>
      <c r="N32" s="95">
        <f>SUM(N4:N31)</f>
        <v>97750</v>
      </c>
      <c r="P32" s="79">
        <f>SUM(P4:P31)</f>
        <v>3600</v>
      </c>
    </row>
    <row r="33" spans="3:8" x14ac:dyDescent="0.35">
      <c r="D33" s="99">
        <f>+D32*85</f>
        <v>63750</v>
      </c>
      <c r="F33" s="99">
        <f>+F32*85</f>
        <v>34000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115100</v>
      </c>
      <c r="E36" s="43">
        <f>+D36-J4-J5-J6</f>
        <v>115100</v>
      </c>
    </row>
    <row r="37" spans="3:8" x14ac:dyDescent="0.35">
      <c r="C37" s="47" t="s">
        <v>33</v>
      </c>
      <c r="D37" s="48">
        <f>D36*13%</f>
        <v>14963</v>
      </c>
      <c r="E37">
        <f>+D37-K4-K5-K6</f>
        <v>14963</v>
      </c>
    </row>
    <row r="38" spans="3:8" ht="15" thickBot="1" x14ac:dyDescent="0.4">
      <c r="C38" s="47" t="s">
        <v>30</v>
      </c>
      <c r="D38" s="30">
        <f>SUM(M4:M27)</f>
        <v>97750</v>
      </c>
      <c r="G38" s="100"/>
    </row>
    <row r="39" spans="3:8" ht="15" thickBot="1" x14ac:dyDescent="0.4">
      <c r="C39" s="49" t="s">
        <v>4</v>
      </c>
      <c r="D39" s="80">
        <f>+D36-D37-D38</f>
        <v>2387</v>
      </c>
      <c r="F39" s="98">
        <f>+P32-D39</f>
        <v>1213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2387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93</v>
      </c>
      <c r="D2" s="268"/>
      <c r="E2" s="267">
        <f>DigitaDOMINICANA!E2</f>
        <v>51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8500</v>
      </c>
      <c r="D10" s="30">
        <f>IF(Vendedor7!$E$24="",0,Vendedor7!$E$24)</f>
        <v>0</v>
      </c>
      <c r="E10" s="180">
        <f>IF(Vendedor7!$C$25="",0,Vendedor7!$C$25)</f>
        <v>26250</v>
      </c>
      <c r="F10" s="30">
        <f>IF(Vendedor7!$E$25="",0,Vendedor7!$E$25)</f>
        <v>0</v>
      </c>
      <c r="H10" s="42">
        <f t="shared" si="1"/>
        <v>34750</v>
      </c>
      <c r="I10" s="41">
        <f>MROUND(H10*Vendedor7!J$14,50)</f>
        <v>4150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30600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8500</v>
      </c>
      <c r="D32" s="44">
        <f>SUM(D4:D31)</f>
        <v>0</v>
      </c>
      <c r="E32" s="43">
        <f>SUM(E4:E31)</f>
        <v>26250</v>
      </c>
      <c r="F32" s="44">
        <f>SUM(F4:F31)</f>
        <v>0</v>
      </c>
      <c r="H32" s="95">
        <f>SUM(H4:H31)</f>
        <v>34750</v>
      </c>
      <c r="I32" s="45">
        <f>SUM(I7:I31)</f>
        <v>4150</v>
      </c>
      <c r="J32" s="95"/>
      <c r="K32" s="95">
        <f>SUM(K4:K31)</f>
        <v>0</v>
      </c>
      <c r="L32" s="95">
        <f>SUM(L4:L31)</f>
        <v>0</v>
      </c>
      <c r="N32" s="79">
        <f>SUM(N4:N31)</f>
        <v>30600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34750</v>
      </c>
      <c r="E36" s="43">
        <f>+D36-H4-H5-H6</f>
        <v>34750</v>
      </c>
    </row>
    <row r="37" spans="3:6" x14ac:dyDescent="0.35">
      <c r="C37" s="47" t="s">
        <v>33</v>
      </c>
      <c r="D37" s="48">
        <f>D36*13%</f>
        <v>4517.5</v>
      </c>
      <c r="E37">
        <f>+D37-I4-I5-I6</f>
        <v>4517.5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30232.5</v>
      </c>
      <c r="F39" s="98">
        <f>+N32-D39</f>
        <v>367.5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30232.5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1222950</v>
      </c>
      <c r="C4" s="157">
        <f>HojaNICA!M32</f>
        <v>146750</v>
      </c>
      <c r="D4" s="150">
        <f>HojaNICA!E37</f>
        <v>158954</v>
      </c>
      <c r="E4" s="150">
        <f>HojaNICA!P32</f>
        <v>863000</v>
      </c>
      <c r="F4" s="150">
        <f>HojaNICA!O32</f>
        <v>884000</v>
      </c>
      <c r="G4" s="151">
        <f t="shared" ref="G4:G10" si="0">+D4-C4+F4-E4</f>
        <v>33204</v>
      </c>
      <c r="H4" s="21"/>
      <c r="I4" s="182"/>
    </row>
    <row r="5" spans="1:9" x14ac:dyDescent="0.35">
      <c r="A5" s="28" t="s">
        <v>19</v>
      </c>
      <c r="B5" s="156">
        <f>HojaTICA!$E$36</f>
        <v>1709600</v>
      </c>
      <c r="C5" s="157">
        <f>HojaTICA!K32</f>
        <v>207600</v>
      </c>
      <c r="D5" s="150">
        <f>HojaTICA!E37</f>
        <v>222238.5</v>
      </c>
      <c r="E5" s="150">
        <f>HojaTICA!N32</f>
        <v>934000</v>
      </c>
      <c r="F5" s="150">
        <f>HojaTICA!D38</f>
        <v>935000</v>
      </c>
      <c r="G5" s="151">
        <f t="shared" si="0"/>
        <v>15638.5</v>
      </c>
      <c r="H5" s="21"/>
      <c r="I5" s="182"/>
    </row>
    <row r="6" spans="1:9" x14ac:dyDescent="0.35">
      <c r="A6" s="28" t="s">
        <v>125</v>
      </c>
      <c r="B6" s="156">
        <f>HojaREVENTADO!$E$37</f>
        <v>228000</v>
      </c>
      <c r="C6" s="157">
        <f>HojaREVENTADO!K33</f>
        <v>22800</v>
      </c>
      <c r="D6" s="150">
        <f>HojaREVENTADO!E38</f>
        <v>22800</v>
      </c>
      <c r="E6" s="150">
        <f>HojaREVENTADO!O33</f>
        <v>90000</v>
      </c>
      <c r="F6" s="150">
        <f>HojaREVENTADO!N33</f>
        <v>99000</v>
      </c>
      <c r="G6" s="151">
        <f t="shared" si="0"/>
        <v>9000</v>
      </c>
      <c r="H6" s="21"/>
      <c r="I6" s="182"/>
    </row>
    <row r="7" spans="1:9" x14ac:dyDescent="0.35">
      <c r="A7" s="28" t="s">
        <v>96</v>
      </c>
      <c r="B7" s="156">
        <f>HojaPrimera!$E$36</f>
        <v>312950</v>
      </c>
      <c r="C7" s="157">
        <f>HojaPrimera!I32</f>
        <v>37500</v>
      </c>
      <c r="D7" s="150">
        <f>HojaPrimera!E37</f>
        <v>40723</v>
      </c>
      <c r="E7" s="150">
        <f>HojaPrimera!L32</f>
        <v>241000</v>
      </c>
      <c r="F7" s="150">
        <f>HojaPrimera!K32</f>
        <v>246500</v>
      </c>
      <c r="G7" s="151">
        <f t="shared" si="0"/>
        <v>8723</v>
      </c>
      <c r="H7" s="21"/>
      <c r="I7" s="21"/>
    </row>
    <row r="8" spans="1:9" x14ac:dyDescent="0.35">
      <c r="A8" s="28" t="s">
        <v>104</v>
      </c>
      <c r="B8" s="156">
        <f>HojaHonduras!$E$36</f>
        <v>115100</v>
      </c>
      <c r="C8" s="157">
        <f>HojaHonduras!K32</f>
        <v>13750</v>
      </c>
      <c r="D8" s="150">
        <f>HojaHonduras!E37</f>
        <v>14963</v>
      </c>
      <c r="E8" s="150">
        <f>HojaHonduras!N32</f>
        <v>97750</v>
      </c>
      <c r="F8" s="150">
        <f>HojaHonduras!M32</f>
        <v>97750</v>
      </c>
      <c r="G8" s="151">
        <f t="shared" si="0"/>
        <v>1213</v>
      </c>
      <c r="H8" s="21"/>
      <c r="I8" s="21"/>
    </row>
    <row r="9" spans="1:9" x14ac:dyDescent="0.35">
      <c r="A9" s="28" t="s">
        <v>20</v>
      </c>
      <c r="B9" s="156">
        <f>HojaDominicana!$E$36</f>
        <v>34750</v>
      </c>
      <c r="C9" s="157">
        <f>HojaDominicana!I32</f>
        <v>4150</v>
      </c>
      <c r="D9" s="150">
        <f>HojaDominicana!E37</f>
        <v>4517.5</v>
      </c>
      <c r="E9" s="150">
        <f>HojaDominicana!L32</f>
        <v>0</v>
      </c>
      <c r="F9" s="150">
        <f>HojaDominicana!K32</f>
        <v>0</v>
      </c>
      <c r="G9" s="151">
        <f t="shared" si="0"/>
        <v>367.5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3623350</v>
      </c>
      <c r="C11" s="175">
        <f>SUM(C4:C10)</f>
        <v>432550</v>
      </c>
      <c r="D11" s="175">
        <f t="shared" ref="D11:F11" si="1">SUM(D4:D10)</f>
        <v>464196</v>
      </c>
      <c r="E11" s="175">
        <f t="shared" si="1"/>
        <v>2225750</v>
      </c>
      <c r="F11" s="175">
        <f t="shared" si="1"/>
        <v>2262250</v>
      </c>
      <c r="G11" s="176">
        <f>SUM(G4:G10)</f>
        <v>68146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48146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236100</v>
      </c>
      <c r="E16" s="157">
        <f>+Vendedor1!D21</f>
        <v>30693</v>
      </c>
      <c r="F16" s="158">
        <f>IF(D16&lt;&gt;0,15000,0)</f>
        <v>15000</v>
      </c>
      <c r="G16" s="151">
        <f>+E16-F16</f>
        <v>15693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237750</v>
      </c>
      <c r="E17" s="157">
        <f>+Vendedor2!D21</f>
        <v>30907.5</v>
      </c>
      <c r="F17" s="158">
        <f>IF(D17&lt;&gt;0,15000,0)</f>
        <v>15000</v>
      </c>
      <c r="G17" s="151">
        <f>+E17-F17</f>
        <v>15907.5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473850</v>
      </c>
      <c r="E19" s="159">
        <f>SUM(E16:E18)</f>
        <v>61600.5</v>
      </c>
      <c r="F19" s="160">
        <f>SUM(F16:F18)</f>
        <v>30000</v>
      </c>
      <c r="G19" s="161">
        <f>SUM(G16:G18)</f>
        <v>31600.5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79746.5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1295800</v>
      </c>
      <c r="C5" s="150">
        <f>HojaNICA!D37</f>
        <v>168454</v>
      </c>
      <c r="D5" s="150">
        <f>HojaNICA!D38</f>
        <v>884000</v>
      </c>
      <c r="E5" s="150"/>
      <c r="F5" s="151">
        <f>+B5-C5-D5+E5</f>
        <v>243346</v>
      </c>
      <c r="H5" s="249" t="s">
        <v>105</v>
      </c>
      <c r="I5" s="243">
        <f ca="1">TODAY()-1</f>
        <v>46156</v>
      </c>
      <c r="O5" s="119"/>
    </row>
    <row r="6" spans="1:15" ht="15" thickBot="1" x14ac:dyDescent="0.4">
      <c r="A6" s="47" t="s">
        <v>36</v>
      </c>
      <c r="B6" s="150">
        <f>HojaTICA!D36</f>
        <v>2086450</v>
      </c>
      <c r="C6" s="150">
        <f>HojaTICA!D37</f>
        <v>271238.5</v>
      </c>
      <c r="D6" s="150">
        <f>HojaTICA!D38</f>
        <v>935000</v>
      </c>
      <c r="E6" s="150"/>
      <c r="F6" s="151">
        <f t="shared" ref="F6:F11" si="0">+B6-C6-D6+E6</f>
        <v>880211.5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228000</v>
      </c>
      <c r="C7" s="150">
        <f>HojaREVENTADO!D38</f>
        <v>22800</v>
      </c>
      <c r="D7" s="150">
        <f>HojaREVENTADO!D39</f>
        <v>99000</v>
      </c>
      <c r="E7" s="150"/>
      <c r="F7" s="151">
        <f t="shared" si="0"/>
        <v>106200</v>
      </c>
    </row>
    <row r="8" spans="1:15" x14ac:dyDescent="0.35">
      <c r="A8" s="47" t="s">
        <v>96</v>
      </c>
      <c r="B8" s="150">
        <f>HojaPrimera!$D36</f>
        <v>337100</v>
      </c>
      <c r="C8" s="150">
        <f>HojaPrimera!$D37</f>
        <v>43823</v>
      </c>
      <c r="D8" s="150">
        <f>HojaPrimera!$D38</f>
        <v>246500</v>
      </c>
      <c r="E8" s="150"/>
      <c r="F8" s="151">
        <f t="shared" si="0"/>
        <v>46777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115100</v>
      </c>
      <c r="C9" s="150">
        <f>HojaHonduras!$D37</f>
        <v>14963</v>
      </c>
      <c r="D9" s="150">
        <f>HojaHonduras!$D38</f>
        <v>97750</v>
      </c>
      <c r="E9" s="150"/>
      <c r="F9" s="151">
        <f t="shared" si="0"/>
        <v>2387</v>
      </c>
      <c r="H9" s="250">
        <f>+K12-K10-H6</f>
        <v>1309154.0000000009</v>
      </c>
    </row>
    <row r="10" spans="1:15" ht="15" thickBot="1" x14ac:dyDescent="0.4">
      <c r="A10" s="47" t="s">
        <v>20</v>
      </c>
      <c r="B10" s="150">
        <f>HojaDominicana!$D36</f>
        <v>34750</v>
      </c>
      <c r="C10" s="150">
        <f>HojaDominicana!$D37</f>
        <v>4517.5</v>
      </c>
      <c r="D10" s="150">
        <f>HojaDominicana!$D38</f>
        <v>0</v>
      </c>
      <c r="E10" s="150"/>
      <c r="F10" s="151">
        <f t="shared" si="0"/>
        <v>30232.5</v>
      </c>
      <c r="H10" s="154"/>
      <c r="J10" t="s">
        <v>148</v>
      </c>
      <c r="K10" s="252">
        <v>4712040.45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6021194.4500000002</v>
      </c>
    </row>
    <row r="12" spans="1:15" ht="16" thickBot="1" x14ac:dyDescent="0.4">
      <c r="A12" s="144" t="s">
        <v>5</v>
      </c>
      <c r="B12" s="152">
        <f>SUM(B5:B11)</f>
        <v>4097200</v>
      </c>
      <c r="C12" s="152">
        <f>SUM(C5:C11)</f>
        <v>525796</v>
      </c>
      <c r="D12" s="152">
        <f>SUM(D5:D11)</f>
        <v>2262250</v>
      </c>
      <c r="E12" s="152"/>
      <c r="F12" s="255">
        <f>SUM(F5:F11)</f>
        <v>1309154</v>
      </c>
      <c r="H12" s="251">
        <f>K12</f>
        <v>6021194.4500000011</v>
      </c>
      <c r="J12" t="s">
        <v>140</v>
      </c>
      <c r="K12" s="254">
        <f>-1838859.37+4717152.74+2035103.6+1107797.48</f>
        <v>6021194.4500000011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171500</v>
      </c>
      <c r="K4" s="231">
        <f t="shared" ref="K4" si="0">D7+D11+D15</f>
        <v>22295</v>
      </c>
      <c r="L4" s="220">
        <f>F7+F11+F15</f>
        <v>242250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IF(DigitaNICA!C4&lt;&gt;"",DigitaNICA!C4,"")</f>
        <v>25800</v>
      </c>
      <c r="D5" s="42">
        <f>IF(C5="",0,C5*J$10)</f>
        <v>3354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14446</v>
      </c>
      <c r="I5" s="241" t="s">
        <v>37</v>
      </c>
      <c r="J5" s="221">
        <f>SUM(IF(C5="",0,C5),IF(C9="",0,C9),IF(C13="",0,C13),IF(C17="",0,C17))</f>
        <v>48700</v>
      </c>
      <c r="K5" s="225">
        <f t="shared" ref="K5" si="2">D5+D9+D13+D17</f>
        <v>6331</v>
      </c>
      <c r="L5" s="222">
        <f>F5+F9+F13+F17</f>
        <v>48000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15900</v>
      </c>
      <c r="K6" s="228">
        <f>D19+D20</f>
        <v>2067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>
        <f>IF(DigitaTICA!C4&lt;&gt;"",DigitaTICA!C4,"")</f>
        <v>49850</v>
      </c>
      <c r="D7" s="42">
        <f>IF(C7="",0,C7*J$9)</f>
        <v>6480.5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17869.5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17</v>
      </c>
      <c r="C9" s="29">
        <f>IF(DigitaNICA!E4&lt;&gt;"",DigitaNICA!E4,"")</f>
        <v>8200</v>
      </c>
      <c r="D9" s="42">
        <f>IF(C9="",0,C9*J$10)</f>
        <v>1066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7134</v>
      </c>
      <c r="I9" s="76" t="s">
        <v>36</v>
      </c>
      <c r="J9" s="77">
        <v>0.13</v>
      </c>
      <c r="K9" s="78">
        <f>MROUND(D7+D11+D15,50)</f>
        <v>22300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6350</v>
      </c>
    </row>
    <row r="11" spans="1:12" x14ac:dyDescent="0.35">
      <c r="A11" s="28" t="s">
        <v>59</v>
      </c>
      <c r="B11" s="132">
        <f>IF(DigitaTICA!E2&lt;&gt;"",DigitaTICA!E2,"")</f>
        <v>85</v>
      </c>
      <c r="C11" s="29">
        <f>IF(DigitaTICA!E4&lt;&gt;"",DigitaTICA!E4,"")</f>
        <v>19000</v>
      </c>
      <c r="D11" s="42">
        <f>IF(C11="",0,C11*J$9)</f>
        <v>2470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16530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2050</v>
      </c>
    </row>
    <row r="13" spans="1:12" x14ac:dyDescent="0.35">
      <c r="A13" s="28" t="s">
        <v>50</v>
      </c>
      <c r="B13" s="132">
        <f>IF(DigitaNICA!G2&lt;&gt;"",DigitaNICA!G2,"")</f>
        <v>21</v>
      </c>
      <c r="C13" s="29">
        <f>IF(DigitaNICA!G4&lt;&gt;"",DigitaNICA!G4,"")</f>
        <v>11400</v>
      </c>
      <c r="D13" s="42">
        <f>IF(C13="",0,C13*J$10)</f>
        <v>1482</v>
      </c>
      <c r="E13" s="29">
        <f>IF(DigitaNICA!H4&lt;&gt;"",DigitaNICA!H4,"")</f>
        <v>500</v>
      </c>
      <c r="F13" s="42">
        <f>IF(E13="",0,E13*PREMIOS!E13)</f>
        <v>40000</v>
      </c>
      <c r="G13" s="30">
        <f>IF(OR(C13="",E13=""),0,C13-D13-F13)</f>
        <v>-30082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IF(DigitaTICA!G4&lt;&gt;"",DigitaTICA!G4,"")</f>
        <v>102650</v>
      </c>
      <c r="D15" s="42">
        <f>IF(C15="",0,C15*J$9)</f>
        <v>13344.5</v>
      </c>
      <c r="E15" s="29">
        <f>IF(DigitaTICA!H4&lt;&gt;"",DigitaTICA!H4,"")</f>
        <v>2550</v>
      </c>
      <c r="F15" s="42">
        <f>IF(E15="",0,E15*PREMIOS!F15)</f>
        <v>216750</v>
      </c>
      <c r="G15" s="30">
        <f t="shared" si="3"/>
        <v>-127444.5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>
        <f>IF(DigitaNICA!I4&lt;&gt;"",DigitaNICA!I4,"")</f>
        <v>3300</v>
      </c>
      <c r="D17" s="42">
        <f>IF(C17="",0,C17*J$10)</f>
        <v>429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2871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IF(DigitaPRIMERA!C4&lt;&gt;"",DigitaPRIMERA!C4,"")</f>
        <v>13400</v>
      </c>
      <c r="D19" s="42">
        <f>IF(C19="",0,C19*J$12)</f>
        <v>1742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11658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>
        <f>IF(DigitaPRIMERA!E4&lt;&gt;"",DigitaPRIMERA!E4,"")</f>
        <v>2500</v>
      </c>
      <c r="D20" s="42">
        <f>IF(C20="",0,C20*J$12)</f>
        <v>325</v>
      </c>
      <c r="E20" s="29">
        <f>IF(DigitaPRIMERA!F4&lt;&gt;"",DigitaPRIMERA!F4,"")</f>
        <v>100</v>
      </c>
      <c r="F20" s="42">
        <f>IF(E20="",0,E20*PREMIOS!E19)</f>
        <v>8000</v>
      </c>
      <c r="G20" s="30">
        <f t="shared" ref="G20" si="5">IF(OR(C20="",E20=""),0,C20-D20-F20)</f>
        <v>-5825</v>
      </c>
    </row>
    <row r="21" spans="1:7" ht="15" thickBot="1" x14ac:dyDescent="0.4">
      <c r="A21" s="121" t="s">
        <v>5</v>
      </c>
      <c r="B21" s="128"/>
      <c r="C21" s="122">
        <f>SUM(C5:C20)</f>
        <v>236100</v>
      </c>
      <c r="D21" s="122">
        <f t="shared" ref="D21:G21" si="6">SUM(D5:D20)</f>
        <v>30693</v>
      </c>
      <c r="E21" s="122">
        <f t="shared" si="6"/>
        <v>3550</v>
      </c>
      <c r="F21" s="122">
        <f t="shared" si="6"/>
        <v>298250</v>
      </c>
      <c r="G21" s="123">
        <f t="shared" si="6"/>
        <v>-92843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205350</v>
      </c>
      <c r="K4" s="231">
        <f t="shared" ref="K4" si="0">D7+D11+D15</f>
        <v>26695.5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IF(DigitaNICA!C5&lt;&gt;"",DigitaNICA!C5,"")</f>
        <v>16400</v>
      </c>
      <c r="D5" s="42">
        <f>IF(C5="",0,C5*J$10)</f>
        <v>2132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-25732</v>
      </c>
      <c r="I5" s="241" t="s">
        <v>37</v>
      </c>
      <c r="J5" s="221">
        <f>SUM(IF(C5="",0,C5),IF(C9="",0,C9),IF(C13="",0,C13),IF(C17="",0,C17))</f>
        <v>24150</v>
      </c>
      <c r="K5" s="225">
        <f t="shared" ref="K5" si="2">D5+D9+D13+D17</f>
        <v>3139.5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8250</v>
      </c>
      <c r="K6" s="228">
        <f>D19+D20</f>
        <v>1072.5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>
        <f>IF(DigitaTICA!C5&lt;&gt;"",DigitaTICA!C5,"")</f>
        <v>56800</v>
      </c>
      <c r="D7" s="42">
        <f>IF(C7="",0,C7*J$9)</f>
        <v>7384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32416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17</v>
      </c>
      <c r="C9" s="29">
        <f>IF(DigitaNICA!E5&lt;&gt;"",DigitaNICA!E5,"")</f>
        <v>4250</v>
      </c>
      <c r="D9" s="42">
        <f>IF(C9="",0,C9*J$10)</f>
        <v>552.5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3697.5</v>
      </c>
      <c r="I9" s="60" t="s">
        <v>36</v>
      </c>
      <c r="J9" s="61">
        <v>0.13</v>
      </c>
      <c r="K9" s="62">
        <f>MROUND(D7+D11+D15,50)</f>
        <v>26700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3150</v>
      </c>
    </row>
    <row r="11" spans="1:12" x14ac:dyDescent="0.35">
      <c r="A11" s="28" t="s">
        <v>59</v>
      </c>
      <c r="B11" s="132">
        <f>IF(DigitaTICA!E2&lt;&gt;"",DigitaTICA!E2,"")</f>
        <v>85</v>
      </c>
      <c r="C11" s="29">
        <f>IF(DigitaTICA!E5&lt;&gt;"",DigitaTICA!E5,"")</f>
        <v>56850</v>
      </c>
      <c r="D11" s="42">
        <f>IF(C11="",0,C11*J$9)</f>
        <v>7390.5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6959.5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2">
        <f>IF(DigitaNICA!G2&lt;&gt;"",DigitaNICA!G2,"")</f>
        <v>21</v>
      </c>
      <c r="C13" s="29">
        <f>IF(DigitaNICA!G5&lt;&gt;"",DigitaNICA!G5,"")</f>
        <v>2500</v>
      </c>
      <c r="D13" s="42">
        <f>IF(C13="",0,C13*J$10)</f>
        <v>325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2175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IF(DigitaTICA!G5&lt;&gt;"",DigitaTICA!G5,"")</f>
        <v>91700</v>
      </c>
      <c r="D15" s="42">
        <f>IF(C15="",0,C15*J$9)</f>
        <v>11921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79779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IF(DigitaPRIMERA!C5&lt;&gt;"",DigitaPRIMERA!C5,"")</f>
        <v>8250</v>
      </c>
      <c r="D19" s="42">
        <f>IF(C19="",0,C19*J$12)</f>
        <v>1072.5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7177.5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237750</v>
      </c>
      <c r="D21" s="68">
        <f t="shared" ref="D21:G21" si="4">SUM(D5:D20)</f>
        <v>30907.5</v>
      </c>
      <c r="E21" s="68">
        <f t="shared" si="4"/>
        <v>1200</v>
      </c>
      <c r="F21" s="68">
        <f t="shared" si="4"/>
        <v>99500</v>
      </c>
      <c r="G21" s="88">
        <f t="shared" si="4"/>
        <v>107342.5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21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85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216150</v>
      </c>
      <c r="K4" s="231">
        <f t="shared" ref="K4" si="0">D7+D11+D15</f>
        <v>25938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IF(DigitaNICA!C8&lt;&gt;"",DigitaNICA!C8,"")</f>
        <v>90300</v>
      </c>
      <c r="D5" s="42">
        <f>IF(C5="",0,C5*J$12)</f>
        <v>10836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79464</v>
      </c>
      <c r="I5" s="241" t="s">
        <v>37</v>
      </c>
      <c r="J5" s="221">
        <f>SUM(IF(C5="",0,C5),IF(C9="",0,C9),IF(C13="",0,C13),IF(C17="",0,C17))</f>
        <v>202050</v>
      </c>
      <c r="K5" s="225">
        <f t="shared" ref="K5" si="2">D5+D9+D13+D17</f>
        <v>24246</v>
      </c>
      <c r="L5" s="222">
        <f>F5+F9+F13+F17</f>
        <v>112000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>
        <f>IF(DigitaTICA!C8&lt;&gt;"",DigitaTICA!C8,"")</f>
        <v>71750</v>
      </c>
      <c r="D7" s="42">
        <f>IF(C7="",0,C7*J$11)</f>
        <v>8610</v>
      </c>
      <c r="E7" s="29">
        <f>IF(DigitaTICA!D8&lt;&gt;"",DigitaTICA!D8,"")</f>
        <v>850</v>
      </c>
      <c r="F7" s="42">
        <f>IF(E7="",0,E7*PREMIOS!F7)</f>
        <v>72250</v>
      </c>
      <c r="G7" s="30">
        <f t="shared" si="1"/>
        <v>-9110</v>
      </c>
      <c r="I7" s="242" t="s">
        <v>96</v>
      </c>
      <c r="J7" s="224">
        <f>SUM(IF(C19="",0,C19),IF(C20="",0,C20))</f>
        <v>66350</v>
      </c>
      <c r="K7" s="228">
        <f>+D19+D20</f>
        <v>7962</v>
      </c>
      <c r="L7" s="229">
        <f>+F19+F20</f>
        <v>80000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17</v>
      </c>
      <c r="C9" s="29">
        <f>IF(DigitaNICA!E8&lt;&gt;"",DigitaNICA!E8,"")</f>
        <v>51150</v>
      </c>
      <c r="D9" s="42">
        <f>IF(C9="",0,C9*J$12)</f>
        <v>6138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5012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85</v>
      </c>
      <c r="C11" s="29">
        <f>IF(DigitaTICA!E8&lt;&gt;"",DigitaTICA!E8,"")</f>
        <v>54750</v>
      </c>
      <c r="D11" s="42">
        <f>IF(C11="",0,C11*J$11)</f>
        <v>6570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48180</v>
      </c>
      <c r="I11" s="60" t="s">
        <v>36</v>
      </c>
      <c r="J11" s="61">
        <v>0.12</v>
      </c>
      <c r="K11" s="62">
        <f>MROUND(D7+D11+D15,50)</f>
        <v>25950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24250</v>
      </c>
    </row>
    <row r="13" spans="1:12" x14ac:dyDescent="0.35">
      <c r="A13" s="28" t="s">
        <v>50</v>
      </c>
      <c r="B13" s="132">
        <f>IF(DigitaNICA!G2&lt;&gt;"",DigitaNICA!G2,"")</f>
        <v>21</v>
      </c>
      <c r="C13" s="29">
        <f>IF(DigitaNICA!G8&lt;&gt;"",DigitaNICA!G8,"")</f>
        <v>22450</v>
      </c>
      <c r="D13" s="42">
        <f>IF(C13="",0,C13*J$12)</f>
        <v>2694</v>
      </c>
      <c r="E13" s="29">
        <f>IF(DigitaNICA!H8&lt;&gt;"",DigitaNICA!H8,"")</f>
        <v>900</v>
      </c>
      <c r="F13" s="42">
        <f>IF(E13="",0,E13*PREMIOS!E13)</f>
        <v>72000</v>
      </c>
      <c r="G13" s="30">
        <f>IF(OR(C13="",E13=""),0,C13-D13-F13)</f>
        <v>-52244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7950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IF(DigitaTICA!G8&lt;&gt;"",DigitaTICA!G8,"")</f>
        <v>89650</v>
      </c>
      <c r="D15" s="42">
        <f>IF(C15="",0,C15*J$11)</f>
        <v>10758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78892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>
        <f>IF(DigitaNICA!I8&lt;&gt;"",DigitaNICA!I8,"")</f>
        <v>38150</v>
      </c>
      <c r="D17" s="42">
        <f>IF(C17="",0,C17*J$12)</f>
        <v>4578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33572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IF(DigitaPRIMERA!C8&lt;&gt;"",DigitaPRIMERA!C8,"")</f>
        <v>21950</v>
      </c>
      <c r="D19" s="42">
        <f>IF(C19="",0,C19*J$14)</f>
        <v>2634</v>
      </c>
      <c r="E19" s="29">
        <f>IF(DigitaPRIMERA!D8&lt;&gt;"",DigitaPRIMERA!D8,"")</f>
        <v>1000</v>
      </c>
      <c r="F19" s="42">
        <f>IF(E19="",0,E19*PREMIOS!E19)</f>
        <v>80000</v>
      </c>
      <c r="G19" s="30">
        <f t="shared" si="4"/>
        <v>-60684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>
        <f>IF(DigitaPRIMERA!E8&lt;&gt;"",DigitaPRIMERA!E8,"")</f>
        <v>44400</v>
      </c>
      <c r="D20" s="42">
        <f>IF(C20="",0,C20*J$14)</f>
        <v>5328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39072</v>
      </c>
    </row>
    <row r="21" spans="1:7" ht="15" thickBot="1" x14ac:dyDescent="0.4">
      <c r="A21" s="121" t="s">
        <v>5</v>
      </c>
      <c r="B21" s="128"/>
      <c r="C21" s="122">
        <f>SUM(C5:C20)</f>
        <v>484550</v>
      </c>
      <c r="D21" s="122">
        <f t="shared" ref="D21:G21" si="5">SUM(D5:D20)</f>
        <v>58146</v>
      </c>
      <c r="E21" s="122">
        <f t="shared" si="5"/>
        <v>3250</v>
      </c>
      <c r="F21" s="122">
        <f t="shared" si="5"/>
        <v>264250</v>
      </c>
      <c r="G21" s="123">
        <f t="shared" si="5"/>
        <v>162154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494450</v>
      </c>
      <c r="K4" s="231">
        <f t="shared" ref="K4" si="0">D7+D11+D15</f>
        <v>59334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IF(DigitaNICA!C10&lt;&gt;"",DigitaNICA!C10,"")</f>
        <v>62000</v>
      </c>
      <c r="D5" s="42">
        <f>IF(C5="",0,C5*J$15)</f>
        <v>7440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46060</v>
      </c>
      <c r="I5" s="217" t="s">
        <v>37</v>
      </c>
      <c r="J5" s="221">
        <f>SUM(IF(C5="",0,C5),IF(C9="",0,C9),IF(C13="",0,C13),IF(C17="",0,C17))</f>
        <v>359200</v>
      </c>
      <c r="K5" s="225">
        <f t="shared" ref="K5" si="2">D5+D9+D13+D17</f>
        <v>43104</v>
      </c>
      <c r="L5" s="222">
        <f>F5+F9+F13+F17</f>
        <v>212500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88300</v>
      </c>
      <c r="K6" s="226">
        <f t="shared" ref="K6" si="3">+D8+D12+D16</f>
        <v>8830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66</v>
      </c>
      <c r="C7" s="29">
        <f>IF(DigitaTICA!C10&lt;&gt;"",DigitaTICA!C10,"")</f>
        <v>201300</v>
      </c>
      <c r="D7" s="42">
        <f>IF(C7="",0,C7*J$14)</f>
        <v>24156</v>
      </c>
      <c r="E7" s="29">
        <f>IF(DigitaTICA!D10&lt;&gt;"",DigitaTICA!D10,"")</f>
        <v>250</v>
      </c>
      <c r="F7" s="42">
        <f>IF(E7="",0,E7*PREMIOS!F7)</f>
        <v>21250</v>
      </c>
      <c r="G7" s="30">
        <f t="shared" si="1"/>
        <v>155894</v>
      </c>
      <c r="I7" s="217" t="s">
        <v>96</v>
      </c>
      <c r="J7" s="223">
        <f>SUM(IF(C19="",0,C19),IF(C20="",0,C20))</f>
        <v>29850</v>
      </c>
      <c r="K7" s="226">
        <f>+D19+D20</f>
        <v>3582</v>
      </c>
      <c r="L7" s="227">
        <f>+F19+F20</f>
        <v>42500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29550</v>
      </c>
      <c r="D8" s="42">
        <f>IF(C8="",0,C8*J$16)</f>
        <v>2955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26595</v>
      </c>
      <c r="I8" s="217" t="s">
        <v>104</v>
      </c>
      <c r="J8" s="223">
        <f>SUM(IF(C21="",0,C21),IF(C22="",0,C22),IF(C23="",0,C23))</f>
        <v>16450</v>
      </c>
      <c r="K8" s="226">
        <f t="shared" ref="K8" si="4">D21+D22+D23</f>
        <v>1974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17</v>
      </c>
      <c r="C9" s="29">
        <f>IF(DigitaNICA!E10&lt;&gt;"",DigitaNICA!E10,"")</f>
        <v>99450</v>
      </c>
      <c r="D9" s="42">
        <f>IF(C9="",0,C9*J$15)</f>
        <v>11934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45016</v>
      </c>
      <c r="I9" s="217" t="s">
        <v>20</v>
      </c>
      <c r="J9" s="223">
        <f>SUM(IF(C24="",0,C24),IF(C25="",0,C25))</f>
        <v>34750</v>
      </c>
      <c r="K9" s="226">
        <f t="shared" ref="K9" si="5">+D24+D25</f>
        <v>4170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85</v>
      </c>
      <c r="C11" s="29">
        <f>IF(DigitaTICA!E10&lt;&gt;"",DigitaTICA!E10,"")</f>
        <v>121600</v>
      </c>
      <c r="D11" s="42">
        <f>IF(C11="",0,C11*J$14)</f>
        <v>14592</v>
      </c>
      <c r="E11" s="29">
        <f>IF(DigitaTICA!F10&lt;&gt;"",DigitaTICA!F10,"")</f>
        <v>250</v>
      </c>
      <c r="F11" s="42">
        <f>IF(E11="",0,E11*PREMIOS!F11)</f>
        <v>21250</v>
      </c>
      <c r="G11" s="30">
        <f t="shared" si="1"/>
        <v>85758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24250</v>
      </c>
      <c r="D12" s="42">
        <f>IF(C12="",0,C12*J$16)</f>
        <v>2425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21825</v>
      </c>
    </row>
    <row r="13" spans="1:12" ht="15" thickBot="1" x14ac:dyDescent="0.4">
      <c r="A13" s="28" t="s">
        <v>50</v>
      </c>
      <c r="B13" s="132">
        <f>IF(DigitaNICA!G2&lt;&gt;"",DigitaNICA!G2,"")</f>
        <v>21</v>
      </c>
      <c r="C13" s="29">
        <f>IF(DigitaNICA!G10&lt;&gt;"",DigitaNICA!G10,"")</f>
        <v>69200</v>
      </c>
      <c r="D13" s="42">
        <f>IF(C13="",0,C13*J$15)</f>
        <v>8304</v>
      </c>
      <c r="E13" s="29">
        <f>IF(DigitaNICA!H10&lt;&gt;"",DigitaNICA!H10,"")</f>
        <v>950</v>
      </c>
      <c r="F13" s="42">
        <f>IF(E13="",0,E13*PREMIOS!F13)</f>
        <v>80750</v>
      </c>
      <c r="G13" s="30">
        <f>IF(OR(C13="",E13=""),0,C13-D13-F13)</f>
        <v>-19854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59350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IF(DigitaTICA!G10&lt;&gt;"",DigitaTICA!G10,"")</f>
        <v>171550</v>
      </c>
      <c r="D15" s="42">
        <f>IF(C15="",0,C15*J$14)</f>
        <v>20586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108464</v>
      </c>
      <c r="I15" s="63" t="s">
        <v>37</v>
      </c>
      <c r="J15" s="64">
        <v>0.12</v>
      </c>
      <c r="K15" s="30">
        <f>MROUND(D5+D9+D13+D17,50)</f>
        <v>43100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34500</v>
      </c>
      <c r="D16" s="42">
        <f>IF(C16="",0,C16*J$16)</f>
        <v>3450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31050</v>
      </c>
      <c r="I16" s="63" t="s">
        <v>38</v>
      </c>
      <c r="J16" s="64">
        <v>0.1</v>
      </c>
      <c r="K16" s="30">
        <f>MROUND(D6+D8+D10+D12+D14+D16+D18,50)</f>
        <v>8850</v>
      </c>
    </row>
    <row r="17" spans="1:11" x14ac:dyDescent="0.35">
      <c r="A17" s="28" t="s">
        <v>52</v>
      </c>
      <c r="B17" s="132">
        <f>IF(DigitaNICA!I2&lt;&gt;"",DigitaNICA!I2,"")</f>
        <v>62</v>
      </c>
      <c r="C17" s="29">
        <f>IF(DigitaNICA!I10&lt;&gt;"",DigitaNICA!I10,"")</f>
        <v>128550</v>
      </c>
      <c r="D17" s="42">
        <f>IF(C17="",0,C17*J$15)</f>
        <v>15426</v>
      </c>
      <c r="E17" s="29">
        <f>IF(DigitaNICA!J10&lt;&gt;"",DigitaNICA!J10,"")</f>
        <v>950</v>
      </c>
      <c r="F17" s="42">
        <f>IF(E17="",0,E17*PREMIOS!F17)</f>
        <v>80750</v>
      </c>
      <c r="G17" s="30">
        <f t="shared" si="6"/>
        <v>32374</v>
      </c>
      <c r="I17" s="63" t="s">
        <v>96</v>
      </c>
      <c r="J17" s="64">
        <v>0.12</v>
      </c>
      <c r="K17" s="30">
        <f>MROUND(D19+D20,50)</f>
        <v>3600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1950</v>
      </c>
    </row>
    <row r="19" spans="1:11" x14ac:dyDescent="0.35">
      <c r="A19" s="28" t="s">
        <v>97</v>
      </c>
      <c r="B19" s="132">
        <f>IF(DigitaPRIMERA!C2&lt;&gt;"",DigitaPRIMERA!C2,"")</f>
        <v>38</v>
      </c>
      <c r="C19" s="29">
        <f>IF(DigitaPRIMERA!$C$10&lt;&gt;"",DigitaPRIMERA!$C$10,"")</f>
        <v>16300</v>
      </c>
      <c r="D19" s="42">
        <f>IF(C19="",0,C19*J$17)</f>
        <v>1956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-28156</v>
      </c>
      <c r="I19" s="63" t="s">
        <v>20</v>
      </c>
      <c r="J19" s="64">
        <v>0.12</v>
      </c>
      <c r="K19" s="30">
        <f>MROUND(D24+D25,50)</f>
        <v>4150</v>
      </c>
    </row>
    <row r="20" spans="1:11" ht="15" thickBot="1" x14ac:dyDescent="0.4">
      <c r="A20" s="28" t="s">
        <v>98</v>
      </c>
      <c r="B20" s="132">
        <f>IF(DigitaPRIMERA!E2&lt;&gt;"",DigitaPRIMERA!E2,"")</f>
        <v>99</v>
      </c>
      <c r="C20" s="29">
        <f>IF(DigitaPRIMERA!$E$10&lt;&gt;"",DigitaPRIMERA!$E$10,"")</f>
        <v>13550</v>
      </c>
      <c r="D20" s="42">
        <f>IF(C20="",0,C20*J$17)</f>
        <v>1626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11924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49</v>
      </c>
      <c r="C21" s="29">
        <f>IF(DigitaHONDURAS!$C$10&lt;&gt;"",DigitaHONDURAS!$C$10,"")</f>
        <v>10800</v>
      </c>
      <c r="D21" s="42">
        <f>IF(C21="",0,C21*J$18)</f>
        <v>1296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9504</v>
      </c>
    </row>
    <row r="22" spans="1:11" x14ac:dyDescent="0.35">
      <c r="A22" s="28" t="s">
        <v>100</v>
      </c>
      <c r="B22" s="132">
        <f>IF(DigitaHONDURAS!E2&lt;&gt;"",DigitaHONDURAS!E2,"")</f>
        <v>34</v>
      </c>
      <c r="C22" s="29">
        <f>IF(DigitaHONDURAS!$E$10&lt;&gt;"",DigitaHONDURAS!$E$10,"")</f>
        <v>3800</v>
      </c>
      <c r="D22" s="42">
        <f>IF(C22="",0,C22*J$18)</f>
        <v>456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3344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IF(DigitaHONDURAS!$G$10&lt;&gt;"",DigitaHONDURAS!$G$10,"")</f>
        <v>1850</v>
      </c>
      <c r="D23" s="42">
        <f>IF(C23="",0,C23*J$18)</f>
        <v>222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1628</v>
      </c>
    </row>
    <row r="24" spans="1:11" x14ac:dyDescent="0.35">
      <c r="A24" s="28" t="s">
        <v>107</v>
      </c>
      <c r="B24" s="132">
        <f>IF(DigitaDOMINICANA!C2&lt;&gt;"",DigitaDOMINICANA!C2,"")</f>
        <v>93</v>
      </c>
      <c r="C24" s="29">
        <f>IF(DigitaDOMINICANA!$C$10&lt;&gt;"",DigitaDOMINICANA!$C$10,"")</f>
        <v>8500</v>
      </c>
      <c r="D24" s="42">
        <f>IF(C24="",0,C24*J$19)</f>
        <v>1020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7480</v>
      </c>
    </row>
    <row r="25" spans="1:11" x14ac:dyDescent="0.35">
      <c r="A25" s="28" t="s">
        <v>108</v>
      </c>
      <c r="B25" s="132">
        <f>IF(DigitaDOMINICANA!E2&lt;&gt;"",DigitaDOMINICANA!E2,"")</f>
        <v>51</v>
      </c>
      <c r="C25" s="29">
        <f>IF(DigitaDOMINICANA!$E$10&lt;&gt;"",DigitaDOMINICANA!$E$10,"")</f>
        <v>26250</v>
      </c>
      <c r="D25" s="42">
        <f>IF(C25="",0,C25*J$19)</f>
        <v>3150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23100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1023000</v>
      </c>
      <c r="D27" s="68">
        <f t="shared" ref="D27:F27" si="9">SUM(D5:D26)</f>
        <v>120994</v>
      </c>
      <c r="E27" s="68">
        <f t="shared" si="9"/>
        <v>4000</v>
      </c>
      <c r="F27" s="68">
        <f t="shared" si="9"/>
        <v>340000</v>
      </c>
      <c r="G27" s="88">
        <f>SUM(G5:G26)</f>
        <v>562006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15600</v>
      </c>
      <c r="K4" s="231">
        <f t="shared" ref="K4" si="0">D7+D11+D15</f>
        <v>1872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>
        <f>IF(DigitaTICA!C11&lt;&gt;"",DigitaTICA!C11,"")</f>
        <v>4600</v>
      </c>
      <c r="D7" s="42">
        <f>IF(C7="",0,C7*J$11)</f>
        <v>552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4048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1850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IF(DigitaTICA!G11&lt;&gt;"",DigitaTICA!G11,"")</f>
        <v>11000</v>
      </c>
      <c r="D15" s="42">
        <f>IF(C15="",0,C15*J$11)</f>
        <v>1320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9680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15600</v>
      </c>
      <c r="D21" s="122">
        <f t="shared" ref="D21:G21" si="5">SUM(D5:D20)</f>
        <v>1872</v>
      </c>
      <c r="E21" s="122">
        <f t="shared" si="5"/>
        <v>0</v>
      </c>
      <c r="F21" s="122">
        <f t="shared" si="5"/>
        <v>0</v>
      </c>
      <c r="G21" s="123">
        <f t="shared" si="5"/>
        <v>13728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76400</v>
      </c>
      <c r="K4" s="231">
        <f>D7+D11+D15</f>
        <v>9168</v>
      </c>
      <c r="L4" s="220">
        <f>F7+F11+F15</f>
        <v>12750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IF(DigitaNICA!C12&lt;&gt;"",DigitaNICA!C12,"")</f>
        <v>33700</v>
      </c>
      <c r="D5" s="42">
        <f>IF(C5="",0,C5*J$12)</f>
        <v>4044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29656</v>
      </c>
      <c r="I5" s="217" t="s">
        <v>37</v>
      </c>
      <c r="J5" s="221">
        <f>SUM(IF(C5="",0,C5),IF(C9="",0,C9),IF(C13="",0,C13),IF(C17="",0,C17))</f>
        <v>56650</v>
      </c>
      <c r="K5" s="225">
        <f t="shared" ref="K5" si="1">D5+D9+D13+D17</f>
        <v>6798</v>
      </c>
      <c r="L5" s="222">
        <f>F5+F9+F13+F17</f>
        <v>17000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3000</v>
      </c>
      <c r="K6" s="226">
        <f t="shared" ref="K6" si="2">+D8+D12+D16</f>
        <v>300</v>
      </c>
      <c r="L6" s="227">
        <f>+F8+F12+F16</f>
        <v>30000</v>
      </c>
    </row>
    <row r="7" spans="1:12" x14ac:dyDescent="0.35">
      <c r="A7" s="28" t="s">
        <v>46</v>
      </c>
      <c r="B7" s="132">
        <f>IF(DigitaTICA!C2&lt;&gt;"",DigitaTICA!C2,"")</f>
        <v>66</v>
      </c>
      <c r="C7" s="29">
        <f>IF(DigitaTICA!C12&lt;&gt;"",DigitaTICA!C12,"")</f>
        <v>31650</v>
      </c>
      <c r="D7" s="42">
        <f>IF(C7="",0,C7*J$11)</f>
        <v>3798</v>
      </c>
      <c r="E7" s="29">
        <f>IF(DigitaTICA!D12&lt;&gt;"",DigitaTICA!D12,"")</f>
        <v>150</v>
      </c>
      <c r="F7" s="42">
        <f>IF(E7="",0,E7*PREMIOS!F7)</f>
        <v>12750</v>
      </c>
      <c r="G7" s="30">
        <f t="shared" si="0"/>
        <v>15102</v>
      </c>
      <c r="I7" s="217" t="s">
        <v>96</v>
      </c>
      <c r="J7" s="223">
        <f>SUM(IF(C19="",0,C19),IF(C20="",0,C20))</f>
        <v>33100</v>
      </c>
      <c r="K7" s="226">
        <f>+D19+D20</f>
        <v>3972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150</v>
      </c>
      <c r="F8" s="42">
        <f>IF(E8="",0,E8*PREMIOS!F8)</f>
        <v>30000</v>
      </c>
      <c r="G8" s="30">
        <f t="shared" si="0"/>
        <v>-28200</v>
      </c>
      <c r="I8" s="218" t="s">
        <v>104</v>
      </c>
      <c r="J8" s="224">
        <f>SUM(IF(C21="",0,C21),IF(C22="",0,C22),IF(C23="",0,C23))</f>
        <v>10200</v>
      </c>
      <c r="K8" s="228">
        <f>+D21+D22+D23</f>
        <v>1224</v>
      </c>
      <c r="L8" s="229">
        <f>+F21+F22+F23</f>
        <v>12750</v>
      </c>
    </row>
    <row r="9" spans="1:12" ht="15" thickBot="1" x14ac:dyDescent="0.4">
      <c r="A9" s="28" t="s">
        <v>48</v>
      </c>
      <c r="B9" s="132">
        <f>IF(DigitaNICA!E2&lt;&gt;"",DigitaNICA!E2,"")</f>
        <v>17</v>
      </c>
      <c r="C9" s="29">
        <f>IF(DigitaNICA!E12&lt;&gt;"",DigitaNICA!E12,"")</f>
        <v>22950</v>
      </c>
      <c r="D9" s="42">
        <f>IF(C9="",0,C9*J$12)</f>
        <v>2754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3196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85</v>
      </c>
      <c r="C11" s="29">
        <f>IF(DigitaTICA!E12&lt;&gt;"",DigitaTICA!E12,"")</f>
        <v>19350</v>
      </c>
      <c r="D11" s="42">
        <f>IF(C11="",0,C11*J$11)</f>
        <v>2322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17028</v>
      </c>
      <c r="I11" s="60" t="s">
        <v>36</v>
      </c>
      <c r="J11" s="61">
        <v>0.12</v>
      </c>
      <c r="K11" s="62">
        <f>MROUND(D7+D11+D15,50)</f>
        <v>9150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6800</v>
      </c>
    </row>
    <row r="13" spans="1:12" x14ac:dyDescent="0.35">
      <c r="A13" s="28" t="s">
        <v>50</v>
      </c>
      <c r="B13" s="132">
        <f>IF(DigitaNICA!G2&lt;&gt;"",DigitaNICA!G2,"")</f>
        <v>21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3950</v>
      </c>
    </row>
    <row r="15" spans="1:12" ht="15" thickBot="1" x14ac:dyDescent="0.4">
      <c r="A15" s="28" t="s">
        <v>61</v>
      </c>
      <c r="B15" s="132">
        <f>IF(DigitaTICA!G2&lt;&gt;"",DigitaTICA!G2,"")</f>
        <v>92</v>
      </c>
      <c r="C15" s="29">
        <f>IF(DigitaTICA!G12&lt;&gt;"",DigitaTICA!G12,"")</f>
        <v>25400</v>
      </c>
      <c r="D15" s="42">
        <f>IF(C15="",0,C15*J$11)</f>
        <v>3048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22352</v>
      </c>
      <c r="I15" s="65" t="s">
        <v>104</v>
      </c>
      <c r="J15" s="66">
        <v>0.12</v>
      </c>
      <c r="K15" s="50">
        <f>MROUND(D21+D22+D23,50)</f>
        <v>1200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IF(DigitaPRIMERA!$C$12&lt;&gt;"",DigitaPRIMERA!$C$12,"")</f>
        <v>33100</v>
      </c>
      <c r="D19" s="42">
        <f>IF(C19="",0,C19*J$14)</f>
        <v>3972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12128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49</v>
      </c>
      <c r="C21" s="29">
        <f>IF(DigitaHONDURAS!$C$12&lt;&gt;"",DigitaHONDURAS!$C$12,"")</f>
        <v>10200</v>
      </c>
      <c r="D21" s="42">
        <f>IF(C21="",0,C21*J$15)</f>
        <v>1224</v>
      </c>
      <c r="E21" s="29">
        <f>IF(DigitaHONDURAS!$D$12&lt;&gt;"",DigitaHONDURAS!$D$12,"")</f>
        <v>150</v>
      </c>
      <c r="F21" s="42">
        <f>IF(E21="",0,E21*PREMIOS!F20)</f>
        <v>12750</v>
      </c>
      <c r="G21" s="30">
        <f t="shared" si="3"/>
        <v>-3774</v>
      </c>
    </row>
    <row r="22" spans="1:7" x14ac:dyDescent="0.35">
      <c r="A22" s="28" t="s">
        <v>100</v>
      </c>
      <c r="B22" s="132">
        <f>IF(DigitaHONDURAS!E2&lt;&gt;"",DigitaHONDURAS!E2,"")</f>
        <v>34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179350</v>
      </c>
      <c r="D24" s="68">
        <f t="shared" ref="D24:G24" si="4">SUM(D5:D23)</f>
        <v>21462</v>
      </c>
      <c r="E24" s="68">
        <f t="shared" si="4"/>
        <v>850</v>
      </c>
      <c r="F24" s="68">
        <f t="shared" si="4"/>
        <v>89500</v>
      </c>
      <c r="G24" s="88">
        <f t="shared" si="4"/>
        <v>68388</v>
      </c>
    </row>
    <row r="27" spans="1:7" x14ac:dyDescent="0.35">
      <c r="G27" s="21">
        <v>328060</v>
      </c>
    </row>
    <row r="28" spans="1:7" x14ac:dyDescent="0.35">
      <c r="G28" s="141">
        <f>+G24+G27</f>
        <v>396448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128300</v>
      </c>
      <c r="K4" s="231">
        <f t="shared" ref="K4" si="0">D7+D11+D15</f>
        <v>15396</v>
      </c>
      <c r="L4" s="220">
        <f>F7+F11+F15</f>
        <v>17000</v>
      </c>
    </row>
    <row r="5" spans="1:12" ht="15" thickBot="1" x14ac:dyDescent="0.4">
      <c r="A5" s="28" t="s">
        <v>43</v>
      </c>
      <c r="B5" s="132">
        <f>IF(DigitaNICA!C2&lt;&gt;"",DigitaNICA!C2,"")</f>
        <v>93</v>
      </c>
      <c r="C5" s="29">
        <f>IF(DigitaNICA!C13&lt;&gt;"",DigitaNICA!C13,"")</f>
        <v>30800</v>
      </c>
      <c r="D5" s="42">
        <f>IF(C5="",0,C5*J$10)</f>
        <v>3696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27104</v>
      </c>
      <c r="I5" s="218" t="s">
        <v>37</v>
      </c>
      <c r="J5" s="232">
        <f>SUM(IF(C5="",0,C5),IF(C9="",0,C9),IF(C13="",0,C13),IF(C17="",0,C17))</f>
        <v>84150</v>
      </c>
      <c r="K5" s="233">
        <f t="shared" ref="K5" si="2">D5+D9+D13+D17</f>
        <v>10098</v>
      </c>
      <c r="L5" s="234">
        <f>F5+F9+F13+F17</f>
        <v>116000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>
        <f>IF(DigitaTICA!C13&lt;&gt;"",DigitaTICA!C13,"")</f>
        <v>43800</v>
      </c>
      <c r="D7" s="42">
        <f>IF(C7="",0,C7*J$9)</f>
        <v>5256</v>
      </c>
      <c r="E7" s="29">
        <f>IF(DigitaTICA!D13&lt;&gt;"",DigitaTICA!D13,"")</f>
        <v>200</v>
      </c>
      <c r="F7" s="133">
        <f>IF(E7="",0,E7*PREMIOS!F7)</f>
        <v>17000</v>
      </c>
      <c r="G7" s="30">
        <f t="shared" si="1"/>
        <v>21544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17</v>
      </c>
      <c r="C9" s="29">
        <f>IF(DigitaNICA!E13&lt;&gt;"",DigitaNICA!E13,"")</f>
        <v>28500</v>
      </c>
      <c r="D9" s="42">
        <f>IF(C9="",0,C9*J$10)</f>
        <v>3420</v>
      </c>
      <c r="E9" s="29">
        <f>IF(DigitaNICA!F13&lt;&gt;"",DigitaNICA!F13,"")</f>
        <v>200</v>
      </c>
      <c r="F9" s="133">
        <f>IF(E9="",0,E9*PREMIOS!E9)</f>
        <v>16000</v>
      </c>
      <c r="G9" s="30">
        <f t="shared" si="1"/>
        <v>9080</v>
      </c>
      <c r="I9" s="60" t="s">
        <v>36</v>
      </c>
      <c r="J9" s="61">
        <v>0.12</v>
      </c>
      <c r="K9" s="62">
        <f>MROUND(D7+D11+D15,50)</f>
        <v>15400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10100</v>
      </c>
    </row>
    <row r="11" spans="1:12" ht="15" thickBot="1" x14ac:dyDescent="0.4">
      <c r="A11" s="28" t="s">
        <v>59</v>
      </c>
      <c r="B11" s="132">
        <f>IF(DigitaTICA!E2&lt;&gt;"",DigitaTICA!E2,"")</f>
        <v>85</v>
      </c>
      <c r="C11" s="29">
        <f>IF(DigitaTICA!E13&lt;&gt;"",DigitaTICA!E13,"")</f>
        <v>28200</v>
      </c>
      <c r="D11" s="42">
        <f>IF(C11="",0,C11*J$9)</f>
        <v>3384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24816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21</v>
      </c>
      <c r="C13" s="29">
        <f>IF(DigitaNICA!G13&lt;&gt;"",DigitaNICA!G13,"")</f>
        <v>24450</v>
      </c>
      <c r="D13" s="42">
        <f>IF(C13="",0,C13*J$10)</f>
        <v>2934</v>
      </c>
      <c r="E13" s="29">
        <f>IF(DigitaNICA!H13&lt;&gt;"",DigitaNICA!H13,"")</f>
        <v>1250</v>
      </c>
      <c r="F13" s="133">
        <f>IF(E13="",0,E13*PREMIOS!E13)</f>
        <v>100000</v>
      </c>
      <c r="G13" s="30">
        <f>IF(OR(C13="",E13=""),0,C13-D13-F13)</f>
        <v>-78484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IF(DigitaTICA!G13&lt;&gt;"",DigitaTICA!G13,"")</f>
        <v>56300</v>
      </c>
      <c r="D15" s="42">
        <f>IF(C15="",0,C15*J$9)</f>
        <v>6756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49544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>
        <f>IF(DigitaNICA!I13&lt;&gt;"",DigitaNICA!I13,"")</f>
        <v>400</v>
      </c>
      <c r="D17" s="42">
        <f>IF(C17="",0,C17*J$10)</f>
        <v>48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352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212450</v>
      </c>
      <c r="D19" s="68">
        <f>MROUND(SUM(D5:D18),50)</f>
        <v>25500</v>
      </c>
      <c r="E19" s="68">
        <f>SUM(E5:E18)</f>
        <v>1650</v>
      </c>
      <c r="F19" s="68">
        <f>SUM(F5:F18)</f>
        <v>133000</v>
      </c>
      <c r="G19" s="88">
        <f>SUM(G5:G18)</f>
        <v>53956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82100</v>
      </c>
      <c r="K4" s="236">
        <f t="shared" ref="K4" si="0">D7+D11+D15</f>
        <v>12315</v>
      </c>
      <c r="L4" s="237">
        <f>F7+F11+F15</f>
        <v>16000</v>
      </c>
    </row>
    <row r="5" spans="1:12" x14ac:dyDescent="0.35">
      <c r="A5" s="28" t="s">
        <v>43</v>
      </c>
      <c r="B5" s="132">
        <f>IF(DigitaNICA!C2&lt;&gt;"",DigitaNICA!C2,"")</f>
        <v>93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>
        <f>IF(DigitaTICA!C14&lt;&gt;"",DigitaTICA!C14,"")</f>
        <v>31100</v>
      </c>
      <c r="D7" s="42">
        <f>IF(C7="",0,C7*J$9)</f>
        <v>4665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10435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12300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85</v>
      </c>
      <c r="C11" s="29">
        <f>IF(DigitaTICA!E14&lt;&gt;"",DigitaTICA!E14,"")</f>
        <v>17800</v>
      </c>
      <c r="D11" s="42">
        <f>IF(C11="",0,C11*J$9)</f>
        <v>2670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15130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IF(DigitaTICA!G14&lt;&gt;"",DigitaTICA!G14,"")</f>
        <v>33200</v>
      </c>
      <c r="D15" s="42">
        <f>IF(C15="",0,C15*J$9)</f>
        <v>4980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28220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82100</v>
      </c>
      <c r="D19" s="68">
        <f>MROUND(SUM(D5:D18),50)</f>
        <v>12300</v>
      </c>
      <c r="E19" s="68">
        <f>SUM(E5:E18)</f>
        <v>200</v>
      </c>
      <c r="F19" s="68">
        <f>SUM(F5:F18)</f>
        <v>16000</v>
      </c>
      <c r="G19" s="88">
        <f>SUM(G5:G18)</f>
        <v>53785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76200</v>
      </c>
      <c r="K4" s="231">
        <f>D7+D11+D15</f>
        <v>9144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IF(DigitaNICA!C16&lt;&gt;"",DigitaNICA!C16,"")</f>
        <v>3400</v>
      </c>
      <c r="D5" s="42">
        <f>IF(C5="",0,C5*J$12)</f>
        <v>408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2992</v>
      </c>
      <c r="I5" s="63" t="s">
        <v>37</v>
      </c>
      <c r="J5" s="225">
        <f>SUM(IF(C5="",0,C5),IF(C9="",0,C9),IF(C13="",0,C13),IF(C17="",0,C17))</f>
        <v>12150</v>
      </c>
      <c r="K5" s="225">
        <f t="shared" ref="K5" si="1">D5+D9+D13+D17</f>
        <v>1458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3450</v>
      </c>
      <c r="K6" s="226">
        <f t="shared" ref="K6" si="2">+D8+D12+D16</f>
        <v>345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66</v>
      </c>
      <c r="C7" s="29">
        <f>IF(DigitaTICA!C16&lt;&gt;"",DigitaTICA!C16,"")</f>
        <v>17800</v>
      </c>
      <c r="D7" s="42">
        <f>IF(C7="",0,C7*J$11)</f>
        <v>2136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15664</v>
      </c>
      <c r="I7" s="63" t="s">
        <v>96</v>
      </c>
      <c r="J7" s="226">
        <f>SUM(IF(C19="",0,C19),IF(C20="",0,C20))</f>
        <v>3400</v>
      </c>
      <c r="K7" s="226">
        <f>+D19+D20</f>
        <v>408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17</v>
      </c>
      <c r="C9" s="29">
        <f>IF(DigitaNICA!E16&lt;&gt;"",DigitaNICA!E16,"")</f>
        <v>4000</v>
      </c>
      <c r="D9" s="42">
        <f>IF(C9="",0,C9*J$12)</f>
        <v>480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-16480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85</v>
      </c>
      <c r="C11" s="29">
        <f>IF(DigitaTICA!E16&lt;&gt;"",DigitaTICA!E16,"")</f>
        <v>18500</v>
      </c>
      <c r="D11" s="42">
        <f>IF(C11="",0,C11*J$11)</f>
        <v>2220</v>
      </c>
      <c r="E11" s="29">
        <f>IF(DigitaTICA!F16&lt;&gt;"",DigitaTICA!F16,"")</f>
        <v>1000</v>
      </c>
      <c r="F11" s="133">
        <f>IF(E11="",0,E11*PREMIOS!F11)</f>
        <v>85000</v>
      </c>
      <c r="G11" s="30">
        <f t="shared" si="0"/>
        <v>-68720</v>
      </c>
      <c r="I11" s="76" t="s">
        <v>36</v>
      </c>
      <c r="J11" s="77">
        <v>0.12</v>
      </c>
      <c r="K11" s="78">
        <f>MROUND(D7+D11+D15,50)</f>
        <v>9150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1450</v>
      </c>
    </row>
    <row r="13" spans="1:12" x14ac:dyDescent="0.35">
      <c r="A13" s="28" t="s">
        <v>50</v>
      </c>
      <c r="B13" s="132">
        <f>IF(DigitaNICA!G2&lt;&gt;"",DigitaNICA!G2,"")</f>
        <v>21</v>
      </c>
      <c r="C13" s="29">
        <f>IF(DigitaNICA!G16&lt;&gt;"",DigitaNICA!G16,"")</f>
        <v>2000</v>
      </c>
      <c r="D13" s="42">
        <f>IF(C13="",0,C13*J$12)</f>
        <v>240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1760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</v>
      </c>
    </row>
    <row r="15" spans="1:12" ht="15" thickBot="1" x14ac:dyDescent="0.4">
      <c r="A15" s="28" t="s">
        <v>61</v>
      </c>
      <c r="B15" s="132">
        <f>IF(DigitaTICA!G2&lt;&gt;"",DigitaTICA!G2,"")</f>
        <v>92</v>
      </c>
      <c r="C15" s="29">
        <f>IF(DigitaTICA!G16&lt;&gt;"",DigitaTICA!G16,"")</f>
        <v>39900</v>
      </c>
      <c r="D15" s="42">
        <f>IF(C15="",0,C15*J$11)</f>
        <v>4788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35112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1450</v>
      </c>
      <c r="D16" s="42">
        <f>IF(C16="",0,C16*J$13)</f>
        <v>145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1305</v>
      </c>
    </row>
    <row r="17" spans="1:7" x14ac:dyDescent="0.35">
      <c r="A17" s="28" t="s">
        <v>52</v>
      </c>
      <c r="B17" s="132">
        <f>IF(DigitaNICA!I2&lt;&gt;"",DigitaNICA!I2,"")</f>
        <v>62</v>
      </c>
      <c r="C17" s="29">
        <f>IF(DigitaNICA!I16&lt;&gt;"",DigitaNICA!I16,"")</f>
        <v>2750</v>
      </c>
      <c r="D17" s="42">
        <f>IF(C17="",0,C17*J$12)</f>
        <v>330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2420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IF(DigitaPRIMERA!C16&lt;&gt;"",DigitaPRIMERA!C16,"")</f>
        <v>3400</v>
      </c>
      <c r="D19" s="42">
        <f>IF(C19="",0,C19*J$14)</f>
        <v>408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2992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95200</v>
      </c>
      <c r="D24" s="122">
        <f t="shared" ref="D24:G24" si="5">SUM(D5:D23)</f>
        <v>11355</v>
      </c>
      <c r="E24" s="122">
        <f t="shared" si="5"/>
        <v>1250</v>
      </c>
      <c r="F24" s="122">
        <f t="shared" si="5"/>
        <v>105000</v>
      </c>
      <c r="G24" s="123">
        <f t="shared" si="5"/>
        <v>-21155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430100</v>
      </c>
      <c r="K4" s="231">
        <f t="shared" ref="K4" si="0">D7+D11+D15</f>
        <v>51612</v>
      </c>
      <c r="L4" s="220">
        <f>F7+F11+F15</f>
        <v>250750</v>
      </c>
    </row>
    <row r="5" spans="1:12" x14ac:dyDescent="0.35">
      <c r="A5" s="28" t="s">
        <v>43</v>
      </c>
      <c r="B5" s="132">
        <f>IF(DigitaNICA!C2&lt;&gt;"",DigitaNICA!C2,"")</f>
        <v>93</v>
      </c>
      <c r="C5" s="89">
        <f>IF(DigitaNICA!C17&lt;&gt;"",DigitaNICA!C17,"")</f>
        <v>80850</v>
      </c>
      <c r="D5" s="42">
        <f>IF(C5="",0,C5*J$16)</f>
        <v>9702</v>
      </c>
      <c r="E5" s="89">
        <f>IF(DigitaNICA!D17&lt;&gt;"",DigitaNICA!D17,"")</f>
        <v>100</v>
      </c>
      <c r="F5" s="42">
        <f>IF(E5="",0,E5*PREMIOS!F5)</f>
        <v>8500</v>
      </c>
      <c r="G5" s="90">
        <f t="shared" ref="G5:G12" si="1">IF(OR(C5="",E5=""),0,C5-D5-F5)</f>
        <v>62648</v>
      </c>
      <c r="I5" s="217" t="s">
        <v>37</v>
      </c>
      <c r="J5" s="221">
        <f>SUM(IF(C5="",0,C5),IF(C9="",0,C9),IF(C13="",0,C13),IF(C17="",0,C17))</f>
        <v>339100</v>
      </c>
      <c r="K5" s="225">
        <f t="shared" ref="K5" si="2">D5+D9+D13+D17</f>
        <v>40692</v>
      </c>
      <c r="L5" s="222">
        <f>F5+F9+F13+F17</f>
        <v>119000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71050</v>
      </c>
      <c r="K6" s="226">
        <f t="shared" ref="K6" si="3">+D8+D12+D16</f>
        <v>7105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66</v>
      </c>
      <c r="C7" s="89">
        <f>IF(DigitaTICA!C17&lt;&gt;"",DigitaTICA!C17,"")</f>
        <v>160400</v>
      </c>
      <c r="D7" s="42">
        <f>IF(C7="",0,C7*J$15)</f>
        <v>19248</v>
      </c>
      <c r="E7" s="89">
        <f>IF(DigitaTICA!D17&lt;&gt;"",DigitaTICA!D17,"")</f>
        <v>500</v>
      </c>
      <c r="F7" s="42">
        <f>IF(E7="",0,E7*PREMIOS!F7)</f>
        <v>42500</v>
      </c>
      <c r="G7" s="90">
        <f t="shared" si="1"/>
        <v>98652</v>
      </c>
      <c r="I7" s="217" t="s">
        <v>96</v>
      </c>
      <c r="J7" s="223">
        <f>SUM(IF(C19="",0,C19),IF(C20="",0,C20))</f>
        <v>87150</v>
      </c>
      <c r="K7" s="226">
        <f>+D19+D20</f>
        <v>10458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34750</v>
      </c>
      <c r="D8" s="42">
        <f>IF(C8="",0,C8*J$17)</f>
        <v>3475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31275</v>
      </c>
      <c r="I8" s="217" t="s">
        <v>104</v>
      </c>
      <c r="J8" s="223">
        <f>SUM(IF(C21="",0,C21),IF(C22="",0,C22),IF(C23="",0,C23))</f>
        <v>64100</v>
      </c>
      <c r="K8" s="226">
        <f t="shared" ref="K8" si="4">D21+D22+D23</f>
        <v>7692</v>
      </c>
      <c r="L8" s="227">
        <f>F21+F22+F23</f>
        <v>63750</v>
      </c>
    </row>
    <row r="9" spans="1:12" x14ac:dyDescent="0.35">
      <c r="A9" s="28" t="s">
        <v>48</v>
      </c>
      <c r="B9" s="132">
        <f>IF(DigitaNICA!E2&lt;&gt;"",DigitaNICA!E2,"")</f>
        <v>17</v>
      </c>
      <c r="C9" s="89">
        <f>IF(DigitaNICA!E17&lt;&gt;"",DigitaNICA!E17,"")</f>
        <v>71400</v>
      </c>
      <c r="D9" s="42">
        <f>IF(C9="",0,C9*J$16)</f>
        <v>8568</v>
      </c>
      <c r="E9" s="89">
        <f>IF(DigitaNICA!F17&lt;&gt;"",DigitaNICA!F17,"")</f>
        <v>150</v>
      </c>
      <c r="F9" s="42">
        <f>IF(E9="",0,E9*PREMIOS!F9)</f>
        <v>12750</v>
      </c>
      <c r="G9" s="90">
        <f t="shared" si="1"/>
        <v>50082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85</v>
      </c>
      <c r="C11" s="89">
        <f>IF(DigitaTICA!E17&lt;&gt;"",DigitaTICA!E17,"")</f>
        <v>72150</v>
      </c>
      <c r="D11" s="42">
        <f>IF(C11="",0,C11*J$15)</f>
        <v>8658</v>
      </c>
      <c r="E11" s="89">
        <f>IF(DigitaTICA!F17&lt;&gt;"",DigitaTICA!F17,"")</f>
        <v>600</v>
      </c>
      <c r="F11" s="42">
        <f>IF(E11="",0,E11*PREMIOS!F11)</f>
        <v>51000</v>
      </c>
      <c r="G11" s="90">
        <f t="shared" si="1"/>
        <v>12492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10950</v>
      </c>
      <c r="D12" s="42">
        <f>IF(C12="",0,C12*J$17)</f>
        <v>1095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9855</v>
      </c>
    </row>
    <row r="13" spans="1:12" ht="15" thickBot="1" x14ac:dyDescent="0.4">
      <c r="A13" s="28" t="s">
        <v>50</v>
      </c>
      <c r="B13" s="132">
        <f>IF(DigitaNICA!G2&lt;&gt;"",DigitaNICA!G2,"")</f>
        <v>21</v>
      </c>
      <c r="C13" s="89">
        <f>IF(DigitaNICA!G17&lt;&gt;"",DigitaNICA!G17,"")</f>
        <v>40000</v>
      </c>
      <c r="D13" s="42">
        <f>IF(C13="",0,C13*J$16)</f>
        <v>4800</v>
      </c>
      <c r="E13" s="89">
        <f>IF(DigitaNICA!H17&lt;&gt;"",DigitaNICA!H17,"")</f>
        <v>900</v>
      </c>
      <c r="F13" s="42">
        <f>IF(E13="",0,E13*PREMIOS!F13)</f>
        <v>76500</v>
      </c>
      <c r="G13" s="90">
        <f>IF(OR(C13="",E13=""),0,C13-D13-F13)</f>
        <v>-41300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92</v>
      </c>
      <c r="C15" s="89">
        <f>IF(DigitaTICA!G17&lt;&gt;"",DigitaTICA!G17,"")</f>
        <v>197550</v>
      </c>
      <c r="D15" s="42">
        <f>IF(C15="",0,C15*J$15)</f>
        <v>23706</v>
      </c>
      <c r="E15" s="89">
        <f>IF(DigitaTICA!H17&lt;&gt;"",DigitaTICA!H17,"")</f>
        <v>1850</v>
      </c>
      <c r="F15" s="42">
        <f>IF(E15="",0,E15*PREMIOS!F15)</f>
        <v>157250</v>
      </c>
      <c r="G15" s="90">
        <f t="shared" si="6"/>
        <v>16594</v>
      </c>
      <c r="I15" s="76" t="s">
        <v>36</v>
      </c>
      <c r="J15" s="77">
        <v>0.12</v>
      </c>
      <c r="K15" s="78">
        <f>MROUND(D7+D11+D15,50)</f>
        <v>51600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25350</v>
      </c>
      <c r="D16" s="42">
        <f>IF(C16="",0,C16*J$17)</f>
        <v>2535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22815</v>
      </c>
      <c r="I16" s="63" t="s">
        <v>37</v>
      </c>
      <c r="J16" s="64">
        <v>0.12</v>
      </c>
      <c r="K16" s="30">
        <f>MROUND(D5+D9+D13+D17,50)</f>
        <v>40700</v>
      </c>
    </row>
    <row r="17" spans="1:11" x14ac:dyDescent="0.35">
      <c r="A17" s="28" t="s">
        <v>52</v>
      </c>
      <c r="B17" s="132">
        <f>IF(DigitaNICA!I2&lt;&gt;"",DigitaNICA!I2,"")</f>
        <v>62</v>
      </c>
      <c r="C17" s="89">
        <f>IF(DigitaNICA!I17&lt;&gt;"",DigitaNICA!I17,"")</f>
        <v>146850</v>
      </c>
      <c r="D17" s="42">
        <f>IF(C17="",0,C17*J$16)</f>
        <v>17622</v>
      </c>
      <c r="E17" s="89">
        <f>IF(DigitaNICA!J17&lt;&gt;"",DigitaNICA!J17,"")</f>
        <v>250</v>
      </c>
      <c r="F17" s="42">
        <f>IF(E17="",0,E17*PREMIOS!F17)</f>
        <v>21250</v>
      </c>
      <c r="G17" s="90">
        <f t="shared" si="6"/>
        <v>107978</v>
      </c>
      <c r="I17" s="63" t="s">
        <v>38</v>
      </c>
      <c r="J17" s="64">
        <v>0.1</v>
      </c>
      <c r="K17" s="30">
        <f>MROUND(D6+D8+D10+D12+D14+D16+D18,50)</f>
        <v>7100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10450</v>
      </c>
    </row>
    <row r="19" spans="1:11" x14ac:dyDescent="0.35">
      <c r="A19" s="28" t="s">
        <v>97</v>
      </c>
      <c r="B19" s="132">
        <f>IF(DigitaPRIMERA!C2&lt;&gt;"",DigitaPRIMERA!C2,"")</f>
        <v>38</v>
      </c>
      <c r="C19" s="29">
        <f>IF(DigitaPRIMERA!$C$17&lt;&gt;"",DigitaPRIMERA!$C$17,"")</f>
        <v>76650</v>
      </c>
      <c r="D19" s="42">
        <f>IF(C19="",0,C19*J$18)</f>
        <v>9198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58952</v>
      </c>
      <c r="I19" s="63" t="s">
        <v>104</v>
      </c>
      <c r="J19" s="64">
        <v>0.12</v>
      </c>
      <c r="K19" s="30">
        <f>MROUND(D21+D22+D23,50)</f>
        <v>7700</v>
      </c>
    </row>
    <row r="20" spans="1:11" x14ac:dyDescent="0.35">
      <c r="A20" s="28" t="s">
        <v>98</v>
      </c>
      <c r="B20" s="132">
        <f>IF(DigitaPRIMERA!E2&lt;&gt;"",DigitaPRIMERA!E2,"")</f>
        <v>99</v>
      </c>
      <c r="C20" s="29">
        <f>IF(DigitaPRIMERA!$E$17&lt;&gt;"",DigitaPRIMERA!$E$17,"")</f>
        <v>10500</v>
      </c>
      <c r="D20" s="42">
        <f>IF(C20="",0,C20*J$18)</f>
        <v>1260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9240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49</v>
      </c>
      <c r="C21" s="29">
        <f>IF(DigitaHONDURAS!$C$17&lt;&gt;"",DigitaHONDURAS!$C$17,"")</f>
        <v>36250</v>
      </c>
      <c r="D21" s="42">
        <f>IF(C21="",0,C21*J$19)</f>
        <v>4350</v>
      </c>
      <c r="E21" s="29">
        <f>IF(DigitaHONDURAS!$D$17&lt;&gt;"",DigitaHONDURAS!$D$17,"")</f>
        <v>600</v>
      </c>
      <c r="F21" s="42">
        <f>IF(E21="",0,E21*PREMIOS!F20)</f>
        <v>51000</v>
      </c>
      <c r="G21" s="30">
        <f t="shared" si="6"/>
        <v>-19100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34</v>
      </c>
      <c r="C22" s="29">
        <f>IF(DigitaHONDURAS!$E$17&lt;&gt;"",DigitaHONDURAS!$E$17,"")</f>
        <v>7750</v>
      </c>
      <c r="D22" s="42">
        <f>IF(C22="",0,C22*J$19)</f>
        <v>930</v>
      </c>
      <c r="E22" s="29">
        <f>IF(DigitaHONDURAS!$F$17&lt;&gt;"",DigitaHONDURAS!$F$17,"")</f>
        <v>150</v>
      </c>
      <c r="F22" s="42">
        <f>IF(E22="",0,E22*PREMIOS!F20)</f>
        <v>12750</v>
      </c>
      <c r="G22" s="30">
        <f t="shared" si="6"/>
        <v>-5930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IF(DigitaHONDURAS!$G$17&lt;&gt;"",DigitaHONDURAS!$G$17,"")</f>
        <v>20100</v>
      </c>
      <c r="D23" s="42">
        <f>IF(C23="",0,C23*J$19)</f>
        <v>2412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17688</v>
      </c>
    </row>
    <row r="24" spans="1:11" x14ac:dyDescent="0.35">
      <c r="A24" s="28" t="s">
        <v>102</v>
      </c>
      <c r="B24" s="132">
        <f>IF(DigitaDOMINICANA!C2&lt;&gt;"",DigitaDOMINICANA!C2,"")</f>
        <v>93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991500</v>
      </c>
      <c r="D27" s="68">
        <f t="shared" ref="D27:G27" si="7">SUM(D5:D26)</f>
        <v>117559</v>
      </c>
      <c r="E27" s="68">
        <f t="shared" si="7"/>
        <v>5200</v>
      </c>
      <c r="F27" s="68">
        <f t="shared" si="7"/>
        <v>442000</v>
      </c>
      <c r="G27" s="88">
        <f t="shared" si="7"/>
        <v>431941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190300</v>
      </c>
      <c r="K4" s="231">
        <f t="shared" ref="K4" si="0">D7+D11+D15</f>
        <v>22836</v>
      </c>
      <c r="L4" s="220">
        <f>F7+F11+F15</f>
        <v>93500</v>
      </c>
    </row>
    <row r="5" spans="1:12" x14ac:dyDescent="0.35">
      <c r="A5" s="28" t="str">
        <f>+Vendedor1!A5</f>
        <v>Nica 11am</v>
      </c>
      <c r="B5" s="132">
        <f>IF(DigitaNICA!C2&lt;&gt;"",DigitaNICA!C2,"")</f>
        <v>93</v>
      </c>
      <c r="C5" s="29">
        <f>IF(DigitaNICA!C18&lt;&gt;"",DigitaNICA!C18,"")</f>
        <v>45200</v>
      </c>
      <c r="D5" s="42">
        <f>IF(C5="",0,C5*J$16)</f>
        <v>5424</v>
      </c>
      <c r="E5" s="29">
        <f>IF(DigitaNICA!D18&lt;&gt;"",DigitaNICA!D18,"")</f>
        <v>100</v>
      </c>
      <c r="F5" s="42">
        <f>IF(E5="",0,E5*PREMIOS!F5)</f>
        <v>8500</v>
      </c>
      <c r="G5" s="30">
        <f t="shared" ref="G5:G12" si="1">IF(OR(C5="",E5=""),0,C5-D5-F5)</f>
        <v>31276</v>
      </c>
      <c r="I5" s="217" t="s">
        <v>37</v>
      </c>
      <c r="J5" s="221">
        <f>SUM(IF(C5="",0,C5),IF(C9="",0,C9),IF(C13="",0,C13),IF(C17="",0,C17))</f>
        <v>169650</v>
      </c>
      <c r="K5" s="225">
        <f t="shared" ref="K5" si="2">D5+D9+D13+D17</f>
        <v>20358</v>
      </c>
      <c r="L5" s="222">
        <f>F5+F9+F13+F17</f>
        <v>178500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62200</v>
      </c>
      <c r="K6" s="226">
        <f t="shared" ref="K6" si="3">+D8+D12+D16</f>
        <v>6220</v>
      </c>
      <c r="L6" s="227">
        <f>+F8+F12+F16</f>
        <v>60000</v>
      </c>
    </row>
    <row r="7" spans="1:12" x14ac:dyDescent="0.35">
      <c r="A7" s="28" t="str">
        <f>+Vendedor1!A7</f>
        <v>Tica 1pm</v>
      </c>
      <c r="B7" s="132">
        <f>IF(DigitaTICA!C2&lt;&gt;"",DigitaTICA!C2,"")</f>
        <v>66</v>
      </c>
      <c r="C7" s="29">
        <f>IF(DigitaTICA!C18&lt;&gt;"",DigitaTICA!C18,"")</f>
        <v>42850</v>
      </c>
      <c r="D7" s="42">
        <f>IF(C7="",0,C7*J$15)</f>
        <v>5142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12208</v>
      </c>
      <c r="I7" s="217" t="s">
        <v>96</v>
      </c>
      <c r="J7" s="223">
        <f>SUM(IF(C19="",0,C19),IF(C20="",0,C20))</f>
        <v>93100</v>
      </c>
      <c r="K7" s="226">
        <f>+D19+D20</f>
        <v>11172</v>
      </c>
      <c r="L7" s="227">
        <f>+F19+F20</f>
        <v>85000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19200</v>
      </c>
      <c r="D8" s="42">
        <f>IF(C8="",0,C8*J$17)</f>
        <v>1920</v>
      </c>
      <c r="E8" s="29">
        <f>IF(DigitaREVENTADO!D18&lt;&gt;"",DigitaREVENTADO!D18,"")</f>
        <v>300</v>
      </c>
      <c r="F8" s="42">
        <f>IF(E8="",0,E8*PREMIOS!F8)</f>
        <v>60000</v>
      </c>
      <c r="G8" s="30">
        <f t="shared" si="1"/>
        <v>-42720</v>
      </c>
      <c r="I8" s="217" t="s">
        <v>104</v>
      </c>
      <c r="J8" s="223">
        <f>SUM(IF(C21="",0,C21),IF(C22="",0,C22),IF(C23="",0,C23))</f>
        <v>24350</v>
      </c>
      <c r="K8" s="226">
        <f t="shared" ref="K8" si="4">D21+D22+D23</f>
        <v>2922</v>
      </c>
      <c r="L8" s="227">
        <f>F21+F22+F23</f>
        <v>21250</v>
      </c>
    </row>
    <row r="9" spans="1:12" x14ac:dyDescent="0.35">
      <c r="A9" s="28" t="str">
        <f>+Vendedor1!A9</f>
        <v>Nica 3pm</v>
      </c>
      <c r="B9" s="132">
        <f>IF(DigitaNICA!E2&lt;&gt;"",DigitaNICA!E2,"")</f>
        <v>17</v>
      </c>
      <c r="C9" s="29">
        <f>IF(DigitaNICA!E18&lt;&gt;"",DigitaNICA!E18,"")</f>
        <v>43950</v>
      </c>
      <c r="D9" s="42">
        <f>IF(C9="",0,C9*J$16)</f>
        <v>5274</v>
      </c>
      <c r="E9" s="29">
        <f>IF(DigitaNICA!F18&lt;&gt;"",DigitaNICA!F18,"")</f>
        <v>700</v>
      </c>
      <c r="F9" s="42">
        <f>IF(E9="",0,E9*PREMIOS!F9)</f>
        <v>59500</v>
      </c>
      <c r="G9" s="30">
        <f t="shared" si="1"/>
        <v>-20824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85</v>
      </c>
      <c r="C11" s="29">
        <f>IF(DigitaTICA!E18&lt;&gt;"",DigitaTICA!E18,"")</f>
        <v>42900</v>
      </c>
      <c r="D11" s="42">
        <f>IF(C11="",0,C11*J$15)</f>
        <v>5148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29252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19500</v>
      </c>
      <c r="D12" s="42">
        <f>IF(C12="",0,C12*J$17)</f>
        <v>1950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17550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21</v>
      </c>
      <c r="C13" s="29">
        <f>IF(DigitaNICA!G18&lt;&gt;"",DigitaNICA!G18,"")</f>
        <v>51500</v>
      </c>
      <c r="D13" s="42">
        <f>IF(C13="",0,C13*J$16)</f>
        <v>6180</v>
      </c>
      <c r="E13" s="29">
        <f>IF(DigitaNICA!H18&lt;&gt;"",DigitaNICA!H18,"")</f>
        <v>1300</v>
      </c>
      <c r="F13" s="42">
        <f>IF(E13="",0,E13*PREMIOS!F13)</f>
        <v>110500</v>
      </c>
      <c r="G13" s="30">
        <f>IF(OR(C13="",E13=""),0,C13-D13-F13)</f>
        <v>-65180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92</v>
      </c>
      <c r="C15" s="29">
        <f>IF(DigitaTICA!G18&lt;&gt;"",DigitaTICA!G18,"")</f>
        <v>104550</v>
      </c>
      <c r="D15" s="42">
        <f>IF(C15="",0,C15*J$15)</f>
        <v>12546</v>
      </c>
      <c r="E15" s="29">
        <f>IF(DigitaTICA!H18&lt;&gt;"",DigitaTICA!H18,"")</f>
        <v>700</v>
      </c>
      <c r="F15" s="42">
        <f>IF(E15="",0,E15*PREMIOS!F15)</f>
        <v>59500</v>
      </c>
      <c r="G15" s="30">
        <f t="shared" si="6"/>
        <v>32504</v>
      </c>
      <c r="I15" s="76" t="s">
        <v>36</v>
      </c>
      <c r="J15" s="77">
        <v>0.12</v>
      </c>
      <c r="K15" s="78">
        <f>MROUND(D7+D11+D15,50)</f>
        <v>22850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23500</v>
      </c>
      <c r="D16" s="42">
        <f>IF(C16="",0,C16*J$17)</f>
        <v>2350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21150</v>
      </c>
      <c r="I16" s="63" t="s">
        <v>37</v>
      </c>
      <c r="J16" s="64">
        <v>0.12</v>
      </c>
      <c r="K16" s="30">
        <f>MROUND(D5+D9+D13+D17,50)</f>
        <v>20350</v>
      </c>
    </row>
    <row r="17" spans="1:11" x14ac:dyDescent="0.35">
      <c r="A17" s="28" t="str">
        <f>+Vendedor1!A17</f>
        <v>Nica 9pm</v>
      </c>
      <c r="B17" s="132">
        <f>IF(DigitaNICA!I2&lt;&gt;"",DigitaNICA!I2,"")</f>
        <v>62</v>
      </c>
      <c r="C17" s="29">
        <f>IF(DigitaNICA!I18&lt;&gt;"",DigitaNICA!I18,"")</f>
        <v>29000</v>
      </c>
      <c r="D17" s="42">
        <f>IF(C17="",0,C17*J$16)</f>
        <v>3480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25520</v>
      </c>
      <c r="I17" s="63" t="s">
        <v>38</v>
      </c>
      <c r="J17" s="64">
        <v>0.1</v>
      </c>
      <c r="K17" s="30">
        <f>MROUND(D6+D8+D10+D12+D14+D16+D18,50)</f>
        <v>6200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11150</v>
      </c>
    </row>
    <row r="19" spans="1:11" x14ac:dyDescent="0.35">
      <c r="A19" s="28" t="s">
        <v>97</v>
      </c>
      <c r="B19" s="132">
        <f>IF(DigitaPRIMERA!C2&lt;&gt;"",DigitaPRIMERA!C2,"")</f>
        <v>38</v>
      </c>
      <c r="C19" s="29">
        <f>IF(DigitaPRIMERA!$C$18&lt;&gt;"",DigitaPRIMERA!$C$18,"")</f>
        <v>42500</v>
      </c>
      <c r="D19" s="42">
        <f>IF(C19="",0,C19*J$18)</f>
        <v>5100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37400</v>
      </c>
      <c r="I19" s="63" t="s">
        <v>104</v>
      </c>
      <c r="J19" s="64">
        <v>0.12</v>
      </c>
      <c r="K19" s="30">
        <f>MROUND(D21+D22+D23,50)</f>
        <v>2900</v>
      </c>
    </row>
    <row r="20" spans="1:11" x14ac:dyDescent="0.35">
      <c r="A20" s="28" t="s">
        <v>98</v>
      </c>
      <c r="B20" s="132">
        <f>IF(DigitaPRIMERA!E2&lt;&gt;"",DigitaPRIMERA!E2,"")</f>
        <v>99</v>
      </c>
      <c r="C20" s="29">
        <f>IF(DigitaPRIMERA!$E$18&lt;&gt;"",DigitaPRIMERA!$E$18,"")</f>
        <v>50600</v>
      </c>
      <c r="D20" s="42">
        <f>IF(C20="",0,C20*J$18)</f>
        <v>6072</v>
      </c>
      <c r="E20" s="29">
        <f>IF(DigitaPRIMERA!$F$18&lt;&gt;"",DigitaPRIMERA!$F$18,"")</f>
        <v>1000</v>
      </c>
      <c r="F20" s="42">
        <f>IF(E20="",0,E20*PREMIOS!F19)</f>
        <v>85000</v>
      </c>
      <c r="G20" s="30">
        <f t="shared" si="6"/>
        <v>-40472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49</v>
      </c>
      <c r="C21" s="29">
        <f>IF(DigitaHONDURAS!$C$18&lt;&gt;"",DigitaHONDURAS!$C$18,"")</f>
        <v>7900</v>
      </c>
      <c r="D21" s="42">
        <f>IF(C21="",0,C21*J$19)</f>
        <v>948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6952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34</v>
      </c>
      <c r="C22" s="29">
        <f>IF(DigitaHONDURAS!$E$18&lt;&gt;"",DigitaHONDURAS!$E$18,"")</f>
        <v>8850</v>
      </c>
      <c r="D22" s="42">
        <f>IF(C22="",0,C22*J$19)</f>
        <v>1062</v>
      </c>
      <c r="E22" s="29">
        <f>IF(DigitaHONDURAS!$F$18&lt;&gt;"",DigitaHONDURAS!$F$18,"")</f>
        <v>250</v>
      </c>
      <c r="F22" s="42">
        <f>IF(E22="",0,E22*PREMIOS!F20)</f>
        <v>21250</v>
      </c>
      <c r="G22" s="30">
        <f t="shared" si="6"/>
        <v>-13462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IF(DigitaHONDURAS!$G$18&lt;&gt;"",DigitaHONDURAS!$G$18,"")</f>
        <v>7600</v>
      </c>
      <c r="D23" s="42">
        <f>IF(C23="",0,C23*J$19)</f>
        <v>912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6688</v>
      </c>
    </row>
    <row r="24" spans="1:11" x14ac:dyDescent="0.35">
      <c r="A24" s="28" t="s">
        <v>102</v>
      </c>
      <c r="B24" s="132">
        <f>IF(DigitaDOMINICANA!C2&lt;&gt;"",DigitaDOMINICANA!C2,"")</f>
        <v>93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539600</v>
      </c>
      <c r="D27" s="68">
        <f t="shared" ref="D27:G27" si="7">SUM(D5:D26)</f>
        <v>63508</v>
      </c>
      <c r="E27" s="68">
        <f t="shared" si="7"/>
        <v>4750</v>
      </c>
      <c r="F27" s="68">
        <f t="shared" si="7"/>
        <v>438250</v>
      </c>
      <c r="G27" s="88">
        <f t="shared" si="7"/>
        <v>37842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17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85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21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66</v>
      </c>
      <c r="D2" s="268"/>
      <c r="E2" s="267">
        <f>IF(PREMIOS!$B11="","",PREMIOS!$B11)</f>
        <v>85</v>
      </c>
      <c r="F2" s="268"/>
      <c r="G2" s="267">
        <f>IF(PREMIOS!$B15="","",PREMIOS!$B15)</f>
        <v>92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49850</v>
      </c>
      <c r="D4" s="78">
        <v>300</v>
      </c>
      <c r="E4" s="189">
        <v>19000</v>
      </c>
      <c r="F4" s="78">
        <f t="shared" ref="D4:H27" si="0">IF(E4="","",0)</f>
        <v>0</v>
      </c>
      <c r="G4" s="189">
        <v>102650</v>
      </c>
      <c r="H4" s="78">
        <v>2550</v>
      </c>
      <c r="J4" s="42">
        <f t="shared" ref="J4:J8" si="1">+C4+E4+G4</f>
        <v>171500</v>
      </c>
      <c r="K4" s="42">
        <f>IF(D4="",0,IF(F4="",D4,IF(H4="",D4+F4,D4+F4+H4)))</f>
        <v>2850</v>
      </c>
    </row>
    <row r="5" spans="1:11" x14ac:dyDescent="0.35">
      <c r="A5" s="47">
        <v>2</v>
      </c>
      <c r="B5" s="178" t="str">
        <f>Vendedor2!$B$2</f>
        <v>PUESTO 2</v>
      </c>
      <c r="C5" s="180">
        <v>56800</v>
      </c>
      <c r="D5" s="30">
        <v>200</v>
      </c>
      <c r="E5" s="180">
        <v>56850</v>
      </c>
      <c r="F5" s="30">
        <v>500</v>
      </c>
      <c r="G5" s="180">
        <v>91700</v>
      </c>
      <c r="H5" s="30">
        <f t="shared" si="0"/>
        <v>0</v>
      </c>
      <c r="J5" s="42">
        <f t="shared" si="1"/>
        <v>205350</v>
      </c>
      <c r="K5" s="42">
        <f t="shared" ref="K5:K27" si="2">IF(D5="",0,IF(F5="",D5,IF(H5="",D5+F5,D5+F5+H5)))</f>
        <v>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71750</v>
      </c>
      <c r="D8" s="30">
        <v>850</v>
      </c>
      <c r="E8" s="180">
        <v>54750</v>
      </c>
      <c r="F8" s="30">
        <f t="shared" si="0"/>
        <v>0</v>
      </c>
      <c r="G8" s="180">
        <v>89650</v>
      </c>
      <c r="H8" s="30">
        <f t="shared" si="0"/>
        <v>0</v>
      </c>
      <c r="J8" s="42">
        <f t="shared" si="1"/>
        <v>216150</v>
      </c>
      <c r="K8" s="42">
        <f t="shared" si="2"/>
        <v>850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69800+131500</f>
        <v>201300</v>
      </c>
      <c r="D10" s="30">
        <f>250+0</f>
        <v>250</v>
      </c>
      <c r="E10" s="180">
        <f>43050+78550</f>
        <v>121600</v>
      </c>
      <c r="F10" s="30">
        <f>250+0</f>
        <v>250</v>
      </c>
      <c r="G10" s="180">
        <f>70500+101050</f>
        <v>171550</v>
      </c>
      <c r="H10" s="30">
        <f>450+50</f>
        <v>500</v>
      </c>
      <c r="J10" s="42">
        <f t="shared" si="3"/>
        <v>494450</v>
      </c>
      <c r="K10" s="42">
        <f t="shared" si="2"/>
        <v>1000</v>
      </c>
    </row>
    <row r="11" spans="1:11" x14ac:dyDescent="0.35">
      <c r="A11" s="47">
        <v>8</v>
      </c>
      <c r="B11" s="178" t="str">
        <f>Vendedor8!$B$2</f>
        <v>ISA</v>
      </c>
      <c r="C11" s="180">
        <v>4600</v>
      </c>
      <c r="D11" s="30">
        <f t="shared" si="0"/>
        <v>0</v>
      </c>
      <c r="E11" s="180"/>
      <c r="F11" s="30" t="str">
        <f t="shared" si="0"/>
        <v/>
      </c>
      <c r="G11" s="180">
        <v>11000</v>
      </c>
      <c r="H11" s="30">
        <f t="shared" si="0"/>
        <v>0</v>
      </c>
      <c r="J11" s="42">
        <f t="shared" si="3"/>
        <v>15600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31650</v>
      </c>
      <c r="D12" s="30">
        <v>150</v>
      </c>
      <c r="E12" s="180">
        <v>19350</v>
      </c>
      <c r="F12" s="30">
        <f t="shared" si="0"/>
        <v>0</v>
      </c>
      <c r="G12" s="180">
        <v>25400</v>
      </c>
      <c r="H12" s="30">
        <f t="shared" si="0"/>
        <v>0</v>
      </c>
      <c r="J12" s="42">
        <f t="shared" si="3"/>
        <v>76400</v>
      </c>
      <c r="K12" s="42">
        <f t="shared" si="2"/>
        <v>150</v>
      </c>
    </row>
    <row r="13" spans="1:11" x14ac:dyDescent="0.35">
      <c r="A13" s="47">
        <v>10</v>
      </c>
      <c r="B13" s="178" t="str">
        <f>Vendedor10!$B$2</f>
        <v>MARIALIZ</v>
      </c>
      <c r="C13" s="180">
        <v>43800</v>
      </c>
      <c r="D13" s="30">
        <v>200</v>
      </c>
      <c r="E13" s="180">
        <v>28200</v>
      </c>
      <c r="F13" s="30">
        <f t="shared" si="0"/>
        <v>0</v>
      </c>
      <c r="G13" s="180">
        <v>56300</v>
      </c>
      <c r="H13" s="30">
        <f t="shared" si="0"/>
        <v>0</v>
      </c>
      <c r="J13" s="42">
        <f t="shared" si="3"/>
        <v>128300</v>
      </c>
      <c r="K13" s="42">
        <f t="shared" si="2"/>
        <v>200</v>
      </c>
    </row>
    <row r="14" spans="1:11" x14ac:dyDescent="0.35">
      <c r="A14" s="47">
        <v>11</v>
      </c>
      <c r="B14" s="178" t="str">
        <f>Vendedor11!$B$2</f>
        <v>CHARLY</v>
      </c>
      <c r="C14" s="180">
        <v>31100</v>
      </c>
      <c r="D14" s="30">
        <v>200</v>
      </c>
      <c r="E14" s="180">
        <v>17800</v>
      </c>
      <c r="F14" s="30">
        <f t="shared" si="0"/>
        <v>0</v>
      </c>
      <c r="G14" s="180">
        <v>33200</v>
      </c>
      <c r="H14" s="30">
        <f t="shared" si="0"/>
        <v>0</v>
      </c>
      <c r="J14" s="42">
        <f t="shared" si="3"/>
        <v>82100</v>
      </c>
      <c r="K14" s="42">
        <f t="shared" si="2"/>
        <v>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f>600+17200</f>
        <v>17800</v>
      </c>
      <c r="D16" s="30">
        <f t="shared" si="0"/>
        <v>0</v>
      </c>
      <c r="E16" s="180">
        <v>18500</v>
      </c>
      <c r="F16" s="30">
        <v>1000</v>
      </c>
      <c r="G16" s="180">
        <v>39900</v>
      </c>
      <c r="H16" s="30">
        <f t="shared" si="0"/>
        <v>0</v>
      </c>
      <c r="J16" s="42">
        <f t="shared" si="3"/>
        <v>76200</v>
      </c>
      <c r="K16" s="42">
        <f t="shared" si="2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117400+43000</f>
        <v>160400</v>
      </c>
      <c r="D17" s="30">
        <f>500+0</f>
        <v>500</v>
      </c>
      <c r="E17" s="180">
        <f>60950+11200</f>
        <v>72150</v>
      </c>
      <c r="F17" s="30">
        <f>600+0</f>
        <v>600</v>
      </c>
      <c r="G17" s="180">
        <f>166450+31100</f>
        <v>197550</v>
      </c>
      <c r="H17" s="30">
        <f>1850+0</f>
        <v>1850</v>
      </c>
      <c r="J17" s="42">
        <f t="shared" si="3"/>
        <v>430100</v>
      </c>
      <c r="K17" s="42">
        <f t="shared" si="2"/>
        <v>2950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23150+19700</f>
        <v>42850</v>
      </c>
      <c r="D18" s="30">
        <v>300</v>
      </c>
      <c r="E18" s="180">
        <f>19500+23400</f>
        <v>42900</v>
      </c>
      <c r="F18" s="30">
        <v>100</v>
      </c>
      <c r="G18" s="180">
        <f>78200+26350</f>
        <v>104550</v>
      </c>
      <c r="H18" s="30">
        <f>700+0</f>
        <v>700</v>
      </c>
      <c r="J18" s="42">
        <f t="shared" si="3"/>
        <v>190300</v>
      </c>
      <c r="K18" s="42">
        <f t="shared" si="2"/>
        <v>1100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711900</v>
      </c>
      <c r="D32" s="44">
        <f t="shared" si="6"/>
        <v>2950</v>
      </c>
      <c r="E32" s="43">
        <f t="shared" si="6"/>
        <v>451100</v>
      </c>
      <c r="F32" s="44">
        <f t="shared" si="6"/>
        <v>2450</v>
      </c>
      <c r="G32" s="43">
        <f t="shared" si="6"/>
        <v>923450</v>
      </c>
      <c r="H32" s="44">
        <f t="shared" si="6"/>
        <v>5600</v>
      </c>
      <c r="J32" s="95">
        <f>SUM(J4:J31)</f>
        <v>2086450</v>
      </c>
      <c r="K32" s="95"/>
    </row>
    <row r="33" spans="2:8" x14ac:dyDescent="0.35">
      <c r="D33" s="99">
        <f>+D32*85</f>
        <v>250750</v>
      </c>
      <c r="F33" s="99">
        <f>+F32*85</f>
        <v>208250</v>
      </c>
      <c r="H33" s="99">
        <f>+H32*85</f>
        <v>476000</v>
      </c>
    </row>
    <row r="34" spans="2:8" x14ac:dyDescent="0.35">
      <c r="B34" s="247" t="s">
        <v>149</v>
      </c>
      <c r="C34" s="43">
        <f t="shared" ref="C34:H34" si="7">+C4+C5+C6+C8+C13</f>
        <v>222200</v>
      </c>
      <c r="D34" s="43" t="e">
        <f t="shared" si="7"/>
        <v>#VALUE!</v>
      </c>
      <c r="E34" s="43">
        <f t="shared" si="7"/>
        <v>158800</v>
      </c>
      <c r="F34" s="43" t="e">
        <f t="shared" si="7"/>
        <v>#VALUE!</v>
      </c>
      <c r="G34" s="43">
        <f t="shared" si="7"/>
        <v>340300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238950</v>
      </c>
      <c r="D35" s="43" t="e">
        <f t="shared" ref="D35:H35" si="8">+D11+D14+D15+D17+D18</f>
        <v>#VALUE!</v>
      </c>
      <c r="E35" s="43">
        <f t="shared" si="8"/>
        <v>132850</v>
      </c>
      <c r="F35" s="43" t="e">
        <f t="shared" si="8"/>
        <v>#VALUE!</v>
      </c>
      <c r="G35" s="43">
        <f t="shared" si="8"/>
        <v>346300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232950</v>
      </c>
      <c r="D36" s="43" t="e">
        <f t="shared" ref="D36:H36" si="9">+D10+D12+D27</f>
        <v>#VALUE!</v>
      </c>
      <c r="E36" s="43">
        <f t="shared" si="9"/>
        <v>140950</v>
      </c>
      <c r="F36" s="43" t="e">
        <f t="shared" si="9"/>
        <v>#VALUE!</v>
      </c>
      <c r="G36" s="43">
        <f t="shared" si="9"/>
        <v>196950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3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93</v>
      </c>
      <c r="D2" s="268"/>
      <c r="E2" s="267">
        <f>IF(PREMIOS!$B9="","",PREMIOS!$B9)</f>
        <v>17</v>
      </c>
      <c r="F2" s="268"/>
      <c r="G2" s="267">
        <f>IF(PREMIOS!$B13="","",PREMIOS!$B13)</f>
        <v>21</v>
      </c>
      <c r="H2" s="268"/>
      <c r="I2" s="267">
        <f>IF(PREMIOS!$B17="","",PREMIOS!$B17)</f>
        <v>62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25800</v>
      </c>
      <c r="D4" s="78">
        <v>100</v>
      </c>
      <c r="E4" s="206">
        <v>8200</v>
      </c>
      <c r="F4" s="78">
        <f t="shared" ref="D4:J27" si="0">IF(E4="","",0)</f>
        <v>0</v>
      </c>
      <c r="G4" s="189">
        <v>11400</v>
      </c>
      <c r="H4" s="78">
        <v>500</v>
      </c>
      <c r="I4" s="189">
        <v>3300</v>
      </c>
      <c r="J4" s="78">
        <f t="shared" si="0"/>
        <v>0</v>
      </c>
      <c r="L4" s="42">
        <f t="shared" ref="L4:L8" si="1">+C4+E4+G4+I4</f>
        <v>48700</v>
      </c>
      <c r="M4" s="42">
        <f>IF(D4=0,0,IF(F4="",D4,IF(H4="",D4+F4,IF(J4="",D4+F4+H4,D4+F4+H4+J4))))</f>
        <v>600</v>
      </c>
    </row>
    <row r="5" spans="1:13" x14ac:dyDescent="0.35">
      <c r="A5" s="47">
        <v>2</v>
      </c>
      <c r="B5" s="178" t="str">
        <f>Vendedor2!$B$2</f>
        <v>PUESTO 2</v>
      </c>
      <c r="C5" s="180">
        <v>16400</v>
      </c>
      <c r="D5" s="30">
        <v>500</v>
      </c>
      <c r="E5" s="207">
        <v>4250</v>
      </c>
      <c r="F5" s="30">
        <f t="shared" si="0"/>
        <v>0</v>
      </c>
      <c r="G5" s="180">
        <v>2500</v>
      </c>
      <c r="H5" s="30">
        <f t="shared" ref="H5:H27" si="2">IF(G5="","",0)</f>
        <v>0</v>
      </c>
      <c r="I5" s="180">
        <v>1000</v>
      </c>
      <c r="J5" s="30">
        <f t="shared" ref="J5:J27" si="3">IF(I5="","",0)</f>
        <v>0</v>
      </c>
      <c r="L5" s="42">
        <f t="shared" si="1"/>
        <v>24150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2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2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90300</v>
      </c>
      <c r="D8" s="30">
        <f t="shared" si="0"/>
        <v>0</v>
      </c>
      <c r="E8" s="207">
        <v>51150</v>
      </c>
      <c r="F8" s="30">
        <v>500</v>
      </c>
      <c r="G8" s="180">
        <v>22450</v>
      </c>
      <c r="H8" s="30">
        <v>900</v>
      </c>
      <c r="I8" s="180">
        <v>38150</v>
      </c>
      <c r="J8" s="30">
        <f t="shared" si="0"/>
        <v>0</v>
      </c>
      <c r="L8" s="42">
        <f t="shared" si="1"/>
        <v>202050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2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44750+17250</f>
        <v>62000</v>
      </c>
      <c r="D10" s="30">
        <f>100+0</f>
        <v>100</v>
      </c>
      <c r="E10" s="207">
        <f>51050+48400</f>
        <v>99450</v>
      </c>
      <c r="F10" s="30">
        <f>500+0</f>
        <v>500</v>
      </c>
      <c r="G10" s="180">
        <f>34700+34500</f>
        <v>69200</v>
      </c>
      <c r="H10" s="30">
        <f>200+750</f>
        <v>950</v>
      </c>
      <c r="I10" s="180">
        <f>69950+58600</f>
        <v>128550</v>
      </c>
      <c r="J10" s="30">
        <f>500+450</f>
        <v>950</v>
      </c>
      <c r="L10" s="42">
        <f t="shared" si="5"/>
        <v>359200</v>
      </c>
      <c r="M10" s="42">
        <f t="shared" si="4"/>
        <v>2500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33700</v>
      </c>
      <c r="D12" s="30">
        <f t="shared" si="0"/>
        <v>0</v>
      </c>
      <c r="E12" s="207">
        <v>22950</v>
      </c>
      <c r="F12" s="30">
        <v>200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56650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30800</v>
      </c>
      <c r="D13" s="30">
        <f t="shared" si="0"/>
        <v>0</v>
      </c>
      <c r="E13" s="207">
        <v>28500</v>
      </c>
      <c r="F13" s="30">
        <v>200</v>
      </c>
      <c r="G13" s="180">
        <v>24450</v>
      </c>
      <c r="H13" s="30">
        <v>1250</v>
      </c>
      <c r="I13" s="180">
        <v>400</v>
      </c>
      <c r="J13" s="30">
        <f t="shared" si="0"/>
        <v>0</v>
      </c>
      <c r="L13" s="42">
        <f t="shared" si="5"/>
        <v>84150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f>2200+1200</f>
        <v>3400</v>
      </c>
      <c r="D16" s="30">
        <f t="shared" si="0"/>
        <v>0</v>
      </c>
      <c r="E16" s="207">
        <v>4000</v>
      </c>
      <c r="F16" s="30">
        <v>250</v>
      </c>
      <c r="G16" s="180">
        <v>2000</v>
      </c>
      <c r="H16" s="30">
        <f t="shared" si="0"/>
        <v>0</v>
      </c>
      <c r="I16" s="180">
        <v>2750</v>
      </c>
      <c r="J16" s="30">
        <f t="shared" si="0"/>
        <v>0</v>
      </c>
      <c r="L16" s="42">
        <f t="shared" si="5"/>
        <v>12150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80850</v>
      </c>
      <c r="D17" s="30">
        <v>100</v>
      </c>
      <c r="E17" s="207">
        <v>71400</v>
      </c>
      <c r="F17" s="30">
        <v>150</v>
      </c>
      <c r="G17" s="180">
        <v>40000</v>
      </c>
      <c r="H17" s="30">
        <v>900</v>
      </c>
      <c r="I17" s="180">
        <v>146850</v>
      </c>
      <c r="J17" s="30">
        <v>250</v>
      </c>
      <c r="L17" s="42">
        <f t="shared" si="5"/>
        <v>339100</v>
      </c>
      <c r="M17" s="42">
        <f t="shared" si="4"/>
        <v>1400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45200</v>
      </c>
      <c r="D18" s="30">
        <v>100</v>
      </c>
      <c r="E18" s="207">
        <v>43950</v>
      </c>
      <c r="F18" s="30">
        <v>700</v>
      </c>
      <c r="G18" s="180">
        <v>51500</v>
      </c>
      <c r="H18" s="30">
        <v>1300</v>
      </c>
      <c r="I18" s="180">
        <v>29000</v>
      </c>
      <c r="J18" s="30">
        <f t="shared" si="3"/>
        <v>0</v>
      </c>
      <c r="L18" s="42">
        <f t="shared" si="5"/>
        <v>169650</v>
      </c>
      <c r="M18" s="42">
        <f t="shared" si="4"/>
        <v>2100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2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2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2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2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2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2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2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2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2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388450</v>
      </c>
      <c r="D32" s="44">
        <f t="shared" si="7"/>
        <v>900</v>
      </c>
      <c r="E32" s="43">
        <f t="shared" si="7"/>
        <v>333850</v>
      </c>
      <c r="F32" s="44">
        <f t="shared" si="7"/>
        <v>2500</v>
      </c>
      <c r="G32" s="43">
        <f t="shared" si="7"/>
        <v>223500</v>
      </c>
      <c r="H32" s="44">
        <f t="shared" si="7"/>
        <v>5800</v>
      </c>
      <c r="I32" s="43">
        <f t="shared" si="7"/>
        <v>350000</v>
      </c>
      <c r="J32" s="44">
        <f t="shared" si="7"/>
        <v>1200</v>
      </c>
      <c r="L32" s="95">
        <f>SUM(L9:L31)</f>
        <v>1020900</v>
      </c>
      <c r="M32" s="95">
        <f>SUM(M9:M31)</f>
        <v>6000</v>
      </c>
    </row>
    <row r="33" spans="3:3" x14ac:dyDescent="0.35">
      <c r="C33">
        <v>2200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66 Roja</v>
      </c>
      <c r="D2" s="268"/>
      <c r="E2" s="267" t="str">
        <f>IF(E33=0,"",CONCATENATE(PREMIOS!$B11," ",PREMIOS!$B12))</f>
        <v>85 Blanca</v>
      </c>
      <c r="F2" s="268"/>
      <c r="G2" s="267" t="str">
        <f>IF(G33=0,"",CONCATENATE(PREMIOS!$B15," ",PREMIOS!$B16))</f>
        <v>92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23250+6300</f>
        <v>29550</v>
      </c>
      <c r="D10" s="30">
        <f t="shared" si="0"/>
        <v>0</v>
      </c>
      <c r="E10" s="180">
        <f>19750+4500</f>
        <v>24250</v>
      </c>
      <c r="F10" s="30">
        <f t="shared" si="0"/>
        <v>0</v>
      </c>
      <c r="G10" s="180">
        <f>30200+4300</f>
        <v>34500</v>
      </c>
      <c r="H10" s="30">
        <f t="shared" si="0"/>
        <v>0</v>
      </c>
      <c r="J10" s="42">
        <f t="shared" si="3"/>
        <v>88300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2000</v>
      </c>
      <c r="D12" s="30">
        <v>150</v>
      </c>
      <c r="E12" s="180">
        <v>1000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3000</v>
      </c>
      <c r="K12" s="42">
        <f t="shared" si="4"/>
        <v>150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1450</v>
      </c>
      <c r="H16" s="195">
        <f t="shared" si="0"/>
        <v>0</v>
      </c>
      <c r="J16" s="42">
        <f t="shared" si="3"/>
        <v>3450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34750</v>
      </c>
      <c r="D17" s="30">
        <f t="shared" si="0"/>
        <v>0</v>
      </c>
      <c r="E17" s="180">
        <v>10950</v>
      </c>
      <c r="F17" s="30">
        <f t="shared" si="0"/>
        <v>0</v>
      </c>
      <c r="G17" s="180">
        <v>25350</v>
      </c>
      <c r="H17" s="30">
        <f t="shared" si="0"/>
        <v>0</v>
      </c>
      <c r="J17" s="42">
        <f t="shared" si="3"/>
        <v>71050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19200</v>
      </c>
      <c r="D18" s="30">
        <v>300</v>
      </c>
      <c r="E18" s="180">
        <v>19500</v>
      </c>
      <c r="F18" s="30">
        <f t="shared" si="0"/>
        <v>0</v>
      </c>
      <c r="G18" s="180">
        <v>23500</v>
      </c>
      <c r="H18" s="30">
        <f t="shared" si="0"/>
        <v>0</v>
      </c>
      <c r="J18" s="42">
        <f t="shared" si="3"/>
        <v>62200</v>
      </c>
      <c r="K18" s="42">
        <f t="shared" si="4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87500</v>
      </c>
      <c r="D33" s="44">
        <f t="shared" si="7"/>
        <v>450</v>
      </c>
      <c r="E33" s="43">
        <f t="shared" si="7"/>
        <v>55700</v>
      </c>
      <c r="F33" s="44">
        <f t="shared" si="7"/>
        <v>0</v>
      </c>
      <c r="G33" s="43">
        <f t="shared" si="7"/>
        <v>84800</v>
      </c>
      <c r="H33" s="44">
        <f t="shared" si="7"/>
        <v>0</v>
      </c>
      <c r="J33" s="45">
        <f>SUM(J4:J32)</f>
        <v>228000</v>
      </c>
      <c r="K33" s="95">
        <f>SUM(K4:K32)</f>
        <v>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38</v>
      </c>
      <c r="D2" s="268"/>
      <c r="E2" s="267">
        <f>IF(PREMIOS!$C19="","",PREMIOS!$C19)</f>
        <v>99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13400</v>
      </c>
      <c r="D4" s="78">
        <f t="shared" ref="D4:F27" si="0">IF(C4="","",0)</f>
        <v>0</v>
      </c>
      <c r="E4" s="189">
        <v>2500</v>
      </c>
      <c r="F4" s="78">
        <v>100</v>
      </c>
      <c r="H4" s="42">
        <f>+C4+E4</f>
        <v>15900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8250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8250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21950</v>
      </c>
      <c r="D8" s="30">
        <v>1000</v>
      </c>
      <c r="E8" s="194">
        <v>44400</v>
      </c>
      <c r="F8" s="195">
        <f t="shared" si="1"/>
        <v>0</v>
      </c>
      <c r="H8" s="42">
        <f t="shared" si="2"/>
        <v>66350</v>
      </c>
      <c r="I8" s="42">
        <f t="shared" si="3"/>
        <v>1000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8500+7800</f>
        <v>16300</v>
      </c>
      <c r="D10" s="30">
        <f>500+0</f>
        <v>500</v>
      </c>
      <c r="E10" s="180">
        <v>13550</v>
      </c>
      <c r="F10" s="195">
        <f t="shared" si="1"/>
        <v>0</v>
      </c>
      <c r="H10" s="42">
        <f t="shared" si="2"/>
        <v>29850</v>
      </c>
      <c r="I10" s="42">
        <f t="shared" si="3"/>
        <v>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33100</v>
      </c>
      <c r="D12" s="30">
        <v>200</v>
      </c>
      <c r="E12" s="194"/>
      <c r="F12" s="30" t="str">
        <f t="shared" si="0"/>
        <v/>
      </c>
      <c r="H12" s="42">
        <f t="shared" si="2"/>
        <v>33100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76650</v>
      </c>
      <c r="D17" s="195">
        <v>100</v>
      </c>
      <c r="E17" s="180">
        <v>10500</v>
      </c>
      <c r="F17" s="30">
        <f t="shared" si="0"/>
        <v>0</v>
      </c>
      <c r="H17" s="42">
        <f t="shared" si="2"/>
        <v>87150</v>
      </c>
      <c r="I17" s="42">
        <f t="shared" si="3"/>
        <v>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42500</v>
      </c>
      <c r="D18" s="195">
        <f t="shared" si="0"/>
        <v>0</v>
      </c>
      <c r="E18" s="180">
        <v>50600</v>
      </c>
      <c r="F18" s="30">
        <v>1000</v>
      </c>
      <c r="H18" s="42">
        <f t="shared" si="2"/>
        <v>93100</v>
      </c>
      <c r="I18" s="42">
        <f t="shared" si="3"/>
        <v>1000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215550</v>
      </c>
      <c r="D33" s="44">
        <f>SUM(D4:D32)</f>
        <v>1800</v>
      </c>
      <c r="E33" s="43">
        <f>SUM(E4:E32)</f>
        <v>121550</v>
      </c>
      <c r="F33" s="44">
        <f>SUM(F4:F32)</f>
        <v>1100</v>
      </c>
      <c r="H33" s="95">
        <f>SUM(H4:H32)</f>
        <v>337100</v>
      </c>
      <c r="I33" s="95">
        <f>SUM(I4:I32)</f>
        <v>2900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49</v>
      </c>
      <c r="D2" s="268"/>
      <c r="E2" s="267">
        <f>IF(PREMIOS!$C20="","",PREMIOS!$C20)</f>
        <v>34</v>
      </c>
      <c r="F2" s="268"/>
      <c r="G2" s="267">
        <f>IF(PREMIOS!$D20="","",PREMIOS!$D20)</f>
        <v>65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4000+6800</f>
        <v>10800</v>
      </c>
      <c r="D10" s="195">
        <f t="shared" si="0"/>
        <v>0</v>
      </c>
      <c r="E10" s="180">
        <f>3000+800</f>
        <v>3800</v>
      </c>
      <c r="F10" s="30">
        <f t="shared" si="0"/>
        <v>0</v>
      </c>
      <c r="G10" s="180">
        <v>1850</v>
      </c>
      <c r="H10" s="195">
        <f t="shared" si="0"/>
        <v>0</v>
      </c>
      <c r="J10" s="42">
        <f t="shared" si="3"/>
        <v>16450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10200</v>
      </c>
      <c r="D12" s="195">
        <v>150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10200</v>
      </c>
      <c r="K12" s="42">
        <f t="shared" si="4"/>
        <v>150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36250</v>
      </c>
      <c r="D17" s="195">
        <v>600</v>
      </c>
      <c r="E17" s="194">
        <v>7750</v>
      </c>
      <c r="F17" s="195">
        <v>150</v>
      </c>
      <c r="G17" s="194">
        <v>20100</v>
      </c>
      <c r="H17" s="195">
        <f t="shared" si="2"/>
        <v>0</v>
      </c>
      <c r="J17" s="42">
        <f t="shared" si="3"/>
        <v>64100</v>
      </c>
      <c r="K17" s="42">
        <f t="shared" si="4"/>
        <v>750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7900</v>
      </c>
      <c r="D18" s="195">
        <f t="shared" si="0"/>
        <v>0</v>
      </c>
      <c r="E18" s="180">
        <v>8850</v>
      </c>
      <c r="F18" s="30">
        <v>250</v>
      </c>
      <c r="G18" s="180">
        <v>7600</v>
      </c>
      <c r="H18" s="30">
        <f t="shared" si="2"/>
        <v>0</v>
      </c>
      <c r="J18" s="42">
        <f t="shared" si="3"/>
        <v>24350</v>
      </c>
      <c r="K18" s="42">
        <f t="shared" si="4"/>
        <v>250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65150</v>
      </c>
      <c r="D33" s="44">
        <f t="shared" si="6"/>
        <v>750</v>
      </c>
      <c r="E33" s="43">
        <f t="shared" si="6"/>
        <v>20400</v>
      </c>
      <c r="F33" s="44">
        <f t="shared" si="6"/>
        <v>400</v>
      </c>
      <c r="G33" s="43">
        <f t="shared" si="6"/>
        <v>29550</v>
      </c>
      <c r="H33" s="44">
        <f t="shared" si="6"/>
        <v>0</v>
      </c>
      <c r="J33" s="45">
        <f>SUM(J4:J32)</f>
        <v>115100</v>
      </c>
      <c r="K33" s="95">
        <f>SUM(K4:K32)</f>
        <v>1150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93</v>
      </c>
      <c r="D2" s="268"/>
      <c r="E2" s="267">
        <f>IF(PREMIOS!$C21="","",PREMIOS!$C21)</f>
        <v>51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8500</v>
      </c>
      <c r="D10" s="30">
        <f t="shared" si="0"/>
        <v>0</v>
      </c>
      <c r="E10" s="180">
        <v>26250</v>
      </c>
      <c r="F10" s="30">
        <f t="shared" si="0"/>
        <v>0</v>
      </c>
      <c r="H10" s="42">
        <f t="shared" si="2"/>
        <v>34750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8500</v>
      </c>
      <c r="D33" s="44">
        <f>SUM(D4:D32)</f>
        <v>0</v>
      </c>
      <c r="E33" s="43">
        <f>SUM(E4:E32)</f>
        <v>26250</v>
      </c>
      <c r="F33" s="44">
        <f>SUM(F4:F32)</f>
        <v>0</v>
      </c>
      <c r="H33" s="45">
        <f>SUM(H4:H32)</f>
        <v>34750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2026-05-15T16:23:03Z</dcterms:modified>
  <dc:language>es-CR</dc:language>
</cp:coreProperties>
</file>
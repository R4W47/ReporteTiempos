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98" documentId="11_EB5E36570B22B34A610B2DABA1B223BBF96AD34D" xr6:coauthVersionLast="47" xr6:coauthVersionMax="47" xr10:uidLastSave="{C5796762-0532-46DB-887F-60F661B0D05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Gráfico1" sheetId="75" r:id="rId41"/>
    <sheet name="DigitaTICA" sheetId="60" r:id="rId42"/>
    <sheet name="DigitaNICA" sheetId="61" r:id="rId43"/>
    <sheet name="DigitaREVENTADO" sheetId="62" r:id="rId44"/>
    <sheet name="DigitaPRIMERA" sheetId="65" r:id="rId45"/>
    <sheet name="DigitaHONDURAS" sheetId="64" r:id="rId46"/>
    <sheet name="DigitaDOMINICANA" sheetId="66" r:id="rId47"/>
    <sheet name="DigitaPANAMENA" sheetId="68" r:id="rId48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8" i="69" l="1"/>
  <c r="K12" i="69"/>
  <c r="I5" i="69"/>
  <c r="B2" i="7"/>
  <c r="B2" i="6"/>
  <c r="B2" i="15"/>
  <c r="B2" i="14"/>
  <c r="B2" i="16"/>
  <c r="B2" i="21"/>
  <c r="B2" i="22"/>
  <c r="C36" i="64"/>
  <c r="C34" i="64"/>
  <c r="G10" i="62"/>
  <c r="F36" i="61"/>
  <c r="E34" i="61"/>
  <c r="F33" i="61"/>
  <c r="I10" i="61"/>
  <c r="H17" i="60"/>
  <c r="G17" i="60"/>
  <c r="H18" i="60"/>
  <c r="G18" i="60"/>
  <c r="G10" i="60"/>
  <c r="G10" i="61"/>
  <c r="F10" i="65"/>
  <c r="E10" i="65"/>
  <c r="E10" i="62"/>
  <c r="E17" i="60"/>
  <c r="E10" i="60"/>
  <c r="E18" i="60"/>
  <c r="E10" i="61"/>
  <c r="D10" i="62"/>
  <c r="C10" i="62"/>
  <c r="D10" i="60"/>
  <c r="C10" i="60"/>
  <c r="D18" i="60"/>
  <c r="C18" i="60"/>
  <c r="D17" i="60"/>
  <c r="C17" i="60"/>
  <c r="D10" i="61"/>
  <c r="C10" i="61"/>
  <c r="C10" i="65"/>
  <c r="D12" i="65" l="1"/>
  <c r="D11" i="65"/>
  <c r="D10" i="65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8" i="62"/>
  <c r="F10" i="62"/>
  <c r="D5" i="61"/>
  <c r="F17" i="61"/>
  <c r="F16" i="61"/>
  <c r="D6" i="60"/>
  <c r="F18" i="60"/>
  <c r="F17" i="60"/>
  <c r="F16" i="60"/>
  <c r="F15" i="60"/>
  <c r="F13" i="60"/>
  <c r="F12" i="60"/>
  <c r="F11" i="60"/>
  <c r="F9" i="60"/>
  <c r="F7" i="60"/>
  <c r="F6" i="60"/>
  <c r="F5" i="60"/>
  <c r="F4" i="60"/>
  <c r="H16" i="60"/>
  <c r="H15" i="60"/>
  <c r="H14" i="60"/>
  <c r="H13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H34" i="60" l="1"/>
  <c r="F34" i="60"/>
  <c r="F35" i="60"/>
  <c r="D34" i="60"/>
  <c r="D35" i="60"/>
  <c r="D36" i="60"/>
  <c r="J8" i="14"/>
  <c r="D21" i="14"/>
  <c r="C12" i="71"/>
  <c r="D22" i="14"/>
  <c r="G12" i="71"/>
  <c r="E19" i="16"/>
  <c r="D4" i="65"/>
  <c r="D20" i="16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K27" i="64" l="1"/>
  <c r="L6" i="6"/>
  <c r="F25" i="29"/>
  <c r="F27" i="72"/>
  <c r="I25" i="72"/>
  <c r="N25" i="72" s="1"/>
  <c r="K20" i="19"/>
  <c r="K9" i="19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I18" i="66"/>
  <c r="J7" i="19"/>
  <c r="F25" i="19"/>
  <c r="F18" i="72"/>
  <c r="J18" i="72" s="1"/>
  <c r="K18" i="72" s="1"/>
  <c r="J26" i="71"/>
  <c r="L29" i="71"/>
  <c r="M29" i="71" s="1"/>
  <c r="N15" i="72"/>
  <c r="H21" i="72"/>
  <c r="L9" i="19"/>
  <c r="L28" i="71"/>
  <c r="M28" i="71" s="1"/>
  <c r="E33" i="66"/>
  <c r="J21" i="70"/>
  <c r="K21" i="70" s="1"/>
  <c r="F16" i="71"/>
  <c r="L16" i="71" s="1"/>
  <c r="M16" i="71" s="1"/>
  <c r="F22" i="15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0" i="29"/>
  <c r="D21" i="29"/>
  <c r="G21" i="29" s="1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N16" i="71"/>
  <c r="L8" i="15"/>
  <c r="K21" i="19"/>
  <c r="K10" i="19"/>
  <c r="K21" i="8"/>
  <c r="K10" i="8"/>
  <c r="L27" i="71"/>
  <c r="M27" i="71" s="1"/>
  <c r="P26" i="71"/>
  <c r="P16" i="71"/>
  <c r="L27" i="70"/>
  <c r="N27" i="71"/>
  <c r="P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N18" i="71" l="1"/>
  <c r="P18" i="71" s="1"/>
  <c r="M24" i="52"/>
  <c r="J4" i="23"/>
  <c r="J5" i="19"/>
  <c r="M20" i="52"/>
  <c r="J6" i="23"/>
  <c r="L5" i="23"/>
  <c r="M22" i="52"/>
  <c r="L6" i="23"/>
  <c r="C24" i="15"/>
  <c r="F17" i="52"/>
  <c r="F12" i="8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D24" i="15"/>
  <c r="K5" i="19"/>
  <c r="C32" i="61"/>
  <c r="I32" i="61"/>
  <c r="L6" i="22"/>
  <c r="M19" i="52"/>
  <c r="F32" i="60"/>
  <c r="F33" i="60" s="1"/>
  <c r="L19" i="59"/>
  <c r="F24" i="15"/>
  <c r="H32" i="60"/>
  <c r="H33" i="60" s="1"/>
  <c r="K5" i="23"/>
  <c r="J19" i="70"/>
  <c r="K19" i="70" s="1"/>
  <c r="E32" i="60"/>
  <c r="G32" i="60"/>
  <c r="G32" i="61"/>
  <c r="F32" i="61"/>
  <c r="L6" i="25"/>
  <c r="H32" i="6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4" i="52"/>
  <c r="K6" i="22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6" i="52"/>
  <c r="C25" i="1" s="1"/>
  <c r="B25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4" i="52"/>
  <c r="C3" i="1" s="1"/>
  <c r="B3" i="1"/>
  <c r="K23" i="52"/>
  <c r="C22" i="1" s="1"/>
  <c r="B22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<sst xmlns="http://schemas.openxmlformats.org/spreadsheetml/2006/main" count="1295" uniqueCount="161">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</sst>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4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3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2.xml"/><Relationship Id="rId48" Type="http://schemas.openxmlformats.org/officeDocument/2006/relationships/worksheet" Target="worksheets/sheet47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DigitaTICA!$C$1:$C$27</c:f>
              <c:strCache>
                <c:ptCount val="27"/>
                <c:pt idx="0">
                  <c:v>TICA 1PM</c:v>
                </c:pt>
                <c:pt idx="1">
                  <c:v>04</c:v>
                </c:pt>
                <c:pt idx="3">
                  <c:v>75400,00</c:v>
                </c:pt>
                <c:pt idx="4">
                  <c:v>51150,00</c:v>
                </c:pt>
                <c:pt idx="7">
                  <c:v>69900,00</c:v>
                </c:pt>
                <c:pt idx="9">
                  <c:v>148550,00</c:v>
                </c:pt>
                <c:pt idx="11">
                  <c:v>21250,00</c:v>
                </c:pt>
                <c:pt idx="12">
                  <c:v>44800,00</c:v>
                </c:pt>
                <c:pt idx="13">
                  <c:v>56900,00</c:v>
                </c:pt>
                <c:pt idx="15">
                  <c:v>30200,00</c:v>
                </c:pt>
                <c:pt idx="16">
                  <c:v>96900,00</c:v>
                </c:pt>
                <c:pt idx="17">
                  <c:v>79050,00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DigitaTICA!$C$28:$C$36</c:f>
              <c:numCache>
                <c:formatCode>General</c:formatCode>
                <c:ptCount val="5"/>
                <c:pt idx="0" formatCode="0.00">
                  <c:v>674100</c:v>
                </c:pt>
                <c:pt idx="2" formatCode="0.00">
                  <c:v>241250</c:v>
                </c:pt>
                <c:pt idx="3" formatCode="0.00">
                  <c:v>232850</c:v>
                </c:pt>
                <c:pt idx="4" formatCode="0.00">
                  <c:v>169800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9-409B-A2FA-299BE39989E8}"/>
            </c:ext>
          </c:extLst>
        </c:ser>
        <c:ser>
          <c:idx val="1"/>
          <c:order val="1"/>
          <c:tx>
            <c:strRef>
              <c:f>DigitaTICA!$D$1:$D$27</c:f>
              <c:strCache>
                <c:ptCount val="27"/>
                <c:pt idx="0">
                  <c:v>TICA 1PM</c:v>
                </c:pt>
                <c:pt idx="1">
                  <c:v>04</c:v>
                </c:pt>
                <c:pt idx="3">
                  <c:v>400,00</c:v>
                </c:pt>
                <c:pt idx="4">
                  <c:v>2900,00</c:v>
                </c:pt>
                <c:pt idx="7">
                  <c:v>2350,00</c:v>
                </c:pt>
                <c:pt idx="9">
                  <c:v>3850,00</c:v>
                </c:pt>
                <c:pt idx="11">
                  <c:v>300,00</c:v>
                </c:pt>
                <c:pt idx="12">
                  <c:v>700,00</c:v>
                </c:pt>
                <c:pt idx="13">
                  <c:v>2000,00</c:v>
                </c:pt>
                <c:pt idx="15">
                  <c:v>0,00</c:v>
                </c:pt>
                <c:pt idx="16">
                  <c:v>600,00</c:v>
                </c:pt>
                <c:pt idx="17">
                  <c:v>1350,00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DigitaTICA!$D$28:$D$36</c:f>
              <c:numCache>
                <c:formatCode>0.00</c:formatCode>
                <c:ptCount val="5"/>
                <c:pt idx="0">
                  <c:v>14450</c:v>
                </c:pt>
                <c:pt idx="1">
                  <c:v>1228250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9-409B-A2FA-299BE39989E8}"/>
            </c:ext>
          </c:extLst>
        </c:ser>
        <c:ser>
          <c:idx val="2"/>
          <c:order val="2"/>
          <c:tx>
            <c:strRef>
              <c:f>DigitaTICA!$E$1:$E$27</c:f>
              <c:strCache>
                <c:ptCount val="27"/>
                <c:pt idx="0">
                  <c:v>TICA 4:30</c:v>
                </c:pt>
                <c:pt idx="1">
                  <c:v>83</c:v>
                </c:pt>
                <c:pt idx="3">
                  <c:v>61200,00</c:v>
                </c:pt>
                <c:pt idx="4">
                  <c:v>62650,00</c:v>
                </c:pt>
                <c:pt idx="7">
                  <c:v>76600,00</c:v>
                </c:pt>
                <c:pt idx="9">
                  <c:v>195050,00</c:v>
                </c:pt>
                <c:pt idx="11">
                  <c:v>12250,00</c:v>
                </c:pt>
                <c:pt idx="12">
                  <c:v>32700,00</c:v>
                </c:pt>
                <c:pt idx="13">
                  <c:v>26300,00</c:v>
                </c:pt>
                <c:pt idx="15">
                  <c:v>21800,00</c:v>
                </c:pt>
                <c:pt idx="16">
                  <c:v>76050,00</c:v>
                </c:pt>
                <c:pt idx="17">
                  <c:v>101000,00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DigitaTICA!$E$28:$E$36</c:f>
              <c:numCache>
                <c:formatCode>General</c:formatCode>
                <c:ptCount val="5"/>
                <c:pt idx="0" formatCode="0.00">
                  <c:v>665600</c:v>
                </c:pt>
                <c:pt idx="2" formatCode="0.00">
                  <c:v>233150</c:v>
                </c:pt>
                <c:pt idx="3" formatCode="0.00">
                  <c:v>203350</c:v>
                </c:pt>
                <c:pt idx="4" formatCode="0.00">
                  <c:v>207300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9-409B-A2FA-299BE39989E8}"/>
            </c:ext>
          </c:extLst>
        </c:ser>
        <c:ser>
          <c:idx val="3"/>
          <c:order val="3"/>
          <c:tx>
            <c:strRef>
              <c:f>DigitaTICA!$F$1:$F$27</c:f>
              <c:strCache>
                <c:ptCount val="27"/>
                <c:pt idx="0">
                  <c:v>TICA 4:30</c:v>
                </c:pt>
                <c:pt idx="1">
                  <c:v>83</c:v>
                </c:pt>
                <c:pt idx="3">
                  <c:v>0,00</c:v>
                </c:pt>
                <c:pt idx="4">
                  <c:v>0,00</c:v>
                </c:pt>
                <c:pt idx="7">
                  <c:v>1550,00</c:v>
                </c:pt>
                <c:pt idx="9">
                  <c:v>150,00</c:v>
                </c:pt>
                <c:pt idx="11">
                  <c:v>0,00</c:v>
                </c:pt>
                <c:pt idx="12">
                  <c:v>0,00</c:v>
                </c:pt>
                <c:pt idx="13">
                  <c:v>1000,00</c:v>
                </c:pt>
                <c:pt idx="15">
                  <c:v>0,00</c:v>
                </c:pt>
                <c:pt idx="16">
                  <c:v>0,00</c:v>
                </c:pt>
                <c:pt idx="17">
                  <c:v>0,00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DigitaTICA!$F$28:$F$36</c:f>
              <c:numCache>
                <c:formatCode>0.00</c:formatCode>
                <c:ptCount val="5"/>
                <c:pt idx="0">
                  <c:v>2700</c:v>
                </c:pt>
                <c:pt idx="1">
                  <c:v>229500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9-409B-A2FA-299BE39989E8}"/>
            </c:ext>
          </c:extLst>
        </c:ser>
        <c:ser>
          <c:idx val="4"/>
          <c:order val="4"/>
          <c:tx>
            <c:strRef>
              <c:f>DigitaTICA!$G$1:$G$27</c:f>
              <c:strCache>
                <c:ptCount val="27"/>
                <c:pt idx="0">
                  <c:v>TICA 7:30</c:v>
                </c:pt>
                <c:pt idx="1">
                  <c:v>32</c:v>
                </c:pt>
                <c:pt idx="3">
                  <c:v>84650,00</c:v>
                </c:pt>
                <c:pt idx="4">
                  <c:v>84800,00</c:v>
                </c:pt>
                <c:pt idx="7">
                  <c:v>94000,00</c:v>
                </c:pt>
                <c:pt idx="9">
                  <c:v>162950,00</c:v>
                </c:pt>
                <c:pt idx="11">
                  <c:v>2050,00</c:v>
                </c:pt>
                <c:pt idx="12">
                  <c:v>21900,00</c:v>
                </c:pt>
                <c:pt idx="13">
                  <c:v>42500,00</c:v>
                </c:pt>
                <c:pt idx="15">
                  <c:v>33900,00</c:v>
                </c:pt>
                <c:pt idx="16">
                  <c:v>209550,00</c:v>
                </c:pt>
                <c:pt idx="17">
                  <c:v>77100,00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DigitaTICA!$G$28:$G$36</c:f>
              <c:numCache>
                <c:formatCode>General</c:formatCode>
                <c:ptCount val="5"/>
                <c:pt idx="0" formatCode="0.00">
                  <c:v>813400</c:v>
                </c:pt>
                <c:pt idx="2" formatCode="0.00">
                  <c:v>285350</c:v>
                </c:pt>
                <c:pt idx="3" formatCode="0.00">
                  <c:v>329150</c:v>
                </c:pt>
                <c:pt idx="4" formatCode="0.00">
                  <c:v>165000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29-409B-A2FA-299BE39989E8}"/>
            </c:ext>
          </c:extLst>
        </c:ser>
        <c:ser>
          <c:idx val="5"/>
          <c:order val="5"/>
          <c:tx>
            <c:strRef>
              <c:f>DigitaTICA!$H$1:$H$27</c:f>
              <c:strCache>
                <c:ptCount val="27"/>
                <c:pt idx="0">
                  <c:v>TICA 7:30</c:v>
                </c:pt>
                <c:pt idx="1">
                  <c:v>32</c:v>
                </c:pt>
                <c:pt idx="3">
                  <c:v>450,00</c:v>
                </c:pt>
                <c:pt idx="4">
                  <c:v>2050,00</c:v>
                </c:pt>
                <c:pt idx="7">
                  <c:v>600,00</c:v>
                </c:pt>
                <c:pt idx="9">
                  <c:v>300,00</c:v>
                </c:pt>
                <c:pt idx="11">
                  <c:v>0,00</c:v>
                </c:pt>
                <c:pt idx="12">
                  <c:v>0,00</c:v>
                </c:pt>
                <c:pt idx="13">
                  <c:v>0,00</c:v>
                </c:pt>
                <c:pt idx="15">
                  <c:v>0,00</c:v>
                </c:pt>
                <c:pt idx="16">
                  <c:v>800,00</c:v>
                </c:pt>
                <c:pt idx="17">
                  <c:v>100,00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DigitaTICA!$A$28:$B$36</c:f>
              <c:strCache>
                <c:ptCount val="5"/>
                <c:pt idx="2">
                  <c:v>Sistema</c:v>
                </c:pt>
                <c:pt idx="3">
                  <c:v>Digitado</c:v>
                </c:pt>
                <c:pt idx="4">
                  <c:v>Directo</c:v>
                </c:pt>
              </c:strCache>
            </c:strRef>
          </c:cat>
          <c:val>
            <c:numRef>
              <c:f>DigitaTICA!$H$28:$H$36</c:f>
              <c:numCache>
                <c:formatCode>0.00</c:formatCode>
                <c:ptCount val="5"/>
                <c:pt idx="0">
                  <c:v>4300</c:v>
                </c:pt>
                <c:pt idx="1">
                  <c:v>365500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29-409B-A2FA-299BE3998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2679743"/>
        <c:axId val="1532681407"/>
      </c:barChart>
      <c:catAx>
        <c:axId val="153267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32681407"/>
        <c:crosses val="autoZero"/>
        <c:auto val="1"/>
        <c:lblAlgn val="ctr"/>
        <c:lblOffset val="100"/>
        <c:noMultiLvlLbl val="0"/>
      </c:catAx>
      <c:valAx>
        <c:axId val="153268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3267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1B4C75-DECA-4208-B4DF-007CF59DBB67}">
  <sheetPr/>
  <sheetViews>
    <sheetView zoomScale="6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AD2AF9-7E43-4298-B9DE-37C8E89F7B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309300</v>
      </c>
      <c r="C3" s="9">
        <f>+HojaTICA!K4+HojaNICA!M4+HojaREVENTADO!K4+HojaPrimera!I4+HojaHonduras!K4+HojaDominicana!I4+HojaPANA!G4</f>
        <v>40200</v>
      </c>
      <c r="D3" s="9">
        <f>+HojaTICA!N4+HojaNICA!P4+HojaREVENTADO!O4+HojaPrimera!L4+HojaHonduras!N4+HojaDominicana!L4+HojaPANA!J4</f>
        <v>112250</v>
      </c>
      <c r="F3" s="10">
        <f t="shared" ref="F3:F27" si="0">+B3-C3-D3</f>
        <v>156850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244600</v>
      </c>
      <c r="C4" s="9">
        <f>+HojaTICA!K5+HojaNICA!M5+HojaREVENTADO!K5+HojaPrimera!I5+HojaHonduras!K5+HojaDominicana!I5+HojaPANA!G5</f>
        <v>31750</v>
      </c>
      <c r="D4" s="9">
        <f>+HojaTICA!N5+HojaNICA!P5+HojaREVENTADO!O5+HojaPrimera!L5+HojaHonduras!N5+HojaDominicana!L5+HojaPANA!J5</f>
        <v>420750</v>
      </c>
      <c r="F4" s="14">
        <f t="shared" si="0"/>
        <v>-207900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556100</v>
      </c>
      <c r="C7" s="9">
        <f>+HojaTICA!K8+HojaNICA!M8+HojaREVENTADO!K8+HojaPrimera!I8+HojaHonduras!K8+HojaDominicana!I8+HojaPANA!G8</f>
        <v>66700</v>
      </c>
      <c r="D7" s="9">
        <f>+HojaTICA!N8+HojaNICA!P8+HojaREVENTADO!O8+HojaPrimera!L8+HojaHonduras!N8+HojaDominicana!L8+HojaPANA!J8</f>
        <v>690500</v>
      </c>
      <c r="F7" s="14">
        <f t="shared" si="0"/>
        <v>-201100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1134680</v>
      </c>
      <c r="C9" s="9">
        <f>+HojaTICA!K10+HojaNICA!M10+HojaREVENTADO!K10+HojaPrimera!I10+HojaHonduras!K10+HojaDominicana!I10+HojaPANA!G10</f>
        <v>134415</v>
      </c>
      <c r="D9" s="9">
        <f>+HojaTICA!N10+HojaNICA!P10+HojaREVENTADO!O10+HojaPrimera!L10+HojaHonduras!N10+HojaDominicana!L10+HojaPANA!J10</f>
        <v>1882750</v>
      </c>
      <c r="F9" s="14">
        <f t="shared" si="0"/>
        <v>-882485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149600</v>
      </c>
      <c r="C11" s="9">
        <f>+HojaTICA!K12+HojaNICA!M12+HojaREVENTADO!K12+HojaPrimera!I12+HojaHonduras!K12+HojaDominicana!I12+HojaPANA!G12</f>
        <v>17750</v>
      </c>
      <c r="D11" s="9">
        <f>+HojaTICA!N12+HojaNICA!P12+HojaREVENTADO!O12+HojaPrimera!L12+HojaHonduras!N12+HojaDominicana!L12+HojaPANA!J12</f>
        <v>68000</v>
      </c>
      <c r="F11" s="14">
        <f t="shared" si="0"/>
        <v>63850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172650</v>
      </c>
      <c r="C12" s="9">
        <f>+HojaTICA!K13+HojaNICA!M13+HojaREVENTADO!K13+HojaPrimera!I13+HojaHonduras!K13+HojaDominicana!I13+HojaPANA!G13</f>
        <v>20750</v>
      </c>
      <c r="D12" s="9">
        <f>+HojaTICA!N13+HojaNICA!P13+HojaREVENTADO!O13+HojaPrimera!L13+HojaHonduras!N13+HojaDominicana!L13+HojaPANA!J13</f>
        <v>59500</v>
      </c>
      <c r="F12" s="14">
        <f t="shared" si="0"/>
        <v>92400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125700</v>
      </c>
      <c r="C13" s="9">
        <f>+HojaTICA!K14+HojaNICA!M14+HojaREVENTADO!K14+HojaPrimera!I14+HojaHonduras!K14+HojaDominicana!I14+HojaPANA!G14</f>
        <v>18850</v>
      </c>
      <c r="D13" s="9">
        <f>+HojaTICA!N14+HojaNICA!P14+HojaREVENTADO!O14+HojaPrimera!L14+HojaHonduras!N14+HojaDominicana!L14+HojaPANA!J14</f>
        <v>240000</v>
      </c>
      <c r="F13" s="14">
        <f t="shared" si="0"/>
        <v>-133150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163300</v>
      </c>
      <c r="C15" s="9">
        <f>+HojaTICA!K16+HojaNICA!M16+HojaREVENTADO!K16+HojaPrimera!I16+HojaHonduras!K16+HojaDominicana!I16+HojaPANA!G16</f>
        <v>19550</v>
      </c>
      <c r="D15" s="9">
        <f>+HojaTICA!N16+HojaNICA!P16+HojaREVENTADO!O16+HojaPrimera!L16+HojaHonduras!N16+HojaDominicana!L16+HojaPANA!J16</f>
        <v>24000</v>
      </c>
      <c r="F15" s="14">
        <f t="shared" si="0"/>
        <v>119750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985000</v>
      </c>
      <c r="C16" s="9">
        <f>+HojaTICA!K17+HojaNICA!M17+HojaREVENTADO!K17+HojaPrimera!I17+HojaHonduras!K17+HojaDominicana!I17+HojaPANA!G17</f>
        <v>117210</v>
      </c>
      <c r="D16" s="9">
        <f>+HojaTICA!N17+HojaNICA!P17+HojaREVENTADO!O17+HojaPrimera!L17+HojaHonduras!N17+HojaDominicana!L17+HojaPANA!J17</f>
        <v>314500</v>
      </c>
      <c r="F16" s="14">
        <f t="shared" si="0"/>
        <v>553290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560800</v>
      </c>
      <c r="C17" s="9">
        <f>+HojaTICA!K18+HojaNICA!M18+HojaREVENTADO!K18+HojaPrimera!I18+HojaHonduras!K18+HojaDominicana!I18+HojaPANA!G18</f>
        <v>66115</v>
      </c>
      <c r="D17" s="9">
        <f>+HojaTICA!N18+HojaNICA!P18+HojaREVENTADO!O18+HojaPrimera!L18+HojaHonduras!N18+HojaDominicana!L18+HojaPANA!J18</f>
        <v>480250</v>
      </c>
      <c r="F17" s="14">
        <f t="shared" si="0"/>
        <v>14435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4401730</v>
      </c>
      <c r="C28" s="17">
        <f t="shared" si="1"/>
        <v>533290</v>
      </c>
      <c r="D28" s="18">
        <f t="shared" si="1"/>
        <v>4292500</v>
      </c>
      <c r="F28" s="20">
        <f>SUM(F3:F27)</f>
        <v>-424060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160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76</v>
      </c>
      <c r="C19" s="132">
        <v>81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28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69</v>
      </c>
      <c r="C21" s="164">
        <v>49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04</v>
      </c>
      <c r="D2" s="268"/>
      <c r="E2" s="267">
        <f>DigitaTICA!E2</f>
        <v>83</v>
      </c>
      <c r="F2" s="268"/>
      <c r="G2" s="267">
        <f>DigitaTICA!G2</f>
        <v>32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75400</v>
      </c>
      <c r="D4" s="30">
        <f>IF(Vendedor1!$E$7="",0,Vendedor1!$E$7)</f>
        <v>400</v>
      </c>
      <c r="E4" s="180">
        <f>IF(Vendedor1!$C$11="",0,Vendedor1!$C$11)</f>
        <v>61200</v>
      </c>
      <c r="F4" s="30">
        <f>IF(Vendedor1!$E$11="",0,Vendedor1!$E$11)</f>
        <v>0</v>
      </c>
      <c r="G4" s="180">
        <f>IF(Vendedor1!$C$15="",0,Vendedor1!$C$15)</f>
        <v>84650</v>
      </c>
      <c r="H4" s="30">
        <f>IF(Vendedor1!$E$15="",0,Vendedor1!$E$15)</f>
        <v>450</v>
      </c>
      <c r="J4" s="42">
        <f t="shared" ref="J4:J7" si="0">+C4+E4+G4</f>
        <v>221250</v>
      </c>
      <c r="K4" s="41">
        <f>MROUND(J4*Vendedor1!J$9,50)</f>
        <v>28750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120250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51150</v>
      </c>
      <c r="D5" s="30">
        <f>IF(Vendedor2!$E$7="",0,Vendedor2!$E$7)</f>
        <v>2900</v>
      </c>
      <c r="E5" s="180">
        <f>IF(Vendedor2!$C$11="",0,Vendedor2!$C$11)</f>
        <v>62650</v>
      </c>
      <c r="F5" s="30">
        <f>IF(Vendedor2!$E$11="",0,Vendedor2!$E$11)</f>
        <v>0</v>
      </c>
      <c r="G5" s="180">
        <f>IF(Vendedor2!$C$15="",0,Vendedor2!$C$15)</f>
        <v>84800</v>
      </c>
      <c r="H5" s="30">
        <f>IF(Vendedor2!$E$15="",0,Vendedor2!$E$15)</f>
        <v>2050</v>
      </c>
      <c r="J5" s="42">
        <f t="shared" si="0"/>
        <v>198600</v>
      </c>
      <c r="K5" s="41">
        <f>MROUND(J5*Vendedor2!J$9,50)</f>
        <v>25800</v>
      </c>
      <c r="L5" s="42">
        <f t="shared" si="1"/>
        <v>4950</v>
      </c>
      <c r="M5" s="42">
        <f t="shared" si="2"/>
        <v>420750</v>
      </c>
      <c r="N5" s="42">
        <f>Vendedor2!$F$7+Vendedor2!$F$11+Vendedor2!$F$15</f>
        <v>420750</v>
      </c>
      <c r="P5" s="42">
        <f t="shared" si="3"/>
        <v>-247950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69900</v>
      </c>
      <c r="D8" s="30">
        <f>IF(Vendedor5!$E$7="",0,Vendedor5!$E$7)</f>
        <v>2350</v>
      </c>
      <c r="E8" s="180">
        <f>IF(Vendedor5!$C$11="",0,Vendedor5!$C$11)</f>
        <v>76600</v>
      </c>
      <c r="F8" s="30">
        <f>IF(Vendedor5!$E$11="",0,Vendedor5!$E$11)</f>
        <v>1550</v>
      </c>
      <c r="G8" s="180">
        <f>IF(Vendedor5!$C$15="",0,Vendedor5!$C$15)</f>
        <v>94000</v>
      </c>
      <c r="H8" s="30">
        <f>IF(Vendedor5!$E$15="",0,Vendedor5!$E$15)</f>
        <v>600</v>
      </c>
      <c r="J8" s="42">
        <f t="shared" ref="J8" si="4">+C8+E8+G8</f>
        <v>240500</v>
      </c>
      <c r="K8" s="41">
        <f>MROUND(J8*Vendedor5!J$11,50)</f>
        <v>28850</v>
      </c>
      <c r="L8" s="42">
        <f t="shared" ref="L8" si="5">+D8+F8+H8</f>
        <v>4500</v>
      </c>
      <c r="M8" s="42">
        <f t="shared" ref="M8" si="6">+L8*85</f>
        <v>382500</v>
      </c>
      <c r="N8" s="42">
        <f>Vendedor5!$F$7+Vendedor5!$F$11+Vendedor5!$F$15</f>
        <v>382500</v>
      </c>
      <c r="P8" s="42">
        <f t="shared" ref="P8" si="7">+J8-K8-N8</f>
        <v>-170850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148550</v>
      </c>
      <c r="D10" s="30">
        <f>IF(Vendedor7!$E$7="",0,Vendedor7!$E$7)</f>
        <v>3850</v>
      </c>
      <c r="E10" s="180">
        <f>IF(Vendedor7!$C$11="",0,Vendedor7!$C$11)</f>
        <v>195050</v>
      </c>
      <c r="F10" s="30">
        <f>IF(Vendedor7!$E$11="",0,Vendedor7!$E$11)</f>
        <v>150</v>
      </c>
      <c r="G10" s="180">
        <f>IF(Vendedor7!$C$15="",0,Vendedor7!$C$15)</f>
        <v>162950</v>
      </c>
      <c r="H10" s="30">
        <f>IF(Vendedor7!$E$15="",0,Vendedor7!$E$15)</f>
        <v>300</v>
      </c>
      <c r="J10" s="42">
        <f t="shared" si="8"/>
        <v>506550</v>
      </c>
      <c r="K10" s="41">
        <f>MROUND(J10*Vendedor7!J$14,50)</f>
        <v>60800</v>
      </c>
      <c r="L10" s="42">
        <f t="shared" si="9"/>
        <v>4300</v>
      </c>
      <c r="M10" s="42">
        <f t="shared" si="10"/>
        <v>365500</v>
      </c>
      <c r="N10" s="42">
        <f>Vendedor7!$F$7+Vendedor7!$F$11+Vendedor7!$F$15</f>
        <v>365500</v>
      </c>
      <c r="P10" s="42">
        <f t="shared" si="11"/>
        <v>80250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21250</v>
      </c>
      <c r="D12" s="30">
        <f>IF(Vendedor9!$E$7="",0,Vendedor9!$E$7)</f>
        <v>300</v>
      </c>
      <c r="E12" s="180">
        <f>IF(Vendedor9!$C$11="",0,Vendedor9!$C$11)</f>
        <v>12250</v>
      </c>
      <c r="F12" s="30">
        <f>IF(Vendedor9!$E$11="",0,Vendedor9!$E$11)</f>
        <v>0</v>
      </c>
      <c r="G12" s="180">
        <f>IF(Vendedor9!$C$15="",0,Vendedor9!$C$15)</f>
        <v>2050</v>
      </c>
      <c r="H12" s="30">
        <f>IF(Vendedor9!$E$15="",0,Vendedor9!$E$15)</f>
        <v>0</v>
      </c>
      <c r="J12" s="42">
        <f t="shared" si="8"/>
        <v>35550</v>
      </c>
      <c r="K12" s="41">
        <f>MROUND(J12*Vendedor9!J$11,50)</f>
        <v>4250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5800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44800</v>
      </c>
      <c r="D13" s="30">
        <f>IF(Vendedor10!$E$7="",0,Vendedor10!$E$7)</f>
        <v>700</v>
      </c>
      <c r="E13" s="180">
        <f>IF(Vendedor10!$C$11="",0,Vendedor10!$C$11)</f>
        <v>32700</v>
      </c>
      <c r="F13" s="30">
        <f>IF(Vendedor10!$E$11="",0,Vendedor10!$E$11)</f>
        <v>0</v>
      </c>
      <c r="G13" s="180">
        <f>IF(Vendedor10!$C$15="",0,Vendedor10!$C$15)</f>
        <v>21900</v>
      </c>
      <c r="H13" s="30">
        <f>IF(Vendedor10!$E$15="",0,Vendedor10!$E$15)</f>
        <v>0</v>
      </c>
      <c r="J13" s="42">
        <f t="shared" si="8"/>
        <v>99400</v>
      </c>
      <c r="K13" s="41">
        <f>MROUND(J13*Vendedor10!J$9,50)</f>
        <v>11950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27950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56900</v>
      </c>
      <c r="D14" s="30">
        <f>IF(Vendedor11!$E$7="",0,Vendedor11!$E$7)</f>
        <v>2000</v>
      </c>
      <c r="E14" s="180">
        <f>IF(Vendedor11!$C$11="",0,Vendedor11!$C$11)</f>
        <v>26300</v>
      </c>
      <c r="F14" s="30">
        <f>IF(Vendedor11!$E$11="",0,Vendedor11!$E$11)</f>
        <v>1000</v>
      </c>
      <c r="G14" s="180">
        <f>IF(Vendedor11!$C$15="",0,Vendedor11!$C$15)</f>
        <v>42500</v>
      </c>
      <c r="H14" s="30">
        <f>IF(Vendedor11!$E$15="",0,Vendedor11!$E$15)</f>
        <v>0</v>
      </c>
      <c r="J14" s="42">
        <f t="shared" si="8"/>
        <v>125700</v>
      </c>
      <c r="K14" s="41">
        <f>MROUND(J14*Vendedor11!J$9,50)</f>
        <v>18850</v>
      </c>
      <c r="L14" s="42">
        <f t="shared" si="9"/>
        <v>3000</v>
      </c>
      <c r="M14" s="42">
        <f t="shared" si="10"/>
        <v>255000</v>
      </c>
      <c r="N14" s="42">
        <f>Vendedor11!$F$7+Vendedor11!$F$11+Vendedor11!$F$15</f>
        <v>240000</v>
      </c>
      <c r="P14" s="42">
        <f t="shared" si="11"/>
        <v>-133150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30200</v>
      </c>
      <c r="D16" s="30">
        <f>IF(Vendedor13!$E$7="",0,Vendedor13!$E$7)</f>
        <v>0</v>
      </c>
      <c r="E16" s="180">
        <f>IF(Vendedor13!$C$11="",0,Vendedor13!$C$11)</f>
        <v>21800</v>
      </c>
      <c r="F16" s="30">
        <f>IF(Vendedor13!$E$11="",0,Vendedor13!$E$11)</f>
        <v>0</v>
      </c>
      <c r="G16" s="180">
        <f>IF(Vendedor13!$C$15="",0,Vendedor13!$C$15)</f>
        <v>33900</v>
      </c>
      <c r="H16" s="30">
        <f>IF(Vendedor13!$E$15="",0,Vendedor13!$E$15)</f>
        <v>0</v>
      </c>
      <c r="J16" s="42">
        <f t="shared" si="8"/>
        <v>85900</v>
      </c>
      <c r="K16" s="41">
        <f>MROUND(J16*Vendedor13!J$11,50)</f>
        <v>10300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75600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96900</v>
      </c>
      <c r="D17" s="30">
        <f>IF(Vendedor14!$E$7="",0,Vendedor14!$E$7)</f>
        <v>600</v>
      </c>
      <c r="E17" s="180">
        <f>IF(Vendedor14!$C$11="",0,Vendedor14!$C$11)</f>
        <v>76050</v>
      </c>
      <c r="F17" s="30">
        <f>IF(Vendedor14!$E$11="",0,Vendedor14!$E$11)</f>
        <v>0</v>
      </c>
      <c r="G17" s="180">
        <f>IF(Vendedor14!$C$15="",0,Vendedor14!$C$15)</f>
        <v>209550</v>
      </c>
      <c r="H17" s="30">
        <f>IF(Vendedor14!$E$15="",0,Vendedor14!$E$15)</f>
        <v>800</v>
      </c>
      <c r="J17" s="42">
        <f t="shared" si="8"/>
        <v>382500</v>
      </c>
      <c r="K17" s="41">
        <f>MROUND(J17*Vendedor14!J$15,50)</f>
        <v>45900</v>
      </c>
      <c r="L17" s="42">
        <f t="shared" si="9"/>
        <v>1400</v>
      </c>
      <c r="M17" s="42">
        <f t="shared" si="10"/>
        <v>119000</v>
      </c>
      <c r="N17" s="42">
        <f>Vendedor14!$F$7+Vendedor14!$F$11+Vendedor14!$F$15</f>
        <v>119000</v>
      </c>
      <c r="P17" s="42">
        <f t="shared" si="11"/>
        <v>217600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79050</v>
      </c>
      <c r="D18" s="30">
        <f>IF(Vendedor15!$E$7="",0,Vendedor15!$E$7)</f>
        <v>1350</v>
      </c>
      <c r="E18" s="180">
        <f>IF(Vendedor15!$C$11="",0,Vendedor15!$C$11)</f>
        <v>101000</v>
      </c>
      <c r="F18" s="30">
        <f>IF(Vendedor15!$E$11="",0,Vendedor15!$E$11)</f>
        <v>0</v>
      </c>
      <c r="G18" s="180">
        <f>IF(Vendedor15!$C$15="",0,Vendedor15!$C$15)</f>
        <v>77100</v>
      </c>
      <c r="H18" s="30">
        <f>IF(Vendedor15!$E$15="",0,Vendedor15!$E$15)</f>
        <v>100</v>
      </c>
      <c r="J18" s="42">
        <f t="shared" ref="J18" si="12">+C18+E18+G18</f>
        <v>257150</v>
      </c>
      <c r="K18" s="41">
        <f>MROUND(J18*Vendedor15!J$15,50)</f>
        <v>30850</v>
      </c>
      <c r="L18" s="42">
        <f t="shared" ref="L18" si="13">+D18+F18+H18</f>
        <v>1450</v>
      </c>
      <c r="M18" s="42">
        <f t="shared" ref="M18" si="14">+L18*85</f>
        <v>123250</v>
      </c>
      <c r="N18" s="42">
        <f>Vendedor15!$F$7+Vendedor15!$F$11+Vendedor15!$F$15</f>
        <v>123250</v>
      </c>
      <c r="P18" s="42">
        <f t="shared" ref="P18" si="15">+J18-K18-N18</f>
        <v>103050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674100</v>
      </c>
      <c r="D32" s="44">
        <f t="shared" si="16"/>
        <v>14450</v>
      </c>
      <c r="E32" s="43">
        <f t="shared" si="16"/>
        <v>665600</v>
      </c>
      <c r="F32" s="44">
        <f t="shared" si="16"/>
        <v>2700</v>
      </c>
      <c r="G32" s="43">
        <f t="shared" si="16"/>
        <v>813400</v>
      </c>
      <c r="H32" s="44">
        <f t="shared" si="16"/>
        <v>4300</v>
      </c>
      <c r="J32" s="95">
        <f>SUM(J4:J31)</f>
        <v>2153100</v>
      </c>
      <c r="K32" s="45">
        <f>SUM(K7:K31)</f>
        <v>211750</v>
      </c>
      <c r="L32" s="95">
        <f>SUM(L4:L31)</f>
        <v>21450</v>
      </c>
      <c r="M32" s="95">
        <f>SUM(M4:M31)</f>
        <v>1823250</v>
      </c>
      <c r="N32" s="95">
        <f>SUM(N4:N31)</f>
        <v>1808250</v>
      </c>
      <c r="P32" s="79">
        <f>SUM(P4:P31)</f>
        <v>78550</v>
      </c>
    </row>
    <row r="33" spans="3:13" x14ac:dyDescent="0.35">
      <c r="D33" s="99">
        <f>+D32*85</f>
        <v>1228250</v>
      </c>
      <c r="F33" s="99">
        <f>+F32*85</f>
        <v>229500</v>
      </c>
      <c r="H33" s="99">
        <f>+H32*85</f>
        <v>365500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2153100</v>
      </c>
      <c r="E36" s="43">
        <f>+D36-J4-J5-J6</f>
        <v>1733250</v>
      </c>
      <c r="G36" s="101"/>
    </row>
    <row r="37" spans="3:13" x14ac:dyDescent="0.35">
      <c r="C37" s="47" t="s">
        <v>33</v>
      </c>
      <c r="D37" s="48">
        <f>D36*13%</f>
        <v>279903</v>
      </c>
      <c r="E37">
        <f>+D37-K4-K5-K6</f>
        <v>225353</v>
      </c>
      <c r="G37" s="100"/>
      <c r="H37" s="100"/>
    </row>
    <row r="38" spans="3:13" ht="15" thickBot="1" x14ac:dyDescent="0.4">
      <c r="C38" s="47" t="s">
        <v>30</v>
      </c>
      <c r="D38" s="30">
        <f>M32</f>
        <v>1823250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49947</v>
      </c>
      <c r="F39" s="98">
        <f>+P32-D39</f>
        <v>28603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49947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34</v>
      </c>
      <c r="D2" s="268"/>
      <c r="E2" s="267">
        <f>DigitaNICA!E2</f>
        <v>74</v>
      </c>
      <c r="F2" s="268"/>
      <c r="G2" s="267">
        <f>DigitaNICA!G2</f>
        <v>95</v>
      </c>
      <c r="H2" s="268"/>
      <c r="I2" s="267">
        <f>DigitaNICA!I2</f>
        <v>68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34900</v>
      </c>
      <c r="D4" s="78">
        <f>IF(Vendedor1!$E$5="",0,Vendedor1!$E$5)</f>
        <v>250</v>
      </c>
      <c r="E4" s="189">
        <f>IF(Vendedor1!$C$9="",0,Vendedor1!$C$9)</f>
        <v>17500</v>
      </c>
      <c r="F4" s="78">
        <f>IF(Vendedor1!$E$9="",0,Vendedor1!$E$9)</f>
        <v>0</v>
      </c>
      <c r="G4" s="189">
        <f>IF(Vendedor1!$C$13="",0,Vendedor1!$C$13)</f>
        <v>6200</v>
      </c>
      <c r="H4" s="78">
        <f>IF(Vendedor1!$E$13="",0,Vendedor1!$E$13)</f>
        <v>250</v>
      </c>
      <c r="I4" s="189">
        <f>IF(Vendedor1!$C$17="",0,Vendedor1!$C$17)</f>
        <v>3750</v>
      </c>
      <c r="J4" s="78">
        <f>IF(Vendedor1!$E$17="",0,Vendedor1!$E$17)</f>
        <v>0</v>
      </c>
      <c r="L4" s="42">
        <f t="shared" ref="L4:L7" si="0">C4+E4+G4+I4</f>
        <v>62350</v>
      </c>
      <c r="M4" s="41">
        <f>MROUND(L4*Vendedor1!J$10,50)</f>
        <v>8100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11750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17800</v>
      </c>
      <c r="D5" s="30">
        <f>IF(Vendedor2!$E$5="",0,Vendedor2!$E$5)</f>
        <v>0</v>
      </c>
      <c r="E5" s="180">
        <f>IF(Vendedor2!$C$9="",0,Vendedor2!$C$9)</f>
        <v>13000</v>
      </c>
      <c r="F5" s="30">
        <f>IF(Vendedor2!$E$9="",0,Vendedor2!$E$9)</f>
        <v>0</v>
      </c>
      <c r="G5" s="180">
        <f>IF(Vendedor2!$C$13="",0,Vendedor2!$C$13)</f>
        <v>2600</v>
      </c>
      <c r="H5" s="30">
        <f>IF(Vendedor2!$E$13="",0,Vendedor2!$E$13)</f>
        <v>0</v>
      </c>
      <c r="I5" s="180">
        <f>IF(Vendedor2!$C$17="",0,Vendedor2!$C$17)</f>
        <v>10600</v>
      </c>
      <c r="J5" s="30">
        <f>IF(Vendedor2!$E$17="",0,Vendedor2!$E$17)</f>
        <v>0</v>
      </c>
      <c r="L5" s="42">
        <f t="shared" si="0"/>
        <v>44000</v>
      </c>
      <c r="M5" s="41">
        <f>MROUND(L5*Vendedor2!J$10,50)</f>
        <v>5700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38300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83500</v>
      </c>
      <c r="D8" s="30">
        <f>IF(Vendedor5!$E$5="",0,Vendedor5!$E$5)</f>
        <v>100</v>
      </c>
      <c r="E8" s="180">
        <f>IF(Vendedor5!$C$9="",0,Vendedor5!$C$9)</f>
        <v>68650</v>
      </c>
      <c r="F8" s="30">
        <f>IF(Vendedor5!$E$9="",0,Vendedor5!$E$9)</f>
        <v>2150</v>
      </c>
      <c r="G8" s="180">
        <f>IF(Vendedor5!$C$13="",0,Vendedor5!$C$13)</f>
        <v>38850</v>
      </c>
      <c r="H8" s="30">
        <f>IF(Vendedor5!$E$13="",0,Vendedor5!$E$13)</f>
        <v>0</v>
      </c>
      <c r="I8" s="180">
        <f>IF(Vendedor5!$C$17="",0,Vendedor5!$C$17)</f>
        <v>50700</v>
      </c>
      <c r="J8" s="30">
        <f>IF(Vendedor5!$E$17="",0,Vendedor5!$E$17)</f>
        <v>0</v>
      </c>
      <c r="L8" s="42">
        <f t="shared" ref="L8" si="4">C8+E8+G8+I8</f>
        <v>241700</v>
      </c>
      <c r="M8" s="41">
        <f>MROUND(L8*Vendedor5!J$12,50)</f>
        <v>29000</v>
      </c>
      <c r="N8" s="42">
        <f t="shared" ref="N8" si="5">D8+F8+H8+J8</f>
        <v>2250</v>
      </c>
      <c r="O8" s="41">
        <f t="shared" si="3"/>
        <v>191250</v>
      </c>
      <c r="P8" s="42">
        <f>Vendedor5!$F$5+Vendedor5!$F$9+Vendedor5!$F$13+Vendedor5!$F$17</f>
        <v>180000</v>
      </c>
      <c r="Q8">
        <v>17</v>
      </c>
      <c r="R8" s="41">
        <f t="shared" ref="R8" si="6">+L8-M8-O8</f>
        <v>21450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90350</v>
      </c>
      <c r="D10" s="30">
        <f>IF(Vendedor7!$E$5="",0,Vendedor7!$E$5)</f>
        <v>350</v>
      </c>
      <c r="E10" s="180">
        <f>IF(Vendedor7!$C$9="",0,Vendedor7!$C$9)</f>
        <v>160400</v>
      </c>
      <c r="F10" s="30">
        <f>IF(Vendedor7!$E$9="",0,Vendedor7!$E$9)</f>
        <v>16000</v>
      </c>
      <c r="G10" s="180">
        <f>IF(Vendedor7!$C$13="",0,Vendedor7!$C$13)</f>
        <v>59630</v>
      </c>
      <c r="H10" s="30">
        <f>IF(Vendedor7!$E$13="",0,Vendedor7!$E$13)</f>
        <v>0</v>
      </c>
      <c r="I10" s="180">
        <f>IF(Vendedor7!$C$17="",0,Vendedor7!$C$17)</f>
        <v>86600</v>
      </c>
      <c r="J10" s="30">
        <f>IF(Vendedor7!$E$17="",0,Vendedor7!$E$17)</f>
        <v>0</v>
      </c>
      <c r="L10" s="42">
        <f t="shared" si="7"/>
        <v>396980</v>
      </c>
      <c r="M10" s="41">
        <f>MROUND(L10*Vendedor7!J$15,50)</f>
        <v>47650</v>
      </c>
      <c r="N10" s="42">
        <f t="shared" ref="N10:N27" si="9">D10+F10+H10+J10</f>
        <v>16350</v>
      </c>
      <c r="O10" s="41">
        <f t="shared" si="3"/>
        <v>1389750</v>
      </c>
      <c r="P10" s="42">
        <f>Vendedor7!$F$5+Vendedor7!$F$9+Vendedor7!$F$13+Vendedor7!$F$17</f>
        <v>1389750</v>
      </c>
      <c r="R10" s="41">
        <f t="shared" si="8"/>
        <v>-1040420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50600</v>
      </c>
      <c r="D12" s="30">
        <f>IF(Vendedor9!$E$5="",0,Vendedor9!$E$5)</f>
        <v>0</v>
      </c>
      <c r="E12" s="180">
        <f>IF(Vendedor9!$C$9="",0,Vendedor9!$C$9)</f>
        <v>14600</v>
      </c>
      <c r="F12" s="30">
        <f>IF(Vendedor9!$E$9="",0,Vendedor9!$E$9)</f>
        <v>0</v>
      </c>
      <c r="G12" s="180">
        <f>IF(Vendedor9!$C$13="",0,Vendedor9!$C$13)</f>
        <v>5000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70200</v>
      </c>
      <c r="M12" s="41">
        <f>MROUND(L12*Vendedor9!J$12,50)</f>
        <v>8400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61800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40350</v>
      </c>
      <c r="D13" s="30">
        <f>IF(Vendedor10!$E$5="",0,Vendedor10!$E$5)</f>
        <v>0</v>
      </c>
      <c r="E13" s="180">
        <f>IF(Vendedor10!$C$9="",0,Vendedor10!$C$9)</f>
        <v>29000</v>
      </c>
      <c r="F13" s="30">
        <f>IF(Vendedor10!$E$9="",0,Vendedor10!$E$9)</f>
        <v>0</v>
      </c>
      <c r="G13" s="180">
        <f>IF(Vendedor10!$C$13="",0,Vendedor10!$C$13)</f>
        <v>2900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73250</v>
      </c>
      <c r="M13" s="41">
        <f>MROUND(L13*Vendedor10!J$10,50)</f>
        <v>8800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64450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14400</v>
      </c>
      <c r="D16" s="30">
        <f>IF(Vendedor13!$E$5="",0,Vendedor13!$E$5)</f>
        <v>0</v>
      </c>
      <c r="E16" s="180">
        <f>IF(Vendedor13!$C$9="",0,Vendedor13!$C$9)</f>
        <v>11400</v>
      </c>
      <c r="F16" s="30">
        <f>IF(Vendedor13!$E$9="",0,Vendedor13!$E$9)</f>
        <v>0</v>
      </c>
      <c r="G16" s="180">
        <f>IF(Vendedor13!$C$13="",0,Vendedor13!$C$13)</f>
        <v>15500</v>
      </c>
      <c r="H16" s="30">
        <f>IF(Vendedor13!$E$13="",0,Vendedor13!$E$13)</f>
        <v>300</v>
      </c>
      <c r="I16" s="180">
        <f>IF(Vendedor13!$C$17="",0,Vendedor13!$C$17)</f>
        <v>28400</v>
      </c>
      <c r="J16" s="30">
        <f>IF(Vendedor13!$E$17="",0,Vendedor13!$E$17)</f>
        <v>0</v>
      </c>
      <c r="L16" s="42">
        <f t="shared" si="7"/>
        <v>69700</v>
      </c>
      <c r="M16" s="41">
        <f>MROUND(L16*Vendedor13!J$12,50)</f>
        <v>8350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35850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67050</v>
      </c>
      <c r="D17" s="30">
        <f>IF(Vendedor14!$E$5="",0,Vendedor14!$E$5)</f>
        <v>250</v>
      </c>
      <c r="E17" s="180">
        <f>IF(Vendedor14!$C$9="",0,Vendedor14!$C$9)</f>
        <v>83800</v>
      </c>
      <c r="F17" s="30">
        <f>IF(Vendedor14!$E$9="",0,Vendedor14!$E$9)</f>
        <v>0</v>
      </c>
      <c r="G17" s="180">
        <f>IF(Vendedor14!$C$13="",0,Vendedor14!$C$13)</f>
        <v>64900</v>
      </c>
      <c r="H17" s="30">
        <f>IF(Vendedor14!$E$13="",0,Vendedor14!$E$13)</f>
        <v>400</v>
      </c>
      <c r="I17" s="180">
        <f>IF(Vendedor14!$C$17="",0,Vendedor14!$C$17)</f>
        <v>155800</v>
      </c>
      <c r="J17" s="30">
        <f>IF(Vendedor14!$E$17="",0,Vendedor14!$E$17)</f>
        <v>450</v>
      </c>
      <c r="L17" s="42">
        <f>C17+E17+G17+I17</f>
        <v>371550</v>
      </c>
      <c r="M17" s="41">
        <f>MROUND(L17*Vendedor14!J$16,50)</f>
        <v>44600</v>
      </c>
      <c r="N17" s="42">
        <f t="shared" si="9"/>
        <v>1100</v>
      </c>
      <c r="O17" s="41">
        <f t="shared" si="3"/>
        <v>93500</v>
      </c>
      <c r="P17" s="42">
        <f>Vendedor14!$F$5+Vendedor14!$F$9+Vendedor14!$F$13+Vendedor14!$F$17</f>
        <v>93500</v>
      </c>
      <c r="R17" s="41">
        <f t="shared" si="8"/>
        <v>233450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48600</v>
      </c>
      <c r="D18" s="30">
        <f>IF(Vendedor15!$E$5="",0,Vendedor15!$E$5)</f>
        <v>400</v>
      </c>
      <c r="E18" s="180">
        <f>IF(Vendedor15!$C$9="",0,Vendedor15!$C$9)</f>
        <v>67300</v>
      </c>
      <c r="F18" s="30">
        <f>IF(Vendedor15!$E$9="",0,Vendedor15!$E$9)</f>
        <v>1900</v>
      </c>
      <c r="G18" s="180">
        <f>IF(Vendedor15!$C$13="",0,Vendedor15!$C$13)</f>
        <v>18800</v>
      </c>
      <c r="H18" s="30">
        <f>IF(Vendedor15!$E$13="",0,Vendedor15!$E$13)</f>
        <v>0</v>
      </c>
      <c r="I18" s="180">
        <f>IF(Vendedor15!$C$17="",0,Vendedor15!$C$17)</f>
        <v>14400</v>
      </c>
      <c r="J18" s="30">
        <f>IF(Vendedor15!$E$17="",0,Vendedor15!$E$17)</f>
        <v>0</v>
      </c>
      <c r="L18" s="42">
        <f t="shared" ref="L18:L27" si="10">C18+E18+G18+I18</f>
        <v>149100</v>
      </c>
      <c r="M18" s="41">
        <f>MROUND(L18*Vendedor15!J$16,50)</f>
        <v>17900</v>
      </c>
      <c r="N18" s="42">
        <f t="shared" si="9"/>
        <v>2300</v>
      </c>
      <c r="O18" s="41">
        <f t="shared" si="3"/>
        <v>195500</v>
      </c>
      <c r="P18" s="42">
        <f>Vendedor15!$F$5+Vendedor15!$F$9+Vendedor15!$F$13+Vendedor15!$F$17</f>
        <v>195500</v>
      </c>
      <c r="R18" s="41">
        <f t="shared" si="8"/>
        <v>-64300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447550</v>
      </c>
      <c r="D32" s="44">
        <f t="shared" si="14"/>
        <v>1350</v>
      </c>
      <c r="E32" s="43">
        <f t="shared" si="14"/>
        <v>465650</v>
      </c>
      <c r="F32" s="44">
        <f t="shared" si="14"/>
        <v>20050</v>
      </c>
      <c r="G32" s="43">
        <f t="shared" si="14"/>
        <v>214380</v>
      </c>
      <c r="H32" s="44">
        <f t="shared" si="14"/>
        <v>950</v>
      </c>
      <c r="I32" s="43">
        <f t="shared" si="14"/>
        <v>351250</v>
      </c>
      <c r="J32" s="44">
        <f t="shared" si="14"/>
        <v>450</v>
      </c>
      <c r="L32" s="45">
        <f>SUM(L4:L31)</f>
        <v>1478830</v>
      </c>
      <c r="M32" s="45">
        <f>SUM(M7:M31)</f>
        <v>164700</v>
      </c>
      <c r="N32" s="95">
        <f>SUM(N4:N31)</f>
        <v>22800</v>
      </c>
      <c r="O32" s="46">
        <f>SUM(O4:O31)</f>
        <v>1938000</v>
      </c>
      <c r="P32" s="140">
        <f>SUM(P4:P31)</f>
        <v>1922750</v>
      </c>
      <c r="R32" s="79">
        <f>SUM(R4:R31)</f>
        <v>-637670</v>
      </c>
    </row>
    <row r="33" spans="3:15" x14ac:dyDescent="0.35">
      <c r="D33" s="120">
        <f>+D32*85</f>
        <v>114750</v>
      </c>
      <c r="F33" s="120">
        <f>+F32*85</f>
        <v>1704250</v>
      </c>
      <c r="H33" s="120">
        <f>+H32*85</f>
        <v>80750</v>
      </c>
      <c r="J33" s="120">
        <f>+J32*85</f>
        <v>38250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1478830</v>
      </c>
      <c r="E36" s="43">
        <f>+D36-L4-L5-L6</f>
        <v>1372480</v>
      </c>
    </row>
    <row r="37" spans="3:15" x14ac:dyDescent="0.35">
      <c r="C37" s="47" t="s">
        <v>33</v>
      </c>
      <c r="D37" s="48">
        <f>D36*13%</f>
        <v>192247.9</v>
      </c>
      <c r="E37">
        <f>+D37-M4-M5-M6</f>
        <v>178447.9</v>
      </c>
    </row>
    <row r="38" spans="3:15" x14ac:dyDescent="0.35">
      <c r="C38" s="47" t="s">
        <v>30</v>
      </c>
      <c r="D38" s="30">
        <f>SUM(O4:O27)</f>
        <v>1938000</v>
      </c>
      <c r="G38" s="100"/>
    </row>
    <row r="39" spans="3:15" ht="15" thickBot="1" x14ac:dyDescent="0.4">
      <c r="C39" s="49" t="s">
        <v>4</v>
      </c>
      <c r="D39" s="80">
        <f>+D36-D37-D38</f>
        <v>-651417.89999999991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-651417.89999999991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83 Blanca</v>
      </c>
      <c r="F2" s="268"/>
      <c r="G2" s="267" t="str">
        <f>IF(G33=0,"",CONCATENATE(PREMIOS!$B15," ",PREMIOS!$B16))</f>
        <v>32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41000</v>
      </c>
      <c r="D10" s="30">
        <f>IF(Vendedor7!$E$8="",0,Vendedor7!$E$8)</f>
        <v>1900</v>
      </c>
      <c r="E10" s="180">
        <f>IF(Vendedor7!$C$12="",0,Vendedor7!$C$12)</f>
        <v>19750</v>
      </c>
      <c r="F10" s="30">
        <f>IF(Vendedor7!$E$12="",0,Vendedor7!$E$12)</f>
        <v>0</v>
      </c>
      <c r="G10" s="180">
        <f>IF(Vendedor7!$C$16="",0,Vendedor7!$C$16)</f>
        <v>29400</v>
      </c>
      <c r="H10" s="30">
        <f>IF(Vendedor7!$E$16="",0,Vendedor7!$E$16)</f>
        <v>200</v>
      </c>
      <c r="J10" s="42">
        <f t="shared" si="1"/>
        <v>90150</v>
      </c>
      <c r="K10" s="41">
        <f>J10*Vendedor7!J$16</f>
        <v>9015</v>
      </c>
      <c r="L10" s="42">
        <f t="shared" si="2"/>
        <v>0</v>
      </c>
      <c r="M10" s="42">
        <f t="shared" si="3"/>
        <v>2100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81135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4500</v>
      </c>
      <c r="D12" s="30">
        <f>IF(Vendedor9!$E$8="",0,Vendedor9!$E$8)</f>
        <v>250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7000</v>
      </c>
      <c r="K12" s="41">
        <f>J12*Vendedor9!J$13</f>
        <v>700</v>
      </c>
      <c r="L12" s="42">
        <f t="shared" si="2"/>
        <v>0</v>
      </c>
      <c r="M12" s="42">
        <f t="shared" si="3"/>
        <v>250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13800</v>
      </c>
      <c r="D17" s="30">
        <f>IF(Vendedor14!$E$8="",0,Vendedor14!$E$8)</f>
        <v>0</v>
      </c>
      <c r="E17" s="180">
        <f>IF(Vendedor14!$C$12="",0,Vendedor14!$C$12)</f>
        <v>7200</v>
      </c>
      <c r="F17" s="30">
        <f>IF(Vendedor14!$E$12="",0,Vendedor14!$E$12)</f>
        <v>0</v>
      </c>
      <c r="G17" s="180">
        <f>IF(Vendedor14!$C$16="",0,Vendedor14!$C$16)</f>
        <v>28600</v>
      </c>
      <c r="H17" s="30">
        <f>IF(Vendedor14!$E$16="",0,Vendedor14!$E$16)</f>
        <v>0</v>
      </c>
      <c r="J17" s="42">
        <f t="shared" si="1"/>
        <v>49600</v>
      </c>
      <c r="K17" s="41">
        <f>J17*Vendedor14!J$17</f>
        <v>4960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44640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28000</v>
      </c>
      <c r="D18" s="30">
        <f>IF(Vendedor15!$E$8="",0,Vendedor15!$E$8)</f>
        <v>450</v>
      </c>
      <c r="E18" s="180">
        <f>IF(Vendedor15!$C$12="",0,Vendedor15!$C$12)</f>
        <v>22300</v>
      </c>
      <c r="F18" s="30">
        <f>IF(Vendedor15!$E$12="",0,Vendedor15!$E$12)</f>
        <v>0</v>
      </c>
      <c r="G18" s="180">
        <f>IF(Vendedor15!$C$16="",0,Vendedor15!$C$16)</f>
        <v>9850</v>
      </c>
      <c r="H18" s="30">
        <f>IF(Vendedor15!$E$16="",0,Vendedor15!$E$16)</f>
        <v>0</v>
      </c>
      <c r="J18" s="42">
        <f t="shared" ref="J18" si="5">+C18+E18+G18</f>
        <v>60150</v>
      </c>
      <c r="K18" s="41">
        <f>J18*Vendedor15!J$17</f>
        <v>6015</v>
      </c>
      <c r="L18" s="42">
        <f t="shared" si="2"/>
        <v>0</v>
      </c>
      <c r="M18" s="42">
        <f t="shared" si="3"/>
        <v>450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54135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87300</v>
      </c>
      <c r="D33" s="44">
        <f>IF(PREMIOS!E8&lt;&gt;0,SUM(D4:D32),0)</f>
        <v>0</v>
      </c>
      <c r="E33" s="43">
        <f>SUM(E4:E32)</f>
        <v>51250</v>
      </c>
      <c r="F33" s="44">
        <f>IF(PREMIOS!E12&lt;&gt;0,SUM(F4:F32),0)</f>
        <v>0</v>
      </c>
      <c r="G33" s="43">
        <f>SUM(G4:G32)</f>
        <v>68350</v>
      </c>
      <c r="H33" s="44">
        <f>IF(PREMIOS!E16&lt;&gt;0,SUM(H4:H32),0)</f>
        <v>0</v>
      </c>
      <c r="J33" s="45">
        <f>SUM(J4:J32)</f>
        <v>206900</v>
      </c>
      <c r="K33" s="45">
        <f>SUM(K7:K32)</f>
        <v>20690</v>
      </c>
      <c r="L33" s="95">
        <f>SUM(L7:L32)</f>
        <v>0</v>
      </c>
      <c r="M33" s="95">
        <f>SUM(M7:M32)</f>
        <v>2800</v>
      </c>
      <c r="N33" s="95">
        <f>SUM(N4:N27)</f>
        <v>0</v>
      </c>
      <c r="O33" s="95">
        <f>SUM(O4:O27)</f>
        <v>0</v>
      </c>
      <c r="Q33" s="79">
        <f>SUM(Q4:Q32)</f>
        <v>186210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206900</v>
      </c>
      <c r="E37" s="43">
        <f>+D37-J4-J5-J6</f>
        <v>206900</v>
      </c>
      <c r="F37" s="275"/>
      <c r="G37" s="275"/>
    </row>
    <row r="38" spans="3:17" ht="15" thickBot="1" x14ac:dyDescent="0.4">
      <c r="C38" s="47" t="s">
        <v>33</v>
      </c>
      <c r="D38" s="30">
        <f>D37*10%</f>
        <v>20690</v>
      </c>
      <c r="E38" s="43">
        <f>+D38-K4-K5-K6</f>
        <v>20690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186210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186210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76</v>
      </c>
      <c r="D2" s="268"/>
      <c r="E2" s="267">
        <f>DigitaPRIMERA!E2</f>
        <v>81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21900</v>
      </c>
      <c r="D4" s="78">
        <f>IF(Vendedor1!$E$19="",0,Vendedor1!$E$19)</f>
        <v>0</v>
      </c>
      <c r="E4" s="189">
        <f>IF(Vendedor1!$C$20="",0,Vendedor1!$C$20)</f>
        <v>3800</v>
      </c>
      <c r="F4" s="78">
        <f>IF(Vendedor1!$E$20="",0,Vendedor1!$E$20)</f>
        <v>0</v>
      </c>
      <c r="H4" s="42">
        <f>+C4+E4</f>
        <v>25700</v>
      </c>
      <c r="I4" s="41">
        <f>MROUND(H4*Vendedor1!J$9,50)</f>
        <v>3350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22350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41350</v>
      </c>
      <c r="D8" s="30">
        <f>IF(Vendedor5!$E$19="",0,Vendedor5!$E$19)</f>
        <v>1000</v>
      </c>
      <c r="E8" s="180">
        <f>IF(Vendedor5!$C$20="",0,Vendedor5!$C$20)</f>
        <v>32550</v>
      </c>
      <c r="F8" s="30">
        <f>IF(Vendedor5!$E$20="",0,Vendedor5!$E$20)</f>
        <v>600</v>
      </c>
      <c r="H8" s="133">
        <f t="shared" si="1"/>
        <v>73900</v>
      </c>
      <c r="I8" s="148">
        <f>MROUND(H8*Vendedor5!J$11,50)</f>
        <v>8850</v>
      </c>
      <c r="J8" s="133">
        <f t="shared" si="2"/>
        <v>1600</v>
      </c>
      <c r="K8" s="133">
        <f t="shared" si="3"/>
        <v>136000</v>
      </c>
      <c r="L8" s="133">
        <f>Vendedor5!$F$19+Vendedor5!$F$20</f>
        <v>128000</v>
      </c>
      <c r="M8" s="155"/>
      <c r="N8" s="133">
        <f t="shared" si="0"/>
        <v>-62950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25000</v>
      </c>
      <c r="D10" s="30">
        <f>IF(Vendedor7!$E$19="",0,Vendedor7!$E$19)</f>
        <v>0</v>
      </c>
      <c r="E10" s="180">
        <f>IF(Vendedor7!$C$20="",0,Vendedor7!$C$20)</f>
        <v>27450</v>
      </c>
      <c r="F10" s="30">
        <f>IF(Vendedor7!$E$20="",0,Vendedor7!$E$20)</f>
        <v>1500</v>
      </c>
      <c r="H10" s="42">
        <f t="shared" si="1"/>
        <v>52450</v>
      </c>
      <c r="I10" s="41">
        <f>MROUND(H10*Vendedor7!J$14,50)</f>
        <v>6300</v>
      </c>
      <c r="J10" s="42">
        <f t="shared" si="2"/>
        <v>1500</v>
      </c>
      <c r="K10" s="42">
        <f t="shared" si="3"/>
        <v>127500</v>
      </c>
      <c r="L10" s="42">
        <f>Vendedor7!$F$19+Vendedor7!$F$20</f>
        <v>127500</v>
      </c>
      <c r="N10" s="42">
        <f t="shared" si="0"/>
        <v>-81350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26400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26400</v>
      </c>
      <c r="I12" s="148">
        <f>MROUND(H12*Vendedor9!J$11,50)</f>
        <v>3150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23250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7700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7700</v>
      </c>
      <c r="I16" s="148">
        <f>MROUND(H16*Vendedor13!J$11,50)</f>
        <v>900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6800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73400</v>
      </c>
      <c r="D17" s="30">
        <f>IF(Vendedor14!$E$19="",0,Vendedor14!$E$19)</f>
        <v>0</v>
      </c>
      <c r="E17" s="180">
        <f>IF(Vendedor14!$C$20="",0,Vendedor14!$C$20)</f>
        <v>37050</v>
      </c>
      <c r="F17" s="30">
        <f>IF(Vendedor14!$E$20="",0,Vendedor14!$E$20)</f>
        <v>500</v>
      </c>
      <c r="H17" s="42">
        <f t="shared" si="1"/>
        <v>110450</v>
      </c>
      <c r="I17" s="41">
        <f>MROUND(H17*Vendedor14!J$15,50)</f>
        <v>13250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54700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52900</v>
      </c>
      <c r="D18" s="30">
        <f>IF(Vendedor15!$E$19="",0,Vendedor15!$E$19)</f>
        <v>200</v>
      </c>
      <c r="E18" s="180">
        <f>IF(Vendedor15!$C$20="",0,Vendedor15!$C$20)</f>
        <v>15700</v>
      </c>
      <c r="F18" s="30">
        <f>IF(Vendedor15!$E$20="",0,Vendedor15!$E$20)</f>
        <v>0</v>
      </c>
      <c r="H18" s="42">
        <f t="shared" si="1"/>
        <v>68600</v>
      </c>
      <c r="I18" s="41">
        <f>MROUND(H18*Vendedor15!J$15,50)</f>
        <v>8250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43350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250650</v>
      </c>
      <c r="D32" s="44">
        <f>SUM(D4:D31)</f>
        <v>1200</v>
      </c>
      <c r="E32" s="43">
        <f>SUM(E4:E31)</f>
        <v>116550</v>
      </c>
      <c r="F32" s="44">
        <f>SUM(F4:F31)</f>
        <v>2600</v>
      </c>
      <c r="H32" s="95">
        <f>SUM(H4:H31)</f>
        <v>367200</v>
      </c>
      <c r="I32" s="45">
        <f>SUM(I7:I31)</f>
        <v>40700</v>
      </c>
      <c r="J32" s="95"/>
      <c r="K32" s="95">
        <f>SUM(K4:K31)</f>
        <v>323000</v>
      </c>
      <c r="L32" s="95">
        <f>SUM(L4:L31)</f>
        <v>315000</v>
      </c>
      <c r="N32" s="79">
        <f>SUM(N4:N31)</f>
        <v>7900</v>
      </c>
    </row>
    <row r="33" spans="3:6" x14ac:dyDescent="0.35">
      <c r="D33" s="99">
        <f>+D32*85</f>
        <v>102000</v>
      </c>
      <c r="F33" s="99">
        <f>+F32*85</f>
        <v>221000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367200</v>
      </c>
      <c r="E36" s="43">
        <f>+D36-H4-H5-H6</f>
        <v>339500</v>
      </c>
    </row>
    <row r="37" spans="3:6" x14ac:dyDescent="0.35">
      <c r="C37" s="47" t="s">
        <v>33</v>
      </c>
      <c r="D37" s="48">
        <f>D36*13%</f>
        <v>47736</v>
      </c>
      <c r="E37">
        <f>+D37-I4-I5-I6</f>
        <v>44136</v>
      </c>
    </row>
    <row r="38" spans="3:6" ht="15" thickBot="1" x14ac:dyDescent="0.4">
      <c r="C38" s="47" t="s">
        <v>30</v>
      </c>
      <c r="D38" s="30">
        <f>SUM(K4:K27)</f>
        <v>323000</v>
      </c>
    </row>
    <row r="39" spans="3:6" ht="15" thickBot="1" x14ac:dyDescent="0.4">
      <c r="C39" s="49" t="s">
        <v>4</v>
      </c>
      <c r="D39" s="80">
        <f>+D36-D37-D38</f>
        <v>-3536</v>
      </c>
      <c r="F39" s="98">
        <f>+N32-D39</f>
        <v>11436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-3536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03</v>
      </c>
      <c r="D2" s="268"/>
      <c r="E2" s="267">
        <f>DigitaHONDURAS!E2</f>
        <v>28</v>
      </c>
      <c r="F2" s="268"/>
      <c r="G2" s="267" t="str">
        <f>DigitaHONDURAS!G2</f>
        <v>04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30350</v>
      </c>
      <c r="D10" s="30">
        <f>IF(Vendedor7!$E$21="",0,Vendedor7!$E$21)</f>
        <v>0</v>
      </c>
      <c r="E10" s="180">
        <f>IF(Vendedor7!$C$22="",0,Vendedor7!$C$22)</f>
        <v>11300</v>
      </c>
      <c r="F10" s="30">
        <f>IF(Vendedor7!$E$22="",0,Vendedor7!$E$22)</f>
        <v>0</v>
      </c>
      <c r="G10" s="180">
        <f>IF(Vendedor7!$C$23="",0,Vendedor7!$C$23)</f>
        <v>17900</v>
      </c>
      <c r="H10" s="30">
        <f>IF(Vendedor7!$E$23="",0,Vendedor7!$E$23)</f>
        <v>0</v>
      </c>
      <c r="J10" s="42">
        <f t="shared" si="0"/>
        <v>59550</v>
      </c>
      <c r="K10" s="41">
        <f>MROUND(J10*Vendedor7!J$14,50)</f>
        <v>7150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52400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10450</v>
      </c>
      <c r="D12" s="30">
        <f>IF(Vendedor9!$E$21="",0,Vendedor9!$E$21)</f>
        <v>500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10450</v>
      </c>
      <c r="K12" s="41">
        <f>MROUND(J12*Vendedor9!J$14,50)</f>
        <v>1250</v>
      </c>
      <c r="L12" s="42">
        <f t="shared" ref="L12" si="5">+D12+F12+H12</f>
        <v>500</v>
      </c>
      <c r="M12" s="42">
        <f t="shared" si="3"/>
        <v>42500</v>
      </c>
      <c r="N12" s="42">
        <f>Vendedor9!$F$21+Vendedor9!$F$22+Vendedor9!$F$23</f>
        <v>42500</v>
      </c>
      <c r="P12" s="42">
        <f t="shared" ref="P12" si="6">+J12-K12-N12</f>
        <v>-33300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28350</v>
      </c>
      <c r="D17" s="30">
        <f>IF(Vendedor14!$E$21="",0,Vendedor14!$E$21)</f>
        <v>250</v>
      </c>
      <c r="E17" s="180">
        <f>IF(Vendedor14!$C$22="",0,Vendedor14!$C$22)</f>
        <v>14350</v>
      </c>
      <c r="F17" s="30">
        <f>IF(Vendedor14!$E$22="",0,Vendedor14!$E$22)</f>
        <v>50</v>
      </c>
      <c r="G17" s="180">
        <f>IF(Vendedor14!$C$23="",0,Vendedor14!$C$23)</f>
        <v>28200</v>
      </c>
      <c r="H17" s="30">
        <f>IF(Vendedor14!$E$23="",0,Vendedor14!$E$23)</f>
        <v>400</v>
      </c>
      <c r="J17" s="42">
        <f t="shared" si="0"/>
        <v>70900</v>
      </c>
      <c r="K17" s="41">
        <f>MROUND(J17*Vendedor14!J$15,50)</f>
        <v>8500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2900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11100</v>
      </c>
      <c r="D18" s="30">
        <f>IF(Vendedor15!$E$21="",0,Vendedor15!$E$21)</f>
        <v>1500</v>
      </c>
      <c r="E18" s="180">
        <f>IF(Vendedor15!$C$22="",0,Vendedor15!$C$22)</f>
        <v>10700</v>
      </c>
      <c r="F18" s="30">
        <f>IF(Vendedor15!$E$22="",0,Vendedor15!$E$22)</f>
        <v>200</v>
      </c>
      <c r="G18" s="180">
        <f>IF(Vendedor15!$C$23="",0,Vendedor15!$C$23)</f>
        <v>4000</v>
      </c>
      <c r="H18" s="30">
        <f>IF(Vendedor15!$E$23="",0,Vendedor15!$E$23)</f>
        <v>0</v>
      </c>
      <c r="J18" s="42">
        <f t="shared" si="0"/>
        <v>25800</v>
      </c>
      <c r="K18" s="41">
        <f>MROUND(J18*Vendedor15!J$15,50)</f>
        <v>3100</v>
      </c>
      <c r="L18" s="42">
        <f t="shared" si="1"/>
        <v>1700</v>
      </c>
      <c r="M18" s="42">
        <f t="shared" si="3"/>
        <v>144500</v>
      </c>
      <c r="N18" s="42">
        <f>Vendedor15!$F$21+Vendedor15!$F$22+Vendedor15!$F$23</f>
        <v>144500</v>
      </c>
      <c r="P18" s="42">
        <f t="shared" si="2"/>
        <v>-121800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80250</v>
      </c>
      <c r="D32" s="44">
        <f t="shared" si="8"/>
        <v>2250</v>
      </c>
      <c r="E32" s="43">
        <f t="shared" si="8"/>
        <v>36350</v>
      </c>
      <c r="F32" s="44">
        <f t="shared" si="8"/>
        <v>250</v>
      </c>
      <c r="G32" s="43">
        <f t="shared" si="8"/>
        <v>50100</v>
      </c>
      <c r="H32" s="44">
        <f t="shared" si="8"/>
        <v>400</v>
      </c>
      <c r="J32" s="95">
        <f>SUM(J4:J31)</f>
        <v>166700</v>
      </c>
      <c r="K32" s="45">
        <f>SUM(K7:K31)</f>
        <v>20000</v>
      </c>
      <c r="L32" s="95"/>
      <c r="M32" s="95">
        <f>SUM(M4:M31)</f>
        <v>246500</v>
      </c>
      <c r="N32" s="95">
        <f>SUM(N4:N31)</f>
        <v>246500</v>
      </c>
      <c r="P32" s="79">
        <f>SUM(P4:P31)</f>
        <v>-99800</v>
      </c>
    </row>
    <row r="33" spans="3:8" x14ac:dyDescent="0.35">
      <c r="D33" s="99">
        <f>+D32*85</f>
        <v>191250</v>
      </c>
      <c r="F33" s="99">
        <f>+F32*85</f>
        <v>21250</v>
      </c>
      <c r="H33" s="99">
        <f>+H32*85</f>
        <v>34000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166700</v>
      </c>
      <c r="E36" s="43">
        <f>+D36-J4-J5-J6</f>
        <v>166700</v>
      </c>
    </row>
    <row r="37" spans="3:8" x14ac:dyDescent="0.35">
      <c r="C37" s="47" t="s">
        <v>33</v>
      </c>
      <c r="D37" s="48">
        <f>D36*13%</f>
        <v>21671</v>
      </c>
      <c r="E37">
        <f>+D37-K4-K5-K6</f>
        <v>21671</v>
      </c>
    </row>
    <row r="38" spans="3:8" ht="15" thickBot="1" x14ac:dyDescent="0.4">
      <c r="C38" s="47" t="s">
        <v>30</v>
      </c>
      <c r="D38" s="30">
        <f>SUM(M4:M27)</f>
        <v>246500</v>
      </c>
      <c r="G38" s="100"/>
    </row>
    <row r="39" spans="3:8" ht="15" thickBot="1" x14ac:dyDescent="0.4">
      <c r="C39" s="49" t="s">
        <v>4</v>
      </c>
      <c r="D39" s="80">
        <f>+D36-D37-D38</f>
        <v>-101471</v>
      </c>
      <c r="F39" s="98">
        <f>+P32-D39</f>
        <v>1671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-101471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69</v>
      </c>
      <c r="D2" s="268"/>
      <c r="E2" s="267">
        <f>DigitaDOMINICANA!E2</f>
        <v>49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8000</v>
      </c>
      <c r="D10" s="30">
        <f>IF(Vendedor7!$E$24="",0,Vendedor7!$E$24)</f>
        <v>0</v>
      </c>
      <c r="E10" s="180">
        <f>IF(Vendedor7!$C$25="",0,Vendedor7!$C$25)</f>
        <v>21000</v>
      </c>
      <c r="F10" s="30">
        <f>IF(Vendedor7!$E$25="",0,Vendedor7!$E$25)</f>
        <v>0</v>
      </c>
      <c r="H10" s="42">
        <f t="shared" si="1"/>
        <v>29000</v>
      </c>
      <c r="I10" s="41">
        <f>MROUND(H10*Vendedor7!J$14,50)</f>
        <v>3500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25500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8000</v>
      </c>
      <c r="D32" s="44">
        <f>SUM(D4:D31)</f>
        <v>0</v>
      </c>
      <c r="E32" s="43">
        <f>SUM(E4:E31)</f>
        <v>21000</v>
      </c>
      <c r="F32" s="44">
        <f>SUM(F4:F31)</f>
        <v>0</v>
      </c>
      <c r="H32" s="95">
        <f>SUM(H4:H31)</f>
        <v>29000</v>
      </c>
      <c r="I32" s="45">
        <f>SUM(I7:I31)</f>
        <v>3500</v>
      </c>
      <c r="J32" s="95"/>
      <c r="K32" s="95">
        <f>SUM(K4:K31)</f>
        <v>0</v>
      </c>
      <c r="L32" s="95">
        <f>SUM(L4:L31)</f>
        <v>0</v>
      </c>
      <c r="N32" s="79">
        <f>SUM(N4:N31)</f>
        <v>25500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29000</v>
      </c>
      <c r="E36" s="43">
        <f>+D36-H4-H5-H6</f>
        <v>29000</v>
      </c>
    </row>
    <row r="37" spans="3:6" x14ac:dyDescent="0.35">
      <c r="C37" s="47" t="s">
        <v>33</v>
      </c>
      <c r="D37" s="48">
        <f>D36*13%</f>
        <v>3770</v>
      </c>
      <c r="E37">
        <f>+D37-I4-I5-I6</f>
        <v>3770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25230</v>
      </c>
      <c r="F39" s="98">
        <f>+N32-D39</f>
        <v>270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25230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1372480</v>
      </c>
      <c r="C4" s="157">
        <f>HojaNICA!M32</f>
        <v>164700</v>
      </c>
      <c r="D4" s="150">
        <f>HojaNICA!E37</f>
        <v>178447.9</v>
      </c>
      <c r="E4" s="150">
        <f>HojaNICA!P32</f>
        <v>1922750</v>
      </c>
      <c r="F4" s="150">
        <f>HojaNICA!O32</f>
        <v>1938000</v>
      </c>
      <c r="G4" s="151">
        <f t="shared" ref="G4:G10" si="0">+D4-C4+F4-E4</f>
        <v>28997.899999999907</v>
      </c>
      <c r="H4" s="21"/>
      <c r="I4" s="182"/>
    </row>
    <row r="5" spans="1:9" x14ac:dyDescent="0.35">
      <c r="A5" s="28" t="s">
        <v>19</v>
      </c>
      <c r="B5" s="156">
        <f>HojaTICA!$E$36</f>
        <v>1733250</v>
      </c>
      <c r="C5" s="157">
        <f>HojaTICA!K32</f>
        <v>211750</v>
      </c>
      <c r="D5" s="150">
        <f>HojaTICA!E37</f>
        <v>225353</v>
      </c>
      <c r="E5" s="150">
        <f>HojaTICA!N32</f>
        <v>1808250</v>
      </c>
      <c r="F5" s="150">
        <f>HojaTICA!D38</f>
        <v>1823250</v>
      </c>
      <c r="G5" s="151">
        <f t="shared" si="0"/>
        <v>28603</v>
      </c>
      <c r="H5" s="21"/>
      <c r="I5" s="182"/>
    </row>
    <row r="6" spans="1:9" x14ac:dyDescent="0.35">
      <c r="A6" s="28" t="s">
        <v>125</v>
      </c>
      <c r="B6" s="156">
        <f>HojaREVENTADO!$E$37</f>
        <v>206900</v>
      </c>
      <c r="C6" s="157">
        <f>HojaREVENTADO!K33</f>
        <v>20690</v>
      </c>
      <c r="D6" s="150">
        <f>HojaREVENTADO!E38</f>
        <v>20690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339500</v>
      </c>
      <c r="C7" s="157">
        <f>HojaPrimera!I32</f>
        <v>40700</v>
      </c>
      <c r="D7" s="150">
        <f>HojaPrimera!E37</f>
        <v>44136</v>
      </c>
      <c r="E7" s="150">
        <f>HojaPrimera!L32</f>
        <v>315000</v>
      </c>
      <c r="F7" s="150">
        <f>HojaPrimera!K32</f>
        <v>323000</v>
      </c>
      <c r="G7" s="151">
        <f t="shared" si="0"/>
        <v>11436</v>
      </c>
      <c r="H7" s="21"/>
      <c r="I7" s="21"/>
    </row>
    <row r="8" spans="1:9" x14ac:dyDescent="0.35">
      <c r="A8" s="28" t="s">
        <v>104</v>
      </c>
      <c r="B8" s="156">
        <f>HojaHonduras!$E$36</f>
        <v>166700</v>
      </c>
      <c r="C8" s="157">
        <f>HojaHonduras!K32</f>
        <v>20000</v>
      </c>
      <c r="D8" s="150">
        <f>HojaHonduras!E37</f>
        <v>21671</v>
      </c>
      <c r="E8" s="150">
        <f>HojaHonduras!N32</f>
        <v>246500</v>
      </c>
      <c r="F8" s="150">
        <f>HojaHonduras!M32</f>
        <v>246500</v>
      </c>
      <c r="G8" s="151">
        <f t="shared" si="0"/>
        <v>1671</v>
      </c>
      <c r="H8" s="21"/>
      <c r="I8" s="21"/>
    </row>
    <row r="9" spans="1:9" x14ac:dyDescent="0.35">
      <c r="A9" s="28" t="s">
        <v>20</v>
      </c>
      <c r="B9" s="156">
        <f>HojaDominicana!$E$36</f>
        <v>29000</v>
      </c>
      <c r="C9" s="157">
        <f>HojaDominicana!I32</f>
        <v>3500</v>
      </c>
      <c r="D9" s="150">
        <f>HojaDominicana!E37</f>
        <v>3770</v>
      </c>
      <c r="E9" s="150">
        <f>HojaDominicana!L32</f>
        <v>0</v>
      </c>
      <c r="F9" s="150">
        <f>HojaDominicana!K32</f>
        <v>0</v>
      </c>
      <c r="G9" s="151">
        <f t="shared" si="0"/>
        <v>270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3847830</v>
      </c>
      <c r="C11" s="175">
        <f>SUM(C4:C10)</f>
        <v>461340</v>
      </c>
      <c r="D11" s="175">
        <f t="shared" ref="D11:F11" si="1">SUM(D4:D10)</f>
        <v>494067.9</v>
      </c>
      <c r="E11" s="175">
        <f t="shared" si="1"/>
        <v>4292500</v>
      </c>
      <c r="F11" s="175">
        <f t="shared" si="1"/>
        <v>4330750</v>
      </c>
      <c r="G11" s="176">
        <f>SUM(G4:G10)</f>
        <v>70977.899999999907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50977.899999999907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309300</v>
      </c>
      <c r="E16" s="157">
        <f>+Vendedor1!D21</f>
        <v>40209</v>
      </c>
      <c r="F16" s="158">
        <f>IF(D16&lt;&gt;0,15000,0)</f>
        <v>15000</v>
      </c>
      <c r="G16" s="151">
        <f>+E16-F16</f>
        <v>25209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244600</v>
      </c>
      <c r="E17" s="157">
        <f>+Vendedor2!D21</f>
        <v>31798</v>
      </c>
      <c r="F17" s="158">
        <f>IF(D17&lt;&gt;0,15000,0)</f>
        <v>15000</v>
      </c>
      <c r="G17" s="151">
        <f>+E17-F17</f>
        <v>16798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553900</v>
      </c>
      <c r="E19" s="159">
        <f>SUM(E16:E18)</f>
        <v>72007</v>
      </c>
      <c r="F19" s="160">
        <f>SUM(F16:F18)</f>
        <v>30000</v>
      </c>
      <c r="G19" s="161">
        <f>SUM(G16:G18)</f>
        <v>42007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92984.899999999907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K4">
        <v>-5005539.76</v>
      </c>
      <c r="L4" s="154"/>
    </row>
    <row r="5" spans="1:15" ht="21" x14ac:dyDescent="0.5">
      <c r="A5" s="47" t="s">
        <v>37</v>
      </c>
      <c r="B5" s="150">
        <f>HojaNICA!D36</f>
        <v>1478830</v>
      </c>
      <c r="C5" s="150">
        <f>HojaNICA!D37</f>
        <v>192247.9</v>
      </c>
      <c r="D5" s="150">
        <f>HojaNICA!D38</f>
        <v>1938000</v>
      </c>
      <c r="E5" s="150"/>
      <c r="F5" s="151">
        <f>+B5-C5-D5+E5</f>
        <v>-651417.89999999991</v>
      </c>
      <c r="H5" s="249" t="s">
        <v>105</v>
      </c>
      <c r="I5" s="243">
        <f ca="1">TODAY()-1</f>
        <v>46178</v>
      </c>
      <c r="K5">
        <v>2852185.24</v>
      </c>
      <c r="O5" s="119"/>
    </row>
    <row r="6" spans="1:15" ht="15" thickBot="1" x14ac:dyDescent="0.4">
      <c r="A6" s="47" t="s">
        <v>36</v>
      </c>
      <c r="B6" s="150">
        <f>HojaTICA!D36</f>
        <v>2153100</v>
      </c>
      <c r="C6" s="150">
        <f>HojaTICA!D37</f>
        <v>279903</v>
      </c>
      <c r="D6" s="150">
        <f>HojaTICA!D38</f>
        <v>1823250</v>
      </c>
      <c r="E6" s="150"/>
      <c r="F6" s="151">
        <f t="shared" ref="F6:F11" si="0">+B6-C6-D6+E6</f>
        <v>49947</v>
      </c>
      <c r="H6" s="256">
        <v>0</v>
      </c>
      <c r="K6">
        <v>1705474.5</v>
      </c>
    </row>
    <row r="7" spans="1:15" ht="15" thickBot="1" x14ac:dyDescent="0.4">
      <c r="A7" s="47" t="s">
        <v>38</v>
      </c>
      <c r="B7" s="150">
        <f>HojaREVENTADO!D37</f>
        <v>206900</v>
      </c>
      <c r="C7" s="150">
        <f>HojaREVENTADO!D38</f>
        <v>20690</v>
      </c>
      <c r="D7" s="150">
        <f>HojaREVENTADO!D39</f>
        <v>0</v>
      </c>
      <c r="E7" s="150"/>
      <c r="F7" s="151">
        <f t="shared" si="0"/>
        <v>186210</v>
      </c>
      <c r="K7">
        <v>1869880.48</v>
      </c>
    </row>
    <row r="8" spans="1:15" x14ac:dyDescent="0.35">
      <c r="A8" s="47" t="s">
        <v>96</v>
      </c>
      <c r="B8" s="150">
        <f>HojaPrimera!$D36</f>
        <v>367200</v>
      </c>
      <c r="C8" s="150">
        <f>HojaPrimera!$D37</f>
        <v>47736</v>
      </c>
      <c r="D8" s="150">
        <f>HojaPrimera!$D38</f>
        <v>323000</v>
      </c>
      <c r="E8" s="150"/>
      <c r="F8" s="151">
        <f t="shared" si="0"/>
        <v>-3536</v>
      </c>
      <c r="H8" s="249" t="s">
        <v>153</v>
      </c>
      <c r="K8">
        <f>SUM(K4:K7)</f>
        <v>1422000.4600000004</v>
      </c>
    </row>
    <row r="9" spans="1:15" ht="15" thickBot="1" x14ac:dyDescent="0.4">
      <c r="A9" s="47" t="s">
        <v>104</v>
      </c>
      <c r="B9" s="150">
        <f>HojaHonduras!$D36</f>
        <v>166700</v>
      </c>
      <c r="C9" s="150">
        <f>HojaHonduras!$D37</f>
        <v>21671</v>
      </c>
      <c r="D9" s="150">
        <f>HojaHonduras!$D38</f>
        <v>246500</v>
      </c>
      <c r="E9" s="150"/>
      <c r="F9" s="151">
        <f t="shared" si="0"/>
        <v>-101471</v>
      </c>
      <c r="H9" s="250">
        <f>+K12-K10-H6</f>
        <v>-495037.90000000037</v>
      </c>
    </row>
    <row r="10" spans="1:15" ht="15" thickBot="1" x14ac:dyDescent="0.4">
      <c r="A10" s="47" t="s">
        <v>20</v>
      </c>
      <c r="B10" s="150">
        <f>HojaDominicana!$D36</f>
        <v>29000</v>
      </c>
      <c r="C10" s="150">
        <f>HojaDominicana!$D37</f>
        <v>3770</v>
      </c>
      <c r="D10" s="150">
        <f>HojaDominicana!$D38</f>
        <v>0</v>
      </c>
      <c r="E10" s="150"/>
      <c r="F10" s="151">
        <f t="shared" si="0"/>
        <v>25230</v>
      </c>
      <c r="H10" s="154"/>
      <c r="J10" t="s">
        <v>148</v>
      </c>
      <c r="K10" s="252">
        <v>1422000.4600000004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926962.56000000052</v>
      </c>
    </row>
    <row r="12" spans="1:15" ht="16" thickBot="1" x14ac:dyDescent="0.4">
      <c r="A12" s="144" t="s">
        <v>5</v>
      </c>
      <c r="B12" s="152">
        <f>SUM(B5:B11)</f>
        <v>4401730</v>
      </c>
      <c r="C12" s="152">
        <f>SUM(C5:C11)</f>
        <v>566017.9</v>
      </c>
      <c r="D12" s="152">
        <f>SUM(D5:D11)</f>
        <v>4330750</v>
      </c>
      <c r="E12" s="152"/>
      <c r="F12" s="255">
        <f>SUM(F5:F11)</f>
        <v>-495037.89999999991</v>
      </c>
      <c r="H12" s="251">
        <f>+K11</f>
        <v>926962.56000000052</v>
      </c>
      <c r="J12" t="s">
        <v>140</v>
      </c>
      <c r="K12" s="254">
        <f>-4955592.76+2200767.34+1891684.5+1790103.48</f>
        <v>926962.56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221250</v>
      </c>
      <c r="K4" s="231">
        <f t="shared" ref="K4" si="0">D7+D11+D15</f>
        <v>28762.5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IF(DigitaNICA!C4&lt;&gt;"",DigitaNICA!C4,"")</f>
        <v>34900</v>
      </c>
      <c r="D5" s="42">
        <f>IF(C5="",0,C5*J$10)</f>
        <v>4537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10363</v>
      </c>
      <c r="I5" s="241" t="s">
        <v>37</v>
      </c>
      <c r="J5" s="221">
        <f>SUM(IF(C5="",0,C5),IF(C9="",0,C9),IF(C13="",0,C13),IF(C17="",0,C17))</f>
        <v>62350</v>
      </c>
      <c r="K5" s="225">
        <f t="shared" ref="K5" si="2">D5+D9+D13+D17</f>
        <v>8105.5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25700</v>
      </c>
      <c r="K6" s="228">
        <f>D19+D20</f>
        <v>3341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IF(DigitaTICA!C4&lt;&gt;"",DigitaTICA!C4,"")</f>
        <v>75400</v>
      </c>
      <c r="D7" s="42">
        <f>IF(C7="",0,C7*J$9)</f>
        <v>9802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31598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IF(DigitaNICA!E4&lt;&gt;"",DigitaNICA!E4,"")</f>
        <v>17500</v>
      </c>
      <c r="D9" s="42">
        <f>IF(C9="",0,C9*J$10)</f>
        <v>2275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15225</v>
      </c>
      <c r="I9" s="76" t="s">
        <v>36</v>
      </c>
      <c r="J9" s="77">
        <v>0.13</v>
      </c>
      <c r="K9" s="78">
        <f>MROUND(D7+D11+D15,50)</f>
        <v>28750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8100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IF(DigitaTICA!E4&lt;&gt;"",DigitaTICA!E4,"")</f>
        <v>61200</v>
      </c>
      <c r="D11" s="42">
        <f>IF(C11="",0,C11*J$9)</f>
        <v>7956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53244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3350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IF(DigitaNICA!G4&lt;&gt;"",DigitaNICA!G4,"")</f>
        <v>6200</v>
      </c>
      <c r="D13" s="42">
        <f>IF(C13="",0,C13*J$10)</f>
        <v>806</v>
      </c>
      <c r="E13" s="29">
        <f>IF(DigitaNICA!H4&lt;&gt;"",DigitaNICA!H4,"")</f>
        <v>250</v>
      </c>
      <c r="F13" s="42">
        <f>IF(E13="",0,E13*PREMIOS!E13)</f>
        <v>20000</v>
      </c>
      <c r="G13" s="30">
        <f>IF(OR(C13="",E13=""),0,C13-D13-F13)</f>
        <v>-14606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IF(DigitaTICA!G4&lt;&gt;"",DigitaTICA!G4,"")</f>
        <v>84650</v>
      </c>
      <c r="D15" s="42">
        <f>IF(C15="",0,C15*J$9)</f>
        <v>11004.5</v>
      </c>
      <c r="E15" s="29">
        <f>IF(DigitaTICA!H4&lt;&gt;"",DigitaTICA!H4,"")</f>
        <v>450</v>
      </c>
      <c r="F15" s="42">
        <f>IF(E15="",0,E15*PREMIOS!F15)</f>
        <v>38250</v>
      </c>
      <c r="G15" s="30">
        <f t="shared" si="3"/>
        <v>35395.5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IF(DigitaNICA!I4&lt;&gt;"",DigitaNICA!I4,"")</f>
        <v>3750</v>
      </c>
      <c r="D17" s="42">
        <f>IF(C17="",0,C17*J$10)</f>
        <v>487.5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3262.5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IF(DigitaPRIMERA!C4&lt;&gt;"",DigitaPRIMERA!C4,"")</f>
        <v>21900</v>
      </c>
      <c r="D19" s="42">
        <f>IF(C19="",0,C19*J$12)</f>
        <v>2847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19053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>
        <f>IF(DigitaPRIMERA!E4&lt;&gt;"",DigitaPRIMERA!E4,"")</f>
        <v>3800</v>
      </c>
      <c r="D20" s="42">
        <f>IF(C20="",0,C20*J$12)</f>
        <v>494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3306</v>
      </c>
    </row>
    <row r="21" spans="1:7" ht="15" thickBot="1" x14ac:dyDescent="0.4">
      <c r="A21" s="121" t="s">
        <v>5</v>
      </c>
      <c r="B21" s="128"/>
      <c r="C21" s="122">
        <f>SUM(C5:C20)</f>
        <v>309300</v>
      </c>
      <c r="D21" s="122">
        <f t="shared" ref="D21:G21" si="6">SUM(D5:D20)</f>
        <v>40209</v>
      </c>
      <c r="E21" s="122">
        <f t="shared" si="6"/>
        <v>1350</v>
      </c>
      <c r="F21" s="122">
        <f t="shared" si="6"/>
        <v>112250</v>
      </c>
      <c r="G21" s="123">
        <f t="shared" si="6"/>
        <v>156841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198600</v>
      </c>
      <c r="K4" s="231">
        <f t="shared" ref="K4" si="0">D7+D11+D15</f>
        <v>25818</v>
      </c>
      <c r="L4" s="220">
        <f>F7+F11+F15</f>
        <v>420750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IF(DigitaNICA!C5&lt;&gt;"",DigitaNICA!C5,"")</f>
        <v>17800</v>
      </c>
      <c r="D5" s="42">
        <f>IF(C5="",0,C5*J$10)</f>
        <v>2314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15486</v>
      </c>
      <c r="I5" s="241" t="s">
        <v>37</v>
      </c>
      <c r="J5" s="221">
        <f>SUM(IF(C5="",0,C5),IF(C9="",0,C9),IF(C13="",0,C13),IF(C17="",0,C17))</f>
        <v>44000</v>
      </c>
      <c r="K5" s="225">
        <f t="shared" ref="K5" si="2">D5+D9+D13+D17</f>
        <v>5720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2000</v>
      </c>
      <c r="K6" s="228">
        <f>D19+D20</f>
        <v>260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IF(DigitaTICA!C5&lt;&gt;"",DigitaTICA!C5,"")</f>
        <v>51150</v>
      </c>
      <c r="D7" s="42">
        <f>IF(C7="",0,C7*J$9)</f>
        <v>6649.5</v>
      </c>
      <c r="E7" s="29">
        <f>IF(DigitaTICA!D5&lt;&gt;"",DigitaTICA!D5,"")</f>
        <v>2900</v>
      </c>
      <c r="F7" s="42">
        <f>IF(E7="",0,E7*PREMIOS!F7)</f>
        <v>246500</v>
      </c>
      <c r="G7" s="30">
        <f t="shared" si="1"/>
        <v>-201999.5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IF(DigitaNICA!E5&lt;&gt;"",DigitaNICA!E5,"")</f>
        <v>13000</v>
      </c>
      <c r="D9" s="42">
        <f>IF(C9="",0,C9*J$10)</f>
        <v>1690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11310</v>
      </c>
      <c r="I9" s="60" t="s">
        <v>36</v>
      </c>
      <c r="J9" s="61">
        <v>0.13</v>
      </c>
      <c r="K9" s="62">
        <f>MROUND(D7+D11+D15,50)</f>
        <v>25800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IF(DigitaTICA!E5&lt;&gt;"",DigitaTICA!E5,"")</f>
        <v>62650</v>
      </c>
      <c r="D11" s="42">
        <f>IF(C11="",0,C11*J$9)</f>
        <v>8144.5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54505.5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IF(DigitaNICA!G5&lt;&gt;"",DigitaNICA!G5,"")</f>
        <v>2600</v>
      </c>
      <c r="D13" s="42">
        <f>IF(C13="",0,C13*J$10)</f>
        <v>338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2262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IF(DigitaTICA!G5&lt;&gt;"",DigitaTICA!G5,"")</f>
        <v>84800</v>
      </c>
      <c r="D15" s="42">
        <f>IF(C15="",0,C15*J$9)</f>
        <v>11024</v>
      </c>
      <c r="E15" s="29">
        <f>IF(DigitaTICA!H5&lt;&gt;"",DigitaTICA!H5,"")</f>
        <v>2050</v>
      </c>
      <c r="F15" s="42">
        <f>IF(E15="",0,E15*PREMIOS!F15)</f>
        <v>174250</v>
      </c>
      <c r="G15" s="30">
        <f t="shared" si="3"/>
        <v>-100474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IF(DigitaNICA!I5&lt;&gt;"",DigitaNICA!I5,"")</f>
        <v>10600</v>
      </c>
      <c r="D17" s="42">
        <f>IF(C17="",0,C17*J$10)</f>
        <v>1378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9222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244600</v>
      </c>
      <c r="D21" s="68">
        <f t="shared" ref="D21:G21" si="4">SUM(D5:D20)</f>
        <v>31798</v>
      </c>
      <c r="E21" s="68">
        <f t="shared" si="4"/>
        <v>4950</v>
      </c>
      <c r="F21" s="68">
        <f t="shared" si="4"/>
        <v>420750</v>
      </c>
      <c r="G21" s="88">
        <f t="shared" si="4"/>
        <v>-207948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240500</v>
      </c>
      <c r="K4" s="231">
        <f t="shared" ref="K4" si="0">D7+D11+D15</f>
        <v>28860</v>
      </c>
      <c r="L4" s="220">
        <f>F7+F11+F15</f>
        <v>382500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IF(DigitaNICA!C8&lt;&gt;"",DigitaNICA!C8,"")</f>
        <v>83500</v>
      </c>
      <c r="D5" s="42">
        <f>IF(C5="",0,C5*J$12)</f>
        <v>10020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65480</v>
      </c>
      <c r="I5" s="241" t="s">
        <v>37</v>
      </c>
      <c r="J5" s="221">
        <f>SUM(IF(C5="",0,C5),IF(C9="",0,C9),IF(C13="",0,C13),IF(C17="",0,C17))</f>
        <v>241700</v>
      </c>
      <c r="K5" s="225">
        <f t="shared" ref="K5" si="2">D5+D9+D13+D17</f>
        <v>29004</v>
      </c>
      <c r="L5" s="222">
        <f>F5+F9+F13+F17</f>
        <v>180000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IF(DigitaTICA!C8&lt;&gt;"",DigitaTICA!C8,"")</f>
        <v>69900</v>
      </c>
      <c r="D7" s="42">
        <f>IF(C7="",0,C7*J$11)</f>
        <v>8388</v>
      </c>
      <c r="E7" s="29">
        <f>IF(DigitaTICA!D8&lt;&gt;"",DigitaTICA!D8,"")</f>
        <v>2350</v>
      </c>
      <c r="F7" s="42">
        <f>IF(E7="",0,E7*PREMIOS!F7)</f>
        <v>199750</v>
      </c>
      <c r="G7" s="30">
        <f t="shared" si="1"/>
        <v>-138238</v>
      </c>
      <c r="I7" s="242" t="s">
        <v>96</v>
      </c>
      <c r="J7" s="224">
        <f>SUM(IF(C19="",0,C19),IF(C20="",0,C20))</f>
        <v>73900</v>
      </c>
      <c r="K7" s="228">
        <f>+D19+D20</f>
        <v>8868</v>
      </c>
      <c r="L7" s="229">
        <f>+F19+F20</f>
        <v>128000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IF(DigitaNICA!E8&lt;&gt;"",DigitaNICA!E8,"")</f>
        <v>68650</v>
      </c>
      <c r="D9" s="42">
        <f>IF(C9="",0,C9*J$12)</f>
        <v>8238</v>
      </c>
      <c r="E9" s="29">
        <f>IF(DigitaNICA!F8&lt;&gt;"",DigitaNICA!F8,"")</f>
        <v>2150</v>
      </c>
      <c r="F9" s="42">
        <f>IF(E9="",0,E9*PREMIOS!E9)</f>
        <v>172000</v>
      </c>
      <c r="G9" s="30">
        <f t="shared" si="1"/>
        <v>-111588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IF(DigitaTICA!E8&lt;&gt;"",DigitaTICA!E8,"")</f>
        <v>76600</v>
      </c>
      <c r="D11" s="42">
        <f>IF(C11="",0,C11*J$11)</f>
        <v>9192</v>
      </c>
      <c r="E11" s="29">
        <f>IF(DigitaTICA!F8&lt;&gt;"",DigitaTICA!F8,"")</f>
        <v>1550</v>
      </c>
      <c r="F11" s="42">
        <f>IF(E11="",0,E11*PREMIOS!F11)</f>
        <v>131750</v>
      </c>
      <c r="G11" s="30">
        <f t="shared" si="1"/>
        <v>-64342</v>
      </c>
      <c r="I11" s="60" t="s">
        <v>36</v>
      </c>
      <c r="J11" s="61">
        <v>0.12</v>
      </c>
      <c r="K11" s="62">
        <f>MROUND(D7+D11+D15,50)</f>
        <v>28850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29000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IF(DigitaNICA!G8&lt;&gt;"",DigitaNICA!G8,"")</f>
        <v>38850</v>
      </c>
      <c r="D13" s="42">
        <f>IF(C13="",0,C13*J$12)</f>
        <v>4662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34188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8850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IF(DigitaTICA!G8&lt;&gt;"",DigitaTICA!G8,"")</f>
        <v>94000</v>
      </c>
      <c r="D15" s="42">
        <f>IF(C15="",0,C15*J$11)</f>
        <v>11280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31720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IF(DigitaNICA!I8&lt;&gt;"",DigitaNICA!I8,"")</f>
        <v>50700</v>
      </c>
      <c r="D17" s="42">
        <f>IF(C17="",0,C17*J$12)</f>
        <v>6084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44616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IF(DigitaPRIMERA!C8&lt;&gt;"",DigitaPRIMERA!C8,"")</f>
        <v>41350</v>
      </c>
      <c r="D19" s="42">
        <f>IF(C19="",0,C19*J$14)</f>
        <v>4962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-43612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>
        <f>IF(DigitaPRIMERA!E8&lt;&gt;"",DigitaPRIMERA!E8,"")</f>
        <v>32550</v>
      </c>
      <c r="D20" s="42">
        <f>IF(C20="",0,C20*J$14)</f>
        <v>3906</v>
      </c>
      <c r="E20" s="29">
        <f>IF(DigitaPRIMERA!F8&lt;&gt;"",DigitaPRIMERA!F8,"")</f>
        <v>600</v>
      </c>
      <c r="F20" s="42">
        <f>IF(E20="",0,E20*PREMIOS!E19)</f>
        <v>48000</v>
      </c>
      <c r="G20" s="30">
        <f t="shared" si="4"/>
        <v>-19356</v>
      </c>
    </row>
    <row r="21" spans="1:7" ht="15" thickBot="1" x14ac:dyDescent="0.4">
      <c r="A21" s="121" t="s">
        <v>5</v>
      </c>
      <c r="B21" s="128"/>
      <c r="C21" s="122">
        <f>SUM(C5:C20)</f>
        <v>556100</v>
      </c>
      <c r="D21" s="122">
        <f t="shared" ref="D21:G21" si="5">SUM(D5:D20)</f>
        <v>66732</v>
      </c>
      <c r="E21" s="122">
        <f t="shared" si="5"/>
        <v>8350</v>
      </c>
      <c r="F21" s="122">
        <f t="shared" si="5"/>
        <v>690500</v>
      </c>
      <c r="G21" s="123">
        <f t="shared" si="5"/>
        <v>-201132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506550</v>
      </c>
      <c r="K4" s="231">
        <f t="shared" ref="K4" si="0">D7+D11+D15</f>
        <v>60786</v>
      </c>
      <c r="L4" s="220">
        <f>F7+F11+F15</f>
        <v>365500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IF(DigitaNICA!C10&lt;&gt;"",DigitaNICA!C10,"")</f>
        <v>90350</v>
      </c>
      <c r="D5" s="42">
        <f>IF(C5="",0,C5*J$15)</f>
        <v>10842</v>
      </c>
      <c r="E5" s="29">
        <f>IF(DigitaNICA!D10&lt;&gt;"",DigitaNICA!D10,"")</f>
        <v>350</v>
      </c>
      <c r="F5" s="42">
        <f>IF(E5="",0,E5*PREMIOS!F5)</f>
        <v>29750</v>
      </c>
      <c r="G5" s="30">
        <f t="shared" ref="G5:G12" si="1">IF(OR(C5="",E5=""),0,C5-D5-F5)</f>
        <v>49758</v>
      </c>
      <c r="I5" s="217" t="s">
        <v>37</v>
      </c>
      <c r="J5" s="221">
        <f>SUM(IF(C5="",0,C5),IF(C9="",0,C9),IF(C13="",0,C13),IF(C17="",0,C17))</f>
        <v>396980</v>
      </c>
      <c r="K5" s="225">
        <f t="shared" ref="K5" si="2">D5+D9+D13+D17</f>
        <v>47637.599999999999</v>
      </c>
      <c r="L5" s="222">
        <f>F5+F9+F13+F17</f>
        <v>1389750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90150</v>
      </c>
      <c r="K6" s="226">
        <f t="shared" ref="K6" si="3">+D8+D12+D16</f>
        <v>9015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IF(DigitaTICA!C10&lt;&gt;"",DigitaTICA!C10,"")</f>
        <v>148550</v>
      </c>
      <c r="D7" s="42">
        <f>IF(C7="",0,C7*J$14)</f>
        <v>17826</v>
      </c>
      <c r="E7" s="29">
        <f>IF(DigitaTICA!D10&lt;&gt;"",DigitaTICA!D10,"")</f>
        <v>3850</v>
      </c>
      <c r="F7" s="42">
        <f>IF(E7="",0,E7*PREMIOS!F7)</f>
        <v>327250</v>
      </c>
      <c r="G7" s="30">
        <f t="shared" si="1"/>
        <v>-196526</v>
      </c>
      <c r="I7" s="217" t="s">
        <v>96</v>
      </c>
      <c r="J7" s="223">
        <f>SUM(IF(C19="",0,C19),IF(C20="",0,C20))</f>
        <v>52450</v>
      </c>
      <c r="K7" s="226">
        <f>+D19+D20</f>
        <v>6294</v>
      </c>
      <c r="L7" s="227">
        <f>+F19+F20</f>
        <v>127500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41000</v>
      </c>
      <c r="D8" s="42">
        <f>IF(C8="",0,C8*J$16)</f>
        <v>4100</v>
      </c>
      <c r="E8" s="29">
        <f>IF(DigitaREVENTADO!D10&lt;&gt;"",DigitaREVENTADO!D10,"")</f>
        <v>1900</v>
      </c>
      <c r="F8" s="42">
        <f>IF(E8="",0,E8*PREMIOS!F8)</f>
        <v>0</v>
      </c>
      <c r="G8" s="30">
        <f t="shared" si="1"/>
        <v>36900</v>
      </c>
      <c r="I8" s="217" t="s">
        <v>104</v>
      </c>
      <c r="J8" s="223">
        <f>SUM(IF(C21="",0,C21),IF(C22="",0,C22),IF(C23="",0,C23))</f>
        <v>59550</v>
      </c>
      <c r="K8" s="226">
        <f t="shared" ref="K8" si="4">D21+D22+D23</f>
        <v>7146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IF(DigitaNICA!E10&lt;&gt;"",DigitaNICA!E10,"")</f>
        <v>160400</v>
      </c>
      <c r="D9" s="42">
        <f>IF(C9="",0,C9*J$15)</f>
        <v>19248</v>
      </c>
      <c r="E9" s="29">
        <f>IF(DigitaNICA!F10&lt;&gt;"",DigitaNICA!F10,"")</f>
        <v>16000</v>
      </c>
      <c r="F9" s="42">
        <f>IF(E9="",0,E9*PREMIOS!F9)</f>
        <v>1360000</v>
      </c>
      <c r="G9" s="30">
        <f t="shared" si="1"/>
        <v>-1218848</v>
      </c>
      <c r="I9" s="217" t="s">
        <v>20</v>
      </c>
      <c r="J9" s="223">
        <f>SUM(IF(C24="",0,C24),IF(C25="",0,C25))</f>
        <v>29000</v>
      </c>
      <c r="K9" s="226">
        <f t="shared" ref="K9" si="5">+D24+D25</f>
        <v>3480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IF(DigitaTICA!E10&lt;&gt;"",DigitaTICA!E10,"")</f>
        <v>195050</v>
      </c>
      <c r="D11" s="42">
        <f>IF(C11="",0,C11*J$14)</f>
        <v>23406</v>
      </c>
      <c r="E11" s="29">
        <f>IF(DigitaTICA!F10&lt;&gt;"",DigitaTICA!F10,"")</f>
        <v>150</v>
      </c>
      <c r="F11" s="42">
        <f>IF(E11="",0,E11*PREMIOS!F11)</f>
        <v>12750</v>
      </c>
      <c r="G11" s="30">
        <f t="shared" si="1"/>
        <v>158894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19750</v>
      </c>
      <c r="D12" s="42">
        <f>IF(C12="",0,C12*J$16)</f>
        <v>1975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17775</v>
      </c>
    </row>
    <row r="13" spans="1:12" ht="15" thickBot="1" x14ac:dyDescent="0.4">
      <c r="A13" s="28" t="s">
        <v>50</v>
      </c>
      <c r="B13" s="132">
        <f>IF(DigitaNICA!G2&lt;&gt;"",DigitaNICA!G2,"")</f>
        <v>95</v>
      </c>
      <c r="C13" s="29">
        <f>IF(DigitaNICA!G10&lt;&gt;"",DigitaNICA!G10,"")</f>
        <v>59630</v>
      </c>
      <c r="D13" s="42">
        <f>IF(C13="",0,C13*J$15)</f>
        <v>7155.5999999999995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52474.400000000001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60800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IF(DigitaTICA!G10&lt;&gt;"",DigitaTICA!G10,"")</f>
        <v>162950</v>
      </c>
      <c r="D15" s="42">
        <f>IF(C15="",0,C15*J$14)</f>
        <v>19554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117896</v>
      </c>
      <c r="I15" s="63" t="s">
        <v>37</v>
      </c>
      <c r="J15" s="64">
        <v>0.12</v>
      </c>
      <c r="K15" s="30">
        <f>MROUND(D5+D9+D13+D17,50)</f>
        <v>47650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29400</v>
      </c>
      <c r="D16" s="42">
        <f>IF(C16="",0,C16*J$16)</f>
        <v>2940</v>
      </c>
      <c r="E16" s="29">
        <f>IF(DigitaREVENTADO!H10&lt;&gt;"",DigitaREVENTADO!H10,"")</f>
        <v>200</v>
      </c>
      <c r="F16" s="42">
        <f>IF(E16="",0,E16*PREMIOS!F16)</f>
        <v>0</v>
      </c>
      <c r="G16" s="30">
        <f t="shared" si="6"/>
        <v>26460</v>
      </c>
      <c r="I16" s="63" t="s">
        <v>38</v>
      </c>
      <c r="J16" s="64">
        <v>0.1</v>
      </c>
      <c r="K16" s="30">
        <f>MROUND(D6+D8+D10+D12+D14+D16+D18,50)</f>
        <v>9000</v>
      </c>
    </row>
    <row r="17" spans="1:11" x14ac:dyDescent="0.35">
      <c r="A17" s="28" t="s">
        <v>52</v>
      </c>
      <c r="B17" s="132">
        <f>IF(DigitaNICA!I2&lt;&gt;"",DigitaNICA!I2,"")</f>
        <v>68</v>
      </c>
      <c r="C17" s="29">
        <f>IF(DigitaNICA!I10&lt;&gt;"",DigitaNICA!I10,"")</f>
        <v>86600</v>
      </c>
      <c r="D17" s="42">
        <f>IF(C17="",0,C17*J$15)</f>
        <v>10392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76208</v>
      </c>
      <c r="I17" s="63" t="s">
        <v>96</v>
      </c>
      <c r="J17" s="64">
        <v>0.12</v>
      </c>
      <c r="K17" s="30">
        <f>MROUND(D19+D20,50)</f>
        <v>6300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7150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IF(DigitaPRIMERA!$C$10&lt;&gt;"",DigitaPRIMERA!$C$10,"")</f>
        <v>25000</v>
      </c>
      <c r="D19" s="42">
        <f>IF(C19="",0,C19*J$17)</f>
        <v>3000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22000</v>
      </c>
      <c r="I19" s="63" t="s">
        <v>20</v>
      </c>
      <c r="J19" s="64">
        <v>0.12</v>
      </c>
      <c r="K19" s="30">
        <f>MROUND(D24+D25,50)</f>
        <v>3500</v>
      </c>
    </row>
    <row r="20" spans="1:11" ht="15" thickBot="1" x14ac:dyDescent="0.4">
      <c r="A20" s="28" t="s">
        <v>98</v>
      </c>
      <c r="B20" s="132">
        <f>IF(DigitaPRIMERA!E2&lt;&gt;"",DigitaPRIMERA!E2,"")</f>
        <v>81</v>
      </c>
      <c r="C20" s="29">
        <f>IF(DigitaPRIMERA!$E$10&lt;&gt;"",DigitaPRIMERA!$E$10,"")</f>
        <v>27450</v>
      </c>
      <c r="D20" s="42">
        <f>IF(C20="",0,C20*J$17)</f>
        <v>3294</v>
      </c>
      <c r="E20" s="29">
        <f>IF(DigitaPRIMERA!$F$10&lt;&gt;"",DigitaPRIMERA!$F$10,"")</f>
        <v>1500</v>
      </c>
      <c r="F20" s="42">
        <f>IF(E20="",0,E20*PREMIOS!F19)</f>
        <v>127500</v>
      </c>
      <c r="G20" s="30">
        <f t="shared" si="7"/>
        <v>-103344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03</v>
      </c>
      <c r="C21" s="29">
        <f>IF(DigitaHONDURAS!$C$10&lt;&gt;"",DigitaHONDURAS!$C$10,"")</f>
        <v>30350</v>
      </c>
      <c r="D21" s="42">
        <f>IF(C21="",0,C21*J$18)</f>
        <v>3642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26708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IF(DigitaHONDURAS!$E$10&lt;&gt;"",DigitaHONDURAS!$E$10,"")</f>
        <v>11300</v>
      </c>
      <c r="D22" s="42">
        <f>IF(C22="",0,C22*J$18)</f>
        <v>1356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9944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IF(DigitaHONDURAS!$G$10&lt;&gt;"",DigitaHONDURAS!$G$10,"")</f>
        <v>17900</v>
      </c>
      <c r="D23" s="42">
        <f>IF(C23="",0,C23*J$18)</f>
        <v>2148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15752</v>
      </c>
    </row>
    <row r="24" spans="1:11" x14ac:dyDescent="0.35">
      <c r="A24" s="28" t="s">
        <v>107</v>
      </c>
      <c r="B24" s="132">
        <f>IF(DigitaDOMINICANA!C2&lt;&gt;"",DigitaDOMINICANA!C2,"")</f>
        <v>69</v>
      </c>
      <c r="C24" s="29">
        <f>IF(DigitaDOMINICANA!$C$10&lt;&gt;"",DigitaDOMINICANA!$C$10,"")</f>
        <v>8000</v>
      </c>
      <c r="D24" s="42">
        <f>IF(C24="",0,C24*J$19)</f>
        <v>960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7040</v>
      </c>
    </row>
    <row r="25" spans="1:11" x14ac:dyDescent="0.35">
      <c r="A25" s="28" t="s">
        <v>108</v>
      </c>
      <c r="B25" s="132">
        <f>IF(DigitaDOMINICANA!E2&lt;&gt;"",DigitaDOMINICANA!E2,"")</f>
        <v>49</v>
      </c>
      <c r="C25" s="29">
        <f>IF(DigitaDOMINICANA!$E$10&lt;&gt;"",DigitaDOMINICANA!$E$10,"")</f>
        <v>21000</v>
      </c>
      <c r="D25" s="42">
        <f>IF(C25="",0,C25*J$19)</f>
        <v>2520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18480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1134680</v>
      </c>
      <c r="D27" s="68">
        <f t="shared" ref="D27:F27" si="9">SUM(D5:D26)</f>
        <v>134358.6</v>
      </c>
      <c r="E27" s="68">
        <f t="shared" si="9"/>
        <v>24250</v>
      </c>
      <c r="F27" s="68">
        <f t="shared" si="9"/>
        <v>1882750</v>
      </c>
      <c r="G27" s="88">
        <f>SUM(G5:G26)</f>
        <v>-882428.60000000009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35550</v>
      </c>
      <c r="K4" s="231">
        <f>D7+D11+D15</f>
        <v>4266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IF(DigitaNICA!C12&lt;&gt;"",DigitaNICA!C12,"")</f>
        <v>50600</v>
      </c>
      <c r="D5" s="42">
        <f>IF(C5="",0,C5*J$12)</f>
        <v>6072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44528</v>
      </c>
      <c r="I5" s="217" t="s">
        <v>37</v>
      </c>
      <c r="J5" s="221">
        <f>SUM(IF(C5="",0,C5),IF(C9="",0,C9),IF(C13="",0,C13),IF(C17="",0,C17))</f>
        <v>70200</v>
      </c>
      <c r="K5" s="225">
        <f t="shared" ref="K5" si="1">D5+D9+D13+D17</f>
        <v>8424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7000</v>
      </c>
      <c r="K6" s="226">
        <f t="shared" ref="K6" si="2">+D8+D12+D16</f>
        <v>700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IF(DigitaTICA!C12&lt;&gt;"",DigitaTICA!C12,"")</f>
        <v>21250</v>
      </c>
      <c r="D7" s="42">
        <f>IF(C7="",0,C7*J$11)</f>
        <v>2550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-6800</v>
      </c>
      <c r="I7" s="217" t="s">
        <v>96</v>
      </c>
      <c r="J7" s="223">
        <f>SUM(IF(C19="",0,C19),IF(C20="",0,C20))</f>
        <v>26400</v>
      </c>
      <c r="K7" s="226">
        <f>+D19+D20</f>
        <v>3168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4500</v>
      </c>
      <c r="D8" s="42">
        <f>IF(C8="",0,C8*J$13)</f>
        <v>450</v>
      </c>
      <c r="E8" s="29">
        <f>IF(DigitaREVENTADO!D12&lt;&gt;"",DigitaREVENTADO!D12,"")</f>
        <v>250</v>
      </c>
      <c r="F8" s="42">
        <f>IF(E8="",0,E8*PREMIOS!F8)</f>
        <v>0</v>
      </c>
      <c r="G8" s="30">
        <f t="shared" si="0"/>
        <v>4050</v>
      </c>
      <c r="I8" s="218" t="s">
        <v>104</v>
      </c>
      <c r="J8" s="224">
        <f>SUM(IF(C21="",0,C21),IF(C22="",0,C22),IF(C23="",0,C23))</f>
        <v>10450</v>
      </c>
      <c r="K8" s="228">
        <f>+D21+D22+D23</f>
        <v>1254</v>
      </c>
      <c r="L8" s="229">
        <f>+F21+F22+F23</f>
        <v>42500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IF(DigitaNICA!E12&lt;&gt;"",DigitaNICA!E12,"")</f>
        <v>14600</v>
      </c>
      <c r="D9" s="42">
        <f>IF(C9="",0,C9*J$12)</f>
        <v>1752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12848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IF(DigitaTICA!E12&lt;&gt;"",DigitaTICA!E12,"")</f>
        <v>12250</v>
      </c>
      <c r="D11" s="42">
        <f>IF(C11="",0,C11*J$11)</f>
        <v>1470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10780</v>
      </c>
      <c r="I11" s="60" t="s">
        <v>36</v>
      </c>
      <c r="J11" s="61">
        <v>0.12</v>
      </c>
      <c r="K11" s="62">
        <f>MROUND(D7+D11+D15,50)</f>
        <v>4250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8400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IF(DigitaNICA!G12&lt;&gt;"",DigitaNICA!G12,"")</f>
        <v>5000</v>
      </c>
      <c r="D13" s="42">
        <f>IF(C13="",0,C13*J$12)</f>
        <v>600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3150</v>
      </c>
    </row>
    <row r="15" spans="1:12" ht="15" thickBot="1" x14ac:dyDescent="0.4">
      <c r="A15" s="28" t="s">
        <v>61</v>
      </c>
      <c r="B15" s="132">
        <f>IF(DigitaTICA!G2&lt;&gt;"",DigitaTICA!G2,"")</f>
        <v>32</v>
      </c>
      <c r="C15" s="29">
        <f>IF(DigitaTICA!G12&lt;&gt;"",DigitaTICA!G12,"")</f>
        <v>2050</v>
      </c>
      <c r="D15" s="42">
        <f>IF(C15="",0,C15*J$11)</f>
        <v>246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1804</v>
      </c>
      <c r="I15" s="65" t="s">
        <v>104</v>
      </c>
      <c r="J15" s="66">
        <v>0.12</v>
      </c>
      <c r="K15" s="50">
        <f>MROUND(D21+D22+D23,50)</f>
        <v>1250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IF(DigitaPRIMERA!$C$12&lt;&gt;"",DigitaPRIMERA!$C$12,"")</f>
        <v>26400</v>
      </c>
      <c r="D19" s="42">
        <f>IF(C19="",0,C19*J$14)</f>
        <v>3168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23232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03</v>
      </c>
      <c r="C21" s="29">
        <f>IF(DigitaHONDURAS!$C$12&lt;&gt;"",DigitaHONDURAS!$C$12,"")</f>
        <v>10450</v>
      </c>
      <c r="D21" s="42">
        <f>IF(C21="",0,C21*J$15)</f>
        <v>1254</v>
      </c>
      <c r="E21" s="29">
        <f>IF(DigitaHONDURAS!$D$12&lt;&gt;"",DigitaHONDURAS!$D$12,"")</f>
        <v>500</v>
      </c>
      <c r="F21" s="42">
        <f>IF(E21="",0,E21*PREMIOS!F20)</f>
        <v>42500</v>
      </c>
      <c r="G21" s="30">
        <f t="shared" si="3"/>
        <v>-33304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149600</v>
      </c>
      <c r="D24" s="68">
        <f t="shared" ref="D24:G24" si="4">SUM(D5:D23)</f>
        <v>17812</v>
      </c>
      <c r="E24" s="68">
        <f t="shared" si="4"/>
        <v>1050</v>
      </c>
      <c r="F24" s="68">
        <f t="shared" si="4"/>
        <v>68000</v>
      </c>
      <c r="G24" s="88">
        <f t="shared" si="4"/>
        <v>63788</v>
      </c>
    </row>
    <row r="27" spans="1:7" x14ac:dyDescent="0.35">
      <c r="G27" s="21">
        <v>115405</v>
      </c>
    </row>
    <row r="28" spans="1:7" x14ac:dyDescent="0.35">
      <c r="G28" s="141">
        <f>+G24+G27</f>
        <v>179193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99400</v>
      </c>
      <c r="K4" s="231">
        <f t="shared" ref="K4" si="0">D7+D11+D15</f>
        <v>11928</v>
      </c>
      <c r="L4" s="220">
        <f>F7+F11+F15</f>
        <v>59500</v>
      </c>
    </row>
    <row r="5" spans="1:12" ht="15" thickBot="1" x14ac:dyDescent="0.4">
      <c r="A5" s="28" t="s">
        <v>43</v>
      </c>
      <c r="B5" s="132">
        <f>IF(DigitaNICA!C2&lt;&gt;"",DigitaNICA!C2,"")</f>
        <v>34</v>
      </c>
      <c r="C5" s="29">
        <f>IF(DigitaNICA!C13&lt;&gt;"",DigitaNICA!C13,"")</f>
        <v>40350</v>
      </c>
      <c r="D5" s="42">
        <f>IF(C5="",0,C5*J$10)</f>
        <v>4842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35508</v>
      </c>
      <c r="I5" s="218" t="s">
        <v>37</v>
      </c>
      <c r="J5" s="232">
        <f>SUM(IF(C5="",0,C5),IF(C9="",0,C9),IF(C13="",0,C13),IF(C17="",0,C17))</f>
        <v>73250</v>
      </c>
      <c r="K5" s="233">
        <f t="shared" ref="K5" si="2">D5+D9+D13+D17</f>
        <v>8790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IF(DigitaTICA!C13&lt;&gt;"",DigitaTICA!C13,"")</f>
        <v>44800</v>
      </c>
      <c r="D7" s="42">
        <f>IF(C7="",0,C7*J$9)</f>
        <v>5376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-20076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IF(DigitaNICA!E13&lt;&gt;"",DigitaNICA!E13,"")</f>
        <v>29000</v>
      </c>
      <c r="D9" s="42">
        <f>IF(C9="",0,C9*J$10)</f>
        <v>3480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25520</v>
      </c>
      <c r="I9" s="60" t="s">
        <v>36</v>
      </c>
      <c r="J9" s="61">
        <v>0.12</v>
      </c>
      <c r="K9" s="62">
        <f>MROUND(D7+D11+D15,50)</f>
        <v>11950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8800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>
        <f>IF(DigitaTICA!E13&lt;&gt;"",DigitaTICA!E13,"")</f>
        <v>32700</v>
      </c>
      <c r="D11" s="42">
        <f>IF(C11="",0,C11*J$9)</f>
        <v>3924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28776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IF(DigitaNICA!G13&lt;&gt;"",DigitaNICA!G13,"")</f>
        <v>2900</v>
      </c>
      <c r="D13" s="42">
        <f>IF(C13="",0,C13*J$10)</f>
        <v>348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2552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IF(DigitaTICA!G13&lt;&gt;"",DigitaTICA!G13,"")</f>
        <v>21900</v>
      </c>
      <c r="D15" s="42">
        <f>IF(C15="",0,C15*J$9)</f>
        <v>2628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19272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172650</v>
      </c>
      <c r="D19" s="68">
        <f>MROUND(SUM(D5:D18),50)</f>
        <v>20700</v>
      </c>
      <c r="E19" s="68">
        <f>SUM(E5:E18)</f>
        <v>700</v>
      </c>
      <c r="F19" s="68">
        <f>SUM(F5:F18)</f>
        <v>59500</v>
      </c>
      <c r="G19" s="88">
        <f>SUM(G5:G18)</f>
        <v>92432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125700</v>
      </c>
      <c r="K4" s="236">
        <f t="shared" ref="K4" si="0">D7+D11+D15</f>
        <v>18855</v>
      </c>
      <c r="L4" s="237">
        <f>F7+F11+F15</f>
        <v>240000</v>
      </c>
    </row>
    <row r="5" spans="1:12" x14ac:dyDescent="0.35">
      <c r="A5" s="28" t="s">
        <v>43</v>
      </c>
      <c r="B5" s="132">
        <f>IF(DigitaNICA!C2&lt;&gt;"",DigitaNICA!C2,"")</f>
        <v>34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IF(DigitaTICA!C14&lt;&gt;"",DigitaTICA!C14,"")</f>
        <v>56900</v>
      </c>
      <c r="D7" s="42">
        <f>IF(C7="",0,C7*J$9)</f>
        <v>8535</v>
      </c>
      <c r="E7" s="29">
        <f>IF(DigitaTICA!D14&lt;&gt;"",DigitaTICA!D14,"")</f>
        <v>2000</v>
      </c>
      <c r="F7" s="42">
        <f>IF(E7="",0,E7*PREMIOS!E7)</f>
        <v>160000</v>
      </c>
      <c r="G7" s="30">
        <f t="shared" si="1"/>
        <v>-111635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>
        <f>IF(DigitaTICA!E14&lt;&gt;"",DigitaTICA!E14,"")</f>
        <v>26300</v>
      </c>
      <c r="D11" s="42">
        <f>IF(C11="",0,C11*J$9)</f>
        <v>3945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-57645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IF(DigitaTICA!G14&lt;&gt;"",DigitaTICA!G14,"")</f>
        <v>42500</v>
      </c>
      <c r="D15" s="42">
        <f>IF(C15="",0,C15*J$9)</f>
        <v>6375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36125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125700</v>
      </c>
      <c r="D19" s="68">
        <f>MROUND(SUM(D5:D18),50)</f>
        <v>18850</v>
      </c>
      <c r="E19" s="68">
        <f>SUM(E5:E18)</f>
        <v>3000</v>
      </c>
      <c r="F19" s="68">
        <f>SUM(F5:F18)</f>
        <v>240000</v>
      </c>
      <c r="G19" s="88">
        <f>SUM(G5:G18)</f>
        <v>-133155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85900</v>
      </c>
      <c r="K4" s="231">
        <f>D7+D11+D15</f>
        <v>10308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34</v>
      </c>
      <c r="C5" s="29">
        <f>IF(DigitaNICA!C16&lt;&gt;"",DigitaNICA!C16,"")</f>
        <v>14400</v>
      </c>
      <c r="D5" s="42">
        <f>IF(C5="",0,C5*J$12)</f>
        <v>1728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12672</v>
      </c>
      <c r="I5" s="63" t="s">
        <v>37</v>
      </c>
      <c r="J5" s="225">
        <f>SUM(IF(C5="",0,C5),IF(C9="",0,C9),IF(C13="",0,C13),IF(C17="",0,C17))</f>
        <v>69700</v>
      </c>
      <c r="K5" s="225">
        <f t="shared" ref="K5" si="1">D5+D9+D13+D17</f>
        <v>8364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IF(DigitaTICA!C16&lt;&gt;"",DigitaTICA!C16,"")</f>
        <v>30200</v>
      </c>
      <c r="D7" s="42">
        <f>IF(C7="",0,C7*J$11)</f>
        <v>3624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26576</v>
      </c>
      <c r="I7" s="63" t="s">
        <v>96</v>
      </c>
      <c r="J7" s="226">
        <f>SUM(IF(C19="",0,C19),IF(C20="",0,C20))</f>
        <v>7700</v>
      </c>
      <c r="K7" s="226">
        <f>+D19+D20</f>
        <v>924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IF(DigitaNICA!E16&lt;&gt;"",DigitaNICA!E16,"")</f>
        <v>11400</v>
      </c>
      <c r="D9" s="42">
        <f>IF(C9="",0,C9*J$12)</f>
        <v>1368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10032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IF(DigitaTICA!E16&lt;&gt;"",DigitaTICA!E16,"")</f>
        <v>21800</v>
      </c>
      <c r="D11" s="42">
        <f>IF(C11="",0,C11*J$11)</f>
        <v>2616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19184</v>
      </c>
      <c r="I11" s="76" t="s">
        <v>36</v>
      </c>
      <c r="J11" s="77">
        <v>0.12</v>
      </c>
      <c r="K11" s="78">
        <f>MROUND(D7+D11+D15,50)</f>
        <v>10300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8350</v>
      </c>
    </row>
    <row r="13" spans="1:12" x14ac:dyDescent="0.35">
      <c r="A13" s="28" t="s">
        <v>50</v>
      </c>
      <c r="B13" s="132">
        <f>IF(DigitaNICA!G2&lt;&gt;"",DigitaNICA!G2,"")</f>
        <v>95</v>
      </c>
      <c r="C13" s="29">
        <f>IF(DigitaNICA!G16&lt;&gt;"",DigitaNICA!G16,"")</f>
        <v>15500</v>
      </c>
      <c r="D13" s="42">
        <f>IF(C13="",0,C13*J$12)</f>
        <v>1860</v>
      </c>
      <c r="E13" s="29">
        <f>IF(DigitaNICA!H16&lt;&gt;"",DigitaNICA!H16,"")</f>
        <v>300</v>
      </c>
      <c r="F13" s="133">
        <f>IF(E13="",0,E13*PREMIOS!E13)</f>
        <v>24000</v>
      </c>
      <c r="G13" s="30">
        <f>IF(OR(C13="",E13=""),0,C13-D13-F13)</f>
        <v>-10360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900</v>
      </c>
    </row>
    <row r="15" spans="1:12" ht="15" thickBot="1" x14ac:dyDescent="0.4">
      <c r="A15" s="28" t="s">
        <v>61</v>
      </c>
      <c r="B15" s="132">
        <f>IF(DigitaTICA!G2&lt;&gt;"",DigitaTICA!G2,"")</f>
        <v>32</v>
      </c>
      <c r="C15" s="29">
        <f>IF(DigitaTICA!G16&lt;&gt;"",DigitaTICA!G16,"")</f>
        <v>33900</v>
      </c>
      <c r="D15" s="42">
        <f>IF(C15="",0,C15*J$11)</f>
        <v>4068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29832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IF(DigitaNICA!I16&lt;&gt;"",DigitaNICA!I16,"")</f>
        <v>28400</v>
      </c>
      <c r="D17" s="42">
        <f>IF(C17="",0,C17*J$12)</f>
        <v>3408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24992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IF(DigitaPRIMERA!C16&lt;&gt;"",DigitaPRIMERA!C16,"")</f>
        <v>7700</v>
      </c>
      <c r="D19" s="42">
        <f>IF(C19="",0,C19*J$14)</f>
        <v>924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6776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>
        <f>IF(DigitaPRIMERA!E16&lt;&gt;"",DigitaPRIMERA!E16,"")</f>
        <v>0</v>
      </c>
      <c r="D20" s="42">
        <f>IF(C20="",0,C20*J$14)</f>
        <v>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163300</v>
      </c>
      <c r="D24" s="122">
        <f t="shared" ref="D24:G24" si="5">SUM(D5:D23)</f>
        <v>19596</v>
      </c>
      <c r="E24" s="122">
        <f t="shared" si="5"/>
        <v>300</v>
      </c>
      <c r="F24" s="122">
        <f t="shared" si="5"/>
        <v>24000</v>
      </c>
      <c r="G24" s="123">
        <f t="shared" si="5"/>
        <v>119704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382500</v>
      </c>
      <c r="K4" s="231">
        <f t="shared" ref="K4" si="0">D7+D11+D15</f>
        <v>45900</v>
      </c>
      <c r="L4" s="220">
        <f>F7+F11+F15</f>
        <v>119000</v>
      </c>
    </row>
    <row r="5" spans="1:12" x14ac:dyDescent="0.35">
      <c r="A5" s="28" t="s">
        <v>43</v>
      </c>
      <c r="B5" s="132">
        <f>IF(DigitaNICA!C2&lt;&gt;"",DigitaNICA!C2,"")</f>
        <v>34</v>
      </c>
      <c r="C5" s="89">
        <f>IF(DigitaNICA!C17&lt;&gt;"",DigitaNICA!C17,"")</f>
        <v>67050</v>
      </c>
      <c r="D5" s="42">
        <f>IF(C5="",0,C5*J$16)</f>
        <v>8046</v>
      </c>
      <c r="E5" s="89">
        <f>IF(DigitaNICA!D17&lt;&gt;"",DigitaNICA!D17,"")</f>
        <v>250</v>
      </c>
      <c r="F5" s="42">
        <f>IF(E5="",0,E5*PREMIOS!F5)</f>
        <v>21250</v>
      </c>
      <c r="G5" s="90">
        <f t="shared" ref="G5:G12" si="1">IF(OR(C5="",E5=""),0,C5-D5-F5)</f>
        <v>37754</v>
      </c>
      <c r="I5" s="217" t="s">
        <v>37</v>
      </c>
      <c r="J5" s="221">
        <f>SUM(IF(C5="",0,C5),IF(C9="",0,C9),IF(C13="",0,C13),IF(C17="",0,C17))</f>
        <v>371550</v>
      </c>
      <c r="K5" s="225">
        <f t="shared" ref="K5" si="2">D5+D9+D13+D17</f>
        <v>44586</v>
      </c>
      <c r="L5" s="222">
        <f>F5+F9+F13+F17</f>
        <v>93500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49600</v>
      </c>
      <c r="K6" s="226">
        <f t="shared" ref="K6" si="3">+D8+D12+D16</f>
        <v>4960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89">
        <f>IF(DigitaTICA!C17&lt;&gt;"",DigitaTICA!C17,"")</f>
        <v>96900</v>
      </c>
      <c r="D7" s="42">
        <f>IF(C7="",0,C7*J$15)</f>
        <v>11628</v>
      </c>
      <c r="E7" s="89">
        <f>IF(DigitaTICA!D17&lt;&gt;"",DigitaTICA!D17,"")</f>
        <v>600</v>
      </c>
      <c r="F7" s="42">
        <f>IF(E7="",0,E7*PREMIOS!F7)</f>
        <v>51000</v>
      </c>
      <c r="G7" s="90">
        <f t="shared" si="1"/>
        <v>34272</v>
      </c>
      <c r="I7" s="217" t="s">
        <v>96</v>
      </c>
      <c r="J7" s="223">
        <f>SUM(IF(C19="",0,C19),IF(C20="",0,C20))</f>
        <v>110450</v>
      </c>
      <c r="K7" s="226">
        <f>+D19+D20</f>
        <v>13254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13800</v>
      </c>
      <c r="D8" s="42">
        <f>IF(C8="",0,C8*J$17)</f>
        <v>1380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12420</v>
      </c>
      <c r="I8" s="217" t="s">
        <v>104</v>
      </c>
      <c r="J8" s="223">
        <f>SUM(IF(C21="",0,C21),IF(C22="",0,C22),IF(C23="",0,C23))</f>
        <v>70900</v>
      </c>
      <c r="K8" s="226">
        <f t="shared" ref="K8" si="4">D21+D22+D23</f>
        <v>8508</v>
      </c>
      <c r="L8" s="227">
        <f>F21+F22+F23</f>
        <v>59500</v>
      </c>
    </row>
    <row r="9" spans="1:12" x14ac:dyDescent="0.35">
      <c r="A9" s="28" t="s">
        <v>48</v>
      </c>
      <c r="B9" s="132">
        <f>IF(DigitaNICA!E2&lt;&gt;"",DigitaNICA!E2,"")</f>
        <v>74</v>
      </c>
      <c r="C9" s="89">
        <f>IF(DigitaNICA!E17&lt;&gt;"",DigitaNICA!E17,"")</f>
        <v>83800</v>
      </c>
      <c r="D9" s="42">
        <f>IF(C9="",0,C9*J$16)</f>
        <v>10056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73744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89">
        <f>IF(DigitaTICA!E17&lt;&gt;"",DigitaTICA!E17,"")</f>
        <v>76050</v>
      </c>
      <c r="D11" s="42">
        <f>IF(C11="",0,C11*J$15)</f>
        <v>9126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66924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7200</v>
      </c>
      <c r="D12" s="42">
        <f>IF(C12="",0,C12*J$17)</f>
        <v>720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6480</v>
      </c>
    </row>
    <row r="13" spans="1:12" ht="15" thickBot="1" x14ac:dyDescent="0.4">
      <c r="A13" s="28" t="s">
        <v>50</v>
      </c>
      <c r="B13" s="132">
        <f>IF(DigitaNICA!G2&lt;&gt;"",DigitaNICA!G2,"")</f>
        <v>95</v>
      </c>
      <c r="C13" s="89">
        <f>IF(DigitaNICA!G17&lt;&gt;"",DigitaNICA!G17,"")</f>
        <v>64900</v>
      </c>
      <c r="D13" s="42">
        <f>IF(C13="",0,C13*J$16)</f>
        <v>7788</v>
      </c>
      <c r="E13" s="89">
        <f>IF(DigitaNICA!H17&lt;&gt;"",DigitaNICA!H17,"")</f>
        <v>400</v>
      </c>
      <c r="F13" s="42">
        <f>IF(E13="",0,E13*PREMIOS!F13)</f>
        <v>34000</v>
      </c>
      <c r="G13" s="90">
        <f>IF(OR(C13="",E13=""),0,C13-D13-F13)</f>
        <v>23112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32</v>
      </c>
      <c r="C15" s="89">
        <f>IF(DigitaTICA!G17&lt;&gt;"",DigitaTICA!G17,"")</f>
        <v>209550</v>
      </c>
      <c r="D15" s="42">
        <f>IF(C15="",0,C15*J$15)</f>
        <v>25146</v>
      </c>
      <c r="E15" s="89">
        <f>IF(DigitaTICA!H17&lt;&gt;"",DigitaTICA!H17,"")</f>
        <v>800</v>
      </c>
      <c r="F15" s="42">
        <f>IF(E15="",0,E15*PREMIOS!F15)</f>
        <v>68000</v>
      </c>
      <c r="G15" s="90">
        <f t="shared" si="6"/>
        <v>116404</v>
      </c>
      <c r="I15" s="76" t="s">
        <v>36</v>
      </c>
      <c r="J15" s="77">
        <v>0.12</v>
      </c>
      <c r="K15" s="78">
        <f>MROUND(D7+D11+D15,50)</f>
        <v>45900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28600</v>
      </c>
      <c r="D16" s="42">
        <f>IF(C16="",0,C16*J$17)</f>
        <v>2860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25740</v>
      </c>
      <c r="I16" s="63" t="s">
        <v>37</v>
      </c>
      <c r="J16" s="64">
        <v>0.12</v>
      </c>
      <c r="K16" s="30">
        <f>MROUND(D5+D9+D13+D17,50)</f>
        <v>44600</v>
      </c>
    </row>
    <row r="17" spans="1:11" x14ac:dyDescent="0.35">
      <c r="A17" s="28" t="s">
        <v>52</v>
      </c>
      <c r="B17" s="132">
        <f>IF(DigitaNICA!I2&lt;&gt;"",DigitaNICA!I2,"")</f>
        <v>68</v>
      </c>
      <c r="C17" s="89">
        <f>IF(DigitaNICA!I17&lt;&gt;"",DigitaNICA!I17,"")</f>
        <v>155800</v>
      </c>
      <c r="D17" s="42">
        <f>IF(C17="",0,C17*J$16)</f>
        <v>18696</v>
      </c>
      <c r="E17" s="89">
        <f>IF(DigitaNICA!J17&lt;&gt;"",DigitaNICA!J17,"")</f>
        <v>450</v>
      </c>
      <c r="F17" s="42">
        <f>IF(E17="",0,E17*PREMIOS!F17)</f>
        <v>38250</v>
      </c>
      <c r="G17" s="90">
        <f t="shared" si="6"/>
        <v>98854</v>
      </c>
      <c r="I17" s="63" t="s">
        <v>38</v>
      </c>
      <c r="J17" s="64">
        <v>0.1</v>
      </c>
      <c r="K17" s="30">
        <f>MROUND(D6+D8+D10+D12+D14+D16+D18,50)</f>
        <v>4950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13250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IF(DigitaPRIMERA!$C$17&lt;&gt;"",DigitaPRIMERA!$C$17,"")</f>
        <v>73400</v>
      </c>
      <c r="D19" s="42">
        <f>IF(C19="",0,C19*J$18)</f>
        <v>8808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64592</v>
      </c>
      <c r="I19" s="63" t="s">
        <v>104</v>
      </c>
      <c r="J19" s="64">
        <v>0.12</v>
      </c>
      <c r="K19" s="30">
        <f>MROUND(D21+D22+D23,50)</f>
        <v>8500</v>
      </c>
    </row>
    <row r="20" spans="1:11" x14ac:dyDescent="0.35">
      <c r="A20" s="28" t="s">
        <v>98</v>
      </c>
      <c r="B20" s="132">
        <f>IF(DigitaPRIMERA!E2&lt;&gt;"",DigitaPRIMERA!E2,"")</f>
        <v>81</v>
      </c>
      <c r="C20" s="29">
        <f>IF(DigitaPRIMERA!$E$17&lt;&gt;"",DigitaPRIMERA!$E$17,"")</f>
        <v>37050</v>
      </c>
      <c r="D20" s="42">
        <f>IF(C20="",0,C20*J$18)</f>
        <v>4446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-9896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03</v>
      </c>
      <c r="C21" s="29">
        <f>IF(DigitaHONDURAS!$C$17&lt;&gt;"",DigitaHONDURAS!$C$17,"")</f>
        <v>28350</v>
      </c>
      <c r="D21" s="42">
        <f>IF(C21="",0,C21*J$19)</f>
        <v>3402</v>
      </c>
      <c r="E21" s="29">
        <f>IF(DigitaHONDURAS!$D$17&lt;&gt;"",DigitaHONDURAS!$D$17,"")</f>
        <v>250</v>
      </c>
      <c r="F21" s="42">
        <f>IF(E21="",0,E21*PREMIOS!F20)</f>
        <v>21250</v>
      </c>
      <c r="G21" s="30">
        <f t="shared" si="6"/>
        <v>3698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IF(DigitaHONDURAS!$E$17&lt;&gt;"",DigitaHONDURAS!$E$17,"")</f>
        <v>14350</v>
      </c>
      <c r="D22" s="42">
        <f>IF(C22="",0,C22*J$19)</f>
        <v>1722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8378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IF(DigitaHONDURAS!$G$17&lt;&gt;"",DigitaHONDURAS!$G$17,"")</f>
        <v>28200</v>
      </c>
      <c r="D23" s="42">
        <f>IF(C23="",0,C23*J$19)</f>
        <v>3384</v>
      </c>
      <c r="E23" s="29">
        <f>IF(DigitaHONDURAS!$H$17&lt;&gt;"",DigitaHONDURAS!$H$17,"")</f>
        <v>400</v>
      </c>
      <c r="F23" s="42">
        <f>IF(E23="",0,E23*PREMIOS!F20)</f>
        <v>34000</v>
      </c>
      <c r="G23" s="30">
        <f t="shared" si="6"/>
        <v>-9184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985000</v>
      </c>
      <c r="D27" s="68">
        <f t="shared" ref="D27:G27" si="7">SUM(D5:D26)</f>
        <v>117208</v>
      </c>
      <c r="E27" s="68">
        <f t="shared" si="7"/>
        <v>3700</v>
      </c>
      <c r="F27" s="68">
        <f t="shared" si="7"/>
        <v>314500</v>
      </c>
      <c r="G27" s="88">
        <f t="shared" si="7"/>
        <v>553292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257150</v>
      </c>
      <c r="K4" s="231">
        <f t="shared" ref="K4" si="0">D7+D11+D15</f>
        <v>30858</v>
      </c>
      <c r="L4" s="220">
        <f>F7+F11+F15</f>
        <v>123250</v>
      </c>
    </row>
    <row r="5" spans="1:12" x14ac:dyDescent="0.35">
      <c r="A5" s="28" t="str">
        <f>+Vendedor1!A5</f>
        <v>Nica 11am</v>
      </c>
      <c r="B5" s="132">
        <f>IF(DigitaNICA!C2&lt;&gt;"",DigitaNICA!C2,"")</f>
        <v>34</v>
      </c>
      <c r="C5" s="29">
        <f>IF(DigitaNICA!C18&lt;&gt;"",DigitaNICA!C18,"")</f>
        <v>48600</v>
      </c>
      <c r="D5" s="42">
        <f>IF(C5="",0,C5*J$16)</f>
        <v>5832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8768</v>
      </c>
      <c r="I5" s="217" t="s">
        <v>37</v>
      </c>
      <c r="J5" s="221">
        <f>SUM(IF(C5="",0,C5),IF(C9="",0,C9),IF(C13="",0,C13),IF(C17="",0,C17))</f>
        <v>149100</v>
      </c>
      <c r="K5" s="225">
        <f t="shared" ref="K5" si="2">D5+D9+D13+D17</f>
        <v>17892</v>
      </c>
      <c r="L5" s="222">
        <f>F5+F9+F13+F17</f>
        <v>195500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60150</v>
      </c>
      <c r="K6" s="226">
        <f t="shared" ref="K6" si="3">+D8+D12+D16</f>
        <v>6015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04</v>
      </c>
      <c r="C7" s="29">
        <f>IF(DigitaTICA!C18&lt;&gt;"",DigitaTICA!C18,"")</f>
        <v>79050</v>
      </c>
      <c r="D7" s="42">
        <f>IF(C7="",0,C7*J$15)</f>
        <v>9486</v>
      </c>
      <c r="E7" s="29">
        <f>IF(DigitaTICA!D18&lt;&gt;"",DigitaTICA!D18,"")</f>
        <v>1350</v>
      </c>
      <c r="F7" s="42">
        <f>IF(E7="",0,E7*PREMIOS!F7)</f>
        <v>114750</v>
      </c>
      <c r="G7" s="30">
        <f t="shared" si="1"/>
        <v>-45186</v>
      </c>
      <c r="I7" s="217" t="s">
        <v>96</v>
      </c>
      <c r="J7" s="223">
        <f>SUM(IF(C19="",0,C19),IF(C20="",0,C20))</f>
        <v>68600</v>
      </c>
      <c r="K7" s="226">
        <f>+D19+D20</f>
        <v>8232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28000</v>
      </c>
      <c r="D8" s="42">
        <f>IF(C8="",0,C8*J$17)</f>
        <v>2800</v>
      </c>
      <c r="E8" s="29">
        <f>IF(DigitaREVENTADO!D18&lt;&gt;"",DigitaREVENTADO!D18,"")</f>
        <v>450</v>
      </c>
      <c r="F8" s="42">
        <f>IF(E8="",0,E8*PREMIOS!F8)</f>
        <v>0</v>
      </c>
      <c r="G8" s="30">
        <f t="shared" si="1"/>
        <v>25200</v>
      </c>
      <c r="I8" s="217" t="s">
        <v>104</v>
      </c>
      <c r="J8" s="223">
        <f>SUM(IF(C21="",0,C21),IF(C22="",0,C22),IF(C23="",0,C23))</f>
        <v>25800</v>
      </c>
      <c r="K8" s="226">
        <f t="shared" ref="K8" si="4">D21+D22+D23</f>
        <v>3096</v>
      </c>
      <c r="L8" s="227">
        <f>F21+F22+F23</f>
        <v>144500</v>
      </c>
    </row>
    <row r="9" spans="1:12" x14ac:dyDescent="0.35">
      <c r="A9" s="28" t="str">
        <f>+Vendedor1!A9</f>
        <v>Nica 3pm</v>
      </c>
      <c r="B9" s="132">
        <f>IF(DigitaNICA!E2&lt;&gt;"",DigitaNICA!E2,"")</f>
        <v>74</v>
      </c>
      <c r="C9" s="29">
        <f>IF(DigitaNICA!E18&lt;&gt;"",DigitaNICA!E18,"")</f>
        <v>67300</v>
      </c>
      <c r="D9" s="42">
        <f>IF(C9="",0,C9*J$16)</f>
        <v>8076</v>
      </c>
      <c r="E9" s="29">
        <f>IF(DigitaNICA!F18&lt;&gt;"",DigitaNICA!F18,"")</f>
        <v>1900</v>
      </c>
      <c r="F9" s="42">
        <f>IF(E9="",0,E9*PREMIOS!F9)</f>
        <v>161500</v>
      </c>
      <c r="G9" s="30">
        <f t="shared" si="1"/>
        <v>-102276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IF(DigitaTICA!E18&lt;&gt;"",DigitaTICA!E18,"")</f>
        <v>101000</v>
      </c>
      <c r="D11" s="42">
        <f>IF(C11="",0,C11*J$15)</f>
        <v>12120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88880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22300</v>
      </c>
      <c r="D12" s="42">
        <f>IF(C12="",0,C12*J$17)</f>
        <v>2230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20070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95</v>
      </c>
      <c r="C13" s="29">
        <f>IF(DigitaNICA!G18&lt;&gt;"",DigitaNICA!G18,"")</f>
        <v>18800</v>
      </c>
      <c r="D13" s="42">
        <f>IF(C13="",0,C13*J$16)</f>
        <v>2256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16544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32</v>
      </c>
      <c r="C15" s="29">
        <f>IF(DigitaTICA!G18&lt;&gt;"",DigitaTICA!G18,"")</f>
        <v>77100</v>
      </c>
      <c r="D15" s="42">
        <f>IF(C15="",0,C15*J$15)</f>
        <v>9252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59348</v>
      </c>
      <c r="I15" s="76" t="s">
        <v>36</v>
      </c>
      <c r="J15" s="77">
        <v>0.12</v>
      </c>
      <c r="K15" s="78">
        <f>MROUND(D7+D11+D15,50)</f>
        <v>30850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9850</v>
      </c>
      <c r="D16" s="42">
        <f>IF(C16="",0,C16*J$17)</f>
        <v>985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8865</v>
      </c>
      <c r="I16" s="63" t="s">
        <v>37</v>
      </c>
      <c r="J16" s="64">
        <v>0.12</v>
      </c>
      <c r="K16" s="30">
        <f>MROUND(D5+D9+D13+D17,50)</f>
        <v>17900</v>
      </c>
    </row>
    <row r="17" spans="1:11" x14ac:dyDescent="0.35">
      <c r="A17" s="28" t="str">
        <f>+Vendedor1!A17</f>
        <v>Nica 9pm</v>
      </c>
      <c r="B17" s="132">
        <f>IF(DigitaNICA!I2&lt;&gt;"",DigitaNICA!I2,"")</f>
        <v>68</v>
      </c>
      <c r="C17" s="29">
        <f>IF(DigitaNICA!I18&lt;&gt;"",DigitaNICA!I18,"")</f>
        <v>14400</v>
      </c>
      <c r="D17" s="42">
        <f>IF(C17="",0,C17*J$16)</f>
        <v>1728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12672</v>
      </c>
      <c r="I17" s="63" t="s">
        <v>38</v>
      </c>
      <c r="J17" s="64">
        <v>0.1</v>
      </c>
      <c r="K17" s="30">
        <f>MROUND(D6+D8+D10+D12+D14+D16+D18,50)</f>
        <v>6000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8250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IF(DigitaPRIMERA!$C$18&lt;&gt;"",DigitaPRIMERA!$C$18,"")</f>
        <v>52900</v>
      </c>
      <c r="D19" s="42">
        <f>IF(C19="",0,C19*J$18)</f>
        <v>6348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29552</v>
      </c>
      <c r="I19" s="63" t="s">
        <v>104</v>
      </c>
      <c r="J19" s="64">
        <v>0.12</v>
      </c>
      <c r="K19" s="30">
        <f>MROUND(D21+D22+D23,50)</f>
        <v>3100</v>
      </c>
    </row>
    <row r="20" spans="1:11" x14ac:dyDescent="0.35">
      <c r="A20" s="28" t="s">
        <v>98</v>
      </c>
      <c r="B20" s="132">
        <f>IF(DigitaPRIMERA!E2&lt;&gt;"",DigitaPRIMERA!E2,"")</f>
        <v>81</v>
      </c>
      <c r="C20" s="29">
        <f>IF(DigitaPRIMERA!$E$18&lt;&gt;"",DigitaPRIMERA!$E$18,"")</f>
        <v>15700</v>
      </c>
      <c r="D20" s="42">
        <f>IF(C20="",0,C20*J$18)</f>
        <v>1884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13816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03</v>
      </c>
      <c r="C21" s="29">
        <f>IF(DigitaHONDURAS!$C$18&lt;&gt;"",DigitaHONDURAS!$C$18,"")</f>
        <v>11100</v>
      </c>
      <c r="D21" s="42">
        <f>IF(C21="",0,C21*J$19)</f>
        <v>1332</v>
      </c>
      <c r="E21" s="29">
        <f>IF(DigitaHONDURAS!$D$18&lt;&gt;"",DigitaHONDURAS!$D$18,"")</f>
        <v>1500</v>
      </c>
      <c r="F21" s="42">
        <f>IF(E21="",0,E21*PREMIOS!F20)</f>
        <v>127500</v>
      </c>
      <c r="G21" s="30">
        <f t="shared" si="6"/>
        <v>-117732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IF(DigitaHONDURAS!$E$18&lt;&gt;"",DigitaHONDURAS!$E$18,"")</f>
        <v>10700</v>
      </c>
      <c r="D22" s="42">
        <f>IF(C22="",0,C22*J$19)</f>
        <v>1284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-7584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560800</v>
      </c>
      <c r="D27" s="68">
        <f t="shared" ref="D27:G27" si="7">SUM(D5:D26)</f>
        <v>66093</v>
      </c>
      <c r="E27" s="68">
        <f t="shared" si="7"/>
        <v>6100</v>
      </c>
      <c r="F27" s="68">
        <f t="shared" si="7"/>
        <v>480250</v>
      </c>
      <c r="G27" s="88">
        <f t="shared" si="7"/>
        <v>14457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04</v>
      </c>
      <c r="D2" s="268"/>
      <c r="E2" s="267">
        <f>IF(PREMIOS!$B11="","",PREMIOS!$B11)</f>
        <v>83</v>
      </c>
      <c r="F2" s="268"/>
      <c r="G2" s="267">
        <f>IF(PREMIOS!$B15="","",PREMIOS!$B15)</f>
        <v>32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75400</v>
      </c>
      <c r="D4" s="78">
        <v>400</v>
      </c>
      <c r="E4" s="189">
        <v>61200</v>
      </c>
      <c r="F4" s="78">
        <f t="shared" ref="D4:H27" si="0">IF(E4="","",0)</f>
        <v>0</v>
      </c>
      <c r="G4" s="189">
        <v>84650</v>
      </c>
      <c r="H4" s="78">
        <v>450</v>
      </c>
      <c r="J4" s="42">
        <f t="shared" ref="J4:J8" si="1">+C4+E4+G4</f>
        <v>221250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51150</v>
      </c>
      <c r="D5" s="30">
        <v>2900</v>
      </c>
      <c r="E5" s="180">
        <v>62650</v>
      </c>
      <c r="F5" s="30">
        <f t="shared" si="0"/>
        <v>0</v>
      </c>
      <c r="G5" s="180">
        <v>84800</v>
      </c>
      <c r="H5" s="30">
        <v>2050</v>
      </c>
      <c r="J5" s="42">
        <f t="shared" si="1"/>
        <v>198600</v>
      </c>
      <c r="K5" s="42">
        <f t="shared" ref="K5:K27" si="2">IF(D5="",0,IF(F5="",D5,IF(H5="",D5+F5,D5+F5+H5)))</f>
        <v>4950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69900</v>
      </c>
      <c r="D8" s="30">
        <v>2350</v>
      </c>
      <c r="E8" s="180">
        <v>76600</v>
      </c>
      <c r="F8" s="30">
        <v>1550</v>
      </c>
      <c r="G8" s="180">
        <v>94000</v>
      </c>
      <c r="H8" s="30">
        <v>600</v>
      </c>
      <c r="J8" s="42">
        <f t="shared" si="1"/>
        <v>240500</v>
      </c>
      <c r="K8" s="42">
        <f t="shared" si="2"/>
        <v>4500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69450+79100</f>
        <v>148550</v>
      </c>
      <c r="D10" s="30">
        <f>2750+1100</f>
        <v>3850</v>
      </c>
      <c r="E10" s="180">
        <f>47200+147850</f>
        <v>195050</v>
      </c>
      <c r="F10" s="30">
        <v>150</v>
      </c>
      <c r="G10" s="180">
        <f>49950+113000</f>
        <v>162950</v>
      </c>
      <c r="H10" s="30">
        <v>300</v>
      </c>
      <c r="J10" s="42">
        <f t="shared" si="3"/>
        <v>506550</v>
      </c>
      <c r="K10" s="42">
        <f t="shared" si="2"/>
        <v>4300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21250</v>
      </c>
      <c r="D12" s="30">
        <v>300</v>
      </c>
      <c r="E12" s="180">
        <v>12250</v>
      </c>
      <c r="F12" s="30">
        <f t="shared" si="0"/>
        <v>0</v>
      </c>
      <c r="G12" s="180">
        <v>2050</v>
      </c>
      <c r="H12" s="30">
        <f t="shared" si="0"/>
        <v>0</v>
      </c>
      <c r="J12" s="42">
        <f t="shared" si="3"/>
        <v>35550</v>
      </c>
      <c r="K12" s="42">
        <f t="shared" si="2"/>
        <v>300</v>
      </c>
    </row>
    <row r="13" spans="1:11" x14ac:dyDescent="0.35">
      <c r="A13" s="47">
        <v>10</v>
      </c>
      <c r="B13" s="178" t="str">
        <f>Vendedor10!$B$2</f>
        <v>MARIALIZ</v>
      </c>
      <c r="C13" s="180">
        <v>44800</v>
      </c>
      <c r="D13" s="30">
        <v>700</v>
      </c>
      <c r="E13" s="180">
        <v>32700</v>
      </c>
      <c r="F13" s="30">
        <f t="shared" si="0"/>
        <v>0</v>
      </c>
      <c r="G13" s="180">
        <v>21900</v>
      </c>
      <c r="H13" s="30">
        <f t="shared" si="0"/>
        <v>0</v>
      </c>
      <c r="J13" s="42">
        <f t="shared" si="3"/>
        <v>99400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56900</v>
      </c>
      <c r="D14" s="30">
        <v>2000</v>
      </c>
      <c r="E14" s="180">
        <v>26300</v>
      </c>
      <c r="F14" s="30">
        <v>1000</v>
      </c>
      <c r="G14" s="180">
        <v>42500</v>
      </c>
      <c r="H14" s="30">
        <f t="shared" si="0"/>
        <v>0</v>
      </c>
      <c r="J14" s="42">
        <f t="shared" si="3"/>
        <v>125700</v>
      </c>
      <c r="K14" s="42">
        <f t="shared" si="2"/>
        <v>3000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30200</v>
      </c>
      <c r="D16" s="30">
        <f t="shared" si="0"/>
        <v>0</v>
      </c>
      <c r="E16" s="180">
        <v>21800</v>
      </c>
      <c r="F16" s="30">
        <f t="shared" si="0"/>
        <v>0</v>
      </c>
      <c r="G16" s="180">
        <v>33900</v>
      </c>
      <c r="H16" s="30">
        <f t="shared" si="0"/>
        <v>0</v>
      </c>
      <c r="J16" s="42">
        <f t="shared" si="3"/>
        <v>85900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79050+17850</f>
        <v>96900</v>
      </c>
      <c r="D17" s="30">
        <f>600+0</f>
        <v>600</v>
      </c>
      <c r="E17" s="180">
        <f>65750+10300</f>
        <v>76050</v>
      </c>
      <c r="F17" s="30">
        <f t="shared" si="0"/>
        <v>0</v>
      </c>
      <c r="G17" s="180">
        <f>171800+37750</f>
        <v>209550</v>
      </c>
      <c r="H17" s="30">
        <f>800+0</f>
        <v>800</v>
      </c>
      <c r="J17" s="42">
        <f t="shared" si="3"/>
        <v>382500</v>
      </c>
      <c r="K17" s="42">
        <f t="shared" si="2"/>
        <v>1400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49250+29800</f>
        <v>79050</v>
      </c>
      <c r="D18" s="30">
        <f>900+450</f>
        <v>1350</v>
      </c>
      <c r="E18" s="180">
        <f>78700+22300</f>
        <v>101000</v>
      </c>
      <c r="F18" s="30">
        <f t="shared" si="0"/>
        <v>0</v>
      </c>
      <c r="G18" s="180">
        <f>65000+12100</f>
        <v>77100</v>
      </c>
      <c r="H18" s="30">
        <f>100+0</f>
        <v>100</v>
      </c>
      <c r="J18" s="42">
        <f t="shared" si="3"/>
        <v>257150</v>
      </c>
      <c r="K18" s="42">
        <f t="shared" si="2"/>
        <v>1450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674100</v>
      </c>
      <c r="D32" s="44">
        <f t="shared" si="6"/>
        <v>14450</v>
      </c>
      <c r="E32" s="43">
        <f t="shared" si="6"/>
        <v>665600</v>
      </c>
      <c r="F32" s="44">
        <f t="shared" si="6"/>
        <v>2700</v>
      </c>
      <c r="G32" s="43">
        <f t="shared" si="6"/>
        <v>813400</v>
      </c>
      <c r="H32" s="44">
        <f t="shared" si="6"/>
        <v>4300</v>
      </c>
      <c r="J32" s="95">
        <f>SUM(J4:J31)</f>
        <v>2153100</v>
      </c>
      <c r="K32" s="95"/>
    </row>
    <row r="33" spans="2:8" x14ac:dyDescent="0.35">
      <c r="D33" s="99">
        <f>+D32*85</f>
        <v>1228250</v>
      </c>
      <c r="F33" s="99">
        <f>+F32*85</f>
        <v>229500</v>
      </c>
      <c r="H33" s="99">
        <f>+H32*85</f>
        <v>365500</v>
      </c>
    </row>
    <row r="34" spans="2:8" x14ac:dyDescent="0.35">
      <c r="B34" s="247" t="s">
        <v>149</v>
      </c>
      <c r="C34" s="43">
        <f t="shared" ref="C34:H34" si="7">+C4+C5+C6+C8+C13</f>
        <v>241250</v>
      </c>
      <c r="D34" s="43" t="e">
        <f t="shared" si="7"/>
        <v>#VALUE!</v>
      </c>
      <c r="E34" s="43">
        <f t="shared" si="7"/>
        <v>233150</v>
      </c>
      <c r="F34" s="43" t="e">
        <f t="shared" si="7"/>
        <v>#VALUE!</v>
      </c>
      <c r="G34" s="43">
        <f t="shared" si="7"/>
        <v>285350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232850</v>
      </c>
      <c r="D35" s="43" t="e">
        <f t="shared" ref="D35:H35" si="8">+D11+D14+D15+D17+D18</f>
        <v>#VALUE!</v>
      </c>
      <c r="E35" s="43">
        <f t="shared" si="8"/>
        <v>203350</v>
      </c>
      <c r="F35" s="43" t="e">
        <f t="shared" si="8"/>
        <v>#VALUE!</v>
      </c>
      <c r="G35" s="43">
        <f t="shared" si="8"/>
        <v>329150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169800</v>
      </c>
      <c r="D36" s="43" t="e">
        <f t="shared" ref="D36:H36" si="9">+D10+D12+D27</f>
        <v>#VALUE!</v>
      </c>
      <c r="E36" s="43">
        <f t="shared" si="9"/>
        <v>207300</v>
      </c>
      <c r="F36" s="43" t="e">
        <f t="shared" si="9"/>
        <v>#VALUE!</v>
      </c>
      <c r="G36" s="43">
        <f t="shared" si="9"/>
        <v>165000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6"/>
  <sheetViews>
    <sheetView showGridLines="0" zoomScale="90" zoomScaleNormal="90" workbookViewId="0">
      <selection activeCell="J27" sqref="J2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34</v>
      </c>
      <c r="D2" s="268"/>
      <c r="E2" s="267">
        <f>IF(PREMIOS!$B9="","",PREMIOS!$B9)</f>
        <v>74</v>
      </c>
      <c r="F2" s="268"/>
      <c r="G2" s="267">
        <f>IF(PREMIOS!$B13="","",PREMIOS!$B13)</f>
        <v>95</v>
      </c>
      <c r="H2" s="268"/>
      <c r="I2" s="267">
        <f>IF(PREMIOS!$B17="","",PREMIOS!$B17)</f>
        <v>68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34900</v>
      </c>
      <c r="D4" s="78">
        <v>250</v>
      </c>
      <c r="E4" s="206">
        <v>17500</v>
      </c>
      <c r="F4" s="78">
        <f t="shared" ref="D4:J27" si="0">IF(E4="","",0)</f>
        <v>0</v>
      </c>
      <c r="G4" s="189">
        <v>6200</v>
      </c>
      <c r="H4" s="78">
        <v>250</v>
      </c>
      <c r="I4" s="189">
        <v>3750</v>
      </c>
      <c r="J4" s="78">
        <f t="shared" si="0"/>
        <v>0</v>
      </c>
      <c r="L4" s="42">
        <f t="shared" ref="L4:L8" si="1">+C4+E4+G4+I4</f>
        <v>62350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17800</v>
      </c>
      <c r="D5" s="30">
        <f t="shared" si="0"/>
        <v>0</v>
      </c>
      <c r="E5" s="207">
        <v>13000</v>
      </c>
      <c r="F5" s="30">
        <f t="shared" si="0"/>
        <v>0</v>
      </c>
      <c r="G5" s="180">
        <v>2600</v>
      </c>
      <c r="H5" s="30">
        <f t="shared" ref="H5:H27" si="2">IF(G5="","",0)</f>
        <v>0</v>
      </c>
      <c r="I5" s="180">
        <v>10600</v>
      </c>
      <c r="J5" s="30">
        <f t="shared" ref="J5:J26" si="3">IF(I5="","",0)</f>
        <v>0</v>
      </c>
      <c r="L5" s="42">
        <f t="shared" si="1"/>
        <v>44000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83500</v>
      </c>
      <c r="D8" s="30">
        <v>100</v>
      </c>
      <c r="E8" s="207">
        <v>68650</v>
      </c>
      <c r="F8" s="30">
        <v>2150</v>
      </c>
      <c r="G8" s="180">
        <v>38850</v>
      </c>
      <c r="H8" s="30">
        <f t="shared" si="2"/>
        <v>0</v>
      </c>
      <c r="I8" s="180">
        <v>50700</v>
      </c>
      <c r="J8" s="30">
        <f t="shared" si="0"/>
        <v>0</v>
      </c>
      <c r="L8" s="42">
        <f t="shared" si="1"/>
        <v>241700</v>
      </c>
      <c r="M8" s="42">
        <f t="shared" si="4"/>
        <v>2250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41700+48650</f>
        <v>90350</v>
      </c>
      <c r="D10" s="30">
        <f>200+150</f>
        <v>350</v>
      </c>
      <c r="E10" s="207">
        <f>51300+109100</f>
        <v>160400</v>
      </c>
      <c r="F10" s="30">
        <v>16000</v>
      </c>
      <c r="G10" s="180">
        <f>26300+33330</f>
        <v>59630</v>
      </c>
      <c r="H10" s="30">
        <f t="shared" si="0"/>
        <v>0</v>
      </c>
      <c r="I10" s="180">
        <f>38950+47650</f>
        <v>86600</v>
      </c>
      <c r="J10" s="30">
        <f t="shared" si="0"/>
        <v>0</v>
      </c>
      <c r="L10" s="42">
        <f t="shared" si="5"/>
        <v>396980</v>
      </c>
      <c r="M10" s="42">
        <f t="shared" si="4"/>
        <v>16350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50600</v>
      </c>
      <c r="D12" s="30">
        <f t="shared" si="0"/>
        <v>0</v>
      </c>
      <c r="E12" s="207">
        <v>14600</v>
      </c>
      <c r="F12" s="30">
        <f t="shared" si="0"/>
        <v>0</v>
      </c>
      <c r="G12" s="180">
        <v>5000</v>
      </c>
      <c r="H12" s="30">
        <f t="shared" si="0"/>
        <v>0</v>
      </c>
      <c r="I12" s="180"/>
      <c r="J12" s="30" t="str">
        <f t="shared" si="0"/>
        <v/>
      </c>
      <c r="L12" s="42">
        <f t="shared" si="5"/>
        <v>70200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40350</v>
      </c>
      <c r="D13" s="30">
        <f t="shared" si="0"/>
        <v>0</v>
      </c>
      <c r="E13" s="207">
        <v>29000</v>
      </c>
      <c r="F13" s="30">
        <f t="shared" si="0"/>
        <v>0</v>
      </c>
      <c r="G13" s="180">
        <v>2900</v>
      </c>
      <c r="H13" s="30">
        <f t="shared" si="0"/>
        <v>0</v>
      </c>
      <c r="I13" s="180">
        <v>1000</v>
      </c>
      <c r="J13" s="30">
        <f t="shared" si="0"/>
        <v>0</v>
      </c>
      <c r="L13" s="42">
        <f t="shared" si="5"/>
        <v>73250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14400</v>
      </c>
      <c r="D16" s="30">
        <f t="shared" si="0"/>
        <v>0</v>
      </c>
      <c r="E16" s="207">
        <v>11400</v>
      </c>
      <c r="F16" s="30">
        <f t="shared" si="0"/>
        <v>0</v>
      </c>
      <c r="G16" s="180">
        <v>15500</v>
      </c>
      <c r="H16" s="30">
        <v>300</v>
      </c>
      <c r="I16" s="180">
        <v>28400</v>
      </c>
      <c r="J16" s="30">
        <f t="shared" si="0"/>
        <v>0</v>
      </c>
      <c r="L16" s="42">
        <f t="shared" si="5"/>
        <v>69700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67050</v>
      </c>
      <c r="D17" s="30">
        <v>250</v>
      </c>
      <c r="E17" s="207">
        <v>83800</v>
      </c>
      <c r="F17" s="30">
        <f t="shared" si="0"/>
        <v>0</v>
      </c>
      <c r="G17" s="180">
        <v>64900</v>
      </c>
      <c r="H17" s="30">
        <v>400</v>
      </c>
      <c r="I17" s="180">
        <v>155800</v>
      </c>
      <c r="J17" s="30">
        <v>450</v>
      </c>
      <c r="L17" s="42">
        <f t="shared" si="5"/>
        <v>371550</v>
      </c>
      <c r="M17" s="42">
        <f t="shared" si="4"/>
        <v>1100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48600</v>
      </c>
      <c r="D18" s="30">
        <v>400</v>
      </c>
      <c r="E18" s="207">
        <v>67300</v>
      </c>
      <c r="F18" s="30">
        <v>1900</v>
      </c>
      <c r="G18" s="180">
        <v>18800</v>
      </c>
      <c r="H18" s="30">
        <f t="shared" si="0"/>
        <v>0</v>
      </c>
      <c r="I18" s="180">
        <v>14400</v>
      </c>
      <c r="J18" s="30">
        <f t="shared" si="3"/>
        <v>0</v>
      </c>
      <c r="L18" s="42">
        <f t="shared" si="5"/>
        <v>149100</v>
      </c>
      <c r="M18" s="42">
        <f t="shared" si="4"/>
        <v>2300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/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447550</v>
      </c>
      <c r="D32" s="44">
        <f t="shared" si="7"/>
        <v>1350</v>
      </c>
      <c r="E32" s="43">
        <f t="shared" si="7"/>
        <v>465650</v>
      </c>
      <c r="F32" s="44">
        <f t="shared" si="7"/>
        <v>20050</v>
      </c>
      <c r="G32" s="43">
        <f t="shared" si="7"/>
        <v>214380</v>
      </c>
      <c r="H32" s="44">
        <f t="shared" si="7"/>
        <v>950</v>
      </c>
      <c r="I32" s="43">
        <f t="shared" si="7"/>
        <v>351250</v>
      </c>
      <c r="J32" s="44">
        <f t="shared" si="7"/>
        <v>450</v>
      </c>
      <c r="L32" s="95">
        <f>SUM(L9:L31)</f>
        <v>1130780</v>
      </c>
      <c r="M32" s="95">
        <f>SUM(M9:M31)</f>
        <v>19750</v>
      </c>
    </row>
    <row r="33" spans="5:6" x14ac:dyDescent="0.35">
      <c r="F33">
        <f>20050-18900</f>
        <v>1150</v>
      </c>
    </row>
    <row r="34" spans="5:6" x14ac:dyDescent="0.35">
      <c r="E34">
        <f>+E32*4.5%</f>
        <v>20954.25</v>
      </c>
    </row>
    <row r="36" spans="5:6" x14ac:dyDescent="0.35">
      <c r="F36">
        <f>1900+16000+2150</f>
        <v>20050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83 Blanca</v>
      </c>
      <c r="F2" s="268"/>
      <c r="G2" s="267" t="str">
        <f>IF(G33=0,"",CONCATENATE(PREMIOS!$B15," ",PREMIOS!$B16))</f>
        <v>32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29100+11900</f>
        <v>41000</v>
      </c>
      <c r="D10" s="30">
        <f>1900+0</f>
        <v>1900</v>
      </c>
      <c r="E10" s="180">
        <f>13500+6250</f>
        <v>19750</v>
      </c>
      <c r="F10" s="30">
        <f t="shared" si="0"/>
        <v>0</v>
      </c>
      <c r="G10" s="180">
        <f>20300+9100</f>
        <v>29400</v>
      </c>
      <c r="H10" s="30">
        <v>200</v>
      </c>
      <c r="J10" s="42">
        <f t="shared" si="3"/>
        <v>90150</v>
      </c>
      <c r="K10" s="42">
        <f t="shared" si="4"/>
        <v>2100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4500</v>
      </c>
      <c r="D12" s="30">
        <v>250</v>
      </c>
      <c r="E12" s="180">
        <v>2000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7000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13800</v>
      </c>
      <c r="D17" s="30">
        <f t="shared" si="0"/>
        <v>0</v>
      </c>
      <c r="E17" s="180">
        <v>7200</v>
      </c>
      <c r="F17" s="30">
        <f t="shared" si="0"/>
        <v>0</v>
      </c>
      <c r="G17" s="180">
        <v>28600</v>
      </c>
      <c r="H17" s="30">
        <f t="shared" si="0"/>
        <v>0</v>
      </c>
      <c r="J17" s="42">
        <f t="shared" si="3"/>
        <v>49600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28000</v>
      </c>
      <c r="D18" s="30">
        <v>450</v>
      </c>
      <c r="E18" s="180">
        <v>22300</v>
      </c>
      <c r="F18" s="30">
        <f t="shared" si="0"/>
        <v>0</v>
      </c>
      <c r="G18" s="180">
        <v>9850</v>
      </c>
      <c r="H18" s="30">
        <f t="shared" si="0"/>
        <v>0</v>
      </c>
      <c r="J18" s="42">
        <f t="shared" si="3"/>
        <v>60150</v>
      </c>
      <c r="K18" s="42">
        <f t="shared" si="4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87300</v>
      </c>
      <c r="D33" s="44">
        <f t="shared" si="7"/>
        <v>2600</v>
      </c>
      <c r="E33" s="43">
        <f t="shared" si="7"/>
        <v>51250</v>
      </c>
      <c r="F33" s="44">
        <f t="shared" si="7"/>
        <v>0</v>
      </c>
      <c r="G33" s="43">
        <f t="shared" si="7"/>
        <v>68350</v>
      </c>
      <c r="H33" s="44">
        <f t="shared" si="7"/>
        <v>200</v>
      </c>
      <c r="J33" s="45">
        <f>SUM(J4:J32)</f>
        <v>206900</v>
      </c>
      <c r="K33" s="95">
        <f>SUM(K4:K32)</f>
        <v>2800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76</v>
      </c>
      <c r="D2" s="268"/>
      <c r="E2" s="267">
        <f>IF(PREMIOS!$C19="","",PREMIOS!$C19)</f>
        <v>81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21900</v>
      </c>
      <c r="D4" s="78">
        <f t="shared" ref="D4:F27" si="0">IF(C4="","",0)</f>
        <v>0</v>
      </c>
      <c r="E4" s="189">
        <v>3800</v>
      </c>
      <c r="F4" s="78">
        <f t="shared" si="0"/>
        <v>0</v>
      </c>
      <c r="H4" s="42">
        <f>+C4+E4</f>
        <v>25700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41350</v>
      </c>
      <c r="D8" s="30">
        <v>1000</v>
      </c>
      <c r="E8" s="194">
        <v>32550</v>
      </c>
      <c r="F8" s="195">
        <v>600</v>
      </c>
      <c r="H8" s="42">
        <f t="shared" si="2"/>
        <v>73900</v>
      </c>
      <c r="I8" s="42">
        <f t="shared" si="3"/>
        <v>1600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9000+16000</f>
        <v>25000</v>
      </c>
      <c r="D10" s="30">
        <f t="shared" si="0"/>
        <v>0</v>
      </c>
      <c r="E10" s="180">
        <f>15000+12450</f>
        <v>27450</v>
      </c>
      <c r="F10" s="195">
        <f>1500+0</f>
        <v>1500</v>
      </c>
      <c r="H10" s="42">
        <f t="shared" si="2"/>
        <v>52450</v>
      </c>
      <c r="I10" s="42">
        <f t="shared" si="3"/>
        <v>1500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26400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26400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7700</v>
      </c>
      <c r="D16" s="195">
        <f t="shared" si="0"/>
        <v>0</v>
      </c>
      <c r="E16" s="194">
        <v>0</v>
      </c>
      <c r="F16" s="195">
        <f t="shared" si="0"/>
        <v>0</v>
      </c>
      <c r="H16" s="42">
        <f t="shared" si="2"/>
        <v>7700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73400</v>
      </c>
      <c r="D17" s="195">
        <f t="shared" si="0"/>
        <v>0</v>
      </c>
      <c r="E17" s="180">
        <v>37050</v>
      </c>
      <c r="F17" s="30">
        <v>500</v>
      </c>
      <c r="H17" s="42">
        <f t="shared" si="2"/>
        <v>110450</v>
      </c>
      <c r="I17" s="42">
        <f t="shared" si="3"/>
        <v>500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52900</v>
      </c>
      <c r="D18" s="195">
        <v>200</v>
      </c>
      <c r="E18" s="180">
        <v>15700</v>
      </c>
      <c r="F18" s="30">
        <f t="shared" si="0"/>
        <v>0</v>
      </c>
      <c r="H18" s="42">
        <f t="shared" si="2"/>
        <v>68600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250650</v>
      </c>
      <c r="D33" s="44">
        <f>SUM(D4:D32)</f>
        <v>1200</v>
      </c>
      <c r="E33" s="43">
        <f>SUM(E4:E32)</f>
        <v>116550</v>
      </c>
      <c r="F33" s="44">
        <f>SUM(F4:F32)</f>
        <v>2600</v>
      </c>
      <c r="H33" s="95">
        <f>SUM(H4:H32)</f>
        <v>367200</v>
      </c>
      <c r="I33" s="95">
        <f>SUM(I4:I32)</f>
        <v>3800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6"/>
  <sheetViews>
    <sheetView showGridLines="0" zoomScale="90" zoomScaleNormal="90" workbookViewId="0">
      <selection activeCell="C27" sqref="C2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03</v>
      </c>
      <c r="D2" s="268"/>
      <c r="E2" s="267">
        <f>IF(PREMIOS!$C20="","",PREMIOS!$C20)</f>
        <v>28</v>
      </c>
      <c r="F2" s="268"/>
      <c r="G2" s="267" t="str">
        <f>IF(PREMIOS!$D20="","",PREMIOS!$D20)</f>
        <v>04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30350</v>
      </c>
      <c r="D10" s="195">
        <f t="shared" si="0"/>
        <v>0</v>
      </c>
      <c r="E10" s="180">
        <v>11300</v>
      </c>
      <c r="F10" s="30">
        <f t="shared" si="0"/>
        <v>0</v>
      </c>
      <c r="G10" s="180">
        <v>17900</v>
      </c>
      <c r="H10" s="195">
        <f t="shared" si="0"/>
        <v>0</v>
      </c>
      <c r="J10" s="42">
        <f t="shared" si="3"/>
        <v>59550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10450</v>
      </c>
      <c r="D12" s="195">
        <v>500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10450</v>
      </c>
      <c r="K12" s="42">
        <f t="shared" si="4"/>
        <v>500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28350</v>
      </c>
      <c r="D17" s="195">
        <v>250</v>
      </c>
      <c r="E17" s="194">
        <v>14350</v>
      </c>
      <c r="F17" s="195">
        <v>50</v>
      </c>
      <c r="G17" s="194">
        <v>28200</v>
      </c>
      <c r="H17" s="195">
        <v>400</v>
      </c>
      <c r="J17" s="42">
        <f t="shared" si="3"/>
        <v>70900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11100</v>
      </c>
      <c r="D18" s="195">
        <v>1500</v>
      </c>
      <c r="E18" s="180">
        <v>10700</v>
      </c>
      <c r="F18" s="30">
        <v>200</v>
      </c>
      <c r="G18" s="180">
        <v>4000</v>
      </c>
      <c r="H18" s="30">
        <f t="shared" si="2"/>
        <v>0</v>
      </c>
      <c r="J18" s="42">
        <f t="shared" si="3"/>
        <v>25800</v>
      </c>
      <c r="K18" s="42">
        <f t="shared" si="4"/>
        <v>1700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80250</v>
      </c>
      <c r="D33" s="44">
        <f t="shared" si="6"/>
        <v>2250</v>
      </c>
      <c r="E33" s="43">
        <f t="shared" si="6"/>
        <v>36350</v>
      </c>
      <c r="F33" s="44">
        <f t="shared" si="6"/>
        <v>250</v>
      </c>
      <c r="G33" s="43">
        <f t="shared" si="6"/>
        <v>50100</v>
      </c>
      <c r="H33" s="44">
        <f t="shared" si="6"/>
        <v>400</v>
      </c>
      <c r="J33" s="45">
        <f>SUM(J4:J32)</f>
        <v>166700</v>
      </c>
      <c r="K33" s="95">
        <f>SUM(K4:K32)</f>
        <v>2900</v>
      </c>
    </row>
    <row r="34" spans="3:11" x14ac:dyDescent="0.35">
      <c r="C34">
        <f>28350+11100+30350+10450</f>
        <v>80250</v>
      </c>
    </row>
    <row r="35" spans="3:11" x14ac:dyDescent="0.35">
      <c r="C35">
        <v>70260</v>
      </c>
    </row>
    <row r="36" spans="3:11" x14ac:dyDescent="0.35">
      <c r="C36">
        <f>+C34-C35</f>
        <v>9990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69</v>
      </c>
      <c r="D2" s="268"/>
      <c r="E2" s="267">
        <f>IF(PREMIOS!$C21="","",PREMIOS!$C21)</f>
        <v>49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8000</v>
      </c>
      <c r="D10" s="30">
        <f t="shared" si="0"/>
        <v>0</v>
      </c>
      <c r="E10" s="180">
        <v>21000</v>
      </c>
      <c r="F10" s="30">
        <f t="shared" si="0"/>
        <v>0</v>
      </c>
      <c r="H10" s="42">
        <f t="shared" si="2"/>
        <v>29000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8000</v>
      </c>
      <c r="D33" s="44">
        <f>SUM(D4:D32)</f>
        <v>0</v>
      </c>
      <c r="E33" s="43">
        <f>SUM(E4:E32)</f>
        <v>21000</v>
      </c>
      <c r="F33" s="44">
        <f>SUM(F4:F32)</f>
        <v>0</v>
      </c>
      <c r="H33" s="45">
        <f>SUM(H4:H32)</f>
        <v>29000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47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51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Gráfico1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2026-06-06T23:03:47Z</dcterms:modified>
  <dc:language>es-CR</dc:language>
</cp:coreProperties>
</file>
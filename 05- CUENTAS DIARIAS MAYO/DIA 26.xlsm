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51" documentId="11_A40A822563478F9EBC57B99B10600BEB2ACFD80F" xr6:coauthVersionLast="47" xr6:coauthVersionMax="47" xr10:uidLastSave="{6054459D-9791-4025-AE1A-B22C4FC06F11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 l="1"/>
  <c r="I10" i="61"/>
  <c r="H10" i="60"/>
  <c r="G10" i="60"/>
  <c r="H17" i="60"/>
  <c r="G17" i="60"/>
  <c r="H18" i="60"/>
  <c r="G18" i="60"/>
  <c r="F10" i="62"/>
  <c r="E10" i="62"/>
  <c r="H10" i="61"/>
  <c r="G10" i="61"/>
  <c r="F17" i="60"/>
  <c r="E17" i="60"/>
  <c r="F18" i="60"/>
  <c r="E18" i="60"/>
  <c r="F10" i="60"/>
  <c r="E10" i="60"/>
  <c r="C10" i="60" l="1"/>
  <c r="D17" i="60"/>
  <c r="C17" i="60"/>
  <c r="D18" i="60"/>
  <c r="C18" i="60"/>
  <c r="C10" i="62"/>
  <c r="F10" i="61"/>
  <c r="E10" i="61"/>
  <c r="D10" i="61" l="1"/>
  <c r="C10" i="61"/>
  <c r="C17" i="65"/>
  <c r="D11" i="65" l="1"/>
  <c r="D10" i="65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G16" i="71" l="1"/>
  <c r="H16" i="71"/>
  <c r="F23" i="15"/>
  <c r="E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6" i="61"/>
  <c r="D25" i="61"/>
  <c r="D24" i="61"/>
  <c r="D23" i="61"/>
  <c r="D22" i="61"/>
  <c r="D21" i="61"/>
  <c r="D20" i="61"/>
  <c r="D19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1" i="60"/>
  <c r="D10" i="60"/>
  <c r="D36" i="60" s="1"/>
  <c r="D9" i="60"/>
  <c r="D8" i="60"/>
  <c r="D7" i="60"/>
  <c r="D4" i="60"/>
  <c r="D34" i="60" s="1"/>
  <c r="F18" i="23"/>
  <c r="F14" i="23"/>
  <c r="F10" i="23"/>
  <c r="F6" i="23"/>
  <c r="F6" i="14"/>
  <c r="F10" i="14"/>
  <c r="F14" i="14"/>
  <c r="F18" i="14"/>
  <c r="D10" i="66"/>
  <c r="H10" i="64"/>
  <c r="F17" i="64"/>
  <c r="F17" i="65"/>
  <c r="F18" i="62"/>
  <c r="D5" i="61"/>
  <c r="F16" i="61"/>
  <c r="D6" i="60"/>
  <c r="F15" i="60"/>
  <c r="F11" i="60"/>
  <c r="F35" i="60" s="1"/>
  <c r="F9" i="60"/>
  <c r="F7" i="60"/>
  <c r="F6" i="60"/>
  <c r="F5" i="60"/>
  <c r="H16" i="60"/>
  <c r="H15" i="60"/>
  <c r="H11" i="60"/>
  <c r="H9" i="60"/>
  <c r="H7" i="60"/>
  <c r="H6" i="60"/>
  <c r="H4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4" i="60"/>
  <c r="D35" i="60"/>
  <c r="J8" i="14"/>
  <c r="D21" i="14"/>
  <c r="C12" i="71"/>
  <c r="D22" i="14"/>
  <c r="K15" i="14" s="1"/>
  <c r="G12" i="71"/>
  <c r="E19" i="16"/>
  <c r="D4" i="65"/>
  <c r="D20" i="16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0" i="62"/>
  <c r="H16" i="61"/>
  <c r="H15" i="61"/>
  <c r="H14" i="61"/>
  <c r="H13" i="61"/>
  <c r="H12" i="61"/>
  <c r="H11" i="61"/>
  <c r="E13" i="16" s="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7" i="23" l="1"/>
  <c r="K5" i="14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M22" i="61" s="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0" i="73"/>
  <c r="I30" i="73" s="1"/>
  <c r="H24" i="73"/>
  <c r="I24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16" i="73"/>
  <c r="F15" i="73"/>
  <c r="G15" i="73" s="1"/>
  <c r="L15" i="73" s="1"/>
  <c r="F14" i="73"/>
  <c r="G14" i="73" s="1"/>
  <c r="L14" i="73" s="1"/>
  <c r="F13" i="73"/>
  <c r="F12" i="73"/>
  <c r="F11" i="73"/>
  <c r="G11" i="73" s="1"/>
  <c r="L11" i="73" s="1"/>
  <c r="F9" i="73"/>
  <c r="F8" i="73"/>
  <c r="F7" i="73"/>
  <c r="G7" i="73" s="1"/>
  <c r="L7" i="73" s="1"/>
  <c r="F6" i="73"/>
  <c r="F5" i="73"/>
  <c r="F4" i="73"/>
  <c r="G4" i="73" s="1"/>
  <c r="D31" i="73"/>
  <c r="H31" i="73" s="1"/>
  <c r="I31" i="73" s="1"/>
  <c r="C31" i="73"/>
  <c r="F31" i="73" s="1"/>
  <c r="B31" i="73"/>
  <c r="D30" i="73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B26" i="73"/>
  <c r="D25" i="73"/>
  <c r="H25" i="73" s="1"/>
  <c r="I25" i="73" s="1"/>
  <c r="C25" i="73"/>
  <c r="F25" i="73" s="1"/>
  <c r="B25" i="73"/>
  <c r="D24" i="73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B10" i="73"/>
  <c r="G8" i="73"/>
  <c r="L8" i="73" s="1"/>
  <c r="B7" i="73"/>
  <c r="B6" i="73"/>
  <c r="B5" i="73"/>
  <c r="B4" i="73"/>
  <c r="H18" i="72"/>
  <c r="H17" i="72"/>
  <c r="F31" i="72"/>
  <c r="E31" i="72"/>
  <c r="D31" i="72"/>
  <c r="J31" i="72" s="1"/>
  <c r="K31" i="72" s="1"/>
  <c r="C31" i="72"/>
  <c r="B31" i="72"/>
  <c r="F30" i="72"/>
  <c r="E30" i="72"/>
  <c r="D30" i="72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C28" i="72"/>
  <c r="B28" i="72"/>
  <c r="B27" i="72"/>
  <c r="F26" i="72"/>
  <c r="E26" i="72"/>
  <c r="D26" i="72"/>
  <c r="C26" i="72"/>
  <c r="B26" i="72"/>
  <c r="F25" i="72"/>
  <c r="J25" i="72" s="1"/>
  <c r="K25" i="72" s="1"/>
  <c r="E25" i="72"/>
  <c r="D25" i="72"/>
  <c r="C25" i="72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B23" i="72"/>
  <c r="F22" i="72"/>
  <c r="E22" i="72"/>
  <c r="D22" i="72"/>
  <c r="C22" i="72"/>
  <c r="H22" i="72" s="1"/>
  <c r="B22" i="72"/>
  <c r="F21" i="72"/>
  <c r="E21" i="72"/>
  <c r="D21" i="72"/>
  <c r="J21" i="72" s="1"/>
  <c r="K21" i="72" s="1"/>
  <c r="C21" i="72"/>
  <c r="B21" i="72"/>
  <c r="F20" i="72"/>
  <c r="E20" i="72"/>
  <c r="D20" i="72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N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I16" i="66" s="1"/>
  <c r="D15" i="66"/>
  <c r="D14" i="66"/>
  <c r="I14" i="66" s="1"/>
  <c r="D13" i="66"/>
  <c r="I13" i="66" s="1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K22" i="64" s="1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5" i="66"/>
  <c r="I12" i="66"/>
  <c r="I6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D31" i="70"/>
  <c r="C31" i="70"/>
  <c r="H31" i="70" s="1"/>
  <c r="B31" i="70"/>
  <c r="F30" i="70"/>
  <c r="E30" i="70"/>
  <c r="D30" i="70"/>
  <c r="J30" i="70" s="1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J20" i="70" s="1"/>
  <c r="K20" i="70" s="1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G33" i="64" l="1"/>
  <c r="H29" i="70"/>
  <c r="L20" i="71"/>
  <c r="M20" i="71" s="1"/>
  <c r="L24" i="71"/>
  <c r="M24" i="71" s="1"/>
  <c r="J29" i="71"/>
  <c r="E27" i="72"/>
  <c r="E33" i="66"/>
  <c r="H25" i="72"/>
  <c r="I25" i="72" s="1"/>
  <c r="N25" i="72" s="1"/>
  <c r="J22" i="70"/>
  <c r="K22" i="70" s="1"/>
  <c r="L28" i="71"/>
  <c r="M28" i="71" s="1"/>
  <c r="H24" i="72"/>
  <c r="H28" i="72"/>
  <c r="H31" i="72"/>
  <c r="J31" i="64"/>
  <c r="L7" i="23"/>
  <c r="H28" i="70"/>
  <c r="J21" i="70"/>
  <c r="K21" i="70" s="1"/>
  <c r="H30" i="70"/>
  <c r="H23" i="72"/>
  <c r="J28" i="72"/>
  <c r="K28" i="72" s="1"/>
  <c r="H30" i="72"/>
  <c r="J20" i="72"/>
  <c r="K20" i="72" s="1"/>
  <c r="J23" i="72"/>
  <c r="K23" i="72" s="1"/>
  <c r="H26" i="72"/>
  <c r="N26" i="72" s="1"/>
  <c r="J30" i="72"/>
  <c r="K30" i="72" s="1"/>
  <c r="F16" i="71"/>
  <c r="L16" i="71" s="1"/>
  <c r="M16" i="71" s="1"/>
  <c r="F22" i="15"/>
  <c r="G22" i="15"/>
  <c r="L25" i="71"/>
  <c r="M25" i="71" s="1"/>
  <c r="H29" i="66"/>
  <c r="J23" i="70"/>
  <c r="K23" i="70" s="1"/>
  <c r="L22" i="71"/>
  <c r="M22" i="71" s="1"/>
  <c r="J22" i="72"/>
  <c r="K22" i="72" s="1"/>
  <c r="J32" i="64"/>
  <c r="L6" i="6"/>
  <c r="K20" i="19"/>
  <c r="K9" i="19"/>
  <c r="L21" i="71"/>
  <c r="M21" i="71" s="1"/>
  <c r="J22" i="71"/>
  <c r="J31" i="71"/>
  <c r="J26" i="72"/>
  <c r="K26" i="72" s="1"/>
  <c r="D18" i="72"/>
  <c r="C17" i="73"/>
  <c r="F17" i="73" s="1"/>
  <c r="J10" i="8"/>
  <c r="J29" i="64"/>
  <c r="I18" i="66"/>
  <c r="H24" i="70"/>
  <c r="J7" i="19"/>
  <c r="F25" i="19"/>
  <c r="L9" i="19" s="1"/>
  <c r="F18" i="72"/>
  <c r="J26" i="71"/>
  <c r="L29" i="71"/>
  <c r="M29" i="71" s="1"/>
  <c r="H20" i="72"/>
  <c r="H21" i="72"/>
  <c r="D26" i="21"/>
  <c r="J10" i="21"/>
  <c r="D26" i="19"/>
  <c r="J10" i="19"/>
  <c r="F27" i="72"/>
  <c r="K28" i="70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F6" i="28"/>
  <c r="E6" i="28"/>
  <c r="F5" i="28"/>
  <c r="E5" i="28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H33" i="66" l="1"/>
  <c r="I33" i="66"/>
  <c r="P26" i="59"/>
  <c r="N27" i="72"/>
  <c r="L27" i="70"/>
  <c r="N16" i="71"/>
  <c r="L8" i="15"/>
  <c r="K21" i="19"/>
  <c r="K10" i="19"/>
  <c r="P22" i="59"/>
  <c r="K21" i="8"/>
  <c r="K10" i="8"/>
  <c r="L27" i="71"/>
  <c r="M27" i="71" s="1"/>
  <c r="N29" i="71"/>
  <c r="P26" i="71"/>
  <c r="P16" i="71"/>
  <c r="J27" i="72"/>
  <c r="K27" i="72" s="1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M22" i="52" l="1"/>
  <c r="L6" i="23"/>
  <c r="N18" i="71"/>
  <c r="C24" i="15"/>
  <c r="J4" i="23"/>
  <c r="J5" i="19"/>
  <c r="M20" i="52"/>
  <c r="L5" i="23"/>
  <c r="M25" i="52"/>
  <c r="F17" i="52"/>
  <c r="M24" i="52"/>
  <c r="M26" i="52"/>
  <c r="J5" i="23"/>
  <c r="M23" i="52"/>
  <c r="M21" i="52"/>
  <c r="N17" i="71"/>
  <c r="P17" i="71" s="1"/>
  <c r="F5" i="15"/>
  <c r="L5" i="15" s="1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G15" i="29" s="1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F32" i="60"/>
  <c r="H32" i="61"/>
  <c r="K4" i="23"/>
  <c r="E32" i="61"/>
  <c r="E32" i="60"/>
  <c r="J32" i="61"/>
  <c r="D24" i="15"/>
  <c r="M27" i="52"/>
  <c r="C32" i="61"/>
  <c r="I32" i="61"/>
  <c r="L19" i="59"/>
  <c r="H32" i="60"/>
  <c r="H33" i="60" s="1"/>
  <c r="K5" i="23"/>
  <c r="J19" i="70"/>
  <c r="K19" i="70" s="1"/>
  <c r="G32" i="60"/>
  <c r="G32" i="61"/>
  <c r="F32" i="61"/>
  <c r="L6" i="25"/>
  <c r="H19" i="70"/>
  <c r="K6" i="23"/>
  <c r="K5" i="19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2" l="1"/>
  <c r="M4" i="52"/>
  <c r="M7" i="52"/>
  <c r="R29" i="59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0" i="58"/>
  <c r="P22" i="58"/>
  <c r="P25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5" i="52"/>
  <c r="C24" i="1" s="1"/>
  <c r="B24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l="1"/>
  <c r="F12" i="15"/>
  <c r="F12" i="19"/>
  <c r="F12" i="8"/>
  <c r="K20" i="52"/>
  <c r="C19" i="1" s="1"/>
  <c r="B19" i="1"/>
  <c r="K5" i="52"/>
  <c r="C4" i="1" s="1"/>
  <c r="B4" i="1"/>
  <c r="K6" i="52"/>
  <c r="C5" i="1" s="1"/>
  <c r="B5" i="1"/>
  <c r="K23" i="52"/>
  <c r="C22" i="1" s="1"/>
  <c r="B22" i="1"/>
  <c r="K4" i="52"/>
  <c r="C3" i="1" s="1"/>
  <c r="B3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<sst xmlns="http://schemas.openxmlformats.org/spreadsheetml/2006/main" count="1292" uniqueCount="159">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</sst>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253400</v>
      </c>
      <c r="C3" s="9">
        <f>+HojaTICA!K4+HojaNICA!M4+HojaREVENTADO!K4+HojaPrimera!I4+HojaHonduras!K4+HojaDominicana!I4+HojaPANA!G4</f>
        <v>32950</v>
      </c>
      <c r="D3" s="9">
        <f>+HojaTICA!N4+HojaNICA!P4+HojaREVENTADO!O4+HojaPrimera!L4+HojaHonduras!N4+HojaDominicana!L4+HojaPANA!J4</f>
        <v>29750</v>
      </c>
      <c r="F3" s="10">
        <f t="shared" ref="F3:F27" si="0">+B3-C3-D3</f>
        <v>190700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156050</v>
      </c>
      <c r="C4" s="9">
        <f>+HojaTICA!K5+HojaNICA!M5+HojaREVENTADO!K5+HojaPrimera!I5+HojaHonduras!K5+HojaDominicana!I5+HojaPANA!G5</f>
        <v>20300</v>
      </c>
      <c r="D4" s="9">
        <f>+HojaTICA!N5+HojaNICA!P5+HojaREVENTADO!O5+HojaPrimera!L5+HojaHonduras!N5+HojaDominicana!L5+HojaPANA!J5</f>
        <v>38250</v>
      </c>
      <c r="F4" s="14">
        <f t="shared" si="0"/>
        <v>97500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385900</v>
      </c>
      <c r="C7" s="9">
        <f>+HojaTICA!K8+HojaNICA!M8+HojaREVENTADO!K8+HojaPrimera!I8+HojaHonduras!K8+HojaDominicana!I8+HojaPANA!G8</f>
        <v>46300</v>
      </c>
      <c r="D7" s="9">
        <f>+HojaTICA!N8+HojaNICA!P8+HojaREVENTADO!O8+HojaPrimera!L8+HojaHonduras!N8+HojaDominicana!L8+HojaPANA!J8</f>
        <v>427750</v>
      </c>
      <c r="F7" s="14">
        <f t="shared" si="0"/>
        <v>-88150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1008850</v>
      </c>
      <c r="C9" s="9">
        <f>+HojaTICA!K10+HojaNICA!M10+HojaREVENTADO!K10+HojaPrimera!I10+HojaHonduras!K10+HojaDominicana!I10+HojaPANA!G10</f>
        <v>118800</v>
      </c>
      <c r="D9" s="9">
        <f>+HojaTICA!N10+HojaNICA!P10+HojaREVENTADO!O10+HojaPrimera!L10+HojaHonduras!N10+HojaDominicana!L10+HojaPANA!J10</f>
        <v>965000</v>
      </c>
      <c r="F9" s="14">
        <f t="shared" si="0"/>
        <v>-74950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21500</v>
      </c>
      <c r="C10" s="9">
        <f>+HojaTICA!K11+HojaNICA!M11+HojaREVENTADO!K11+HojaPrimera!I11+HojaHonduras!K11+HojaDominicana!I11+HojaPANA!G11</f>
        <v>2600</v>
      </c>
      <c r="D10" s="9">
        <f>+HojaTICA!N11+HojaNICA!P11+HojaREVENTADO!O11+HojaPrimera!L11+HojaHonduras!N11+HojaDominicana!L11+HojaPANA!J11</f>
        <v>0</v>
      </c>
      <c r="F10" s="14">
        <f t="shared" si="0"/>
        <v>18900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134600</v>
      </c>
      <c r="C11" s="9">
        <f>+HojaTICA!K12+HojaNICA!M12+HojaREVENTADO!K12+HojaPrimera!I12+HojaHonduras!K12+HojaDominicana!I12+HojaPANA!G12</f>
        <v>15980</v>
      </c>
      <c r="D11" s="9">
        <f>+HojaTICA!N12+HojaNICA!P12+HojaREVENTADO!O12+HojaPrimera!L12+HojaHonduras!N12+HojaDominicana!L12+HojaPANA!J12</f>
        <v>153000</v>
      </c>
      <c r="F11" s="14">
        <f t="shared" si="0"/>
        <v>-34380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159000</v>
      </c>
      <c r="C12" s="9">
        <f>+HojaTICA!K13+HojaNICA!M13+HojaREVENTADO!K13+HojaPrimera!I13+HojaHonduras!K13+HojaDominicana!I13+HojaPANA!G13</f>
        <v>19100</v>
      </c>
      <c r="D12" s="9">
        <f>+HojaTICA!N13+HojaNICA!P13+HojaREVENTADO!O13+HojaPrimera!L13+HojaHonduras!N13+HojaDominicana!L13+HojaPANA!J13</f>
        <v>310250</v>
      </c>
      <c r="F12" s="14">
        <f t="shared" si="0"/>
        <v>-170350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119100</v>
      </c>
      <c r="C13" s="9">
        <f>+HojaTICA!K14+HojaNICA!M14+HojaREVENTADO!K14+HojaPrimera!I14+HojaHonduras!K14+HojaDominicana!I14+HojaPANA!G14</f>
        <v>17850</v>
      </c>
      <c r="D13" s="9">
        <f>+HojaTICA!N14+HojaNICA!P14+HojaREVENTADO!O14+HojaPrimera!L14+HojaHonduras!N14+HojaDominicana!L14+HojaPANA!J14</f>
        <v>104000</v>
      </c>
      <c r="F13" s="14">
        <f t="shared" si="0"/>
        <v>-2750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73850</v>
      </c>
      <c r="C15" s="9">
        <f>+HojaTICA!K16+HojaNICA!M16+HojaREVENTADO!K16+HojaPrimera!I16+HojaHonduras!K16+HojaDominicana!I16+HojaPANA!G16</f>
        <v>8850</v>
      </c>
      <c r="D15" s="9">
        <f>+HojaTICA!N16+HojaNICA!P16+HojaREVENTADO!O16+HojaPrimera!L16+HojaHonduras!N16+HojaDominicana!L16+HojaPANA!J16</f>
        <v>16500</v>
      </c>
      <c r="F15" s="14">
        <f t="shared" si="0"/>
        <v>48500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930800</v>
      </c>
      <c r="C16" s="9">
        <f>+HojaTICA!K17+HojaNICA!M17+HojaREVENTADO!K17+HojaPrimera!I17+HojaHonduras!K17+HojaDominicana!I17+HojaPANA!G17</f>
        <v>110520</v>
      </c>
      <c r="D16" s="9">
        <f>+HojaTICA!N17+HojaNICA!P17+HojaREVENTADO!O17+HojaPrimera!L17+HojaHonduras!N17+HojaDominicana!L17+HojaPANA!J17</f>
        <v>520000</v>
      </c>
      <c r="F16" s="14">
        <f t="shared" si="0"/>
        <v>300280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793650</v>
      </c>
      <c r="C17" s="9">
        <f>+HojaTICA!K18+HojaNICA!M18+HojaREVENTADO!K18+HojaPrimera!I18+HojaHonduras!K18+HojaDominicana!I18+HojaPANA!G18</f>
        <v>93380</v>
      </c>
      <c r="D17" s="9">
        <f>+HojaTICA!N18+HojaNICA!P18+HojaREVENTADO!O18+HojaPrimera!L18+HojaHonduras!N18+HojaDominicana!L18+HojaPANA!J18</f>
        <v>692750</v>
      </c>
      <c r="F17" s="14">
        <f t="shared" si="0"/>
        <v>7520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-445</v>
      </c>
      <c r="D26" s="9">
        <f>+HojaTICA!N27+HojaNICA!P27+HojaREVENTADO!O27+HojaPrimera!L27+HojaHonduras!N27+HojaDominicana!L27+HojaPANA!J27</f>
        <v>0</v>
      </c>
      <c r="F26" s="14">
        <f t="shared" si="0"/>
        <v>445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4036700</v>
      </c>
      <c r="C28" s="17">
        <f t="shared" si="1"/>
        <v>486185</v>
      </c>
      <c r="D28" s="18">
        <f t="shared" si="1"/>
        <v>3257250</v>
      </c>
      <c r="F28" s="20">
        <f>SUM(F3:F27)</f>
        <v>293265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33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46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29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49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68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53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59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60</v>
      </c>
      <c r="C19" s="132">
        <v>84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61</v>
      </c>
      <c r="C20" s="163">
        <v>93</v>
      </c>
      <c r="D20" s="166">
        <v>24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29</v>
      </c>
      <c r="C21" s="164">
        <v>52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46</v>
      </c>
      <c r="D2" s="268"/>
      <c r="E2" s="267">
        <f>DigitaTICA!E2</f>
        <v>49</v>
      </c>
      <c r="F2" s="268"/>
      <c r="G2" s="267">
        <f>DigitaTICA!G2</f>
        <v>53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71050</v>
      </c>
      <c r="D4" s="30">
        <f>IF(Vendedor1!$E$7="",0,Vendedor1!$E$7)</f>
        <v>0</v>
      </c>
      <c r="E4" s="180">
        <f>IF(Vendedor1!$C$11="",0,Vendedor1!$C$11)</f>
        <v>37550</v>
      </c>
      <c r="F4" s="30">
        <f>IF(Vendedor1!$E$11="",0,Vendedor1!$E$11)</f>
        <v>350</v>
      </c>
      <c r="G4" s="180">
        <f>IF(Vendedor1!$C$15="",0,Vendedor1!$C$15)</f>
        <v>69250</v>
      </c>
      <c r="H4" s="30">
        <f>IF(Vendedor1!$E$15="",0,Vendedor1!$E$15)</f>
        <v>0</v>
      </c>
      <c r="J4" s="42">
        <f t="shared" ref="J4:J7" si="0">+C4+E4+G4</f>
        <v>177850</v>
      </c>
      <c r="K4" s="41">
        <f>MROUND(J4*Vendedor1!J$9,50)</f>
        <v>23100</v>
      </c>
      <c r="L4" s="42">
        <f t="shared" ref="L4:L7" si="1">+D4+F4+H4</f>
        <v>350</v>
      </c>
      <c r="M4" s="42">
        <f t="shared" ref="M4:M7" si="2">+L4*85</f>
        <v>29750</v>
      </c>
      <c r="N4" s="42">
        <f>Vendedor1!$F$7+Vendedor1!$F$11+Vendedor1!$F$15</f>
        <v>29750</v>
      </c>
      <c r="P4" s="42">
        <f t="shared" ref="P4:P7" si="3">+J4-K4-N4</f>
        <v>125000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40500</v>
      </c>
      <c r="D5" s="30">
        <f>IF(Vendedor2!$E$7="",0,Vendedor2!$E$7)</f>
        <v>200</v>
      </c>
      <c r="E5" s="180">
        <f>IF(Vendedor2!$C$11="",0,Vendedor2!$C$11)</f>
        <v>23500</v>
      </c>
      <c r="F5" s="30">
        <f>IF(Vendedor2!$E$11="",0,Vendedor2!$E$11)</f>
        <v>0</v>
      </c>
      <c r="G5" s="180">
        <f>IF(Vendedor2!$C$15="",0,Vendedor2!$C$15)</f>
        <v>71650</v>
      </c>
      <c r="H5" s="30">
        <f>IF(Vendedor2!$E$15="",0,Vendedor2!$E$15)</f>
        <v>250</v>
      </c>
      <c r="J5" s="42">
        <f t="shared" si="0"/>
        <v>135650</v>
      </c>
      <c r="K5" s="41">
        <f>MROUND(J5*Vendedor2!J$9,50)</f>
        <v>17650</v>
      </c>
      <c r="L5" s="42">
        <f t="shared" si="1"/>
        <v>450</v>
      </c>
      <c r="M5" s="42">
        <f t="shared" si="2"/>
        <v>38250</v>
      </c>
      <c r="N5" s="42">
        <f>Vendedor2!$F$7+Vendedor2!$F$11+Vendedor2!$F$15</f>
        <v>38250</v>
      </c>
      <c r="P5" s="42">
        <f t="shared" si="3"/>
        <v>79750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58550</v>
      </c>
      <c r="D8" s="30">
        <f>IF(Vendedor5!$E$7="",0,Vendedor5!$E$7)</f>
        <v>0</v>
      </c>
      <c r="E8" s="180">
        <f>IF(Vendedor5!$C$11="",0,Vendedor5!$C$11)</f>
        <v>45900</v>
      </c>
      <c r="F8" s="30">
        <f>IF(Vendedor5!$E$11="",0,Vendedor5!$E$11)</f>
        <v>250</v>
      </c>
      <c r="G8" s="180">
        <f>IF(Vendedor5!$C$15="",0,Vendedor5!$C$15)</f>
        <v>62500</v>
      </c>
      <c r="H8" s="30">
        <f>IF(Vendedor5!$E$15="",0,Vendedor5!$E$15)</f>
        <v>500</v>
      </c>
      <c r="J8" s="42">
        <f t="shared" ref="J8" si="4">+C8+E8+G8</f>
        <v>166950</v>
      </c>
      <c r="K8" s="41">
        <f>MROUND(J8*Vendedor5!J$11,50)</f>
        <v>20050</v>
      </c>
      <c r="L8" s="42">
        <f t="shared" ref="L8" si="5">+D8+F8+H8</f>
        <v>750</v>
      </c>
      <c r="M8" s="42">
        <f t="shared" ref="M8" si="6">+L8*85</f>
        <v>63750</v>
      </c>
      <c r="N8" s="42">
        <f>Vendedor5!$F$7+Vendedor5!$F$11+Vendedor5!$F$15</f>
        <v>63750</v>
      </c>
      <c r="P8" s="42">
        <f t="shared" ref="P8" si="7">+J8-K8-N8</f>
        <v>83150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149300</v>
      </c>
      <c r="D10" s="30">
        <f>IF(Vendedor7!$E$7="",0,Vendedor7!$E$7)</f>
        <v>0</v>
      </c>
      <c r="E10" s="180">
        <f>IF(Vendedor7!$C$11="",0,Vendedor7!$C$11)</f>
        <v>115450</v>
      </c>
      <c r="F10" s="30">
        <f>IF(Vendedor7!$E$11="",0,Vendedor7!$E$11)</f>
        <v>2900</v>
      </c>
      <c r="G10" s="180">
        <f>IF(Vendedor7!$C$15="",0,Vendedor7!$C$15)</f>
        <v>141700</v>
      </c>
      <c r="H10" s="30">
        <f>IF(Vendedor7!$E$15="",0,Vendedor7!$E$15)</f>
        <v>600</v>
      </c>
      <c r="J10" s="42">
        <f t="shared" si="8"/>
        <v>406450</v>
      </c>
      <c r="K10" s="41">
        <f>MROUND(J10*Vendedor7!J$14,50)</f>
        <v>48750</v>
      </c>
      <c r="L10" s="42">
        <f t="shared" si="9"/>
        <v>3500</v>
      </c>
      <c r="M10" s="42">
        <f t="shared" si="10"/>
        <v>297500</v>
      </c>
      <c r="N10" s="42">
        <f>Vendedor7!$F$7+Vendedor7!$F$11+Vendedor7!$F$15</f>
        <v>297500</v>
      </c>
      <c r="P10" s="42">
        <f t="shared" si="11"/>
        <v>60200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21500</v>
      </c>
      <c r="H11" s="30">
        <f>IF(Vendedor8!$E$15="",0,Vendedor8!$E$15)</f>
        <v>0</v>
      </c>
      <c r="J11" s="42">
        <f t="shared" si="8"/>
        <v>21500</v>
      </c>
      <c r="K11" s="41">
        <f>MROUND(J11*Vendedor8!J$11,50)</f>
        <v>2600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18900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30900</v>
      </c>
      <c r="D12" s="30">
        <f>IF(Vendedor9!$E$7="",0,Vendedor9!$E$7)</f>
        <v>250</v>
      </c>
      <c r="E12" s="180">
        <f>IF(Vendedor9!$C$11="",0,Vendedor9!$C$11)</f>
        <v>26050</v>
      </c>
      <c r="F12" s="30">
        <f>IF(Vendedor9!$E$11="",0,Vendedor9!$E$11)</f>
        <v>350</v>
      </c>
      <c r="G12" s="180">
        <f>IF(Vendedor9!$C$15="",0,Vendedor9!$C$15)</f>
        <v>17750</v>
      </c>
      <c r="H12" s="30">
        <f>IF(Vendedor9!$E$15="",0,Vendedor9!$E$15)</f>
        <v>300</v>
      </c>
      <c r="J12" s="42">
        <f t="shared" si="8"/>
        <v>74700</v>
      </c>
      <c r="K12" s="41">
        <f>MROUND(J12*Vendedor9!J$11,50)</f>
        <v>8950</v>
      </c>
      <c r="L12" s="42">
        <f t="shared" si="9"/>
        <v>900</v>
      </c>
      <c r="M12" s="42">
        <f t="shared" si="10"/>
        <v>76500</v>
      </c>
      <c r="N12" s="42">
        <f>Vendedor9!$F$7+Vendedor9!$F$11+Vendedor9!$F$15</f>
        <v>76500</v>
      </c>
      <c r="P12" s="42">
        <f t="shared" si="11"/>
        <v>-10750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36250</v>
      </c>
      <c r="D13" s="30">
        <f>IF(Vendedor10!$E$7="",0,Vendedor10!$E$7)</f>
        <v>1250</v>
      </c>
      <c r="E13" s="180">
        <f>IF(Vendedor10!$C$11="",0,Vendedor10!$C$11)</f>
        <v>26600</v>
      </c>
      <c r="F13" s="30">
        <f>IF(Vendedor10!$E$11="",0,Vendedor10!$E$11)</f>
        <v>100</v>
      </c>
      <c r="G13" s="180">
        <f>IF(Vendedor10!$C$15="",0,Vendedor10!$C$15)</f>
        <v>57150</v>
      </c>
      <c r="H13" s="30">
        <f>IF(Vendedor10!$E$15="",0,Vendedor10!$E$15)</f>
        <v>2300</v>
      </c>
      <c r="J13" s="42">
        <f t="shared" si="8"/>
        <v>120000</v>
      </c>
      <c r="K13" s="41">
        <f>MROUND(J13*Vendedor10!J$9,50)</f>
        <v>14400</v>
      </c>
      <c r="L13" s="42">
        <f t="shared" si="9"/>
        <v>3650</v>
      </c>
      <c r="M13" s="42">
        <f t="shared" si="10"/>
        <v>310250</v>
      </c>
      <c r="N13" s="42">
        <f>Vendedor10!$F$7+Vendedor10!$F$11+Vendedor10!$F$15</f>
        <v>310250</v>
      </c>
      <c r="P13" s="42">
        <f t="shared" si="11"/>
        <v>-204650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49650</v>
      </c>
      <c r="D14" s="30">
        <f>IF(Vendedor11!$E$7="",0,Vendedor11!$E$7)</f>
        <v>0</v>
      </c>
      <c r="E14" s="180">
        <f>IF(Vendedor11!$C$11="",0,Vendedor11!$C$11)</f>
        <v>35600</v>
      </c>
      <c r="F14" s="30">
        <f>IF(Vendedor11!$E$11="",0,Vendedor11!$E$11)</f>
        <v>1000</v>
      </c>
      <c r="G14" s="180">
        <f>IF(Vendedor11!$C$15="",0,Vendedor11!$C$15)</f>
        <v>33850</v>
      </c>
      <c r="H14" s="30">
        <f>IF(Vendedor11!$E$15="",0,Vendedor11!$E$15)</f>
        <v>300</v>
      </c>
      <c r="J14" s="42">
        <f t="shared" si="8"/>
        <v>119100</v>
      </c>
      <c r="K14" s="41">
        <f>MROUND(J14*Vendedor11!J$9,50)</f>
        <v>17850</v>
      </c>
      <c r="L14" s="42">
        <f t="shared" si="9"/>
        <v>1300</v>
      </c>
      <c r="M14" s="42">
        <f t="shared" si="10"/>
        <v>110500</v>
      </c>
      <c r="N14" s="42">
        <f>Vendedor11!$F$7+Vendedor11!$F$11+Vendedor11!$F$15</f>
        <v>104000</v>
      </c>
      <c r="P14" s="42">
        <f t="shared" si="11"/>
        <v>-2750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0</v>
      </c>
      <c r="D16" s="30">
        <f>IF(Vendedor13!$E$7="",0,Vendedor13!$E$7)</f>
        <v>0</v>
      </c>
      <c r="E16" s="180">
        <f>IF(Vendedor13!$C$11="",0,Vendedor13!$C$11)</f>
        <v>21200</v>
      </c>
      <c r="F16" s="30">
        <f>IF(Vendedor13!$E$11="",0,Vendedor13!$E$11)</f>
        <v>100</v>
      </c>
      <c r="G16" s="180">
        <f>IF(Vendedor13!$C$15="",0,Vendedor13!$C$15)</f>
        <v>23050</v>
      </c>
      <c r="H16" s="30">
        <f>IF(Vendedor13!$E$15="",0,Vendedor13!$E$15)</f>
        <v>0</v>
      </c>
      <c r="J16" s="42">
        <f t="shared" si="8"/>
        <v>44250</v>
      </c>
      <c r="K16" s="41">
        <f>MROUND(J16*Vendedor13!J$11,50)</f>
        <v>5300</v>
      </c>
      <c r="L16" s="42">
        <f t="shared" si="9"/>
        <v>100</v>
      </c>
      <c r="M16" s="42">
        <f t="shared" si="10"/>
        <v>8500</v>
      </c>
      <c r="N16" s="42">
        <f>Vendedor13!$F$7+Vendedor13!$F$11+Vendedor13!$F$15</f>
        <v>8500</v>
      </c>
      <c r="P16" s="42">
        <f t="shared" si="11"/>
        <v>30450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99750</v>
      </c>
      <c r="D17" s="30">
        <f>IF(Vendedor14!$E$7="",0,Vendedor14!$E$7)</f>
        <v>100</v>
      </c>
      <c r="E17" s="180">
        <f>IF(Vendedor14!$C$11="",0,Vendedor14!$C$11)</f>
        <v>86700</v>
      </c>
      <c r="F17" s="30">
        <f>IF(Vendedor14!$E$11="",0,Vendedor14!$E$11)</f>
        <v>750</v>
      </c>
      <c r="G17" s="180">
        <f>IF(Vendedor14!$C$15="",0,Vendedor14!$C$15)</f>
        <v>193350</v>
      </c>
      <c r="H17" s="30">
        <f>IF(Vendedor14!$E$15="",0,Vendedor14!$E$15)</f>
        <v>1400</v>
      </c>
      <c r="J17" s="42">
        <f t="shared" si="8"/>
        <v>379800</v>
      </c>
      <c r="K17" s="41">
        <f>MROUND(J17*Vendedor14!J$15,50)</f>
        <v>45600</v>
      </c>
      <c r="L17" s="42">
        <f t="shared" si="9"/>
        <v>2250</v>
      </c>
      <c r="M17" s="42">
        <f t="shared" si="10"/>
        <v>191250</v>
      </c>
      <c r="N17" s="42">
        <f>Vendedor14!$F$7+Vendedor14!$F$11+Vendedor14!$F$15</f>
        <v>191250</v>
      </c>
      <c r="P17" s="42">
        <f t="shared" si="11"/>
        <v>142950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83250</v>
      </c>
      <c r="D18" s="30">
        <f>IF(Vendedor15!$E$7="",0,Vendedor15!$E$7)</f>
        <v>100</v>
      </c>
      <c r="E18" s="180">
        <f>IF(Vendedor15!$C$11="",0,Vendedor15!$C$11)</f>
        <v>63600</v>
      </c>
      <c r="F18" s="30">
        <f>IF(Vendedor15!$E$11="",0,Vendedor15!$E$11)</f>
        <v>2000</v>
      </c>
      <c r="G18" s="180">
        <f>IF(Vendedor15!$C$15="",0,Vendedor15!$C$15)</f>
        <v>101850</v>
      </c>
      <c r="H18" s="30">
        <f>IF(Vendedor15!$E$15="",0,Vendedor15!$E$15)</f>
        <v>200</v>
      </c>
      <c r="J18" s="42">
        <f t="shared" ref="J18" si="12">+C18+E18+G18</f>
        <v>248700</v>
      </c>
      <c r="K18" s="41">
        <f>MROUND(J18*Vendedor15!J$15,50)</f>
        <v>29850</v>
      </c>
      <c r="L18" s="42">
        <f t="shared" ref="L18" si="13">+D18+F18+H18</f>
        <v>2300</v>
      </c>
      <c r="M18" s="42">
        <f t="shared" ref="M18" si="14">+L18*85</f>
        <v>195500</v>
      </c>
      <c r="N18" s="42">
        <f>Vendedor15!$F$7+Vendedor15!$F$11+Vendedor15!$F$15</f>
        <v>195500</v>
      </c>
      <c r="P18" s="42">
        <f t="shared" ref="P18" si="15">+J18-K18-N18</f>
        <v>23350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-23050</v>
      </c>
      <c r="H27" s="50">
        <f>IF(Vendedor24!$E$15="",0,Vendedor24!$E$15)</f>
        <v>0</v>
      </c>
      <c r="J27" s="42">
        <f t="shared" si="8"/>
        <v>-23050</v>
      </c>
      <c r="K27" s="41">
        <f>IF(J27*Vendedor24!J$9&gt;0,MROUND(J27*Vendedor24!J$9,50),MROUND(J27*Vendedor24!J$9,-50))</f>
        <v>-2750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-20300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619200</v>
      </c>
      <c r="D32" s="44">
        <f t="shared" si="16"/>
        <v>1900</v>
      </c>
      <c r="E32" s="43">
        <f t="shared" si="16"/>
        <v>482150</v>
      </c>
      <c r="F32" s="44">
        <f t="shared" si="16"/>
        <v>7800</v>
      </c>
      <c r="G32" s="43">
        <f t="shared" si="16"/>
        <v>770550</v>
      </c>
      <c r="H32" s="44">
        <f t="shared" si="16"/>
        <v>5850</v>
      </c>
      <c r="J32" s="95">
        <f>SUM(J4:J31)</f>
        <v>1871900</v>
      </c>
      <c r="K32" s="45">
        <f>SUM(K7:K31)</f>
        <v>190600</v>
      </c>
      <c r="L32" s="95">
        <f>SUM(L4:L31)</f>
        <v>15550</v>
      </c>
      <c r="M32" s="95">
        <f>SUM(M4:M31)</f>
        <v>1321750</v>
      </c>
      <c r="N32" s="95">
        <f>SUM(N4:N31)</f>
        <v>1315250</v>
      </c>
      <c r="P32" s="79">
        <f>SUM(P4:P31)</f>
        <v>325300</v>
      </c>
    </row>
    <row r="33" spans="3:13" x14ac:dyDescent="0.35">
      <c r="D33" s="99">
        <f>+D32*85</f>
        <v>161500</v>
      </c>
      <c r="F33" s="99">
        <f>+F32*85</f>
        <v>663000</v>
      </c>
      <c r="H33" s="99">
        <f>+H32*85</f>
        <v>497250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1871900</v>
      </c>
      <c r="E36" s="43">
        <f>+D36-J4-J5-J6</f>
        <v>1558400</v>
      </c>
      <c r="G36" s="101"/>
    </row>
    <row r="37" spans="3:13" x14ac:dyDescent="0.35">
      <c r="C37" s="47" t="s">
        <v>33</v>
      </c>
      <c r="D37" s="48">
        <f>D36*13%</f>
        <v>243347</v>
      </c>
      <c r="E37">
        <f>+D37-K4-K5-K6</f>
        <v>202597</v>
      </c>
      <c r="G37" s="100"/>
      <c r="H37" s="100"/>
    </row>
    <row r="38" spans="3:13" ht="15" thickBot="1" x14ac:dyDescent="0.4">
      <c r="C38" s="47" t="s">
        <v>30</v>
      </c>
      <c r="D38" s="30">
        <f>M32</f>
        <v>1321750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306803</v>
      </c>
      <c r="F39" s="98">
        <f>+P32-D39</f>
        <v>18497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306803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33</v>
      </c>
      <c r="D2" s="268"/>
      <c r="E2" s="267">
        <f>DigitaNICA!E2</f>
        <v>29</v>
      </c>
      <c r="F2" s="268"/>
      <c r="G2" s="267">
        <f>DigitaNICA!G2</f>
        <v>68</v>
      </c>
      <c r="H2" s="268"/>
      <c r="I2" s="267">
        <f>DigitaNICA!I2</f>
        <v>59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41600</v>
      </c>
      <c r="D4" s="78">
        <f>IF(Vendedor1!$E$5="",0,Vendedor1!$E$5)</f>
        <v>0</v>
      </c>
      <c r="E4" s="189">
        <f>IF(Vendedor1!$C$9="",0,Vendedor1!$C$9)</f>
        <v>22900</v>
      </c>
      <c r="F4" s="78">
        <f>IF(Vendedor1!$E$9="",0,Vendedor1!$E$9)</f>
        <v>0</v>
      </c>
      <c r="G4" s="189">
        <f>IF(Vendedor1!$C$13="",0,Vendedor1!$C$13)</f>
        <v>2300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66800</v>
      </c>
      <c r="M4" s="41">
        <f>MROUND(L4*Vendedor1!J$10,50)</f>
        <v>8700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58100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8400</v>
      </c>
      <c r="D5" s="30">
        <f>IF(Vendedor2!$E$5="",0,Vendedor2!$E$5)</f>
        <v>0</v>
      </c>
      <c r="E5" s="180">
        <f>IF(Vendedor2!$C$9="",0,Vendedor2!$C$9)</f>
        <v>5000</v>
      </c>
      <c r="F5" s="30">
        <f>IF(Vendedor2!$E$9="",0,Vendedor2!$E$9)</f>
        <v>0</v>
      </c>
      <c r="G5" s="180">
        <f>IF(Vendedor2!$C$13="",0,Vendedor2!$C$13)</f>
        <v>4000</v>
      </c>
      <c r="H5" s="30">
        <f>IF(Vendedor2!$E$13="",0,Vendedor2!$E$13)</f>
        <v>0</v>
      </c>
      <c r="I5" s="180">
        <f>IF(Vendedor2!$C$17="",0,Vendedor2!$C$17)</f>
        <v>2000</v>
      </c>
      <c r="J5" s="30">
        <f>IF(Vendedor2!$E$17="",0,Vendedor2!$E$17)</f>
        <v>0</v>
      </c>
      <c r="L5" s="42">
        <f t="shared" si="0"/>
        <v>19400</v>
      </c>
      <c r="M5" s="41">
        <f>MROUND(L5*Vendedor2!J$10,50)</f>
        <v>2500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16900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72100</v>
      </c>
      <c r="D8" s="30">
        <f>IF(Vendedor5!$E$5="",0,Vendedor5!$E$5)</f>
        <v>3250</v>
      </c>
      <c r="E8" s="180">
        <f>IF(Vendedor5!$C$9="",0,Vendedor5!$C$9)</f>
        <v>50400</v>
      </c>
      <c r="F8" s="30">
        <f>IF(Vendedor5!$E$9="",0,Vendedor5!$E$9)</f>
        <v>100</v>
      </c>
      <c r="G8" s="180">
        <f>IF(Vendedor5!$C$13="",0,Vendedor5!$C$13)</f>
        <v>10400</v>
      </c>
      <c r="H8" s="30">
        <f>IF(Vendedor5!$E$13="",0,Vendedor5!$E$13)</f>
        <v>100</v>
      </c>
      <c r="I8" s="180">
        <f>IF(Vendedor5!$C$17="",0,Vendedor5!$C$17)</f>
        <v>28800</v>
      </c>
      <c r="J8" s="30">
        <f>IF(Vendedor5!$E$17="",0,Vendedor5!$E$17)</f>
        <v>0</v>
      </c>
      <c r="L8" s="42">
        <f t="shared" ref="L8" si="4">C8+E8+G8+I8</f>
        <v>161700</v>
      </c>
      <c r="M8" s="41">
        <f>MROUND(L8*Vendedor5!J$12,50)</f>
        <v>19400</v>
      </c>
      <c r="N8" s="42">
        <f t="shared" ref="N8" si="5">D8+F8+H8+J8</f>
        <v>3450</v>
      </c>
      <c r="O8" s="41">
        <f t="shared" si="3"/>
        <v>293250</v>
      </c>
      <c r="P8" s="42">
        <f>Vendedor5!$F$5+Vendedor5!$F$9+Vendedor5!$F$13+Vendedor5!$F$17</f>
        <v>276000</v>
      </c>
      <c r="Q8">
        <v>17</v>
      </c>
      <c r="R8" s="41">
        <f t="shared" ref="R8" si="6">+L8-M8-O8</f>
        <v>-150950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103000</v>
      </c>
      <c r="D10" s="30">
        <f>IF(Vendedor7!$E$5="",0,Vendedor7!$E$5)</f>
        <v>2500</v>
      </c>
      <c r="E10" s="180">
        <f>IF(Vendedor7!$C$9="",0,Vendedor7!$C$9)</f>
        <v>85150</v>
      </c>
      <c r="F10" s="30">
        <f>IF(Vendedor7!$E$9="",0,Vendedor7!$E$9)</f>
        <v>100</v>
      </c>
      <c r="G10" s="180">
        <f>IF(Vendedor7!$C$13="",0,Vendedor7!$C$13)</f>
        <v>61900</v>
      </c>
      <c r="H10" s="30">
        <f>IF(Vendedor7!$E$13="",0,Vendedor7!$E$13)</f>
        <v>0</v>
      </c>
      <c r="I10" s="180">
        <f>IF(Vendedor7!$C$17="",0,Vendedor7!$C$17)</f>
        <v>113750</v>
      </c>
      <c r="J10" s="30">
        <f>IF(Vendedor7!$E$17="",0,Vendedor7!$E$17)</f>
        <v>300</v>
      </c>
      <c r="L10" s="42">
        <f t="shared" si="7"/>
        <v>363800</v>
      </c>
      <c r="M10" s="41">
        <f>MROUND(L10*Vendedor7!J$15,50)</f>
        <v>43650</v>
      </c>
      <c r="N10" s="42">
        <f t="shared" ref="N10:N27" si="9">D10+F10+H10+J10</f>
        <v>2900</v>
      </c>
      <c r="O10" s="41">
        <f t="shared" si="3"/>
        <v>246500</v>
      </c>
      <c r="P10" s="42">
        <f>Vendedor7!$F$5+Vendedor7!$F$9+Vendedor7!$F$13+Vendedor7!$F$17</f>
        <v>246500</v>
      </c>
      <c r="R10" s="41">
        <f t="shared" si="8"/>
        <v>73650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0</v>
      </c>
      <c r="D12" s="30">
        <f>IF(Vendedor9!$E$5="",0,Vendedor9!$E$5)</f>
        <v>0</v>
      </c>
      <c r="E12" s="180">
        <f>IF(Vendedor9!$C$9="",0,Vendedor9!$C$9)</f>
        <v>22600</v>
      </c>
      <c r="F12" s="30">
        <f>IF(Vendedor9!$E$9="",0,Vendedor9!$E$9)</f>
        <v>700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22600</v>
      </c>
      <c r="M12" s="41">
        <f>MROUND(L12*Vendedor9!J$12,50)</f>
        <v>2700</v>
      </c>
      <c r="N12" s="42">
        <f t="shared" si="9"/>
        <v>700</v>
      </c>
      <c r="O12" s="41">
        <f t="shared" si="3"/>
        <v>59500</v>
      </c>
      <c r="P12" s="42">
        <f>Vendedor9!$F$5+Vendedor9!$F$9+Vendedor9!$F$13+Vendedor9!$F$17</f>
        <v>59500</v>
      </c>
      <c r="R12" s="41">
        <f t="shared" si="8"/>
        <v>-39600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15000</v>
      </c>
      <c r="D13" s="30">
        <f>IF(Vendedor10!$E$5="",0,Vendedor10!$E$5)</f>
        <v>0</v>
      </c>
      <c r="E13" s="180">
        <f>IF(Vendedor10!$C$9="",0,Vendedor10!$C$9)</f>
        <v>20550</v>
      </c>
      <c r="F13" s="30">
        <f>IF(Vendedor10!$E$9="",0,Vendedor10!$E$9)</f>
        <v>0</v>
      </c>
      <c r="G13" s="180">
        <f>IF(Vendedor10!$C$13="",0,Vendedor10!$C$13)</f>
        <v>1150</v>
      </c>
      <c r="H13" s="30">
        <f>IF(Vendedor10!$E$13="",0,Vendedor10!$E$13)</f>
        <v>0</v>
      </c>
      <c r="I13" s="180">
        <f>IF(Vendedor10!$C$17="",0,Vendedor10!$C$17)</f>
        <v>2300</v>
      </c>
      <c r="J13" s="30">
        <f>IF(Vendedor10!$E$17="",0,Vendedor10!$E$17)</f>
        <v>0</v>
      </c>
      <c r="L13" s="42">
        <f t="shared" si="7"/>
        <v>39000</v>
      </c>
      <c r="M13" s="41">
        <f>MROUND(L13*Vendedor10!J$10,50)</f>
        <v>4700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34300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0</v>
      </c>
      <c r="D16" s="30">
        <f>IF(Vendedor13!$E$5="",0,Vendedor13!$E$5)</f>
        <v>100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16200</v>
      </c>
      <c r="H16" s="30">
        <f>IF(Vendedor13!$E$13="",0,Vendedor13!$E$13)</f>
        <v>0</v>
      </c>
      <c r="I16" s="180">
        <f>IF(Vendedor13!$C$17="",0,Vendedor13!$C$17)</f>
        <v>10600</v>
      </c>
      <c r="J16" s="30">
        <f>IF(Vendedor13!$E$17="",0,Vendedor13!$E$17)</f>
        <v>0</v>
      </c>
      <c r="L16" s="42">
        <f t="shared" si="7"/>
        <v>26800</v>
      </c>
      <c r="M16" s="41">
        <f>MROUND(L16*Vendedor13!J$12,50)</f>
        <v>3200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15100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83350</v>
      </c>
      <c r="D17" s="30">
        <f>IF(Vendedor14!$E$5="",0,Vendedor14!$E$5)</f>
        <v>800</v>
      </c>
      <c r="E17" s="180">
        <f>IF(Vendedor14!$C$9="",0,Vendedor14!$C$9)</f>
        <v>60050</v>
      </c>
      <c r="F17" s="30">
        <f>IF(Vendedor14!$E$9="",0,Vendedor14!$E$9)</f>
        <v>1100</v>
      </c>
      <c r="G17" s="180">
        <f>IF(Vendedor14!$C$13="",0,Vendedor14!$C$13)</f>
        <v>42700</v>
      </c>
      <c r="H17" s="30">
        <f>IF(Vendedor14!$E$13="",0,Vendedor14!$E$13)</f>
        <v>350</v>
      </c>
      <c r="I17" s="180">
        <f>IF(Vendedor14!$C$17="",0,Vendedor14!$C$17)</f>
        <v>122200</v>
      </c>
      <c r="J17" s="30">
        <f>IF(Vendedor14!$E$17="",0,Vendedor14!$E$17)</f>
        <v>400</v>
      </c>
      <c r="L17" s="42">
        <f>C17+E17+G17+I17</f>
        <v>308300</v>
      </c>
      <c r="M17" s="41">
        <f>MROUND(L17*Vendedor14!J$16,50)</f>
        <v>37000</v>
      </c>
      <c r="N17" s="42">
        <f t="shared" si="9"/>
        <v>2650</v>
      </c>
      <c r="O17" s="41">
        <f t="shared" si="3"/>
        <v>225250</v>
      </c>
      <c r="P17" s="42">
        <f>Vendedor14!$F$5+Vendedor14!$F$9+Vendedor14!$F$13+Vendedor14!$F$17</f>
        <v>225250</v>
      </c>
      <c r="R17" s="41">
        <f t="shared" si="8"/>
        <v>46050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74950</v>
      </c>
      <c r="D18" s="30">
        <f>IF(Vendedor15!$E$5="",0,Vendedor15!$E$5)</f>
        <v>1050</v>
      </c>
      <c r="E18" s="180">
        <f>IF(Vendedor15!$C$9="",0,Vendedor15!$C$9)</f>
        <v>86100</v>
      </c>
      <c r="F18" s="30">
        <f>IF(Vendedor15!$E$9="",0,Vendedor15!$E$9)</f>
        <v>800</v>
      </c>
      <c r="G18" s="180">
        <f>IF(Vendedor15!$C$13="",0,Vendedor15!$C$13)</f>
        <v>87500</v>
      </c>
      <c r="H18" s="30">
        <f>IF(Vendedor15!$E$13="",0,Vendedor15!$E$13)</f>
        <v>1700</v>
      </c>
      <c r="I18" s="180">
        <f>IF(Vendedor15!$C$17="",0,Vendedor15!$C$17)</f>
        <v>3300</v>
      </c>
      <c r="J18" s="30">
        <f>IF(Vendedor15!$E$17="",0,Vendedor15!$E$17)</f>
        <v>0</v>
      </c>
      <c r="L18" s="42">
        <f t="shared" ref="L18:L27" si="10">C18+E18+G18+I18</f>
        <v>251850</v>
      </c>
      <c r="M18" s="41">
        <f>MROUND(L18*Vendedor15!J$16,50)</f>
        <v>30200</v>
      </c>
      <c r="N18" s="42">
        <f t="shared" si="9"/>
        <v>3550</v>
      </c>
      <c r="O18" s="41">
        <f t="shared" si="3"/>
        <v>301750</v>
      </c>
      <c r="P18" s="42">
        <f>Vendedor15!$F$5+Vendedor15!$F$9+Vendedor15!$F$13+Vendedor15!$F$17</f>
        <v>301750</v>
      </c>
      <c r="R18" s="41">
        <f t="shared" si="8"/>
        <v>-80100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398400</v>
      </c>
      <c r="D32" s="44">
        <f t="shared" si="14"/>
        <v>7700</v>
      </c>
      <c r="E32" s="43">
        <f t="shared" si="14"/>
        <v>352750</v>
      </c>
      <c r="F32" s="44">
        <f t="shared" si="14"/>
        <v>2800</v>
      </c>
      <c r="G32" s="43">
        <f t="shared" si="14"/>
        <v>226150</v>
      </c>
      <c r="H32" s="44">
        <f t="shared" si="14"/>
        <v>2150</v>
      </c>
      <c r="I32" s="43">
        <f t="shared" si="14"/>
        <v>282950</v>
      </c>
      <c r="J32" s="44">
        <f t="shared" si="14"/>
        <v>700</v>
      </c>
      <c r="L32" s="45">
        <f>SUM(L4:L31)</f>
        <v>1260250</v>
      </c>
      <c r="M32" s="45">
        <f>SUM(M7:M31)</f>
        <v>140850</v>
      </c>
      <c r="N32" s="95">
        <f>SUM(N4:N31)</f>
        <v>13350</v>
      </c>
      <c r="O32" s="46">
        <f>SUM(O4:O31)</f>
        <v>1134750</v>
      </c>
      <c r="P32" s="140">
        <f>SUM(P4:P31)</f>
        <v>1117000</v>
      </c>
      <c r="R32" s="79">
        <f>SUM(R4:R31)</f>
        <v>-26550</v>
      </c>
    </row>
    <row r="33" spans="3:15" x14ac:dyDescent="0.35">
      <c r="D33" s="120">
        <f>+D32*85</f>
        <v>654500</v>
      </c>
      <c r="F33" s="120">
        <f>+F32*85</f>
        <v>238000</v>
      </c>
      <c r="H33" s="120">
        <f>+H32*85</f>
        <v>182750</v>
      </c>
      <c r="J33" s="120">
        <f>+J32*85</f>
        <v>59500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1260250</v>
      </c>
      <c r="E36" s="43">
        <f>+D36-L4-L5-L6</f>
        <v>1174050</v>
      </c>
    </row>
    <row r="37" spans="3:15" x14ac:dyDescent="0.35">
      <c r="C37" s="47" t="s">
        <v>33</v>
      </c>
      <c r="D37" s="48">
        <f>D36*13%</f>
        <v>163832.5</v>
      </c>
      <c r="E37">
        <f>+D37-M4-M5-M6</f>
        <v>152632.5</v>
      </c>
    </row>
    <row r="38" spans="3:15" x14ac:dyDescent="0.35">
      <c r="C38" s="47" t="s">
        <v>30</v>
      </c>
      <c r="D38" s="30">
        <f>SUM(O4:O27)</f>
        <v>1134750</v>
      </c>
      <c r="G38" s="100"/>
    </row>
    <row r="39" spans="3:15" ht="15" thickBot="1" x14ac:dyDescent="0.4">
      <c r="C39" s="49" t="s">
        <v>4</v>
      </c>
      <c r="D39" s="80">
        <f>+D36-D37-D38</f>
        <v>-38332.5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-38332.5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46 Blanca</v>
      </c>
      <c r="D2" s="268"/>
      <c r="E2" s="267" t="str">
        <f>IF(E33=0,"",CONCATENATE(PREMIOS!$B11," ",PREMIOS!$B12))</f>
        <v>49 Roja</v>
      </c>
      <c r="F2" s="268"/>
      <c r="G2" s="267" t="str">
        <f>IF(G33=0,"",CONCATENATE(PREMIOS!$B15," ",PREMIOS!$B16))</f>
        <v>53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44150</v>
      </c>
      <c r="D10" s="30">
        <f>IF(Vendedor7!$E$8="",0,Vendedor7!$E$8)</f>
        <v>0</v>
      </c>
      <c r="E10" s="180">
        <f>IF(Vendedor7!$C$12="",0,Vendedor7!$C$12)</f>
        <v>30850</v>
      </c>
      <c r="F10" s="30">
        <f>IF(Vendedor7!$E$12="",0,Vendedor7!$E$12)</f>
        <v>1850</v>
      </c>
      <c r="G10" s="180">
        <f>IF(Vendedor7!$C$16="",0,Vendedor7!$C$16)</f>
        <v>35500</v>
      </c>
      <c r="H10" s="30">
        <f>IF(Vendedor7!$E$16="",0,Vendedor7!$E$16)</f>
        <v>0</v>
      </c>
      <c r="J10" s="42">
        <f t="shared" si="1"/>
        <v>110500</v>
      </c>
      <c r="K10" s="41">
        <f>J10*Vendedor7!J$16</f>
        <v>11050</v>
      </c>
      <c r="L10" s="42">
        <f t="shared" si="2"/>
        <v>1850</v>
      </c>
      <c r="M10" s="42">
        <f t="shared" si="3"/>
        <v>1850</v>
      </c>
      <c r="N10" s="42">
        <f t="shared" si="0"/>
        <v>407000</v>
      </c>
      <c r="O10" s="42">
        <f>Vendedor7!$F$8+Vendedor7!$F$12+Vendedor7!$F$16</f>
        <v>370000</v>
      </c>
      <c r="Q10" s="42">
        <f t="shared" si="4"/>
        <v>-270550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4300</v>
      </c>
      <c r="D12" s="30">
        <f>IF(Vendedor9!$E$8="",0,Vendedor9!$E$8)</f>
        <v>0</v>
      </c>
      <c r="E12" s="180">
        <f>IF(Vendedor9!$C$12="",0,Vendedor9!$C$12)</f>
        <v>2000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6300</v>
      </c>
      <c r="K12" s="41">
        <f>J12*Vendedor9!J$13</f>
        <v>630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5670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22500</v>
      </c>
      <c r="D17" s="30">
        <f>IF(Vendedor14!$E$8="",0,Vendedor14!$E$8)</f>
        <v>0</v>
      </c>
      <c r="E17" s="180">
        <f>IF(Vendedor14!$C$12="",0,Vendedor14!$C$12)</f>
        <v>12200</v>
      </c>
      <c r="F17" s="30">
        <f>IF(Vendedor14!$E$12="",0,Vendedor14!$E$12)</f>
        <v>50</v>
      </c>
      <c r="G17" s="180">
        <f>IF(Vendedor14!$C$16="",0,Vendedor14!$C$16)</f>
        <v>24000</v>
      </c>
      <c r="H17" s="30">
        <f>IF(Vendedor14!$E$16="",0,Vendedor14!$E$16)</f>
        <v>1000</v>
      </c>
      <c r="J17" s="42">
        <f t="shared" si="1"/>
        <v>58700</v>
      </c>
      <c r="K17" s="41">
        <f>J17*Vendedor14!J$17</f>
        <v>5870</v>
      </c>
      <c r="L17" s="42">
        <f t="shared" si="2"/>
        <v>50</v>
      </c>
      <c r="M17" s="42">
        <f t="shared" si="3"/>
        <v>1050</v>
      </c>
      <c r="N17" s="42">
        <f t="shared" si="0"/>
        <v>11000</v>
      </c>
      <c r="O17" s="42">
        <f>Vendedor14!$F$8+Vendedor14!$F$12+Vendedor14!$F$16</f>
        <v>10000</v>
      </c>
      <c r="Q17" s="42">
        <f t="shared" si="4"/>
        <v>42830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32500</v>
      </c>
      <c r="D18" s="30">
        <f>IF(Vendedor15!$E$8="",0,Vendedor15!$E$8)</f>
        <v>0</v>
      </c>
      <c r="E18" s="180">
        <f>IF(Vendedor15!$C$12="",0,Vendedor15!$C$12)</f>
        <v>27300</v>
      </c>
      <c r="F18" s="30">
        <f>IF(Vendedor15!$E$12="",0,Vendedor15!$E$12)</f>
        <v>0</v>
      </c>
      <c r="G18" s="180">
        <f>IF(Vendedor15!$C$16="",0,Vendedor15!$C$16)</f>
        <v>33000</v>
      </c>
      <c r="H18" s="30">
        <f>IF(Vendedor15!$E$16="",0,Vendedor15!$E$16)</f>
        <v>0</v>
      </c>
      <c r="J18" s="42">
        <f t="shared" ref="J18" si="5">+C18+E18+G18</f>
        <v>92800</v>
      </c>
      <c r="K18" s="41">
        <f>J18*Vendedor15!J$17</f>
        <v>9280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83520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23050</v>
      </c>
      <c r="H27" s="50">
        <f>IF(Vendedor24!$E$16="",0,Vendedor24!$E$16)</f>
        <v>0</v>
      </c>
      <c r="J27" s="42">
        <f t="shared" si="1"/>
        <v>23050</v>
      </c>
      <c r="K27" s="41">
        <f>J27*Vendedor24!J$11</f>
        <v>2305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20745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103450</v>
      </c>
      <c r="D33" s="44">
        <f>IF(PREMIOS!E8&lt;&gt;0,SUM(D4:D32),0)</f>
        <v>0</v>
      </c>
      <c r="E33" s="43">
        <f>SUM(E4:E32)</f>
        <v>72350</v>
      </c>
      <c r="F33" s="44">
        <f>IF(PREMIOS!E12&lt;&gt;0,SUM(F4:F32),0)</f>
        <v>1900</v>
      </c>
      <c r="G33" s="43">
        <f>SUM(G4:G32)</f>
        <v>115550</v>
      </c>
      <c r="H33" s="44">
        <f>IF(PREMIOS!E16&lt;&gt;0,SUM(H4:H32),0)</f>
        <v>0</v>
      </c>
      <c r="J33" s="45">
        <f>SUM(J4:J32)</f>
        <v>291350</v>
      </c>
      <c r="K33" s="45">
        <f>SUM(K7:K32)</f>
        <v>29135</v>
      </c>
      <c r="L33" s="95">
        <f>SUM(L7:L32)</f>
        <v>1900</v>
      </c>
      <c r="M33" s="95">
        <f>SUM(M7:M32)</f>
        <v>2900</v>
      </c>
      <c r="N33" s="95">
        <f>SUM(N4:N27)</f>
        <v>418000</v>
      </c>
      <c r="O33" s="95">
        <f>SUM(O4:O27)</f>
        <v>380000</v>
      </c>
      <c r="Q33" s="79">
        <f>SUM(Q4:Q32)</f>
        <v>-117785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418000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291350</v>
      </c>
      <c r="E37" s="43">
        <f>+D37-J4-J5-J6</f>
        <v>291350</v>
      </c>
      <c r="F37" s="275"/>
      <c r="G37" s="275"/>
    </row>
    <row r="38" spans="3:17" ht="15" thickBot="1" x14ac:dyDescent="0.4">
      <c r="C38" s="47" t="s">
        <v>33</v>
      </c>
      <c r="D38" s="30">
        <f>D37*10%</f>
        <v>29135</v>
      </c>
      <c r="E38" s="43">
        <f>+D38-K4-K5-K6</f>
        <v>29135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418000</v>
      </c>
    </row>
    <row r="40" spans="3:17" ht="15" thickBot="1" x14ac:dyDescent="0.4">
      <c r="C40" s="49" t="s">
        <v>4</v>
      </c>
      <c r="D40" s="80">
        <f>+D37-D38-D39</f>
        <v>-155785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-155785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60</v>
      </c>
      <c r="D2" s="268"/>
      <c r="E2" s="267">
        <f>DigitaPRIMERA!E2</f>
        <v>84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5200</v>
      </c>
      <c r="D4" s="78">
        <f>IF(Vendedor1!$E$19="",0,Vendedor1!$E$19)</f>
        <v>0</v>
      </c>
      <c r="E4" s="189">
        <f>IF(Vendedor1!$C$20="",0,Vendedor1!$C$20)</f>
        <v>3550</v>
      </c>
      <c r="F4" s="78">
        <f>IF(Vendedor1!$E$20="",0,Vendedor1!$E$20)</f>
        <v>0</v>
      </c>
      <c r="H4" s="42">
        <f>+C4+E4</f>
        <v>8750</v>
      </c>
      <c r="I4" s="41">
        <f>MROUND(H4*Vendedor1!J$9,50)</f>
        <v>1150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7600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1000</v>
      </c>
      <c r="I5" s="41">
        <f>MROUND(H5*Vendedor2!J$9,50)</f>
        <v>150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850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40550</v>
      </c>
      <c r="D8" s="30">
        <f>IF(Vendedor5!$E$19="",0,Vendedor5!$E$19)</f>
        <v>450</v>
      </c>
      <c r="E8" s="180">
        <f>IF(Vendedor5!$C$20="",0,Vendedor5!$C$20)</f>
        <v>16700</v>
      </c>
      <c r="F8" s="30">
        <f>IF(Vendedor5!$E$20="",0,Vendedor5!$E$20)</f>
        <v>650</v>
      </c>
      <c r="H8" s="133">
        <f t="shared" si="1"/>
        <v>57250</v>
      </c>
      <c r="I8" s="148">
        <f>MROUND(H8*Vendedor5!J$11,50)</f>
        <v>6850</v>
      </c>
      <c r="J8" s="133">
        <f t="shared" si="2"/>
        <v>1100</v>
      </c>
      <c r="K8" s="133">
        <f t="shared" si="3"/>
        <v>93500</v>
      </c>
      <c r="L8" s="133">
        <f>Vendedor5!$F$19+Vendedor5!$F$20</f>
        <v>88000</v>
      </c>
      <c r="M8" s="155"/>
      <c r="N8" s="133">
        <f t="shared" si="0"/>
        <v>-37600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24700</v>
      </c>
      <c r="D10" s="30">
        <f>IF(Vendedor7!$E$19="",0,Vendedor7!$E$19)</f>
        <v>0</v>
      </c>
      <c r="E10" s="180">
        <f>IF(Vendedor7!$C$20="",0,Vendedor7!$C$20)</f>
        <v>27100</v>
      </c>
      <c r="F10" s="30">
        <f>IF(Vendedor7!$E$20="",0,Vendedor7!$E$20)</f>
        <v>0</v>
      </c>
      <c r="H10" s="42">
        <f t="shared" si="1"/>
        <v>51800</v>
      </c>
      <c r="I10" s="41">
        <f>MROUND(H10*Vendedor7!J$14,50)</f>
        <v>6200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45600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31000</v>
      </c>
      <c r="D12" s="30">
        <f>IF(Vendedor9!$E$19="",0,Vendedor9!$E$19)</f>
        <v>200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31000</v>
      </c>
      <c r="I12" s="148">
        <f>MROUND(H12*Vendedor9!J$11,50)</f>
        <v>3700</v>
      </c>
      <c r="J12" s="133">
        <f t="shared" si="2"/>
        <v>200</v>
      </c>
      <c r="K12" s="133">
        <f t="shared" si="3"/>
        <v>17000</v>
      </c>
      <c r="L12" s="133">
        <f>Vendedor9!$F$19+Vendedor9!$F$20</f>
        <v>17000</v>
      </c>
      <c r="M12" s="155"/>
      <c r="N12" s="133">
        <f t="shared" si="0"/>
        <v>10300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2800</v>
      </c>
      <c r="F16" s="30">
        <f>IF(Vendedor13!$E$20="",0,Vendedor13!$E$20)</f>
        <v>0</v>
      </c>
      <c r="H16" s="133">
        <f t="shared" si="1"/>
        <v>2800</v>
      </c>
      <c r="I16" s="148">
        <f>MROUND(H16*Vendedor13!J$11,50)</f>
        <v>350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2450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83300</v>
      </c>
      <c r="D17" s="30">
        <f>IF(Vendedor14!$E$19="",0,Vendedor14!$E$19)</f>
        <v>200</v>
      </c>
      <c r="E17" s="180">
        <f>IF(Vendedor14!$C$20="",0,Vendedor14!$C$20)</f>
        <v>28950</v>
      </c>
      <c r="F17" s="30">
        <f>IF(Vendedor14!$E$20="",0,Vendedor14!$E$20)</f>
        <v>0</v>
      </c>
      <c r="H17" s="42">
        <f t="shared" si="1"/>
        <v>112250</v>
      </c>
      <c r="I17" s="41">
        <f>MROUND(H17*Vendedor14!J$15,50)</f>
        <v>13450</v>
      </c>
      <c r="J17" s="42">
        <f t="shared" si="2"/>
        <v>200</v>
      </c>
      <c r="K17" s="42">
        <f t="shared" si="3"/>
        <v>17000</v>
      </c>
      <c r="L17" s="42">
        <f>Vendedor14!$F$19+Vendedor14!$F$20</f>
        <v>17000</v>
      </c>
      <c r="N17" s="42">
        <f t="shared" si="0"/>
        <v>81800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77850</v>
      </c>
      <c r="D18" s="30">
        <f>IF(Vendedor15!$E$19="",0,Vendedor15!$E$19)</f>
        <v>2000</v>
      </c>
      <c r="E18" s="180">
        <f>IF(Vendedor15!$C$20="",0,Vendedor15!$C$20)</f>
        <v>79200</v>
      </c>
      <c r="F18" s="30">
        <f>IF(Vendedor15!$E$20="",0,Vendedor15!$E$20)</f>
        <v>0</v>
      </c>
      <c r="H18" s="42">
        <f t="shared" si="1"/>
        <v>157050</v>
      </c>
      <c r="I18" s="41">
        <f>MROUND(H18*Vendedor15!J$15,50)</f>
        <v>18850</v>
      </c>
      <c r="J18" s="42">
        <f t="shared" si="2"/>
        <v>2000</v>
      </c>
      <c r="K18" s="42">
        <f t="shared" si="3"/>
        <v>170000</v>
      </c>
      <c r="L18" s="42">
        <f>Vendedor15!$F$19+Vendedor15!$F$20</f>
        <v>170000</v>
      </c>
      <c r="N18" s="42">
        <f t="shared" si="0"/>
        <v>-31800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263600</v>
      </c>
      <c r="D32" s="44">
        <f>SUM(D4:D31)</f>
        <v>2850</v>
      </c>
      <c r="E32" s="43">
        <f>SUM(E4:E31)</f>
        <v>158300</v>
      </c>
      <c r="F32" s="44">
        <f>SUM(F4:F31)</f>
        <v>650</v>
      </c>
      <c r="H32" s="95">
        <f>SUM(H4:H31)</f>
        <v>421900</v>
      </c>
      <c r="I32" s="45">
        <f>SUM(I7:I31)</f>
        <v>49400</v>
      </c>
      <c r="J32" s="95"/>
      <c r="K32" s="95">
        <f>SUM(K4:K31)</f>
        <v>297500</v>
      </c>
      <c r="L32" s="95">
        <f>SUM(L4:L31)</f>
        <v>292000</v>
      </c>
      <c r="N32" s="79">
        <f>SUM(N4:N31)</f>
        <v>79200</v>
      </c>
    </row>
    <row r="33" spans="3:6" x14ac:dyDescent="0.35">
      <c r="D33" s="99">
        <f>+D32*85</f>
        <v>242250</v>
      </c>
      <c r="F33" s="99">
        <f>+F32*85</f>
        <v>55250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421900</v>
      </c>
      <c r="E36" s="43">
        <f>+D36-H4-H5-H6</f>
        <v>412150</v>
      </c>
    </row>
    <row r="37" spans="3:6" x14ac:dyDescent="0.35">
      <c r="C37" s="47" t="s">
        <v>33</v>
      </c>
      <c r="D37" s="48">
        <f>D36*13%</f>
        <v>54847</v>
      </c>
      <c r="E37">
        <f>+D37-I4-I5-I6</f>
        <v>53547</v>
      </c>
    </row>
    <row r="38" spans="3:6" ht="15" thickBot="1" x14ac:dyDescent="0.4">
      <c r="C38" s="47" t="s">
        <v>30</v>
      </c>
      <c r="D38" s="30">
        <f>SUM(K4:K27)</f>
        <v>297500</v>
      </c>
    </row>
    <row r="39" spans="3:6" ht="15" thickBot="1" x14ac:dyDescent="0.4">
      <c r="C39" s="49" t="s">
        <v>4</v>
      </c>
      <c r="D39" s="80">
        <f>+D36-D37-D38</f>
        <v>69553</v>
      </c>
      <c r="F39" s="98">
        <f>+N32-D39</f>
        <v>9647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69553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35" sqref="E3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61</v>
      </c>
      <c r="D2" s="268"/>
      <c r="E2" s="267">
        <f>DigitaHONDURAS!E2</f>
        <v>93</v>
      </c>
      <c r="F2" s="268"/>
      <c r="G2" s="267">
        <f>DigitaHONDURAS!G2</f>
        <v>24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7500</v>
      </c>
      <c r="D10" s="30">
        <f>IF(Vendedor7!$E$21="",0,Vendedor7!$E$21)</f>
        <v>500</v>
      </c>
      <c r="E10" s="180">
        <f>IF(Vendedor7!$C$22="",0,Vendedor7!$C$22)</f>
        <v>4800</v>
      </c>
      <c r="F10" s="30">
        <f>IF(Vendedor7!$E$22="",0,Vendedor7!$E$22)</f>
        <v>100</v>
      </c>
      <c r="G10" s="180">
        <f>IF(Vendedor7!$C$23="",0,Vendedor7!$C$23)</f>
        <v>7000</v>
      </c>
      <c r="H10" s="30">
        <f>IF(Vendedor7!$E$23="",0,Vendedor7!$E$23)</f>
        <v>0</v>
      </c>
      <c r="J10" s="42">
        <f t="shared" si="0"/>
        <v>19300</v>
      </c>
      <c r="K10" s="41">
        <f>MROUND(J10*Vendedor7!J$14,50)</f>
        <v>2300</v>
      </c>
      <c r="L10" s="42">
        <f t="shared" si="1"/>
        <v>600</v>
      </c>
      <c r="M10" s="42">
        <f t="shared" si="3"/>
        <v>51000</v>
      </c>
      <c r="N10" s="42">
        <f>Vendedor7!$F$21+Vendedor7!$F$22+Vendedor7!$F$23</f>
        <v>51000</v>
      </c>
      <c r="P10" s="42">
        <f t="shared" si="2"/>
        <v>-34000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42">
        <f>Vendedor13!$F$21+Vendedor13!$F$22+Vendedor13!$F$23</f>
        <v>0</v>
      </c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50550</v>
      </c>
      <c r="D17" s="30">
        <f>IF(Vendedor14!$E$21="",0,Vendedor14!$E$21)</f>
        <v>700</v>
      </c>
      <c r="E17" s="180">
        <f>IF(Vendedor14!$C$22="",0,Vendedor14!$C$22)</f>
        <v>9700</v>
      </c>
      <c r="F17" s="30">
        <f>IF(Vendedor14!$E$22="",0,Vendedor14!$E$22)</f>
        <v>0</v>
      </c>
      <c r="G17" s="180">
        <f>IF(Vendedor14!$C$23="",0,Vendedor14!$C$23)</f>
        <v>11500</v>
      </c>
      <c r="H17" s="30">
        <f>IF(Vendedor14!$E$23="",0,Vendedor14!$E$23)</f>
        <v>200</v>
      </c>
      <c r="J17" s="42">
        <f t="shared" si="0"/>
        <v>71750</v>
      </c>
      <c r="K17" s="41">
        <f>MROUND(J17*Vendedor14!J$15,50)</f>
        <v>8600</v>
      </c>
      <c r="L17" s="42">
        <f t="shared" si="1"/>
        <v>900</v>
      </c>
      <c r="M17" s="42">
        <f t="shared" si="3"/>
        <v>76500</v>
      </c>
      <c r="N17" s="42">
        <f>Vendedor14!$F$21+Vendedor14!$F$22+Vendedor14!$F$23</f>
        <v>76500</v>
      </c>
      <c r="P17" s="42">
        <f t="shared" si="2"/>
        <v>-13350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26250</v>
      </c>
      <c r="D18" s="30">
        <f>IF(Vendedor15!$E$21="",0,Vendedor15!$E$21)</f>
        <v>200</v>
      </c>
      <c r="E18" s="180">
        <f>IF(Vendedor15!$C$22="",0,Vendedor15!$C$22)</f>
        <v>14500</v>
      </c>
      <c r="F18" s="30">
        <f>IF(Vendedor15!$E$22="",0,Vendedor15!$E$22)</f>
        <v>100</v>
      </c>
      <c r="G18" s="180">
        <f>IF(Vendedor15!$C$23="",0,Vendedor15!$C$23)</f>
        <v>2500</v>
      </c>
      <c r="H18" s="30">
        <f>IF(Vendedor15!$E$23="",0,Vendedor15!$E$23)</f>
        <v>0</v>
      </c>
      <c r="J18" s="42">
        <f t="shared" si="0"/>
        <v>43250</v>
      </c>
      <c r="K18" s="41">
        <f>MROUND(J18*Vendedor15!J$15,50)</f>
        <v>5200</v>
      </c>
      <c r="L18" s="42">
        <f t="shared" si="1"/>
        <v>300</v>
      </c>
      <c r="M18" s="42">
        <f t="shared" si="3"/>
        <v>25500</v>
      </c>
      <c r="N18" s="42">
        <f>Vendedor15!$F$21+Vendedor15!$F$22+Vendedor15!$F$23</f>
        <v>25500</v>
      </c>
      <c r="P18" s="42">
        <f t="shared" si="2"/>
        <v>12550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84300</v>
      </c>
      <c r="D32" s="44">
        <f t="shared" si="8"/>
        <v>1400</v>
      </c>
      <c r="E32" s="43">
        <f t="shared" si="8"/>
        <v>29000</v>
      </c>
      <c r="F32" s="44">
        <f t="shared" si="8"/>
        <v>200</v>
      </c>
      <c r="G32" s="43">
        <f t="shared" si="8"/>
        <v>21000</v>
      </c>
      <c r="H32" s="44">
        <f t="shared" si="8"/>
        <v>200</v>
      </c>
      <c r="J32" s="95">
        <f>SUM(J4:J31)</f>
        <v>134300</v>
      </c>
      <c r="K32" s="45">
        <f>SUM(K7:K31)</f>
        <v>16100</v>
      </c>
      <c r="L32" s="95"/>
      <c r="M32" s="95">
        <f>SUM(M4:M31)</f>
        <v>153000</v>
      </c>
      <c r="N32" s="95">
        <f>SUM(N4:N31)</f>
        <v>153000</v>
      </c>
      <c r="P32" s="79">
        <f>SUM(P4:P31)</f>
        <v>-34800</v>
      </c>
    </row>
    <row r="33" spans="3:8" x14ac:dyDescent="0.35">
      <c r="D33" s="99">
        <f>+D32*85</f>
        <v>119000</v>
      </c>
      <c r="F33" s="99">
        <f>+F32*85</f>
        <v>17000</v>
      </c>
      <c r="H33" s="99">
        <f>+H32*85</f>
        <v>17000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134300</v>
      </c>
      <c r="E36" s="43">
        <f>+D36-J4-J5-J6</f>
        <v>134300</v>
      </c>
    </row>
    <row r="37" spans="3:8" x14ac:dyDescent="0.35">
      <c r="C37" s="47" t="s">
        <v>33</v>
      </c>
      <c r="D37" s="48">
        <f>D36*13%</f>
        <v>17459</v>
      </c>
      <c r="E37">
        <f>+D37-K4-K5-K6</f>
        <v>17459</v>
      </c>
    </row>
    <row r="38" spans="3:8" ht="15" thickBot="1" x14ac:dyDescent="0.4">
      <c r="C38" s="47" t="s">
        <v>30</v>
      </c>
      <c r="D38" s="30">
        <f>SUM(M4:M27)</f>
        <v>153000</v>
      </c>
      <c r="G38" s="100"/>
    </row>
    <row r="39" spans="3:8" ht="15" thickBot="1" x14ac:dyDescent="0.4">
      <c r="C39" s="49" t="s">
        <v>4</v>
      </c>
      <c r="D39" s="80">
        <f>+D36-D37-D38</f>
        <v>-36159</v>
      </c>
      <c r="F39" s="98">
        <f>+P32-D39</f>
        <v>1359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-36159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29</v>
      </c>
      <c r="D2" s="268"/>
      <c r="E2" s="267">
        <f>DigitaDOMINICANA!E2</f>
        <v>52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26000</v>
      </c>
      <c r="D10" s="30">
        <f>IF(Vendedor7!$E$24="",0,Vendedor7!$E$24)</f>
        <v>0</v>
      </c>
      <c r="E10" s="180">
        <f>IF(Vendedor7!$C$25="",0,Vendedor7!$C$25)</f>
        <v>31000</v>
      </c>
      <c r="F10" s="30">
        <f>IF(Vendedor7!$E$25="",0,Vendedor7!$E$25)</f>
        <v>0</v>
      </c>
      <c r="H10" s="42">
        <f t="shared" si="1"/>
        <v>57000</v>
      </c>
      <c r="I10" s="41">
        <f>MROUND(H10*Vendedor7!J$14,50)</f>
        <v>6850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50150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26000</v>
      </c>
      <c r="D32" s="44">
        <f>SUM(D4:D31)</f>
        <v>0</v>
      </c>
      <c r="E32" s="43">
        <f>SUM(E4:E31)</f>
        <v>31000</v>
      </c>
      <c r="F32" s="44">
        <f>SUM(F4:F31)</f>
        <v>0</v>
      </c>
      <c r="H32" s="95">
        <f>SUM(H4:H31)</f>
        <v>57000</v>
      </c>
      <c r="I32" s="45">
        <f>SUM(I7:I31)</f>
        <v>6850</v>
      </c>
      <c r="J32" s="95"/>
      <c r="K32" s="95">
        <f>SUM(K4:K31)</f>
        <v>0</v>
      </c>
      <c r="L32" s="95">
        <f>SUM(L4:L31)</f>
        <v>0</v>
      </c>
      <c r="N32" s="79">
        <f>SUM(N4:N31)</f>
        <v>50150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57000</v>
      </c>
      <c r="E36" s="43">
        <f>+D36-H4-H5-H6</f>
        <v>57000</v>
      </c>
    </row>
    <row r="37" spans="3:6" x14ac:dyDescent="0.35">
      <c r="C37" s="47" t="s">
        <v>33</v>
      </c>
      <c r="D37" s="48">
        <f>D36*13%</f>
        <v>7410</v>
      </c>
      <c r="E37">
        <f>+D37-I4-I5-I6</f>
        <v>7410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49590</v>
      </c>
      <c r="F39" s="98">
        <f>+N32-D39</f>
        <v>560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49590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05-06-2026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1174050</v>
      </c>
      <c r="C4" s="157">
        <f>HojaNICA!M32</f>
        <v>140850</v>
      </c>
      <c r="D4" s="150">
        <f>HojaNICA!E37</f>
        <v>152632.5</v>
      </c>
      <c r="E4" s="150">
        <f>HojaNICA!P32</f>
        <v>1117000</v>
      </c>
      <c r="F4" s="150">
        <f>HojaNICA!O32</f>
        <v>1134750</v>
      </c>
      <c r="G4" s="151">
        <f t="shared" ref="G4:G10" si="0">+D4-C4+F4-E4</f>
        <v>29532.5</v>
      </c>
      <c r="H4" s="21"/>
      <c r="I4" s="182"/>
    </row>
    <row r="5" spans="1:9" x14ac:dyDescent="0.35">
      <c r="A5" s="28" t="s">
        <v>19</v>
      </c>
      <c r="B5" s="156">
        <f>HojaTICA!$E$36</f>
        <v>1558400</v>
      </c>
      <c r="C5" s="157">
        <f>HojaTICA!K32</f>
        <v>190600</v>
      </c>
      <c r="D5" s="150">
        <f>HojaTICA!E37</f>
        <v>202597</v>
      </c>
      <c r="E5" s="150">
        <f>HojaTICA!N32</f>
        <v>1315250</v>
      </c>
      <c r="F5" s="150">
        <f>HojaTICA!D38</f>
        <v>1321750</v>
      </c>
      <c r="G5" s="151">
        <f t="shared" si="0"/>
        <v>18497</v>
      </c>
      <c r="H5" s="21"/>
      <c r="I5" s="182"/>
    </row>
    <row r="6" spans="1:9" x14ac:dyDescent="0.35">
      <c r="A6" s="28" t="s">
        <v>125</v>
      </c>
      <c r="B6" s="156">
        <f>HojaREVENTADO!$E$37</f>
        <v>291350</v>
      </c>
      <c r="C6" s="157">
        <f>HojaREVENTADO!K33</f>
        <v>29135</v>
      </c>
      <c r="D6" s="150">
        <f>HojaREVENTADO!E38</f>
        <v>29135</v>
      </c>
      <c r="E6" s="150">
        <f>HojaREVENTADO!O33</f>
        <v>380000</v>
      </c>
      <c r="F6" s="150">
        <f>HojaREVENTADO!N33</f>
        <v>418000</v>
      </c>
      <c r="G6" s="151">
        <f t="shared" si="0"/>
        <v>38000</v>
      </c>
      <c r="H6" s="21"/>
      <c r="I6" s="182"/>
    </row>
    <row r="7" spans="1:9" x14ac:dyDescent="0.35">
      <c r="A7" s="28" t="s">
        <v>96</v>
      </c>
      <c r="B7" s="156">
        <f>HojaPrimera!$E$36</f>
        <v>412150</v>
      </c>
      <c r="C7" s="157">
        <f>HojaPrimera!I32</f>
        <v>49400</v>
      </c>
      <c r="D7" s="150">
        <f>HojaPrimera!E37</f>
        <v>53547</v>
      </c>
      <c r="E7" s="150">
        <f>HojaPrimera!L32</f>
        <v>292000</v>
      </c>
      <c r="F7" s="150">
        <f>HojaPrimera!K32</f>
        <v>297500</v>
      </c>
      <c r="G7" s="151">
        <f t="shared" si="0"/>
        <v>9647</v>
      </c>
      <c r="H7" s="21"/>
      <c r="I7" s="21"/>
    </row>
    <row r="8" spans="1:9" x14ac:dyDescent="0.35">
      <c r="A8" s="28" t="s">
        <v>104</v>
      </c>
      <c r="B8" s="156">
        <f>HojaHonduras!$E$36</f>
        <v>134300</v>
      </c>
      <c r="C8" s="157">
        <f>HojaHonduras!K32</f>
        <v>16100</v>
      </c>
      <c r="D8" s="150">
        <f>HojaHonduras!E37</f>
        <v>17459</v>
      </c>
      <c r="E8" s="150">
        <f>HojaHonduras!N32</f>
        <v>153000</v>
      </c>
      <c r="F8" s="150">
        <f>HojaHonduras!M32</f>
        <v>153000</v>
      </c>
      <c r="G8" s="151">
        <f t="shared" si="0"/>
        <v>1359</v>
      </c>
      <c r="H8" s="21"/>
      <c r="I8" s="21"/>
    </row>
    <row r="9" spans="1:9" x14ac:dyDescent="0.35">
      <c r="A9" s="28" t="s">
        <v>20</v>
      </c>
      <c r="B9" s="156">
        <f>HojaDominicana!$E$36</f>
        <v>57000</v>
      </c>
      <c r="C9" s="157">
        <f>HojaDominicana!I32</f>
        <v>6850</v>
      </c>
      <c r="D9" s="150">
        <f>HojaDominicana!E37</f>
        <v>7410</v>
      </c>
      <c r="E9" s="150">
        <f>HojaDominicana!L32</f>
        <v>0</v>
      </c>
      <c r="F9" s="150">
        <f>HojaDominicana!K32</f>
        <v>0</v>
      </c>
      <c r="G9" s="151">
        <f t="shared" si="0"/>
        <v>560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3627250</v>
      </c>
      <c r="C11" s="175">
        <f>SUM(C4:C10)</f>
        <v>432935</v>
      </c>
      <c r="D11" s="175">
        <f t="shared" ref="D11:F11" si="1">SUM(D4:D10)</f>
        <v>462780.5</v>
      </c>
      <c r="E11" s="175">
        <f t="shared" si="1"/>
        <v>3257250</v>
      </c>
      <c r="F11" s="175">
        <f t="shared" si="1"/>
        <v>3325000</v>
      </c>
      <c r="G11" s="176">
        <f>SUM(G4:G10)</f>
        <v>97595.5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62595.5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253400</v>
      </c>
      <c r="E16" s="157">
        <f>+Vendedor1!D21</f>
        <v>32942</v>
      </c>
      <c r="F16" s="158">
        <f>IF(D16&lt;&gt;0,15000,0)</f>
        <v>15000</v>
      </c>
      <c r="G16" s="151">
        <f>+E16-F16</f>
        <v>17942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156050</v>
      </c>
      <c r="E17" s="157">
        <f>+Vendedor2!D21</f>
        <v>20286.5</v>
      </c>
      <c r="F17" s="158">
        <f>IF(D17&lt;&gt;0,15000,0)</f>
        <v>15000</v>
      </c>
      <c r="G17" s="151">
        <f>+E17-F17</f>
        <v>5286.5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409450</v>
      </c>
      <c r="E19" s="159">
        <f>SUM(E16:E18)</f>
        <v>53228.5</v>
      </c>
      <c r="F19" s="160">
        <f>SUM(F16:F18)</f>
        <v>30000</v>
      </c>
      <c r="G19" s="161">
        <f>SUM(G16:G18)</f>
        <v>23228.5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85824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05-06-2026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1260250</v>
      </c>
      <c r="C5" s="150">
        <f>HojaNICA!D37</f>
        <v>163832.5</v>
      </c>
      <c r="D5" s="150">
        <f>HojaNICA!D38</f>
        <v>1134750</v>
      </c>
      <c r="E5" s="150"/>
      <c r="F5" s="151">
        <f>+B5-C5-D5+E5</f>
        <v>-38332.5</v>
      </c>
      <c r="H5" s="249" t="s">
        <v>105</v>
      </c>
      <c r="I5" s="243">
        <f ca="1">TODAY()-1</f>
        <v>46178</v>
      </c>
      <c r="O5" s="119"/>
    </row>
    <row r="6" spans="1:15" ht="15" thickBot="1" x14ac:dyDescent="0.4">
      <c r="A6" s="47" t="s">
        <v>36</v>
      </c>
      <c r="B6" s="150">
        <f>HojaTICA!D36</f>
        <v>1871900</v>
      </c>
      <c r="C6" s="150">
        <f>HojaTICA!D37</f>
        <v>243347</v>
      </c>
      <c r="D6" s="150">
        <f>HojaTICA!D38</f>
        <v>1321750</v>
      </c>
      <c r="E6" s="150"/>
      <c r="F6" s="151">
        <f t="shared" ref="F6:F11" si="0">+B6-C6-D6+E6</f>
        <v>306803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291350</v>
      </c>
      <c r="C7" s="150">
        <f>HojaREVENTADO!D38</f>
        <v>29135</v>
      </c>
      <c r="D7" s="150">
        <f>HojaREVENTADO!D39</f>
        <v>418000</v>
      </c>
      <c r="E7" s="150"/>
      <c r="F7" s="151">
        <f t="shared" si="0"/>
        <v>-155785</v>
      </c>
    </row>
    <row r="8" spans="1:15" x14ac:dyDescent="0.35">
      <c r="A8" s="47" t="s">
        <v>96</v>
      </c>
      <c r="B8" s="150">
        <f>HojaPrimera!$D36</f>
        <v>421900</v>
      </c>
      <c r="C8" s="150">
        <f>HojaPrimera!$D37</f>
        <v>54847</v>
      </c>
      <c r="D8" s="150">
        <f>HojaPrimera!$D38</f>
        <v>297500</v>
      </c>
      <c r="E8" s="150"/>
      <c r="F8" s="151">
        <f t="shared" si="0"/>
        <v>69553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134300</v>
      </c>
      <c r="C9" s="150">
        <f>HojaHonduras!$D37</f>
        <v>17459</v>
      </c>
      <c r="D9" s="150">
        <f>HojaHonduras!$D38</f>
        <v>153000</v>
      </c>
      <c r="E9" s="150"/>
      <c r="F9" s="151">
        <f t="shared" si="0"/>
        <v>-36159</v>
      </c>
      <c r="H9" s="250">
        <f>+K12-K10-H6</f>
        <v>204169.5</v>
      </c>
    </row>
    <row r="10" spans="1:15" ht="15" thickBot="1" x14ac:dyDescent="0.4">
      <c r="A10" s="47" t="s">
        <v>20</v>
      </c>
      <c r="B10" s="150">
        <f>HojaDominicana!$D36</f>
        <v>57000</v>
      </c>
      <c r="C10" s="150">
        <f>HojaDominicana!$D37</f>
        <v>7410</v>
      </c>
      <c r="D10" s="150">
        <f>HojaDominicana!$D38</f>
        <v>0</v>
      </c>
      <c r="E10" s="150"/>
      <c r="F10" s="151">
        <f t="shared" si="0"/>
        <v>49590</v>
      </c>
      <c r="H10" s="154"/>
      <c r="J10" t="s">
        <v>148</v>
      </c>
      <c r="K10" s="252">
        <v>1866164.9600000004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2061834.4600000004</v>
      </c>
    </row>
    <row r="12" spans="1:15" ht="16" thickBot="1" x14ac:dyDescent="0.4">
      <c r="A12" s="144" t="s">
        <v>5</v>
      </c>
      <c r="B12" s="152">
        <f>SUM(B5:B11)</f>
        <v>4036700</v>
      </c>
      <c r="C12" s="152">
        <f>SUM(C5:C11)</f>
        <v>516030.5</v>
      </c>
      <c r="D12" s="152">
        <f>SUM(D5:D11)</f>
        <v>3325000</v>
      </c>
      <c r="E12" s="152"/>
      <c r="F12" s="255">
        <f>SUM(F5:F11)</f>
        <v>195669.5</v>
      </c>
      <c r="H12" s="251">
        <f>K12</f>
        <v>2070334.4600000004</v>
      </c>
      <c r="J12" t="s">
        <v>140</v>
      </c>
      <c r="K12" s="254">
        <f>-3816753.76+2431240.24+1630159.5+1825688.48</f>
        <v>2070334.4600000004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177850</v>
      </c>
      <c r="K4" s="231">
        <f t="shared" ref="K4" si="0">D7+D11+D15</f>
        <v>23120.5</v>
      </c>
      <c r="L4" s="220">
        <f>F7+F11+F15</f>
        <v>29750</v>
      </c>
    </row>
    <row r="5" spans="1:12" x14ac:dyDescent="0.35">
      <c r="A5" s="28" t="s">
        <v>43</v>
      </c>
      <c r="B5" s="132">
        <f>IF(DigitaNICA!C2&lt;&gt;"",DigitaNICA!C2,"")</f>
        <v>33</v>
      </c>
      <c r="C5" s="29">
        <f>IF(DigitaNICA!C4&lt;&gt;"",DigitaNICA!C4,"")</f>
        <v>41600</v>
      </c>
      <c r="D5" s="42">
        <f>IF(C5="",0,C5*J$10)</f>
        <v>5408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36192</v>
      </c>
      <c r="I5" s="241" t="s">
        <v>37</v>
      </c>
      <c r="J5" s="221">
        <f>SUM(IF(C5="",0,C5),IF(C9="",0,C9),IF(C13="",0,C13),IF(C17="",0,C17))</f>
        <v>66800</v>
      </c>
      <c r="K5" s="225">
        <f t="shared" ref="K5" si="2">D5+D9+D13+D17</f>
        <v>8684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8750</v>
      </c>
      <c r="K6" s="228">
        <f>D19+D20</f>
        <v>1137.5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46</v>
      </c>
      <c r="C7" s="29">
        <f>IF(DigitaTICA!C4&lt;&gt;"",DigitaTICA!C4,"")</f>
        <v>71050</v>
      </c>
      <c r="D7" s="42">
        <f>IF(C7="",0,C7*J$9)</f>
        <v>9236.5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61813.5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29</v>
      </c>
      <c r="C9" s="29">
        <f>IF(DigitaNICA!E4&lt;&gt;"",DigitaNICA!E4,"")</f>
        <v>22900</v>
      </c>
      <c r="D9" s="42">
        <f>IF(C9="",0,C9*J$10)</f>
        <v>2977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19923</v>
      </c>
      <c r="I9" s="76" t="s">
        <v>36</v>
      </c>
      <c r="J9" s="77">
        <v>0.13</v>
      </c>
      <c r="K9" s="78">
        <f>MROUND(D7+D11+D15,50)</f>
        <v>23100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8700</v>
      </c>
    </row>
    <row r="11" spans="1:12" x14ac:dyDescent="0.35">
      <c r="A11" s="28" t="s">
        <v>59</v>
      </c>
      <c r="B11" s="132">
        <f>IF(DigitaTICA!E2&lt;&gt;"",DigitaTICA!E2,"")</f>
        <v>49</v>
      </c>
      <c r="C11" s="29">
        <f>IF(DigitaTICA!E4&lt;&gt;"",DigitaTICA!E4,"")</f>
        <v>37550</v>
      </c>
      <c r="D11" s="42">
        <f>IF(C11="",0,C11*J$9)</f>
        <v>4881.5</v>
      </c>
      <c r="E11" s="29">
        <f>IF(DigitaTICA!F4&lt;&gt;"",DigitaTICA!F4,"")</f>
        <v>350</v>
      </c>
      <c r="F11" s="42">
        <f>IF(E11="",0,E11*PREMIOS!F11)</f>
        <v>29750</v>
      </c>
      <c r="G11" s="30">
        <f t="shared" si="1"/>
        <v>2918.5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2">
        <f>IF(DigitaNICA!G2&lt;&gt;"",DigitaNICA!G2,"")</f>
        <v>68</v>
      </c>
      <c r="C13" s="29">
        <f>IF(DigitaNICA!G4&lt;&gt;"",DigitaNICA!G4,"")</f>
        <v>2300</v>
      </c>
      <c r="D13" s="42">
        <f>IF(C13="",0,C13*J$10)</f>
        <v>299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2001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>
        <f>IF(DigitaTICA!G4&lt;&gt;"",DigitaTICA!G4,"")</f>
        <v>69250</v>
      </c>
      <c r="D15" s="42">
        <f>IF(C15="",0,C15*J$9)</f>
        <v>9002.5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60247.5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60</v>
      </c>
      <c r="C19" s="29">
        <f>IF(DigitaPRIMERA!C4&lt;&gt;"",DigitaPRIMERA!C4,"")</f>
        <v>5200</v>
      </c>
      <c r="D19" s="42">
        <f>IF(C19="",0,C19*J$12)</f>
        <v>676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4524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>
        <f>IF(DigitaPRIMERA!E4&lt;&gt;"",DigitaPRIMERA!E4,"")</f>
        <v>3550</v>
      </c>
      <c r="D20" s="42">
        <f>IF(C20="",0,C20*J$12)</f>
        <v>461.5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3088.5</v>
      </c>
    </row>
    <row r="21" spans="1:7" ht="15" thickBot="1" x14ac:dyDescent="0.4">
      <c r="A21" s="121" t="s">
        <v>5</v>
      </c>
      <c r="B21" s="128"/>
      <c r="C21" s="122">
        <f>SUM(C5:C20)</f>
        <v>253400</v>
      </c>
      <c r="D21" s="122">
        <f t="shared" ref="D21:G21" si="6">SUM(D5:D20)</f>
        <v>32942</v>
      </c>
      <c r="E21" s="122">
        <f t="shared" si="6"/>
        <v>350</v>
      </c>
      <c r="F21" s="122">
        <f t="shared" si="6"/>
        <v>29750</v>
      </c>
      <c r="G21" s="123">
        <f t="shared" si="6"/>
        <v>190708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135650</v>
      </c>
      <c r="K4" s="231">
        <f t="shared" ref="K4" si="0">D7+D11+D15</f>
        <v>17634.5</v>
      </c>
      <c r="L4" s="220">
        <f>F7+F11+F15</f>
        <v>38250</v>
      </c>
    </row>
    <row r="5" spans="1:12" x14ac:dyDescent="0.35">
      <c r="A5" s="28" t="s">
        <v>43</v>
      </c>
      <c r="B5" s="132">
        <f>IF(DigitaNICA!C2&lt;&gt;"",DigitaNICA!C2,"")</f>
        <v>33</v>
      </c>
      <c r="C5" s="29">
        <f>IF(DigitaNICA!C5&lt;&gt;"",DigitaNICA!C5,"")</f>
        <v>8400</v>
      </c>
      <c r="D5" s="42">
        <f>IF(C5="",0,C5*J$10)</f>
        <v>1092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7308</v>
      </c>
      <c r="I5" s="241" t="s">
        <v>37</v>
      </c>
      <c r="J5" s="221">
        <f>SUM(IF(C5="",0,C5),IF(C9="",0,C9),IF(C13="",0,C13),IF(C17="",0,C17))</f>
        <v>19400</v>
      </c>
      <c r="K5" s="225">
        <f t="shared" ref="K5" si="2">D5+D9+D13+D17</f>
        <v>2522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1000</v>
      </c>
      <c r="K6" s="228">
        <f>D19+D20</f>
        <v>130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46</v>
      </c>
      <c r="C7" s="29">
        <f>IF(DigitaTICA!C5&lt;&gt;"",DigitaTICA!C5,"")</f>
        <v>40500</v>
      </c>
      <c r="D7" s="42">
        <f>IF(C7="",0,C7*J$9)</f>
        <v>5265</v>
      </c>
      <c r="E7" s="29">
        <f>IF(DigitaTICA!D5&lt;&gt;"",DigitaTICA!D5,"")</f>
        <v>200</v>
      </c>
      <c r="F7" s="42">
        <f>IF(E7="",0,E7*PREMIOS!F7)</f>
        <v>17000</v>
      </c>
      <c r="G7" s="30">
        <f t="shared" si="1"/>
        <v>18235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29</v>
      </c>
      <c r="C9" s="29">
        <f>IF(DigitaNICA!E5&lt;&gt;"",DigitaNICA!E5,"")</f>
        <v>5000</v>
      </c>
      <c r="D9" s="42">
        <f>IF(C9="",0,C9*J$10)</f>
        <v>650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4350</v>
      </c>
      <c r="I9" s="60" t="s">
        <v>36</v>
      </c>
      <c r="J9" s="61">
        <v>0.13</v>
      </c>
      <c r="K9" s="62">
        <f>MROUND(D7+D11+D15,50)</f>
        <v>17650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2500</v>
      </c>
    </row>
    <row r="11" spans="1:12" x14ac:dyDescent="0.35">
      <c r="A11" s="28" t="s">
        <v>59</v>
      </c>
      <c r="B11" s="132">
        <f>IF(DigitaTICA!E2&lt;&gt;"",DigitaTICA!E2,"")</f>
        <v>49</v>
      </c>
      <c r="C11" s="29">
        <f>IF(DigitaTICA!E5&lt;&gt;"",DigitaTICA!E5,"")</f>
        <v>23500</v>
      </c>
      <c r="D11" s="42">
        <f>IF(C11="",0,C11*J$9)</f>
        <v>3055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20445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2">
        <f>IF(DigitaNICA!G2&lt;&gt;"",DigitaNICA!G2,"")</f>
        <v>68</v>
      </c>
      <c r="C13" s="29">
        <f>IF(DigitaNICA!G5&lt;&gt;"",DigitaNICA!G5,"")</f>
        <v>4000</v>
      </c>
      <c r="D13" s="42">
        <f>IF(C13="",0,C13*J$10)</f>
        <v>520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3480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>
        <f>IF(DigitaTICA!G5&lt;&gt;"",DigitaTICA!G5,"")</f>
        <v>71650</v>
      </c>
      <c r="D15" s="42">
        <f>IF(C15="",0,C15*J$9)</f>
        <v>9314.5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41085.5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>
        <f>IF(DigitaNICA!I5&lt;&gt;"",DigitaNICA!I5,"")</f>
        <v>2000</v>
      </c>
      <c r="D17" s="42">
        <f>IF(C17="",0,C17*J$10)</f>
        <v>260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1740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60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156050</v>
      </c>
      <c r="D21" s="68">
        <f t="shared" ref="D21:G21" si="4">SUM(D5:D20)</f>
        <v>20286.5</v>
      </c>
      <c r="E21" s="68">
        <f t="shared" si="4"/>
        <v>450</v>
      </c>
      <c r="F21" s="68">
        <f t="shared" si="4"/>
        <v>38250</v>
      </c>
      <c r="G21" s="88">
        <f t="shared" si="4"/>
        <v>97513.5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46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60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46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49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166950</v>
      </c>
      <c r="K4" s="231">
        <f t="shared" ref="K4" si="0">D7+D11+D15</f>
        <v>20034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33</v>
      </c>
      <c r="C5" s="29">
        <f>IF(DigitaNICA!C8&lt;&gt;"",DigitaNICA!C8,"")</f>
        <v>72100</v>
      </c>
      <c r="D5" s="42">
        <f>IF(C5="",0,C5*J$12)</f>
        <v>8652</v>
      </c>
      <c r="E5" s="29">
        <f>IF(DigitaNICA!D8&lt;&gt;"",DigitaNICA!D8,"")</f>
        <v>3250</v>
      </c>
      <c r="F5" s="42">
        <f>IF(E5="",0,E5*PREMIOS!E5)</f>
        <v>260000</v>
      </c>
      <c r="G5" s="30">
        <f t="shared" ref="G5:G12" si="1">IF(OR(C5="",E5=""),0,C5-D5-F5)</f>
        <v>-196552</v>
      </c>
      <c r="I5" s="241" t="s">
        <v>37</v>
      </c>
      <c r="J5" s="221">
        <f>SUM(IF(C5="",0,C5),IF(C9="",0,C9),IF(C13="",0,C13),IF(C17="",0,C17))</f>
        <v>161700</v>
      </c>
      <c r="K5" s="225">
        <f t="shared" ref="K5" si="2">D5+D9+D13+D17</f>
        <v>19404</v>
      </c>
      <c r="L5" s="222">
        <f>F5+F9+F13+F17</f>
        <v>276000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46</v>
      </c>
      <c r="C7" s="29">
        <f>IF(DigitaTICA!C8&lt;&gt;"",DigitaTICA!C8,"")</f>
        <v>58550</v>
      </c>
      <c r="D7" s="42">
        <f>IF(C7="",0,C7*J$11)</f>
        <v>7026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51524</v>
      </c>
      <c r="I7" s="242" t="s">
        <v>96</v>
      </c>
      <c r="J7" s="224">
        <f>SUM(IF(C19="",0,C19),IF(C20="",0,C20))</f>
        <v>57250</v>
      </c>
      <c r="K7" s="228">
        <f>+D19+D20</f>
        <v>6870</v>
      </c>
      <c r="L7" s="229">
        <f>+F19+F20</f>
        <v>88000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29</v>
      </c>
      <c r="C9" s="29">
        <f>IF(DigitaNICA!E8&lt;&gt;"",DigitaNICA!E8,"")</f>
        <v>50400</v>
      </c>
      <c r="D9" s="42">
        <f>IF(C9="",0,C9*J$12)</f>
        <v>6048</v>
      </c>
      <c r="E9" s="29">
        <f>IF(DigitaNICA!F8&lt;&gt;"",DigitaNICA!F8,"")</f>
        <v>100</v>
      </c>
      <c r="F9" s="42">
        <f>IF(E9="",0,E9*PREMIOS!E9)</f>
        <v>8000</v>
      </c>
      <c r="G9" s="30">
        <f t="shared" si="1"/>
        <v>36352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49</v>
      </c>
      <c r="C11" s="29">
        <f>IF(DigitaTICA!E8&lt;&gt;"",DigitaTICA!E8,"")</f>
        <v>45900</v>
      </c>
      <c r="D11" s="42">
        <f>IF(C11="",0,C11*J$11)</f>
        <v>5508</v>
      </c>
      <c r="E11" s="29">
        <f>IF(DigitaTICA!F8&lt;&gt;"",DigitaTICA!F8,"")</f>
        <v>250</v>
      </c>
      <c r="F11" s="42">
        <f>IF(E11="",0,E11*PREMIOS!F11)</f>
        <v>21250</v>
      </c>
      <c r="G11" s="30">
        <f t="shared" si="1"/>
        <v>19142</v>
      </c>
      <c r="I11" s="60" t="s">
        <v>36</v>
      </c>
      <c r="J11" s="61">
        <v>0.12</v>
      </c>
      <c r="K11" s="62">
        <f>MROUND(D7+D11+D15,50)</f>
        <v>20050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19400</v>
      </c>
    </row>
    <row r="13" spans="1:12" x14ac:dyDescent="0.35">
      <c r="A13" s="28" t="s">
        <v>50</v>
      </c>
      <c r="B13" s="132">
        <f>IF(DigitaNICA!G2&lt;&gt;"",DigitaNICA!G2,"")</f>
        <v>68</v>
      </c>
      <c r="C13" s="29">
        <f>IF(DigitaNICA!G8&lt;&gt;"",DigitaNICA!G8,"")</f>
        <v>10400</v>
      </c>
      <c r="D13" s="42">
        <f>IF(C13="",0,C13*J$12)</f>
        <v>1248</v>
      </c>
      <c r="E13" s="29">
        <f>IF(DigitaNICA!H8&lt;&gt;"",DigitaNICA!H8,"")</f>
        <v>100</v>
      </c>
      <c r="F13" s="42">
        <f>IF(E13="",0,E13*PREMIOS!E13)</f>
        <v>8000</v>
      </c>
      <c r="G13" s="30">
        <f>IF(OR(C13="",E13=""),0,C13-D13-F13)</f>
        <v>1152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6850</v>
      </c>
    </row>
    <row r="15" spans="1:12" x14ac:dyDescent="0.35">
      <c r="A15" s="28" t="s">
        <v>61</v>
      </c>
      <c r="B15" s="132">
        <f>IF(DigitaTICA!G2&lt;&gt;"",DigitaTICA!G2,"")</f>
        <v>53</v>
      </c>
      <c r="C15" s="29">
        <f>IF(DigitaTICA!G8&lt;&gt;"",DigitaTICA!G8,"")</f>
        <v>62500</v>
      </c>
      <c r="D15" s="42">
        <f>IF(C15="",0,C15*J$11)</f>
        <v>7500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12500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>
        <f>IF(DigitaNICA!I8&lt;&gt;"",DigitaNICA!I8,"")</f>
        <v>28800</v>
      </c>
      <c r="D17" s="42">
        <f>IF(C17="",0,C17*J$12)</f>
        <v>3456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25344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60</v>
      </c>
      <c r="C19" s="29">
        <f>IF(DigitaPRIMERA!C8&lt;&gt;"",DigitaPRIMERA!C8,"")</f>
        <v>40550</v>
      </c>
      <c r="D19" s="42">
        <f>IF(C19="",0,C19*J$14)</f>
        <v>4866</v>
      </c>
      <c r="E19" s="29">
        <f>IF(DigitaPRIMERA!D8&lt;&gt;"",DigitaPRIMERA!D8,"")</f>
        <v>450</v>
      </c>
      <c r="F19" s="42">
        <f>IF(E19="",0,E19*PREMIOS!E19)</f>
        <v>36000</v>
      </c>
      <c r="G19" s="30">
        <f t="shared" si="4"/>
        <v>-316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>
        <f>IF(DigitaPRIMERA!E8&lt;&gt;"",DigitaPRIMERA!E8,"")</f>
        <v>16700</v>
      </c>
      <c r="D20" s="42">
        <f>IF(C20="",0,C20*J$14)</f>
        <v>2004</v>
      </c>
      <c r="E20" s="29">
        <f>IF(DigitaPRIMERA!F8&lt;&gt;"",DigitaPRIMERA!F8,"")</f>
        <v>650</v>
      </c>
      <c r="F20" s="42">
        <f>IF(E20="",0,E20*PREMIOS!E19)</f>
        <v>52000</v>
      </c>
      <c r="G20" s="30">
        <f t="shared" si="4"/>
        <v>-37304</v>
      </c>
    </row>
    <row r="21" spans="1:7" ht="15" thickBot="1" x14ac:dyDescent="0.4">
      <c r="A21" s="121" t="s">
        <v>5</v>
      </c>
      <c r="B21" s="128"/>
      <c r="C21" s="122">
        <f>SUM(C5:C20)</f>
        <v>385900</v>
      </c>
      <c r="D21" s="122">
        <f t="shared" ref="D21:G21" si="5">SUM(D5:D20)</f>
        <v>46308</v>
      </c>
      <c r="E21" s="122">
        <f t="shared" si="5"/>
        <v>5300</v>
      </c>
      <c r="F21" s="122">
        <f t="shared" si="5"/>
        <v>427750</v>
      </c>
      <c r="G21" s="123">
        <f t="shared" si="5"/>
        <v>-88158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33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46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60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406450</v>
      </c>
      <c r="K4" s="231">
        <f t="shared" ref="K4" si="0">D7+D11+D15</f>
        <v>48774</v>
      </c>
      <c r="L4" s="220">
        <f>F7+F11+F15</f>
        <v>297500</v>
      </c>
    </row>
    <row r="5" spans="1:12" x14ac:dyDescent="0.35">
      <c r="A5" s="28" t="s">
        <v>43</v>
      </c>
      <c r="B5" s="132">
        <f>IF(DigitaNICA!C2&lt;&gt;"",DigitaNICA!C2,"")</f>
        <v>33</v>
      </c>
      <c r="C5" s="29">
        <f>IF(DigitaNICA!C10&lt;&gt;"",DigitaNICA!C10,"")</f>
        <v>103000</v>
      </c>
      <c r="D5" s="42">
        <f>IF(C5="",0,C5*J$15)</f>
        <v>12360</v>
      </c>
      <c r="E5" s="29">
        <f>IF(DigitaNICA!D10&lt;&gt;"",DigitaNICA!D10,"")</f>
        <v>2500</v>
      </c>
      <c r="F5" s="42">
        <f>IF(E5="",0,E5*PREMIOS!F5)</f>
        <v>212500</v>
      </c>
      <c r="G5" s="30">
        <f t="shared" ref="G5:G12" si="1">IF(OR(C5="",E5=""),0,C5-D5-F5)</f>
        <v>-121860</v>
      </c>
      <c r="I5" s="217" t="s">
        <v>37</v>
      </c>
      <c r="J5" s="221">
        <f>SUM(IF(C5="",0,C5),IF(C9="",0,C9),IF(C13="",0,C13),IF(C17="",0,C17))</f>
        <v>363800</v>
      </c>
      <c r="K5" s="225">
        <f t="shared" ref="K5" si="2">D5+D9+D13+D17</f>
        <v>43656</v>
      </c>
      <c r="L5" s="222">
        <f>F5+F9+F13+F17</f>
        <v>246500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110500</v>
      </c>
      <c r="K6" s="226">
        <f t="shared" ref="K6" si="3">+D8+D12+D16</f>
        <v>11050</v>
      </c>
      <c r="L6" s="227">
        <f>F8+F12+F16</f>
        <v>370000</v>
      </c>
    </row>
    <row r="7" spans="1:12" x14ac:dyDescent="0.35">
      <c r="A7" s="28" t="s">
        <v>46</v>
      </c>
      <c r="B7" s="132">
        <f>IF(DigitaTICA!C2&lt;&gt;"",DigitaTICA!C2,"")</f>
        <v>46</v>
      </c>
      <c r="C7" s="29">
        <f>IF(DigitaTICA!C10&lt;&gt;"",DigitaTICA!C10,"")</f>
        <v>149300</v>
      </c>
      <c r="D7" s="42">
        <f>IF(C7="",0,C7*J$14)</f>
        <v>17916</v>
      </c>
      <c r="E7" s="29">
        <f>IF(DigitaTICA!D10&lt;&gt;"",DigitaTICA!D10,"")</f>
        <v>0</v>
      </c>
      <c r="F7" s="42">
        <f>IF(E7="",0,E7*PREMIOS!F7)</f>
        <v>0</v>
      </c>
      <c r="G7" s="30">
        <f t="shared" si="1"/>
        <v>131384</v>
      </c>
      <c r="I7" s="217" t="s">
        <v>96</v>
      </c>
      <c r="J7" s="223">
        <f>SUM(IF(C19="",0,C19),IF(C20="",0,C20))</f>
        <v>51800</v>
      </c>
      <c r="K7" s="226">
        <f>+D19+D20</f>
        <v>6216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44150</v>
      </c>
      <c r="D8" s="42">
        <f>IF(C8="",0,C8*J$16)</f>
        <v>4415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39735</v>
      </c>
      <c r="I8" s="217" t="s">
        <v>104</v>
      </c>
      <c r="J8" s="223">
        <f>SUM(IF(C21="",0,C21),IF(C22="",0,C22),IF(C23="",0,C23))</f>
        <v>19300</v>
      </c>
      <c r="K8" s="226">
        <f t="shared" ref="K8" si="4">D21+D22+D23</f>
        <v>2316</v>
      </c>
      <c r="L8" s="227">
        <f>F21+F22+F23</f>
        <v>51000</v>
      </c>
    </row>
    <row r="9" spans="1:12" x14ac:dyDescent="0.35">
      <c r="A9" s="28" t="s">
        <v>48</v>
      </c>
      <c r="B9" s="132">
        <f>IF(DigitaNICA!E2&lt;&gt;"",DigitaNICA!E2,"")</f>
        <v>29</v>
      </c>
      <c r="C9" s="29">
        <f>IF(DigitaNICA!E10&lt;&gt;"",DigitaNICA!E10,"")</f>
        <v>85150</v>
      </c>
      <c r="D9" s="42">
        <f>IF(C9="",0,C9*J$15)</f>
        <v>10218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66432</v>
      </c>
      <c r="I9" s="217" t="s">
        <v>20</v>
      </c>
      <c r="J9" s="223">
        <f>SUM(IF(C24="",0,C24),IF(C25="",0,C25))</f>
        <v>57000</v>
      </c>
      <c r="K9" s="226">
        <f t="shared" ref="K9" si="5">+D24+D25</f>
        <v>6840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49</v>
      </c>
      <c r="C11" s="29">
        <f>IF(DigitaTICA!E10&lt;&gt;"",DigitaTICA!E10,"")</f>
        <v>115450</v>
      </c>
      <c r="D11" s="42">
        <f>IF(C11="",0,C11*J$14)</f>
        <v>13854</v>
      </c>
      <c r="E11" s="29">
        <f>IF(DigitaTICA!F10&lt;&gt;"",DigitaTICA!F10,"")</f>
        <v>2900</v>
      </c>
      <c r="F11" s="42">
        <f>IF(E11="",0,E11*PREMIOS!F11)</f>
        <v>246500</v>
      </c>
      <c r="G11" s="30">
        <f t="shared" si="1"/>
        <v>-144904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30850</v>
      </c>
      <c r="D12" s="42">
        <f>IF(C12="",0,C12*J$16)</f>
        <v>3085</v>
      </c>
      <c r="E12" s="29">
        <f>IF(DigitaREVENTADO!F10&lt;&gt;"",DigitaREVENTADO!F10,"")</f>
        <v>1850</v>
      </c>
      <c r="F12" s="42">
        <f>IF(E12="",0,E12*PREMIOS!F12)</f>
        <v>370000</v>
      </c>
      <c r="G12" s="30">
        <f t="shared" si="1"/>
        <v>-342235</v>
      </c>
    </row>
    <row r="13" spans="1:12" ht="15" thickBot="1" x14ac:dyDescent="0.4">
      <c r="A13" s="28" t="s">
        <v>50</v>
      </c>
      <c r="B13" s="132">
        <f>IF(DigitaNICA!G2&lt;&gt;"",DigitaNICA!G2,"")</f>
        <v>68</v>
      </c>
      <c r="C13" s="29">
        <f>IF(DigitaNICA!G10&lt;&gt;"",DigitaNICA!G10,"")</f>
        <v>61900</v>
      </c>
      <c r="D13" s="42">
        <f>IF(C13="",0,C13*J$15)</f>
        <v>7428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54472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48750</v>
      </c>
    </row>
    <row r="15" spans="1:12" x14ac:dyDescent="0.35">
      <c r="A15" s="28" t="s">
        <v>61</v>
      </c>
      <c r="B15" s="132">
        <f>IF(DigitaTICA!G2&lt;&gt;"",DigitaTICA!G2,"")</f>
        <v>53</v>
      </c>
      <c r="C15" s="29">
        <f>IF(DigitaTICA!G10&lt;&gt;"",DigitaTICA!G10,"")</f>
        <v>141700</v>
      </c>
      <c r="D15" s="42">
        <f>IF(C15="",0,C15*J$14)</f>
        <v>17004</v>
      </c>
      <c r="E15" s="29">
        <f>IF(DigitaTICA!H10&lt;&gt;"",DigitaTICA!H10,"")</f>
        <v>600</v>
      </c>
      <c r="F15" s="42">
        <f>IF(E15="",0,E15*PREMIOS!F15)</f>
        <v>51000</v>
      </c>
      <c r="G15" s="30">
        <f t="shared" si="6"/>
        <v>73696</v>
      </c>
      <c r="I15" s="63" t="s">
        <v>37</v>
      </c>
      <c r="J15" s="64">
        <v>0.12</v>
      </c>
      <c r="K15" s="30">
        <f>MROUND(D5+D9+D13+D17,50)</f>
        <v>43650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35500</v>
      </c>
      <c r="D16" s="42">
        <f>IF(C16="",0,C16*J$16)</f>
        <v>3550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31950</v>
      </c>
      <c r="I16" s="63" t="s">
        <v>38</v>
      </c>
      <c r="J16" s="64">
        <v>0.1</v>
      </c>
      <c r="K16" s="30">
        <f>MROUND(D6+D8+D10+D12+D14+D16+D18,50)</f>
        <v>11050</v>
      </c>
    </row>
    <row r="17" spans="1:11" x14ac:dyDescent="0.35">
      <c r="A17" s="28" t="s">
        <v>52</v>
      </c>
      <c r="B17" s="132">
        <f>IF(DigitaNICA!I2&lt;&gt;"",DigitaNICA!I2,"")</f>
        <v>59</v>
      </c>
      <c r="C17" s="29">
        <f>IF(DigitaNICA!I10&lt;&gt;"",DigitaNICA!I10,"")</f>
        <v>113750</v>
      </c>
      <c r="D17" s="42">
        <f>IF(C17="",0,C17*J$15)</f>
        <v>13650</v>
      </c>
      <c r="E17" s="29">
        <f>IF(DigitaNICA!J10&lt;&gt;"",DigitaNICA!J10,"")</f>
        <v>300</v>
      </c>
      <c r="F17" s="42">
        <f>IF(E17="",0,E17*PREMIOS!F17)</f>
        <v>25500</v>
      </c>
      <c r="G17" s="30">
        <f t="shared" si="6"/>
        <v>74600</v>
      </c>
      <c r="I17" s="63" t="s">
        <v>96</v>
      </c>
      <c r="J17" s="64">
        <v>0.12</v>
      </c>
      <c r="K17" s="30">
        <f>MROUND(D19+D20,50)</f>
        <v>6200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2300</v>
      </c>
    </row>
    <row r="19" spans="1:11" x14ac:dyDescent="0.35">
      <c r="A19" s="28" t="s">
        <v>97</v>
      </c>
      <c r="B19" s="132">
        <f>IF(DigitaPRIMERA!C2&lt;&gt;"",DigitaPRIMERA!C2,"")</f>
        <v>60</v>
      </c>
      <c r="C19" s="29">
        <f>IF(DigitaPRIMERA!$C$10&lt;&gt;"",DigitaPRIMERA!$C$10,"")</f>
        <v>24700</v>
      </c>
      <c r="D19" s="42">
        <f>IF(C19="",0,C19*J$17)</f>
        <v>2964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21736</v>
      </c>
      <c r="I19" s="63" t="s">
        <v>20</v>
      </c>
      <c r="J19" s="64">
        <v>0.12</v>
      </c>
      <c r="K19" s="30">
        <f>MROUND(D24+D25,50)</f>
        <v>6850</v>
      </c>
    </row>
    <row r="20" spans="1:11" ht="15" thickBot="1" x14ac:dyDescent="0.4">
      <c r="A20" s="28" t="s">
        <v>98</v>
      </c>
      <c r="B20" s="132">
        <f>IF(DigitaPRIMERA!E2&lt;&gt;"",DigitaPRIMERA!E2,"")</f>
        <v>84</v>
      </c>
      <c r="C20" s="29">
        <f>IF(DigitaPRIMERA!$E$10&lt;&gt;"",DigitaPRIMERA!$E$10,"")</f>
        <v>27100</v>
      </c>
      <c r="D20" s="42">
        <f>IF(C20="",0,C20*J$17)</f>
        <v>3252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23848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61</v>
      </c>
      <c r="C21" s="29">
        <f>IF(DigitaHONDURAS!$C$10&lt;&gt;"",DigitaHONDURAS!$C$10,"")</f>
        <v>7500</v>
      </c>
      <c r="D21" s="42">
        <f>IF(C21="",0,C21*J$18)</f>
        <v>900</v>
      </c>
      <c r="E21" s="29">
        <f>IF(DigitaHONDURAS!$D$10&lt;&gt;"",DigitaHONDURAS!$D$10,"")</f>
        <v>500</v>
      </c>
      <c r="F21" s="42">
        <f>IF(E21="",0,E21*PREMIOS!F20)</f>
        <v>42500</v>
      </c>
      <c r="G21" s="30">
        <f t="shared" si="7"/>
        <v>-35900</v>
      </c>
    </row>
    <row r="22" spans="1:11" x14ac:dyDescent="0.35">
      <c r="A22" s="28" t="s">
        <v>100</v>
      </c>
      <c r="B22" s="132">
        <f>IF(DigitaHONDURAS!E2&lt;&gt;"",DigitaHONDURAS!E2,"")</f>
        <v>93</v>
      </c>
      <c r="C22" s="29">
        <f>IF(DigitaHONDURAS!$E$10&lt;&gt;"",DigitaHONDURAS!$E$10,"")</f>
        <v>4800</v>
      </c>
      <c r="D22" s="42">
        <f>IF(C22="",0,C22*J$18)</f>
        <v>576</v>
      </c>
      <c r="E22" s="29">
        <f>IF(DigitaHONDURAS!$F$10&lt;&gt;"",DigitaHONDURAS!$F$10,"")</f>
        <v>100</v>
      </c>
      <c r="F22" s="42">
        <f>IF(E22="",0,E22*PREMIOS!F20)</f>
        <v>8500</v>
      </c>
      <c r="G22" s="30">
        <f t="shared" si="7"/>
        <v>-4276</v>
      </c>
    </row>
    <row r="23" spans="1:11" x14ac:dyDescent="0.35">
      <c r="A23" s="28" t="s">
        <v>101</v>
      </c>
      <c r="B23" s="132">
        <f>IF(DigitaHONDURAS!G2&lt;&gt;"",DigitaHONDURAS!G2,"")</f>
        <v>24</v>
      </c>
      <c r="C23" s="29">
        <f>IF(DigitaHONDURAS!$G$10&lt;&gt;"",DigitaHONDURAS!$G$10,"")</f>
        <v>7000</v>
      </c>
      <c r="D23" s="42">
        <f>IF(C23="",0,C23*J$18)</f>
        <v>840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6160</v>
      </c>
    </row>
    <row r="24" spans="1:11" x14ac:dyDescent="0.35">
      <c r="A24" s="28" t="s">
        <v>107</v>
      </c>
      <c r="B24" s="132">
        <f>IF(DigitaDOMINICANA!C2&lt;&gt;"",DigitaDOMINICANA!C2,"")</f>
        <v>29</v>
      </c>
      <c r="C24" s="29">
        <f>IF(DigitaDOMINICANA!$C$10&lt;&gt;"",DigitaDOMINICANA!$C$10,"")</f>
        <v>26000</v>
      </c>
      <c r="D24" s="42">
        <f>IF(C24="",0,C24*J$19)</f>
        <v>3120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22880</v>
      </c>
    </row>
    <row r="25" spans="1:11" x14ac:dyDescent="0.35">
      <c r="A25" s="28" t="s">
        <v>108</v>
      </c>
      <c r="B25" s="132">
        <f>IF(DigitaDOMINICANA!E2&lt;&gt;"",DigitaDOMINICANA!E2,"")</f>
        <v>52</v>
      </c>
      <c r="C25" s="29">
        <f>IF(DigitaDOMINICANA!$E$10&lt;&gt;"",DigitaDOMINICANA!$E$10,"")</f>
        <v>31000</v>
      </c>
      <c r="D25" s="42">
        <f>IF(C25="",0,C25*J$19)</f>
        <v>3720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27280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1008850</v>
      </c>
      <c r="D27" s="68">
        <f t="shared" ref="D27:F27" si="9">SUM(D5:D26)</f>
        <v>118852</v>
      </c>
      <c r="E27" s="68">
        <f t="shared" si="9"/>
        <v>8850</v>
      </c>
      <c r="F27" s="68">
        <f t="shared" si="9"/>
        <v>965000</v>
      </c>
      <c r="G27" s="88">
        <f>SUM(G5:G26)</f>
        <v>-75002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21500</v>
      </c>
      <c r="K4" s="231">
        <f t="shared" ref="K4" si="0">D7+D11+D15</f>
        <v>2580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46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2600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>
        <f>IF(DigitaTICA!G11&lt;&gt;"",DigitaTICA!G11,"")</f>
        <v>21500</v>
      </c>
      <c r="D15" s="42">
        <f>IF(C15="",0,C15*J$11)</f>
        <v>2580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18920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60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21500</v>
      </c>
      <c r="D21" s="122">
        <f t="shared" ref="D21:G21" si="5">SUM(D5:D20)</f>
        <v>2580</v>
      </c>
      <c r="E21" s="122">
        <f t="shared" si="5"/>
        <v>0</v>
      </c>
      <c r="F21" s="122">
        <f t="shared" si="5"/>
        <v>0</v>
      </c>
      <c r="G21" s="123">
        <f t="shared" si="5"/>
        <v>18920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74700</v>
      </c>
      <c r="K4" s="231">
        <f>D7+D11+D15</f>
        <v>8964</v>
      </c>
      <c r="L4" s="220">
        <f>F7+F11+F15</f>
        <v>76500</v>
      </c>
    </row>
    <row r="5" spans="1:12" x14ac:dyDescent="0.35">
      <c r="A5" s="28" t="s">
        <v>43</v>
      </c>
      <c r="B5" s="132">
        <f>IF(DigitaNICA!C2&lt;&gt;"",DigitaNICA!C2,"")</f>
        <v>33</v>
      </c>
      <c r="C5" s="29" t="str">
        <f>IF(DigitaNICA!C12&lt;&gt;"",DigitaNICA!C12,"")</f>
        <v/>
      </c>
      <c r="D5" s="42">
        <f>IF(C5="",0,C5*J$12)</f>
        <v>0</v>
      </c>
      <c r="E5" s="29" t="str">
        <f>IF(DigitaNICA!D12&lt;&gt;"",DigitaNICA!D12,"")</f>
        <v/>
      </c>
      <c r="F5" s="42">
        <f>IF(E5="",0,E5*PREMIOS!F5)</f>
        <v>0</v>
      </c>
      <c r="G5" s="30">
        <f t="shared" ref="G5:G12" si="0">IF(OR(C5="",E5=""),0,C5-D5-F5)</f>
        <v>0</v>
      </c>
      <c r="I5" s="217" t="s">
        <v>37</v>
      </c>
      <c r="J5" s="221">
        <f>SUM(IF(C5="",0,C5),IF(C9="",0,C9),IF(C13="",0,C13),IF(C17="",0,C17))</f>
        <v>22600</v>
      </c>
      <c r="K5" s="225">
        <f t="shared" ref="K5" si="1">D5+D9+D13+D17</f>
        <v>2712</v>
      </c>
      <c r="L5" s="222">
        <f>F5+F9+F13+F17</f>
        <v>59500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6300</v>
      </c>
      <c r="K6" s="226">
        <f t="shared" ref="K6" si="2">+D8+D12+D16</f>
        <v>630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46</v>
      </c>
      <c r="C7" s="29">
        <f>IF(DigitaTICA!C12&lt;&gt;"",DigitaTICA!C12,"")</f>
        <v>30900</v>
      </c>
      <c r="D7" s="42">
        <f>IF(C7="",0,C7*J$11)</f>
        <v>3708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5942</v>
      </c>
      <c r="I7" s="217" t="s">
        <v>96</v>
      </c>
      <c r="J7" s="223">
        <f>SUM(IF(C19="",0,C19),IF(C20="",0,C20))</f>
        <v>31000</v>
      </c>
      <c r="K7" s="226">
        <f>+D19+D20</f>
        <v>3720</v>
      </c>
      <c r="L7" s="227">
        <f>+F19+F20</f>
        <v>17000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4300</v>
      </c>
      <c r="D8" s="42">
        <f>IF(C8="",0,C8*J$13)</f>
        <v>430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3870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29</v>
      </c>
      <c r="C9" s="29">
        <f>IF(DigitaNICA!E12&lt;&gt;"",DigitaNICA!E12,"")</f>
        <v>22600</v>
      </c>
      <c r="D9" s="42">
        <f>IF(C9="",0,C9*J$12)</f>
        <v>2712</v>
      </c>
      <c r="E9" s="29">
        <f>IF(DigitaNICA!F12&lt;&gt;"",DigitaNICA!F12,"")</f>
        <v>700</v>
      </c>
      <c r="F9" s="42">
        <f>IF(E9="",0,E9*PREMIOS!F9)</f>
        <v>59500</v>
      </c>
      <c r="G9" s="30">
        <f t="shared" si="0"/>
        <v>-39612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49</v>
      </c>
      <c r="C11" s="29">
        <f>IF(DigitaTICA!E12&lt;&gt;"",DigitaTICA!E12,"")</f>
        <v>26050</v>
      </c>
      <c r="D11" s="42">
        <f>IF(C11="",0,C11*J$11)</f>
        <v>3126</v>
      </c>
      <c r="E11" s="29">
        <f>IF(DigitaTICA!F12&lt;&gt;"",DigitaTICA!F12,"")</f>
        <v>350</v>
      </c>
      <c r="F11" s="42">
        <f>IF(E11="",0,E11*PREMIOS!F11)</f>
        <v>29750</v>
      </c>
      <c r="G11" s="30">
        <f t="shared" si="0"/>
        <v>-6826</v>
      </c>
      <c r="I11" s="60" t="s">
        <v>36</v>
      </c>
      <c r="J11" s="61">
        <v>0.12</v>
      </c>
      <c r="K11" s="62">
        <f>MROUND(D7+D11+D15,50)</f>
        <v>8950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2000</v>
      </c>
      <c r="D12" s="42">
        <f>IF(C12="",0,C12*J$13)</f>
        <v>200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1800</v>
      </c>
      <c r="I12" s="63" t="s">
        <v>37</v>
      </c>
      <c r="J12" s="64">
        <v>0.12</v>
      </c>
      <c r="K12" s="30">
        <f>MROUND(D5+D9+D13+D17,50)</f>
        <v>2700</v>
      </c>
    </row>
    <row r="13" spans="1:12" x14ac:dyDescent="0.35">
      <c r="A13" s="28" t="s">
        <v>50</v>
      </c>
      <c r="B13" s="132">
        <f>IF(DigitaNICA!G2&lt;&gt;"",DigitaNICA!G2,"")</f>
        <v>68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650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3700</v>
      </c>
    </row>
    <row r="15" spans="1:12" ht="15" thickBot="1" x14ac:dyDescent="0.4">
      <c r="A15" s="28" t="s">
        <v>61</v>
      </c>
      <c r="B15" s="132">
        <f>IF(DigitaTICA!G2&lt;&gt;"",DigitaTICA!G2,"")</f>
        <v>53</v>
      </c>
      <c r="C15" s="29">
        <f>IF(DigitaTICA!G12&lt;&gt;"",DigitaTICA!G12,"")</f>
        <v>17750</v>
      </c>
      <c r="D15" s="42">
        <f>IF(C15="",0,C15*J$11)</f>
        <v>2130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-9880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60</v>
      </c>
      <c r="C19" s="29">
        <f>IF(DigitaPRIMERA!$C$12&lt;&gt;"",DigitaPRIMERA!$C$12,"")</f>
        <v>31000</v>
      </c>
      <c r="D19" s="42">
        <f>IF(C19="",0,C19*J$14)</f>
        <v>3720</v>
      </c>
      <c r="E19" s="29">
        <f>IF(DigitaPRIMERA!$D$12&lt;&gt;"",DigitaPRIMERA!$D$12,"")</f>
        <v>200</v>
      </c>
      <c r="F19" s="42">
        <f>IF(E19="",0,E19*PREMIOS!F19)</f>
        <v>17000</v>
      </c>
      <c r="G19" s="30">
        <f t="shared" si="3"/>
        <v>10280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61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134600</v>
      </c>
      <c r="D24" s="68">
        <f t="shared" ref="D24:G24" si="4">SUM(D5:D23)</f>
        <v>16026</v>
      </c>
      <c r="E24" s="68">
        <f t="shared" si="4"/>
        <v>1800</v>
      </c>
      <c r="F24" s="68">
        <f t="shared" si="4"/>
        <v>153000</v>
      </c>
      <c r="G24" s="88">
        <f t="shared" si="4"/>
        <v>-34426</v>
      </c>
    </row>
    <row r="27" spans="1:7" x14ac:dyDescent="0.35">
      <c r="G27" s="21">
        <v>-29975</v>
      </c>
    </row>
    <row r="28" spans="1:7" x14ac:dyDescent="0.35">
      <c r="G28" s="141">
        <f>+G24+G27</f>
        <v>-64401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120000</v>
      </c>
      <c r="K4" s="231">
        <f t="shared" ref="K4" si="0">D7+D11+D15</f>
        <v>14400</v>
      </c>
      <c r="L4" s="220">
        <f>F7+F11+F15</f>
        <v>310250</v>
      </c>
    </row>
    <row r="5" spans="1:12" ht="15" thickBot="1" x14ac:dyDescent="0.4">
      <c r="A5" s="28" t="s">
        <v>43</v>
      </c>
      <c r="B5" s="132">
        <f>IF(DigitaNICA!C2&lt;&gt;"",DigitaNICA!C2,"")</f>
        <v>33</v>
      </c>
      <c r="C5" s="29">
        <f>IF(DigitaNICA!C13&lt;&gt;"",DigitaNICA!C13,"")</f>
        <v>15000</v>
      </c>
      <c r="D5" s="42">
        <f>IF(C5="",0,C5*J$10)</f>
        <v>1800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13200</v>
      </c>
      <c r="I5" s="218" t="s">
        <v>37</v>
      </c>
      <c r="J5" s="232">
        <f>SUM(IF(C5="",0,C5),IF(C9="",0,C9),IF(C13="",0,C13),IF(C17="",0,C17))</f>
        <v>39000</v>
      </c>
      <c r="K5" s="233">
        <f t="shared" ref="K5" si="2">D5+D9+D13+D17</f>
        <v>4680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46</v>
      </c>
      <c r="C7" s="29">
        <f>IF(DigitaTICA!C13&lt;&gt;"",DigitaTICA!C13,"")</f>
        <v>36250</v>
      </c>
      <c r="D7" s="42">
        <f>IF(C7="",0,C7*J$9)</f>
        <v>4350</v>
      </c>
      <c r="E7" s="29">
        <f>IF(DigitaTICA!D13&lt;&gt;"",DigitaTICA!D13,"")</f>
        <v>1250</v>
      </c>
      <c r="F7" s="133">
        <f>IF(E7="",0,E7*PREMIOS!F7)</f>
        <v>106250</v>
      </c>
      <c r="G7" s="30">
        <f t="shared" si="1"/>
        <v>-74350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29</v>
      </c>
      <c r="C9" s="29">
        <f>IF(DigitaNICA!E13&lt;&gt;"",DigitaNICA!E13,"")</f>
        <v>20550</v>
      </c>
      <c r="D9" s="42">
        <f>IF(C9="",0,C9*J$10)</f>
        <v>2466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18084</v>
      </c>
      <c r="I9" s="60" t="s">
        <v>36</v>
      </c>
      <c r="J9" s="61">
        <v>0.12</v>
      </c>
      <c r="K9" s="62">
        <f>MROUND(D7+D11+D15,50)</f>
        <v>14400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4700</v>
      </c>
    </row>
    <row r="11" spans="1:12" ht="15" thickBot="1" x14ac:dyDescent="0.4">
      <c r="A11" s="28" t="s">
        <v>59</v>
      </c>
      <c r="B11" s="132">
        <f>IF(DigitaTICA!E2&lt;&gt;"",DigitaTICA!E2,"")</f>
        <v>49</v>
      </c>
      <c r="C11" s="29">
        <f>IF(DigitaTICA!E13&lt;&gt;"",DigitaTICA!E13,"")</f>
        <v>26600</v>
      </c>
      <c r="D11" s="42">
        <f>IF(C11="",0,C11*J$9)</f>
        <v>3192</v>
      </c>
      <c r="E11" s="29">
        <f>IF(DigitaTICA!F13&lt;&gt;"",DigitaTICA!F13,"")</f>
        <v>100</v>
      </c>
      <c r="F11" s="133">
        <f>IF(E11="",0,E11*PREMIOS!F11)</f>
        <v>8500</v>
      </c>
      <c r="G11" s="30">
        <f t="shared" si="1"/>
        <v>14908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29">
        <f>IF(DigitaNICA!G13&lt;&gt;"",DigitaNICA!G13,"")</f>
        <v>1150</v>
      </c>
      <c r="D13" s="42">
        <f>IF(C13="",0,C13*J$10)</f>
        <v>138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1012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>
        <f>IF(DigitaTICA!G13&lt;&gt;"",DigitaTICA!G13,"")</f>
        <v>57150</v>
      </c>
      <c r="D15" s="42">
        <f>IF(C15="",0,C15*J$9)</f>
        <v>6858</v>
      </c>
      <c r="E15" s="29">
        <f>IF(DigitaTICA!H13&lt;&gt;"",DigitaTICA!H13,"")</f>
        <v>2300</v>
      </c>
      <c r="F15" s="133">
        <f>IF(E15="",0,E15*PREMIOS!F15)</f>
        <v>195500</v>
      </c>
      <c r="G15" s="30">
        <f t="shared" si="3"/>
        <v>-145208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>
        <f>IF(DigitaNICA!I13&lt;&gt;"",DigitaNICA!I13,"")</f>
        <v>2300</v>
      </c>
      <c r="D17" s="42">
        <f>IF(C17="",0,C17*J$10)</f>
        <v>276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2024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159000</v>
      </c>
      <c r="D19" s="68">
        <f>MROUND(SUM(D5:D18),50)</f>
        <v>19100</v>
      </c>
      <c r="E19" s="68">
        <f>SUM(E5:E18)</f>
        <v>3650</v>
      </c>
      <c r="F19" s="68">
        <f>SUM(F5:F18)</f>
        <v>310250</v>
      </c>
      <c r="G19" s="88">
        <f>SUM(G5:G18)</f>
        <v>-170330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119100</v>
      </c>
      <c r="K4" s="236">
        <f t="shared" ref="K4" si="0">D7+D11+D15</f>
        <v>17865</v>
      </c>
      <c r="L4" s="237">
        <f>F7+F11+F15</f>
        <v>104000</v>
      </c>
    </row>
    <row r="5" spans="1:12" x14ac:dyDescent="0.35">
      <c r="A5" s="28" t="s">
        <v>43</v>
      </c>
      <c r="B5" s="132">
        <f>IF(DigitaNICA!C2&lt;&gt;"",DigitaNICA!C2,"")</f>
        <v>33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46</v>
      </c>
      <c r="C7" s="29">
        <f>IF(DigitaTICA!C14&lt;&gt;"",DigitaTICA!C14,"")</f>
        <v>49650</v>
      </c>
      <c r="D7" s="42">
        <f>IF(C7="",0,C7*J$9)</f>
        <v>7447.5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42202.5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29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17850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49</v>
      </c>
      <c r="C11" s="29">
        <f>IF(DigitaTICA!E14&lt;&gt;"",DigitaTICA!E14,"")</f>
        <v>35600</v>
      </c>
      <c r="D11" s="42">
        <f>IF(C11="",0,C11*J$9)</f>
        <v>5340</v>
      </c>
      <c r="E11" s="29">
        <f>IF(DigitaTICA!F14&lt;&gt;"",DigitaTICA!F14,"")</f>
        <v>1000</v>
      </c>
      <c r="F11" s="42">
        <f>IF(E11="",0,E11*PREMIOS!E11)</f>
        <v>80000</v>
      </c>
      <c r="G11" s="30">
        <f t="shared" si="1"/>
        <v>-49740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>
        <f>IF(DigitaTICA!G14&lt;&gt;"",DigitaTICA!G14,"")</f>
        <v>33850</v>
      </c>
      <c r="D15" s="42">
        <f>IF(C15="",0,C15*J$9)</f>
        <v>5077.5</v>
      </c>
      <c r="E15" s="29">
        <f>IF(DigitaTICA!H14&lt;&gt;"",DigitaTICA!H14,"")</f>
        <v>300</v>
      </c>
      <c r="F15" s="42">
        <f>IF(E15="",0,E15*PREMIOS!E15)</f>
        <v>24000</v>
      </c>
      <c r="G15" s="30">
        <f t="shared" si="2"/>
        <v>4772.5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119100</v>
      </c>
      <c r="D19" s="68">
        <f>MROUND(SUM(D5:D18),50)</f>
        <v>17850</v>
      </c>
      <c r="E19" s="68">
        <f>SUM(E5:E18)</f>
        <v>1300</v>
      </c>
      <c r="F19" s="68">
        <f>SUM(F5:F18)</f>
        <v>104000</v>
      </c>
      <c r="G19" s="88">
        <f>SUM(G5:G18)</f>
        <v>-2765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46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68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53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44250</v>
      </c>
      <c r="K4" s="231">
        <f>D7+D11+D15</f>
        <v>5310</v>
      </c>
      <c r="L4" s="220">
        <f>F7+F11+F15</f>
        <v>8500</v>
      </c>
    </row>
    <row r="5" spans="1:12" x14ac:dyDescent="0.35">
      <c r="A5" s="28" t="s">
        <v>43</v>
      </c>
      <c r="B5" s="132">
        <f>IF(DigitaNICA!C2&lt;&gt;"",DigitaNICA!C2,"")</f>
        <v>33</v>
      </c>
      <c r="C5" s="29" t="str">
        <f>IF(DigitaNICA!C16&lt;&gt;"",DigitaNICA!C16,"")</f>
        <v/>
      </c>
      <c r="D5" s="42">
        <f>IF(C5="",0,C5*J$12)</f>
        <v>0</v>
      </c>
      <c r="E5" s="29">
        <f>IF(DigitaNICA!D16&lt;&gt;"",DigitaNICA!D16,"")</f>
        <v>100</v>
      </c>
      <c r="F5" s="42">
        <f>IF(E5="",0,E5*PREMIOS!E5)</f>
        <v>8000</v>
      </c>
      <c r="G5" s="30">
        <f t="shared" ref="G5:G12" si="0">IF(OR(C5="",E5=""),0,C5-D5-F5)</f>
        <v>0</v>
      </c>
      <c r="I5" s="63" t="s">
        <v>37</v>
      </c>
      <c r="J5" s="225">
        <f>SUM(IF(C5="",0,C5),IF(C9="",0,C9),IF(C13="",0,C13),IF(C17="",0,C17))</f>
        <v>26800</v>
      </c>
      <c r="K5" s="225">
        <f t="shared" ref="K5" si="1">D5+D9+D13+D17</f>
        <v>3216</v>
      </c>
      <c r="L5" s="222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46</v>
      </c>
      <c r="C7" s="29" t="str">
        <f>IF(DigitaTICA!C16&lt;&gt;"",DigitaTICA!C16,"")</f>
        <v/>
      </c>
      <c r="D7" s="42">
        <f>IF(C7="",0,C7*J$11)</f>
        <v>0</v>
      </c>
      <c r="E7" s="29" t="str">
        <f>IF(DigitaTICA!D16&lt;&gt;"",DigitaTICA!D16,"")</f>
        <v/>
      </c>
      <c r="F7" s="133">
        <f>IF(E7="",0,E7*PREMIOS!F7)</f>
        <v>0</v>
      </c>
      <c r="G7" s="30">
        <f t="shared" si="0"/>
        <v>0</v>
      </c>
      <c r="I7" s="63" t="s">
        <v>96</v>
      </c>
      <c r="J7" s="226">
        <f>SUM(IF(C19="",0,C19),IF(C20="",0,C20))</f>
        <v>2800</v>
      </c>
      <c r="K7" s="226">
        <f>+D19+D20</f>
        <v>336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29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49</v>
      </c>
      <c r="C11" s="29">
        <f>IF(DigitaTICA!E16&lt;&gt;"",DigitaTICA!E16,"")</f>
        <v>21200</v>
      </c>
      <c r="D11" s="42">
        <f>IF(C11="",0,C11*J$11)</f>
        <v>2544</v>
      </c>
      <c r="E11" s="29">
        <f>IF(DigitaTICA!F16&lt;&gt;"",DigitaTICA!F16,"")</f>
        <v>100</v>
      </c>
      <c r="F11" s="133">
        <f>IF(E11="",0,E11*PREMIOS!F11)</f>
        <v>8500</v>
      </c>
      <c r="G11" s="30">
        <f t="shared" si="0"/>
        <v>10156</v>
      </c>
      <c r="I11" s="76" t="s">
        <v>36</v>
      </c>
      <c r="J11" s="77">
        <v>0.12</v>
      </c>
      <c r="K11" s="78">
        <f>MROUND(D7+D11+D15,50)</f>
        <v>5300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3200</v>
      </c>
    </row>
    <row r="13" spans="1:12" x14ac:dyDescent="0.35">
      <c r="A13" s="28" t="s">
        <v>50</v>
      </c>
      <c r="B13" s="132">
        <f>IF(DigitaNICA!G2&lt;&gt;"",DigitaNICA!G2,"")</f>
        <v>68</v>
      </c>
      <c r="C13" s="29">
        <f>IF(DigitaNICA!G16&lt;&gt;"",DigitaNICA!G16,"")</f>
        <v>16200</v>
      </c>
      <c r="D13" s="42">
        <f>IF(C13="",0,C13*J$12)</f>
        <v>1944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14256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</v>
      </c>
    </row>
    <row r="15" spans="1:12" ht="15" thickBot="1" x14ac:dyDescent="0.4">
      <c r="A15" s="28" t="s">
        <v>61</v>
      </c>
      <c r="B15" s="132">
        <f>IF(DigitaTICA!G2&lt;&gt;"",DigitaTICA!G2,"")</f>
        <v>53</v>
      </c>
      <c r="C15" s="29">
        <f>IF(DigitaTICA!G16&lt;&gt;"",DigitaTICA!G16,"")</f>
        <v>23050</v>
      </c>
      <c r="D15" s="42">
        <f>IF(C15="",0,C15*J$11)</f>
        <v>2766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20284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>
        <f>IF(DigitaNICA!I16&lt;&gt;"",DigitaNICA!I16,"")</f>
        <v>10600</v>
      </c>
      <c r="D17" s="42">
        <f>IF(C17="",0,C17*J$12)</f>
        <v>1272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9328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60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>
        <f>IF(DigitaPRIMERA!E16&lt;&gt;"",DigitaPRIMERA!E16,"")</f>
        <v>2800</v>
      </c>
      <c r="D20" s="42">
        <f>IF(C20="",0,C20*J$14)</f>
        <v>336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2464</v>
      </c>
    </row>
    <row r="21" spans="1:7" x14ac:dyDescent="0.35">
      <c r="A21" s="28" t="s">
        <v>99</v>
      </c>
      <c r="B21" s="132">
        <f>IF(DigitaHONDURAS!C2&lt;&gt;"",DigitaHONDURAS!C2,"")</f>
        <v>61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93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73850</v>
      </c>
      <c r="D24" s="122">
        <f t="shared" ref="D24:G24" si="5">SUM(D5:D23)</f>
        <v>8862</v>
      </c>
      <c r="E24" s="122">
        <f t="shared" si="5"/>
        <v>200</v>
      </c>
      <c r="F24" s="122">
        <f t="shared" si="5"/>
        <v>16500</v>
      </c>
      <c r="G24" s="123">
        <f t="shared" si="5"/>
        <v>56488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379800</v>
      </c>
      <c r="K4" s="231">
        <f t="shared" ref="K4" si="0">D7+D11+D15</f>
        <v>45576</v>
      </c>
      <c r="L4" s="220">
        <f>F7+F11+F15</f>
        <v>191250</v>
      </c>
    </row>
    <row r="5" spans="1:12" x14ac:dyDescent="0.35">
      <c r="A5" s="28" t="s">
        <v>43</v>
      </c>
      <c r="B5" s="132">
        <f>IF(DigitaNICA!C2&lt;&gt;"",DigitaNICA!C2,"")</f>
        <v>33</v>
      </c>
      <c r="C5" s="89">
        <f>IF(DigitaNICA!C17&lt;&gt;"",DigitaNICA!C17,"")</f>
        <v>83350</v>
      </c>
      <c r="D5" s="42">
        <f>IF(C5="",0,C5*J$16)</f>
        <v>10002</v>
      </c>
      <c r="E5" s="89">
        <f>IF(DigitaNICA!D17&lt;&gt;"",DigitaNICA!D17,"")</f>
        <v>800</v>
      </c>
      <c r="F5" s="42">
        <f>IF(E5="",0,E5*PREMIOS!F5)</f>
        <v>68000</v>
      </c>
      <c r="G5" s="90">
        <f t="shared" ref="G5:G12" si="1">IF(OR(C5="",E5=""),0,C5-D5-F5)</f>
        <v>5348</v>
      </c>
      <c r="I5" s="217" t="s">
        <v>37</v>
      </c>
      <c r="J5" s="221">
        <f>SUM(IF(C5="",0,C5),IF(C9="",0,C9),IF(C13="",0,C13),IF(C17="",0,C17))</f>
        <v>308300</v>
      </c>
      <c r="K5" s="225">
        <f t="shared" ref="K5" si="2">D5+D9+D13+D17</f>
        <v>36996</v>
      </c>
      <c r="L5" s="222">
        <f>F5+F9+F13+F17</f>
        <v>225250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58700</v>
      </c>
      <c r="K6" s="226">
        <f t="shared" ref="K6" si="3">+D8+D12+D16</f>
        <v>5870</v>
      </c>
      <c r="L6" s="227">
        <f>+F8+F12+F16</f>
        <v>10000</v>
      </c>
    </row>
    <row r="7" spans="1:12" x14ac:dyDescent="0.35">
      <c r="A7" s="28" t="s">
        <v>46</v>
      </c>
      <c r="B7" s="132">
        <f>IF(DigitaTICA!C2&lt;&gt;"",DigitaTICA!C2,"")</f>
        <v>46</v>
      </c>
      <c r="C7" s="89">
        <f>IF(DigitaTICA!C17&lt;&gt;"",DigitaTICA!C17,"")</f>
        <v>99750</v>
      </c>
      <c r="D7" s="42">
        <f>IF(C7="",0,C7*J$15)</f>
        <v>11970</v>
      </c>
      <c r="E7" s="89">
        <f>IF(DigitaTICA!D17&lt;&gt;"",DigitaTICA!D17,"")</f>
        <v>100</v>
      </c>
      <c r="F7" s="42">
        <f>IF(E7="",0,E7*PREMIOS!F7)</f>
        <v>8500</v>
      </c>
      <c r="G7" s="90">
        <f t="shared" si="1"/>
        <v>79280</v>
      </c>
      <c r="I7" s="217" t="s">
        <v>96</v>
      </c>
      <c r="J7" s="223">
        <f>SUM(IF(C19="",0,C19),IF(C20="",0,C20))</f>
        <v>112250</v>
      </c>
      <c r="K7" s="226">
        <f>+D19+D20</f>
        <v>13470</v>
      </c>
      <c r="L7" s="227">
        <f>+F19+F20</f>
        <v>17000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22500</v>
      </c>
      <c r="D8" s="42">
        <f>IF(C8="",0,C8*J$17)</f>
        <v>2250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20250</v>
      </c>
      <c r="I8" s="217" t="s">
        <v>104</v>
      </c>
      <c r="J8" s="223">
        <f>SUM(IF(C21="",0,C21),IF(C22="",0,C22),IF(C23="",0,C23))</f>
        <v>71750</v>
      </c>
      <c r="K8" s="226">
        <f t="shared" ref="K8" si="4">D21+D22+D23</f>
        <v>8610</v>
      </c>
      <c r="L8" s="227">
        <f>F21+F22+F23</f>
        <v>76500</v>
      </c>
    </row>
    <row r="9" spans="1:12" x14ac:dyDescent="0.35">
      <c r="A9" s="28" t="s">
        <v>48</v>
      </c>
      <c r="B9" s="132">
        <f>IF(DigitaNICA!E2&lt;&gt;"",DigitaNICA!E2,"")</f>
        <v>29</v>
      </c>
      <c r="C9" s="89">
        <f>IF(DigitaNICA!E17&lt;&gt;"",DigitaNICA!E17,"")</f>
        <v>60050</v>
      </c>
      <c r="D9" s="42">
        <f>IF(C9="",0,C9*J$16)</f>
        <v>7206</v>
      </c>
      <c r="E9" s="89">
        <f>IF(DigitaNICA!F17&lt;&gt;"",DigitaNICA!F17,"")</f>
        <v>1100</v>
      </c>
      <c r="F9" s="42">
        <f>IF(E9="",0,E9*PREMIOS!F9)</f>
        <v>93500</v>
      </c>
      <c r="G9" s="90">
        <f t="shared" si="1"/>
        <v>-40656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49</v>
      </c>
      <c r="C11" s="89">
        <f>IF(DigitaTICA!E17&lt;&gt;"",DigitaTICA!E17,"")</f>
        <v>86700</v>
      </c>
      <c r="D11" s="42">
        <f>IF(C11="",0,C11*J$15)</f>
        <v>10404</v>
      </c>
      <c r="E11" s="89">
        <f>IF(DigitaTICA!F17&lt;&gt;"",DigitaTICA!F17,"")</f>
        <v>750</v>
      </c>
      <c r="F11" s="42">
        <f>IF(E11="",0,E11*PREMIOS!F11)</f>
        <v>63750</v>
      </c>
      <c r="G11" s="90">
        <f t="shared" si="1"/>
        <v>12546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12200</v>
      </c>
      <c r="D12" s="42">
        <f>IF(C12="",0,C12*J$17)</f>
        <v>1220</v>
      </c>
      <c r="E12" s="89">
        <f>IF(DigitaREVENTADO!F17&lt;&gt;"",DigitaREVENTADO!F17,"")</f>
        <v>50</v>
      </c>
      <c r="F12" s="42">
        <f>IF(E12="",0,E12*PREMIOS!F12)</f>
        <v>10000</v>
      </c>
      <c r="G12" s="90">
        <f t="shared" si="1"/>
        <v>980</v>
      </c>
    </row>
    <row r="13" spans="1:12" ht="15" thickBot="1" x14ac:dyDescent="0.4">
      <c r="A13" s="28" t="s">
        <v>50</v>
      </c>
      <c r="B13" s="132">
        <f>IF(DigitaNICA!G2&lt;&gt;"",DigitaNICA!G2,"")</f>
        <v>68</v>
      </c>
      <c r="C13" s="89">
        <f>IF(DigitaNICA!G17&lt;&gt;"",DigitaNICA!G17,"")</f>
        <v>42700</v>
      </c>
      <c r="D13" s="42">
        <f>IF(C13="",0,C13*J$16)</f>
        <v>5124</v>
      </c>
      <c r="E13" s="89">
        <f>IF(DigitaNICA!H17&lt;&gt;"",DigitaNICA!H17,"")</f>
        <v>350</v>
      </c>
      <c r="F13" s="42">
        <f>IF(E13="",0,E13*PREMIOS!F13)</f>
        <v>29750</v>
      </c>
      <c r="G13" s="90">
        <f>IF(OR(C13="",E13=""),0,C13-D13-F13)</f>
        <v>7826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53</v>
      </c>
      <c r="C15" s="89">
        <f>IF(DigitaTICA!G17&lt;&gt;"",DigitaTICA!G17,"")</f>
        <v>193350</v>
      </c>
      <c r="D15" s="42">
        <f>IF(C15="",0,C15*J$15)</f>
        <v>23202</v>
      </c>
      <c r="E15" s="89">
        <f>IF(DigitaTICA!H17&lt;&gt;"",DigitaTICA!H17,"")</f>
        <v>1400</v>
      </c>
      <c r="F15" s="42">
        <f>IF(E15="",0,E15*PREMIOS!F15)</f>
        <v>119000</v>
      </c>
      <c r="G15" s="90">
        <f t="shared" si="6"/>
        <v>51148</v>
      </c>
      <c r="I15" s="76" t="s">
        <v>36</v>
      </c>
      <c r="J15" s="77">
        <v>0.12</v>
      </c>
      <c r="K15" s="78">
        <f>MROUND(D7+D11+D15,50)</f>
        <v>45600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24000</v>
      </c>
      <c r="D16" s="42">
        <f>IF(C16="",0,C16*J$17)</f>
        <v>2400</v>
      </c>
      <c r="E16" s="89">
        <f>IF(DigitaREVENTADO!H17&lt;&gt;"",DigitaREVENTADO!H17,"")</f>
        <v>1000</v>
      </c>
      <c r="F16" s="42">
        <f>IF(E16="",0,E16*PREMIOS!F16)</f>
        <v>0</v>
      </c>
      <c r="G16" s="90">
        <f t="shared" si="6"/>
        <v>21600</v>
      </c>
      <c r="I16" s="63" t="s">
        <v>37</v>
      </c>
      <c r="J16" s="64">
        <v>0.12</v>
      </c>
      <c r="K16" s="30">
        <f>MROUND(D5+D9+D13+D17,50)</f>
        <v>37000</v>
      </c>
    </row>
    <row r="17" spans="1:11" x14ac:dyDescent="0.35">
      <c r="A17" s="28" t="s">
        <v>52</v>
      </c>
      <c r="B17" s="132">
        <f>IF(DigitaNICA!I2&lt;&gt;"",DigitaNICA!I2,"")</f>
        <v>59</v>
      </c>
      <c r="C17" s="89">
        <f>IF(DigitaNICA!I17&lt;&gt;"",DigitaNICA!I17,"")</f>
        <v>122200</v>
      </c>
      <c r="D17" s="42">
        <f>IF(C17="",0,C17*J$16)</f>
        <v>14664</v>
      </c>
      <c r="E17" s="89">
        <f>IF(DigitaNICA!J17&lt;&gt;"",DigitaNICA!J17,"")</f>
        <v>400</v>
      </c>
      <c r="F17" s="42">
        <f>IF(E17="",0,E17*PREMIOS!F17)</f>
        <v>34000</v>
      </c>
      <c r="G17" s="90">
        <f t="shared" si="6"/>
        <v>73536</v>
      </c>
      <c r="I17" s="63" t="s">
        <v>38</v>
      </c>
      <c r="J17" s="64">
        <v>0.1</v>
      </c>
      <c r="K17" s="30">
        <f>MROUND(D6+D8+D10+D12+D14+D16+D18,50)</f>
        <v>5850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13450</v>
      </c>
    </row>
    <row r="19" spans="1:11" x14ac:dyDescent="0.35">
      <c r="A19" s="28" t="s">
        <v>97</v>
      </c>
      <c r="B19" s="132">
        <f>IF(DigitaPRIMERA!C2&lt;&gt;"",DigitaPRIMERA!C2,"")</f>
        <v>60</v>
      </c>
      <c r="C19" s="29">
        <f>IF(DigitaPRIMERA!$C$17&lt;&gt;"",DigitaPRIMERA!$C$17,"")</f>
        <v>83300</v>
      </c>
      <c r="D19" s="42">
        <f>IF(C19="",0,C19*J$18)</f>
        <v>9996</v>
      </c>
      <c r="E19" s="29">
        <f>IF(DigitaPRIMERA!$D$17&lt;&gt;"",DigitaPRIMERA!$D$17,"")</f>
        <v>200</v>
      </c>
      <c r="F19" s="42">
        <f>IF(E19="",0,E19*PREMIOS!F19)</f>
        <v>17000</v>
      </c>
      <c r="G19" s="30">
        <f t="shared" si="6"/>
        <v>56304</v>
      </c>
      <c r="I19" s="63" t="s">
        <v>104</v>
      </c>
      <c r="J19" s="64">
        <v>0.12</v>
      </c>
      <c r="K19" s="30">
        <f>MROUND(D21+D22+D23,50)</f>
        <v>8600</v>
      </c>
    </row>
    <row r="20" spans="1:11" x14ac:dyDescent="0.35">
      <c r="A20" s="28" t="s">
        <v>98</v>
      </c>
      <c r="B20" s="132">
        <f>IF(DigitaPRIMERA!E2&lt;&gt;"",DigitaPRIMERA!E2,"")</f>
        <v>84</v>
      </c>
      <c r="C20" s="29">
        <f>IF(DigitaPRIMERA!$E$17&lt;&gt;"",DigitaPRIMERA!$E$17,"")</f>
        <v>28950</v>
      </c>
      <c r="D20" s="42">
        <f>IF(C20="",0,C20*J$18)</f>
        <v>3474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25476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61</v>
      </c>
      <c r="C21" s="29">
        <f>IF(DigitaHONDURAS!$C$17&lt;&gt;"",DigitaHONDURAS!$C$17,"")</f>
        <v>50550</v>
      </c>
      <c r="D21" s="42">
        <f>IF(C21="",0,C21*J$19)</f>
        <v>6066</v>
      </c>
      <c r="E21" s="29">
        <f>IF(DigitaHONDURAS!$D$17&lt;&gt;"",DigitaHONDURAS!$D$17,"")</f>
        <v>700</v>
      </c>
      <c r="F21" s="42">
        <f>IF(E21="",0,E21*PREMIOS!F20)</f>
        <v>59500</v>
      </c>
      <c r="G21" s="30">
        <f t="shared" si="6"/>
        <v>-15016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93</v>
      </c>
      <c r="C22" s="29">
        <f>IF(DigitaHONDURAS!$E$17&lt;&gt;"",DigitaHONDURAS!$E$17,"")</f>
        <v>9700</v>
      </c>
      <c r="D22" s="42">
        <f>IF(C22="",0,C22*J$19)</f>
        <v>1164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8536</v>
      </c>
    </row>
    <row r="23" spans="1:11" x14ac:dyDescent="0.35">
      <c r="A23" s="28" t="s">
        <v>101</v>
      </c>
      <c r="B23" s="132">
        <f>IF(DigitaHONDURAS!G2&lt;&gt;"",DigitaHONDURAS!G2,"")</f>
        <v>24</v>
      </c>
      <c r="C23" s="29">
        <f>IF(DigitaHONDURAS!$G$17&lt;&gt;"",DigitaHONDURAS!$G$17,"")</f>
        <v>11500</v>
      </c>
      <c r="D23" s="42">
        <f>IF(C23="",0,C23*J$19)</f>
        <v>1380</v>
      </c>
      <c r="E23" s="29">
        <f>IF(DigitaHONDURAS!$H$17&lt;&gt;"",DigitaHONDURAS!$H$17,"")</f>
        <v>200</v>
      </c>
      <c r="F23" s="42">
        <f>IF(E23="",0,E23*PREMIOS!F20)</f>
        <v>17000</v>
      </c>
      <c r="G23" s="30">
        <f t="shared" si="6"/>
        <v>-6880</v>
      </c>
    </row>
    <row r="24" spans="1:11" x14ac:dyDescent="0.35">
      <c r="A24" s="28" t="s">
        <v>102</v>
      </c>
      <c r="B24" s="132">
        <f>IF(DigitaDOMINICANA!C2&lt;&gt;"",DigitaDOMINICANA!C2,"")</f>
        <v>29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930800</v>
      </c>
      <c r="D27" s="68">
        <f t="shared" ref="D27:G27" si="7">SUM(D5:D26)</f>
        <v>110522</v>
      </c>
      <c r="E27" s="68">
        <f t="shared" si="7"/>
        <v>7050</v>
      </c>
      <c r="F27" s="68">
        <f t="shared" si="7"/>
        <v>520000</v>
      </c>
      <c r="G27" s="88">
        <f t="shared" si="7"/>
        <v>300278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248700</v>
      </c>
      <c r="K4" s="231">
        <f t="shared" ref="K4" si="0">D7+D11+D15</f>
        <v>29844</v>
      </c>
      <c r="L4" s="220">
        <f>F7+F11+F15</f>
        <v>195500</v>
      </c>
    </row>
    <row r="5" spans="1:12" x14ac:dyDescent="0.35">
      <c r="A5" s="28" t="str">
        <f>+Vendedor1!A5</f>
        <v>Nica 11am</v>
      </c>
      <c r="B5" s="132">
        <f>IF(DigitaNICA!C2&lt;&gt;"",DigitaNICA!C2,"")</f>
        <v>33</v>
      </c>
      <c r="C5" s="29">
        <f>IF(DigitaNICA!C18&lt;&gt;"",DigitaNICA!C18,"")</f>
        <v>74950</v>
      </c>
      <c r="D5" s="42">
        <f>IF(C5="",0,C5*J$16)</f>
        <v>8994</v>
      </c>
      <c r="E5" s="29">
        <f>IF(DigitaNICA!D18&lt;&gt;"",DigitaNICA!D18,"")</f>
        <v>1050</v>
      </c>
      <c r="F5" s="42">
        <f>IF(E5="",0,E5*PREMIOS!F5)</f>
        <v>89250</v>
      </c>
      <c r="G5" s="30">
        <f t="shared" ref="G5:G12" si="1">IF(OR(C5="",E5=""),0,C5-D5-F5)</f>
        <v>-23294</v>
      </c>
      <c r="I5" s="217" t="s">
        <v>37</v>
      </c>
      <c r="J5" s="221">
        <f>SUM(IF(C5="",0,C5),IF(C9="",0,C9),IF(C13="",0,C13),IF(C17="",0,C17))</f>
        <v>251850</v>
      </c>
      <c r="K5" s="225">
        <f t="shared" ref="K5" si="2">D5+D9+D13+D17</f>
        <v>30222</v>
      </c>
      <c r="L5" s="222">
        <f>F5+F9+F13+F17</f>
        <v>301750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92800</v>
      </c>
      <c r="K6" s="226">
        <f t="shared" ref="K6" si="3">+D8+D12+D16</f>
        <v>9280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46</v>
      </c>
      <c r="C7" s="29">
        <f>IF(DigitaTICA!C18&lt;&gt;"",DigitaTICA!C18,"")</f>
        <v>83250</v>
      </c>
      <c r="D7" s="42">
        <f>IF(C7="",0,C7*J$15)</f>
        <v>9990</v>
      </c>
      <c r="E7" s="29">
        <f>IF(DigitaTICA!D18&lt;&gt;"",DigitaTICA!D18,"")</f>
        <v>100</v>
      </c>
      <c r="F7" s="42">
        <f>IF(E7="",0,E7*PREMIOS!F7)</f>
        <v>8500</v>
      </c>
      <c r="G7" s="30">
        <f t="shared" si="1"/>
        <v>64760</v>
      </c>
      <c r="I7" s="217" t="s">
        <v>96</v>
      </c>
      <c r="J7" s="223">
        <f>SUM(IF(C19="",0,C19),IF(C20="",0,C20))</f>
        <v>157050</v>
      </c>
      <c r="K7" s="226">
        <f>+D19+D20</f>
        <v>18846</v>
      </c>
      <c r="L7" s="227">
        <f>+F19+F20</f>
        <v>170000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32500</v>
      </c>
      <c r="D8" s="42">
        <f>IF(C8="",0,C8*J$17)</f>
        <v>3250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29250</v>
      </c>
      <c r="I8" s="217" t="s">
        <v>104</v>
      </c>
      <c r="J8" s="223">
        <f>SUM(IF(C21="",0,C21),IF(C22="",0,C22),IF(C23="",0,C23))</f>
        <v>43250</v>
      </c>
      <c r="K8" s="226">
        <f t="shared" ref="K8" si="4">D21+D22+D23</f>
        <v>5190</v>
      </c>
      <c r="L8" s="227">
        <f>F21+F22+F23</f>
        <v>25500</v>
      </c>
    </row>
    <row r="9" spans="1:12" x14ac:dyDescent="0.35">
      <c r="A9" s="28" t="str">
        <f>+Vendedor1!A9</f>
        <v>Nica 3pm</v>
      </c>
      <c r="B9" s="132">
        <f>IF(DigitaNICA!E2&lt;&gt;"",DigitaNICA!E2,"")</f>
        <v>29</v>
      </c>
      <c r="C9" s="29">
        <f>IF(DigitaNICA!E18&lt;&gt;"",DigitaNICA!E18,"")</f>
        <v>86100</v>
      </c>
      <c r="D9" s="42">
        <f>IF(C9="",0,C9*J$16)</f>
        <v>10332</v>
      </c>
      <c r="E9" s="29">
        <f>IF(DigitaNICA!F18&lt;&gt;"",DigitaNICA!F18,"")</f>
        <v>800</v>
      </c>
      <c r="F9" s="42">
        <f>IF(E9="",0,E9*PREMIOS!F9)</f>
        <v>68000</v>
      </c>
      <c r="G9" s="30">
        <f t="shared" si="1"/>
        <v>7768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49</v>
      </c>
      <c r="C11" s="29">
        <f>IF(DigitaTICA!E18&lt;&gt;"",DigitaTICA!E18,"")</f>
        <v>63600</v>
      </c>
      <c r="D11" s="42">
        <f>IF(C11="",0,C11*J$15)</f>
        <v>7632</v>
      </c>
      <c r="E11" s="29">
        <f>IF(DigitaTICA!F18&lt;&gt;"",DigitaTICA!F18,"")</f>
        <v>2000</v>
      </c>
      <c r="F11" s="42">
        <f>IF(E11="",0,E11*PREMIOS!F11)</f>
        <v>170000</v>
      </c>
      <c r="G11" s="30">
        <f t="shared" si="1"/>
        <v>-114032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27300</v>
      </c>
      <c r="D12" s="42">
        <f>IF(C12="",0,C12*J$17)</f>
        <v>2730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24570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68</v>
      </c>
      <c r="C13" s="29">
        <f>IF(DigitaNICA!G18&lt;&gt;"",DigitaNICA!G18,"")</f>
        <v>87500</v>
      </c>
      <c r="D13" s="42">
        <f>IF(C13="",0,C13*J$16)</f>
        <v>10500</v>
      </c>
      <c r="E13" s="29">
        <f>IF(DigitaNICA!H18&lt;&gt;"",DigitaNICA!H18,"")</f>
        <v>1700</v>
      </c>
      <c r="F13" s="42">
        <f>IF(E13="",0,E13*PREMIOS!F13)</f>
        <v>144500</v>
      </c>
      <c r="G13" s="30">
        <f>IF(OR(C13="",E13=""),0,C13-D13-F13)</f>
        <v>-67500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53</v>
      </c>
      <c r="C15" s="29">
        <f>IF(DigitaTICA!G18&lt;&gt;"",DigitaTICA!G18,"")</f>
        <v>101850</v>
      </c>
      <c r="D15" s="42">
        <f>IF(C15="",0,C15*J$15)</f>
        <v>12222</v>
      </c>
      <c r="E15" s="29">
        <f>IF(DigitaTICA!H18&lt;&gt;"",DigitaTICA!H18,"")</f>
        <v>200</v>
      </c>
      <c r="F15" s="42">
        <f>IF(E15="",0,E15*PREMIOS!F15)</f>
        <v>17000</v>
      </c>
      <c r="G15" s="30">
        <f t="shared" si="6"/>
        <v>72628</v>
      </c>
      <c r="I15" s="76" t="s">
        <v>36</v>
      </c>
      <c r="J15" s="77">
        <v>0.12</v>
      </c>
      <c r="K15" s="78">
        <f>MROUND(D7+D11+D15,50)</f>
        <v>29850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33000</v>
      </c>
      <c r="D16" s="42">
        <f>IF(C16="",0,C16*J$17)</f>
        <v>3300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29700</v>
      </c>
      <c r="I16" s="63" t="s">
        <v>37</v>
      </c>
      <c r="J16" s="64">
        <v>0.12</v>
      </c>
      <c r="K16" s="30">
        <f>MROUND(D5+D9+D13+D17,50)</f>
        <v>30200</v>
      </c>
    </row>
    <row r="17" spans="1:11" x14ac:dyDescent="0.35">
      <c r="A17" s="28" t="str">
        <f>+Vendedor1!A17</f>
        <v>Nica 9pm</v>
      </c>
      <c r="B17" s="132">
        <f>IF(DigitaNICA!I2&lt;&gt;"",DigitaNICA!I2,"")</f>
        <v>59</v>
      </c>
      <c r="C17" s="29">
        <f>IF(DigitaNICA!I18&lt;&gt;"",DigitaNICA!I18,"")</f>
        <v>3300</v>
      </c>
      <c r="D17" s="42">
        <f>IF(C17="",0,C17*J$16)</f>
        <v>396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2904</v>
      </c>
      <c r="I17" s="63" t="s">
        <v>38</v>
      </c>
      <c r="J17" s="64">
        <v>0.1</v>
      </c>
      <c r="K17" s="30">
        <f>MROUND(D6+D8+D10+D12+D14+D16+D18,50)</f>
        <v>9300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18850</v>
      </c>
    </row>
    <row r="19" spans="1:11" x14ac:dyDescent="0.35">
      <c r="A19" s="28" t="s">
        <v>97</v>
      </c>
      <c r="B19" s="132">
        <f>IF(DigitaPRIMERA!C2&lt;&gt;"",DigitaPRIMERA!C2,"")</f>
        <v>60</v>
      </c>
      <c r="C19" s="29">
        <f>IF(DigitaPRIMERA!$C$18&lt;&gt;"",DigitaPRIMERA!$C$18,"")</f>
        <v>77850</v>
      </c>
      <c r="D19" s="42">
        <f>IF(C19="",0,C19*J$18)</f>
        <v>9342</v>
      </c>
      <c r="E19" s="29">
        <f>IF(DigitaPRIMERA!$D$18&lt;&gt;"",DigitaPRIMERA!$D$18,"")</f>
        <v>2000</v>
      </c>
      <c r="F19" s="42">
        <f>IF(E19="",0,E19*PREMIOS!F19)</f>
        <v>170000</v>
      </c>
      <c r="G19" s="30">
        <f t="shared" si="6"/>
        <v>-101492</v>
      </c>
      <c r="I19" s="63" t="s">
        <v>104</v>
      </c>
      <c r="J19" s="64">
        <v>0.12</v>
      </c>
      <c r="K19" s="30">
        <f>MROUND(D21+D22+D23,50)</f>
        <v>5200</v>
      </c>
    </row>
    <row r="20" spans="1:11" x14ac:dyDescent="0.35">
      <c r="A20" s="28" t="s">
        <v>98</v>
      </c>
      <c r="B20" s="132">
        <f>IF(DigitaPRIMERA!E2&lt;&gt;"",DigitaPRIMERA!E2,"")</f>
        <v>84</v>
      </c>
      <c r="C20" s="29">
        <f>IF(DigitaPRIMERA!$E$18&lt;&gt;"",DigitaPRIMERA!$E$18,"")</f>
        <v>79200</v>
      </c>
      <c r="D20" s="42">
        <f>IF(C20="",0,C20*J$18)</f>
        <v>9504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69696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61</v>
      </c>
      <c r="C21" s="29">
        <f>IF(DigitaHONDURAS!$C$18&lt;&gt;"",DigitaHONDURAS!$C$18,"")</f>
        <v>26250</v>
      </c>
      <c r="D21" s="42">
        <f>IF(C21="",0,C21*J$19)</f>
        <v>3150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6100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93</v>
      </c>
      <c r="C22" s="29">
        <f>IF(DigitaHONDURAS!$E$18&lt;&gt;"",DigitaHONDURAS!$E$18,"")</f>
        <v>14500</v>
      </c>
      <c r="D22" s="42">
        <f>IF(C22="",0,C22*J$19)</f>
        <v>1740</v>
      </c>
      <c r="E22" s="29">
        <f>IF(DigitaHONDURAS!$F$18&lt;&gt;"",DigitaHONDURAS!$F$18,"")</f>
        <v>100</v>
      </c>
      <c r="F22" s="42">
        <f>IF(E22="",0,E22*PREMIOS!F20)</f>
        <v>8500</v>
      </c>
      <c r="G22" s="30">
        <f t="shared" si="6"/>
        <v>4260</v>
      </c>
    </row>
    <row r="23" spans="1:11" x14ac:dyDescent="0.35">
      <c r="A23" s="28" t="s">
        <v>101</v>
      </c>
      <c r="B23" s="132">
        <f>IF(DigitaHONDURAS!G2&lt;&gt;"",DigitaHONDURAS!G2,"")</f>
        <v>24</v>
      </c>
      <c r="C23" s="29">
        <f>IF(DigitaHONDURAS!$G$18&lt;&gt;"",DigitaHONDURAS!$G$18,"")</f>
        <v>2500</v>
      </c>
      <c r="D23" s="42">
        <f>IF(C23="",0,C23*J$19)</f>
        <v>300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2200</v>
      </c>
    </row>
    <row r="24" spans="1:11" x14ac:dyDescent="0.35">
      <c r="A24" s="28" t="s">
        <v>102</v>
      </c>
      <c r="B24" s="132">
        <f>IF(DigitaDOMINICANA!C2&lt;&gt;"",DigitaDOMINICANA!C2,"")</f>
        <v>29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793650</v>
      </c>
      <c r="D27" s="68">
        <f t="shared" ref="D27:G27" si="7">SUM(D5:D26)</f>
        <v>93382</v>
      </c>
      <c r="E27" s="68">
        <f t="shared" si="7"/>
        <v>8150</v>
      </c>
      <c r="F27" s="68">
        <f t="shared" si="7"/>
        <v>692750</v>
      </c>
      <c r="G27" s="88">
        <f t="shared" si="7"/>
        <v>7518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46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29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49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68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53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59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46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68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53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-2750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2300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>
        <f>IF(DigitaTICA!G27&lt;&gt;"",DigitaTICA!G27,"")</f>
        <v>-23050</v>
      </c>
      <c r="D15" s="42">
        <f>IF(C15="",0,C15*J$9)</f>
        <v>-2766</v>
      </c>
      <c r="E15" s="29">
        <f>IF(DigitaTICA!H27&lt;&gt;"",DigitaTICA!H27,"")</f>
        <v>0</v>
      </c>
      <c r="F15" s="42">
        <f>IF(E15="",0,E15*PREMIOS!F15)</f>
        <v>0</v>
      </c>
      <c r="G15" s="30">
        <f t="shared" si="1"/>
        <v>-20284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>
        <f>IF(DigitaREVENTADO!G27&lt;&gt;"",DigitaREVENTADO!G27,"")</f>
        <v>23050</v>
      </c>
      <c r="D16" s="42">
        <f>IF(C16="",0,C16*J$11)</f>
        <v>2305</v>
      </c>
      <c r="E16" s="29">
        <f>IF(DigitaREVENTADO!H27&lt;&gt;"",DigitaREVENTADO!H27,"")</f>
        <v>0</v>
      </c>
      <c r="F16" s="42">
        <f>IF(E16="",0,E16*PREMIOS!F16)</f>
        <v>0</v>
      </c>
      <c r="G16" s="30">
        <f t="shared" si="1"/>
        <v>20745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-461</v>
      </c>
      <c r="E27" s="68">
        <f t="shared" si="2"/>
        <v>0</v>
      </c>
      <c r="F27" s="68">
        <f t="shared" si="2"/>
        <v>0</v>
      </c>
      <c r="G27" s="88">
        <f t="shared" si="2"/>
        <v>461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46</v>
      </c>
      <c r="D2" s="268"/>
      <c r="E2" s="267">
        <f>IF(PREMIOS!$B11="","",PREMIOS!$B11)</f>
        <v>49</v>
      </c>
      <c r="F2" s="268"/>
      <c r="G2" s="267">
        <f>IF(PREMIOS!$B15="","",PREMIOS!$B15)</f>
        <v>53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71050</v>
      </c>
      <c r="D4" s="78">
        <f t="shared" ref="D4:H27" si="0">IF(C4="","",0)</f>
        <v>0</v>
      </c>
      <c r="E4" s="189">
        <v>37550</v>
      </c>
      <c r="F4" s="78">
        <v>350</v>
      </c>
      <c r="G4" s="189">
        <v>69250</v>
      </c>
      <c r="H4" s="78">
        <f t="shared" si="0"/>
        <v>0</v>
      </c>
      <c r="J4" s="42">
        <f t="shared" ref="J4:J8" si="1">+C4+E4+G4</f>
        <v>177850</v>
      </c>
      <c r="K4" s="42">
        <f>IF(D4="",0,IF(F4="",D4,IF(H4="",D4+F4,D4+F4+H4)))</f>
        <v>350</v>
      </c>
    </row>
    <row r="5" spans="1:11" x14ac:dyDescent="0.35">
      <c r="A5" s="47">
        <v>2</v>
      </c>
      <c r="B5" s="178" t="str">
        <f>Vendedor2!$B$2</f>
        <v>PUESTO 2</v>
      </c>
      <c r="C5" s="180">
        <v>40500</v>
      </c>
      <c r="D5" s="30">
        <v>200</v>
      </c>
      <c r="E5" s="180">
        <v>23500</v>
      </c>
      <c r="F5" s="30">
        <f t="shared" si="0"/>
        <v>0</v>
      </c>
      <c r="G5" s="180">
        <v>71650</v>
      </c>
      <c r="H5" s="30">
        <v>250</v>
      </c>
      <c r="J5" s="42">
        <f t="shared" si="1"/>
        <v>135650</v>
      </c>
      <c r="K5" s="42">
        <f t="shared" ref="K5:K27" si="2">IF(D5="",0,IF(F5="",D5,IF(H5="",D5+F5,D5+F5+H5)))</f>
        <v>450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58550</v>
      </c>
      <c r="D8" s="30">
        <f t="shared" si="0"/>
        <v>0</v>
      </c>
      <c r="E8" s="180">
        <v>45900</v>
      </c>
      <c r="F8" s="30">
        <v>250</v>
      </c>
      <c r="G8" s="180">
        <v>62500</v>
      </c>
      <c r="H8" s="30">
        <v>500</v>
      </c>
      <c r="J8" s="42">
        <f t="shared" si="1"/>
        <v>166950</v>
      </c>
      <c r="K8" s="42">
        <f t="shared" si="2"/>
        <v>750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70600+78700</f>
        <v>149300</v>
      </c>
      <c r="D10" s="30">
        <f t="shared" si="0"/>
        <v>0</v>
      </c>
      <c r="E10" s="180">
        <f>50700+64750</f>
        <v>115450</v>
      </c>
      <c r="F10" s="30">
        <f>2250+650</f>
        <v>2900</v>
      </c>
      <c r="G10" s="180">
        <f>56400+85300</f>
        <v>141700</v>
      </c>
      <c r="H10" s="30">
        <f>250+350</f>
        <v>600</v>
      </c>
      <c r="J10" s="42">
        <f t="shared" si="3"/>
        <v>406450</v>
      </c>
      <c r="K10" s="42">
        <f t="shared" si="2"/>
        <v>3500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21500</v>
      </c>
      <c r="H11" s="30">
        <f t="shared" si="0"/>
        <v>0</v>
      </c>
      <c r="J11" s="42">
        <f t="shared" si="3"/>
        <v>21500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30900</v>
      </c>
      <c r="D12" s="30">
        <v>250</v>
      </c>
      <c r="E12" s="180">
        <v>26050</v>
      </c>
      <c r="F12" s="30">
        <v>350</v>
      </c>
      <c r="G12" s="180">
        <v>17750</v>
      </c>
      <c r="H12" s="30">
        <v>300</v>
      </c>
      <c r="J12" s="42">
        <f t="shared" si="3"/>
        <v>74700</v>
      </c>
      <c r="K12" s="42">
        <f t="shared" si="2"/>
        <v>900</v>
      </c>
    </row>
    <row r="13" spans="1:11" x14ac:dyDescent="0.35">
      <c r="A13" s="47">
        <v>10</v>
      </c>
      <c r="B13" s="178" t="str">
        <f>Vendedor10!$B$2</f>
        <v>MARIALIZ</v>
      </c>
      <c r="C13" s="180">
        <v>36250</v>
      </c>
      <c r="D13" s="30">
        <v>1250</v>
      </c>
      <c r="E13" s="180">
        <v>26600</v>
      </c>
      <c r="F13" s="30">
        <v>100</v>
      </c>
      <c r="G13" s="180">
        <v>57150</v>
      </c>
      <c r="H13" s="30">
        <v>2300</v>
      </c>
      <c r="J13" s="42">
        <f t="shared" si="3"/>
        <v>120000</v>
      </c>
      <c r="K13" s="42">
        <f t="shared" si="2"/>
        <v>3650</v>
      </c>
    </row>
    <row r="14" spans="1:11" x14ac:dyDescent="0.35">
      <c r="A14" s="47">
        <v>11</v>
      </c>
      <c r="B14" s="178" t="str">
        <f>Vendedor11!$B$2</f>
        <v>CHARLY</v>
      </c>
      <c r="C14" s="180">
        <v>49650</v>
      </c>
      <c r="D14" s="30">
        <f t="shared" si="0"/>
        <v>0</v>
      </c>
      <c r="E14" s="180">
        <v>35600</v>
      </c>
      <c r="F14" s="30">
        <v>1000</v>
      </c>
      <c r="G14" s="180">
        <v>33850</v>
      </c>
      <c r="H14" s="30">
        <v>300</v>
      </c>
      <c r="J14" s="42">
        <f t="shared" si="3"/>
        <v>119100</v>
      </c>
      <c r="K14" s="42">
        <f t="shared" si="2"/>
        <v>1300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/>
      <c r="D16" s="30" t="str">
        <f t="shared" si="0"/>
        <v/>
      </c>
      <c r="E16" s="180">
        <v>21200</v>
      </c>
      <c r="F16" s="30">
        <v>100</v>
      </c>
      <c r="G16" s="180">
        <v>23050</v>
      </c>
      <c r="H16" s="30">
        <f t="shared" si="0"/>
        <v>0</v>
      </c>
      <c r="J16" s="42">
        <f t="shared" si="3"/>
        <v>44250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72500+27250</f>
        <v>99750</v>
      </c>
      <c r="D17" s="30">
        <f>100+0</f>
        <v>100</v>
      </c>
      <c r="E17" s="180">
        <f>72150+14550</f>
        <v>86700</v>
      </c>
      <c r="F17" s="30">
        <f>650+100</f>
        <v>750</v>
      </c>
      <c r="G17" s="180">
        <f>165150+28200</f>
        <v>193350</v>
      </c>
      <c r="H17" s="30">
        <f>400+1000</f>
        <v>1400</v>
      </c>
      <c r="J17" s="42">
        <f t="shared" si="3"/>
        <v>379800</v>
      </c>
      <c r="K17" s="42">
        <f t="shared" si="2"/>
        <v>2250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48750+34500</f>
        <v>83250</v>
      </c>
      <c r="D18" s="30">
        <f>100+0</f>
        <v>100</v>
      </c>
      <c r="E18" s="180">
        <f>36300+27300</f>
        <v>63600</v>
      </c>
      <c r="F18" s="30">
        <f>2000+0</f>
        <v>2000</v>
      </c>
      <c r="G18" s="180">
        <f>68850+33000</f>
        <v>101850</v>
      </c>
      <c r="H18" s="30">
        <f>200+0</f>
        <v>200</v>
      </c>
      <c r="J18" s="42">
        <f t="shared" si="3"/>
        <v>248700</v>
      </c>
      <c r="K18" s="42">
        <f t="shared" si="2"/>
        <v>2300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>
        <v>-23050</v>
      </c>
      <c r="H27" s="50">
        <f t="shared" si="4"/>
        <v>0</v>
      </c>
      <c r="J27" s="42">
        <f t="shared" si="3"/>
        <v>-23050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619200</v>
      </c>
      <c r="D32" s="44">
        <f t="shared" si="6"/>
        <v>1900</v>
      </c>
      <c r="E32" s="43">
        <f t="shared" si="6"/>
        <v>482150</v>
      </c>
      <c r="F32" s="44">
        <f t="shared" si="6"/>
        <v>7800</v>
      </c>
      <c r="G32" s="43">
        <f t="shared" si="6"/>
        <v>770550</v>
      </c>
      <c r="H32" s="44">
        <f t="shared" si="6"/>
        <v>5850</v>
      </c>
      <c r="J32" s="95">
        <f>SUM(J4:J31)</f>
        <v>1871900</v>
      </c>
      <c r="K32" s="95"/>
    </row>
    <row r="33" spans="2:8" x14ac:dyDescent="0.35">
      <c r="D33" s="99">
        <f>+D32*85</f>
        <v>161500</v>
      </c>
      <c r="F33" s="99">
        <f>+F32*85</f>
        <v>663000</v>
      </c>
      <c r="H33" s="99">
        <f>+H32*85</f>
        <v>497250</v>
      </c>
    </row>
    <row r="34" spans="2:8" x14ac:dyDescent="0.35">
      <c r="B34" s="247" t="s">
        <v>149</v>
      </c>
      <c r="C34" s="43">
        <f t="shared" ref="C34:H34" si="7">+C4+C5+C6+C8+C13</f>
        <v>206350</v>
      </c>
      <c r="D34" s="43" t="e">
        <f t="shared" si="7"/>
        <v>#VALUE!</v>
      </c>
      <c r="E34" s="43">
        <f t="shared" si="7"/>
        <v>133550</v>
      </c>
      <c r="F34" s="43" t="e">
        <f t="shared" si="7"/>
        <v>#VALUE!</v>
      </c>
      <c r="G34" s="43">
        <f t="shared" si="7"/>
        <v>260550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232650</v>
      </c>
      <c r="D35" s="43" t="e">
        <f t="shared" ref="D35:H35" si="8">+D11+D14+D15+D17+D18</f>
        <v>#VALUE!</v>
      </c>
      <c r="E35" s="43">
        <f t="shared" si="8"/>
        <v>185900</v>
      </c>
      <c r="F35" s="43" t="e">
        <f t="shared" si="8"/>
        <v>#VALUE!</v>
      </c>
      <c r="G35" s="43">
        <f t="shared" si="8"/>
        <v>350550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180200</v>
      </c>
      <c r="D36" s="43" t="e">
        <f t="shared" ref="D36:H36" si="9">+D10+D12+D27</f>
        <v>#VALUE!</v>
      </c>
      <c r="E36" s="43">
        <f t="shared" si="9"/>
        <v>141500</v>
      </c>
      <c r="F36" s="43" t="e">
        <f t="shared" si="9"/>
        <v>#VALUE!</v>
      </c>
      <c r="G36" s="43">
        <f t="shared" si="9"/>
        <v>136400</v>
      </c>
      <c r="H36" s="43">
        <f t="shared" si="9"/>
        <v>900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F15" sqref="F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33</v>
      </c>
      <c r="D2" s="268"/>
      <c r="E2" s="267">
        <f>IF(PREMIOS!$B9="","",PREMIOS!$B9)</f>
        <v>29</v>
      </c>
      <c r="F2" s="268"/>
      <c r="G2" s="267">
        <f>IF(PREMIOS!$B13="","",PREMIOS!$B13)</f>
        <v>68</v>
      </c>
      <c r="H2" s="268"/>
      <c r="I2" s="267">
        <f>IF(PREMIOS!$B17="","",PREMIOS!$B17)</f>
        <v>59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41600</v>
      </c>
      <c r="D4" s="78">
        <f t="shared" ref="D4:J26" si="0">IF(C4="","",0)</f>
        <v>0</v>
      </c>
      <c r="E4" s="206">
        <v>22900</v>
      </c>
      <c r="F4" s="78">
        <f t="shared" si="0"/>
        <v>0</v>
      </c>
      <c r="G4" s="189">
        <v>2300</v>
      </c>
      <c r="H4" s="78">
        <f t="shared" ref="H4:H27" si="1">IF(G4="","",0)</f>
        <v>0</v>
      </c>
      <c r="I4" s="189"/>
      <c r="J4" s="78" t="str">
        <f t="shared" si="0"/>
        <v/>
      </c>
      <c r="L4" s="42">
        <f t="shared" ref="L4:L8" si="2">+C4+E4+G4+I4</f>
        <v>66800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8400</v>
      </c>
      <c r="D5" s="30">
        <f t="shared" si="0"/>
        <v>0</v>
      </c>
      <c r="E5" s="207">
        <v>5000</v>
      </c>
      <c r="F5" s="30">
        <f t="shared" si="0"/>
        <v>0</v>
      </c>
      <c r="G5" s="180">
        <v>4000</v>
      </c>
      <c r="H5" s="30">
        <f t="shared" si="1"/>
        <v>0</v>
      </c>
      <c r="I5" s="180">
        <v>2000</v>
      </c>
      <c r="J5" s="30">
        <f t="shared" ref="J5:J27" si="3">IF(I5="","",0)</f>
        <v>0</v>
      </c>
      <c r="L5" s="42">
        <f t="shared" si="2"/>
        <v>19400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72100</v>
      </c>
      <c r="D8" s="30">
        <v>3250</v>
      </c>
      <c r="E8" s="207">
        <v>50400</v>
      </c>
      <c r="F8" s="30">
        <v>100</v>
      </c>
      <c r="G8" s="180">
        <v>10400</v>
      </c>
      <c r="H8" s="30">
        <v>100</v>
      </c>
      <c r="I8" s="180">
        <v>28800</v>
      </c>
      <c r="J8" s="30">
        <f t="shared" si="0"/>
        <v>0</v>
      </c>
      <c r="L8" s="42">
        <f t="shared" si="2"/>
        <v>161700</v>
      </c>
      <c r="M8" s="42">
        <f t="shared" si="4"/>
        <v>3450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39900+63100</f>
        <v>103000</v>
      </c>
      <c r="D10" s="30">
        <f>600+1900</f>
        <v>2500</v>
      </c>
      <c r="E10" s="207">
        <f>42900+42250</f>
        <v>85150</v>
      </c>
      <c r="F10" s="30">
        <f>100+0</f>
        <v>100</v>
      </c>
      <c r="G10" s="180">
        <f>26500+35400</f>
        <v>61900</v>
      </c>
      <c r="H10" s="30">
        <f t="shared" si="0"/>
        <v>0</v>
      </c>
      <c r="I10" s="180">
        <f>50400+63350</f>
        <v>113750</v>
      </c>
      <c r="J10" s="30">
        <v>300</v>
      </c>
      <c r="L10" s="42">
        <f t="shared" si="5"/>
        <v>363800</v>
      </c>
      <c r="M10" s="42">
        <f t="shared" si="4"/>
        <v>2900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/>
      <c r="D12" s="30" t="str">
        <f t="shared" si="0"/>
        <v/>
      </c>
      <c r="E12" s="207">
        <v>22600</v>
      </c>
      <c r="F12" s="30">
        <v>700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22600</v>
      </c>
      <c r="M12" s="42" t="e">
        <f t="shared" si="4"/>
        <v>#VALUE!</v>
      </c>
    </row>
    <row r="13" spans="1:13" x14ac:dyDescent="0.35">
      <c r="A13" s="47">
        <v>10</v>
      </c>
      <c r="B13" s="178" t="str">
        <f>Vendedor10!$B$2</f>
        <v>MARIALIZ</v>
      </c>
      <c r="C13" s="180">
        <v>15000</v>
      </c>
      <c r="D13" s="30">
        <f t="shared" si="0"/>
        <v>0</v>
      </c>
      <c r="E13" s="207">
        <v>20550</v>
      </c>
      <c r="F13" s="30">
        <f t="shared" si="0"/>
        <v>0</v>
      </c>
      <c r="G13" s="180">
        <v>1150</v>
      </c>
      <c r="H13" s="30">
        <f t="shared" si="0"/>
        <v>0</v>
      </c>
      <c r="I13" s="180">
        <v>2300</v>
      </c>
      <c r="J13" s="30">
        <f t="shared" si="0"/>
        <v>0</v>
      </c>
      <c r="L13" s="42">
        <f t="shared" si="5"/>
        <v>39000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/>
      <c r="D16" s="30">
        <v>100</v>
      </c>
      <c r="E16" s="207"/>
      <c r="F16" s="30" t="str">
        <f t="shared" si="0"/>
        <v/>
      </c>
      <c r="G16" s="180">
        <v>16200</v>
      </c>
      <c r="H16" s="30">
        <f t="shared" si="0"/>
        <v>0</v>
      </c>
      <c r="I16" s="180">
        <v>10600</v>
      </c>
      <c r="J16" s="30">
        <f t="shared" si="0"/>
        <v>0</v>
      </c>
      <c r="L16" s="42">
        <f t="shared" si="5"/>
        <v>26800</v>
      </c>
      <c r="M16" s="42">
        <f t="shared" si="4"/>
        <v>100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83350</v>
      </c>
      <c r="D17" s="30">
        <v>800</v>
      </c>
      <c r="E17" s="207">
        <v>60050</v>
      </c>
      <c r="F17" s="30">
        <v>1100</v>
      </c>
      <c r="G17" s="180">
        <v>42700</v>
      </c>
      <c r="H17" s="30">
        <v>350</v>
      </c>
      <c r="I17" s="180">
        <v>122200</v>
      </c>
      <c r="J17" s="30">
        <v>400</v>
      </c>
      <c r="L17" s="42">
        <f t="shared" si="5"/>
        <v>308300</v>
      </c>
      <c r="M17" s="42">
        <f t="shared" si="4"/>
        <v>2650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74950</v>
      </c>
      <c r="D18" s="30">
        <v>1050</v>
      </c>
      <c r="E18" s="207">
        <v>86100</v>
      </c>
      <c r="F18" s="30">
        <v>800</v>
      </c>
      <c r="G18" s="180">
        <v>87500</v>
      </c>
      <c r="H18" s="30">
        <v>1700</v>
      </c>
      <c r="I18" s="180">
        <v>3300</v>
      </c>
      <c r="J18" s="30">
        <f t="shared" si="3"/>
        <v>0</v>
      </c>
      <c r="L18" s="42">
        <f t="shared" si="5"/>
        <v>251850</v>
      </c>
      <c r="M18" s="42">
        <f t="shared" si="4"/>
        <v>3550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/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>
        <f t="shared" si="4"/>
        <v>0</v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398400</v>
      </c>
      <c r="D32" s="44">
        <f t="shared" si="7"/>
        <v>7700</v>
      </c>
      <c r="E32" s="43">
        <f t="shared" si="7"/>
        <v>352750</v>
      </c>
      <c r="F32" s="44">
        <f t="shared" si="7"/>
        <v>2800</v>
      </c>
      <c r="G32" s="43">
        <f t="shared" si="7"/>
        <v>226150</v>
      </c>
      <c r="H32" s="44">
        <f t="shared" si="7"/>
        <v>2150</v>
      </c>
      <c r="I32" s="43">
        <f t="shared" si="7"/>
        <v>282950</v>
      </c>
      <c r="J32" s="44">
        <f t="shared" si="7"/>
        <v>700</v>
      </c>
      <c r="L32" s="95">
        <f>SUM(L9:L31)</f>
        <v>1012350</v>
      </c>
      <c r="M32" s="95" t="e">
        <f>SUM(M9:M31)</f>
        <v>#VALUE!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46 Blanca</v>
      </c>
      <c r="D2" s="268"/>
      <c r="E2" s="267" t="str">
        <f>IF(E33=0,"",CONCATENATE(PREMIOS!$B11," ",PREMIOS!$B12))</f>
        <v>49 Roja</v>
      </c>
      <c r="F2" s="268"/>
      <c r="G2" s="267" t="str">
        <f>IF(G33=0,"",CONCATENATE(PREMIOS!$B15," ",PREMIOS!$B16))</f>
        <v>53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32000+12150</f>
        <v>44150</v>
      </c>
      <c r="D10" s="30">
        <f t="shared" si="0"/>
        <v>0</v>
      </c>
      <c r="E10" s="180">
        <f>21800+9050</f>
        <v>30850</v>
      </c>
      <c r="F10" s="30">
        <f>1500+350</f>
        <v>1850</v>
      </c>
      <c r="G10" s="180">
        <f>21900+13600</f>
        <v>35500</v>
      </c>
      <c r="H10" s="30">
        <f t="shared" si="0"/>
        <v>0</v>
      </c>
      <c r="J10" s="42">
        <f t="shared" si="3"/>
        <v>110500</v>
      </c>
      <c r="K10" s="42">
        <f t="shared" si="4"/>
        <v>1850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4300</v>
      </c>
      <c r="D12" s="30">
        <f t="shared" si="0"/>
        <v>0</v>
      </c>
      <c r="E12" s="180">
        <v>2000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6300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0</v>
      </c>
      <c r="F16" s="195">
        <f t="shared" si="1"/>
        <v>0</v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22500</v>
      </c>
      <c r="D17" s="30">
        <f t="shared" si="0"/>
        <v>0</v>
      </c>
      <c r="E17" s="180">
        <v>12200</v>
      </c>
      <c r="F17" s="30">
        <v>50</v>
      </c>
      <c r="G17" s="180">
        <v>24000</v>
      </c>
      <c r="H17" s="30">
        <v>1000</v>
      </c>
      <c r="J17" s="42">
        <f t="shared" si="3"/>
        <v>58700</v>
      </c>
      <c r="K17" s="42">
        <f t="shared" si="4"/>
        <v>1050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32500</v>
      </c>
      <c r="D18" s="30">
        <f t="shared" si="0"/>
        <v>0</v>
      </c>
      <c r="E18" s="180">
        <v>27300</v>
      </c>
      <c r="F18" s="30">
        <f t="shared" si="0"/>
        <v>0</v>
      </c>
      <c r="G18" s="180">
        <v>33000</v>
      </c>
      <c r="H18" s="30">
        <f t="shared" si="0"/>
        <v>0</v>
      </c>
      <c r="J18" s="42">
        <f t="shared" si="3"/>
        <v>92800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>
        <v>23050</v>
      </c>
      <c r="H27" s="50">
        <f t="shared" si="2"/>
        <v>0</v>
      </c>
      <c r="J27" s="42">
        <f t="shared" si="3"/>
        <v>23050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103450</v>
      </c>
      <c r="D33" s="44">
        <f t="shared" si="7"/>
        <v>0</v>
      </c>
      <c r="E33" s="43">
        <f t="shared" si="7"/>
        <v>72350</v>
      </c>
      <c r="F33" s="44">
        <f t="shared" si="7"/>
        <v>1900</v>
      </c>
      <c r="G33" s="43">
        <f t="shared" si="7"/>
        <v>115550</v>
      </c>
      <c r="H33" s="44">
        <f t="shared" si="7"/>
        <v>1000</v>
      </c>
      <c r="J33" s="45">
        <f>SUM(J4:J32)</f>
        <v>291350</v>
      </c>
      <c r="K33" s="95">
        <f>SUM(K4:K32)</f>
        <v>2900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60</v>
      </c>
      <c r="D2" s="268"/>
      <c r="E2" s="267">
        <f>IF(PREMIOS!$C19="","",PREMIOS!$C19)</f>
        <v>84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5200</v>
      </c>
      <c r="D4" s="78">
        <f t="shared" ref="D4:F27" si="0">IF(C4="","",0)</f>
        <v>0</v>
      </c>
      <c r="E4" s="189">
        <v>3550</v>
      </c>
      <c r="F4" s="78">
        <f t="shared" si="0"/>
        <v>0</v>
      </c>
      <c r="H4" s="42">
        <f>+C4+E4</f>
        <v>8750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1000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40550</v>
      </c>
      <c r="D8" s="30">
        <v>450</v>
      </c>
      <c r="E8" s="194">
        <v>16700</v>
      </c>
      <c r="F8" s="195">
        <v>650</v>
      </c>
      <c r="H8" s="42">
        <f t="shared" si="2"/>
        <v>57250</v>
      </c>
      <c r="I8" s="42">
        <f t="shared" si="3"/>
        <v>1100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24700</v>
      </c>
      <c r="D10" s="30">
        <f t="shared" si="0"/>
        <v>0</v>
      </c>
      <c r="E10" s="180">
        <v>27100</v>
      </c>
      <c r="F10" s="195">
        <f t="shared" si="1"/>
        <v>0</v>
      </c>
      <c r="H10" s="42">
        <f t="shared" si="2"/>
        <v>51800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31000</v>
      </c>
      <c r="D12" s="30">
        <v>200</v>
      </c>
      <c r="E12" s="194"/>
      <c r="F12" s="30" t="str">
        <f t="shared" si="0"/>
        <v/>
      </c>
      <c r="H12" s="42">
        <f t="shared" si="2"/>
        <v>31000</v>
      </c>
      <c r="I12" s="42">
        <f t="shared" si="3"/>
        <v>200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2800</v>
      </c>
      <c r="F16" s="195">
        <f t="shared" si="0"/>
        <v>0</v>
      </c>
      <c r="H16" s="42">
        <f t="shared" si="2"/>
        <v>2800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f>83300+0</f>
        <v>83300</v>
      </c>
      <c r="D17" s="195">
        <v>200</v>
      </c>
      <c r="E17" s="180">
        <v>28950</v>
      </c>
      <c r="F17" s="30">
        <f t="shared" si="0"/>
        <v>0</v>
      </c>
      <c r="H17" s="42">
        <f t="shared" si="2"/>
        <v>112250</v>
      </c>
      <c r="I17" s="42">
        <f t="shared" si="3"/>
        <v>200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77850</v>
      </c>
      <c r="D18" s="195">
        <v>2000</v>
      </c>
      <c r="E18" s="180">
        <v>79200</v>
      </c>
      <c r="F18" s="30">
        <f t="shared" si="0"/>
        <v>0</v>
      </c>
      <c r="H18" s="42">
        <f t="shared" si="2"/>
        <v>157050</v>
      </c>
      <c r="I18" s="42">
        <f t="shared" si="3"/>
        <v>2000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263600</v>
      </c>
      <c r="D33" s="44">
        <f>SUM(D4:D32)</f>
        <v>2850</v>
      </c>
      <c r="E33" s="43">
        <f>SUM(E4:E32)</f>
        <v>158300</v>
      </c>
      <c r="F33" s="44">
        <f>SUM(F4:F32)</f>
        <v>650</v>
      </c>
      <c r="H33" s="95">
        <f>SUM(H4:H32)</f>
        <v>421900</v>
      </c>
      <c r="I33" s="95">
        <f>SUM(I4:I32)</f>
        <v>3500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61</v>
      </c>
      <c r="D2" s="268"/>
      <c r="E2" s="267">
        <f>IF(PREMIOS!$C20="","",PREMIOS!$C20)</f>
        <v>93</v>
      </c>
      <c r="F2" s="268"/>
      <c r="G2" s="267">
        <f>IF(PREMIOS!$D20="","",PREMIOS!$D20)</f>
        <v>24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7500</v>
      </c>
      <c r="D10" s="195">
        <v>500</v>
      </c>
      <c r="E10" s="180">
        <v>4800</v>
      </c>
      <c r="F10" s="30">
        <v>100</v>
      </c>
      <c r="G10" s="180">
        <v>7000</v>
      </c>
      <c r="H10" s="195">
        <f t="shared" si="0"/>
        <v>0</v>
      </c>
      <c r="J10" s="42">
        <f t="shared" si="3"/>
        <v>19300</v>
      </c>
      <c r="K10" s="42">
        <f t="shared" si="4"/>
        <v>600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50550</v>
      </c>
      <c r="D17" s="195">
        <v>700</v>
      </c>
      <c r="E17" s="194">
        <v>9700</v>
      </c>
      <c r="F17" s="195">
        <f t="shared" si="0"/>
        <v>0</v>
      </c>
      <c r="G17" s="194">
        <v>11500</v>
      </c>
      <c r="H17" s="195">
        <v>200</v>
      </c>
      <c r="J17" s="42">
        <f t="shared" si="3"/>
        <v>71750</v>
      </c>
      <c r="K17" s="42">
        <f t="shared" si="4"/>
        <v>900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26250</v>
      </c>
      <c r="D18" s="195">
        <v>200</v>
      </c>
      <c r="E18" s="180">
        <v>14500</v>
      </c>
      <c r="F18" s="30">
        <v>100</v>
      </c>
      <c r="G18" s="180">
        <v>2500</v>
      </c>
      <c r="H18" s="30">
        <f t="shared" si="2"/>
        <v>0</v>
      </c>
      <c r="J18" s="42">
        <f t="shared" si="3"/>
        <v>43250</v>
      </c>
      <c r="K18" s="42">
        <f t="shared" si="4"/>
        <v>300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84300</v>
      </c>
      <c r="D33" s="44">
        <f t="shared" si="6"/>
        <v>1400</v>
      </c>
      <c r="E33" s="43">
        <f t="shared" si="6"/>
        <v>29000</v>
      </c>
      <c r="F33" s="44">
        <f t="shared" si="6"/>
        <v>200</v>
      </c>
      <c r="G33" s="43">
        <f t="shared" si="6"/>
        <v>21000</v>
      </c>
      <c r="H33" s="44">
        <f t="shared" si="6"/>
        <v>200</v>
      </c>
      <c r="J33" s="45">
        <f>SUM(J4:J32)</f>
        <v>134300</v>
      </c>
      <c r="K33" s="95">
        <f>SUM(K4:K32)</f>
        <v>1800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29</v>
      </c>
      <c r="D2" s="268"/>
      <c r="E2" s="267">
        <f>IF(PREMIOS!$C21="","",PREMIOS!$C21)</f>
        <v>52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26000</v>
      </c>
      <c r="D10" s="30">
        <f t="shared" si="0"/>
        <v>0</v>
      </c>
      <c r="E10" s="180">
        <v>31000</v>
      </c>
      <c r="F10" s="30">
        <f t="shared" si="0"/>
        <v>0</v>
      </c>
      <c r="H10" s="42">
        <f t="shared" si="2"/>
        <v>57000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26000</v>
      </c>
      <c r="D33" s="44">
        <f>SUM(D4:D32)</f>
        <v>0</v>
      </c>
      <c r="E33" s="43">
        <f>SUM(E4:E32)</f>
        <v>31000</v>
      </c>
      <c r="F33" s="44">
        <f>SUM(F4:F32)</f>
        <v>0</v>
      </c>
      <c r="H33" s="45">
        <f>SUM(H4:H32)</f>
        <v>57000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2026-06-06T23:01:03Z</dcterms:modified>
  <dc:language>es-CR</dc:language>
</cp:coreProperties>
</file>
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29" documentId="11_03F0E338B81C1185365812AAD19D1B4E3DD77091" xr6:coauthVersionLast="47" xr6:coauthVersionMax="47" xr10:uidLastSave="{CECA47BC-52BA-4416-B465-A8994515151A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0" i="62"/>
  <c r="G10" i="62"/>
  <c r="I10" i="61"/>
  <c r="G10" i="61"/>
  <c r="H17" i="60"/>
  <c r="G17" i="60"/>
  <c r="H18" i="60"/>
  <c r="G18" i="60"/>
  <c r="H10" i="60"/>
  <c r="G10" i="60"/>
  <c r="F10" i="65"/>
  <c r="E10" i="65"/>
  <c r="E10" i="62"/>
  <c r="C10" i="62"/>
  <c r="E10" i="61"/>
  <c r="C10" i="61"/>
  <c r="E10" i="60"/>
  <c r="D17" i="60"/>
  <c r="C17" i="60"/>
  <c r="C10" i="60"/>
  <c r="F17" i="60"/>
  <c r="E17" i="60"/>
  <c r="E18" i="60"/>
  <c r="C18" i="60"/>
  <c r="D18" i="64" l="1"/>
  <c r="D11" i="65"/>
  <c r="D17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36" i="60"/>
  <c r="D11" i="60"/>
  <c r="E7" i="16" s="1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0" i="62"/>
  <c r="F18" i="61"/>
  <c r="F16" i="61"/>
  <c r="D6" i="60"/>
  <c r="F15" i="60"/>
  <c r="F14" i="60"/>
  <c r="F35" i="60" s="1"/>
  <c r="F12" i="60"/>
  <c r="F11" i="60"/>
  <c r="F9" i="60"/>
  <c r="F8" i="60"/>
  <c r="F7" i="60"/>
  <c r="F6" i="60"/>
  <c r="F4" i="60"/>
  <c r="F34" i="60" s="1"/>
  <c r="H15" i="60"/>
  <c r="H14" i="60"/>
  <c r="H13" i="60"/>
  <c r="H12" i="60"/>
  <c r="H11" i="60"/>
  <c r="H9" i="60"/>
  <c r="H7" i="60"/>
  <c r="H6" i="60"/>
  <c r="H5" i="60"/>
  <c r="H4" i="60"/>
  <c r="F18" i="21"/>
  <c r="F14" i="21"/>
  <c r="F10" i="21"/>
  <c r="F6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D35" i="60"/>
  <c r="D34" i="60"/>
  <c r="J8" i="14"/>
  <c r="D21" i="14"/>
  <c r="C12" i="71"/>
  <c r="D22" i="14"/>
  <c r="G12" i="71"/>
  <c r="E19" i="16"/>
  <c r="D4" i="65"/>
  <c r="D20" i="16"/>
  <c r="F18" i="64"/>
  <c r="E11" i="16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30" i="73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B4" i="73"/>
  <c r="E27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L6" i="6"/>
  <c r="K20" i="19"/>
  <c r="K9" i="19"/>
  <c r="D18" i="72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I18" i="66"/>
  <c r="F25" i="19"/>
  <c r="L9" i="19" s="1"/>
  <c r="F18" i="72"/>
  <c r="J26" i="71"/>
  <c r="L29" i="71"/>
  <c r="M29" i="71" s="1"/>
  <c r="H20" i="72"/>
  <c r="H21" i="72"/>
  <c r="I21" i="72" s="1"/>
  <c r="N21" i="72" s="1"/>
  <c r="L28" i="71"/>
  <c r="M28" i="71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J7" i="19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K21" i="8"/>
  <c r="K10" i="8"/>
  <c r="L27" i="71"/>
  <c r="M27" i="71" s="1"/>
  <c r="K20" i="21"/>
  <c r="K10" i="21"/>
  <c r="N27" i="71"/>
  <c r="P27" i="71" s="1"/>
  <c r="N27" i="72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4" i="23" l="1"/>
  <c r="M25" i="52"/>
  <c r="M22" i="52"/>
  <c r="M24" i="52"/>
  <c r="M26" i="52"/>
  <c r="J5" i="23"/>
  <c r="M23" i="52"/>
  <c r="F17" i="52"/>
  <c r="J5" i="19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H32" i="61" s="1"/>
  <c r="G28" i="6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I32" i="61" l="1"/>
  <c r="K4" i="23"/>
  <c r="G32" i="60"/>
  <c r="K5" i="23"/>
  <c r="G32" i="61"/>
  <c r="F32" i="61"/>
  <c r="K6" i="23"/>
  <c r="K5" i="19"/>
  <c r="K5" i="8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0" i="58"/>
  <c r="P23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F12" i="14"/>
  <c r="F12" i="8"/>
  <c r="F12" i="15"/>
  <c r="F12" i="19"/>
  <c r="K4" i="52"/>
  <c r="C3" i="1" s="1"/>
  <c r="B3" i="1"/>
  <c r="K23" i="52"/>
  <c r="C22" i="1" s="1"/>
  <c r="B22" i="1"/>
  <c r="K20" i="52"/>
  <c r="C19" i="1" s="1"/>
  <c r="B19" i="1"/>
  <c r="K5" i="52"/>
  <c r="C4" i="1" s="1"/>
  <c r="B4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<sst xmlns="http://schemas.openxmlformats.org/spreadsheetml/2006/main" count="1295" uniqueCount="162">
  <si>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</si>
  <si>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</si>
  <si>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</si>
  <si>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</si>
  <si>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</si>
  <si>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</si>
  <si>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</si>
  <si>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</si>
  <si>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</si>
  <si>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</si>
  <si>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</si>
  <si>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</si>
  <si>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</si>
  <si>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</si>
  <si>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</si>
  <si>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</si>
  <si>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</si>
  <si>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</si>
  <si>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</si>
  <si>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</si>
  <si>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</si>
  <si>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</si>
  <si>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</si>
  <si>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</si>
  <si>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</si>
  <si>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</si>
  <si>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</si>
  <si>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</si>
  <si>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</si>
  <si>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</si>
  <si>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</si>
  <si>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</si>
  <si>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</si>
  <si>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</si>
  <si>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</si>
  <si>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</si>
  <si>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</si>
  <si>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</si>
  <si>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</si>
  <si>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</si>
  <si>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</si>
  <si>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</si>
  <si>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</si>
  <si>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</si>
  <si>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</si>
  <si>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</si>
  <si>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</si>
  <si>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</si>
  <si>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</si>
  <si>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</si>
  <si>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</si>
  <si>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</si>
  <si>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</si>
  <si>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</si>
  <si>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</si>
  <si>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</si>
  <si>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</si>
  <si>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</si>
  <si>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</si>
  <si>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</si>
  <si>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</si>
  <si>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</si>
  <si>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</si>
  <si>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</si>
  <si>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</si>
  <si>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</si>
  <si>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</si>
  <si>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</si>
  <si>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</si>
  <si>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</si>
  <si>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</si>
  <si>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</si>
  <si>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</si>
  <si>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</si>
  <si>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</si>
  <si>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</si>
  <si>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</si>
  <si>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</si>
  <si>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</si>
  <si>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</si>
  <si>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</si>
  <si>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</si>
  <si>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</si>
  <si>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</si>
  <si>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</si>
  <si>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</si>
  <si>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</si>
  <si>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</si>
  <si>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</si>
  <si>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</si>
  <si>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</si>
  <si>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</si>
  <si>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</si>
  <si>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</si>
  <si>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</si>
  <si>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</si>
  <si>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</si>
  <si>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</si>
  <si>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</si>
  <si>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</si>
  <si>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</si>
  <si>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</si>
  <si>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</si>
  <si>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</si>
  <si>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</si>
  <si>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</si>
  <si>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</si>
  <si>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</si>
  <si>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</si>
  <si>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</si>
  <si>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</si>
  <si>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</si>
  <si>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</si>
  <si>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</si>
  <si>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</si>
  <si>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</si>
  <si>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</si>
  <si>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</si>
  <si>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</si>
  <si>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</si>
  <si>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</si>
  <si>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</si>
  <si>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</si>
  <si>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</si>
  <si>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</si>
  <si>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</si>
  <si>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</si>
  <si>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</si>
  <si>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</si>
  <si>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</si>
  <si>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</si>
  <si>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</si>
  <si>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</si>
  <si>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</si>
  <si>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</si>
  <si>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</si>
  <si>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</si>
  <si>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</si>
  <si>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</si>
  <si>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</si>
  <si>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</si>
  <si>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</si>
  <si>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</si>
  <si>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</si>
  <si>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</si>
  <si>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</si>
  <si>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</si>
  <si>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</si>
  <si>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</si>
  <si>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</si>
  <si>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</si>
  <si>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</si>
  <si>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</si>
  <si>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</si>
  <si>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</si>
  <si>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</si>
  <si>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</si>
  <si>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</si>
  <si>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</si>
  <si>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09</t>
  </si>
  <si>
    <t>02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</si>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</sst>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271650</v>
      </c>
      <c r="C3" s="9">
        <f>+HojaTICA!K4+HojaNICA!M4+HojaREVENTADO!K4+HojaPrimera!I4+HojaHonduras!K4+HojaDominicana!I4+HojaPANA!G4</f>
        <v>35350</v>
      </c>
      <c r="D3" s="9">
        <f>+HojaTICA!N4+HojaNICA!P4+HojaREVENTADO!O4+HojaPrimera!L4+HojaHonduras!N4+HojaDominicana!L4+HojaPANA!J4</f>
        <v>32500</v>
      </c>
      <c r="F3" s="10">
        <f t="shared" ref="F3:F27" si="0">+B3-C3-D3</f>
        <v>203800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228400</v>
      </c>
      <c r="C4" s="9">
        <f>+HojaTICA!K5+HojaNICA!M5+HojaREVENTADO!K5+HojaPrimera!I5+HojaHonduras!K5+HojaDominicana!I5+HojaPANA!G5</f>
        <v>29700</v>
      </c>
      <c r="D4" s="9">
        <f>+HojaTICA!N5+HojaNICA!P5+HojaREVENTADO!O5+HojaPrimera!L5+HojaHonduras!N5+HojaDominicana!L5+HojaPANA!J5</f>
        <v>71250</v>
      </c>
      <c r="F4" s="14">
        <f t="shared" si="0"/>
        <v>127450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1000</v>
      </c>
      <c r="C6" s="9">
        <f>+HojaTICA!K7+HojaNICA!M7+HojaREVENTADO!K7+HojaPrimera!I7+HojaHonduras!K7+HojaDominicana!I7+HojaPANA!G7</f>
        <v>100</v>
      </c>
      <c r="D6" s="9">
        <f>+HojaTICA!N7+HojaNICA!P7+HojaREVENTADO!O7+HojaPrimera!L7+HojaHonduras!N7+HojaDominicana!L7+HojaPANA!J7</f>
        <v>0</v>
      </c>
      <c r="F6" s="14">
        <f t="shared" si="0"/>
        <v>900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457850</v>
      </c>
      <c r="C7" s="9">
        <f>+HojaTICA!K8+HojaNICA!M8+HojaREVENTADO!K8+HojaPrimera!I8+HojaHonduras!K8+HojaDominicana!I8+HojaPANA!G8</f>
        <v>54950</v>
      </c>
      <c r="D7" s="9">
        <f>+HojaTICA!N8+HojaNICA!P8+HojaREVENTADO!O8+HojaPrimera!L8+HojaHonduras!N8+HojaDominicana!L8+HojaPANA!J8</f>
        <v>366250</v>
      </c>
      <c r="F7" s="14">
        <f t="shared" si="0"/>
        <v>36650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1036350</v>
      </c>
      <c r="C9" s="9">
        <f>+HojaTICA!K10+HojaNICA!M10+HojaREVENTADO!K10+HojaPrimera!I10+HojaHonduras!K10+HojaDominicana!I10+HojaPANA!G10</f>
        <v>122675</v>
      </c>
      <c r="D9" s="9">
        <f>+HojaTICA!N10+HojaNICA!P10+HojaREVENTADO!O10+HojaPrimera!L10+HojaHonduras!N10+HojaDominicana!L10+HojaPANA!J10</f>
        <v>748000</v>
      </c>
      <c r="F9" s="14">
        <f t="shared" si="0"/>
        <v>165675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20200</v>
      </c>
      <c r="C10" s="9">
        <f>+HojaTICA!K11+HojaNICA!M11+HojaREVENTADO!K11+HojaPrimera!I11+HojaHonduras!K11+HojaDominicana!I11+HojaPANA!G11</f>
        <v>2400</v>
      </c>
      <c r="D10" s="9">
        <f>+HojaTICA!N11+HojaNICA!P11+HojaREVENTADO!O11+HojaPrimera!L11+HojaHonduras!N11+HojaDominicana!L11+HojaPANA!J11</f>
        <v>0</v>
      </c>
      <c r="F10" s="14">
        <f t="shared" si="0"/>
        <v>17800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206600</v>
      </c>
      <c r="C11" s="9">
        <f>+HojaTICA!K12+HojaNICA!M12+HojaREVENTADO!K12+HojaPrimera!I12+HojaHonduras!K12+HojaDominicana!I12+HojaPANA!G12</f>
        <v>24620</v>
      </c>
      <c r="D11" s="9">
        <f>+HojaTICA!N12+HojaNICA!P12+HojaREVENTADO!O12+HojaPrimera!L12+HojaHonduras!N12+HojaDominicana!L12+HojaPANA!J12</f>
        <v>76500</v>
      </c>
      <c r="F11" s="14">
        <f t="shared" si="0"/>
        <v>105480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209700</v>
      </c>
      <c r="C12" s="9">
        <f>+HojaTICA!K13+HojaNICA!M13+HojaREVENTADO!K13+HojaPrimera!I13+HojaHonduras!K13+HojaDominicana!I13+HojaPANA!G13</f>
        <v>25150</v>
      </c>
      <c r="D12" s="9">
        <f>+HojaTICA!N13+HojaNICA!P13+HojaREVENTADO!O13+HojaPrimera!L13+HojaHonduras!N13+HojaDominicana!L13+HojaPANA!J13</f>
        <v>127500</v>
      </c>
      <c r="F12" s="14">
        <f t="shared" si="0"/>
        <v>57050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78000</v>
      </c>
      <c r="C13" s="9">
        <f>+HojaTICA!K14+HojaNICA!M14+HojaREVENTADO!K14+HojaPrimera!I14+HojaHonduras!K14+HojaDominicana!I14+HojaPANA!G14</f>
        <v>11700</v>
      </c>
      <c r="D13" s="9">
        <f>+HojaTICA!N14+HojaNICA!P14+HojaREVENTADO!O14+HojaPrimera!L14+HojaHonduras!N14+HojaDominicana!L14+HojaPANA!J14</f>
        <v>0</v>
      </c>
      <c r="F13" s="14">
        <f t="shared" si="0"/>
        <v>66300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131200</v>
      </c>
      <c r="C15" s="9">
        <f>+HojaTICA!K16+HojaNICA!M16+HojaREVENTADO!K16+HojaPrimera!I16+HojaHonduras!K16+HojaDominicana!I16+HojaPANA!G16</f>
        <v>15710</v>
      </c>
      <c r="D15" s="9">
        <f>+HojaTICA!N16+HojaNICA!P16+HojaREVENTADO!O16+HojaPrimera!L16+HojaHonduras!N16+HojaDominicana!L16+HojaPANA!J16</f>
        <v>70750</v>
      </c>
      <c r="F15" s="14">
        <f t="shared" si="0"/>
        <v>44740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1133850</v>
      </c>
      <c r="C16" s="9">
        <f>+HojaTICA!K17+HojaNICA!M17+HojaREVENTADO!K17+HojaPrimera!I17+HojaHonduras!K17+HojaDominicana!I17+HojaPANA!G17</f>
        <v>134540</v>
      </c>
      <c r="D16" s="9">
        <f>+HojaTICA!N17+HojaNICA!P17+HojaREVENTADO!O17+HojaPrimera!L17+HojaHonduras!N17+HojaDominicana!L17+HojaPANA!J17</f>
        <v>862750</v>
      </c>
      <c r="F16" s="14">
        <f t="shared" si="0"/>
        <v>136560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499600</v>
      </c>
      <c r="C17" s="9">
        <f>+HojaTICA!K18+HojaNICA!M18+HojaREVENTADO!K18+HojaPrimera!I18+HojaHonduras!K18+HojaDominicana!I18+HojaPANA!G18</f>
        <v>59125</v>
      </c>
      <c r="D17" s="9">
        <f>+HojaTICA!N18+HojaNICA!P18+HojaREVENTADO!O18+HojaPrimera!L18+HojaHonduras!N18+HojaDominicana!L18+HojaPANA!J18</f>
        <v>718250</v>
      </c>
      <c r="F17" s="14">
        <f t="shared" si="0"/>
        <v>-277775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4274400</v>
      </c>
      <c r="C28" s="17">
        <f t="shared" si="1"/>
        <v>516020</v>
      </c>
      <c r="D28" s="18">
        <f t="shared" si="1"/>
        <v>3073750</v>
      </c>
      <c r="F28" s="20">
        <f>SUM(F3:F27)</f>
        <v>684630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81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18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42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 t="s">
        <v>160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 t="s">
        <v>161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96</v>
      </c>
      <c r="C19" s="163" t="s">
        <v>159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86</v>
      </c>
      <c r="C20" s="163">
        <v>15</v>
      </c>
      <c r="D20" s="166">
        <v>72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68</v>
      </c>
      <c r="C21" s="164">
        <v>42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76</v>
      </c>
      <c r="D2" s="268"/>
      <c r="E2" s="267">
        <f>DigitaTICA!E2</f>
        <v>18</v>
      </c>
      <c r="F2" s="268"/>
      <c r="G2" s="267" t="str">
        <f>DigitaTICA!G2</f>
        <v>02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47400</v>
      </c>
      <c r="D4" s="30">
        <f>IF(Vendedor1!$E$7="",0,Vendedor1!$E$7)</f>
        <v>100</v>
      </c>
      <c r="E4" s="180">
        <f>IF(Vendedor1!$C$11="",0,Vendedor1!$C$11)</f>
        <v>22350</v>
      </c>
      <c r="F4" s="30">
        <f>IF(Vendedor1!$E$11="",0,Vendedor1!$E$11)</f>
        <v>0</v>
      </c>
      <c r="G4" s="180">
        <f>IF(Vendedor1!$C$15="",0,Vendedor1!$C$15)</f>
        <v>104550</v>
      </c>
      <c r="H4" s="30">
        <f>IF(Vendedor1!$E$15="",0,Vendedor1!$E$15)</f>
        <v>0</v>
      </c>
      <c r="J4" s="42">
        <f t="shared" ref="J4:J7" si="0">+C4+E4+G4</f>
        <v>174300</v>
      </c>
      <c r="K4" s="41">
        <f>MROUND(J4*Vendedor1!J$9,50)</f>
        <v>22650</v>
      </c>
      <c r="L4" s="42">
        <f t="shared" ref="L4:L7" si="1">+D4+F4+H4</f>
        <v>100</v>
      </c>
      <c r="M4" s="42">
        <f t="shared" ref="M4:M7" si="2">+L4*85</f>
        <v>8500</v>
      </c>
      <c r="N4" s="42">
        <f>Vendedor1!$F$7+Vendedor1!$F$11+Vendedor1!$F$15</f>
        <v>8500</v>
      </c>
      <c r="P4" s="42">
        <f t="shared" ref="P4:P7" si="3">+J4-K4-N4</f>
        <v>143150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65950</v>
      </c>
      <c r="D5" s="30">
        <f>IF(Vendedor2!$E$7="",0,Vendedor2!$E$7)</f>
        <v>0</v>
      </c>
      <c r="E5" s="180">
        <f>IF(Vendedor2!$C$11="",0,Vendedor2!$C$11)</f>
        <v>39100</v>
      </c>
      <c r="F5" s="30">
        <f>IF(Vendedor2!$E$11="",0,Vendedor2!$E$11)</f>
        <v>650</v>
      </c>
      <c r="G5" s="180">
        <f>IF(Vendedor2!$C$15="",0,Vendedor2!$C$15)</f>
        <v>93850</v>
      </c>
      <c r="H5" s="30">
        <f>IF(Vendedor2!$E$15="",0,Vendedor2!$E$15)</f>
        <v>0</v>
      </c>
      <c r="J5" s="42">
        <f t="shared" si="0"/>
        <v>198900</v>
      </c>
      <c r="K5" s="41">
        <f>MROUND(J5*Vendedor2!J$9,50)</f>
        <v>25850</v>
      </c>
      <c r="L5" s="42">
        <f t="shared" si="1"/>
        <v>650</v>
      </c>
      <c r="M5" s="42">
        <f t="shared" si="2"/>
        <v>55250</v>
      </c>
      <c r="N5" s="42">
        <f>Vendedor2!$F$7+Vendedor2!$F$11+Vendedor2!$F$15</f>
        <v>55250</v>
      </c>
      <c r="P5" s="42">
        <f t="shared" si="3"/>
        <v>117800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1000</v>
      </c>
      <c r="H7" s="30">
        <f>IF(Vendedor4!$E$15="",0,Vendedor4!$E$15)</f>
        <v>0</v>
      </c>
      <c r="J7" s="42">
        <f t="shared" si="0"/>
        <v>1000</v>
      </c>
      <c r="K7" s="41">
        <f>MROUND(J7*Vendedor4!J$9,50)</f>
        <v>100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900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106700</v>
      </c>
      <c r="D8" s="30">
        <f>IF(Vendedor5!$E$7="",0,Vendedor5!$E$7)</f>
        <v>750</v>
      </c>
      <c r="E8" s="180">
        <f>IF(Vendedor5!$C$11="",0,Vendedor5!$C$11)</f>
        <v>47200</v>
      </c>
      <c r="F8" s="30">
        <f>IF(Vendedor5!$E$11="",0,Vendedor5!$E$11)</f>
        <v>0</v>
      </c>
      <c r="G8" s="180">
        <f>IF(Vendedor5!$C$15="",0,Vendedor5!$C$15)</f>
        <v>61650</v>
      </c>
      <c r="H8" s="30">
        <f>IF(Vendedor5!$E$15="",0,Vendedor5!$E$15)</f>
        <v>500</v>
      </c>
      <c r="J8" s="42">
        <f t="shared" ref="J8" si="4">+C8+E8+G8</f>
        <v>215550</v>
      </c>
      <c r="K8" s="41">
        <f>MROUND(J8*Vendedor5!J$11,50)</f>
        <v>25850</v>
      </c>
      <c r="L8" s="42">
        <f t="shared" ref="L8" si="5">+D8+F8+H8</f>
        <v>1250</v>
      </c>
      <c r="M8" s="42">
        <f t="shared" ref="M8" si="6">+L8*85</f>
        <v>106250</v>
      </c>
      <c r="N8" s="42">
        <f>Vendedor5!$F$7+Vendedor5!$F$11+Vendedor5!$F$15</f>
        <v>106250</v>
      </c>
      <c r="P8" s="42">
        <f t="shared" ref="P8" si="7">+J8-K8-N8</f>
        <v>83450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170200</v>
      </c>
      <c r="D10" s="30">
        <f>IF(Vendedor7!$E$7="",0,Vendedor7!$E$7)</f>
        <v>2250</v>
      </c>
      <c r="E10" s="180">
        <f>IF(Vendedor7!$C$11="",0,Vendedor7!$C$11)</f>
        <v>125700</v>
      </c>
      <c r="F10" s="30">
        <f>IF(Vendedor7!$E$11="",0,Vendedor7!$E$11)</f>
        <v>450</v>
      </c>
      <c r="G10" s="180">
        <f>IF(Vendedor7!$C$15="",0,Vendedor7!$C$15)</f>
        <v>148250</v>
      </c>
      <c r="H10" s="30">
        <f>IF(Vendedor7!$E$15="",0,Vendedor7!$E$15)</f>
        <v>2700</v>
      </c>
      <c r="J10" s="42">
        <f t="shared" si="8"/>
        <v>444150</v>
      </c>
      <c r="K10" s="41">
        <f>MROUND(J10*Vendedor7!J$14,50)</f>
        <v>53300</v>
      </c>
      <c r="L10" s="42">
        <f t="shared" si="9"/>
        <v>5400</v>
      </c>
      <c r="M10" s="42">
        <f t="shared" si="10"/>
        <v>459000</v>
      </c>
      <c r="N10" s="42">
        <f>Vendedor7!$F$7+Vendedor7!$F$11+Vendedor7!$F$15</f>
        <v>459000</v>
      </c>
      <c r="P10" s="42">
        <f t="shared" si="11"/>
        <v>-68150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6700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13500</v>
      </c>
      <c r="H11" s="30">
        <f>IF(Vendedor8!$E$15="",0,Vendedor8!$E$15)</f>
        <v>0</v>
      </c>
      <c r="J11" s="42">
        <f t="shared" si="8"/>
        <v>20200</v>
      </c>
      <c r="K11" s="41">
        <f>MROUND(J11*Vendedor8!J$11,50)</f>
        <v>2400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17800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44350</v>
      </c>
      <c r="D12" s="30">
        <f>IF(Vendedor9!$E$7="",0,Vendedor9!$E$7)</f>
        <v>250</v>
      </c>
      <c r="E12" s="180">
        <f>IF(Vendedor9!$C$11="",0,Vendedor9!$C$11)</f>
        <v>23100</v>
      </c>
      <c r="F12" s="30">
        <f>IF(Vendedor9!$E$11="",0,Vendedor9!$E$11)</f>
        <v>0</v>
      </c>
      <c r="G12" s="180">
        <f>IF(Vendedor9!$C$15="",0,Vendedor9!$C$15)</f>
        <v>28450</v>
      </c>
      <c r="H12" s="30">
        <f>IF(Vendedor9!$E$15="",0,Vendedor9!$E$15)</f>
        <v>0</v>
      </c>
      <c r="J12" s="42">
        <f t="shared" si="8"/>
        <v>95900</v>
      </c>
      <c r="K12" s="41">
        <f>MROUND(J12*Vendedor9!J$11,50)</f>
        <v>11500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63150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52100</v>
      </c>
      <c r="D13" s="30">
        <f>IF(Vendedor10!$E$7="",0,Vendedor10!$E$7)</f>
        <v>600</v>
      </c>
      <c r="E13" s="180">
        <f>IF(Vendedor10!$C$11="",0,Vendedor10!$C$11)</f>
        <v>27000</v>
      </c>
      <c r="F13" s="30">
        <f>IF(Vendedor10!$E$11="",0,Vendedor10!$E$11)</f>
        <v>900</v>
      </c>
      <c r="G13" s="180">
        <f>IF(Vendedor10!$C$15="",0,Vendedor10!$C$15)</f>
        <v>45250</v>
      </c>
      <c r="H13" s="30">
        <f>IF(Vendedor10!$E$15="",0,Vendedor10!$E$15)</f>
        <v>0</v>
      </c>
      <c r="J13" s="42">
        <f t="shared" si="8"/>
        <v>124350</v>
      </c>
      <c r="K13" s="41">
        <f>MROUND(J13*Vendedor10!J$9,50)</f>
        <v>14900</v>
      </c>
      <c r="L13" s="42">
        <f t="shared" si="9"/>
        <v>1500</v>
      </c>
      <c r="M13" s="42">
        <f t="shared" si="10"/>
        <v>127500</v>
      </c>
      <c r="N13" s="42">
        <f>Vendedor10!$F$7+Vendedor10!$F$11+Vendedor10!$F$15</f>
        <v>127500</v>
      </c>
      <c r="P13" s="42">
        <f t="shared" si="11"/>
        <v>-18050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26450</v>
      </c>
      <c r="D14" s="30">
        <f>IF(Vendedor11!$E$7="",0,Vendedor11!$E$7)</f>
        <v>0</v>
      </c>
      <c r="E14" s="180">
        <f>IF(Vendedor11!$C$11="",0,Vendedor11!$C$11)</f>
        <v>18850</v>
      </c>
      <c r="F14" s="30">
        <f>IF(Vendedor11!$E$11="",0,Vendedor11!$E$11)</f>
        <v>0</v>
      </c>
      <c r="G14" s="180">
        <f>IF(Vendedor11!$C$15="",0,Vendedor11!$C$15)</f>
        <v>32700</v>
      </c>
      <c r="H14" s="30">
        <f>IF(Vendedor11!$E$15="",0,Vendedor11!$E$15)</f>
        <v>0</v>
      </c>
      <c r="J14" s="42">
        <f t="shared" si="8"/>
        <v>78000</v>
      </c>
      <c r="K14" s="41">
        <f>MROUND(J14*Vendedor11!J$9,50)</f>
        <v>11700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66300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25700</v>
      </c>
      <c r="D16" s="30">
        <f>IF(Vendedor13!$E$7="",0,Vendedor13!$E$7)</f>
        <v>0</v>
      </c>
      <c r="E16" s="180">
        <f>IF(Vendedor13!$C$11="",0,Vendedor13!$C$11)</f>
        <v>25700</v>
      </c>
      <c r="F16" s="30">
        <f>IF(Vendedor13!$E$11="",0,Vendedor13!$E$11)</f>
        <v>300</v>
      </c>
      <c r="G16" s="180">
        <f>IF(Vendedor13!$C$15="",0,Vendedor13!$C$15)</f>
        <v>28550</v>
      </c>
      <c r="H16" s="30">
        <f>IF(Vendedor13!$E$15="",0,Vendedor13!$E$15)</f>
        <v>250</v>
      </c>
      <c r="J16" s="42">
        <f t="shared" si="8"/>
        <v>79950</v>
      </c>
      <c r="K16" s="41">
        <f>MROUND(J16*Vendedor13!J$11,50)</f>
        <v>9600</v>
      </c>
      <c r="L16" s="42">
        <f t="shared" si="9"/>
        <v>550</v>
      </c>
      <c r="M16" s="42">
        <f t="shared" si="10"/>
        <v>46750</v>
      </c>
      <c r="N16" s="42">
        <f>Vendedor13!$F$7+Vendedor13!$F$11+Vendedor13!$F$15</f>
        <v>46750</v>
      </c>
      <c r="P16" s="42">
        <f t="shared" si="11"/>
        <v>23600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158700</v>
      </c>
      <c r="D17" s="30">
        <f>IF(Vendedor14!$E$7="",0,Vendedor14!$E$7)</f>
        <v>2400</v>
      </c>
      <c r="E17" s="180">
        <f>IF(Vendedor14!$C$11="",0,Vendedor14!$C$11)</f>
        <v>74950</v>
      </c>
      <c r="F17" s="30">
        <f>IF(Vendedor14!$E$11="",0,Vendedor14!$E$11)</f>
        <v>650</v>
      </c>
      <c r="G17" s="180">
        <f>IF(Vendedor14!$C$15="",0,Vendedor14!$C$15)</f>
        <v>200900</v>
      </c>
      <c r="H17" s="30">
        <f>IF(Vendedor14!$E$15="",0,Vendedor14!$E$15)</f>
        <v>4650</v>
      </c>
      <c r="J17" s="42">
        <f t="shared" si="8"/>
        <v>434550</v>
      </c>
      <c r="K17" s="41">
        <f>MROUND(J17*Vendedor14!J$15,50)</f>
        <v>52150</v>
      </c>
      <c r="L17" s="42">
        <f t="shared" si="9"/>
        <v>7700</v>
      </c>
      <c r="M17" s="42">
        <f t="shared" si="10"/>
        <v>654500</v>
      </c>
      <c r="N17" s="42">
        <f>Vendedor14!$F$7+Vendedor14!$F$11+Vendedor14!$F$15</f>
        <v>654500</v>
      </c>
      <c r="P17" s="42">
        <f t="shared" si="11"/>
        <v>-272100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63100</v>
      </c>
      <c r="D18" s="30">
        <f>IF(Vendedor15!$E$7="",0,Vendedor15!$E$7)</f>
        <v>0</v>
      </c>
      <c r="E18" s="180">
        <f>IF(Vendedor15!$C$11="",0,Vendedor15!$C$11)</f>
        <v>39350</v>
      </c>
      <c r="F18" s="30">
        <f>IF(Vendedor15!$E$11="",0,Vendedor15!$E$11)</f>
        <v>250</v>
      </c>
      <c r="G18" s="180">
        <f>IF(Vendedor15!$C$15="",0,Vendedor15!$C$15)</f>
        <v>66600</v>
      </c>
      <c r="H18" s="30">
        <f>IF(Vendedor15!$E$15="",0,Vendedor15!$E$15)</f>
        <v>5900</v>
      </c>
      <c r="J18" s="42">
        <f t="shared" ref="J18" si="12">+C18+E18+G18</f>
        <v>169050</v>
      </c>
      <c r="K18" s="41">
        <f>MROUND(J18*Vendedor15!J$15,50)</f>
        <v>20300</v>
      </c>
      <c r="L18" s="42">
        <f t="shared" ref="L18" si="13">+D18+F18+H18</f>
        <v>6150</v>
      </c>
      <c r="M18" s="42">
        <f t="shared" ref="M18" si="14">+L18*85</f>
        <v>522750</v>
      </c>
      <c r="N18" s="42">
        <f>Vendedor15!$F$7+Vendedor15!$F$11+Vendedor15!$F$15</f>
        <v>522750</v>
      </c>
      <c r="P18" s="42">
        <f t="shared" ref="P18" si="15">+J18-K18-N18</f>
        <v>-374000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767350</v>
      </c>
      <c r="D32" s="44">
        <f t="shared" si="16"/>
        <v>6350</v>
      </c>
      <c r="E32" s="43">
        <f t="shared" si="16"/>
        <v>443300</v>
      </c>
      <c r="F32" s="44">
        <f t="shared" si="16"/>
        <v>3200</v>
      </c>
      <c r="G32" s="43">
        <f t="shared" si="16"/>
        <v>825250</v>
      </c>
      <c r="H32" s="44">
        <f t="shared" si="16"/>
        <v>14000</v>
      </c>
      <c r="J32" s="95">
        <f>SUM(J4:J31)</f>
        <v>2035900</v>
      </c>
      <c r="K32" s="45">
        <f>SUM(K7:K31)</f>
        <v>201800</v>
      </c>
      <c r="L32" s="95">
        <f>SUM(L4:L31)</f>
        <v>23550</v>
      </c>
      <c r="M32" s="95">
        <f>SUM(M4:M31)</f>
        <v>2001750</v>
      </c>
      <c r="N32" s="95">
        <f>SUM(N4:N31)</f>
        <v>2001750</v>
      </c>
      <c r="P32" s="79">
        <f>SUM(P4:P31)</f>
        <v>-216150</v>
      </c>
    </row>
    <row r="33" spans="3:13" x14ac:dyDescent="0.35">
      <c r="D33" s="99">
        <f>+D32*85</f>
        <v>539750</v>
      </c>
      <c r="F33" s="99">
        <f>+F32*85</f>
        <v>272000</v>
      </c>
      <c r="H33" s="99">
        <f>+H32*85</f>
        <v>1190000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2035900</v>
      </c>
      <c r="E36" s="43">
        <f>+D36-J4-J5-J6</f>
        <v>1662700</v>
      </c>
      <c r="G36" s="101"/>
    </row>
    <row r="37" spans="3:13" x14ac:dyDescent="0.35">
      <c r="C37" s="47" t="s">
        <v>33</v>
      </c>
      <c r="D37" s="48">
        <f>D36*13%</f>
        <v>264667</v>
      </c>
      <c r="E37">
        <f>+D37-K4-K5-K6</f>
        <v>216167</v>
      </c>
      <c r="G37" s="100"/>
      <c r="H37" s="100"/>
    </row>
    <row r="38" spans="3:13" ht="15" thickBot="1" x14ac:dyDescent="0.4">
      <c r="C38" s="47" t="s">
        <v>30</v>
      </c>
      <c r="D38" s="30">
        <f>M32</f>
        <v>2001750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-230517</v>
      </c>
      <c r="F39" s="98">
        <f>+P32-D39</f>
        <v>14367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-230517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81</v>
      </c>
      <c r="D2" s="268"/>
      <c r="E2" s="267">
        <f>DigitaNICA!E2</f>
        <v>45</v>
      </c>
      <c r="F2" s="268"/>
      <c r="G2" s="267">
        <f>DigitaNICA!G2</f>
        <v>42</v>
      </c>
      <c r="H2" s="268"/>
      <c r="I2" s="267" t="str">
        <f>DigitaNICA!I2</f>
        <v>08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51400</v>
      </c>
      <c r="D4" s="78">
        <f>IF(Vendedor1!$E$5="",0,Vendedor1!$E$5)</f>
        <v>300</v>
      </c>
      <c r="E4" s="189">
        <f>IF(Vendedor1!$C$9="",0,Vendedor1!$C$9)</f>
        <v>21250</v>
      </c>
      <c r="F4" s="78">
        <f>IF(Vendedor1!$E$9="",0,Vendedor1!$E$9)</f>
        <v>0</v>
      </c>
      <c r="G4" s="189">
        <f>IF(Vendedor1!$C$13="",0,Vendedor1!$C$13)</f>
        <v>4700</v>
      </c>
      <c r="H4" s="78">
        <f>IF(Vendedor1!$E$13="",0,Vendedor1!$E$13)</f>
        <v>0</v>
      </c>
      <c r="I4" s="189">
        <f>IF(Vendedor1!$C$17="",0,Vendedor1!$C$17)</f>
        <v>3250</v>
      </c>
      <c r="J4" s="78">
        <f>IF(Vendedor1!$E$17="",0,Vendedor1!$E$17)</f>
        <v>0</v>
      </c>
      <c r="L4" s="42">
        <f t="shared" ref="L4:L7" si="0">C4+E4+G4+I4</f>
        <v>80600</v>
      </c>
      <c r="M4" s="41">
        <f>MROUND(L4*Vendedor1!J$10,50)</f>
        <v>10500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44600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18600</v>
      </c>
      <c r="D5" s="30">
        <f>IF(Vendedor2!$E$5="",0,Vendedor2!$E$5)</f>
        <v>200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4700</v>
      </c>
      <c r="H5" s="30">
        <f>IF(Vendedor2!$E$13="",0,Vendedor2!$E$13)</f>
        <v>0</v>
      </c>
      <c r="I5" s="180">
        <f>IF(Vendedor2!$C$17="",0,Vendedor2!$C$17)</f>
        <v>2500</v>
      </c>
      <c r="J5" s="30">
        <f>IF(Vendedor2!$E$17="",0,Vendedor2!$E$17)</f>
        <v>0</v>
      </c>
      <c r="L5" s="42">
        <f t="shared" si="0"/>
        <v>25800</v>
      </c>
      <c r="M5" s="41">
        <f>MROUND(L5*Vendedor2!J$10,50)</f>
        <v>3350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5450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68700</v>
      </c>
      <c r="D8" s="30">
        <f>IF(Vendedor5!$E$5="",0,Vendedor5!$E$5)</f>
        <v>1400</v>
      </c>
      <c r="E8" s="180">
        <f>IF(Vendedor5!$C$9="",0,Vendedor5!$C$9)</f>
        <v>45600</v>
      </c>
      <c r="F8" s="30">
        <f>IF(Vendedor5!$E$9="",0,Vendedor5!$E$9)</f>
        <v>400</v>
      </c>
      <c r="G8" s="180">
        <f>IF(Vendedor5!$C$13="",0,Vendedor5!$C$13)</f>
        <v>23850</v>
      </c>
      <c r="H8" s="30">
        <f>IF(Vendedor5!$E$13="",0,Vendedor5!$E$13)</f>
        <v>0</v>
      </c>
      <c r="I8" s="180">
        <f>IF(Vendedor5!$C$17="",0,Vendedor5!$C$17)</f>
        <v>39700</v>
      </c>
      <c r="J8" s="30">
        <f>IF(Vendedor5!$E$17="",0,Vendedor5!$E$17)</f>
        <v>1350</v>
      </c>
      <c r="L8" s="42">
        <f t="shared" ref="L8" si="4">C8+E8+G8+I8</f>
        <v>177850</v>
      </c>
      <c r="M8" s="41">
        <f>MROUND(L8*Vendedor5!J$12,50)</f>
        <v>21350</v>
      </c>
      <c r="N8" s="42">
        <f t="shared" ref="N8" si="5">D8+F8+H8+J8</f>
        <v>3150</v>
      </c>
      <c r="O8" s="41">
        <f t="shared" si="3"/>
        <v>267750</v>
      </c>
      <c r="P8" s="42">
        <f>Vendedor5!$F$5+Vendedor5!$F$9+Vendedor5!$F$13+Vendedor5!$F$17</f>
        <v>252000</v>
      </c>
      <c r="Q8">
        <v>17</v>
      </c>
      <c r="R8" s="41">
        <f t="shared" ref="R8" si="6">+L8-M8-O8</f>
        <v>-111250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72400</v>
      </c>
      <c r="D10" s="30">
        <f>IF(Vendedor7!$E$5="",0,Vendedor7!$E$5)</f>
        <v>250</v>
      </c>
      <c r="E10" s="180">
        <f>IF(Vendedor7!$C$9="",0,Vendedor7!$C$9)</f>
        <v>66300</v>
      </c>
      <c r="F10" s="30">
        <f>IF(Vendedor7!$E$9="",0,Vendedor7!$E$9)</f>
        <v>0</v>
      </c>
      <c r="G10" s="180">
        <f>IF(Vendedor7!$C$13="",0,Vendedor7!$C$13)</f>
        <v>73950</v>
      </c>
      <c r="H10" s="30">
        <f>IF(Vendedor7!$E$13="",0,Vendedor7!$E$13)</f>
        <v>0</v>
      </c>
      <c r="I10" s="180">
        <f>IF(Vendedor7!$C$17="",0,Vendedor7!$C$17)</f>
        <v>111650</v>
      </c>
      <c r="J10" s="30">
        <f>IF(Vendedor7!$E$17="",0,Vendedor7!$E$17)</f>
        <v>550</v>
      </c>
      <c r="L10" s="42">
        <f t="shared" si="7"/>
        <v>324300</v>
      </c>
      <c r="M10" s="41">
        <f>MROUND(L10*Vendedor7!J$15,50)</f>
        <v>38900</v>
      </c>
      <c r="N10" s="42">
        <f t="shared" ref="N10:N27" si="9">D10+F10+H10+J10</f>
        <v>800</v>
      </c>
      <c r="O10" s="41">
        <f t="shared" si="3"/>
        <v>68000</v>
      </c>
      <c r="P10" s="42">
        <f>Vendedor7!$F$5+Vendedor7!$F$9+Vendedor7!$F$13+Vendedor7!$F$17</f>
        <v>68000</v>
      </c>
      <c r="R10" s="41">
        <f t="shared" si="8"/>
        <v>217400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32950</v>
      </c>
      <c r="D12" s="30">
        <f>IF(Vendedor9!$E$5="",0,Vendedor9!$E$5)</f>
        <v>150</v>
      </c>
      <c r="E12" s="180">
        <f>IF(Vendedor9!$C$9="",0,Vendedor9!$C$9)</f>
        <v>24700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57650</v>
      </c>
      <c r="M12" s="41">
        <f>MROUND(L12*Vendedor9!J$12,50)</f>
        <v>6900</v>
      </c>
      <c r="N12" s="42">
        <f t="shared" si="9"/>
        <v>400</v>
      </c>
      <c r="O12" s="41">
        <f t="shared" si="3"/>
        <v>34000</v>
      </c>
      <c r="P12" s="42">
        <f>Vendedor9!$F$5+Vendedor9!$F$9+Vendedor9!$F$13+Vendedor9!$F$17</f>
        <v>34000</v>
      </c>
      <c r="R12" s="41">
        <f t="shared" si="8"/>
        <v>16750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55500</v>
      </c>
      <c r="D13" s="30">
        <f>IF(Vendedor10!$E$5="",0,Vendedor10!$E$5)</f>
        <v>0</v>
      </c>
      <c r="E13" s="180">
        <f>IF(Vendedor10!$C$9="",0,Vendedor10!$C$9)</f>
        <v>22100</v>
      </c>
      <c r="F13" s="30">
        <f>IF(Vendedor10!$E$9="",0,Vendedor10!$E$9)</f>
        <v>0</v>
      </c>
      <c r="G13" s="180">
        <f>IF(Vendedor10!$C$13="",0,Vendedor10!$C$13)</f>
        <v>3950</v>
      </c>
      <c r="H13" s="30">
        <f>IF(Vendedor10!$E$13="",0,Vendedor10!$E$13)</f>
        <v>0</v>
      </c>
      <c r="I13" s="180">
        <f>IF(Vendedor10!$C$17="",0,Vendedor10!$C$17)</f>
        <v>3800</v>
      </c>
      <c r="J13" s="30">
        <f>IF(Vendedor10!$E$17="",0,Vendedor10!$E$17)</f>
        <v>0</v>
      </c>
      <c r="L13" s="42">
        <f t="shared" si="7"/>
        <v>85350</v>
      </c>
      <c r="M13" s="41">
        <f>MROUND(L13*Vendedor10!J$10,50)</f>
        <v>10250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75100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10250</v>
      </c>
      <c r="D16" s="30">
        <f>IF(Vendedor13!$E$5="",0,Vendedor13!$E$5)</f>
        <v>100</v>
      </c>
      <c r="E16" s="180">
        <f>IF(Vendedor13!$C$9="",0,Vendedor13!$C$9)</f>
        <v>8100</v>
      </c>
      <c r="F16" s="30">
        <f>IF(Vendedor13!$E$9="",0,Vendedor13!$E$9)</f>
        <v>0</v>
      </c>
      <c r="G16" s="180">
        <f>IF(Vendedor13!$C$13="",0,Vendedor13!$C$13)</f>
        <v>9200</v>
      </c>
      <c r="H16" s="30">
        <f>IF(Vendedor13!$E$13="",0,Vendedor13!$E$13)</f>
        <v>0</v>
      </c>
      <c r="I16" s="180">
        <f>IF(Vendedor13!$C$17="",0,Vendedor13!$C$17)</f>
        <v>9000</v>
      </c>
      <c r="J16" s="30">
        <f>IF(Vendedor13!$E$17="",0,Vendedor13!$E$17)</f>
        <v>0</v>
      </c>
      <c r="L16" s="42">
        <f t="shared" si="7"/>
        <v>36550</v>
      </c>
      <c r="M16" s="41">
        <f>MROUND(L16*Vendedor13!J$12,50)</f>
        <v>4400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23650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105750</v>
      </c>
      <c r="D17" s="30">
        <f>IF(Vendedor14!$E$5="",0,Vendedor14!$E$5)</f>
        <v>0</v>
      </c>
      <c r="E17" s="180">
        <f>IF(Vendedor14!$C$9="",0,Vendedor14!$C$9)</f>
        <v>77600</v>
      </c>
      <c r="F17" s="30">
        <f>IF(Vendedor14!$E$9="",0,Vendedor14!$E$9)</f>
        <v>550</v>
      </c>
      <c r="G17" s="180">
        <f>IF(Vendedor14!$C$13="",0,Vendedor14!$C$13)</f>
        <v>70700</v>
      </c>
      <c r="H17" s="30">
        <f>IF(Vendedor14!$E$13="",0,Vendedor14!$E$13)</f>
        <v>500</v>
      </c>
      <c r="I17" s="180">
        <f>IF(Vendedor14!$C$17="",0,Vendedor14!$C$17)</f>
        <v>156450</v>
      </c>
      <c r="J17" s="30">
        <f>IF(Vendedor14!$E$17="",0,Vendedor14!$E$17)</f>
        <v>1050</v>
      </c>
      <c r="L17" s="42">
        <f>C17+E17+G17+I17</f>
        <v>410500</v>
      </c>
      <c r="M17" s="41">
        <f>MROUND(L17*Vendedor14!J$16,50)</f>
        <v>49250</v>
      </c>
      <c r="N17" s="42">
        <f t="shared" si="9"/>
        <v>2100</v>
      </c>
      <c r="O17" s="41">
        <f t="shared" si="3"/>
        <v>178500</v>
      </c>
      <c r="P17" s="42">
        <f>Vendedor14!$F$5+Vendedor14!$F$9+Vendedor14!$F$13+Vendedor14!$F$17</f>
        <v>178500</v>
      </c>
      <c r="R17" s="41">
        <f t="shared" si="8"/>
        <v>182750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51050</v>
      </c>
      <c r="D18" s="30">
        <f>IF(Vendedor15!$E$5="",0,Vendedor15!$E$5)</f>
        <v>250</v>
      </c>
      <c r="E18" s="180">
        <f>IF(Vendedor15!$C$9="",0,Vendedor15!$C$9)</f>
        <v>44400</v>
      </c>
      <c r="F18" s="30">
        <f>IF(Vendedor15!$E$9="",0,Vendedor15!$E$9)</f>
        <v>0</v>
      </c>
      <c r="G18" s="180">
        <f>IF(Vendedor15!$C$13="",0,Vendedor15!$C$13)</f>
        <v>30800</v>
      </c>
      <c r="H18" s="30">
        <f>IF(Vendedor15!$E$13="",0,Vendedor15!$E$13)</f>
        <v>1100</v>
      </c>
      <c r="I18" s="180">
        <f>IF(Vendedor15!$C$17="",0,Vendedor15!$C$17)</f>
        <v>24450</v>
      </c>
      <c r="J18" s="30">
        <f>IF(Vendedor15!$E$17="",0,Vendedor15!$E$17)</f>
        <v>200</v>
      </c>
      <c r="L18" s="42">
        <f t="shared" ref="L18:L27" si="10">C18+E18+G18+I18</f>
        <v>150700</v>
      </c>
      <c r="M18" s="41">
        <f>MROUND(L18*Vendedor15!J$16,50)</f>
        <v>18100</v>
      </c>
      <c r="N18" s="42">
        <f t="shared" si="9"/>
        <v>1550</v>
      </c>
      <c r="O18" s="41">
        <f t="shared" si="3"/>
        <v>131750</v>
      </c>
      <c r="P18" s="42">
        <f>Vendedor15!$F$5+Vendedor15!$F$9+Vendedor15!$F$13+Vendedor15!$F$17</f>
        <v>131750</v>
      </c>
      <c r="R18" s="41">
        <f t="shared" si="8"/>
        <v>850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466600</v>
      </c>
      <c r="D32" s="44">
        <f t="shared" si="14"/>
        <v>2650</v>
      </c>
      <c r="E32" s="43">
        <f t="shared" si="14"/>
        <v>310050</v>
      </c>
      <c r="F32" s="44">
        <f t="shared" si="14"/>
        <v>1200</v>
      </c>
      <c r="G32" s="43">
        <f t="shared" si="14"/>
        <v>221850</v>
      </c>
      <c r="H32" s="44">
        <f t="shared" si="14"/>
        <v>1600</v>
      </c>
      <c r="I32" s="43">
        <f t="shared" si="14"/>
        <v>350800</v>
      </c>
      <c r="J32" s="44">
        <f t="shared" si="14"/>
        <v>3150</v>
      </c>
      <c r="L32" s="45">
        <f>SUM(L4:L31)</f>
        <v>1349300</v>
      </c>
      <c r="M32" s="45">
        <f>SUM(M7:M31)</f>
        <v>149150</v>
      </c>
      <c r="N32" s="95">
        <f>SUM(N4:N31)</f>
        <v>8600</v>
      </c>
      <c r="O32" s="46">
        <f>SUM(O4:O31)</f>
        <v>731000</v>
      </c>
      <c r="P32" s="140">
        <f>SUM(P4:P31)</f>
        <v>712250</v>
      </c>
      <c r="R32" s="79">
        <f>SUM(R4:R31)</f>
        <v>455300</v>
      </c>
    </row>
    <row r="33" spans="3:15" x14ac:dyDescent="0.35">
      <c r="D33" s="120">
        <f>+D32*85</f>
        <v>225250</v>
      </c>
      <c r="F33" s="120">
        <f>+F32*85</f>
        <v>102000</v>
      </c>
      <c r="H33" s="120">
        <f>+H32*85</f>
        <v>136000</v>
      </c>
      <c r="J33" s="120">
        <f>+J32*85</f>
        <v>267750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1349300</v>
      </c>
      <c r="E36" s="43">
        <f>+D36-L4-L5-L6</f>
        <v>1242900</v>
      </c>
    </row>
    <row r="37" spans="3:15" x14ac:dyDescent="0.35">
      <c r="C37" s="47" t="s">
        <v>33</v>
      </c>
      <c r="D37" s="48">
        <f>D36*13%</f>
        <v>175409</v>
      </c>
      <c r="E37">
        <f>+D37-M4-M5-M6</f>
        <v>161559</v>
      </c>
    </row>
    <row r="38" spans="3:15" x14ac:dyDescent="0.35">
      <c r="C38" s="47" t="s">
        <v>30</v>
      </c>
      <c r="D38" s="30">
        <f>SUM(O4:O27)</f>
        <v>731000</v>
      </c>
      <c r="G38" s="100"/>
    </row>
    <row r="39" spans="3:15" ht="15" thickBot="1" x14ac:dyDescent="0.4">
      <c r="C39" s="49" t="s">
        <v>4</v>
      </c>
      <c r="D39" s="80">
        <f>+D36-D37-D38</f>
        <v>442891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442891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76 Blanca</v>
      </c>
      <c r="D2" s="268"/>
      <c r="E2" s="267" t="str">
        <f>IF(E33=0,"",CONCATENATE(PREMIOS!$B11," ",PREMIOS!$B12))</f>
        <v>18 Blanca</v>
      </c>
      <c r="F2" s="268"/>
      <c r="G2" s="267" t="str">
        <f>IF(G33=0,"",CONCATENATE(PREMIOS!$B15," ",PREMIOS!$B16))</f>
        <v>02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29150</v>
      </c>
      <c r="D10" s="30">
        <f>IF(Vendedor7!$E$8="",0,Vendedor7!$E$8)</f>
        <v>0</v>
      </c>
      <c r="E10" s="180">
        <f>IF(Vendedor7!$C$12="",0,Vendedor7!$C$12)</f>
        <v>21000</v>
      </c>
      <c r="F10" s="30">
        <f>IF(Vendedor7!$E$12="",0,Vendedor7!$E$12)</f>
        <v>0</v>
      </c>
      <c r="G10" s="180">
        <f>IF(Vendedor7!$C$16="",0,Vendedor7!$C$16)</f>
        <v>32100</v>
      </c>
      <c r="H10" s="30">
        <f>IF(Vendedor7!$E$16="",0,Vendedor7!$E$16)</f>
        <v>150</v>
      </c>
      <c r="J10" s="42">
        <f t="shared" si="1"/>
        <v>82250</v>
      </c>
      <c r="K10" s="41">
        <f>J10*Vendedor7!J$16</f>
        <v>8225</v>
      </c>
      <c r="L10" s="42">
        <f t="shared" si="2"/>
        <v>0</v>
      </c>
      <c r="M10" s="42">
        <f t="shared" si="3"/>
        <v>150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74025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6500</v>
      </c>
      <c r="D12" s="30">
        <f>IF(Vendedor9!$E$8="",0,Vendedor9!$E$8)</f>
        <v>0</v>
      </c>
      <c r="E12" s="180">
        <f>IF(Vendedor9!$C$12="",0,Vendedor9!$C$12)</f>
        <v>1200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7700</v>
      </c>
      <c r="K12" s="41">
        <f>J12*Vendedor9!J$13</f>
        <v>770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6930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1800</v>
      </c>
      <c r="D16" s="30">
        <f>IF(Vendedor13!$E$8="",0,Vendedor13!$E$8)</f>
        <v>0</v>
      </c>
      <c r="E16" s="180">
        <f>IF(Vendedor13!$C$12="",0,Vendedor13!$C$12)</f>
        <v>1800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3600</v>
      </c>
      <c r="K16" s="41">
        <f>J16*Vendedor13!J$13</f>
        <v>360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3240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29650</v>
      </c>
      <c r="D17" s="30">
        <f>IF(Vendedor14!$E$8="",0,Vendedor14!$E$8)</f>
        <v>0</v>
      </c>
      <c r="E17" s="180">
        <f>IF(Vendedor14!$C$12="",0,Vendedor14!$C$12)</f>
        <v>16850</v>
      </c>
      <c r="F17" s="30">
        <f>IF(Vendedor14!$E$12="",0,Vendedor14!$E$12)</f>
        <v>50</v>
      </c>
      <c r="G17" s="180">
        <f>IF(Vendedor14!$C$16="",0,Vendedor14!$C$16)</f>
        <v>29400</v>
      </c>
      <c r="H17" s="30">
        <f>IF(Vendedor14!$E$16="",0,Vendedor14!$E$16)</f>
        <v>300</v>
      </c>
      <c r="J17" s="42">
        <f t="shared" si="1"/>
        <v>75900</v>
      </c>
      <c r="K17" s="41">
        <f>J17*Vendedor14!J$17</f>
        <v>7590</v>
      </c>
      <c r="L17" s="42">
        <f t="shared" si="2"/>
        <v>0</v>
      </c>
      <c r="M17" s="42">
        <f t="shared" si="3"/>
        <v>350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68310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12800</v>
      </c>
      <c r="D18" s="30">
        <f>IF(Vendedor15!$E$8="",0,Vendedor15!$E$8)</f>
        <v>0</v>
      </c>
      <c r="E18" s="180">
        <f>IF(Vendedor15!$C$12="",0,Vendedor15!$C$12)</f>
        <v>9100</v>
      </c>
      <c r="F18" s="30">
        <f>IF(Vendedor15!$E$12="",0,Vendedor15!$E$12)</f>
        <v>250</v>
      </c>
      <c r="G18" s="180">
        <f>IF(Vendedor15!$C$16="",0,Vendedor15!$C$16)</f>
        <v>22350</v>
      </c>
      <c r="H18" s="30">
        <f>IF(Vendedor15!$E$16="",0,Vendedor15!$E$16)</f>
        <v>700</v>
      </c>
      <c r="J18" s="42">
        <f t="shared" ref="J18" si="5">+C18+E18+G18</f>
        <v>44250</v>
      </c>
      <c r="K18" s="41">
        <f>J18*Vendedor15!J$17</f>
        <v>4425</v>
      </c>
      <c r="L18" s="42">
        <f t="shared" si="2"/>
        <v>0</v>
      </c>
      <c r="M18" s="42">
        <f t="shared" si="3"/>
        <v>950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39825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79900</v>
      </c>
      <c r="D33" s="44">
        <f>IF(PREMIOS!E8&lt;&gt;0,SUM(D4:D32),0)</f>
        <v>0</v>
      </c>
      <c r="E33" s="43">
        <f>SUM(E4:E32)</f>
        <v>49950</v>
      </c>
      <c r="F33" s="44">
        <f>IF(PREMIOS!E12&lt;&gt;0,SUM(F4:F32),0)</f>
        <v>0</v>
      </c>
      <c r="G33" s="43">
        <f>SUM(G4:G32)</f>
        <v>83850</v>
      </c>
      <c r="H33" s="44">
        <f>IF(PREMIOS!E16&lt;&gt;0,SUM(H4:H32),0)</f>
        <v>0</v>
      </c>
      <c r="J33" s="45">
        <f>SUM(J4:J32)</f>
        <v>213700</v>
      </c>
      <c r="K33" s="45">
        <f>SUM(K7:K32)</f>
        <v>21370</v>
      </c>
      <c r="L33" s="95">
        <f>SUM(L7:L32)</f>
        <v>0</v>
      </c>
      <c r="M33" s="95">
        <f>SUM(M7:M32)</f>
        <v>1450</v>
      </c>
      <c r="N33" s="95">
        <f>SUM(N4:N27)</f>
        <v>0</v>
      </c>
      <c r="O33" s="95">
        <f>SUM(O4:O27)</f>
        <v>0</v>
      </c>
      <c r="Q33" s="79">
        <f>SUM(Q4:Q32)</f>
        <v>192330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213700</v>
      </c>
      <c r="E37" s="43">
        <f>+D37-J4-J5-J6</f>
        <v>213700</v>
      </c>
      <c r="F37" s="275"/>
      <c r="G37" s="275"/>
    </row>
    <row r="38" spans="3:17" ht="15" thickBot="1" x14ac:dyDescent="0.4">
      <c r="C38" s="47" t="s">
        <v>33</v>
      </c>
      <c r="D38" s="30">
        <f>D37*10%</f>
        <v>21370</v>
      </c>
      <c r="E38" s="43">
        <f>+D38-K4-K5-K6</f>
        <v>21370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192330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192330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96</v>
      </c>
      <c r="D2" s="268"/>
      <c r="E2" s="267" t="str">
        <f>DigitaPRIMERA!E2</f>
        <v>09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16650</v>
      </c>
      <c r="D4" s="78">
        <f>IF(Vendedor1!$E$19="",0,Vendedor1!$E$19)</f>
        <v>0</v>
      </c>
      <c r="E4" s="189">
        <f>IF(Vendedor1!$C$20="",0,Vendedor1!$C$20)</f>
        <v>100</v>
      </c>
      <c r="F4" s="78">
        <f>IF(Vendedor1!$E$20="",0,Vendedor1!$E$20)</f>
        <v>0</v>
      </c>
      <c r="H4" s="42">
        <f>+C4+E4</f>
        <v>16750</v>
      </c>
      <c r="I4" s="41">
        <f>MROUND(H4*Vendedor1!J$9,50)</f>
        <v>2200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14550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2700</v>
      </c>
      <c r="D5" s="30">
        <f>IF(Vendedor2!$E$19="",0,Vendedor2!$E$19)</f>
        <v>0</v>
      </c>
      <c r="E5" s="180">
        <f>IF(Vendedor2!$C$20="",0,Vendedor2!$C$20)</f>
        <v>1000</v>
      </c>
      <c r="F5" s="30">
        <f>IF(Vendedor2!$E$20="",0,Vendedor2!$E$20)</f>
        <v>0</v>
      </c>
      <c r="H5" s="42">
        <f t="shared" ref="H5:H31" si="1">+C5+E5</f>
        <v>3700</v>
      </c>
      <c r="I5" s="41">
        <f>MROUND(H5*Vendedor2!J$9,50)</f>
        <v>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49250</v>
      </c>
      <c r="D8" s="30">
        <f>IF(Vendedor5!$E$19="",0,Vendedor5!$E$19)</f>
        <v>0</v>
      </c>
      <c r="E8" s="180">
        <f>IF(Vendedor5!$C$20="",0,Vendedor5!$C$20)</f>
        <v>15200</v>
      </c>
      <c r="F8" s="30">
        <f>IF(Vendedor5!$E$20="",0,Vendedor5!$E$20)</f>
        <v>100</v>
      </c>
      <c r="H8" s="133">
        <f t="shared" si="1"/>
        <v>64450</v>
      </c>
      <c r="I8" s="148">
        <f>MROUND(H8*Vendedor5!J$11,50)</f>
        <v>7750</v>
      </c>
      <c r="J8" s="133">
        <f t="shared" si="2"/>
        <v>100</v>
      </c>
      <c r="K8" s="133">
        <f t="shared" si="3"/>
        <v>8500</v>
      </c>
      <c r="L8" s="133">
        <f>Vendedor5!$F$19+Vendedor5!$F$20</f>
        <v>8000</v>
      </c>
      <c r="M8" s="155"/>
      <c r="N8" s="133">
        <f t="shared" si="0"/>
        <v>48700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36500</v>
      </c>
      <c r="D10" s="30">
        <f>IF(Vendedor7!$E$19="",0,Vendedor7!$E$19)</f>
        <v>150</v>
      </c>
      <c r="E10" s="180">
        <f>IF(Vendedor7!$C$20="",0,Vendedor7!$C$20)</f>
        <v>27150</v>
      </c>
      <c r="F10" s="30">
        <f>IF(Vendedor7!$E$20="",0,Vendedor7!$E$20)</f>
        <v>1200</v>
      </c>
      <c r="H10" s="42">
        <f t="shared" si="1"/>
        <v>63650</v>
      </c>
      <c r="I10" s="41">
        <f>MROUND(H10*Vendedor7!J$14,50)</f>
        <v>7650</v>
      </c>
      <c r="J10" s="42">
        <f t="shared" si="2"/>
        <v>1350</v>
      </c>
      <c r="K10" s="42">
        <f t="shared" si="3"/>
        <v>114750</v>
      </c>
      <c r="L10" s="42">
        <f>Vendedor7!$F$19+Vendedor7!$F$20</f>
        <v>114750</v>
      </c>
      <c r="N10" s="42">
        <f t="shared" si="0"/>
        <v>-58750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45350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45350</v>
      </c>
      <c r="I12" s="148">
        <f>MROUND(H12*Vendedor9!J$11,50)</f>
        <v>5450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18650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11100</v>
      </c>
      <c r="D16" s="30">
        <f>IF(Vendedor13!$E$19="",0,Vendedor13!$E$19)</f>
        <v>200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11100</v>
      </c>
      <c r="I16" s="148">
        <f>MROUND(H16*Vendedor13!J$11,50)</f>
        <v>1350</v>
      </c>
      <c r="J16" s="133">
        <f t="shared" si="2"/>
        <v>200</v>
      </c>
      <c r="K16" s="133">
        <f t="shared" si="3"/>
        <v>17000</v>
      </c>
      <c r="L16" s="42">
        <f>Vendedor13!$F$19+Vendedor13!$F$20</f>
        <v>16000</v>
      </c>
      <c r="M16" s="155"/>
      <c r="N16" s="133">
        <f t="shared" si="0"/>
        <v>-6250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88450</v>
      </c>
      <c r="D17" s="30">
        <f>IF(Vendedor14!$E$19="",0,Vendedor14!$E$19)</f>
        <v>100</v>
      </c>
      <c r="E17" s="180">
        <f>IF(Vendedor14!$C$20="",0,Vendedor14!$C$20)</f>
        <v>36400</v>
      </c>
      <c r="F17" s="30">
        <f>IF(Vendedor14!$E$20="",0,Vendedor14!$E$20)</f>
        <v>0</v>
      </c>
      <c r="H17" s="42">
        <f t="shared" si="1"/>
        <v>124850</v>
      </c>
      <c r="I17" s="41">
        <f>MROUND(H17*Vendedor14!J$15,50)</f>
        <v>15000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101350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53350</v>
      </c>
      <c r="D18" s="30">
        <f>IF(Vendedor15!$E$19="",0,Vendedor15!$E$19)</f>
        <v>150</v>
      </c>
      <c r="E18" s="180">
        <f>IF(Vendedor15!$C$20="",0,Vendedor15!$C$20)</f>
        <v>30200</v>
      </c>
      <c r="F18" s="30">
        <f>IF(Vendedor15!$E$20="",0,Vendedor15!$E$20)</f>
        <v>600</v>
      </c>
      <c r="H18" s="42">
        <f t="shared" si="1"/>
        <v>83550</v>
      </c>
      <c r="I18" s="41">
        <f>MROUND(H18*Vendedor15!J$15,50)</f>
        <v>10050</v>
      </c>
      <c r="J18" s="42">
        <f t="shared" si="2"/>
        <v>750</v>
      </c>
      <c r="K18" s="42">
        <f t="shared" si="3"/>
        <v>63750</v>
      </c>
      <c r="L18" s="42">
        <f>Vendedor15!$F$19+Vendedor15!$F$20</f>
        <v>63750</v>
      </c>
      <c r="N18" s="42">
        <f t="shared" si="0"/>
        <v>9750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303350</v>
      </c>
      <c r="D32" s="44">
        <f>SUM(D4:D31)</f>
        <v>850</v>
      </c>
      <c r="E32" s="43">
        <f>SUM(E4:E31)</f>
        <v>110050</v>
      </c>
      <c r="F32" s="44">
        <f>SUM(F4:F31)</f>
        <v>1900</v>
      </c>
      <c r="H32" s="95">
        <f>SUM(H4:H31)</f>
        <v>413400</v>
      </c>
      <c r="I32" s="45">
        <f>SUM(I7:I31)</f>
        <v>47250</v>
      </c>
      <c r="J32" s="95"/>
      <c r="K32" s="95">
        <f>SUM(K4:K31)</f>
        <v>233750</v>
      </c>
      <c r="L32" s="95">
        <f>SUM(L4:L31)</f>
        <v>232250</v>
      </c>
      <c r="N32" s="79">
        <f>SUM(N4:N31)</f>
        <v>131200</v>
      </c>
    </row>
    <row r="33" spans="3:6" x14ac:dyDescent="0.35">
      <c r="D33" s="99">
        <f>+D32*85</f>
        <v>72250</v>
      </c>
      <c r="F33" s="99">
        <f>+F32*85</f>
        <v>161500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413400</v>
      </c>
      <c r="E36" s="43">
        <f>+D36-H4-H5-H6</f>
        <v>392950</v>
      </c>
    </row>
    <row r="37" spans="3:6" x14ac:dyDescent="0.35">
      <c r="C37" s="47" t="s">
        <v>33</v>
      </c>
      <c r="D37" s="48">
        <f>D36*13%</f>
        <v>53742</v>
      </c>
      <c r="E37">
        <f>+D37-I4-I5-I6</f>
        <v>51042</v>
      </c>
    </row>
    <row r="38" spans="3:6" ht="15" thickBot="1" x14ac:dyDescent="0.4">
      <c r="C38" s="47" t="s">
        <v>30</v>
      </c>
      <c r="D38" s="30">
        <f>SUM(K4:K27)</f>
        <v>233750</v>
      </c>
    </row>
    <row r="39" spans="3:6" ht="15" thickBot="1" x14ac:dyDescent="0.4">
      <c r="C39" s="49" t="s">
        <v>4</v>
      </c>
      <c r="D39" s="80">
        <f>+D36-D37-D38</f>
        <v>125908</v>
      </c>
      <c r="F39" s="98">
        <f>+N32-D39</f>
        <v>5292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125908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86</v>
      </c>
      <c r="D2" s="268"/>
      <c r="E2" s="267">
        <f>DigitaHONDURAS!E2</f>
        <v>15</v>
      </c>
      <c r="F2" s="268"/>
      <c r="G2" s="267">
        <f>DigitaHONDURAS!G2</f>
        <v>72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8600</v>
      </c>
      <c r="D10" s="30">
        <f>IF(Vendedor7!$E$21="",0,Vendedor7!$E$21)</f>
        <v>0</v>
      </c>
      <c r="E10" s="180">
        <f>IF(Vendedor7!$C$22="",0,Vendedor7!$C$22)</f>
        <v>12400</v>
      </c>
      <c r="F10" s="30">
        <f>IF(Vendedor7!$E$22="",0,Vendedor7!$E$22)</f>
        <v>0</v>
      </c>
      <c r="G10" s="180">
        <f>IF(Vendedor7!$C$23="",0,Vendedor7!$C$23)</f>
        <v>1700</v>
      </c>
      <c r="H10" s="30">
        <f>IF(Vendedor7!$E$23="",0,Vendedor7!$E$23)</f>
        <v>0</v>
      </c>
      <c r="J10" s="42">
        <f t="shared" si="0"/>
        <v>22700</v>
      </c>
      <c r="K10" s="41">
        <f>MROUND(J10*Vendedor7!J$14,50)</f>
        <v>2700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20000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44400</v>
      </c>
      <c r="D17" s="30">
        <f>IF(Vendedor14!$E$21="",0,Vendedor14!$E$21)</f>
        <v>0</v>
      </c>
      <c r="E17" s="180">
        <f>IF(Vendedor14!$C$22="",0,Vendedor14!$C$22)</f>
        <v>17500</v>
      </c>
      <c r="F17" s="30">
        <f>IF(Vendedor14!$E$22="",0,Vendedor14!$E$22)</f>
        <v>0</v>
      </c>
      <c r="G17" s="180">
        <f>IF(Vendedor14!$C$23="",0,Vendedor14!$C$23)</f>
        <v>26150</v>
      </c>
      <c r="H17" s="30">
        <f>IF(Vendedor14!$E$23="",0,Vendedor14!$E$23)</f>
        <v>250</v>
      </c>
      <c r="J17" s="42">
        <f t="shared" si="0"/>
        <v>88050</v>
      </c>
      <c r="K17" s="41">
        <f>MROUND(J17*Vendedor14!J$15,50)</f>
        <v>10550</v>
      </c>
      <c r="L17" s="42">
        <f t="shared" si="1"/>
        <v>250</v>
      </c>
      <c r="M17" s="42">
        <f t="shared" si="3"/>
        <v>21250</v>
      </c>
      <c r="N17" s="42">
        <f>Vendedor14!$F$21+Vendedor14!$F$22+Vendedor14!$F$23</f>
        <v>21250</v>
      </c>
      <c r="P17" s="42">
        <f t="shared" si="2"/>
        <v>56250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30250</v>
      </c>
      <c r="D18" s="30">
        <f>IF(Vendedor15!$E$21="",0,Vendedor15!$E$21)</f>
        <v>0</v>
      </c>
      <c r="E18" s="180">
        <f>IF(Vendedor15!$C$22="",0,Vendedor15!$C$22)</f>
        <v>12000</v>
      </c>
      <c r="F18" s="30">
        <f>IF(Vendedor15!$E$22="",0,Vendedor15!$E$22)</f>
        <v>0</v>
      </c>
      <c r="G18" s="180">
        <f>IF(Vendedor15!$C$23="",0,Vendedor15!$C$23)</f>
        <v>9800</v>
      </c>
      <c r="H18" s="30">
        <f>IF(Vendedor15!$E$23="",0,Vendedor15!$E$23)</f>
        <v>0</v>
      </c>
      <c r="J18" s="42">
        <f t="shared" si="0"/>
        <v>52050</v>
      </c>
      <c r="K18" s="41">
        <f>MROUND(J18*Vendedor15!J$15,50)</f>
        <v>6250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45800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83250</v>
      </c>
      <c r="D32" s="44">
        <f t="shared" si="8"/>
        <v>0</v>
      </c>
      <c r="E32" s="43">
        <f t="shared" si="8"/>
        <v>41900</v>
      </c>
      <c r="F32" s="44">
        <f t="shared" si="8"/>
        <v>0</v>
      </c>
      <c r="G32" s="43">
        <f t="shared" si="8"/>
        <v>37650</v>
      </c>
      <c r="H32" s="44">
        <f t="shared" si="8"/>
        <v>250</v>
      </c>
      <c r="J32" s="95">
        <f>SUM(J4:J31)</f>
        <v>162800</v>
      </c>
      <c r="K32" s="45">
        <f>SUM(K7:K31)</f>
        <v>19500</v>
      </c>
      <c r="L32" s="95"/>
      <c r="M32" s="95">
        <f>SUM(M4:M31)</f>
        <v>21250</v>
      </c>
      <c r="N32" s="95">
        <f>SUM(N4:N31)</f>
        <v>21250</v>
      </c>
      <c r="P32" s="79">
        <f>SUM(P4:P31)</f>
        <v>122050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21250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162800</v>
      </c>
      <c r="E36" s="43">
        <f>+D36-J4-J5-J6</f>
        <v>162800</v>
      </c>
    </row>
    <row r="37" spans="3:8" x14ac:dyDescent="0.35">
      <c r="C37" s="47" t="s">
        <v>33</v>
      </c>
      <c r="D37" s="48">
        <f>D36*13%</f>
        <v>21164</v>
      </c>
      <c r="E37">
        <f>+D37-K4-K5-K6</f>
        <v>21164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120386</v>
      </c>
      <c r="F39" s="98">
        <f>+P32-D39</f>
        <v>1664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120386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68</v>
      </c>
      <c r="D2" s="268"/>
      <c r="E2" s="267">
        <f>DigitaDOMINICANA!E2</f>
        <v>42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50800</v>
      </c>
      <c r="D10" s="30">
        <f>IF(Vendedor7!$E$24="",0,Vendedor7!$E$24)</f>
        <v>0</v>
      </c>
      <c r="E10" s="180">
        <f>IF(Vendedor7!$C$25="",0,Vendedor7!$C$25)</f>
        <v>48500</v>
      </c>
      <c r="F10" s="30">
        <f>IF(Vendedor7!$E$25="",0,Vendedor7!$E$25)</f>
        <v>1250</v>
      </c>
      <c r="H10" s="42">
        <f t="shared" si="1"/>
        <v>99300</v>
      </c>
      <c r="I10" s="41">
        <f>MROUND(H10*Vendedor7!J$14,50)</f>
        <v>11900</v>
      </c>
      <c r="J10" s="42">
        <f t="shared" si="2"/>
        <v>1250</v>
      </c>
      <c r="K10" s="42">
        <f t="shared" si="3"/>
        <v>106250</v>
      </c>
      <c r="L10" s="42">
        <f>Vendedor7!$F$24+Vendedor7!$F$25</f>
        <v>106250</v>
      </c>
      <c r="N10" s="42">
        <f t="shared" si="0"/>
        <v>-18850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50800</v>
      </c>
      <c r="D32" s="44">
        <f>SUM(D4:D31)</f>
        <v>0</v>
      </c>
      <c r="E32" s="43">
        <f>SUM(E4:E31)</f>
        <v>48500</v>
      </c>
      <c r="F32" s="44">
        <f>SUM(F4:F31)</f>
        <v>1250</v>
      </c>
      <c r="H32" s="95">
        <f>SUM(H4:H31)</f>
        <v>99300</v>
      </c>
      <c r="I32" s="45">
        <f>SUM(I7:I31)</f>
        <v>11900</v>
      </c>
      <c r="J32" s="95"/>
      <c r="K32" s="95">
        <f>SUM(K4:K31)</f>
        <v>106250</v>
      </c>
      <c r="L32" s="95">
        <f>SUM(L4:L31)</f>
        <v>106250</v>
      </c>
      <c r="N32" s="79">
        <f>SUM(N4:N31)</f>
        <v>-18850</v>
      </c>
    </row>
    <row r="33" spans="3:6" x14ac:dyDescent="0.35">
      <c r="D33" s="99">
        <f>+D32*85</f>
        <v>0</v>
      </c>
      <c r="F33" s="99">
        <f>+F32*85</f>
        <v>106250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99300</v>
      </c>
      <c r="E36" s="43">
        <f>+D36-H4-H5-H6</f>
        <v>99300</v>
      </c>
    </row>
    <row r="37" spans="3:6" x14ac:dyDescent="0.35">
      <c r="C37" s="47" t="s">
        <v>33</v>
      </c>
      <c r="D37" s="48">
        <f>D36*13%</f>
        <v>12909</v>
      </c>
      <c r="E37">
        <f>+D37-I4-I5-I6</f>
        <v>12909</v>
      </c>
    </row>
    <row r="38" spans="3:6" ht="15" thickBot="1" x14ac:dyDescent="0.4">
      <c r="C38" s="47" t="s">
        <v>30</v>
      </c>
      <c r="D38" s="30">
        <f>SUM(K4:K27)</f>
        <v>106250</v>
      </c>
    </row>
    <row r="39" spans="3:6" ht="15" thickBot="1" x14ac:dyDescent="0.4">
      <c r="C39" s="49" t="s">
        <v>4</v>
      </c>
      <c r="D39" s="80">
        <f>+D36-D37-D38</f>
        <v>-19859</v>
      </c>
      <c r="F39" s="98">
        <f>+N32-D39</f>
        <v>1009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-19859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1242900</v>
      </c>
      <c r="C4" s="157">
        <f>HojaNICA!M32</f>
        <v>149150</v>
      </c>
      <c r="D4" s="150">
        <f>HojaNICA!E37</f>
        <v>161559</v>
      </c>
      <c r="E4" s="150">
        <f>HojaNICA!P32</f>
        <v>712250</v>
      </c>
      <c r="F4" s="150">
        <f>HojaNICA!O32</f>
        <v>731000</v>
      </c>
      <c r="G4" s="151">
        <f t="shared" ref="G4:G10" si="0">+D4-C4+F4-E4</f>
        <v>31159</v>
      </c>
      <c r="H4" s="21"/>
      <c r="I4" s="182"/>
    </row>
    <row r="5" spans="1:9" x14ac:dyDescent="0.35">
      <c r="A5" s="28" t="s">
        <v>19</v>
      </c>
      <c r="B5" s="156">
        <f>HojaTICA!$E$36</f>
        <v>1662700</v>
      </c>
      <c r="C5" s="157">
        <f>HojaTICA!K32</f>
        <v>201800</v>
      </c>
      <c r="D5" s="150">
        <f>HojaTICA!E37</f>
        <v>216167</v>
      </c>
      <c r="E5" s="150">
        <f>HojaTICA!N32</f>
        <v>2001750</v>
      </c>
      <c r="F5" s="150">
        <f>HojaTICA!D38</f>
        <v>2001750</v>
      </c>
      <c r="G5" s="151">
        <f t="shared" si="0"/>
        <v>14367</v>
      </c>
      <c r="H5" s="21"/>
      <c r="I5" s="182"/>
    </row>
    <row r="6" spans="1:9" x14ac:dyDescent="0.35">
      <c r="A6" s="28" t="s">
        <v>125</v>
      </c>
      <c r="B6" s="156">
        <f>HojaREVENTADO!$E$37</f>
        <v>213700</v>
      </c>
      <c r="C6" s="157">
        <f>HojaREVENTADO!K33</f>
        <v>21370</v>
      </c>
      <c r="D6" s="150">
        <f>HojaREVENTADO!E38</f>
        <v>21370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392950</v>
      </c>
      <c r="C7" s="157">
        <f>HojaPrimera!I32</f>
        <v>47250</v>
      </c>
      <c r="D7" s="150">
        <f>HojaPrimera!E37</f>
        <v>51042</v>
      </c>
      <c r="E7" s="150">
        <f>HojaPrimera!L32</f>
        <v>232250</v>
      </c>
      <c r="F7" s="150">
        <f>HojaPrimera!K32</f>
        <v>233750</v>
      </c>
      <c r="G7" s="151">
        <f t="shared" si="0"/>
        <v>5292</v>
      </c>
      <c r="H7" s="21"/>
      <c r="I7" s="21"/>
    </row>
    <row r="8" spans="1:9" x14ac:dyDescent="0.35">
      <c r="A8" s="28" t="s">
        <v>104</v>
      </c>
      <c r="B8" s="156">
        <f>HojaHonduras!$E$36</f>
        <v>162800</v>
      </c>
      <c r="C8" s="157">
        <f>HojaHonduras!K32</f>
        <v>19500</v>
      </c>
      <c r="D8" s="150">
        <f>HojaHonduras!E37</f>
        <v>21164</v>
      </c>
      <c r="E8" s="150">
        <f>HojaHonduras!N32</f>
        <v>21250</v>
      </c>
      <c r="F8" s="150">
        <f>HojaHonduras!M32</f>
        <v>21250</v>
      </c>
      <c r="G8" s="151">
        <f t="shared" si="0"/>
        <v>1664</v>
      </c>
      <c r="H8" s="21"/>
      <c r="I8" s="21"/>
    </row>
    <row r="9" spans="1:9" x14ac:dyDescent="0.35">
      <c r="A9" s="28" t="s">
        <v>20</v>
      </c>
      <c r="B9" s="156">
        <f>HojaDominicana!$E$36</f>
        <v>99300</v>
      </c>
      <c r="C9" s="157">
        <f>HojaDominicana!I32</f>
        <v>11900</v>
      </c>
      <c r="D9" s="150">
        <f>HojaDominicana!E37</f>
        <v>12909</v>
      </c>
      <c r="E9" s="150">
        <f>HojaDominicana!L32</f>
        <v>106250</v>
      </c>
      <c r="F9" s="150">
        <f>HojaDominicana!K32</f>
        <v>106250</v>
      </c>
      <c r="G9" s="151">
        <f t="shared" si="0"/>
        <v>1009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3774350</v>
      </c>
      <c r="C11" s="175">
        <f>SUM(C4:C10)</f>
        <v>450970</v>
      </c>
      <c r="D11" s="175">
        <f t="shared" ref="D11:F11" si="1">SUM(D4:D10)</f>
        <v>484211</v>
      </c>
      <c r="E11" s="175">
        <f t="shared" si="1"/>
        <v>3073750</v>
      </c>
      <c r="F11" s="175">
        <f t="shared" si="1"/>
        <v>3094000</v>
      </c>
      <c r="G11" s="176">
        <f>SUM(G4:G10)</f>
        <v>53491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18491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271650</v>
      </c>
      <c r="E16" s="157">
        <f>+Vendedor1!D21</f>
        <v>35314.5</v>
      </c>
      <c r="F16" s="158">
        <f>IF(D16&lt;&gt;0,15000,0)</f>
        <v>15000</v>
      </c>
      <c r="G16" s="151">
        <f>+E16-F16</f>
        <v>20314.5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228400</v>
      </c>
      <c r="E17" s="157">
        <f>+Vendedor2!D21</f>
        <v>29692</v>
      </c>
      <c r="F17" s="158">
        <f>IF(D17&lt;&gt;0,15000,0)</f>
        <v>15000</v>
      </c>
      <c r="G17" s="151">
        <f>+E17-F17</f>
        <v>14692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500050</v>
      </c>
      <c r="E19" s="159">
        <f>SUM(E16:E18)</f>
        <v>65006.5</v>
      </c>
      <c r="F19" s="160">
        <f>SUM(F16:F18)</f>
        <v>30000</v>
      </c>
      <c r="G19" s="161">
        <f>SUM(G16:G18)</f>
        <v>35006.5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53497.5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1349300</v>
      </c>
      <c r="C5" s="150">
        <f>HojaNICA!D37</f>
        <v>175409</v>
      </c>
      <c r="D5" s="150">
        <f>HojaNICA!D38</f>
        <v>731000</v>
      </c>
      <c r="E5" s="150"/>
      <c r="F5" s="151">
        <f>+B5-C5-D5+E5</f>
        <v>442891</v>
      </c>
      <c r="H5" s="249" t="s">
        <v>105</v>
      </c>
      <c r="I5" s="243">
        <f ca="1">TODAY()-1</f>
        <v>46147</v>
      </c>
      <c r="O5" s="119"/>
    </row>
    <row r="6" spans="1:15" ht="15" thickBot="1" x14ac:dyDescent="0.4">
      <c r="A6" s="47" t="s">
        <v>36</v>
      </c>
      <c r="B6" s="150">
        <f>HojaTICA!D36</f>
        <v>2035900</v>
      </c>
      <c r="C6" s="150">
        <f>HojaTICA!D37</f>
        <v>264667</v>
      </c>
      <c r="D6" s="150">
        <f>HojaTICA!D38</f>
        <v>2001750</v>
      </c>
      <c r="E6" s="150"/>
      <c r="F6" s="151">
        <f t="shared" ref="F6:F11" si="0">+B6-C6-D6+E6</f>
        <v>-230517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213700</v>
      </c>
      <c r="C7" s="150">
        <f>HojaREVENTADO!D38</f>
        <v>21370</v>
      </c>
      <c r="D7" s="150">
        <f>HojaREVENTADO!D39</f>
        <v>0</v>
      </c>
      <c r="E7" s="150"/>
      <c r="F7" s="151">
        <f t="shared" si="0"/>
        <v>192330</v>
      </c>
    </row>
    <row r="8" spans="1:15" x14ac:dyDescent="0.35">
      <c r="A8" s="47" t="s">
        <v>96</v>
      </c>
      <c r="B8" s="150">
        <f>HojaPrimera!$D36</f>
        <v>413400</v>
      </c>
      <c r="C8" s="150">
        <f>HojaPrimera!$D37</f>
        <v>53742</v>
      </c>
      <c r="D8" s="150">
        <f>HojaPrimera!$D38</f>
        <v>233750</v>
      </c>
      <c r="E8" s="150"/>
      <c r="F8" s="151">
        <f t="shared" si="0"/>
        <v>125908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162800</v>
      </c>
      <c r="C9" s="150">
        <f>HojaHonduras!$D37</f>
        <v>21164</v>
      </c>
      <c r="D9" s="150">
        <f>HojaHonduras!$D38</f>
        <v>21250</v>
      </c>
      <c r="E9" s="150"/>
      <c r="F9" s="151">
        <f t="shared" si="0"/>
        <v>120386</v>
      </c>
      <c r="H9" s="250">
        <f>+K12-K10-H6</f>
        <v>631139</v>
      </c>
    </row>
    <row r="10" spans="1:15" ht="15" thickBot="1" x14ac:dyDescent="0.4">
      <c r="A10" s="47" t="s">
        <v>20</v>
      </c>
      <c r="B10" s="150">
        <f>HojaDominicana!$D36</f>
        <v>99300</v>
      </c>
      <c r="C10" s="150">
        <f>HojaDominicana!$D37</f>
        <v>12909</v>
      </c>
      <c r="D10" s="150">
        <f>HojaDominicana!$D38</f>
        <v>106250</v>
      </c>
      <c r="E10" s="150"/>
      <c r="F10" s="151">
        <f t="shared" si="0"/>
        <v>-19859</v>
      </c>
      <c r="H10" s="154"/>
      <c r="J10" t="s">
        <v>148</v>
      </c>
      <c r="K10" s="252">
        <v>4288155.95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4919294.95</v>
      </c>
    </row>
    <row r="12" spans="1:15" ht="16" thickBot="1" x14ac:dyDescent="0.4">
      <c r="A12" s="144" t="s">
        <v>5</v>
      </c>
      <c r="B12" s="152">
        <f>SUM(B5:B11)</f>
        <v>4274400</v>
      </c>
      <c r="C12" s="152">
        <f>SUM(C5:C11)</f>
        <v>549261</v>
      </c>
      <c r="D12" s="152">
        <f>SUM(D5:D11)</f>
        <v>3094000</v>
      </c>
      <c r="E12" s="152"/>
      <c r="F12" s="255">
        <f>SUM(F5:F11)</f>
        <v>631139</v>
      </c>
      <c r="H12" s="251">
        <f>K12</f>
        <v>4919294.95</v>
      </c>
      <c r="J12" t="s">
        <v>140</v>
      </c>
      <c r="K12" s="254">
        <f>-2861251.37+4396806.74+2032398.6+1351340.98</f>
        <v>4919294.95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174300</v>
      </c>
      <c r="K4" s="231">
        <f t="shared" ref="K4" si="0">D7+D11+D15</f>
        <v>22659</v>
      </c>
      <c r="L4" s="220">
        <f>F7+F11+F15</f>
        <v>8500</v>
      </c>
    </row>
    <row r="5" spans="1:12" x14ac:dyDescent="0.35">
      <c r="A5" s="28" t="s">
        <v>43</v>
      </c>
      <c r="B5" s="132">
        <f>IF(DigitaNICA!C2&lt;&gt;"",DigitaNICA!C2,"")</f>
        <v>81</v>
      </c>
      <c r="C5" s="29">
        <f>IF(DigitaNICA!C4&lt;&gt;"",DigitaNICA!C4,"")</f>
        <v>51400</v>
      </c>
      <c r="D5" s="42">
        <f>IF(C5="",0,C5*J$10)</f>
        <v>6682</v>
      </c>
      <c r="E5" s="29">
        <f>IF(DigitaNICA!D4&lt;&gt;"",DigitaNICA!D4,"")</f>
        <v>300</v>
      </c>
      <c r="F5" s="42">
        <f>IF(E5="",0,E5*PREMIOS!E5)</f>
        <v>24000</v>
      </c>
      <c r="G5" s="30">
        <f t="shared" ref="G5:G12" si="1">IF(OR(C5="",E5=""),0,C5-D5-F5)</f>
        <v>20718</v>
      </c>
      <c r="I5" s="241" t="s">
        <v>37</v>
      </c>
      <c r="J5" s="221">
        <f>SUM(IF(C5="",0,C5),IF(C9="",0,C9),IF(C13="",0,C13),IF(C17="",0,C17))</f>
        <v>80600</v>
      </c>
      <c r="K5" s="225">
        <f t="shared" ref="K5" si="2">D5+D9+D13+D17</f>
        <v>10478</v>
      </c>
      <c r="L5" s="222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16750</v>
      </c>
      <c r="K6" s="228">
        <f>D19+D20</f>
        <v>2177.5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IF(DigitaTICA!C4&lt;&gt;"",DigitaTICA!C4,"")</f>
        <v>47400</v>
      </c>
      <c r="D7" s="42">
        <f>IF(C7="",0,C7*J$9)</f>
        <v>6162</v>
      </c>
      <c r="E7" s="29">
        <f>IF(DigitaTICA!D4&lt;&gt;"",DigitaTICA!D4,"")</f>
        <v>100</v>
      </c>
      <c r="F7" s="42">
        <f>IF(E7="",0,E7*PREMIOS!F7)</f>
        <v>8500</v>
      </c>
      <c r="G7" s="30">
        <f t="shared" si="1"/>
        <v>32738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45</v>
      </c>
      <c r="C9" s="29">
        <f>IF(DigitaNICA!E4&lt;&gt;"",DigitaNICA!E4,"")</f>
        <v>21250</v>
      </c>
      <c r="D9" s="42">
        <f>IF(C9="",0,C9*J$10)</f>
        <v>2762.5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18487.5</v>
      </c>
      <c r="I9" s="76" t="s">
        <v>36</v>
      </c>
      <c r="J9" s="77">
        <v>0.13</v>
      </c>
      <c r="K9" s="78">
        <f>MROUND(D7+D11+D15,50)</f>
        <v>22650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10500</v>
      </c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IF(DigitaTICA!E4&lt;&gt;"",DigitaTICA!E4,"")</f>
        <v>22350</v>
      </c>
      <c r="D11" s="42">
        <f>IF(C11="",0,C11*J$9)</f>
        <v>2905.5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19444.5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2200</v>
      </c>
    </row>
    <row r="13" spans="1:12" x14ac:dyDescent="0.35">
      <c r="A13" s="28" t="s">
        <v>50</v>
      </c>
      <c r="B13" s="132">
        <f>IF(DigitaNICA!G2&lt;&gt;"",DigitaNICA!G2,"")</f>
        <v>42</v>
      </c>
      <c r="C13" s="29">
        <f>IF(DigitaNICA!G4&lt;&gt;"",DigitaNICA!G4,"")</f>
        <v>4700</v>
      </c>
      <c r="D13" s="42">
        <f>IF(C13="",0,C13*J$10)</f>
        <v>611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4089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IF(DigitaTICA!G4&lt;&gt;"",DigitaTICA!G4,"")</f>
        <v>104550</v>
      </c>
      <c r="D15" s="42">
        <f>IF(C15="",0,C15*J$9)</f>
        <v>13591.5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90958.5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>
        <f>IF(DigitaNICA!I4&lt;&gt;"",DigitaNICA!I4,"")</f>
        <v>3250</v>
      </c>
      <c r="D17" s="42">
        <f>IF(C17="",0,C17*J$10)</f>
        <v>422.5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2827.5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96</v>
      </c>
      <c r="C19" s="29">
        <f>IF(DigitaPRIMERA!C4&lt;&gt;"",DigitaPRIMERA!C4,"")</f>
        <v>16650</v>
      </c>
      <c r="D19" s="42">
        <f>IF(C19="",0,C19*J$12)</f>
        <v>2164.5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14485.5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>
        <f>IF(DigitaPRIMERA!E4&lt;&gt;"",DigitaPRIMERA!E4,"")</f>
        <v>100</v>
      </c>
      <c r="D20" s="42">
        <f>IF(C20="",0,C20*J$12)</f>
        <v>13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</v>
      </c>
    </row>
    <row r="21" spans="1:7" ht="15" thickBot="1" x14ac:dyDescent="0.4">
      <c r="A21" s="121" t="s">
        <v>5</v>
      </c>
      <c r="B21" s="128"/>
      <c r="C21" s="122">
        <f>SUM(C5:C20)</f>
        <v>271650</v>
      </c>
      <c r="D21" s="122">
        <f t="shared" ref="D21:G21" si="6">SUM(D5:D20)</f>
        <v>35314.5</v>
      </c>
      <c r="E21" s="122">
        <f t="shared" si="6"/>
        <v>400</v>
      </c>
      <c r="F21" s="122">
        <f t="shared" si="6"/>
        <v>32500</v>
      </c>
      <c r="G21" s="123">
        <f t="shared" si="6"/>
        <v>203835.5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198900</v>
      </c>
      <c r="K4" s="231">
        <f t="shared" ref="K4" si="0">D7+D11+D15</f>
        <v>25857</v>
      </c>
      <c r="L4" s="220">
        <f>F7+F11+F15</f>
        <v>55250</v>
      </c>
    </row>
    <row r="5" spans="1:12" x14ac:dyDescent="0.35">
      <c r="A5" s="28" t="s">
        <v>43</v>
      </c>
      <c r="B5" s="132">
        <f>IF(DigitaNICA!C2&lt;&gt;"",DigitaNICA!C2,"")</f>
        <v>81</v>
      </c>
      <c r="C5" s="29">
        <f>IF(DigitaNICA!C5&lt;&gt;"",DigitaNICA!C5,"")</f>
        <v>18600</v>
      </c>
      <c r="D5" s="42">
        <f>IF(C5="",0,C5*J$10)</f>
        <v>2418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182</v>
      </c>
      <c r="I5" s="241" t="s">
        <v>37</v>
      </c>
      <c r="J5" s="221">
        <f>SUM(IF(C5="",0,C5),IF(C9="",0,C9),IF(C13="",0,C13),IF(C17="",0,C17))</f>
        <v>25800</v>
      </c>
      <c r="K5" s="225">
        <f t="shared" ref="K5" si="2">D5+D9+D13+D17</f>
        <v>3354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3700</v>
      </c>
      <c r="K6" s="228">
        <f>D19+D20</f>
        <v>481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IF(DigitaTICA!C5&lt;&gt;"",DigitaTICA!C5,"")</f>
        <v>65950</v>
      </c>
      <c r="D7" s="42">
        <f>IF(C7="",0,C7*J$9)</f>
        <v>8573.5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57376.5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45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25850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3350</v>
      </c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IF(DigitaTICA!E5&lt;&gt;"",DigitaTICA!E5,"")</f>
        <v>39100</v>
      </c>
      <c r="D11" s="42">
        <f>IF(C11="",0,C11*J$9)</f>
        <v>5083</v>
      </c>
      <c r="E11" s="29">
        <f>IF(DigitaTICA!F5&lt;&gt;"",DigitaTICA!F5,"")</f>
        <v>650</v>
      </c>
      <c r="F11" s="42">
        <f>IF(E11="",0,E11*PREMIOS!F11)</f>
        <v>55250</v>
      </c>
      <c r="G11" s="30">
        <f t="shared" si="1"/>
        <v>-21233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>
        <f>IF(DigitaNICA!G2&lt;&gt;"",DigitaNICA!G2,"")</f>
        <v>42</v>
      </c>
      <c r="C13" s="29">
        <f>IF(DigitaNICA!G5&lt;&gt;"",DigitaNICA!G5,"")</f>
        <v>4700</v>
      </c>
      <c r="D13" s="42">
        <f>IF(C13="",0,C13*J$10)</f>
        <v>611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4089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IF(DigitaTICA!G5&lt;&gt;"",DigitaTICA!G5,"")</f>
        <v>93850</v>
      </c>
      <c r="D15" s="42">
        <f>IF(C15="",0,C15*J$9)</f>
        <v>12200.5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81649.5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>
        <f>IF(DigitaNICA!I5&lt;&gt;"",DigitaNICA!I5,"")</f>
        <v>2500</v>
      </c>
      <c r="D17" s="42">
        <f>IF(C17="",0,C17*J$10)</f>
        <v>325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2175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96</v>
      </c>
      <c r="C19" s="29">
        <f>IF(DigitaPRIMERA!C5&lt;&gt;"",DigitaPRIMERA!C5,"")</f>
        <v>2700</v>
      </c>
      <c r="D19" s="42">
        <f>IF(C19="",0,C19*J$12)</f>
        <v>351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2349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870</v>
      </c>
    </row>
    <row r="21" spans="1:7" ht="15" thickBot="1" x14ac:dyDescent="0.4">
      <c r="A21" s="67" t="s">
        <v>5</v>
      </c>
      <c r="B21" s="127"/>
      <c r="C21" s="68">
        <f>SUM(C5:C20)</f>
        <v>228400</v>
      </c>
      <c r="D21" s="68">
        <f t="shared" ref="D21:G21" si="4">SUM(D5:D20)</f>
        <v>29692</v>
      </c>
      <c r="E21" s="68">
        <f t="shared" si="4"/>
        <v>850</v>
      </c>
      <c r="F21" s="68">
        <f t="shared" si="4"/>
        <v>71250</v>
      </c>
      <c r="G21" s="88">
        <f t="shared" si="4"/>
        <v>127458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42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1000</v>
      </c>
      <c r="K4" s="231">
        <f t="shared" ref="K4" si="0">D7+D11+D15</f>
        <v>120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94">
        <f>IF(DigitaTICA!G7&lt;&gt;"",DigitaTICA!G7,"")</f>
        <v>1000</v>
      </c>
      <c r="D15" s="112">
        <f>IF(C15="",0,C15*J$9)</f>
        <v>120</v>
      </c>
      <c r="E15" s="113">
        <f>IF(DigitaTICA!H7&lt;&gt;"",DigitaTICA!H7,"")</f>
        <v>0</v>
      </c>
      <c r="F15" s="112">
        <f>IF(E15="",0,E15*PREMIOS!F15)</f>
        <v>0</v>
      </c>
      <c r="G15" s="114">
        <f t="shared" si="4"/>
        <v>880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1000</v>
      </c>
      <c r="D19" s="68">
        <f>SUM(D5:D18)</f>
        <v>120</v>
      </c>
      <c r="E19" s="68">
        <f>SUM(E5:E18)</f>
        <v>0</v>
      </c>
      <c r="F19" s="68">
        <f>SUM(F5:F18)</f>
        <v>0</v>
      </c>
      <c r="G19" s="88">
        <f>SUM(G5:G18)</f>
        <v>880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215550</v>
      </c>
      <c r="K4" s="231">
        <f t="shared" ref="K4" si="0">D7+D11+D15</f>
        <v>25866</v>
      </c>
      <c r="L4" s="220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81</v>
      </c>
      <c r="C5" s="29">
        <f>IF(DigitaNICA!C8&lt;&gt;"",DigitaNICA!C8,"")</f>
        <v>68700</v>
      </c>
      <c r="D5" s="42">
        <f>IF(C5="",0,C5*J$12)</f>
        <v>8244</v>
      </c>
      <c r="E5" s="29">
        <f>IF(DigitaNICA!D8&lt;&gt;"",DigitaNICA!D8,"")</f>
        <v>1400</v>
      </c>
      <c r="F5" s="42">
        <f>IF(E5="",0,E5*PREMIOS!E5)</f>
        <v>112000</v>
      </c>
      <c r="G5" s="30">
        <f t="shared" ref="G5:G12" si="1">IF(OR(C5="",E5=""),0,C5-D5-F5)</f>
        <v>-51544</v>
      </c>
      <c r="I5" s="241" t="s">
        <v>37</v>
      </c>
      <c r="J5" s="221">
        <f>SUM(IF(C5="",0,C5),IF(C9="",0,C9),IF(C13="",0,C13),IF(C17="",0,C17))</f>
        <v>177850</v>
      </c>
      <c r="K5" s="225">
        <f t="shared" ref="K5" si="2">D5+D9+D13+D17</f>
        <v>21342</v>
      </c>
      <c r="L5" s="222">
        <f>F5+F9+F13+F17</f>
        <v>252000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IF(DigitaTICA!C8&lt;&gt;"",DigitaTICA!C8,"")</f>
        <v>106700</v>
      </c>
      <c r="D7" s="42">
        <f>IF(C7="",0,C7*J$11)</f>
        <v>12804</v>
      </c>
      <c r="E7" s="29">
        <f>IF(DigitaTICA!D8&lt;&gt;"",DigitaTICA!D8,"")</f>
        <v>750</v>
      </c>
      <c r="F7" s="42">
        <f>IF(E7="",0,E7*PREMIOS!F7)</f>
        <v>63750</v>
      </c>
      <c r="G7" s="30">
        <f t="shared" si="1"/>
        <v>30146</v>
      </c>
      <c r="I7" s="242" t="s">
        <v>96</v>
      </c>
      <c r="J7" s="224">
        <f>SUM(IF(C19="",0,C19),IF(C20="",0,C20))</f>
        <v>64450</v>
      </c>
      <c r="K7" s="228">
        <f>+D19+D20</f>
        <v>7734</v>
      </c>
      <c r="L7" s="229">
        <f>+F19+F20</f>
        <v>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45</v>
      </c>
      <c r="C9" s="29">
        <f>IF(DigitaNICA!E8&lt;&gt;"",DigitaNICA!E8,"")</f>
        <v>45600</v>
      </c>
      <c r="D9" s="42">
        <f>IF(C9="",0,C9*J$12)</f>
        <v>5472</v>
      </c>
      <c r="E9" s="29">
        <f>IF(DigitaNICA!F8&lt;&gt;"",DigitaNICA!F8,"")</f>
        <v>400</v>
      </c>
      <c r="F9" s="42">
        <f>IF(E9="",0,E9*PREMIOS!E9)</f>
        <v>32000</v>
      </c>
      <c r="G9" s="30">
        <f t="shared" si="1"/>
        <v>8128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IF(DigitaTICA!E8&lt;&gt;"",DigitaTICA!E8,"")</f>
        <v>47200</v>
      </c>
      <c r="D11" s="42">
        <f>IF(C11="",0,C11*J$11)</f>
        <v>5664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41536</v>
      </c>
      <c r="I11" s="60" t="s">
        <v>36</v>
      </c>
      <c r="J11" s="61">
        <v>0.12</v>
      </c>
      <c r="K11" s="62">
        <f>MROUND(D7+D11+D15,50)</f>
        <v>25850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21350</v>
      </c>
    </row>
    <row r="13" spans="1:12" x14ac:dyDescent="0.35">
      <c r="A13" s="28" t="s">
        <v>50</v>
      </c>
      <c r="B13" s="132">
        <f>IF(DigitaNICA!G2&lt;&gt;"",DigitaNICA!G2,"")</f>
        <v>42</v>
      </c>
      <c r="C13" s="29">
        <f>IF(DigitaNICA!G8&lt;&gt;"",DigitaNICA!G8,"")</f>
        <v>23850</v>
      </c>
      <c r="D13" s="42">
        <f>IF(C13="",0,C13*J$12)</f>
        <v>2862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20988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7750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IF(DigitaTICA!G8&lt;&gt;"",DigitaTICA!G8,"")</f>
        <v>61650</v>
      </c>
      <c r="D15" s="42">
        <f>IF(C15="",0,C15*J$11)</f>
        <v>7398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11752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>
        <f>IF(DigitaNICA!I8&lt;&gt;"",DigitaNICA!I8,"")</f>
        <v>39700</v>
      </c>
      <c r="D17" s="42">
        <f>IF(C17="",0,C17*J$12)</f>
        <v>4764</v>
      </c>
      <c r="E17" s="29">
        <f>IF(DigitaNICA!J8&lt;&gt;"",DigitaNICA!J8,"")</f>
        <v>1350</v>
      </c>
      <c r="F17" s="42">
        <f>IF(E17="",0,E17*PREMIOS!E17)</f>
        <v>108000</v>
      </c>
      <c r="G17" s="30">
        <f t="shared" si="4"/>
        <v>-73064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96</v>
      </c>
      <c r="C19" s="29">
        <f>IF(DigitaPRIMERA!C8&lt;&gt;"",DigitaPRIMERA!C8,"")</f>
        <v>49250</v>
      </c>
      <c r="D19" s="42">
        <f>IF(C19="",0,C19*J$14)</f>
        <v>5910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43340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>
        <f>IF(DigitaPRIMERA!E8&lt;&gt;"",DigitaPRIMERA!E8,"")</f>
        <v>15200</v>
      </c>
      <c r="D20" s="42">
        <f>IF(C20="",0,C20*J$14)</f>
        <v>1824</v>
      </c>
      <c r="E20" s="29">
        <f>IF(DigitaPRIMERA!F8&lt;&gt;"",DigitaPRIMERA!F8,"")</f>
        <v>100</v>
      </c>
      <c r="F20" s="42">
        <f>IF(E20="",0,E20*PREMIOS!E19)</f>
        <v>8000</v>
      </c>
      <c r="G20" s="30">
        <f t="shared" si="4"/>
        <v>5376</v>
      </c>
    </row>
    <row r="21" spans="1:7" ht="15" thickBot="1" x14ac:dyDescent="0.4">
      <c r="A21" s="121" t="s">
        <v>5</v>
      </c>
      <c r="B21" s="128"/>
      <c r="C21" s="122">
        <f>SUM(C5:C20)</f>
        <v>457850</v>
      </c>
      <c r="D21" s="122">
        <f t="shared" ref="D21:G21" si="5">SUM(D5:D20)</f>
        <v>54942</v>
      </c>
      <c r="E21" s="122">
        <f t="shared" si="5"/>
        <v>4500</v>
      </c>
      <c r="F21" s="122">
        <f t="shared" si="5"/>
        <v>366250</v>
      </c>
      <c r="G21" s="123">
        <f t="shared" si="5"/>
        <v>36658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444150</v>
      </c>
      <c r="K4" s="231">
        <f t="shared" ref="K4" si="0">D7+D11+D15</f>
        <v>53298</v>
      </c>
      <c r="L4" s="220">
        <f>F7+F11+F15</f>
        <v>459000</v>
      </c>
    </row>
    <row r="5" spans="1:12" x14ac:dyDescent="0.35">
      <c r="A5" s="28" t="s">
        <v>43</v>
      </c>
      <c r="B5" s="132">
        <f>IF(DigitaNICA!C2&lt;&gt;"",DigitaNICA!C2,"")</f>
        <v>81</v>
      </c>
      <c r="C5" s="29">
        <f>IF(DigitaNICA!C10&lt;&gt;"",DigitaNICA!C10,"")</f>
        <v>72400</v>
      </c>
      <c r="D5" s="42">
        <f>IF(C5="",0,C5*J$15)</f>
        <v>8688</v>
      </c>
      <c r="E5" s="29">
        <f>IF(DigitaNICA!D10&lt;&gt;"",DigitaNICA!D10,"")</f>
        <v>250</v>
      </c>
      <c r="F5" s="42">
        <f>IF(E5="",0,E5*PREMIOS!F5)</f>
        <v>21250</v>
      </c>
      <c r="G5" s="30">
        <f t="shared" ref="G5:G12" si="1">IF(OR(C5="",E5=""),0,C5-D5-F5)</f>
        <v>42462</v>
      </c>
      <c r="I5" s="217" t="s">
        <v>37</v>
      </c>
      <c r="J5" s="221">
        <f>SUM(IF(C5="",0,C5),IF(C9="",0,C9),IF(C13="",0,C13),IF(C17="",0,C17))</f>
        <v>324300</v>
      </c>
      <c r="K5" s="225">
        <f t="shared" ref="K5" si="2">D5+D9+D13+D17</f>
        <v>38916</v>
      </c>
      <c r="L5" s="222">
        <f>F5+F9+F13+F17</f>
        <v>68000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82250</v>
      </c>
      <c r="K6" s="226">
        <f t="shared" ref="K6" si="3">+D8+D12+D16</f>
        <v>8225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76</v>
      </c>
      <c r="C7" s="29">
        <f>IF(DigitaTICA!C10&lt;&gt;"",DigitaTICA!C10,"")</f>
        <v>170200</v>
      </c>
      <c r="D7" s="42">
        <f>IF(C7="",0,C7*J$14)</f>
        <v>20424</v>
      </c>
      <c r="E7" s="29">
        <f>IF(DigitaTICA!D10&lt;&gt;"",DigitaTICA!D10,"")</f>
        <v>2250</v>
      </c>
      <c r="F7" s="42">
        <f>IF(E7="",0,E7*PREMIOS!F7)</f>
        <v>191250</v>
      </c>
      <c r="G7" s="30">
        <f t="shared" si="1"/>
        <v>-41474</v>
      </c>
      <c r="I7" s="217" t="s">
        <v>96</v>
      </c>
      <c r="J7" s="223">
        <f>SUM(IF(C19="",0,C19),IF(C20="",0,C20))</f>
        <v>63650</v>
      </c>
      <c r="K7" s="226">
        <f>+D19+D20</f>
        <v>7638</v>
      </c>
      <c r="L7" s="227">
        <f>+F19+F20</f>
        <v>114750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29150</v>
      </c>
      <c r="D8" s="42">
        <f>IF(C8="",0,C8*J$16)</f>
        <v>2915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26235</v>
      </c>
      <c r="I8" s="217" t="s">
        <v>104</v>
      </c>
      <c r="J8" s="223">
        <f>SUM(IF(C21="",0,C21),IF(C22="",0,C22),IF(C23="",0,C23))</f>
        <v>22700</v>
      </c>
      <c r="K8" s="226">
        <f t="shared" ref="K8" si="4">D21+D22+D23</f>
        <v>2724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45</v>
      </c>
      <c r="C9" s="29">
        <f>IF(DigitaNICA!E10&lt;&gt;"",DigitaNICA!E10,"")</f>
        <v>66300</v>
      </c>
      <c r="D9" s="42">
        <f>IF(C9="",0,C9*J$15)</f>
        <v>7956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58344</v>
      </c>
      <c r="I9" s="217" t="s">
        <v>20</v>
      </c>
      <c r="J9" s="223">
        <f>SUM(IF(C24="",0,C24),IF(C25="",0,C25))</f>
        <v>99300</v>
      </c>
      <c r="K9" s="226">
        <f t="shared" ref="K9" si="5">+D24+D25</f>
        <v>11916</v>
      </c>
      <c r="L9" s="227">
        <f>F24+F25</f>
        <v>106250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IF(DigitaTICA!E10&lt;&gt;"",DigitaTICA!E10,"")</f>
        <v>125700</v>
      </c>
      <c r="D11" s="42">
        <f>IF(C11="",0,C11*J$14)</f>
        <v>15084</v>
      </c>
      <c r="E11" s="29">
        <f>IF(DigitaTICA!F10&lt;&gt;"",DigitaTICA!F10,"")</f>
        <v>450</v>
      </c>
      <c r="F11" s="42">
        <f>IF(E11="",0,E11*PREMIOS!F11)</f>
        <v>38250</v>
      </c>
      <c r="G11" s="30">
        <f t="shared" si="1"/>
        <v>72366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21000</v>
      </c>
      <c r="D12" s="42">
        <f>IF(C12="",0,C12*J$16)</f>
        <v>2100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18900</v>
      </c>
    </row>
    <row r="13" spans="1:12" ht="15" thickBot="1" x14ac:dyDescent="0.4">
      <c r="A13" s="28" t="s">
        <v>50</v>
      </c>
      <c r="B13" s="132">
        <f>IF(DigitaNICA!G2&lt;&gt;"",DigitaNICA!G2,"")</f>
        <v>42</v>
      </c>
      <c r="C13" s="29">
        <f>IF(DigitaNICA!G10&lt;&gt;"",DigitaNICA!G10,"")</f>
        <v>73950</v>
      </c>
      <c r="D13" s="42">
        <f>IF(C13="",0,C13*J$15)</f>
        <v>8874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65076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53300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IF(DigitaTICA!G10&lt;&gt;"",DigitaTICA!G10,"")</f>
        <v>148250</v>
      </c>
      <c r="D15" s="42">
        <f>IF(C15="",0,C15*J$14)</f>
        <v>17790</v>
      </c>
      <c r="E15" s="29">
        <f>IF(DigitaTICA!H10&lt;&gt;"",DigitaTICA!H10,"")</f>
        <v>2700</v>
      </c>
      <c r="F15" s="42">
        <f>IF(E15="",0,E15*PREMIOS!F15)</f>
        <v>229500</v>
      </c>
      <c r="G15" s="30">
        <f t="shared" si="6"/>
        <v>-99040</v>
      </c>
      <c r="I15" s="63" t="s">
        <v>37</v>
      </c>
      <c r="J15" s="64">
        <v>0.12</v>
      </c>
      <c r="K15" s="30">
        <f>MROUND(D5+D9+D13+D17,50)</f>
        <v>38900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32100</v>
      </c>
      <c r="D16" s="42">
        <f>IF(C16="",0,C16*J$16)</f>
        <v>3210</v>
      </c>
      <c r="E16" s="29">
        <f>IF(DigitaREVENTADO!H10&lt;&gt;"",DigitaREVENTADO!H10,"")</f>
        <v>150</v>
      </c>
      <c r="F16" s="42">
        <f>IF(E16="",0,E16*PREMIOS!F16)</f>
        <v>0</v>
      </c>
      <c r="G16" s="30">
        <f t="shared" si="6"/>
        <v>28890</v>
      </c>
      <c r="I16" s="63" t="s">
        <v>38</v>
      </c>
      <c r="J16" s="64">
        <v>0.1</v>
      </c>
      <c r="K16" s="30">
        <f>MROUND(D6+D8+D10+D12+D14+D16+D18,50)</f>
        <v>8250</v>
      </c>
    </row>
    <row r="17" spans="1:11" x14ac:dyDescent="0.35">
      <c r="A17" s="28" t="s">
        <v>52</v>
      </c>
      <c r="B17" s="132" t="str">
        <f>IF(DigitaNICA!I2&lt;&gt;"",DigitaNICA!I2,"")</f>
        <v>08</v>
      </c>
      <c r="C17" s="29">
        <f>IF(DigitaNICA!I10&lt;&gt;"",DigitaNICA!I10,"")</f>
        <v>111650</v>
      </c>
      <c r="D17" s="42">
        <f>IF(C17="",0,C17*J$15)</f>
        <v>13398</v>
      </c>
      <c r="E17" s="29">
        <f>IF(DigitaNICA!J10&lt;&gt;"",DigitaNICA!J10,"")</f>
        <v>550</v>
      </c>
      <c r="F17" s="42">
        <f>IF(E17="",0,E17*PREMIOS!F17)</f>
        <v>46750</v>
      </c>
      <c r="G17" s="30">
        <f t="shared" si="6"/>
        <v>51502</v>
      </c>
      <c r="I17" s="63" t="s">
        <v>96</v>
      </c>
      <c r="J17" s="64">
        <v>0.12</v>
      </c>
      <c r="K17" s="30">
        <f>MROUND(D19+D20,50)</f>
        <v>7650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2700</v>
      </c>
    </row>
    <row r="19" spans="1:11" x14ac:dyDescent="0.35">
      <c r="A19" s="28" t="s">
        <v>97</v>
      </c>
      <c r="B19" s="132">
        <f>IF(DigitaPRIMERA!C2&lt;&gt;"",DigitaPRIMERA!C2,"")</f>
        <v>96</v>
      </c>
      <c r="C19" s="29">
        <f>IF(DigitaPRIMERA!$C$10&lt;&gt;"",DigitaPRIMERA!$C$10,"")</f>
        <v>36500</v>
      </c>
      <c r="D19" s="42">
        <f>IF(C19="",0,C19*J$17)</f>
        <v>4380</v>
      </c>
      <c r="E19" s="29">
        <f>IF(DigitaPRIMERA!$D$10&lt;&gt;"",DigitaPRIMERA!$D$10,"")</f>
        <v>150</v>
      </c>
      <c r="F19" s="42">
        <f>IF(E19="",0,E19*PREMIOS!F19)</f>
        <v>12750</v>
      </c>
      <c r="G19" s="30">
        <f t="shared" ref="G19:G22" si="7">IF(OR(C19="",E19=""),0,C19-D19-F19)</f>
        <v>19370</v>
      </c>
      <c r="I19" s="63" t="s">
        <v>20</v>
      </c>
      <c r="J19" s="64">
        <v>0.12</v>
      </c>
      <c r="K19" s="30">
        <f>MROUND(D24+D25,50)</f>
        <v>11900</v>
      </c>
    </row>
    <row r="20" spans="1:11" ht="15" thickBot="1" x14ac:dyDescent="0.4">
      <c r="A20" s="28" t="s">
        <v>98</v>
      </c>
      <c r="B20" s="132" t="str">
        <f>IF(DigitaPRIMERA!E2&lt;&gt;"",DigitaPRIMERA!E2,"")</f>
        <v>09</v>
      </c>
      <c r="C20" s="29">
        <f>IF(DigitaPRIMERA!$E$10&lt;&gt;"",DigitaPRIMERA!$E$10,"")</f>
        <v>27150</v>
      </c>
      <c r="D20" s="42">
        <f>IF(C20="",0,C20*J$17)</f>
        <v>3258</v>
      </c>
      <c r="E20" s="29">
        <f>IF(DigitaPRIMERA!$F$10&lt;&gt;"",DigitaPRIMERA!$F$10,"")</f>
        <v>1200</v>
      </c>
      <c r="F20" s="42">
        <f>IF(E20="",0,E20*PREMIOS!F19)</f>
        <v>102000</v>
      </c>
      <c r="G20" s="30">
        <f t="shared" si="7"/>
        <v>-78108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86</v>
      </c>
      <c r="C21" s="29">
        <f>IF(DigitaHONDURAS!$C$10&lt;&gt;"",DigitaHONDURAS!$C$10,"")</f>
        <v>8600</v>
      </c>
      <c r="D21" s="42">
        <f>IF(C21="",0,C21*J$18)</f>
        <v>1032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7568</v>
      </c>
    </row>
    <row r="22" spans="1:11" x14ac:dyDescent="0.35">
      <c r="A22" s="28" t="s">
        <v>100</v>
      </c>
      <c r="B22" s="132">
        <f>IF(DigitaHONDURAS!E2&lt;&gt;"",DigitaHONDURAS!E2,"")</f>
        <v>15</v>
      </c>
      <c r="C22" s="29">
        <f>IF(DigitaHONDURAS!$E$10&lt;&gt;"",DigitaHONDURAS!$E$10,"")</f>
        <v>12400</v>
      </c>
      <c r="D22" s="42">
        <f>IF(C22="",0,C22*J$18)</f>
        <v>1488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10912</v>
      </c>
    </row>
    <row r="23" spans="1:11" x14ac:dyDescent="0.35">
      <c r="A23" s="28" t="s">
        <v>101</v>
      </c>
      <c r="B23" s="132">
        <f>IF(DigitaHONDURAS!G2&lt;&gt;"",DigitaHONDURAS!G2,"")</f>
        <v>72</v>
      </c>
      <c r="C23" s="29">
        <f>IF(DigitaHONDURAS!$G$10&lt;&gt;"",DigitaHONDURAS!$G$10,"")</f>
        <v>1700</v>
      </c>
      <c r="D23" s="42">
        <f>IF(C23="",0,C23*J$18)</f>
        <v>204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1496</v>
      </c>
    </row>
    <row r="24" spans="1:11" x14ac:dyDescent="0.35">
      <c r="A24" s="28" t="s">
        <v>107</v>
      </c>
      <c r="B24" s="132">
        <f>IF(DigitaDOMINICANA!C2&lt;&gt;"",DigitaDOMINICANA!C2,"")</f>
        <v>68</v>
      </c>
      <c r="C24" s="29">
        <f>IF(DigitaDOMINICANA!$C$10&lt;&gt;"",DigitaDOMINICANA!$C$10,"")</f>
        <v>50800</v>
      </c>
      <c r="D24" s="42">
        <f>IF(C24="",0,C24*J$19)</f>
        <v>6096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44704</v>
      </c>
    </row>
    <row r="25" spans="1:11" x14ac:dyDescent="0.35">
      <c r="A25" s="28" t="s">
        <v>108</v>
      </c>
      <c r="B25" s="132">
        <f>IF(DigitaDOMINICANA!E2&lt;&gt;"",DigitaDOMINICANA!E2,"")</f>
        <v>42</v>
      </c>
      <c r="C25" s="29">
        <f>IF(DigitaDOMINICANA!$E$10&lt;&gt;"",DigitaDOMINICANA!$E$10,"")</f>
        <v>48500</v>
      </c>
      <c r="D25" s="42">
        <f>IF(C25="",0,C25*J$19)</f>
        <v>5820</v>
      </c>
      <c r="E25" s="29">
        <f>IF(DigitaDOMINICANA!$F$10&lt;&gt;"",DigitaDOMINICANA!$F$10,"")</f>
        <v>1250</v>
      </c>
      <c r="F25" s="42">
        <f>IF(E25="",0,E25*PREMIOS!F21)</f>
        <v>106250</v>
      </c>
      <c r="G25" s="30">
        <f t="shared" si="8"/>
        <v>-63570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1036350</v>
      </c>
      <c r="D27" s="68">
        <f t="shared" ref="D27:F27" si="9">SUM(D5:D26)</f>
        <v>122717</v>
      </c>
      <c r="E27" s="68">
        <f t="shared" si="9"/>
        <v>8950</v>
      </c>
      <c r="F27" s="68">
        <f t="shared" si="9"/>
        <v>748000</v>
      </c>
      <c r="G27" s="88">
        <f>SUM(G5:G26)</f>
        <v>165633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20200</v>
      </c>
      <c r="K4" s="231">
        <f t="shared" ref="K4" si="0">D7+D11+D15</f>
        <v>2424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IF(DigitaTICA!C11&lt;&gt;"",DigitaTICA!C11,"")</f>
        <v>6700</v>
      </c>
      <c r="D7" s="42">
        <f>IF(C7="",0,C7*J$11)</f>
        <v>804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5896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2400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IF(DigitaTICA!G11&lt;&gt;"",DigitaTICA!G11,"")</f>
        <v>13500</v>
      </c>
      <c r="D15" s="42">
        <f>IF(C15="",0,C15*J$11)</f>
        <v>1620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11880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20200</v>
      </c>
      <c r="D21" s="122">
        <f t="shared" ref="D21:G21" si="5">SUM(D5:D20)</f>
        <v>2424</v>
      </c>
      <c r="E21" s="122">
        <f t="shared" si="5"/>
        <v>0</v>
      </c>
      <c r="F21" s="122">
        <f t="shared" si="5"/>
        <v>0</v>
      </c>
      <c r="G21" s="123">
        <f t="shared" si="5"/>
        <v>17776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95900</v>
      </c>
      <c r="K4" s="231">
        <f>D7+D11+D15</f>
        <v>11508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81</v>
      </c>
      <c r="C5" s="29">
        <f>IF(DigitaNICA!C12&lt;&gt;"",DigitaNICA!C12,"")</f>
        <v>32950</v>
      </c>
      <c r="D5" s="42">
        <f>IF(C5="",0,C5*J$12)</f>
        <v>3954</v>
      </c>
      <c r="E5" s="29">
        <f>IF(DigitaNICA!D12&lt;&gt;"",DigitaNICA!D12,"")</f>
        <v>150</v>
      </c>
      <c r="F5" s="42">
        <f>IF(E5="",0,E5*PREMIOS!F5)</f>
        <v>12750</v>
      </c>
      <c r="G5" s="30">
        <f t="shared" ref="G5:G12" si="0">IF(OR(C5="",E5=""),0,C5-D5-F5)</f>
        <v>16246</v>
      </c>
      <c r="I5" s="217" t="s">
        <v>37</v>
      </c>
      <c r="J5" s="221">
        <f>SUM(IF(C5="",0,C5),IF(C9="",0,C9),IF(C13="",0,C13),IF(C17="",0,C17))</f>
        <v>57650</v>
      </c>
      <c r="K5" s="225">
        <f t="shared" ref="K5" si="1">D5+D9+D13+D17</f>
        <v>6918</v>
      </c>
      <c r="L5" s="222">
        <f>F5+F9+F13+F17</f>
        <v>34000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7700</v>
      </c>
      <c r="K6" s="226">
        <f t="shared" ref="K6" si="2">+D8+D12+D16</f>
        <v>770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76</v>
      </c>
      <c r="C7" s="29">
        <f>IF(DigitaTICA!C12&lt;&gt;"",DigitaTICA!C12,"")</f>
        <v>44350</v>
      </c>
      <c r="D7" s="42">
        <f>IF(C7="",0,C7*J$11)</f>
        <v>5322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17778</v>
      </c>
      <c r="I7" s="217" t="s">
        <v>96</v>
      </c>
      <c r="J7" s="223">
        <f>SUM(IF(C19="",0,C19),IF(C20="",0,C20))</f>
        <v>45350</v>
      </c>
      <c r="K7" s="226">
        <f>+D19+D20</f>
        <v>5442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6500</v>
      </c>
      <c r="D8" s="42">
        <f>IF(C8="",0,C8*J$13)</f>
        <v>650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5850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45</v>
      </c>
      <c r="C9" s="29">
        <f>IF(DigitaNICA!E12&lt;&gt;"",DigitaNICA!E12,"")</f>
        <v>24700</v>
      </c>
      <c r="D9" s="42">
        <f>IF(C9="",0,C9*J$12)</f>
        <v>2964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486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IF(DigitaTICA!E12&lt;&gt;"",DigitaTICA!E12,"")</f>
        <v>23100</v>
      </c>
      <c r="D11" s="42">
        <f>IF(C11="",0,C11*J$11)</f>
        <v>2772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20328</v>
      </c>
      <c r="I11" s="60" t="s">
        <v>36</v>
      </c>
      <c r="J11" s="61">
        <v>0.12</v>
      </c>
      <c r="K11" s="62">
        <f>MROUND(D7+D11+D15,50)</f>
        <v>11500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1200</v>
      </c>
      <c r="D12" s="42">
        <f>IF(C12="",0,C12*J$13)</f>
        <v>120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1080</v>
      </c>
      <c r="I12" s="63" t="s">
        <v>37</v>
      </c>
      <c r="J12" s="64">
        <v>0.12</v>
      </c>
      <c r="K12" s="30">
        <f>MROUND(D5+D9+D13+D17,50)</f>
        <v>6900</v>
      </c>
    </row>
    <row r="13" spans="1:12" x14ac:dyDescent="0.35">
      <c r="A13" s="28" t="s">
        <v>50</v>
      </c>
      <c r="B13" s="132">
        <f>IF(DigitaNICA!G2&lt;&gt;"",DigitaNICA!G2,"")</f>
        <v>42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5450</v>
      </c>
    </row>
    <row r="15" spans="1:12" ht="15" thickBot="1" x14ac:dyDescent="0.4">
      <c r="A15" s="28" t="s">
        <v>61</v>
      </c>
      <c r="B15" s="132" t="str">
        <f>IF(DigitaTICA!G2&lt;&gt;"",DigitaTICA!G2,"")</f>
        <v>02</v>
      </c>
      <c r="C15" s="29">
        <f>IF(DigitaTICA!G12&lt;&gt;"",DigitaTICA!G12,"")</f>
        <v>28450</v>
      </c>
      <c r="D15" s="42">
        <f>IF(C15="",0,C15*J$11)</f>
        <v>3414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25036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96</v>
      </c>
      <c r="C19" s="29">
        <f>IF(DigitaPRIMERA!$C$12&lt;&gt;"",DigitaPRIMERA!$C$12,"")</f>
        <v>45350</v>
      </c>
      <c r="D19" s="42">
        <f>IF(C19="",0,C19*J$14)</f>
        <v>5442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18658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206600</v>
      </c>
      <c r="D24" s="68">
        <f t="shared" ref="D24:G24" si="4">SUM(D5:D23)</f>
        <v>24638</v>
      </c>
      <c r="E24" s="68">
        <f t="shared" si="4"/>
        <v>900</v>
      </c>
      <c r="F24" s="68">
        <f t="shared" si="4"/>
        <v>76500</v>
      </c>
      <c r="G24" s="88">
        <f t="shared" si="4"/>
        <v>105462</v>
      </c>
    </row>
    <row r="27" spans="1:7" x14ac:dyDescent="0.35">
      <c r="G27" s="21">
        <v>235870</v>
      </c>
    </row>
    <row r="28" spans="1:7" x14ac:dyDescent="0.35">
      <c r="G28" s="141">
        <f>+G24+G27</f>
        <v>341332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124350</v>
      </c>
      <c r="K4" s="231">
        <f t="shared" ref="K4" si="0">D7+D11+D15</f>
        <v>14922</v>
      </c>
      <c r="L4" s="220">
        <f>F7+F11+F15</f>
        <v>127500</v>
      </c>
    </row>
    <row r="5" spans="1:12" ht="15" thickBot="1" x14ac:dyDescent="0.4">
      <c r="A5" s="28" t="s">
        <v>43</v>
      </c>
      <c r="B5" s="132">
        <f>IF(DigitaNICA!C2&lt;&gt;"",DigitaNICA!C2,"")</f>
        <v>81</v>
      </c>
      <c r="C5" s="29">
        <f>IF(DigitaNICA!C13&lt;&gt;"",DigitaNICA!C13,"")</f>
        <v>55500</v>
      </c>
      <c r="D5" s="42">
        <f>IF(C5="",0,C5*J$10)</f>
        <v>6660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48840</v>
      </c>
      <c r="I5" s="218" t="s">
        <v>37</v>
      </c>
      <c r="J5" s="232">
        <f>SUM(IF(C5="",0,C5),IF(C9="",0,C9),IF(C13="",0,C13),IF(C17="",0,C17))</f>
        <v>85350</v>
      </c>
      <c r="K5" s="233">
        <f t="shared" ref="K5" si="2">D5+D9+D13+D17</f>
        <v>10242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IF(DigitaTICA!C13&lt;&gt;"",DigitaTICA!C13,"")</f>
        <v>52100</v>
      </c>
      <c r="D7" s="42">
        <f>IF(C7="",0,C7*J$9)</f>
        <v>6252</v>
      </c>
      <c r="E7" s="29">
        <f>IF(DigitaTICA!D13&lt;&gt;"",DigitaTICA!D13,"")</f>
        <v>600</v>
      </c>
      <c r="F7" s="133">
        <f>IF(E7="",0,E7*PREMIOS!F7)</f>
        <v>51000</v>
      </c>
      <c r="G7" s="30">
        <f t="shared" si="1"/>
        <v>-5152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45</v>
      </c>
      <c r="C9" s="29">
        <f>IF(DigitaNICA!E13&lt;&gt;"",DigitaNICA!E13,"")</f>
        <v>22100</v>
      </c>
      <c r="D9" s="42">
        <f>IF(C9="",0,C9*J$10)</f>
        <v>2652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19448</v>
      </c>
      <c r="I9" s="60" t="s">
        <v>36</v>
      </c>
      <c r="J9" s="61">
        <v>0.12</v>
      </c>
      <c r="K9" s="62">
        <f>MROUND(D7+D11+D15,50)</f>
        <v>14900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10250</v>
      </c>
    </row>
    <row r="11" spans="1:12" ht="15" thickBot="1" x14ac:dyDescent="0.4">
      <c r="A11" s="28" t="s">
        <v>59</v>
      </c>
      <c r="B11" s="132">
        <f>IF(DigitaTICA!E2&lt;&gt;"",DigitaTICA!E2,"")</f>
        <v>18</v>
      </c>
      <c r="C11" s="29">
        <f>IF(DigitaTICA!E13&lt;&gt;"",DigitaTICA!E13,"")</f>
        <v>27000</v>
      </c>
      <c r="D11" s="42">
        <f>IF(C11="",0,C11*J$9)</f>
        <v>3240</v>
      </c>
      <c r="E11" s="29">
        <f>IF(DigitaTICA!F13&lt;&gt;"",DigitaTICA!F13,"")</f>
        <v>900</v>
      </c>
      <c r="F11" s="133">
        <f>IF(E11="",0,E11*PREMIOS!F11)</f>
        <v>76500</v>
      </c>
      <c r="G11" s="30">
        <f t="shared" si="1"/>
        <v>-52740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42</v>
      </c>
      <c r="C13" s="29">
        <f>IF(DigitaNICA!G13&lt;&gt;"",DigitaNICA!G13,"")</f>
        <v>3950</v>
      </c>
      <c r="D13" s="42">
        <f>IF(C13="",0,C13*J$10)</f>
        <v>474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3476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IF(DigitaTICA!G13&lt;&gt;"",DigitaTICA!G13,"")</f>
        <v>45250</v>
      </c>
      <c r="D15" s="42">
        <f>IF(C15="",0,C15*J$9)</f>
        <v>5430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39820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>
        <f>IF(DigitaNICA!I13&lt;&gt;"",DigitaNICA!I13,"")</f>
        <v>3800</v>
      </c>
      <c r="D17" s="42">
        <f>IF(C17="",0,C17*J$10)</f>
        <v>456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3344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209700</v>
      </c>
      <c r="D19" s="68">
        <f>MROUND(SUM(D5:D18),50)</f>
        <v>25150</v>
      </c>
      <c r="E19" s="68">
        <f>SUM(E5:E18)</f>
        <v>1500</v>
      </c>
      <c r="F19" s="68">
        <f>SUM(F5:F18)</f>
        <v>127500</v>
      </c>
      <c r="G19" s="88">
        <f>SUM(G5:G18)</f>
        <v>57036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78000</v>
      </c>
      <c r="K4" s="236">
        <f t="shared" ref="K4" si="0">D7+D11+D15</f>
        <v>11700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81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>
        <f>IF(DigitaTICA!C14&lt;&gt;"",DigitaTICA!C14,"")</f>
        <v>26450</v>
      </c>
      <c r="D7" s="42">
        <f>IF(C7="",0,C7*J$9)</f>
        <v>3967.5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22482.5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11700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18</v>
      </c>
      <c r="C11" s="29">
        <f>IF(DigitaTICA!E14&lt;&gt;"",DigitaTICA!E14,"")</f>
        <v>18850</v>
      </c>
      <c r="D11" s="42">
        <f>IF(C11="",0,C11*J$9)</f>
        <v>2827.5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16022.5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42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IF(DigitaTICA!G14&lt;&gt;"",DigitaTICA!G14,"")</f>
        <v>32700</v>
      </c>
      <c r="D15" s="42">
        <f>IF(C15="",0,C15*J$9)</f>
        <v>4905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27795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78000</v>
      </c>
      <c r="D19" s="68">
        <f>MROUND(SUM(D5:D18),50)</f>
        <v>11700</v>
      </c>
      <c r="E19" s="68">
        <f>SUM(E5:E18)</f>
        <v>0</v>
      </c>
      <c r="F19" s="68">
        <f>SUM(F5:F18)</f>
        <v>0</v>
      </c>
      <c r="G19" s="88">
        <f>SUM(G5:G18)</f>
        <v>66300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79950</v>
      </c>
      <c r="K4" s="231">
        <f>D7+D11+D15</f>
        <v>9594</v>
      </c>
      <c r="L4" s="220">
        <f>F7+F11+F15</f>
        <v>46750</v>
      </c>
    </row>
    <row r="5" spans="1:12" x14ac:dyDescent="0.35">
      <c r="A5" s="28" t="s">
        <v>43</v>
      </c>
      <c r="B5" s="132">
        <f>IF(DigitaNICA!C2&lt;&gt;"",DigitaNICA!C2,"")</f>
        <v>81</v>
      </c>
      <c r="C5" s="29">
        <f>IF(DigitaNICA!C16&lt;&gt;"",DigitaNICA!C16,"")</f>
        <v>10250</v>
      </c>
      <c r="D5" s="42">
        <f>IF(C5="",0,C5*J$12)</f>
        <v>1230</v>
      </c>
      <c r="E5" s="29">
        <f>IF(DigitaNICA!D16&lt;&gt;"",DigitaNICA!D16,"")</f>
        <v>100</v>
      </c>
      <c r="F5" s="42">
        <f>IF(E5="",0,E5*PREMIOS!E5)</f>
        <v>8000</v>
      </c>
      <c r="G5" s="30">
        <f t="shared" ref="G5:G12" si="0">IF(OR(C5="",E5=""),0,C5-D5-F5)</f>
        <v>1020</v>
      </c>
      <c r="I5" s="63" t="s">
        <v>37</v>
      </c>
      <c r="J5" s="225">
        <f>SUM(IF(C5="",0,C5),IF(C9="",0,C9),IF(C13="",0,C13),IF(C17="",0,C17))</f>
        <v>36550</v>
      </c>
      <c r="K5" s="225">
        <f t="shared" ref="K5" si="1">D5+D9+D13+D17</f>
        <v>4386</v>
      </c>
      <c r="L5" s="222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3600</v>
      </c>
      <c r="K6" s="226">
        <f t="shared" ref="K6" si="2">+D8+D12+D16</f>
        <v>360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76</v>
      </c>
      <c r="C7" s="29">
        <f>IF(DigitaTICA!C16&lt;&gt;"",DigitaTICA!C16,"")</f>
        <v>25700</v>
      </c>
      <c r="D7" s="42">
        <f>IF(C7="",0,C7*J$11)</f>
        <v>3084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22616</v>
      </c>
      <c r="I7" s="63" t="s">
        <v>96</v>
      </c>
      <c r="J7" s="226">
        <f>SUM(IF(C19="",0,C19),IF(C20="",0,C20))</f>
        <v>11100</v>
      </c>
      <c r="K7" s="226">
        <f>+D19+D20</f>
        <v>1332</v>
      </c>
      <c r="L7" s="227">
        <f>+F19+F20</f>
        <v>16000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1800</v>
      </c>
      <c r="D8" s="42">
        <f>IF(C8="",0,C8*J$13)</f>
        <v>180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1620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45</v>
      </c>
      <c r="C9" s="29">
        <f>IF(DigitaNICA!E16&lt;&gt;"",DigitaNICA!E16,"")</f>
        <v>8100</v>
      </c>
      <c r="D9" s="42">
        <f>IF(C9="",0,C9*J$12)</f>
        <v>972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7128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IF(DigitaTICA!E16&lt;&gt;"",DigitaTICA!E16,"")</f>
        <v>25700</v>
      </c>
      <c r="D11" s="42">
        <f>IF(C11="",0,C11*J$11)</f>
        <v>3084</v>
      </c>
      <c r="E11" s="29">
        <f>IF(DigitaTICA!F16&lt;&gt;"",DigitaTICA!F16,"")</f>
        <v>300</v>
      </c>
      <c r="F11" s="133">
        <f>IF(E11="",0,E11*PREMIOS!F11)</f>
        <v>25500</v>
      </c>
      <c r="G11" s="30">
        <f t="shared" si="0"/>
        <v>-2884</v>
      </c>
      <c r="I11" s="76" t="s">
        <v>36</v>
      </c>
      <c r="J11" s="77">
        <v>0.12</v>
      </c>
      <c r="K11" s="78">
        <f>MROUND(D7+D11+D15,50)</f>
        <v>9600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1800</v>
      </c>
      <c r="D12" s="42">
        <f>IF(C12="",0,C12*J$13)</f>
        <v>180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1620</v>
      </c>
      <c r="I12" s="63" t="s">
        <v>37</v>
      </c>
      <c r="J12" s="64">
        <v>0.12</v>
      </c>
      <c r="K12" s="30">
        <f>MROUND(D5+D9+D13+D17,50)</f>
        <v>4400</v>
      </c>
    </row>
    <row r="13" spans="1:12" x14ac:dyDescent="0.35">
      <c r="A13" s="28" t="s">
        <v>50</v>
      </c>
      <c r="B13" s="132">
        <f>IF(DigitaNICA!G2&lt;&gt;"",DigitaNICA!G2,"")</f>
        <v>42</v>
      </c>
      <c r="C13" s="29">
        <f>IF(DigitaNICA!G16&lt;&gt;"",DigitaNICA!G16,"")</f>
        <v>9200</v>
      </c>
      <c r="D13" s="42">
        <f>IF(C13="",0,C13*J$12)</f>
        <v>1104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8096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1350</v>
      </c>
    </row>
    <row r="15" spans="1:12" ht="15" thickBot="1" x14ac:dyDescent="0.4">
      <c r="A15" s="28" t="s">
        <v>61</v>
      </c>
      <c r="B15" s="132" t="str">
        <f>IF(DigitaTICA!G2&lt;&gt;"",DigitaTICA!G2,"")</f>
        <v>02</v>
      </c>
      <c r="C15" s="29">
        <f>IF(DigitaTICA!G16&lt;&gt;"",DigitaTICA!G16,"")</f>
        <v>28550</v>
      </c>
      <c r="D15" s="42">
        <f>IF(C15="",0,C15*J$11)</f>
        <v>3426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3874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>
        <f>IF(DigitaNICA!I16&lt;&gt;"",DigitaNICA!I16,"")</f>
        <v>9000</v>
      </c>
      <c r="D17" s="42">
        <f>IF(C17="",0,C17*J$12)</f>
        <v>1080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7920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96</v>
      </c>
      <c r="C19" s="29">
        <f>IF(DigitaPRIMERA!C16&lt;&gt;"",DigitaPRIMERA!C16,"")</f>
        <v>11100</v>
      </c>
      <c r="D19" s="42">
        <f>IF(C19="",0,C19*J$14)</f>
        <v>1332</v>
      </c>
      <c r="E19" s="29">
        <f>IF(DigitaPRIMERA!D16&lt;&gt;"",DigitaPRIMERA!D16,"")</f>
        <v>200</v>
      </c>
      <c r="F19" s="42">
        <f>IF(E19="",0,E19*PREMIOS!E19)</f>
        <v>16000</v>
      </c>
      <c r="G19" s="30">
        <f t="shared" si="3"/>
        <v>-6232</v>
      </c>
    </row>
    <row r="20" spans="1:7" x14ac:dyDescent="0.35">
      <c r="A20" s="28" t="s">
        <v>98</v>
      </c>
      <c r="B20" s="132" t="str">
        <f>IF(DigitaPRIMERA!E2&lt;&gt;"",DigitaPRIMERA!E2,"")</f>
        <v>09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131200</v>
      </c>
      <c r="D24" s="122">
        <f t="shared" ref="D24:G24" si="5">SUM(D5:D23)</f>
        <v>15672</v>
      </c>
      <c r="E24" s="122">
        <f t="shared" si="5"/>
        <v>850</v>
      </c>
      <c r="F24" s="122">
        <f t="shared" si="5"/>
        <v>70750</v>
      </c>
      <c r="G24" s="123">
        <f t="shared" si="5"/>
        <v>44778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434550</v>
      </c>
      <c r="K4" s="231">
        <f t="shared" ref="K4" si="0">D7+D11+D15</f>
        <v>52146</v>
      </c>
      <c r="L4" s="220">
        <f>F7+F11+F15</f>
        <v>654500</v>
      </c>
    </row>
    <row r="5" spans="1:12" x14ac:dyDescent="0.35">
      <c r="A5" s="28" t="s">
        <v>43</v>
      </c>
      <c r="B5" s="132">
        <f>IF(DigitaNICA!C2&lt;&gt;"",DigitaNICA!C2,"")</f>
        <v>81</v>
      </c>
      <c r="C5" s="89">
        <f>IF(DigitaNICA!C17&lt;&gt;"",DigitaNICA!C17,"")</f>
        <v>105750</v>
      </c>
      <c r="D5" s="42">
        <f>IF(C5="",0,C5*J$16)</f>
        <v>12690</v>
      </c>
      <c r="E5" s="89">
        <f>IF(DigitaNICA!D17&lt;&gt;"",DigitaNICA!D17,"")</f>
        <v>0</v>
      </c>
      <c r="F5" s="42">
        <f>IF(E5="",0,E5*PREMIOS!F5)</f>
        <v>0</v>
      </c>
      <c r="G5" s="90">
        <f t="shared" ref="G5:G12" si="1">IF(OR(C5="",E5=""),0,C5-D5-F5)</f>
        <v>93060</v>
      </c>
      <c r="I5" s="217" t="s">
        <v>37</v>
      </c>
      <c r="J5" s="221">
        <f>SUM(IF(C5="",0,C5),IF(C9="",0,C9),IF(C13="",0,C13),IF(C17="",0,C17))</f>
        <v>410500</v>
      </c>
      <c r="K5" s="225">
        <f t="shared" ref="K5" si="2">D5+D9+D13+D17</f>
        <v>49260</v>
      </c>
      <c r="L5" s="222">
        <f>F5+F9+F13+F17</f>
        <v>178500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75900</v>
      </c>
      <c r="K6" s="226">
        <f t="shared" ref="K6" si="3">+D8+D12+D16</f>
        <v>7590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76</v>
      </c>
      <c r="C7" s="89">
        <f>IF(DigitaTICA!C17&lt;&gt;"",DigitaTICA!C17,"")</f>
        <v>158700</v>
      </c>
      <c r="D7" s="42">
        <f>IF(C7="",0,C7*J$15)</f>
        <v>19044</v>
      </c>
      <c r="E7" s="89">
        <f>IF(DigitaTICA!D17&lt;&gt;"",DigitaTICA!D17,"")</f>
        <v>2400</v>
      </c>
      <c r="F7" s="42">
        <f>IF(E7="",0,E7*PREMIOS!F7)</f>
        <v>204000</v>
      </c>
      <c r="G7" s="90">
        <f t="shared" si="1"/>
        <v>-64344</v>
      </c>
      <c r="I7" s="217" t="s">
        <v>96</v>
      </c>
      <c r="J7" s="223">
        <f>SUM(IF(C19="",0,C19),IF(C20="",0,C20))</f>
        <v>124850</v>
      </c>
      <c r="K7" s="226">
        <f>+D19+D20</f>
        <v>14982</v>
      </c>
      <c r="L7" s="227">
        <f>+F19+F20</f>
        <v>8500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29650</v>
      </c>
      <c r="D8" s="42">
        <f>IF(C8="",0,C8*J$17)</f>
        <v>2965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26685</v>
      </c>
      <c r="I8" s="217" t="s">
        <v>104</v>
      </c>
      <c r="J8" s="223">
        <f>SUM(IF(C21="",0,C21),IF(C22="",0,C22),IF(C23="",0,C23))</f>
        <v>88050</v>
      </c>
      <c r="K8" s="226">
        <f t="shared" ref="K8" si="4">D21+D22+D23</f>
        <v>10566</v>
      </c>
      <c r="L8" s="227">
        <f>F21+F22+F23</f>
        <v>21250</v>
      </c>
    </row>
    <row r="9" spans="1:12" x14ac:dyDescent="0.35">
      <c r="A9" s="28" t="s">
        <v>48</v>
      </c>
      <c r="B9" s="132">
        <f>IF(DigitaNICA!E2&lt;&gt;"",DigitaNICA!E2,"")</f>
        <v>45</v>
      </c>
      <c r="C9" s="89">
        <f>IF(DigitaNICA!E17&lt;&gt;"",DigitaNICA!E17,"")</f>
        <v>77600</v>
      </c>
      <c r="D9" s="42">
        <f>IF(C9="",0,C9*J$16)</f>
        <v>9312</v>
      </c>
      <c r="E9" s="89">
        <f>IF(DigitaNICA!F17&lt;&gt;"",DigitaNICA!F17,"")</f>
        <v>550</v>
      </c>
      <c r="F9" s="42">
        <f>IF(E9="",0,E9*PREMIOS!F9)</f>
        <v>46750</v>
      </c>
      <c r="G9" s="90">
        <f t="shared" si="1"/>
        <v>21538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18</v>
      </c>
      <c r="C11" s="89">
        <f>IF(DigitaTICA!E17&lt;&gt;"",DigitaTICA!E17,"")</f>
        <v>74950</v>
      </c>
      <c r="D11" s="42">
        <f>IF(C11="",0,C11*J$15)</f>
        <v>8994</v>
      </c>
      <c r="E11" s="89">
        <f>IF(DigitaTICA!F17&lt;&gt;"",DigitaTICA!F17,"")</f>
        <v>650</v>
      </c>
      <c r="F11" s="42">
        <f>IF(E11="",0,E11*PREMIOS!F11)</f>
        <v>55250</v>
      </c>
      <c r="G11" s="90">
        <f t="shared" si="1"/>
        <v>10706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16850</v>
      </c>
      <c r="D12" s="42">
        <f>IF(C12="",0,C12*J$17)</f>
        <v>1685</v>
      </c>
      <c r="E12" s="89">
        <f>IF(DigitaREVENTADO!F17&lt;&gt;"",DigitaREVENTADO!F17,"")</f>
        <v>50</v>
      </c>
      <c r="F12" s="42">
        <f>IF(E12="",0,E12*PREMIOS!F12)</f>
        <v>0</v>
      </c>
      <c r="G12" s="90">
        <f t="shared" si="1"/>
        <v>15165</v>
      </c>
    </row>
    <row r="13" spans="1:12" ht="15" thickBot="1" x14ac:dyDescent="0.4">
      <c r="A13" s="28" t="s">
        <v>50</v>
      </c>
      <c r="B13" s="132">
        <f>IF(DigitaNICA!G2&lt;&gt;"",DigitaNICA!G2,"")</f>
        <v>42</v>
      </c>
      <c r="C13" s="89">
        <f>IF(DigitaNICA!G17&lt;&gt;"",DigitaNICA!G17,"")</f>
        <v>70700</v>
      </c>
      <c r="D13" s="42">
        <f>IF(C13="",0,C13*J$16)</f>
        <v>8484</v>
      </c>
      <c r="E13" s="89">
        <f>IF(DigitaNICA!H17&lt;&gt;"",DigitaNICA!H17,"")</f>
        <v>500</v>
      </c>
      <c r="F13" s="42">
        <f>IF(E13="",0,E13*PREMIOS!F13)</f>
        <v>42500</v>
      </c>
      <c r="G13" s="90">
        <f>IF(OR(C13="",E13=""),0,C13-D13-F13)</f>
        <v>19716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>02</v>
      </c>
      <c r="C15" s="89">
        <f>IF(DigitaTICA!G17&lt;&gt;"",DigitaTICA!G17,"")</f>
        <v>200900</v>
      </c>
      <c r="D15" s="42">
        <f>IF(C15="",0,C15*J$15)</f>
        <v>24108</v>
      </c>
      <c r="E15" s="89">
        <f>IF(DigitaTICA!H17&lt;&gt;"",DigitaTICA!H17,"")</f>
        <v>4650</v>
      </c>
      <c r="F15" s="42">
        <f>IF(E15="",0,E15*PREMIOS!F15)</f>
        <v>395250</v>
      </c>
      <c r="G15" s="90">
        <f t="shared" si="6"/>
        <v>-218458</v>
      </c>
      <c r="I15" s="76" t="s">
        <v>36</v>
      </c>
      <c r="J15" s="77">
        <v>0.12</v>
      </c>
      <c r="K15" s="78">
        <f>MROUND(D7+D11+D15,50)</f>
        <v>52150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29400</v>
      </c>
      <c r="D16" s="42">
        <f>IF(C16="",0,C16*J$17)</f>
        <v>2940</v>
      </c>
      <c r="E16" s="89">
        <f>IF(DigitaREVENTADO!H17&lt;&gt;"",DigitaREVENTADO!H17,"")</f>
        <v>300</v>
      </c>
      <c r="F16" s="42">
        <f>IF(E16="",0,E16*PREMIOS!F16)</f>
        <v>0</v>
      </c>
      <c r="G16" s="90">
        <f t="shared" si="6"/>
        <v>26460</v>
      </c>
      <c r="I16" s="63" t="s">
        <v>37</v>
      </c>
      <c r="J16" s="64">
        <v>0.12</v>
      </c>
      <c r="K16" s="30">
        <f>MROUND(D5+D9+D13+D17,50)</f>
        <v>49250</v>
      </c>
    </row>
    <row r="17" spans="1:11" x14ac:dyDescent="0.35">
      <c r="A17" s="28" t="s">
        <v>52</v>
      </c>
      <c r="B17" s="132" t="str">
        <f>IF(DigitaNICA!I2&lt;&gt;"",DigitaNICA!I2,"")</f>
        <v>08</v>
      </c>
      <c r="C17" s="89">
        <f>IF(DigitaNICA!I17&lt;&gt;"",DigitaNICA!I17,"")</f>
        <v>156450</v>
      </c>
      <c r="D17" s="42">
        <f>IF(C17="",0,C17*J$16)</f>
        <v>18774</v>
      </c>
      <c r="E17" s="89">
        <f>IF(DigitaNICA!J17&lt;&gt;"",DigitaNICA!J17,"")</f>
        <v>1050</v>
      </c>
      <c r="F17" s="42">
        <f>IF(E17="",0,E17*PREMIOS!F17)</f>
        <v>89250</v>
      </c>
      <c r="G17" s="90">
        <f t="shared" si="6"/>
        <v>48426</v>
      </c>
      <c r="I17" s="63" t="s">
        <v>38</v>
      </c>
      <c r="J17" s="64">
        <v>0.1</v>
      </c>
      <c r="K17" s="30">
        <f>MROUND(D6+D8+D10+D12+D14+D16+D18,50)</f>
        <v>7600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15000</v>
      </c>
    </row>
    <row r="19" spans="1:11" x14ac:dyDescent="0.35">
      <c r="A19" s="28" t="s">
        <v>97</v>
      </c>
      <c r="B19" s="132">
        <f>IF(DigitaPRIMERA!C2&lt;&gt;"",DigitaPRIMERA!C2,"")</f>
        <v>96</v>
      </c>
      <c r="C19" s="29">
        <f>IF(DigitaPRIMERA!$C$17&lt;&gt;"",DigitaPRIMERA!$C$17,"")</f>
        <v>88450</v>
      </c>
      <c r="D19" s="42">
        <f>IF(C19="",0,C19*J$18)</f>
        <v>10614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69336</v>
      </c>
      <c r="I19" s="63" t="s">
        <v>104</v>
      </c>
      <c r="J19" s="64">
        <v>0.12</v>
      </c>
      <c r="K19" s="30">
        <f>MROUND(D21+D22+D23,50)</f>
        <v>10550</v>
      </c>
    </row>
    <row r="20" spans="1:11" x14ac:dyDescent="0.35">
      <c r="A20" s="28" t="s">
        <v>98</v>
      </c>
      <c r="B20" s="132" t="str">
        <f>IF(DigitaPRIMERA!E2&lt;&gt;"",DigitaPRIMERA!E2,"")</f>
        <v>09</v>
      </c>
      <c r="C20" s="29">
        <f>IF(DigitaPRIMERA!$E$17&lt;&gt;"",DigitaPRIMERA!$E$17,"")</f>
        <v>36400</v>
      </c>
      <c r="D20" s="42">
        <f>IF(C20="",0,C20*J$18)</f>
        <v>4368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32032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86</v>
      </c>
      <c r="C21" s="29">
        <f>IF(DigitaHONDURAS!$C$17&lt;&gt;"",DigitaHONDURAS!$C$17,"")</f>
        <v>44400</v>
      </c>
      <c r="D21" s="42">
        <f>IF(C21="",0,C21*J$19)</f>
        <v>5328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39072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15</v>
      </c>
      <c r="C22" s="29">
        <f>IF(DigitaHONDURAS!$E$17&lt;&gt;"",DigitaHONDURAS!$E$17,"")</f>
        <v>17500</v>
      </c>
      <c r="D22" s="42">
        <f>IF(C22="",0,C22*J$19)</f>
        <v>2100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15400</v>
      </c>
    </row>
    <row r="23" spans="1:11" x14ac:dyDescent="0.35">
      <c r="A23" s="28" t="s">
        <v>101</v>
      </c>
      <c r="B23" s="132">
        <f>IF(DigitaHONDURAS!G2&lt;&gt;"",DigitaHONDURAS!G2,"")</f>
        <v>72</v>
      </c>
      <c r="C23" s="29">
        <f>IF(DigitaHONDURAS!$G$17&lt;&gt;"",DigitaHONDURAS!$G$17,"")</f>
        <v>26150</v>
      </c>
      <c r="D23" s="42">
        <f>IF(C23="",0,C23*J$19)</f>
        <v>3138</v>
      </c>
      <c r="E23" s="29">
        <f>IF(DigitaHONDURAS!$H$17&lt;&gt;"",DigitaHONDURAS!$H$17,"")</f>
        <v>250</v>
      </c>
      <c r="F23" s="42">
        <f>IF(E23="",0,E23*PREMIOS!F20)</f>
        <v>21250</v>
      </c>
      <c r="G23" s="30">
        <f t="shared" si="6"/>
        <v>1762</v>
      </c>
    </row>
    <row r="24" spans="1:11" x14ac:dyDescent="0.35">
      <c r="A24" s="28" t="s">
        <v>102</v>
      </c>
      <c r="B24" s="132">
        <f>IF(DigitaDOMINICANA!C2&lt;&gt;"",DigitaDOMINICANA!C2,"")</f>
        <v>68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1133850</v>
      </c>
      <c r="D27" s="68">
        <f t="shared" ref="D27:G27" si="7">SUM(D5:D26)</f>
        <v>134544</v>
      </c>
      <c r="E27" s="68">
        <f t="shared" si="7"/>
        <v>10500</v>
      </c>
      <c r="F27" s="68">
        <f t="shared" si="7"/>
        <v>862750</v>
      </c>
      <c r="G27" s="88">
        <f t="shared" si="7"/>
        <v>136556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169050</v>
      </c>
      <c r="K4" s="231">
        <f t="shared" ref="K4" si="0">D7+D11+D15</f>
        <v>20286</v>
      </c>
      <c r="L4" s="220">
        <f>F7+F11+F15</f>
        <v>522750</v>
      </c>
    </row>
    <row r="5" spans="1:12" x14ac:dyDescent="0.35">
      <c r="A5" s="28" t="str">
        <f>+Vendedor1!A5</f>
        <v>Nica 11am</v>
      </c>
      <c r="B5" s="132">
        <f>IF(DigitaNICA!C2&lt;&gt;"",DigitaNICA!C2,"")</f>
        <v>81</v>
      </c>
      <c r="C5" s="29">
        <f>IF(DigitaNICA!C18&lt;&gt;"",DigitaNICA!C18,"")</f>
        <v>51050</v>
      </c>
      <c r="D5" s="42">
        <f>IF(C5="",0,C5*J$16)</f>
        <v>6126</v>
      </c>
      <c r="E5" s="29">
        <f>IF(DigitaNICA!D18&lt;&gt;"",DigitaNICA!D18,"")</f>
        <v>250</v>
      </c>
      <c r="F5" s="42">
        <f>IF(E5="",0,E5*PREMIOS!F5)</f>
        <v>21250</v>
      </c>
      <c r="G5" s="30">
        <f t="shared" ref="G5:G12" si="1">IF(OR(C5="",E5=""),0,C5-D5-F5)</f>
        <v>23674</v>
      </c>
      <c r="I5" s="217" t="s">
        <v>37</v>
      </c>
      <c r="J5" s="221">
        <f>SUM(IF(C5="",0,C5),IF(C9="",0,C9),IF(C13="",0,C13),IF(C17="",0,C17))</f>
        <v>150700</v>
      </c>
      <c r="K5" s="225">
        <f t="shared" ref="K5" si="2">D5+D9+D13+D17</f>
        <v>18084</v>
      </c>
      <c r="L5" s="222">
        <f>F5+F9+F13+F17</f>
        <v>131750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44250</v>
      </c>
      <c r="K6" s="226">
        <f t="shared" ref="K6" si="3">+D8+D12+D16</f>
        <v>4425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76</v>
      </c>
      <c r="C7" s="29">
        <f>IF(DigitaTICA!C18&lt;&gt;"",DigitaTICA!C18,"")</f>
        <v>63100</v>
      </c>
      <c r="D7" s="42">
        <f>IF(C7="",0,C7*J$15)</f>
        <v>7572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55528</v>
      </c>
      <c r="I7" s="217" t="s">
        <v>96</v>
      </c>
      <c r="J7" s="223">
        <f>SUM(IF(C19="",0,C19),IF(C20="",0,C20))</f>
        <v>83550</v>
      </c>
      <c r="K7" s="226">
        <f>+D19+D20</f>
        <v>10026</v>
      </c>
      <c r="L7" s="227">
        <f>+F19+F20</f>
        <v>63750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12800</v>
      </c>
      <c r="D8" s="42">
        <f>IF(C8="",0,C8*J$17)</f>
        <v>1280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11520</v>
      </c>
      <c r="I8" s="217" t="s">
        <v>104</v>
      </c>
      <c r="J8" s="223">
        <f>SUM(IF(C21="",0,C21),IF(C22="",0,C22),IF(C23="",0,C23))</f>
        <v>52050</v>
      </c>
      <c r="K8" s="226">
        <f t="shared" ref="K8" si="4">D21+D22+D23</f>
        <v>6246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45</v>
      </c>
      <c r="C9" s="29">
        <f>IF(DigitaNICA!E18&lt;&gt;"",DigitaNICA!E18,"")</f>
        <v>44400</v>
      </c>
      <c r="D9" s="42">
        <f>IF(C9="",0,C9*J$16)</f>
        <v>5328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39072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IF(DigitaTICA!E18&lt;&gt;"",DigitaTICA!E18,"")</f>
        <v>39350</v>
      </c>
      <c r="D11" s="42">
        <f>IF(C11="",0,C11*J$15)</f>
        <v>4722</v>
      </c>
      <c r="E11" s="29">
        <f>IF(DigitaTICA!F18&lt;&gt;"",DigitaTICA!F18,"")</f>
        <v>250</v>
      </c>
      <c r="F11" s="42">
        <f>IF(E11="",0,E11*PREMIOS!F11)</f>
        <v>21250</v>
      </c>
      <c r="G11" s="30">
        <f t="shared" si="1"/>
        <v>13378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9100</v>
      </c>
      <c r="D12" s="42">
        <f>IF(C12="",0,C12*J$17)</f>
        <v>910</v>
      </c>
      <c r="E12" s="29">
        <f>IF(DigitaREVENTADO!F18&lt;&gt;"",DigitaREVENTADO!F18,"")</f>
        <v>250</v>
      </c>
      <c r="F12" s="42">
        <f>IF(E12="",0,E12*PREMIOS!F12)</f>
        <v>0</v>
      </c>
      <c r="G12" s="30">
        <f t="shared" si="1"/>
        <v>8190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42</v>
      </c>
      <c r="C13" s="29">
        <f>IF(DigitaNICA!G18&lt;&gt;"",DigitaNICA!G18,"")</f>
        <v>30800</v>
      </c>
      <c r="D13" s="42">
        <f>IF(C13="",0,C13*J$16)</f>
        <v>3696</v>
      </c>
      <c r="E13" s="29">
        <f>IF(DigitaNICA!H18&lt;&gt;"",DigitaNICA!H18,"")</f>
        <v>1100</v>
      </c>
      <c r="F13" s="42">
        <f>IF(E13="",0,E13*PREMIOS!F13)</f>
        <v>93500</v>
      </c>
      <c r="G13" s="30">
        <f>IF(OR(C13="",E13=""),0,C13-D13-F13)</f>
        <v>-66396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>02</v>
      </c>
      <c r="C15" s="29">
        <f>IF(DigitaTICA!G18&lt;&gt;"",DigitaTICA!G18,"")</f>
        <v>66600</v>
      </c>
      <c r="D15" s="42">
        <f>IF(C15="",0,C15*J$15)</f>
        <v>7992</v>
      </c>
      <c r="E15" s="29">
        <f>IF(DigitaTICA!H18&lt;&gt;"",DigitaTICA!H18,"")</f>
        <v>5900</v>
      </c>
      <c r="F15" s="42">
        <f>IF(E15="",0,E15*PREMIOS!F15)</f>
        <v>501500</v>
      </c>
      <c r="G15" s="30">
        <f t="shared" si="6"/>
        <v>-442892</v>
      </c>
      <c r="I15" s="76" t="s">
        <v>36</v>
      </c>
      <c r="J15" s="77">
        <v>0.12</v>
      </c>
      <c r="K15" s="78">
        <f>MROUND(D7+D11+D15,50)</f>
        <v>20300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22350</v>
      </c>
      <c r="D16" s="42">
        <f>IF(C16="",0,C16*J$17)</f>
        <v>2235</v>
      </c>
      <c r="E16" s="29">
        <f>IF(DigitaREVENTADO!H18&lt;&gt;"",DigitaREVENTADO!H18,"")</f>
        <v>700</v>
      </c>
      <c r="F16" s="42">
        <f>IF(E16="",0,E16*PREMIOS!F16)</f>
        <v>0</v>
      </c>
      <c r="G16" s="30">
        <f t="shared" si="6"/>
        <v>20115</v>
      </c>
      <c r="I16" s="63" t="s">
        <v>37</v>
      </c>
      <c r="J16" s="64">
        <v>0.12</v>
      </c>
      <c r="K16" s="30">
        <f>MROUND(D5+D9+D13+D17,50)</f>
        <v>18100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>08</v>
      </c>
      <c r="C17" s="29">
        <f>IF(DigitaNICA!I18&lt;&gt;"",DigitaNICA!I18,"")</f>
        <v>24450</v>
      </c>
      <c r="D17" s="42">
        <f>IF(C17="",0,C17*J$16)</f>
        <v>2934</v>
      </c>
      <c r="E17" s="29">
        <f>IF(DigitaNICA!J18&lt;&gt;"",DigitaNICA!J18,"")</f>
        <v>200</v>
      </c>
      <c r="F17" s="42">
        <f>IF(E17="",0,E17*PREMIOS!F17)</f>
        <v>17000</v>
      </c>
      <c r="G17" s="30">
        <f t="shared" si="6"/>
        <v>4516</v>
      </c>
      <c r="I17" s="63" t="s">
        <v>38</v>
      </c>
      <c r="J17" s="64">
        <v>0.1</v>
      </c>
      <c r="K17" s="30">
        <f>MROUND(D6+D8+D10+D12+D14+D16+D18,50)</f>
        <v>4450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10050</v>
      </c>
    </row>
    <row r="19" spans="1:11" x14ac:dyDescent="0.35">
      <c r="A19" s="28" t="s">
        <v>97</v>
      </c>
      <c r="B19" s="132">
        <f>IF(DigitaPRIMERA!C2&lt;&gt;"",DigitaPRIMERA!C2,"")</f>
        <v>96</v>
      </c>
      <c r="C19" s="29">
        <f>IF(DigitaPRIMERA!$C$18&lt;&gt;"",DigitaPRIMERA!$C$18,"")</f>
        <v>53350</v>
      </c>
      <c r="D19" s="42">
        <f>IF(C19="",0,C19*J$18)</f>
        <v>6402</v>
      </c>
      <c r="E19" s="29">
        <f>IF(DigitaPRIMERA!$D$18&lt;&gt;"",DigitaPRIMERA!$D$18,"")</f>
        <v>150</v>
      </c>
      <c r="F19" s="42">
        <f>IF(E19="",0,E19*PREMIOS!F19)</f>
        <v>12750</v>
      </c>
      <c r="G19" s="30">
        <f t="shared" si="6"/>
        <v>34198</v>
      </c>
      <c r="I19" s="63" t="s">
        <v>104</v>
      </c>
      <c r="J19" s="64">
        <v>0.12</v>
      </c>
      <c r="K19" s="30">
        <f>MROUND(D21+D22+D23,50)</f>
        <v>6250</v>
      </c>
    </row>
    <row r="20" spans="1:11" x14ac:dyDescent="0.35">
      <c r="A20" s="28" t="s">
        <v>98</v>
      </c>
      <c r="B20" s="132" t="str">
        <f>IF(DigitaPRIMERA!E2&lt;&gt;"",DigitaPRIMERA!E2,"")</f>
        <v>09</v>
      </c>
      <c r="C20" s="29">
        <f>IF(DigitaPRIMERA!$E$18&lt;&gt;"",DigitaPRIMERA!$E$18,"")</f>
        <v>30200</v>
      </c>
      <c r="D20" s="42">
        <f>IF(C20="",0,C20*J$18)</f>
        <v>3624</v>
      </c>
      <c r="E20" s="29">
        <f>IF(DigitaPRIMERA!$F$18&lt;&gt;"",DigitaPRIMERA!$F$18,"")</f>
        <v>600</v>
      </c>
      <c r="F20" s="42">
        <f>IF(E20="",0,E20*PREMIOS!F19)</f>
        <v>51000</v>
      </c>
      <c r="G20" s="30">
        <f t="shared" si="6"/>
        <v>-24424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86</v>
      </c>
      <c r="C21" s="29">
        <f>IF(DigitaHONDURAS!$C$18&lt;&gt;"",DigitaHONDURAS!$C$18,"")</f>
        <v>30250</v>
      </c>
      <c r="D21" s="42">
        <f>IF(C21="",0,C21*J$19)</f>
        <v>3630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26620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15</v>
      </c>
      <c r="C22" s="29">
        <f>IF(DigitaHONDURAS!$E$18&lt;&gt;"",DigitaHONDURAS!$E$18,"")</f>
        <v>12000</v>
      </c>
      <c r="D22" s="42">
        <f>IF(C22="",0,C22*J$19)</f>
        <v>1440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10560</v>
      </c>
    </row>
    <row r="23" spans="1:11" x14ac:dyDescent="0.35">
      <c r="A23" s="28" t="s">
        <v>101</v>
      </c>
      <c r="B23" s="132">
        <f>IF(DigitaHONDURAS!G2&lt;&gt;"",DigitaHONDURAS!G2,"")</f>
        <v>72</v>
      </c>
      <c r="C23" s="29">
        <f>IF(DigitaHONDURAS!$G$18&lt;&gt;"",DigitaHONDURAS!$G$18,"")</f>
        <v>9800</v>
      </c>
      <c r="D23" s="42">
        <f>IF(C23="",0,C23*J$19)</f>
        <v>1176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8624</v>
      </c>
    </row>
    <row r="24" spans="1:11" x14ac:dyDescent="0.35">
      <c r="A24" s="28" t="s">
        <v>102</v>
      </c>
      <c r="B24" s="132">
        <f>IF(DigitaDOMINICANA!C2&lt;&gt;"",DigitaDOMINICANA!C2,"")</f>
        <v>68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499600</v>
      </c>
      <c r="D27" s="68">
        <f t="shared" ref="D27:G27" si="7">SUM(D5:D26)</f>
        <v>59067</v>
      </c>
      <c r="E27" s="68">
        <f t="shared" si="7"/>
        <v>9400</v>
      </c>
      <c r="F27" s="68">
        <f t="shared" si="7"/>
        <v>718250</v>
      </c>
      <c r="G27" s="88">
        <f t="shared" si="7"/>
        <v>-277717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42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>02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>08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76</v>
      </c>
      <c r="D2" s="268"/>
      <c r="E2" s="267">
        <f>IF(PREMIOS!$B11="","",PREMIOS!$B11)</f>
        <v>18</v>
      </c>
      <c r="F2" s="268"/>
      <c r="G2" s="267" t="str">
        <f>IF(PREMIOS!$B15="","",PREMIOS!$B15)</f>
        <v>02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47400</v>
      </c>
      <c r="D4" s="78">
        <v>100</v>
      </c>
      <c r="E4" s="189">
        <v>22350</v>
      </c>
      <c r="F4" s="78">
        <f t="shared" ref="D4:H27" si="0">IF(E4="","",0)</f>
        <v>0</v>
      </c>
      <c r="G4" s="189">
        <v>104550</v>
      </c>
      <c r="H4" s="78">
        <f t="shared" si="0"/>
        <v>0</v>
      </c>
      <c r="J4" s="42">
        <f t="shared" ref="J4:J8" si="1">+C4+E4+G4</f>
        <v>174300</v>
      </c>
      <c r="K4" s="42">
        <f>IF(D4="",0,IF(F4="",D4,IF(H4="",D4+F4,D4+F4+H4)))</f>
        <v>100</v>
      </c>
    </row>
    <row r="5" spans="1:11" x14ac:dyDescent="0.35">
      <c r="A5" s="47">
        <v>2</v>
      </c>
      <c r="B5" s="178" t="str">
        <f>Vendedor2!$B$2</f>
        <v>PUESTO 2</v>
      </c>
      <c r="C5" s="180">
        <v>65950</v>
      </c>
      <c r="D5" s="30">
        <f t="shared" si="0"/>
        <v>0</v>
      </c>
      <c r="E5" s="180">
        <v>39100</v>
      </c>
      <c r="F5" s="30">
        <v>650</v>
      </c>
      <c r="G5" s="180">
        <v>93850</v>
      </c>
      <c r="H5" s="30">
        <f t="shared" si="0"/>
        <v>0</v>
      </c>
      <c r="J5" s="42">
        <f t="shared" si="1"/>
        <v>198900</v>
      </c>
      <c r="K5" s="42">
        <f t="shared" ref="K5:K27" si="2">IF(D5="",0,IF(F5="",D5,IF(H5="",D5+F5,D5+F5+H5)))</f>
        <v>650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>
        <v>1000</v>
      </c>
      <c r="H7" s="30">
        <f t="shared" si="0"/>
        <v>0</v>
      </c>
      <c r="J7" s="42">
        <f t="shared" si="1"/>
        <v>1000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106700</v>
      </c>
      <c r="D8" s="30">
        <v>750</v>
      </c>
      <c r="E8" s="180">
        <v>47200</v>
      </c>
      <c r="F8" s="30">
        <f t="shared" si="0"/>
        <v>0</v>
      </c>
      <c r="G8" s="180">
        <v>61650</v>
      </c>
      <c r="H8" s="30">
        <v>500</v>
      </c>
      <c r="J8" s="42">
        <f t="shared" si="1"/>
        <v>215550</v>
      </c>
      <c r="K8" s="42">
        <f t="shared" si="2"/>
        <v>1250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54850+115350</f>
        <v>170200</v>
      </c>
      <c r="D10" s="30">
        <v>2250</v>
      </c>
      <c r="E10" s="180">
        <f>37800+87900</f>
        <v>125700</v>
      </c>
      <c r="F10" s="30">
        <v>450</v>
      </c>
      <c r="G10" s="180">
        <f>46850+101400</f>
        <v>148250</v>
      </c>
      <c r="H10" s="30">
        <f>150+2550</f>
        <v>2700</v>
      </c>
      <c r="J10" s="42">
        <f t="shared" si="3"/>
        <v>444150</v>
      </c>
      <c r="K10" s="42">
        <f t="shared" si="2"/>
        <v>5400</v>
      </c>
    </row>
    <row r="11" spans="1:11" x14ac:dyDescent="0.35">
      <c r="A11" s="47">
        <v>8</v>
      </c>
      <c r="B11" s="178" t="str">
        <f>Vendedor8!$B$2</f>
        <v>ISA</v>
      </c>
      <c r="C11" s="180">
        <v>6700</v>
      </c>
      <c r="D11" s="30">
        <f t="shared" si="0"/>
        <v>0</v>
      </c>
      <c r="E11" s="180"/>
      <c r="F11" s="30" t="str">
        <f t="shared" si="0"/>
        <v/>
      </c>
      <c r="G11" s="180">
        <v>13500</v>
      </c>
      <c r="H11" s="30">
        <f t="shared" si="0"/>
        <v>0</v>
      </c>
      <c r="J11" s="42">
        <f t="shared" si="3"/>
        <v>20200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44350</v>
      </c>
      <c r="D12" s="30">
        <v>250</v>
      </c>
      <c r="E12" s="180">
        <v>23100</v>
      </c>
      <c r="F12" s="30">
        <f t="shared" si="0"/>
        <v>0</v>
      </c>
      <c r="G12" s="180">
        <v>28450</v>
      </c>
      <c r="H12" s="30">
        <f t="shared" si="0"/>
        <v>0</v>
      </c>
      <c r="J12" s="42">
        <f t="shared" si="3"/>
        <v>95900</v>
      </c>
      <c r="K12" s="42">
        <f t="shared" si="2"/>
        <v>250</v>
      </c>
    </row>
    <row r="13" spans="1:11" x14ac:dyDescent="0.35">
      <c r="A13" s="47">
        <v>10</v>
      </c>
      <c r="B13" s="178" t="str">
        <f>Vendedor10!$B$2</f>
        <v>MARIALIZ</v>
      </c>
      <c r="C13" s="180">
        <v>52100</v>
      </c>
      <c r="D13" s="30">
        <v>600</v>
      </c>
      <c r="E13" s="180">
        <v>27000</v>
      </c>
      <c r="F13" s="30">
        <v>900</v>
      </c>
      <c r="G13" s="180">
        <v>45250</v>
      </c>
      <c r="H13" s="30">
        <f t="shared" si="0"/>
        <v>0</v>
      </c>
      <c r="J13" s="42">
        <f t="shared" si="3"/>
        <v>124350</v>
      </c>
      <c r="K13" s="42">
        <f t="shared" si="2"/>
        <v>1500</v>
      </c>
    </row>
    <row r="14" spans="1:11" x14ac:dyDescent="0.35">
      <c r="A14" s="47">
        <v>11</v>
      </c>
      <c r="B14" s="178" t="str">
        <f>Vendedor11!$B$2</f>
        <v>CHARLY</v>
      </c>
      <c r="C14" s="180">
        <v>26450</v>
      </c>
      <c r="D14" s="30">
        <f t="shared" si="0"/>
        <v>0</v>
      </c>
      <c r="E14" s="180">
        <v>18850</v>
      </c>
      <c r="F14" s="30">
        <f t="shared" si="0"/>
        <v>0</v>
      </c>
      <c r="G14" s="180">
        <v>32700</v>
      </c>
      <c r="H14" s="30">
        <f t="shared" si="0"/>
        <v>0</v>
      </c>
      <c r="J14" s="42">
        <f t="shared" si="3"/>
        <v>78000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25700</v>
      </c>
      <c r="D16" s="30">
        <f t="shared" si="0"/>
        <v>0</v>
      </c>
      <c r="E16" s="180">
        <v>25700</v>
      </c>
      <c r="F16" s="30">
        <v>300</v>
      </c>
      <c r="G16" s="180">
        <v>28550</v>
      </c>
      <c r="H16" s="30">
        <v>250</v>
      </c>
      <c r="J16" s="42">
        <f t="shared" si="3"/>
        <v>79950</v>
      </c>
      <c r="K16" s="42">
        <f t="shared" si="2"/>
        <v>550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119650+39050</f>
        <v>158700</v>
      </c>
      <c r="D17" s="30">
        <f>2400+0</f>
        <v>2400</v>
      </c>
      <c r="E17" s="180">
        <f>57000+17950</f>
        <v>74950</v>
      </c>
      <c r="F17" s="30">
        <f>550+100</f>
        <v>650</v>
      </c>
      <c r="G17" s="180">
        <f>161200+39700</f>
        <v>200900</v>
      </c>
      <c r="H17" s="30">
        <f>4350+300</f>
        <v>4650</v>
      </c>
      <c r="J17" s="42">
        <f t="shared" si="3"/>
        <v>434550</v>
      </c>
      <c r="K17" s="42">
        <f t="shared" si="2"/>
        <v>7700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17500+45600</f>
        <v>63100</v>
      </c>
      <c r="D18" s="30">
        <f t="shared" si="0"/>
        <v>0</v>
      </c>
      <c r="E18" s="180">
        <f>29400+9950</f>
        <v>39350</v>
      </c>
      <c r="F18" s="30">
        <v>250</v>
      </c>
      <c r="G18" s="180">
        <f>25850+40750</f>
        <v>66600</v>
      </c>
      <c r="H18" s="30">
        <f>700+5200</f>
        <v>5900</v>
      </c>
      <c r="J18" s="42">
        <f t="shared" si="3"/>
        <v>169050</v>
      </c>
      <c r="K18" s="42">
        <f t="shared" si="2"/>
        <v>6150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767350</v>
      </c>
      <c r="D32" s="44">
        <f t="shared" si="6"/>
        <v>6350</v>
      </c>
      <c r="E32" s="43">
        <f t="shared" si="6"/>
        <v>443300</v>
      </c>
      <c r="F32" s="44">
        <f t="shared" si="6"/>
        <v>3200</v>
      </c>
      <c r="G32" s="43">
        <f t="shared" si="6"/>
        <v>825250</v>
      </c>
      <c r="H32" s="44">
        <f t="shared" si="6"/>
        <v>14000</v>
      </c>
      <c r="J32" s="95">
        <f>SUM(J4:J31)</f>
        <v>2035900</v>
      </c>
      <c r="K32" s="95"/>
    </row>
    <row r="33" spans="2:8" x14ac:dyDescent="0.35">
      <c r="D33" s="99">
        <f>+D32*85</f>
        <v>539750</v>
      </c>
      <c r="F33" s="99">
        <f>+F32*85</f>
        <v>272000</v>
      </c>
      <c r="H33" s="99">
        <f>+H32*85</f>
        <v>1190000</v>
      </c>
    </row>
    <row r="34" spans="2:8" x14ac:dyDescent="0.35">
      <c r="B34" s="247" t="s">
        <v>149</v>
      </c>
      <c r="C34" s="43">
        <f t="shared" ref="C34:H34" si="7">+C4+C5+C6+C8+C13</f>
        <v>272150</v>
      </c>
      <c r="D34" s="43" t="e">
        <f t="shared" si="7"/>
        <v>#VALUE!</v>
      </c>
      <c r="E34" s="43">
        <f t="shared" si="7"/>
        <v>135650</v>
      </c>
      <c r="F34" s="43" t="e">
        <f t="shared" si="7"/>
        <v>#VALUE!</v>
      </c>
      <c r="G34" s="43">
        <f t="shared" si="7"/>
        <v>305300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254950</v>
      </c>
      <c r="D35" s="43" t="e">
        <f t="shared" ref="D35:H35" si="8">+D11+D14+D15+D17+D18</f>
        <v>#VALUE!</v>
      </c>
      <c r="E35" s="43">
        <f t="shared" si="8"/>
        <v>133150</v>
      </c>
      <c r="F35" s="43" t="e">
        <f t="shared" si="8"/>
        <v>#VALUE!</v>
      </c>
      <c r="G35" s="43">
        <f t="shared" si="8"/>
        <v>313700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214550</v>
      </c>
      <c r="D36" s="43" t="e">
        <f t="shared" ref="D36:H36" si="9">+D10+D12+D27</f>
        <v>#VALUE!</v>
      </c>
      <c r="E36" s="43">
        <f t="shared" si="9"/>
        <v>148800</v>
      </c>
      <c r="F36" s="43" t="e">
        <f t="shared" si="9"/>
        <v>#VALUE!</v>
      </c>
      <c r="G36" s="43">
        <f t="shared" si="9"/>
        <v>176700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81</v>
      </c>
      <c r="D2" s="268"/>
      <c r="E2" s="267">
        <f>IF(PREMIOS!$B9="","",PREMIOS!$B9)</f>
        <v>45</v>
      </c>
      <c r="F2" s="268"/>
      <c r="G2" s="267">
        <f>IF(PREMIOS!$B13="","",PREMIOS!$B13)</f>
        <v>42</v>
      </c>
      <c r="H2" s="268"/>
      <c r="I2" s="267" t="str">
        <f>IF(PREMIOS!$B17="","",PREMIOS!$B17)</f>
        <v>08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51400</v>
      </c>
      <c r="D4" s="78">
        <v>300</v>
      </c>
      <c r="E4" s="206">
        <v>21250</v>
      </c>
      <c r="F4" s="78">
        <f t="shared" ref="D4:J27" si="0">IF(E4="","",0)</f>
        <v>0</v>
      </c>
      <c r="G4" s="189">
        <v>4700</v>
      </c>
      <c r="H4" s="78">
        <f t="shared" ref="H4:H27" si="1">IF(G4="","",0)</f>
        <v>0</v>
      </c>
      <c r="I4" s="189">
        <v>3250</v>
      </c>
      <c r="J4" s="78">
        <f t="shared" si="0"/>
        <v>0</v>
      </c>
      <c r="L4" s="42">
        <f t="shared" ref="L4:L8" si="2">+C4+E4+G4+I4</f>
        <v>80600</v>
      </c>
      <c r="M4" s="42">
        <f>IF(D4=0,0,IF(F4="",D4,IF(H4="",D4+F4,IF(J4="",D4+F4+H4,D4+F4+H4+J4))))</f>
        <v>300</v>
      </c>
    </row>
    <row r="5" spans="1:13" x14ac:dyDescent="0.35">
      <c r="A5" s="47">
        <v>2</v>
      </c>
      <c r="B5" s="178" t="str">
        <f>Vendedor2!$B$2</f>
        <v>PUESTO 2</v>
      </c>
      <c r="C5" s="180">
        <v>18600</v>
      </c>
      <c r="D5" s="30">
        <v>200</v>
      </c>
      <c r="E5" s="207"/>
      <c r="F5" s="30" t="str">
        <f t="shared" si="0"/>
        <v/>
      </c>
      <c r="G5" s="180">
        <v>4700</v>
      </c>
      <c r="H5" s="30">
        <f t="shared" si="1"/>
        <v>0</v>
      </c>
      <c r="I5" s="180">
        <v>2500</v>
      </c>
      <c r="J5" s="30">
        <f t="shared" ref="J5:J27" si="3">IF(I5="","",0)</f>
        <v>0</v>
      </c>
      <c r="L5" s="42">
        <f t="shared" si="2"/>
        <v>25800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68700</v>
      </c>
      <c r="D8" s="30">
        <v>1400</v>
      </c>
      <c r="E8" s="207">
        <v>45600</v>
      </c>
      <c r="F8" s="30">
        <v>400</v>
      </c>
      <c r="G8" s="180">
        <v>23850</v>
      </c>
      <c r="H8" s="30">
        <f t="shared" si="1"/>
        <v>0</v>
      </c>
      <c r="I8" s="180">
        <v>39700</v>
      </c>
      <c r="J8" s="30">
        <v>1350</v>
      </c>
      <c r="L8" s="42">
        <f t="shared" si="2"/>
        <v>177850</v>
      </c>
      <c r="M8" s="42">
        <f t="shared" si="4"/>
        <v>3150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40600+31800</f>
        <v>72400</v>
      </c>
      <c r="D10" s="30">
        <v>250</v>
      </c>
      <c r="E10" s="207">
        <f>30600+35700</f>
        <v>66300</v>
      </c>
      <c r="F10" s="30">
        <f t="shared" si="0"/>
        <v>0</v>
      </c>
      <c r="G10" s="180">
        <f>34900+39050</f>
        <v>73950</v>
      </c>
      <c r="H10" s="30">
        <f t="shared" si="0"/>
        <v>0</v>
      </c>
      <c r="I10" s="180">
        <f>48500+63150</f>
        <v>111650</v>
      </c>
      <c r="J10" s="30">
        <v>550</v>
      </c>
      <c r="L10" s="42">
        <f t="shared" si="5"/>
        <v>324300</v>
      </c>
      <c r="M10" s="42">
        <f t="shared" si="4"/>
        <v>800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32950</v>
      </c>
      <c r="D12" s="30">
        <v>150</v>
      </c>
      <c r="E12" s="207">
        <v>24700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57650</v>
      </c>
      <c r="M12" s="42">
        <f t="shared" si="4"/>
        <v>400</v>
      </c>
    </row>
    <row r="13" spans="1:13" x14ac:dyDescent="0.35">
      <c r="A13" s="47">
        <v>10</v>
      </c>
      <c r="B13" s="178" t="str">
        <f>Vendedor10!$B$2</f>
        <v>MARIALIZ</v>
      </c>
      <c r="C13" s="180">
        <v>55500</v>
      </c>
      <c r="D13" s="30">
        <f t="shared" si="0"/>
        <v>0</v>
      </c>
      <c r="E13" s="207">
        <v>22100</v>
      </c>
      <c r="F13" s="30">
        <f t="shared" si="0"/>
        <v>0</v>
      </c>
      <c r="G13" s="180">
        <v>3950</v>
      </c>
      <c r="H13" s="30">
        <f t="shared" si="0"/>
        <v>0</v>
      </c>
      <c r="I13" s="180">
        <v>3800</v>
      </c>
      <c r="J13" s="30">
        <f t="shared" si="0"/>
        <v>0</v>
      </c>
      <c r="L13" s="42">
        <f t="shared" si="5"/>
        <v>85350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10250</v>
      </c>
      <c r="D16" s="30">
        <v>100</v>
      </c>
      <c r="E16" s="207">
        <v>8100</v>
      </c>
      <c r="F16" s="30">
        <f t="shared" si="0"/>
        <v>0</v>
      </c>
      <c r="G16" s="180">
        <v>9200</v>
      </c>
      <c r="H16" s="30">
        <f t="shared" si="0"/>
        <v>0</v>
      </c>
      <c r="I16" s="180">
        <v>9000</v>
      </c>
      <c r="J16" s="30">
        <f t="shared" si="0"/>
        <v>0</v>
      </c>
      <c r="L16" s="42">
        <f t="shared" si="5"/>
        <v>36550</v>
      </c>
      <c r="M16" s="42">
        <f t="shared" si="4"/>
        <v>100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105750</v>
      </c>
      <c r="D17" s="30">
        <f t="shared" si="0"/>
        <v>0</v>
      </c>
      <c r="E17" s="207">
        <v>77600</v>
      </c>
      <c r="F17" s="30">
        <v>550</v>
      </c>
      <c r="G17" s="180">
        <v>70700</v>
      </c>
      <c r="H17" s="30">
        <v>500</v>
      </c>
      <c r="I17" s="180">
        <v>156450</v>
      </c>
      <c r="J17" s="30">
        <v>1050</v>
      </c>
      <c r="L17" s="42">
        <f t="shared" si="5"/>
        <v>410500</v>
      </c>
      <c r="M17" s="42">
        <f t="shared" si="4"/>
        <v>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51050</v>
      </c>
      <c r="D18" s="30">
        <v>250</v>
      </c>
      <c r="E18" s="207">
        <v>44400</v>
      </c>
      <c r="F18" s="30">
        <f t="shared" si="0"/>
        <v>0</v>
      </c>
      <c r="G18" s="180">
        <v>30800</v>
      </c>
      <c r="H18" s="30">
        <v>1100</v>
      </c>
      <c r="I18" s="180">
        <v>24450</v>
      </c>
      <c r="J18" s="30">
        <v>200</v>
      </c>
      <c r="L18" s="42">
        <f t="shared" si="5"/>
        <v>150700</v>
      </c>
      <c r="M18" s="42">
        <f t="shared" si="4"/>
        <v>1550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466600</v>
      </c>
      <c r="D32" s="44">
        <f t="shared" si="7"/>
        <v>2650</v>
      </c>
      <c r="E32" s="43">
        <f t="shared" si="7"/>
        <v>310050</v>
      </c>
      <c r="F32" s="44">
        <f t="shared" si="7"/>
        <v>1200</v>
      </c>
      <c r="G32" s="43">
        <f t="shared" si="7"/>
        <v>221850</v>
      </c>
      <c r="H32" s="44">
        <f t="shared" si="7"/>
        <v>1600</v>
      </c>
      <c r="I32" s="43">
        <f t="shared" si="7"/>
        <v>350800</v>
      </c>
      <c r="J32" s="44">
        <f t="shared" si="7"/>
        <v>3150</v>
      </c>
      <c r="L32" s="95">
        <f>SUM(L9:L31)</f>
        <v>1065050</v>
      </c>
      <c r="M32" s="95">
        <f>SUM(M9:M31)</f>
        <v>2850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76 Blanca</v>
      </c>
      <c r="D2" s="268"/>
      <c r="E2" s="267" t="str">
        <f>IF(E33=0,"",CONCATENATE(PREMIOS!$B11," ",PREMIOS!$B12))</f>
        <v>18 Blanca</v>
      </c>
      <c r="F2" s="268"/>
      <c r="G2" s="267" t="str">
        <f>IF(G33=0,"",CONCATENATE(PREMIOS!$B15," ",PREMIOS!$B16))</f>
        <v>02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23500+5650</f>
        <v>29150</v>
      </c>
      <c r="D10" s="30">
        <f t="shared" si="0"/>
        <v>0</v>
      </c>
      <c r="E10" s="180">
        <f>18500+2500</f>
        <v>21000</v>
      </c>
      <c r="F10" s="30">
        <f t="shared" si="0"/>
        <v>0</v>
      </c>
      <c r="G10" s="180">
        <f>23000+9100</f>
        <v>32100</v>
      </c>
      <c r="H10" s="30">
        <f>150+0</f>
        <v>150</v>
      </c>
      <c r="J10" s="42">
        <f t="shared" si="3"/>
        <v>82250</v>
      </c>
      <c r="K10" s="42">
        <f t="shared" si="4"/>
        <v>150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6500</v>
      </c>
      <c r="D12" s="30">
        <f t="shared" si="0"/>
        <v>0</v>
      </c>
      <c r="E12" s="180">
        <v>1200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7700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1800</v>
      </c>
      <c r="D16" s="195">
        <f t="shared" si="0"/>
        <v>0</v>
      </c>
      <c r="E16" s="194">
        <v>1800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3600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29650</v>
      </c>
      <c r="D17" s="30">
        <f t="shared" si="0"/>
        <v>0</v>
      </c>
      <c r="E17" s="180">
        <v>16850</v>
      </c>
      <c r="F17" s="195">
        <v>50</v>
      </c>
      <c r="G17" s="180">
        <v>29400</v>
      </c>
      <c r="H17" s="30">
        <v>300</v>
      </c>
      <c r="J17" s="42">
        <f t="shared" si="3"/>
        <v>75900</v>
      </c>
      <c r="K17" s="42">
        <f t="shared" si="4"/>
        <v>350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12800</v>
      </c>
      <c r="D18" s="30">
        <f t="shared" si="0"/>
        <v>0</v>
      </c>
      <c r="E18" s="180">
        <v>9100</v>
      </c>
      <c r="F18" s="30">
        <v>250</v>
      </c>
      <c r="G18" s="180">
        <v>22350</v>
      </c>
      <c r="H18" s="30">
        <v>700</v>
      </c>
      <c r="J18" s="42">
        <f t="shared" si="3"/>
        <v>44250</v>
      </c>
      <c r="K18" s="42">
        <f t="shared" si="4"/>
        <v>950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79900</v>
      </c>
      <c r="D33" s="44">
        <f t="shared" si="7"/>
        <v>0</v>
      </c>
      <c r="E33" s="43">
        <f t="shared" si="7"/>
        <v>49950</v>
      </c>
      <c r="F33" s="44">
        <f t="shared" si="7"/>
        <v>300</v>
      </c>
      <c r="G33" s="43">
        <f t="shared" si="7"/>
        <v>83850</v>
      </c>
      <c r="H33" s="44">
        <f t="shared" si="7"/>
        <v>1150</v>
      </c>
      <c r="J33" s="45">
        <f>SUM(J4:J32)</f>
        <v>213700</v>
      </c>
      <c r="K33" s="95">
        <f>SUM(K4:K32)</f>
        <v>1450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96</v>
      </c>
      <c r="D2" s="268"/>
      <c r="E2" s="267" t="str">
        <f>IF(PREMIOS!$C19="","",PREMIOS!$C19)</f>
        <v>09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16650</v>
      </c>
      <c r="D4" s="78">
        <f t="shared" ref="D4:F27" si="0">IF(C4="","",0)</f>
        <v>0</v>
      </c>
      <c r="E4" s="189">
        <v>100</v>
      </c>
      <c r="F4" s="78">
        <f t="shared" si="0"/>
        <v>0</v>
      </c>
      <c r="H4" s="42">
        <f>+C4+E4</f>
        <v>16750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2700</v>
      </c>
      <c r="D5" s="30">
        <f t="shared" si="0"/>
        <v>0</v>
      </c>
      <c r="E5" s="180">
        <v>1000</v>
      </c>
      <c r="F5" s="30">
        <f t="shared" ref="F5:F27" si="1">IF(E5="","",0)</f>
        <v>0</v>
      </c>
      <c r="H5" s="42">
        <f t="shared" ref="H5:H32" si="2">+C5+E5</f>
        <v>3700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49250</v>
      </c>
      <c r="D8" s="30">
        <f t="shared" si="0"/>
        <v>0</v>
      </c>
      <c r="E8" s="194">
        <v>15200</v>
      </c>
      <c r="F8" s="195">
        <v>100</v>
      </c>
      <c r="H8" s="42">
        <f t="shared" si="2"/>
        <v>64450</v>
      </c>
      <c r="I8" s="42">
        <f t="shared" si="3"/>
        <v>100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36500</v>
      </c>
      <c r="D10" s="30">
        <v>150</v>
      </c>
      <c r="E10" s="180">
        <f>17700+9450</f>
        <v>27150</v>
      </c>
      <c r="F10" s="195">
        <f>1000+200</f>
        <v>1200</v>
      </c>
      <c r="H10" s="42">
        <f t="shared" si="2"/>
        <v>63650</v>
      </c>
      <c r="I10" s="42">
        <f t="shared" si="3"/>
        <v>1350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45350</v>
      </c>
      <c r="D12" s="30">
        <v>250</v>
      </c>
      <c r="E12" s="194"/>
      <c r="F12" s="30" t="str">
        <f t="shared" si="0"/>
        <v/>
      </c>
      <c r="H12" s="42">
        <f t="shared" si="2"/>
        <v>45350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11100</v>
      </c>
      <c r="D16" s="195">
        <v>200</v>
      </c>
      <c r="E16" s="194"/>
      <c r="F16" s="195" t="str">
        <f t="shared" si="0"/>
        <v/>
      </c>
      <c r="H16" s="42">
        <f t="shared" si="2"/>
        <v>11100</v>
      </c>
      <c r="I16" s="42">
        <f t="shared" si="3"/>
        <v>200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88450</v>
      </c>
      <c r="D17" s="195">
        <v>100</v>
      </c>
      <c r="E17" s="180">
        <v>36400</v>
      </c>
      <c r="F17" s="30">
        <f t="shared" si="0"/>
        <v>0</v>
      </c>
      <c r="H17" s="42">
        <f t="shared" si="2"/>
        <v>124850</v>
      </c>
      <c r="I17" s="42">
        <f t="shared" si="3"/>
        <v>100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53350</v>
      </c>
      <c r="D18" s="195">
        <v>150</v>
      </c>
      <c r="E18" s="180">
        <v>30200</v>
      </c>
      <c r="F18" s="30">
        <v>600</v>
      </c>
      <c r="H18" s="42">
        <f t="shared" si="2"/>
        <v>83550</v>
      </c>
      <c r="I18" s="42">
        <f t="shared" si="3"/>
        <v>750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303350</v>
      </c>
      <c r="D33" s="44">
        <f>SUM(D4:D32)</f>
        <v>850</v>
      </c>
      <c r="E33" s="43">
        <f>SUM(E4:E32)</f>
        <v>110050</v>
      </c>
      <c r="F33" s="44">
        <f>SUM(F4:F32)</f>
        <v>1900</v>
      </c>
      <c r="H33" s="95">
        <f>SUM(H4:H32)</f>
        <v>413400</v>
      </c>
      <c r="I33" s="95">
        <f>SUM(I4:I32)</f>
        <v>2750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86</v>
      </c>
      <c r="D2" s="268"/>
      <c r="E2" s="267">
        <f>IF(PREMIOS!$C20="","",PREMIOS!$C20)</f>
        <v>15</v>
      </c>
      <c r="F2" s="268"/>
      <c r="G2" s="267">
        <f>IF(PREMIOS!$D20="","",PREMIOS!$D20)</f>
        <v>72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8600</v>
      </c>
      <c r="D10" s="195">
        <f t="shared" si="0"/>
        <v>0</v>
      </c>
      <c r="E10" s="180">
        <v>12400</v>
      </c>
      <c r="F10" s="30">
        <f t="shared" si="0"/>
        <v>0</v>
      </c>
      <c r="G10" s="180">
        <v>1700</v>
      </c>
      <c r="H10" s="195">
        <f t="shared" si="0"/>
        <v>0</v>
      </c>
      <c r="J10" s="42">
        <f t="shared" si="3"/>
        <v>22700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44400</v>
      </c>
      <c r="D17" s="195">
        <f t="shared" si="0"/>
        <v>0</v>
      </c>
      <c r="E17" s="194">
        <v>17500</v>
      </c>
      <c r="F17" s="195">
        <f t="shared" si="0"/>
        <v>0</v>
      </c>
      <c r="G17" s="194">
        <v>26150</v>
      </c>
      <c r="H17" s="195">
        <v>250</v>
      </c>
      <c r="J17" s="42">
        <f t="shared" si="3"/>
        <v>88050</v>
      </c>
      <c r="K17" s="42">
        <f t="shared" si="4"/>
        <v>250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30250</v>
      </c>
      <c r="D18" s="195">
        <f t="shared" si="0"/>
        <v>0</v>
      </c>
      <c r="E18" s="180">
        <v>12000</v>
      </c>
      <c r="F18" s="30">
        <f t="shared" si="1"/>
        <v>0</v>
      </c>
      <c r="G18" s="180">
        <v>9800</v>
      </c>
      <c r="H18" s="30">
        <f t="shared" si="2"/>
        <v>0</v>
      </c>
      <c r="J18" s="42">
        <f t="shared" si="3"/>
        <v>52050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83250</v>
      </c>
      <c r="D33" s="44">
        <f t="shared" si="6"/>
        <v>0</v>
      </c>
      <c r="E33" s="43">
        <f t="shared" si="6"/>
        <v>41900</v>
      </c>
      <c r="F33" s="44">
        <f t="shared" si="6"/>
        <v>0</v>
      </c>
      <c r="G33" s="43">
        <f t="shared" si="6"/>
        <v>37650</v>
      </c>
      <c r="H33" s="44">
        <f t="shared" si="6"/>
        <v>250</v>
      </c>
      <c r="J33" s="45">
        <f>SUM(J4:J32)</f>
        <v>162800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68</v>
      </c>
      <c r="D2" s="268"/>
      <c r="E2" s="267">
        <f>IF(PREMIOS!$C21="","",PREMIOS!$C21)</f>
        <v>42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50800</v>
      </c>
      <c r="D10" s="30">
        <f t="shared" si="0"/>
        <v>0</v>
      </c>
      <c r="E10" s="180">
        <v>48500</v>
      </c>
      <c r="F10" s="30">
        <v>1250</v>
      </c>
      <c r="H10" s="42">
        <f t="shared" si="2"/>
        <v>99300</v>
      </c>
      <c r="I10" s="42">
        <f t="shared" si="3"/>
        <v>1250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50800</v>
      </c>
      <c r="D33" s="44">
        <f>SUM(D4:D32)</f>
        <v>0</v>
      </c>
      <c r="E33" s="43">
        <f>SUM(E4:E32)</f>
        <v>48500</v>
      </c>
      <c r="F33" s="44">
        <f>SUM(F4:F32)</f>
        <v>1250</v>
      </c>
      <c r="H33" s="45">
        <f>SUM(H4:H32)</f>
        <v>99300</v>
      </c>
      <c r="I33" s="95">
        <f>SUM(I4:I32)</f>
        <v>1250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2026-05-06T17:33:31Z</dcterms:modified>
  <dc:language>es-CR</dc:language>
</cp:coreProperties>
</file>
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3" documentId="11_E4A1735E84685D93B63373E1224E09CF57187642" xr6:coauthVersionLast="47" xr6:coauthVersionMax="47" xr10:uidLastSave="{1C10FDB9-6CBB-4CDC-8EF7-1B0FD2C4859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30" i="14" l="1"/>
  <c r="B2" i="7"/>
  <c r="B2" i="6"/>
  <c r="B2" i="15"/>
  <c r="B2" i="14"/>
  <c r="B2" i="16"/>
  <c r="B2" i="21"/>
  <c r="B2" i="22"/>
  <c r="I5" i="69"/>
  <c r="K12" i="69"/>
  <c r="G10" i="64" l="1"/>
  <c r="C10" i="64"/>
  <c r="C10" i="65"/>
  <c r="G10" i="62"/>
  <c r="E10" i="62"/>
  <c r="D10" i="62"/>
  <c r="C10" i="62"/>
  <c r="I10" i="61"/>
  <c r="G10" i="61"/>
  <c r="F10" i="61"/>
  <c r="E10" i="61"/>
  <c r="C10" i="61"/>
  <c r="H10" i="60"/>
  <c r="G10" i="60"/>
  <c r="H17" i="60"/>
  <c r="G17" i="60"/>
  <c r="H18" i="60"/>
  <c r="G18" i="60"/>
  <c r="E10" i="60"/>
  <c r="D10" i="60"/>
  <c r="C10" i="60"/>
  <c r="F17" i="60"/>
  <c r="E17" i="60"/>
  <c r="E18" i="60"/>
  <c r="D17" i="60"/>
  <c r="C17" i="60"/>
  <c r="D18" i="60"/>
  <c r="C18" i="60"/>
  <c r="D18" i="64" l="1"/>
  <c r="D12" i="65"/>
  <c r="D11" i="65"/>
  <c r="D10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1" i="60"/>
  <c r="D36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8" i="65"/>
  <c r="F18" i="62"/>
  <c r="F10" i="62"/>
  <c r="D5" i="61"/>
  <c r="F16" i="61"/>
  <c r="D6" i="60"/>
  <c r="F16" i="60"/>
  <c r="F15" i="60"/>
  <c r="F14" i="60"/>
  <c r="F13" i="60"/>
  <c r="F11" i="60"/>
  <c r="F9" i="60"/>
  <c r="F8" i="60"/>
  <c r="F7" i="60"/>
  <c r="F6" i="60"/>
  <c r="F5" i="60"/>
  <c r="H16" i="60"/>
  <c r="H15" i="60"/>
  <c r="H12" i="60"/>
  <c r="H11" i="60"/>
  <c r="H9" i="60"/>
  <c r="H8" i="60"/>
  <c r="H7" i="60"/>
  <c r="H6" i="60"/>
  <c r="H5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5" i="60" l="1"/>
  <c r="H34" i="60"/>
  <c r="D35" i="60"/>
  <c r="F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C22" i="72"/>
  <c r="B22" i="72"/>
  <c r="F21" i="72"/>
  <c r="E21" i="72"/>
  <c r="D21" i="72"/>
  <c r="C21" i="72"/>
  <c r="B21" i="72"/>
  <c r="F20" i="72"/>
  <c r="J20" i="72" s="1"/>
  <c r="K20" i="72" s="1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E33" i="66" l="1"/>
  <c r="J28" i="72"/>
  <c r="K28" i="72" s="1"/>
  <c r="L28" i="71"/>
  <c r="M28" i="71" s="1"/>
  <c r="H21" i="72"/>
  <c r="H30" i="66"/>
  <c r="H21" i="70"/>
  <c r="J24" i="70"/>
  <c r="K24" i="70" s="1"/>
  <c r="J28" i="70"/>
  <c r="H30" i="70"/>
  <c r="K27" i="64"/>
  <c r="H32" i="66"/>
  <c r="H23" i="70"/>
  <c r="J26" i="70"/>
  <c r="K26" i="70" s="1"/>
  <c r="J30" i="70"/>
  <c r="L22" i="71"/>
  <c r="M22" i="71" s="1"/>
  <c r="L24" i="71"/>
  <c r="M24" i="71" s="1"/>
  <c r="J25" i="72"/>
  <c r="K25" i="72" s="1"/>
  <c r="J23" i="70"/>
  <c r="K23" i="70" s="1"/>
  <c r="J22" i="71"/>
  <c r="J30" i="71"/>
  <c r="K30" i="71" s="1"/>
  <c r="J22" i="72"/>
  <c r="K22" i="72" s="1"/>
  <c r="I25" i="72"/>
  <c r="N25" i="72" s="1"/>
  <c r="F25" i="29"/>
  <c r="F27" i="72"/>
  <c r="J32" i="64"/>
  <c r="L6" i="6"/>
  <c r="K20" i="19"/>
  <c r="K9" i="19"/>
  <c r="L21" i="71"/>
  <c r="M21" i="71" s="1"/>
  <c r="J31" i="71"/>
  <c r="D18" i="72"/>
  <c r="I15" i="72"/>
  <c r="N15" i="72" s="1"/>
  <c r="H24" i="72"/>
  <c r="H31" i="72"/>
  <c r="I31" i="72" s="1"/>
  <c r="N31" i="72" s="1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I24" i="70" s="1"/>
  <c r="N24" i="70" s="1"/>
  <c r="J7" i="19"/>
  <c r="F25" i="19"/>
  <c r="L9" i="19" s="1"/>
  <c r="F18" i="72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2" l="1"/>
  <c r="P22" i="71"/>
  <c r="H33" i="66"/>
  <c r="L27" i="70"/>
  <c r="J18" i="72"/>
  <c r="K18" i="72" s="1"/>
  <c r="K21" i="19"/>
  <c r="K10" i="19"/>
  <c r="K21" i="8"/>
  <c r="K10" i="8"/>
  <c r="L27" i="71"/>
  <c r="M27" i="71" s="1"/>
  <c r="N27" i="71"/>
  <c r="N27" i="72"/>
  <c r="K20" i="21"/>
  <c r="K10" i="21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4" i="23" l="1"/>
  <c r="J6" i="23"/>
  <c r="L5" i="23"/>
  <c r="M24" i="52"/>
  <c r="L4" i="23"/>
  <c r="M22" i="52"/>
  <c r="L6" i="23"/>
  <c r="C24" i="15"/>
  <c r="F17" i="52"/>
  <c r="M26" i="52"/>
  <c r="J5" i="23"/>
  <c r="M23" i="52"/>
  <c r="J5" i="19"/>
  <c r="M20" i="52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F13" i="29"/>
  <c r="G13" i="29" s="1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19" i="52" l="1"/>
  <c r="C32" i="61"/>
  <c r="I32" i="61"/>
  <c r="E32" i="61"/>
  <c r="K5" i="8"/>
  <c r="F32" i="60"/>
  <c r="D32" i="61"/>
  <c r="K4" i="23"/>
  <c r="H32" i="60"/>
  <c r="K5" i="23"/>
  <c r="G32" i="61"/>
  <c r="F32" i="61"/>
  <c r="L6" i="25"/>
  <c r="H32" i="61"/>
  <c r="G32" i="60"/>
  <c r="K6" i="23"/>
  <c r="K5" i="19"/>
  <c r="E32" i="60"/>
  <c r="J32" i="61"/>
  <c r="M27" i="52"/>
  <c r="D24" i="15"/>
  <c r="L6" i="22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7" i="52" l="1"/>
  <c r="K6" i="22"/>
  <c r="M4" i="52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5" i="58"/>
  <c r="P23" i="58"/>
  <c r="P20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F12" i="19"/>
  <c r="F12" i="8"/>
  <c r="F16" i="15"/>
  <c r="G16" i="15" s="1"/>
  <c r="F16" i="19"/>
  <c r="L6" i="19" s="1"/>
  <c r="F16" i="8"/>
  <c r="K5" i="52"/>
  <c r="C4" i="1" s="1"/>
  <c r="B4" i="1"/>
  <c r="K6" i="52"/>
  <c r="C5" i="1" s="1"/>
  <c r="B5" i="1"/>
  <c r="K23" i="52"/>
  <c r="C22" i="1" s="1"/>
  <c r="B22" i="1"/>
  <c r="K20" i="52"/>
  <c r="C19" i="1" s="1"/>
  <c r="B19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<sst xmlns="http://schemas.openxmlformats.org/spreadsheetml/2006/main" count="1294" uniqueCount="161">
  <si>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</si>
  <si>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</si>
  <si>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</si>
  <si>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</si>
  <si>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</si>
  <si>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</si>
  <si>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</si>
  <si>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</si>
  <si>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</si>
  <si>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</si>
  <si>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</si>
  <si>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</si>
  <si>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</si>
  <si>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</si>
  <si>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</si>
  <si>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</si>
  <si>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</si>
  <si>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</si>
  <si>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</si>
  <si>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</si>
  <si>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</si>
  <si>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</si>
  <si>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</si>
  <si>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</si>
  <si>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</si>
  <si>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</si>
  <si>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</si>
  <si>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</si>
  <si>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</si>
  <si>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</si>
  <si>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</si>
  <si>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</si>
  <si>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</si>
  <si>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</si>
  <si>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</si>
  <si>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</si>
  <si>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</si>
  <si>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</si>
  <si>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</si>
  <si>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</si>
  <si>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</si>
  <si>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</si>
  <si>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</si>
  <si>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</si>
  <si>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</si>
  <si>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</si>
  <si>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</si>
  <si>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</si>
  <si>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</si>
  <si>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</si>
  <si>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</si>
  <si>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</si>
  <si>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</si>
  <si>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</si>
  <si>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</si>
  <si>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</si>
  <si>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</si>
  <si>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</si>
  <si>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</si>
  <si>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</si>
  <si>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</si>
  <si>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</si>
  <si>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</si>
  <si>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</si>
  <si>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</si>
  <si>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</si>
  <si>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</si>
  <si>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</si>
  <si>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</si>
  <si>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</si>
  <si>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</si>
  <si>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</si>
  <si>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</si>
  <si>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</si>
  <si>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</si>
  <si>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</si>
  <si>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</si>
  <si>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</si>
  <si>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</si>
  <si>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</si>
  <si>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</si>
  <si>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</si>
  <si>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</si>
  <si>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</si>
  <si>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</si>
  <si>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</si>
  <si>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</si>
  <si>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</si>
  <si>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</si>
  <si>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</si>
  <si>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</si>
  <si>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</si>
  <si>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</si>
  <si>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</si>
  <si>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</si>
  <si>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</si>
  <si>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</si>
  <si>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</si>
  <si>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</si>
  <si>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</si>
  <si>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</si>
  <si>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</si>
  <si>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</si>
  <si>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</si>
  <si>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</si>
  <si>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</si>
  <si>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</si>
  <si>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</si>
  <si>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</si>
  <si>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</si>
  <si>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</si>
  <si>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</si>
  <si>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</si>
  <si>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</si>
  <si>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</si>
  <si>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</si>
  <si>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</si>
  <si>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</si>
  <si>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</si>
  <si>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</si>
  <si>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</si>
  <si>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</si>
  <si>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</si>
  <si>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</si>
  <si>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</si>
  <si>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</si>
  <si>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</si>
  <si>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</si>
  <si>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</si>
  <si>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</si>
  <si>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</si>
  <si>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</si>
  <si>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</si>
  <si>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</si>
  <si>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</si>
  <si>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</si>
  <si>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</si>
  <si>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</si>
  <si>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</si>
  <si>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</si>
  <si>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</si>
  <si>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</si>
  <si>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</si>
  <si>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</si>
  <si>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</si>
  <si>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</si>
  <si>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</si>
  <si>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</si>
  <si>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</si>
  <si>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</si>
  <si>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</si>
  <si>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</si>
  <si>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</si>
  <si>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</si>
  <si>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</si>
  <si>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</si>
  <si>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</si>
  <si>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</si>
  <si>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</si>
  <si>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06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</si>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</sst>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271850</v>
      </c>
      <c r="C3" s="9">
        <f>+HojaTICA!K4+HojaNICA!M4+HojaREVENTADO!K4+HojaPrimera!I4+HojaHonduras!K4+HojaDominicana!I4+HojaPANA!G4</f>
        <v>35350</v>
      </c>
      <c r="D3" s="9">
        <f>+HojaTICA!N4+HojaNICA!P4+HojaREVENTADO!O4+HojaPrimera!L4+HojaHonduras!N4+HojaDominicana!L4+HojaPANA!J4</f>
        <v>427750</v>
      </c>
      <c r="F3" s="10">
        <f t="shared" ref="F3:F27" si="0">+B3-C3-D3</f>
        <v>-191250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221700</v>
      </c>
      <c r="C4" s="9">
        <f>+HojaTICA!K5+HojaNICA!M5+HojaREVENTADO!K5+HojaPrimera!I5+HojaHonduras!K5+HojaDominicana!I5+HojaPANA!G5</f>
        <v>28800</v>
      </c>
      <c r="D4" s="9">
        <f>+HojaTICA!N5+HojaNICA!P5+HojaREVENTADO!O5+HojaPrimera!L5+HojaHonduras!N5+HojaDominicana!L5+HojaPANA!J5</f>
        <v>74000</v>
      </c>
      <c r="F4" s="14">
        <f t="shared" si="0"/>
        <v>118900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411400</v>
      </c>
      <c r="C7" s="9">
        <f>+HojaTICA!K8+HojaNICA!M8+HojaREVENTADO!K8+HojaPrimera!I8+HojaHonduras!K8+HojaDominicana!I8+HojaPANA!G8</f>
        <v>49350</v>
      </c>
      <c r="D7" s="9">
        <f>+HojaTICA!N8+HojaNICA!P8+HojaREVENTADO!O8+HojaPrimera!L8+HojaHonduras!N8+HojaDominicana!L8+HojaPANA!J8</f>
        <v>191250</v>
      </c>
      <c r="F7" s="14">
        <f t="shared" si="0"/>
        <v>170800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1077551</v>
      </c>
      <c r="C9" s="9">
        <f>+HojaTICA!K10+HojaNICA!M10+HojaREVENTADO!K10+HojaPrimera!I10+HojaHonduras!K10+HojaDominicana!I10+HojaPANA!G10</f>
        <v>127860.1</v>
      </c>
      <c r="D9" s="9">
        <f>+HojaTICA!N10+HojaNICA!P10+HojaREVENTADO!O10+HojaPrimera!L10+HojaHonduras!N10+HojaDominicana!L10+HojaPANA!J10</f>
        <v>908250</v>
      </c>
      <c r="F9" s="14">
        <f t="shared" si="0"/>
        <v>41440.900000000023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12000</v>
      </c>
      <c r="C10" s="9">
        <f>+HojaTICA!K11+HojaNICA!M11+HojaREVENTADO!K11+HojaPrimera!I11+HojaHonduras!K11+HojaDominicana!I11+HojaPANA!G11</f>
        <v>1450</v>
      </c>
      <c r="D10" s="9">
        <f>+HojaTICA!N11+HojaNICA!P11+HojaREVENTADO!O11+HojaPrimera!L11+HojaHonduras!N11+HojaDominicana!L11+HojaPANA!J11</f>
        <v>0</v>
      </c>
      <c r="F10" s="14">
        <f t="shared" si="0"/>
        <v>10550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92350</v>
      </c>
      <c r="C11" s="9">
        <f>+HojaTICA!K12+HojaNICA!M12+HojaREVENTADO!K12+HojaPrimera!I12+HojaHonduras!K12+HojaDominicana!I12+HojaPANA!G12</f>
        <v>11025</v>
      </c>
      <c r="D11" s="9">
        <f>+HojaTICA!N12+HojaNICA!P12+HojaREVENTADO!O12+HojaPrimera!L12+HojaHonduras!N12+HojaDominicana!L12+HojaPANA!J12</f>
        <v>63750</v>
      </c>
      <c r="F11" s="14">
        <f t="shared" si="0"/>
        <v>17575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179200</v>
      </c>
      <c r="C12" s="9">
        <f>+HojaTICA!K13+HojaNICA!M13+HojaREVENTADO!K13+HojaPrimera!I13+HojaHonduras!K13+HojaDominicana!I13+HojaPANA!G13</f>
        <v>21500</v>
      </c>
      <c r="D12" s="9">
        <f>+HojaTICA!N13+HojaNICA!P13+HojaREVENTADO!O13+HojaPrimera!L13+HojaHonduras!N13+HojaDominicana!L13+HojaPANA!J13</f>
        <v>456000</v>
      </c>
      <c r="F12" s="14">
        <f t="shared" si="0"/>
        <v>-298300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67100</v>
      </c>
      <c r="C13" s="9">
        <f>+HojaTICA!K14+HojaNICA!M14+HojaREVENTADO!K14+HojaPrimera!I14+HojaHonduras!K14+HojaDominicana!I14+HojaPANA!G14</f>
        <v>10050</v>
      </c>
      <c r="D13" s="9">
        <f>+HojaTICA!N14+HojaNICA!P14+HojaREVENTADO!O14+HojaPrimera!L14+HojaHonduras!N14+HojaDominicana!L14+HojaPANA!J14</f>
        <v>64000</v>
      </c>
      <c r="F13" s="14">
        <f t="shared" si="0"/>
        <v>-6950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80400</v>
      </c>
      <c r="C15" s="9">
        <f>+HojaTICA!K16+HojaNICA!M16+HojaREVENTADO!K16+HojaPrimera!I16+HojaHonduras!K16+HojaDominicana!I16+HojaPANA!G16</f>
        <v>9650</v>
      </c>
      <c r="D15" s="9">
        <f>+HojaTICA!N16+HojaNICA!P16+HojaREVENTADO!O16+HojaPrimera!L16+HojaHonduras!N16+HojaDominicana!L16+HojaPANA!J16</f>
        <v>29750</v>
      </c>
      <c r="F15" s="14">
        <f t="shared" si="0"/>
        <v>41000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867050</v>
      </c>
      <c r="C16" s="9">
        <f>+HojaTICA!K17+HojaNICA!M17+HojaREVENTADO!K17+HojaPrimera!I17+HojaHonduras!K17+HojaDominicana!I17+HojaPANA!G17</f>
        <v>102740</v>
      </c>
      <c r="D16" s="9">
        <f>+HojaTICA!N17+HojaNICA!P17+HojaREVENTADO!O17+HojaPrimera!L17+HojaHonduras!N17+HojaDominicana!L17+HojaPANA!J17</f>
        <v>938750</v>
      </c>
      <c r="F16" s="14">
        <f t="shared" si="0"/>
        <v>-174440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525750</v>
      </c>
      <c r="C17" s="9">
        <f>+HojaTICA!K18+HojaNICA!M18+HojaREVENTADO!K18+HojaPrimera!I18+HojaHonduras!K18+HojaDominicana!I18+HojaPANA!G18</f>
        <v>62235</v>
      </c>
      <c r="D17" s="9">
        <f>+HojaTICA!N18+HojaNICA!P18+HojaREVENTADO!O18+HojaPrimera!L18+HojaHonduras!N18+HojaDominicana!L18+HojaPANA!J18</f>
        <v>510500</v>
      </c>
      <c r="F17" s="14">
        <f t="shared" si="0"/>
        <v>-46985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-52500</v>
      </c>
      <c r="C26" s="9">
        <f>+HojaTICA!K27+HojaNICA!M27+HojaREVENTADO!K27+HojaPrimera!I27+HojaHonduras!K27+HojaDominicana!I27+HojaPANA!G27</f>
        <v>-6300</v>
      </c>
      <c r="D26" s="9">
        <f>+HojaTICA!N27+HojaNICA!P27+HojaREVENTADO!O27+HojaPrimera!L27+HojaHonduras!N27+HojaDominicana!L27+HojaPANA!J27</f>
        <v>-51000</v>
      </c>
      <c r="F26" s="14">
        <f t="shared" si="0"/>
        <v>4800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3753851</v>
      </c>
      <c r="C28" s="17">
        <f t="shared" si="1"/>
        <v>453710.1</v>
      </c>
      <c r="D28" s="18">
        <f t="shared" si="1"/>
        <v>3613000</v>
      </c>
      <c r="F28" s="20">
        <f>SUM(F3:F27)</f>
        <v>-312859.09999999998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27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61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57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19</v>
      </c>
      <c r="C19" s="132">
        <v>23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53</v>
      </c>
      <c r="C20" s="163" t="s">
        <v>159</v>
      </c>
      <c r="D20" s="166">
        <v>35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31</v>
      </c>
      <c r="C21" s="164" t="s">
        <v>160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21</v>
      </c>
      <c r="D2" s="268"/>
      <c r="E2" s="267">
        <f>DigitaTICA!E2</f>
        <v>83</v>
      </c>
      <c r="F2" s="268"/>
      <c r="G2" s="267">
        <f>DigitaTICA!G2</f>
        <v>61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66750</v>
      </c>
      <c r="D4" s="30">
        <f>IF(Vendedor1!$E$7="",0,Vendedor1!$E$7)</f>
        <v>3250</v>
      </c>
      <c r="E4" s="180">
        <f>IF(Vendedor1!$C$11="",0,Vendedor1!$C$11)</f>
        <v>40650</v>
      </c>
      <c r="F4" s="30">
        <f>IF(Vendedor1!$E$11="",0,Vendedor1!$E$11)</f>
        <v>1000</v>
      </c>
      <c r="G4" s="180">
        <f>IF(Vendedor1!$C$15="",0,Vendedor1!$C$15)</f>
        <v>108750</v>
      </c>
      <c r="H4" s="30">
        <f>IF(Vendedor1!$E$15="",0,Vendedor1!$E$15)</f>
        <v>500</v>
      </c>
      <c r="J4" s="42">
        <f t="shared" ref="J4:J7" si="0">+C4+E4+G4</f>
        <v>216150</v>
      </c>
      <c r="K4" s="41">
        <f>MROUND(J4*Vendedor1!J$9,50)</f>
        <v>28100</v>
      </c>
      <c r="L4" s="42">
        <f t="shared" ref="L4:L7" si="1">+D4+F4+H4</f>
        <v>4750</v>
      </c>
      <c r="M4" s="42">
        <f t="shared" ref="M4:M7" si="2">+L4*85</f>
        <v>403750</v>
      </c>
      <c r="N4" s="42">
        <f>Vendedor1!$F$7+Vendedor1!$F$11+Vendedor1!$F$15</f>
        <v>403750</v>
      </c>
      <c r="P4" s="42">
        <f t="shared" ref="P4:P7" si="3">+J4-K4-N4</f>
        <v>-215700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51150</v>
      </c>
      <c r="D5" s="30">
        <f>IF(Vendedor2!$E$7="",0,Vendedor2!$E$7)</f>
        <v>400</v>
      </c>
      <c r="E5" s="180">
        <f>IF(Vendedor2!$C$11="",0,Vendedor2!$C$11)</f>
        <v>43700</v>
      </c>
      <c r="F5" s="30">
        <f>IF(Vendedor2!$E$11="",0,Vendedor2!$E$11)</f>
        <v>0</v>
      </c>
      <c r="G5" s="180">
        <f>IF(Vendedor2!$C$15="",0,Vendedor2!$C$15)</f>
        <v>63400</v>
      </c>
      <c r="H5" s="30">
        <f>IF(Vendedor2!$E$15="",0,Vendedor2!$E$15)</f>
        <v>0</v>
      </c>
      <c r="J5" s="42">
        <f t="shared" si="0"/>
        <v>158250</v>
      </c>
      <c r="K5" s="41">
        <f>MROUND(J5*Vendedor2!J$9,50)</f>
        <v>20550</v>
      </c>
      <c r="L5" s="42">
        <f t="shared" si="1"/>
        <v>400</v>
      </c>
      <c r="M5" s="42">
        <f t="shared" si="2"/>
        <v>34000</v>
      </c>
      <c r="N5" s="42">
        <f>Vendedor2!$F$7+Vendedor2!$F$11+Vendedor2!$F$15</f>
        <v>34000</v>
      </c>
      <c r="P5" s="42">
        <f t="shared" si="3"/>
        <v>103700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77000</v>
      </c>
      <c r="D8" s="30">
        <f>IF(Vendedor5!$E$7="",0,Vendedor5!$E$7)</f>
        <v>650</v>
      </c>
      <c r="E8" s="180">
        <f>IF(Vendedor5!$C$11="",0,Vendedor5!$C$11)</f>
        <v>51700</v>
      </c>
      <c r="F8" s="30">
        <f>IF(Vendedor5!$E$11="",0,Vendedor5!$E$11)</f>
        <v>0</v>
      </c>
      <c r="G8" s="180">
        <f>IF(Vendedor5!$C$15="",0,Vendedor5!$C$15)</f>
        <v>49400</v>
      </c>
      <c r="H8" s="30">
        <f>IF(Vendedor5!$E$15="",0,Vendedor5!$E$15)</f>
        <v>0</v>
      </c>
      <c r="J8" s="42">
        <f t="shared" ref="J8" si="4">+C8+E8+G8</f>
        <v>178100</v>
      </c>
      <c r="K8" s="41">
        <f>MROUND(J8*Vendedor5!J$11,50)</f>
        <v>21350</v>
      </c>
      <c r="L8" s="42">
        <f t="shared" ref="L8" si="5">+D8+F8+H8</f>
        <v>650</v>
      </c>
      <c r="M8" s="42">
        <f t="shared" ref="M8" si="6">+L8*85</f>
        <v>55250</v>
      </c>
      <c r="N8" s="42">
        <f>Vendedor5!$F$7+Vendedor5!$F$11+Vendedor5!$F$15</f>
        <v>55250</v>
      </c>
      <c r="P8" s="42">
        <f t="shared" ref="P8" si="7">+J8-K8-N8</f>
        <v>101500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182400</v>
      </c>
      <c r="D10" s="30">
        <f>IF(Vendedor7!$E$7="",0,Vendedor7!$E$7)</f>
        <v>2800</v>
      </c>
      <c r="E10" s="180">
        <f>IF(Vendedor7!$C$11="",0,Vendedor7!$C$11)</f>
        <v>142350</v>
      </c>
      <c r="F10" s="30">
        <f>IF(Vendedor7!$E$11="",0,Vendedor7!$E$11)</f>
        <v>50</v>
      </c>
      <c r="G10" s="180">
        <f>IF(Vendedor7!$C$15="",0,Vendedor7!$C$15)</f>
        <v>183000</v>
      </c>
      <c r="H10" s="30">
        <f>IF(Vendedor7!$E$15="",0,Vendedor7!$E$15)</f>
        <v>2300</v>
      </c>
      <c r="J10" s="42">
        <f t="shared" si="8"/>
        <v>507750</v>
      </c>
      <c r="K10" s="41">
        <f>MROUND(J10*Vendedor7!J$14,50)</f>
        <v>60950</v>
      </c>
      <c r="L10" s="42">
        <f t="shared" si="9"/>
        <v>5150</v>
      </c>
      <c r="M10" s="42">
        <f t="shared" si="10"/>
        <v>437750</v>
      </c>
      <c r="N10" s="42">
        <f>Vendedor7!$F$7+Vendedor7!$F$11+Vendedor7!$F$15</f>
        <v>437750</v>
      </c>
      <c r="P10" s="42">
        <f t="shared" si="11"/>
        <v>9050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12000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12000</v>
      </c>
      <c r="K11" s="41">
        <f>MROUND(J11*Vendedor8!J$11,50)</f>
        <v>1450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10550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20700</v>
      </c>
      <c r="D12" s="30">
        <f>IF(Vendedor9!$E$7="",0,Vendedor9!$E$7)</f>
        <v>300</v>
      </c>
      <c r="E12" s="180">
        <f>IF(Vendedor9!$C$11="",0,Vendedor9!$C$11)</f>
        <v>15750</v>
      </c>
      <c r="F12" s="30">
        <f>IF(Vendedor9!$E$11="",0,Vendedor9!$E$11)</f>
        <v>300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36450</v>
      </c>
      <c r="K12" s="41">
        <f>MROUND(J12*Vendedor9!J$11,50)</f>
        <v>4350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-18900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51500</v>
      </c>
      <c r="D13" s="30">
        <f>IF(Vendedor10!$E$7="",0,Vendedor10!$E$7)</f>
        <v>3200</v>
      </c>
      <c r="E13" s="180">
        <f>IF(Vendedor10!$C$11="",0,Vendedor10!$C$11)</f>
        <v>19550</v>
      </c>
      <c r="F13" s="30">
        <f>IF(Vendedor10!$E$11="",0,Vendedor10!$E$11)</f>
        <v>0</v>
      </c>
      <c r="G13" s="180">
        <f>IF(Vendedor10!$C$15="",0,Vendedor10!$C$15)</f>
        <v>40050</v>
      </c>
      <c r="H13" s="30">
        <f>IF(Vendedor10!$E$15="",0,Vendedor10!$E$15)</f>
        <v>1600</v>
      </c>
      <c r="J13" s="42">
        <f t="shared" si="8"/>
        <v>111100</v>
      </c>
      <c r="K13" s="41">
        <f>MROUND(J13*Vendedor10!J$9,50)</f>
        <v>13350</v>
      </c>
      <c r="L13" s="42">
        <f t="shared" si="9"/>
        <v>4800</v>
      </c>
      <c r="M13" s="42">
        <f t="shared" si="10"/>
        <v>408000</v>
      </c>
      <c r="N13" s="42">
        <f>Vendedor10!$F$7+Vendedor10!$F$11+Vendedor10!$F$15</f>
        <v>408000</v>
      </c>
      <c r="P13" s="42">
        <f t="shared" si="11"/>
        <v>-310250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26650</v>
      </c>
      <c r="D14" s="30">
        <f>IF(Vendedor11!$E$7="",0,Vendedor11!$E$7)</f>
        <v>0</v>
      </c>
      <c r="E14" s="180">
        <f>IF(Vendedor11!$C$11="",0,Vendedor11!$C$11)</f>
        <v>16400</v>
      </c>
      <c r="F14" s="30">
        <f>IF(Vendedor11!$E$11="",0,Vendedor11!$E$11)</f>
        <v>0</v>
      </c>
      <c r="G14" s="180">
        <f>IF(Vendedor11!$C$15="",0,Vendedor11!$C$15)</f>
        <v>24050</v>
      </c>
      <c r="H14" s="30">
        <f>IF(Vendedor11!$E$15="",0,Vendedor11!$E$15)</f>
        <v>800</v>
      </c>
      <c r="J14" s="42">
        <f t="shared" si="8"/>
        <v>67100</v>
      </c>
      <c r="K14" s="41">
        <f>MROUND(J14*Vendedor11!J$9,50)</f>
        <v>10050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-6950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16300</v>
      </c>
      <c r="D16" s="30">
        <f>IF(Vendedor13!$E$7="",0,Vendedor13!$E$7)</f>
        <v>350</v>
      </c>
      <c r="E16" s="180">
        <f>IF(Vendedor13!$C$11="",0,Vendedor13!$C$11)</f>
        <v>20000</v>
      </c>
      <c r="F16" s="30">
        <f>IF(Vendedor13!$E$11="",0,Vendedor13!$E$11)</f>
        <v>0</v>
      </c>
      <c r="G16" s="180">
        <f>IF(Vendedor13!$C$15="",0,Vendedor13!$C$15)</f>
        <v>32500</v>
      </c>
      <c r="H16" s="30">
        <f>IF(Vendedor13!$E$15="",0,Vendedor13!$E$15)</f>
        <v>0</v>
      </c>
      <c r="J16" s="42">
        <f t="shared" si="8"/>
        <v>68800</v>
      </c>
      <c r="K16" s="41">
        <f>MROUND(J16*Vendedor13!J$11,50)</f>
        <v>8250</v>
      </c>
      <c r="L16" s="42">
        <f t="shared" si="9"/>
        <v>350</v>
      </c>
      <c r="M16" s="42">
        <f t="shared" si="10"/>
        <v>29750</v>
      </c>
      <c r="N16" s="42">
        <f>Vendedor13!$F$7+Vendedor13!$F$11+Vendedor13!$F$15</f>
        <v>29750</v>
      </c>
      <c r="P16" s="42">
        <f t="shared" si="11"/>
        <v>30800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114350</v>
      </c>
      <c r="D17" s="30">
        <f>IF(Vendedor14!$E$7="",0,Vendedor14!$E$7)</f>
        <v>2000</v>
      </c>
      <c r="E17" s="180">
        <f>IF(Vendedor14!$C$11="",0,Vendedor14!$C$11)</f>
        <v>75400</v>
      </c>
      <c r="F17" s="30">
        <f>IF(Vendedor14!$E$11="",0,Vendedor14!$E$11)</f>
        <v>200</v>
      </c>
      <c r="G17" s="180">
        <f>IF(Vendedor14!$C$15="",0,Vendedor14!$C$15)</f>
        <v>176000</v>
      </c>
      <c r="H17" s="30">
        <f>IF(Vendedor14!$E$15="",0,Vendedor14!$E$15)</f>
        <v>1000</v>
      </c>
      <c r="J17" s="42">
        <f t="shared" si="8"/>
        <v>365750</v>
      </c>
      <c r="K17" s="41">
        <f>MROUND(J17*Vendedor14!J$15,50)</f>
        <v>43900</v>
      </c>
      <c r="L17" s="42">
        <f t="shared" si="9"/>
        <v>3200</v>
      </c>
      <c r="M17" s="42">
        <f t="shared" si="10"/>
        <v>272000</v>
      </c>
      <c r="N17" s="42">
        <f>Vendedor14!$F$7+Vendedor14!$F$11+Vendedor14!$F$15</f>
        <v>272000</v>
      </c>
      <c r="P17" s="42">
        <f t="shared" si="11"/>
        <v>49850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36900</v>
      </c>
      <c r="D18" s="30">
        <f>IF(Vendedor15!$E$7="",0,Vendedor15!$E$7)</f>
        <v>2000</v>
      </c>
      <c r="E18" s="180">
        <f>IF(Vendedor15!$C$11="",0,Vendedor15!$C$11)</f>
        <v>46050</v>
      </c>
      <c r="F18" s="30">
        <f>IF(Vendedor15!$E$11="",0,Vendedor15!$E$11)</f>
        <v>200</v>
      </c>
      <c r="G18" s="180">
        <f>IF(Vendedor15!$C$15="",0,Vendedor15!$C$15)</f>
        <v>54350</v>
      </c>
      <c r="H18" s="30">
        <f>IF(Vendedor15!$E$15="",0,Vendedor15!$E$15)</f>
        <v>1200</v>
      </c>
      <c r="J18" s="42">
        <f t="shared" ref="J18" si="12">+C18+E18+G18</f>
        <v>137300</v>
      </c>
      <c r="K18" s="41">
        <f>MROUND(J18*Vendedor15!J$15,50)</f>
        <v>16500</v>
      </c>
      <c r="L18" s="42">
        <f t="shared" ref="L18" si="13">+D18+F18+H18</f>
        <v>3400</v>
      </c>
      <c r="M18" s="42">
        <f t="shared" ref="M18" si="14">+L18*85</f>
        <v>289000</v>
      </c>
      <c r="N18" s="42">
        <f>Vendedor15!$F$7+Vendedor15!$F$11+Vendedor15!$F$15</f>
        <v>289000</v>
      </c>
      <c r="P18" s="42">
        <f t="shared" ref="P18" si="15">+J18-K18-N18</f>
        <v>-168200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655700</v>
      </c>
      <c r="D32" s="44">
        <f t="shared" si="16"/>
        <v>14950</v>
      </c>
      <c r="E32" s="43">
        <f t="shared" si="16"/>
        <v>471550</v>
      </c>
      <c r="F32" s="44">
        <f t="shared" si="16"/>
        <v>1750</v>
      </c>
      <c r="G32" s="43">
        <f t="shared" si="16"/>
        <v>731500</v>
      </c>
      <c r="H32" s="44">
        <f t="shared" si="16"/>
        <v>7400</v>
      </c>
      <c r="J32" s="95">
        <f>SUM(J4:J31)</f>
        <v>1858750</v>
      </c>
      <c r="K32" s="45">
        <f>SUM(K7:K31)</f>
        <v>180150</v>
      </c>
      <c r="L32" s="95">
        <f>SUM(L4:L31)</f>
        <v>24100</v>
      </c>
      <c r="M32" s="95">
        <f>SUM(M4:M31)</f>
        <v>2048500</v>
      </c>
      <c r="N32" s="95">
        <f>SUM(N4:N31)</f>
        <v>2044500</v>
      </c>
      <c r="P32" s="79">
        <f>SUM(P4:P31)</f>
        <v>-414550</v>
      </c>
    </row>
    <row r="33" spans="3:13" x14ac:dyDescent="0.35">
      <c r="D33" s="99">
        <f>+D32*85</f>
        <v>1270750</v>
      </c>
      <c r="F33" s="99">
        <f>+F32*85</f>
        <v>148750</v>
      </c>
      <c r="H33" s="99">
        <f>+H32*85</f>
        <v>629000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1858750</v>
      </c>
      <c r="E36" s="43">
        <f>+D36-J4-J5-J6</f>
        <v>1484350</v>
      </c>
      <c r="G36" s="101"/>
    </row>
    <row r="37" spans="3:13" x14ac:dyDescent="0.35">
      <c r="C37" s="47" t="s">
        <v>33</v>
      </c>
      <c r="D37" s="48">
        <f>D36*13%</f>
        <v>241637.5</v>
      </c>
      <c r="E37">
        <f>+D37-K4-K5-K6</f>
        <v>192987.5</v>
      </c>
      <c r="G37" s="100"/>
      <c r="H37" s="100"/>
    </row>
    <row r="38" spans="3:13" ht="15" thickBot="1" x14ac:dyDescent="0.4">
      <c r="C38" s="47" t="s">
        <v>30</v>
      </c>
      <c r="D38" s="30">
        <f>M32</f>
        <v>2048500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-431387.5</v>
      </c>
      <c r="F39" s="98">
        <f>+P32-D39</f>
        <v>16837.5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-431387.5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27</v>
      </c>
      <c r="D2" s="268"/>
      <c r="E2" s="267">
        <f>DigitaNICA!E2</f>
        <v>23</v>
      </c>
      <c r="F2" s="268"/>
      <c r="G2" s="267">
        <f>DigitaNICA!G2</f>
        <v>91</v>
      </c>
      <c r="H2" s="268"/>
      <c r="I2" s="267">
        <f>DigitaNICA!I2</f>
        <v>57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26500</v>
      </c>
      <c r="D4" s="78">
        <f>IF(Vendedor1!$E$5="",0,Vendedor1!$E$5)</f>
        <v>300</v>
      </c>
      <c r="E4" s="189">
        <f>IF(Vendedor1!$C$9="",0,Vendedor1!$C$9)</f>
        <v>14450</v>
      </c>
      <c r="F4" s="78">
        <f>IF(Vendedor1!$E$9="",0,Vendedor1!$E$9)</f>
        <v>0</v>
      </c>
      <c r="G4" s="189">
        <f>IF(Vendedor1!$C$13="",0,Vendedor1!$C$13)</f>
        <v>2450</v>
      </c>
      <c r="H4" s="78">
        <f>IF(Vendedor1!$E$13="",0,Vendedor1!$E$13)</f>
        <v>0</v>
      </c>
      <c r="I4" s="189">
        <f>IF(Vendedor1!$C$17="",0,Vendedor1!$C$17)</f>
        <v>3400</v>
      </c>
      <c r="J4" s="78">
        <f>IF(Vendedor1!$E$17="",0,Vendedor1!$E$17)</f>
        <v>0</v>
      </c>
      <c r="L4" s="42">
        <f t="shared" ref="L4:L7" si="0">C4+E4+G4+I4</f>
        <v>46800</v>
      </c>
      <c r="M4" s="41">
        <f>MROUND(L4*Vendedor1!J$10,50)</f>
        <v>6100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15200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19050</v>
      </c>
      <c r="D5" s="30">
        <f>IF(Vendedor2!$E$5="",0,Vendedor2!$E$5)</f>
        <v>0</v>
      </c>
      <c r="E5" s="180">
        <f>IF(Vendedor2!$C$9="",0,Vendedor2!$C$9)</f>
        <v>8000</v>
      </c>
      <c r="F5" s="30">
        <f>IF(Vendedor2!$E$9="",0,Vendedor2!$E$9)</f>
        <v>0</v>
      </c>
      <c r="G5" s="180">
        <f>IF(Vendedor2!$C$13="",0,Vendedor2!$C$13)</f>
        <v>22400</v>
      </c>
      <c r="H5" s="30">
        <f>IF(Vendedor2!$E$13="",0,Vendedor2!$E$13)</f>
        <v>0</v>
      </c>
      <c r="I5" s="180">
        <f>IF(Vendedor2!$C$17="",0,Vendedor2!$C$17)</f>
        <v>11000</v>
      </c>
      <c r="J5" s="30">
        <f>IF(Vendedor2!$E$17="",0,Vendedor2!$E$17)</f>
        <v>0</v>
      </c>
      <c r="L5" s="42">
        <f t="shared" si="0"/>
        <v>60450</v>
      </c>
      <c r="M5" s="41">
        <f>MROUND(L5*Vendedor2!J$10,50)</f>
        <v>7850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52600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84300</v>
      </c>
      <c r="D8" s="30">
        <f>IF(Vendedor5!$E$5="",0,Vendedor5!$E$5)</f>
        <v>500</v>
      </c>
      <c r="E8" s="180">
        <f>IF(Vendedor5!$C$9="",0,Vendedor5!$C$9)</f>
        <v>61500</v>
      </c>
      <c r="F8" s="30">
        <f>IF(Vendedor5!$E$9="",0,Vendedor5!$E$9)</f>
        <v>300</v>
      </c>
      <c r="G8" s="180">
        <f>IF(Vendedor5!$C$13="",0,Vendedor5!$C$13)</f>
        <v>5900</v>
      </c>
      <c r="H8" s="30">
        <f>IF(Vendedor5!$E$13="",0,Vendedor5!$E$13)</f>
        <v>0</v>
      </c>
      <c r="I8" s="180">
        <f>IF(Vendedor5!$C$17="",0,Vendedor5!$C$17)</f>
        <v>44050</v>
      </c>
      <c r="J8" s="30">
        <f>IF(Vendedor5!$E$17="",0,Vendedor5!$E$17)</f>
        <v>450</v>
      </c>
      <c r="L8" s="42">
        <f t="shared" ref="L8" si="4">C8+E8+G8+I8</f>
        <v>195750</v>
      </c>
      <c r="M8" s="41">
        <f>MROUND(L8*Vendedor5!J$12,50)</f>
        <v>23500</v>
      </c>
      <c r="N8" s="42">
        <f t="shared" ref="N8" si="5">D8+F8+H8+J8</f>
        <v>1250</v>
      </c>
      <c r="O8" s="41">
        <f t="shared" si="3"/>
        <v>106250</v>
      </c>
      <c r="P8" s="42">
        <f>Vendedor5!$F$5+Vendedor5!$F$9+Vendedor5!$F$13+Vendedor5!$F$17</f>
        <v>100000</v>
      </c>
      <c r="Q8">
        <v>17</v>
      </c>
      <c r="R8" s="41">
        <f t="shared" ref="R8" si="6">+L8-M8-O8</f>
        <v>66000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108550</v>
      </c>
      <c r="D10" s="30">
        <f>IF(Vendedor7!$E$5="",0,Vendedor7!$E$5)</f>
        <v>550</v>
      </c>
      <c r="E10" s="180">
        <f>IF(Vendedor7!$C$9="",0,Vendedor7!$C$9)</f>
        <v>85550</v>
      </c>
      <c r="F10" s="30">
        <f>IF(Vendedor7!$E$9="",0,Vendedor7!$E$9)</f>
        <v>600</v>
      </c>
      <c r="G10" s="180">
        <f>IF(Vendedor7!$C$13="",0,Vendedor7!$C$13)</f>
        <v>55600</v>
      </c>
      <c r="H10" s="30">
        <f>IF(Vendedor7!$E$13="",0,Vendedor7!$E$13)</f>
        <v>0</v>
      </c>
      <c r="I10" s="180">
        <f>IF(Vendedor7!$C$17="",0,Vendedor7!$C$17)</f>
        <v>112150</v>
      </c>
      <c r="J10" s="30">
        <f>IF(Vendedor7!$E$17="",0,Vendedor7!$E$17)</f>
        <v>150</v>
      </c>
      <c r="L10" s="42">
        <f t="shared" si="7"/>
        <v>361850</v>
      </c>
      <c r="M10" s="41">
        <f>MROUND(L10*Vendedor7!J$15,50)</f>
        <v>43400</v>
      </c>
      <c r="N10" s="42">
        <f t="shared" ref="N10:N27" si="9">D10+F10+H10+J10</f>
        <v>1300</v>
      </c>
      <c r="O10" s="41">
        <f t="shared" si="3"/>
        <v>110500</v>
      </c>
      <c r="P10" s="42">
        <f>Vendedor7!$F$5+Vendedor7!$F$9+Vendedor7!$F$13+Vendedor7!$F$17</f>
        <v>110500</v>
      </c>
      <c r="R10" s="41">
        <f t="shared" si="8"/>
        <v>207950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15150</v>
      </c>
      <c r="D12" s="30">
        <f>IF(Vendedor9!$E$5="",0,Vendedor9!$E$5)</f>
        <v>150</v>
      </c>
      <c r="E12" s="180">
        <f>IF(Vendedor9!$C$9="",0,Vendedor9!$C$9)</f>
        <v>8900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24050</v>
      </c>
      <c r="M12" s="41">
        <f>MROUND(L12*Vendedor9!J$12,50)</f>
        <v>2900</v>
      </c>
      <c r="N12" s="42">
        <f t="shared" si="9"/>
        <v>150</v>
      </c>
      <c r="O12" s="41">
        <f t="shared" si="3"/>
        <v>12750</v>
      </c>
      <c r="P12" s="42">
        <f>Vendedor9!$F$5+Vendedor9!$F$9+Vendedor9!$F$13+Vendedor9!$F$17</f>
        <v>12750</v>
      </c>
      <c r="R12" s="41">
        <f t="shared" si="8"/>
        <v>8400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35600</v>
      </c>
      <c r="D13" s="30">
        <f>IF(Vendedor10!$E$5="",0,Vendedor10!$E$5)</f>
        <v>0</v>
      </c>
      <c r="E13" s="180">
        <f>IF(Vendedor10!$C$9="",0,Vendedor10!$C$9)</f>
        <v>13800</v>
      </c>
      <c r="F13" s="30">
        <f>IF(Vendedor10!$E$9="",0,Vendedor10!$E$9)</f>
        <v>0</v>
      </c>
      <c r="G13" s="180">
        <f>IF(Vendedor10!$C$13="",0,Vendedor10!$C$13)</f>
        <v>16750</v>
      </c>
      <c r="H13" s="30">
        <f>IF(Vendedor10!$E$13="",0,Vendedor10!$E$13)</f>
        <v>600</v>
      </c>
      <c r="I13" s="180">
        <f>IF(Vendedor10!$C$17="",0,Vendedor10!$C$17)</f>
        <v>1950</v>
      </c>
      <c r="J13" s="30">
        <f>IF(Vendedor10!$E$17="",0,Vendedor10!$E$17)</f>
        <v>0</v>
      </c>
      <c r="L13" s="42">
        <f t="shared" si="7"/>
        <v>68100</v>
      </c>
      <c r="M13" s="41">
        <f>MROUND(L13*Vendedor10!J$10,50)</f>
        <v>8150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8950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3400</v>
      </c>
      <c r="D16" s="30">
        <f>IF(Vendedor13!$E$5="",0,Vendedor13!$E$5)</f>
        <v>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5000</v>
      </c>
      <c r="H16" s="30">
        <f>IF(Vendedor13!$E$13="",0,Vendedor13!$E$13)</f>
        <v>0</v>
      </c>
      <c r="I16" s="180">
        <f>IF(Vendedor13!$C$17="",0,Vendedor13!$C$17)</f>
        <v>1400</v>
      </c>
      <c r="J16" s="30">
        <f>IF(Vendedor13!$E$17="",0,Vendedor13!$E$17)</f>
        <v>0</v>
      </c>
      <c r="L16" s="42">
        <f t="shared" si="7"/>
        <v>9800</v>
      </c>
      <c r="M16" s="41">
        <f>MROUND(L16*Vendedor13!J$12,50)</f>
        <v>1200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8600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62300</v>
      </c>
      <c r="D17" s="30">
        <f>IF(Vendedor14!$E$5="",0,Vendedor14!$E$5)</f>
        <v>50</v>
      </c>
      <c r="E17" s="180">
        <f>IF(Vendedor14!$C$9="",0,Vendedor14!$C$9)</f>
        <v>62500</v>
      </c>
      <c r="F17" s="30">
        <f>IF(Vendedor14!$E$9="",0,Vendedor14!$E$9)</f>
        <v>1350</v>
      </c>
      <c r="G17" s="180">
        <f>IF(Vendedor14!$C$13="",0,Vendedor14!$C$13)</f>
        <v>43900</v>
      </c>
      <c r="H17" s="30">
        <f>IF(Vendedor14!$E$13="",0,Vendedor14!$E$13)</f>
        <v>900</v>
      </c>
      <c r="I17" s="180">
        <f>IF(Vendedor14!$C$17="",0,Vendedor14!$C$17)</f>
        <v>127800</v>
      </c>
      <c r="J17" s="30">
        <f>IF(Vendedor14!$E$17="",0,Vendedor14!$E$17)</f>
        <v>1200</v>
      </c>
      <c r="L17" s="42">
        <f>C17+E17+G17+I17</f>
        <v>296500</v>
      </c>
      <c r="M17" s="41">
        <f>MROUND(L17*Vendedor14!J$16,50)</f>
        <v>35600</v>
      </c>
      <c r="N17" s="42">
        <f t="shared" si="9"/>
        <v>3500</v>
      </c>
      <c r="O17" s="41">
        <f t="shared" si="3"/>
        <v>297500</v>
      </c>
      <c r="P17" s="42">
        <f>Vendedor14!$F$5+Vendedor14!$F$9+Vendedor14!$F$13+Vendedor14!$F$17</f>
        <v>297500</v>
      </c>
      <c r="R17" s="41">
        <f t="shared" si="8"/>
        <v>-36600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73550</v>
      </c>
      <c r="D18" s="30">
        <f>IF(Vendedor15!$E$5="",0,Vendedor15!$E$5)</f>
        <v>1100</v>
      </c>
      <c r="E18" s="180">
        <f>IF(Vendedor15!$C$9="",0,Vendedor15!$C$9)</f>
        <v>68200</v>
      </c>
      <c r="F18" s="30">
        <f>IF(Vendedor15!$E$9="",0,Vendedor15!$E$9)</f>
        <v>100</v>
      </c>
      <c r="G18" s="180">
        <f>IF(Vendedor15!$C$13="",0,Vendedor15!$C$13)</f>
        <v>50400</v>
      </c>
      <c r="H18" s="30">
        <f>IF(Vendedor15!$E$13="",0,Vendedor15!$E$13)</f>
        <v>0</v>
      </c>
      <c r="I18" s="180">
        <f>IF(Vendedor15!$C$17="",0,Vendedor15!$C$17)</f>
        <v>7700</v>
      </c>
      <c r="J18" s="30">
        <f>IF(Vendedor15!$E$17="",0,Vendedor15!$E$17)</f>
        <v>0</v>
      </c>
      <c r="L18" s="42">
        <f t="shared" ref="L18:L27" si="10">C18+E18+G18+I18</f>
        <v>199850</v>
      </c>
      <c r="M18" s="41">
        <f>MROUND(L18*Vendedor15!J$16,50)</f>
        <v>24000</v>
      </c>
      <c r="N18" s="42">
        <f t="shared" si="9"/>
        <v>1200</v>
      </c>
      <c r="O18" s="41">
        <f t="shared" si="3"/>
        <v>102000</v>
      </c>
      <c r="P18" s="42">
        <f>Vendedor15!$F$5+Vendedor15!$F$9+Vendedor15!$F$13+Vendedor15!$F$17</f>
        <v>102000</v>
      </c>
      <c r="R18" s="41">
        <f t="shared" si="8"/>
        <v>73850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-52500</v>
      </c>
      <c r="H27" s="50">
        <f>IF(Vendedor24!$E$13="",0,Vendedor24!$E$13)</f>
        <v>-600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-52500</v>
      </c>
      <c r="M27" s="41">
        <f>IF((L27*Vendedor24!J$10)&lt;0,MROUND(L27*Vendedor24!J$10,-50),MROUND(L27*Vendedor24!J$10,50))</f>
        <v>-6300</v>
      </c>
      <c r="N27" s="42">
        <f t="shared" si="9"/>
        <v>-600</v>
      </c>
      <c r="O27" s="41">
        <f t="shared" si="3"/>
        <v>-51000</v>
      </c>
      <c r="P27" s="42">
        <f>Vendedor24!$F$5+Vendedor24!$F$9+Vendedor24!$F$13+Vendedor24!$F$17</f>
        <v>-51000</v>
      </c>
      <c r="R27" s="41">
        <f t="shared" si="8"/>
        <v>4800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428400</v>
      </c>
      <c r="D32" s="44">
        <f t="shared" si="14"/>
        <v>2650</v>
      </c>
      <c r="E32" s="43">
        <f t="shared" si="14"/>
        <v>322900</v>
      </c>
      <c r="F32" s="44">
        <f t="shared" si="14"/>
        <v>2350</v>
      </c>
      <c r="G32" s="43">
        <f t="shared" si="14"/>
        <v>149900</v>
      </c>
      <c r="H32" s="44">
        <f t="shared" si="14"/>
        <v>900</v>
      </c>
      <c r="I32" s="43">
        <f t="shared" si="14"/>
        <v>309450</v>
      </c>
      <c r="J32" s="44">
        <f t="shared" si="14"/>
        <v>1800</v>
      </c>
      <c r="L32" s="45">
        <f>SUM(L4:L31)</f>
        <v>1210650</v>
      </c>
      <c r="M32" s="45">
        <f>SUM(M7:M31)</f>
        <v>132450</v>
      </c>
      <c r="N32" s="95">
        <f>SUM(N4:N31)</f>
        <v>7700</v>
      </c>
      <c r="O32" s="46">
        <f>SUM(O4:O31)</f>
        <v>654500</v>
      </c>
      <c r="P32" s="140">
        <f>SUM(P4:P31)</f>
        <v>643750</v>
      </c>
      <c r="R32" s="79">
        <f>SUM(R4:R31)</f>
        <v>409750</v>
      </c>
    </row>
    <row r="33" spans="3:15" x14ac:dyDescent="0.35">
      <c r="D33" s="120">
        <f>+D32*85</f>
        <v>225250</v>
      </c>
      <c r="F33" s="120">
        <f>+F32*85</f>
        <v>199750</v>
      </c>
      <c r="H33" s="120">
        <f>+H32*85</f>
        <v>76500</v>
      </c>
      <c r="J33" s="120">
        <f>+J32*85</f>
        <v>153000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1210650</v>
      </c>
      <c r="E36" s="43">
        <f>+D36-L4-L5-L6</f>
        <v>1103400</v>
      </c>
    </row>
    <row r="37" spans="3:15" x14ac:dyDescent="0.35">
      <c r="C37" s="47" t="s">
        <v>33</v>
      </c>
      <c r="D37" s="48">
        <f>D36*13%</f>
        <v>157384.5</v>
      </c>
      <c r="E37">
        <f>+D37-M4-M5-M6</f>
        <v>143434.5</v>
      </c>
    </row>
    <row r="38" spans="3:15" x14ac:dyDescent="0.35">
      <c r="C38" s="47" t="s">
        <v>30</v>
      </c>
      <c r="D38" s="30">
        <f>SUM(O4:O27)</f>
        <v>654500</v>
      </c>
      <c r="G38" s="100"/>
    </row>
    <row r="39" spans="3:15" ht="15" thickBot="1" x14ac:dyDescent="0.4">
      <c r="C39" s="49" t="s">
        <v>4</v>
      </c>
      <c r="D39" s="80">
        <f>+D36-D37-D38</f>
        <v>398765.5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398765.5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21 Roja</v>
      </c>
      <c r="D2" s="268"/>
      <c r="E2" s="267" t="str">
        <f>IF(E33=0,"",CONCATENATE(PREMIOS!$B11," ",PREMIOS!$B12))</f>
        <v>83 Roja</v>
      </c>
      <c r="F2" s="268"/>
      <c r="G2" s="267" t="str">
        <f>IF(G33=0,"",CONCATENATE(PREMIOS!$B15," ",PREMIOS!$B16))</f>
        <v>61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23501</v>
      </c>
      <c r="D10" s="30">
        <f>IF(Vendedor7!$E$8="",0,Vendedor7!$E$8)</f>
        <v>1800</v>
      </c>
      <c r="E10" s="180">
        <f>IF(Vendedor7!$C$12="",0,Vendedor7!$C$12)</f>
        <v>22150</v>
      </c>
      <c r="F10" s="30">
        <f>IF(Vendedor7!$E$12="",0,Vendedor7!$E$12)</f>
        <v>0</v>
      </c>
      <c r="G10" s="180">
        <f>IF(Vendedor7!$C$16="",0,Vendedor7!$C$16)</f>
        <v>26450</v>
      </c>
      <c r="H10" s="30">
        <f>IF(Vendedor7!$E$16="",0,Vendedor7!$E$16)</f>
        <v>0</v>
      </c>
      <c r="J10" s="42">
        <f t="shared" si="1"/>
        <v>72101</v>
      </c>
      <c r="K10" s="41">
        <f>J10*Vendedor7!J$16</f>
        <v>7210.1</v>
      </c>
      <c r="L10" s="42">
        <f t="shared" si="2"/>
        <v>1800</v>
      </c>
      <c r="M10" s="42">
        <f t="shared" si="3"/>
        <v>1800</v>
      </c>
      <c r="N10" s="42">
        <f t="shared" si="0"/>
        <v>396000</v>
      </c>
      <c r="O10" s="42">
        <f>Vendedor7!$F$8+Vendedor7!$F$12+Vendedor7!$F$16</f>
        <v>360000</v>
      </c>
      <c r="Q10" s="42">
        <f t="shared" si="4"/>
        <v>-295109.09999999998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2250</v>
      </c>
      <c r="D12" s="30">
        <f>IF(Vendedor9!$E$8="",0,Vendedor9!$E$8)</f>
        <v>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4250</v>
      </c>
      <c r="K12" s="41">
        <f>J12*Vendedor9!J$13</f>
        <v>425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3825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1000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22650</v>
      </c>
      <c r="D17" s="30">
        <f>IF(Vendedor14!$E$8="",0,Vendedor14!$E$8)</f>
        <v>550</v>
      </c>
      <c r="E17" s="180">
        <f>IF(Vendedor14!$C$12="",0,Vendedor14!$C$12)</f>
        <v>16500</v>
      </c>
      <c r="F17" s="30">
        <f>IF(Vendedor14!$E$12="",0,Vendedor14!$E$12)</f>
        <v>0</v>
      </c>
      <c r="G17" s="180">
        <f>IF(Vendedor14!$C$16="",0,Vendedor14!$C$16)</f>
        <v>27750</v>
      </c>
      <c r="H17" s="30">
        <f>IF(Vendedor14!$E$16="",0,Vendedor14!$E$16)</f>
        <v>0</v>
      </c>
      <c r="J17" s="42">
        <f t="shared" si="1"/>
        <v>66900</v>
      </c>
      <c r="K17" s="41">
        <f>J17*Vendedor14!J$17</f>
        <v>6690</v>
      </c>
      <c r="L17" s="42">
        <f t="shared" si="2"/>
        <v>550</v>
      </c>
      <c r="M17" s="42">
        <f t="shared" si="3"/>
        <v>550</v>
      </c>
      <c r="N17" s="42">
        <f t="shared" si="0"/>
        <v>121000</v>
      </c>
      <c r="O17" s="42">
        <f>Vendedor14!$F$8+Vendedor14!$F$12+Vendedor14!$F$16</f>
        <v>110000</v>
      </c>
      <c r="Q17" s="42">
        <f t="shared" si="4"/>
        <v>-49790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13300</v>
      </c>
      <c r="D18" s="30">
        <f>IF(Vendedor15!$E$8="",0,Vendedor15!$E$8)</f>
        <v>300</v>
      </c>
      <c r="E18" s="180">
        <f>IF(Vendedor15!$C$12="",0,Vendedor15!$C$12)</f>
        <v>13900</v>
      </c>
      <c r="F18" s="30">
        <f>IF(Vendedor15!$E$12="",0,Vendedor15!$E$12)</f>
        <v>0</v>
      </c>
      <c r="G18" s="180">
        <f>IF(Vendedor15!$C$16="",0,Vendedor15!$C$16)</f>
        <v>17650</v>
      </c>
      <c r="H18" s="30">
        <f>IF(Vendedor15!$E$16="",0,Vendedor15!$E$16)</f>
        <v>600</v>
      </c>
      <c r="J18" s="42">
        <f t="shared" ref="J18" si="5">+C18+E18+G18</f>
        <v>44850</v>
      </c>
      <c r="K18" s="41">
        <f>J18*Vendedor15!J$17</f>
        <v>4485</v>
      </c>
      <c r="L18" s="42">
        <f t="shared" si="2"/>
        <v>300</v>
      </c>
      <c r="M18" s="42">
        <f t="shared" si="3"/>
        <v>900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-19635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61701</v>
      </c>
      <c r="D33" s="44">
        <f>IF(PREMIOS!E8&lt;&gt;0,SUM(D4:D32),0)</f>
        <v>2650</v>
      </c>
      <c r="E33" s="43">
        <f>SUM(E4:E32)</f>
        <v>54550</v>
      </c>
      <c r="F33" s="44">
        <f>IF(PREMIOS!E12&lt;&gt;0,SUM(F4:F32),0)</f>
        <v>0</v>
      </c>
      <c r="G33" s="43">
        <f>SUM(G4:G32)</f>
        <v>72850</v>
      </c>
      <c r="H33" s="44">
        <f>IF(PREMIOS!E16&lt;&gt;0,SUM(H4:H32),0)</f>
        <v>0</v>
      </c>
      <c r="J33" s="45">
        <f>SUM(J4:J32)</f>
        <v>189101</v>
      </c>
      <c r="K33" s="45">
        <f>SUM(K7:K32)</f>
        <v>18910.099999999999</v>
      </c>
      <c r="L33" s="95">
        <f>SUM(L7:L32)</f>
        <v>2650</v>
      </c>
      <c r="M33" s="95">
        <f>SUM(M7:M32)</f>
        <v>3250</v>
      </c>
      <c r="N33" s="95">
        <f>SUM(N4:N27)</f>
        <v>583000</v>
      </c>
      <c r="O33" s="95">
        <f>SUM(O4:O27)</f>
        <v>530000</v>
      </c>
      <c r="Q33" s="79">
        <f>SUM(Q4:Q32)</f>
        <v>-359809.1</v>
      </c>
    </row>
    <row r="34" spans="3:17" x14ac:dyDescent="0.35">
      <c r="D34" s="118">
        <f>IF(PREMIOS!$D8=PREMIOS!$J$10,D33*$G$38,IF(PREMIOS!$D8=PREMIOS!$J$11,D33*$F$38,IF(PREMIOS!$D8=PREMIOS!$J$12,0,"")))</f>
        <v>583000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189101</v>
      </c>
      <c r="E37" s="43">
        <f>+D37-J4-J5-J6</f>
        <v>189101</v>
      </c>
      <c r="F37" s="275"/>
      <c r="G37" s="275"/>
    </row>
    <row r="38" spans="3:17" ht="15" thickBot="1" x14ac:dyDescent="0.4">
      <c r="C38" s="47" t="s">
        <v>33</v>
      </c>
      <c r="D38" s="30">
        <f>D37*10%</f>
        <v>18910.100000000002</v>
      </c>
      <c r="E38" s="43">
        <f>+D38-K4-K5-K6</f>
        <v>18910.100000000002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583000</v>
      </c>
    </row>
    <row r="40" spans="3:17" ht="15" thickBot="1" x14ac:dyDescent="0.4">
      <c r="C40" s="49" t="s">
        <v>4</v>
      </c>
      <c r="D40" s="80">
        <f>+D37-D38-D39</f>
        <v>-412809.1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-412809.1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19</v>
      </c>
      <c r="D2" s="268"/>
      <c r="E2" s="267">
        <f>DigitaPRIMERA!E2</f>
        <v>23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6850</v>
      </c>
      <c r="D4" s="78">
        <f>IF(Vendedor1!$E$19="",0,Vendedor1!$E$19)</f>
        <v>0</v>
      </c>
      <c r="E4" s="189">
        <f>IF(Vendedor1!$C$20="",0,Vendedor1!$C$20)</f>
        <v>2050</v>
      </c>
      <c r="F4" s="78">
        <f>IF(Vendedor1!$E$20="",0,Vendedor1!$E$20)</f>
        <v>0</v>
      </c>
      <c r="H4" s="42">
        <f>+C4+E4</f>
        <v>8900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3000</v>
      </c>
      <c r="D5" s="30">
        <f>IF(Vendedor2!$E$19="",0,Vendedor2!$E$19)</f>
        <v>500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3000</v>
      </c>
      <c r="I5" s="41">
        <f>MROUND(H5*Vendedor2!J$9,50)</f>
        <v>400</v>
      </c>
      <c r="J5" s="42">
        <f t="shared" ref="J5:J31" si="2">+D5+F5</f>
        <v>500</v>
      </c>
      <c r="K5" s="42">
        <f t="shared" ref="K5:K27" si="3">+J5*85</f>
        <v>42500</v>
      </c>
      <c r="L5" s="42">
        <f>Vendedor2!$F$19+Vendedor2!$F$20</f>
        <v>40000</v>
      </c>
      <c r="N5" s="42">
        <f t="shared" si="0"/>
        <v>-37400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24300</v>
      </c>
      <c r="D8" s="30">
        <f>IF(Vendedor5!$E$19="",0,Vendedor5!$E$19)</f>
        <v>450</v>
      </c>
      <c r="E8" s="180">
        <f>IF(Vendedor5!$C$20="",0,Vendedor5!$C$20)</f>
        <v>13250</v>
      </c>
      <c r="F8" s="30">
        <f>IF(Vendedor5!$E$20="",0,Vendedor5!$E$20)</f>
        <v>0</v>
      </c>
      <c r="H8" s="133">
        <f t="shared" si="1"/>
        <v>37550</v>
      </c>
      <c r="I8" s="148">
        <f>MROUND(H8*Vendedor5!J$11,50)</f>
        <v>4500</v>
      </c>
      <c r="J8" s="133">
        <f t="shared" si="2"/>
        <v>450</v>
      </c>
      <c r="K8" s="133">
        <f t="shared" si="3"/>
        <v>38250</v>
      </c>
      <c r="L8" s="133">
        <f>Vendedor5!$F$19+Vendedor5!$F$20</f>
        <v>36000</v>
      </c>
      <c r="M8" s="155"/>
      <c r="N8" s="133">
        <f t="shared" si="0"/>
        <v>-2950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35700</v>
      </c>
      <c r="D10" s="30">
        <f>IF(Vendedor7!$E$19="",0,Vendedor7!$E$19)</f>
        <v>0</v>
      </c>
      <c r="E10" s="180">
        <f>IF(Vendedor7!$C$20="",0,Vendedor7!$C$20)</f>
        <v>23550</v>
      </c>
      <c r="F10" s="30">
        <f>IF(Vendedor7!$E$20="",0,Vendedor7!$E$20)</f>
        <v>0</v>
      </c>
      <c r="H10" s="42">
        <f t="shared" si="1"/>
        <v>59250</v>
      </c>
      <c r="I10" s="41">
        <f>MROUND(H10*Vendedor7!J$14,50)</f>
        <v>7100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52150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21550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21550</v>
      </c>
      <c r="I12" s="148">
        <f>MROUND(H12*Vendedor9!J$11,50)</f>
        <v>2600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18950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800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800</v>
      </c>
      <c r="I16" s="148">
        <f>MROUND(H16*Vendedor13!J$11,50)</f>
        <v>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700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62450</v>
      </c>
      <c r="D17" s="30">
        <f>IF(Vendedor14!$E$19="",0,Vendedor14!$E$19)</f>
        <v>2250</v>
      </c>
      <c r="E17" s="180">
        <f>IF(Vendedor14!$C$20="",0,Vendedor14!$C$20)</f>
        <v>19950</v>
      </c>
      <c r="F17" s="30">
        <f>IF(Vendedor14!$E$20="",0,Vendedor14!$E$20)</f>
        <v>600</v>
      </c>
      <c r="H17" s="42">
        <f t="shared" si="1"/>
        <v>82400</v>
      </c>
      <c r="I17" s="41">
        <f>MROUND(H17*Vendedor14!J$15,50)</f>
        <v>9900</v>
      </c>
      <c r="J17" s="42">
        <f t="shared" si="2"/>
        <v>2850</v>
      </c>
      <c r="K17" s="42">
        <f t="shared" si="3"/>
        <v>242250</v>
      </c>
      <c r="L17" s="42">
        <f>Vendedor14!$F$19+Vendedor14!$F$20</f>
        <v>242250</v>
      </c>
      <c r="N17" s="42">
        <f t="shared" si="0"/>
        <v>-169750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58900</v>
      </c>
      <c r="D18" s="30">
        <f>IF(Vendedor15!$E$19="",0,Vendedor15!$E$19)</f>
        <v>700</v>
      </c>
      <c r="E18" s="180">
        <f>IF(Vendedor15!$C$20="",0,Vendedor15!$C$20)</f>
        <v>51950</v>
      </c>
      <c r="F18" s="30">
        <f>IF(Vendedor15!$E$20="",0,Vendedor15!$E$20)</f>
        <v>0</v>
      </c>
      <c r="H18" s="42">
        <f t="shared" si="1"/>
        <v>110850</v>
      </c>
      <c r="I18" s="41">
        <f>MROUND(H18*Vendedor15!J$15,50)</f>
        <v>13300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38050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213550</v>
      </c>
      <c r="D32" s="44">
        <f>SUM(D4:D31)</f>
        <v>3900</v>
      </c>
      <c r="E32" s="43">
        <f>SUM(E4:E31)</f>
        <v>110750</v>
      </c>
      <c r="F32" s="44">
        <f>SUM(F4:F31)</f>
        <v>600</v>
      </c>
      <c r="H32" s="95">
        <f>SUM(H4:H31)</f>
        <v>324300</v>
      </c>
      <c r="I32" s="45">
        <f>SUM(I7:I31)</f>
        <v>37500</v>
      </c>
      <c r="J32" s="95"/>
      <c r="K32" s="95">
        <f>SUM(K4:K31)</f>
        <v>382500</v>
      </c>
      <c r="L32" s="95">
        <f>SUM(L4:L31)</f>
        <v>377750</v>
      </c>
      <c r="N32" s="79">
        <f>SUM(N4:N31)</f>
        <v>-92500</v>
      </c>
    </row>
    <row r="33" spans="3:6" x14ac:dyDescent="0.35">
      <c r="D33" s="99">
        <f>+D32*85</f>
        <v>331500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324300</v>
      </c>
      <c r="E36" s="43">
        <f>+D36-H4-H5-H6</f>
        <v>312400</v>
      </c>
    </row>
    <row r="37" spans="3:6" x14ac:dyDescent="0.35">
      <c r="C37" s="47" t="s">
        <v>33</v>
      </c>
      <c r="D37" s="48">
        <f>D36*13%</f>
        <v>42159</v>
      </c>
      <c r="E37">
        <f>+D37-I4-I5-I6</f>
        <v>40609</v>
      </c>
    </row>
    <row r="38" spans="3:6" ht="15" thickBot="1" x14ac:dyDescent="0.4">
      <c r="C38" s="47" t="s">
        <v>30</v>
      </c>
      <c r="D38" s="30">
        <f>SUM(K4:K27)</f>
        <v>382500</v>
      </c>
    </row>
    <row r="39" spans="3:6" ht="15" thickBot="1" x14ac:dyDescent="0.4">
      <c r="C39" s="49" t="s">
        <v>4</v>
      </c>
      <c r="D39" s="80">
        <f>+D36-D37-D38</f>
        <v>-100359</v>
      </c>
      <c r="F39" s="98">
        <f>+N32-D39</f>
        <v>7859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-100359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53</v>
      </c>
      <c r="D2" s="268"/>
      <c r="E2" s="267" t="str">
        <f>DigitaHONDURAS!E2</f>
        <v>06</v>
      </c>
      <c r="F2" s="268"/>
      <c r="G2" s="267">
        <f>DigitaHONDURAS!G2</f>
        <v>35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41400</v>
      </c>
      <c r="D10" s="30">
        <f>IF(Vendedor7!$E$21="",0,Vendedor7!$E$21)</f>
        <v>0</v>
      </c>
      <c r="E10" s="180">
        <f>IF(Vendedor7!$C$22="",0,Vendedor7!$C$22)</f>
        <v>21100</v>
      </c>
      <c r="F10" s="30">
        <f>IF(Vendedor7!$E$22="",0,Vendedor7!$E$22)</f>
        <v>0</v>
      </c>
      <c r="G10" s="180">
        <f>IF(Vendedor7!$C$23="",0,Vendedor7!$C$23)</f>
        <v>14100</v>
      </c>
      <c r="H10" s="30">
        <f>IF(Vendedor7!$E$23="",0,Vendedor7!$E$23)</f>
        <v>0</v>
      </c>
      <c r="J10" s="42">
        <f t="shared" si="0"/>
        <v>76600</v>
      </c>
      <c r="K10" s="41">
        <f>MROUND(J10*Vendedor7!J$14,50)</f>
        <v>9200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67400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6050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6050</v>
      </c>
      <c r="K12" s="41">
        <f>MROUND(J12*Vendedor9!J$14,50)</f>
        <v>750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5300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34200</v>
      </c>
      <c r="D17" s="30">
        <f>IF(Vendedor14!$E$21="",0,Vendedor14!$E$21)</f>
        <v>0</v>
      </c>
      <c r="E17" s="180">
        <f>IF(Vendedor14!$C$22="",0,Vendedor14!$C$22)</f>
        <v>6750</v>
      </c>
      <c r="F17" s="30">
        <f>IF(Vendedor14!$E$22="",0,Vendedor14!$E$22)</f>
        <v>0</v>
      </c>
      <c r="G17" s="180">
        <f>IF(Vendedor14!$C$23="",0,Vendedor14!$C$23)</f>
        <v>14550</v>
      </c>
      <c r="H17" s="30">
        <f>IF(Vendedor14!$E$23="",0,Vendedor14!$E$23)</f>
        <v>200</v>
      </c>
      <c r="J17" s="42">
        <f t="shared" si="0"/>
        <v>55500</v>
      </c>
      <c r="K17" s="41">
        <f>MROUND(J17*Vendedor14!J$15,50)</f>
        <v>6650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31850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17050</v>
      </c>
      <c r="D18" s="30">
        <f>IF(Vendedor15!$E$21="",0,Vendedor15!$E$21)</f>
        <v>0</v>
      </c>
      <c r="E18" s="180">
        <f>IF(Vendedor15!$C$22="",0,Vendedor15!$C$22)</f>
        <v>10850</v>
      </c>
      <c r="F18" s="30">
        <f>IF(Vendedor15!$E$22="",0,Vendedor15!$E$22)</f>
        <v>0</v>
      </c>
      <c r="G18" s="180">
        <f>IF(Vendedor15!$C$23="",0,Vendedor15!$C$23)</f>
        <v>5000</v>
      </c>
      <c r="H18" s="30">
        <f>IF(Vendedor15!$E$23="",0,Vendedor15!$E$23)</f>
        <v>0</v>
      </c>
      <c r="J18" s="42">
        <f t="shared" si="0"/>
        <v>32900</v>
      </c>
      <c r="K18" s="41">
        <f>MROUND(J18*Vendedor15!J$15,50)</f>
        <v>3950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28950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98700</v>
      </c>
      <c r="D32" s="44">
        <f t="shared" si="8"/>
        <v>0</v>
      </c>
      <c r="E32" s="43">
        <f t="shared" si="8"/>
        <v>38700</v>
      </c>
      <c r="F32" s="44">
        <f t="shared" si="8"/>
        <v>0</v>
      </c>
      <c r="G32" s="43">
        <f t="shared" si="8"/>
        <v>33650</v>
      </c>
      <c r="H32" s="44">
        <f t="shared" si="8"/>
        <v>200</v>
      </c>
      <c r="J32" s="95">
        <f>SUM(J4:J31)</f>
        <v>171050</v>
      </c>
      <c r="K32" s="45">
        <f>SUM(K7:K31)</f>
        <v>20550</v>
      </c>
      <c r="L32" s="95"/>
      <c r="M32" s="95">
        <f>SUM(M4:M31)</f>
        <v>17000</v>
      </c>
      <c r="N32" s="95">
        <f>SUM(N4:N31)</f>
        <v>17000</v>
      </c>
      <c r="P32" s="79">
        <f>SUM(P4:P31)</f>
        <v>133500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171050</v>
      </c>
      <c r="E36" s="43">
        <f>+D36-J4-J5-J6</f>
        <v>171050</v>
      </c>
    </row>
    <row r="37" spans="3:8" x14ac:dyDescent="0.35">
      <c r="C37" s="47" t="s">
        <v>33</v>
      </c>
      <c r="D37" s="48">
        <f>D36*13%</f>
        <v>22236.5</v>
      </c>
      <c r="E37">
        <f>+D37-K4-K5-K6</f>
        <v>22236.5</v>
      </c>
    </row>
    <row r="38" spans="3:8" ht="15" thickBot="1" x14ac:dyDescent="0.4">
      <c r="C38" s="47" t="s">
        <v>30</v>
      </c>
      <c r="D38" s="30">
        <f>SUM(M4:M27)</f>
        <v>17000</v>
      </c>
      <c r="G38" s="100"/>
    </row>
    <row r="39" spans="3:8" ht="15" thickBot="1" x14ac:dyDescent="0.4">
      <c r="C39" s="49" t="s">
        <v>4</v>
      </c>
      <c r="D39" s="80">
        <f>+D36-D37-D38</f>
        <v>131813.5</v>
      </c>
      <c r="F39" s="98">
        <f>+P32-D39</f>
        <v>1686.5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131813.5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31</v>
      </c>
      <c r="D2" s="268"/>
      <c r="E2" s="267" t="str">
        <f>DigitaDOMINICANA!E2</f>
        <v>02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1103400</v>
      </c>
      <c r="C4" s="157">
        <f>HojaNICA!M32</f>
        <v>132450</v>
      </c>
      <c r="D4" s="150">
        <f>HojaNICA!E37</f>
        <v>143434.5</v>
      </c>
      <c r="E4" s="150">
        <f>HojaNICA!P32</f>
        <v>643750</v>
      </c>
      <c r="F4" s="150">
        <f>HojaNICA!O32</f>
        <v>654500</v>
      </c>
      <c r="G4" s="151">
        <f t="shared" ref="G4:G10" si="0">+D4-C4+F4-E4</f>
        <v>21734.5</v>
      </c>
      <c r="H4" s="21"/>
      <c r="I4" s="182"/>
    </row>
    <row r="5" spans="1:9" x14ac:dyDescent="0.35">
      <c r="A5" s="28" t="s">
        <v>19</v>
      </c>
      <c r="B5" s="156">
        <f>HojaTICA!$E$36</f>
        <v>1484350</v>
      </c>
      <c r="C5" s="157">
        <f>HojaTICA!K32</f>
        <v>180150</v>
      </c>
      <c r="D5" s="150">
        <f>HojaTICA!E37</f>
        <v>192987.5</v>
      </c>
      <c r="E5" s="150">
        <f>HojaTICA!N32</f>
        <v>2044500</v>
      </c>
      <c r="F5" s="150">
        <f>HojaTICA!D38</f>
        <v>2048500</v>
      </c>
      <c r="G5" s="151">
        <f t="shared" si="0"/>
        <v>16837.5</v>
      </c>
      <c r="H5" s="21"/>
      <c r="I5" s="182"/>
    </row>
    <row r="6" spans="1:9" x14ac:dyDescent="0.35">
      <c r="A6" s="28" t="s">
        <v>125</v>
      </c>
      <c r="B6" s="156">
        <f>HojaREVENTADO!$E$37</f>
        <v>189101</v>
      </c>
      <c r="C6" s="157">
        <f>HojaREVENTADO!K33</f>
        <v>18910.099999999999</v>
      </c>
      <c r="D6" s="150">
        <f>HojaREVENTADO!E38</f>
        <v>18910.100000000002</v>
      </c>
      <c r="E6" s="150">
        <f>HojaREVENTADO!O33</f>
        <v>530000</v>
      </c>
      <c r="F6" s="150">
        <f>HojaREVENTADO!N33</f>
        <v>583000</v>
      </c>
      <c r="G6" s="151">
        <f t="shared" si="0"/>
        <v>53000</v>
      </c>
      <c r="H6" s="21"/>
      <c r="I6" s="182"/>
    </row>
    <row r="7" spans="1:9" x14ac:dyDescent="0.35">
      <c r="A7" s="28" t="s">
        <v>96</v>
      </c>
      <c r="B7" s="156">
        <f>HojaPrimera!$E$36</f>
        <v>312400</v>
      </c>
      <c r="C7" s="157">
        <f>HojaPrimera!I32</f>
        <v>37500</v>
      </c>
      <c r="D7" s="150">
        <f>HojaPrimera!E37</f>
        <v>40609</v>
      </c>
      <c r="E7" s="150">
        <f>HojaPrimera!L32</f>
        <v>377750</v>
      </c>
      <c r="F7" s="150">
        <f>HojaPrimera!K32</f>
        <v>382500</v>
      </c>
      <c r="G7" s="151">
        <f t="shared" si="0"/>
        <v>7859</v>
      </c>
      <c r="H7" s="21"/>
      <c r="I7" s="21"/>
    </row>
    <row r="8" spans="1:9" x14ac:dyDescent="0.35">
      <c r="A8" s="28" t="s">
        <v>104</v>
      </c>
      <c r="B8" s="156">
        <f>HojaHonduras!$E$36</f>
        <v>171050</v>
      </c>
      <c r="C8" s="157">
        <f>HojaHonduras!K32</f>
        <v>20550</v>
      </c>
      <c r="D8" s="150">
        <f>HojaHonduras!E37</f>
        <v>22236.5</v>
      </c>
      <c r="E8" s="150">
        <f>HojaHonduras!N32</f>
        <v>17000</v>
      </c>
      <c r="F8" s="150">
        <f>HojaHonduras!M32</f>
        <v>17000</v>
      </c>
      <c r="G8" s="151">
        <f t="shared" si="0"/>
        <v>1686.5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3260301</v>
      </c>
      <c r="C11" s="175">
        <f>SUM(C4:C10)</f>
        <v>389560.1</v>
      </c>
      <c r="D11" s="175">
        <f t="shared" ref="D11:F11" si="1">SUM(D4:D10)</f>
        <v>418177.6</v>
      </c>
      <c r="E11" s="175">
        <f t="shared" si="1"/>
        <v>3613000</v>
      </c>
      <c r="F11" s="175">
        <f t="shared" si="1"/>
        <v>3685500</v>
      </c>
      <c r="G11" s="176">
        <f>SUM(G4:G10)</f>
        <v>101117.5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66117.5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271850</v>
      </c>
      <c r="E16" s="157">
        <f>+Vendedor1!D21</f>
        <v>35340.5</v>
      </c>
      <c r="F16" s="158">
        <f>IF(D16&lt;&gt;0,15000,0)</f>
        <v>15000</v>
      </c>
      <c r="G16" s="151">
        <f>+E16-F16</f>
        <v>20340.5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221700</v>
      </c>
      <c r="E17" s="157">
        <f>+Vendedor2!D21</f>
        <v>28821</v>
      </c>
      <c r="F17" s="158">
        <f>IF(D17&lt;&gt;0,15000,0)</f>
        <v>15000</v>
      </c>
      <c r="G17" s="151">
        <f>+E17-F17</f>
        <v>13821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493550</v>
      </c>
      <c r="E19" s="159">
        <f>SUM(E16:E18)</f>
        <v>64161.5</v>
      </c>
      <c r="F19" s="160">
        <f>SUM(F16:F18)</f>
        <v>30000</v>
      </c>
      <c r="G19" s="161">
        <f>SUM(G16:G18)</f>
        <v>34161.5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v>0</v>
      </c>
      <c r="E22" s="157">
        <v>0</v>
      </c>
      <c r="F22" s="158"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100279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1210650</v>
      </c>
      <c r="C5" s="150">
        <f>HojaNICA!D37</f>
        <v>157384.5</v>
      </c>
      <c r="D5" s="150">
        <f>HojaNICA!D38</f>
        <v>654500</v>
      </c>
      <c r="E5" s="150"/>
      <c r="F5" s="151">
        <f>+B5-C5-D5+E5</f>
        <v>398765.5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1858750</v>
      </c>
      <c r="C6" s="150">
        <f>HojaTICA!D37</f>
        <v>241637.5</v>
      </c>
      <c r="D6" s="150">
        <f>HojaTICA!D38</f>
        <v>2048500</v>
      </c>
      <c r="E6" s="150"/>
      <c r="F6" s="151">
        <f t="shared" ref="F6:F11" si="0">+B6-C6-D6+E6</f>
        <v>-431387.5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189101</v>
      </c>
      <c r="C7" s="150">
        <f>HojaREVENTADO!D38</f>
        <v>18910.100000000002</v>
      </c>
      <c r="D7" s="150">
        <f>HojaREVENTADO!D39</f>
        <v>583000</v>
      </c>
      <c r="E7" s="150"/>
      <c r="F7" s="151">
        <f t="shared" si="0"/>
        <v>-412809.1</v>
      </c>
    </row>
    <row r="8" spans="1:15" x14ac:dyDescent="0.35">
      <c r="A8" s="47" t="s">
        <v>96</v>
      </c>
      <c r="B8" s="150">
        <f>HojaPrimera!$D36</f>
        <v>324300</v>
      </c>
      <c r="C8" s="150">
        <f>HojaPrimera!$D37</f>
        <v>42159</v>
      </c>
      <c r="D8" s="150">
        <f>HojaPrimera!$D38</f>
        <v>382500</v>
      </c>
      <c r="E8" s="150"/>
      <c r="F8" s="151">
        <f t="shared" si="0"/>
        <v>-100359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171050</v>
      </c>
      <c r="C9" s="150">
        <f>HojaHonduras!$D37</f>
        <v>22236.5</v>
      </c>
      <c r="D9" s="150">
        <f>HojaHonduras!$D38</f>
        <v>17000</v>
      </c>
      <c r="E9" s="150"/>
      <c r="F9" s="151">
        <f t="shared" si="0"/>
        <v>131813.5</v>
      </c>
      <c r="H9" s="250">
        <f>+K12-K10-H6</f>
        <v>-413976.60000000056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4728907.45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4314930.8500000006</v>
      </c>
    </row>
    <row r="12" spans="1:15" ht="16" thickBot="1" x14ac:dyDescent="0.4">
      <c r="A12" s="144" t="s">
        <v>5</v>
      </c>
      <c r="B12" s="152">
        <f>SUM(B5:B11)</f>
        <v>3753851</v>
      </c>
      <c r="C12" s="152">
        <f>SUM(C5:C11)</f>
        <v>482327.6</v>
      </c>
      <c r="D12" s="152">
        <f>SUM(D5:D11)</f>
        <v>3685500</v>
      </c>
      <c r="E12" s="152"/>
      <c r="F12" s="255">
        <f>SUM(F5:F11)</f>
        <v>-413976.6</v>
      </c>
      <c r="H12" s="251">
        <f>K12</f>
        <v>4314930.8499999996</v>
      </c>
      <c r="J12" t="s">
        <v>140</v>
      </c>
      <c r="K12" s="254">
        <f>-3609189.87+6089488.24+592844.5+1241787.98</f>
        <v>4314930.8499999996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216150</v>
      </c>
      <c r="K4" s="231">
        <f t="shared" ref="K4" si="0">D7+D11+D15</f>
        <v>28099.5</v>
      </c>
      <c r="L4" s="220">
        <f>F7+F11+F15</f>
        <v>403750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IF(DigitaNICA!C4&lt;&gt;"",DigitaNICA!C4,"")</f>
        <v>26500</v>
      </c>
      <c r="D5" s="42">
        <f>IF(C5="",0,C5*J$10)</f>
        <v>3445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-945</v>
      </c>
      <c r="I5" s="241" t="s">
        <v>37</v>
      </c>
      <c r="J5" s="221">
        <f>SUM(IF(C5="",0,C5),IF(C9="",0,C9),IF(C13="",0,C13),IF(C17="",0,C17))</f>
        <v>46800</v>
      </c>
      <c r="K5" s="225">
        <f t="shared" ref="K5" si="2">D5+D9+D13+D17</f>
        <v>6084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8900</v>
      </c>
      <c r="K6" s="228">
        <f>D19+D20</f>
        <v>1157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IF(DigitaTICA!C4&lt;&gt;"",DigitaTICA!C4,"")</f>
        <v>66750</v>
      </c>
      <c r="D7" s="42">
        <f>IF(C7="",0,C7*J$9)</f>
        <v>8677.5</v>
      </c>
      <c r="E7" s="29">
        <f>IF(DigitaTICA!D4&lt;&gt;"",DigitaTICA!D4,"")</f>
        <v>3250</v>
      </c>
      <c r="F7" s="42">
        <f>IF(E7="",0,E7*PREMIOS!F7)</f>
        <v>276250</v>
      </c>
      <c r="G7" s="30">
        <f t="shared" si="1"/>
        <v>-218177.5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IF(DigitaNICA!E4&lt;&gt;"",DigitaNICA!E4,"")</f>
        <v>14450</v>
      </c>
      <c r="D9" s="42">
        <f>IF(C9="",0,C9*J$10)</f>
        <v>1878.5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12571.5</v>
      </c>
      <c r="I9" s="76" t="s">
        <v>36</v>
      </c>
      <c r="J9" s="77">
        <v>0.13</v>
      </c>
      <c r="K9" s="78">
        <f>MROUND(D7+D11+D15,50)</f>
        <v>28100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6100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IF(DigitaTICA!E4&lt;&gt;"",DigitaTICA!E4,"")</f>
        <v>40650</v>
      </c>
      <c r="D11" s="42">
        <f>IF(C11="",0,C11*J$9)</f>
        <v>5284.5</v>
      </c>
      <c r="E11" s="29">
        <f>IF(DigitaTICA!F4&lt;&gt;"",DigitaTICA!F4,"")</f>
        <v>1000</v>
      </c>
      <c r="F11" s="42">
        <f>IF(E11="",0,E11*PREMIOS!F11)</f>
        <v>85000</v>
      </c>
      <c r="G11" s="30">
        <f t="shared" si="1"/>
        <v>-49634.5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IF(DigitaNICA!G4&lt;&gt;"",DigitaNICA!G4,"")</f>
        <v>2450</v>
      </c>
      <c r="D13" s="42">
        <f>IF(C13="",0,C13*J$10)</f>
        <v>318.5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2131.5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IF(DigitaTICA!G4&lt;&gt;"",DigitaTICA!G4,"")</f>
        <v>108750</v>
      </c>
      <c r="D15" s="42">
        <f>IF(C15="",0,C15*J$9)</f>
        <v>14137.5</v>
      </c>
      <c r="E15" s="29">
        <f>IF(DigitaTICA!H4&lt;&gt;"",DigitaTICA!H4,"")</f>
        <v>500</v>
      </c>
      <c r="F15" s="42">
        <f>IF(E15="",0,E15*PREMIOS!F15)</f>
        <v>42500</v>
      </c>
      <c r="G15" s="30">
        <f t="shared" si="3"/>
        <v>52112.5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IF(DigitaNICA!I4&lt;&gt;"",DigitaNICA!I4,"")</f>
        <v>3400</v>
      </c>
      <c r="D17" s="42">
        <f>IF(C17="",0,C17*J$10)</f>
        <v>442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2958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IF(DigitaPRIMERA!C4&lt;&gt;"",DigitaPRIMERA!C4,"")</f>
        <v>6850</v>
      </c>
      <c r="D19" s="42">
        <f>IF(C19="",0,C19*J$12)</f>
        <v>890.5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5959.5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>
        <f>IF(DigitaPRIMERA!E4&lt;&gt;"",DigitaPRIMERA!E4,"")</f>
        <v>2050</v>
      </c>
      <c r="D20" s="42">
        <f>IF(C20="",0,C20*J$12)</f>
        <v>266.5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1783.5</v>
      </c>
    </row>
    <row r="21" spans="1:7" ht="15" thickBot="1" x14ac:dyDescent="0.4">
      <c r="A21" s="121" t="s">
        <v>5</v>
      </c>
      <c r="B21" s="128"/>
      <c r="C21" s="122">
        <f>SUM(C5:C20)</f>
        <v>271850</v>
      </c>
      <c r="D21" s="122">
        <f t="shared" ref="D21:G21" si="6">SUM(D5:D20)</f>
        <v>35340.5</v>
      </c>
      <c r="E21" s="122">
        <f t="shared" si="6"/>
        <v>5050</v>
      </c>
      <c r="F21" s="122">
        <f t="shared" si="6"/>
        <v>427750</v>
      </c>
      <c r="G21" s="123">
        <f t="shared" si="6"/>
        <v>-191240.5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158250</v>
      </c>
      <c r="K4" s="231">
        <f t="shared" ref="K4" si="0">D7+D11+D15</f>
        <v>20572.5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IF(DigitaNICA!C5&lt;&gt;"",DigitaNICA!C5,"")</f>
        <v>19050</v>
      </c>
      <c r="D5" s="42">
        <f>IF(C5="",0,C5*J$10)</f>
        <v>2476.5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16573.5</v>
      </c>
      <c r="I5" s="241" t="s">
        <v>37</v>
      </c>
      <c r="J5" s="221">
        <f>SUM(IF(C5="",0,C5),IF(C9="",0,C9),IF(C13="",0,C13),IF(C17="",0,C17))</f>
        <v>60450</v>
      </c>
      <c r="K5" s="225">
        <f t="shared" ref="K5" si="2">D5+D9+D13+D17</f>
        <v>7858.5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3000</v>
      </c>
      <c r="K6" s="228">
        <f>D19+D20</f>
        <v>390</v>
      </c>
      <c r="L6" s="229">
        <f>F19+F20</f>
        <v>40000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IF(DigitaTICA!C5&lt;&gt;"",DigitaTICA!C5,"")</f>
        <v>51150</v>
      </c>
      <c r="D7" s="42">
        <f>IF(C7="",0,C7*J$9)</f>
        <v>6649.5</v>
      </c>
      <c r="E7" s="29">
        <f>IF(DigitaTICA!D5&lt;&gt;"",DigitaTICA!D5,"")</f>
        <v>400</v>
      </c>
      <c r="F7" s="42">
        <f>IF(E7="",0,E7*PREMIOS!F7)</f>
        <v>34000</v>
      </c>
      <c r="G7" s="30">
        <f t="shared" si="1"/>
        <v>10500.5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IF(DigitaNICA!E5&lt;&gt;"",DigitaNICA!E5,"")</f>
        <v>8000</v>
      </c>
      <c r="D9" s="42">
        <f>IF(C9="",0,C9*J$10)</f>
        <v>1040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6960</v>
      </c>
      <c r="I9" s="60" t="s">
        <v>36</v>
      </c>
      <c r="J9" s="61">
        <v>0.13</v>
      </c>
      <c r="K9" s="62">
        <f>MROUND(D7+D11+D15,50)</f>
        <v>20550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7850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IF(DigitaTICA!E5&lt;&gt;"",DigitaTICA!E5,"")</f>
        <v>43700</v>
      </c>
      <c r="D11" s="42">
        <f>IF(C11="",0,C11*J$9)</f>
        <v>5681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38019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IF(DigitaNICA!G5&lt;&gt;"",DigitaNICA!G5,"")</f>
        <v>22400</v>
      </c>
      <c r="D13" s="42">
        <f>IF(C13="",0,C13*J$10)</f>
        <v>2912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19488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IF(DigitaTICA!G5&lt;&gt;"",DigitaTICA!G5,"")</f>
        <v>63400</v>
      </c>
      <c r="D15" s="42">
        <f>IF(C15="",0,C15*J$9)</f>
        <v>8242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55158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IF(DigitaNICA!I5&lt;&gt;"",DigitaNICA!I5,"")</f>
        <v>11000</v>
      </c>
      <c r="D17" s="42">
        <f>IF(C17="",0,C17*J$10)</f>
        <v>1430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9570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IF(DigitaPRIMERA!C5&lt;&gt;"",DigitaPRIMERA!C5,"")</f>
        <v>3000</v>
      </c>
      <c r="D19" s="42">
        <f>IF(C19="",0,C19*J$12)</f>
        <v>390</v>
      </c>
      <c r="E19" s="29">
        <f>IF(DigitaPRIMERA!D5&lt;&gt;"",DigitaPRIMERA!D5,"")</f>
        <v>500</v>
      </c>
      <c r="F19" s="42">
        <f>IF(E19="",0,E19*PREMIOS!E19)</f>
        <v>40000</v>
      </c>
      <c r="G19" s="30">
        <f t="shared" si="3"/>
        <v>-37390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221700</v>
      </c>
      <c r="D21" s="68">
        <f t="shared" ref="D21:G21" si="4">SUM(D5:D20)</f>
        <v>28821</v>
      </c>
      <c r="E21" s="68">
        <f t="shared" si="4"/>
        <v>900</v>
      </c>
      <c r="F21" s="68">
        <f t="shared" si="4"/>
        <v>74000</v>
      </c>
      <c r="G21" s="88">
        <f t="shared" si="4"/>
        <v>118879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178100</v>
      </c>
      <c r="K4" s="231">
        <f t="shared" ref="K4" si="0">D7+D11+D15</f>
        <v>21372</v>
      </c>
      <c r="L4" s="220">
        <f>F7+F11+F15</f>
        <v>55250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IF(DigitaNICA!C8&lt;&gt;"",DigitaNICA!C8,"")</f>
        <v>84300</v>
      </c>
      <c r="D5" s="42">
        <f>IF(C5="",0,C5*J$12)</f>
        <v>10116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34184</v>
      </c>
      <c r="I5" s="241" t="s">
        <v>37</v>
      </c>
      <c r="J5" s="221">
        <f>SUM(IF(C5="",0,C5),IF(C9="",0,C9),IF(C13="",0,C13),IF(C17="",0,C17))</f>
        <v>195750</v>
      </c>
      <c r="K5" s="225">
        <f t="shared" ref="K5" si="2">D5+D9+D13+D17</f>
        <v>23490</v>
      </c>
      <c r="L5" s="222">
        <f>F5+F9+F13+F17</f>
        <v>100000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IF(DigitaTICA!C8&lt;&gt;"",DigitaTICA!C8,"")</f>
        <v>77000</v>
      </c>
      <c r="D7" s="42">
        <f>IF(C7="",0,C7*J$11)</f>
        <v>9240</v>
      </c>
      <c r="E7" s="29">
        <f>IF(DigitaTICA!D8&lt;&gt;"",DigitaTICA!D8,"")</f>
        <v>650</v>
      </c>
      <c r="F7" s="42">
        <f>IF(E7="",0,E7*PREMIOS!F7)</f>
        <v>55250</v>
      </c>
      <c r="G7" s="30">
        <f t="shared" si="1"/>
        <v>12510</v>
      </c>
      <c r="I7" s="242" t="s">
        <v>96</v>
      </c>
      <c r="J7" s="224">
        <f>SUM(IF(C19="",0,C19),IF(C20="",0,C20))</f>
        <v>37550</v>
      </c>
      <c r="K7" s="228">
        <f>+D19+D20</f>
        <v>4506</v>
      </c>
      <c r="L7" s="229">
        <f>+F19+F20</f>
        <v>36000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>
        <f>IF(DigitaNICA!E8&lt;&gt;"",DigitaNICA!E8,"")</f>
        <v>61500</v>
      </c>
      <c r="D9" s="42">
        <f>IF(C9="",0,C9*J$12)</f>
        <v>7380</v>
      </c>
      <c r="E9" s="29">
        <f>IF(DigitaNICA!F8&lt;&gt;"",DigitaNICA!F8,"")</f>
        <v>300</v>
      </c>
      <c r="F9" s="42">
        <f>IF(E9="",0,E9*PREMIOS!E9)</f>
        <v>24000</v>
      </c>
      <c r="G9" s="30">
        <f t="shared" si="1"/>
        <v>30120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IF(DigitaTICA!E8&lt;&gt;"",DigitaTICA!E8,"")</f>
        <v>51700</v>
      </c>
      <c r="D11" s="42">
        <f>IF(C11="",0,C11*J$11)</f>
        <v>6204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45496</v>
      </c>
      <c r="I11" s="60" t="s">
        <v>36</v>
      </c>
      <c r="J11" s="61">
        <v>0.12</v>
      </c>
      <c r="K11" s="62">
        <f>MROUND(D7+D11+D15,50)</f>
        <v>21350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23500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IF(DigitaNICA!G8&lt;&gt;"",DigitaNICA!G8,"")</f>
        <v>5900</v>
      </c>
      <c r="D13" s="42">
        <f>IF(C13="",0,C13*J$12)</f>
        <v>708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5192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4500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IF(DigitaTICA!G8&lt;&gt;"",DigitaTICA!G8,"")</f>
        <v>49400</v>
      </c>
      <c r="D15" s="42">
        <f>IF(C15="",0,C15*J$11)</f>
        <v>5928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43472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IF(DigitaNICA!I8&lt;&gt;"",DigitaNICA!I8,"")</f>
        <v>44050</v>
      </c>
      <c r="D17" s="42">
        <f>IF(C17="",0,C17*J$12)</f>
        <v>5286</v>
      </c>
      <c r="E17" s="29">
        <f>IF(DigitaNICA!J8&lt;&gt;"",DigitaNICA!J8,"")</f>
        <v>450</v>
      </c>
      <c r="F17" s="42">
        <f>IF(E17="",0,E17*PREMIOS!E17)</f>
        <v>36000</v>
      </c>
      <c r="G17" s="30">
        <f t="shared" si="4"/>
        <v>2764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IF(DigitaPRIMERA!C8&lt;&gt;"",DigitaPRIMERA!C8,"")</f>
        <v>24300</v>
      </c>
      <c r="D19" s="42">
        <f>IF(C19="",0,C19*J$14)</f>
        <v>2916</v>
      </c>
      <c r="E19" s="29">
        <f>IF(DigitaPRIMERA!D8&lt;&gt;"",DigitaPRIMERA!D8,"")</f>
        <v>450</v>
      </c>
      <c r="F19" s="42">
        <f>IF(E19="",0,E19*PREMIOS!E19)</f>
        <v>36000</v>
      </c>
      <c r="G19" s="30">
        <f t="shared" si="4"/>
        <v>-14616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>
        <f>IF(DigitaPRIMERA!E8&lt;&gt;"",DigitaPRIMERA!E8,"")</f>
        <v>13250</v>
      </c>
      <c r="D20" s="42">
        <f>IF(C20="",0,C20*J$14)</f>
        <v>1590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11660</v>
      </c>
    </row>
    <row r="21" spans="1:7" ht="15" thickBot="1" x14ac:dyDescent="0.4">
      <c r="A21" s="121" t="s">
        <v>5</v>
      </c>
      <c r="B21" s="128"/>
      <c r="C21" s="122">
        <f>SUM(C5:C20)</f>
        <v>411400</v>
      </c>
      <c r="D21" s="122">
        <f t="shared" ref="D21:G21" si="5">SUM(D5:D20)</f>
        <v>49368</v>
      </c>
      <c r="E21" s="122">
        <f t="shared" si="5"/>
        <v>2350</v>
      </c>
      <c r="F21" s="122">
        <f t="shared" si="5"/>
        <v>191250</v>
      </c>
      <c r="G21" s="123">
        <f t="shared" si="5"/>
        <v>170782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507750</v>
      </c>
      <c r="K4" s="231">
        <f t="shared" ref="K4" si="0">D7+D11+D15</f>
        <v>60930</v>
      </c>
      <c r="L4" s="220">
        <f>F7+F11+F15</f>
        <v>437750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IF(DigitaNICA!C10&lt;&gt;"",DigitaNICA!C10,"")</f>
        <v>108550</v>
      </c>
      <c r="D5" s="42">
        <f>IF(C5="",0,C5*J$15)</f>
        <v>13026</v>
      </c>
      <c r="E5" s="29">
        <f>IF(DigitaNICA!D10&lt;&gt;"",DigitaNICA!D10,"")</f>
        <v>550</v>
      </c>
      <c r="F5" s="42">
        <f>IF(E5="",0,E5*PREMIOS!F5)</f>
        <v>46750</v>
      </c>
      <c r="G5" s="30">
        <f t="shared" ref="G5:G12" si="1">IF(OR(C5="",E5=""),0,C5-D5-F5)</f>
        <v>48774</v>
      </c>
      <c r="I5" s="217" t="s">
        <v>37</v>
      </c>
      <c r="J5" s="221">
        <f>SUM(IF(C5="",0,C5),IF(C9="",0,C9),IF(C13="",0,C13),IF(C17="",0,C17))</f>
        <v>361850</v>
      </c>
      <c r="K5" s="225">
        <f t="shared" ref="K5" si="2">D5+D9+D13+D17</f>
        <v>43422</v>
      </c>
      <c r="L5" s="222">
        <f>F5+F9+F13+F17</f>
        <v>110500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72101</v>
      </c>
      <c r="K6" s="226">
        <f t="shared" ref="K6" si="3">+D8+D12+D16</f>
        <v>7210.1</v>
      </c>
      <c r="L6" s="227">
        <f>F8+F12+F16</f>
        <v>360000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IF(DigitaTICA!C10&lt;&gt;"",DigitaTICA!C10,"")</f>
        <v>182400</v>
      </c>
      <c r="D7" s="42">
        <f>IF(C7="",0,C7*J$14)</f>
        <v>21888</v>
      </c>
      <c r="E7" s="29">
        <f>IF(DigitaTICA!D10&lt;&gt;"",DigitaTICA!D10,"")</f>
        <v>2800</v>
      </c>
      <c r="F7" s="42">
        <f>IF(E7="",0,E7*PREMIOS!F7)</f>
        <v>238000</v>
      </c>
      <c r="G7" s="30">
        <f t="shared" si="1"/>
        <v>-77488</v>
      </c>
      <c r="I7" s="217" t="s">
        <v>96</v>
      </c>
      <c r="J7" s="223">
        <f>SUM(IF(C19="",0,C19),IF(C20="",0,C20))</f>
        <v>59250</v>
      </c>
      <c r="K7" s="226">
        <f>+D19+D20</f>
        <v>7110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23501</v>
      </c>
      <c r="D8" s="42">
        <f>IF(C8="",0,C8*J$16)</f>
        <v>2350.1</v>
      </c>
      <c r="E8" s="29">
        <f>IF(DigitaREVENTADO!D10&lt;&gt;"",DigitaREVENTADO!D10,"")</f>
        <v>1800</v>
      </c>
      <c r="F8" s="42">
        <f>IF(E8="",0,E8*PREMIOS!F8)</f>
        <v>360000</v>
      </c>
      <c r="G8" s="30">
        <f t="shared" si="1"/>
        <v>-338849.1</v>
      </c>
      <c r="I8" s="217" t="s">
        <v>104</v>
      </c>
      <c r="J8" s="223">
        <f>SUM(IF(C21="",0,C21),IF(C22="",0,C22),IF(C23="",0,C23))</f>
        <v>76600</v>
      </c>
      <c r="K8" s="226">
        <f t="shared" ref="K8" si="4">D21+D22+D23</f>
        <v>9192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IF(DigitaNICA!E10&lt;&gt;"",DigitaNICA!E10,"")</f>
        <v>85550</v>
      </c>
      <c r="D9" s="42">
        <f>IF(C9="",0,C9*J$15)</f>
        <v>10266</v>
      </c>
      <c r="E9" s="29">
        <f>IF(DigitaNICA!F10&lt;&gt;"",DigitaNICA!F10,"")</f>
        <v>600</v>
      </c>
      <c r="F9" s="42">
        <f>IF(E9="",0,E9*PREMIOS!F9)</f>
        <v>51000</v>
      </c>
      <c r="G9" s="30">
        <f t="shared" si="1"/>
        <v>24284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IF(DigitaTICA!E10&lt;&gt;"",DigitaTICA!E10,"")</f>
        <v>142350</v>
      </c>
      <c r="D11" s="42">
        <f>IF(C11="",0,C11*J$14)</f>
        <v>17082</v>
      </c>
      <c r="E11" s="29">
        <f>IF(DigitaTICA!F10&lt;&gt;"",DigitaTICA!F10,"")</f>
        <v>50</v>
      </c>
      <c r="F11" s="42">
        <f>IF(E11="",0,E11*PREMIOS!F11)</f>
        <v>4250</v>
      </c>
      <c r="G11" s="30">
        <f t="shared" si="1"/>
        <v>121018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22150</v>
      </c>
      <c r="D12" s="42">
        <f>IF(C12="",0,C12*J$16)</f>
        <v>2215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19935</v>
      </c>
    </row>
    <row r="13" spans="1:12" ht="15" thickBot="1" x14ac:dyDescent="0.4">
      <c r="A13" s="28" t="s">
        <v>50</v>
      </c>
      <c r="B13" s="132">
        <f>IF(DigitaNICA!G2&lt;&gt;"",DigitaNICA!G2,"")</f>
        <v>91</v>
      </c>
      <c r="C13" s="29">
        <f>IF(DigitaNICA!G10&lt;&gt;"",DigitaNICA!G10,"")</f>
        <v>55600</v>
      </c>
      <c r="D13" s="42">
        <f>IF(C13="",0,C13*J$15)</f>
        <v>6672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48928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60950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IF(DigitaTICA!G10&lt;&gt;"",DigitaTICA!G10,"")</f>
        <v>183000</v>
      </c>
      <c r="D15" s="42">
        <f>IF(C15="",0,C15*J$14)</f>
        <v>21960</v>
      </c>
      <c r="E15" s="29">
        <f>IF(DigitaTICA!H10&lt;&gt;"",DigitaTICA!H10,"")</f>
        <v>2300</v>
      </c>
      <c r="F15" s="42">
        <f>IF(E15="",0,E15*PREMIOS!F15)</f>
        <v>195500</v>
      </c>
      <c r="G15" s="30">
        <f t="shared" si="6"/>
        <v>-34460</v>
      </c>
      <c r="I15" s="63" t="s">
        <v>37</v>
      </c>
      <c r="J15" s="64">
        <v>0.12</v>
      </c>
      <c r="K15" s="30">
        <f>MROUND(D5+D9+D13+D17,50)</f>
        <v>43400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26450</v>
      </c>
      <c r="D16" s="42">
        <f>IF(C16="",0,C16*J$16)</f>
        <v>2645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23805</v>
      </c>
      <c r="I16" s="63" t="s">
        <v>38</v>
      </c>
      <c r="J16" s="64">
        <v>0.1</v>
      </c>
      <c r="K16" s="30">
        <f>MROUND(D6+D8+D10+D12+D14+D16+D18,50)</f>
        <v>7200</v>
      </c>
    </row>
    <row r="17" spans="1:11" x14ac:dyDescent="0.35">
      <c r="A17" s="28" t="s">
        <v>52</v>
      </c>
      <c r="B17" s="132">
        <f>IF(DigitaNICA!I2&lt;&gt;"",DigitaNICA!I2,"")</f>
        <v>57</v>
      </c>
      <c r="C17" s="29">
        <f>IF(DigitaNICA!I10&lt;&gt;"",DigitaNICA!I10,"")</f>
        <v>112150</v>
      </c>
      <c r="D17" s="42">
        <f>IF(C17="",0,C17*J$15)</f>
        <v>13458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85942</v>
      </c>
      <c r="I17" s="63" t="s">
        <v>96</v>
      </c>
      <c r="J17" s="64">
        <v>0.12</v>
      </c>
      <c r="K17" s="30">
        <f>MROUND(D19+D20,50)</f>
        <v>7100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9200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IF(DigitaPRIMERA!$C$10&lt;&gt;"",DigitaPRIMERA!$C$10,"")</f>
        <v>35700</v>
      </c>
      <c r="D19" s="42">
        <f>IF(C19="",0,C19*J$17)</f>
        <v>4284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31416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23</v>
      </c>
      <c r="C20" s="29">
        <f>IF(DigitaPRIMERA!$E$10&lt;&gt;"",DigitaPRIMERA!$E$10,"")</f>
        <v>23550</v>
      </c>
      <c r="D20" s="42">
        <f>IF(C20="",0,C20*J$17)</f>
        <v>2826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20724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53</v>
      </c>
      <c r="C21" s="29">
        <f>IF(DigitaHONDURAS!$C$10&lt;&gt;"",DigitaHONDURAS!$C$10,"")</f>
        <v>41400</v>
      </c>
      <c r="D21" s="42">
        <f>IF(C21="",0,C21*J$18)</f>
        <v>4968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36432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>
        <f>IF(DigitaHONDURAS!$E$10&lt;&gt;"",DigitaHONDURAS!$E$10,"")</f>
        <v>21100</v>
      </c>
      <c r="D22" s="42">
        <f>IF(C22="",0,C22*J$18)</f>
        <v>2532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18568</v>
      </c>
    </row>
    <row r="23" spans="1:11" x14ac:dyDescent="0.35">
      <c r="A23" s="28" t="s">
        <v>101</v>
      </c>
      <c r="B23" s="132">
        <f>IF(DigitaHONDURAS!G2&lt;&gt;"",DigitaHONDURAS!G2,"")</f>
        <v>35</v>
      </c>
      <c r="C23" s="29">
        <f>IF(DigitaHONDURAS!$G$10&lt;&gt;"",DigitaHONDURAS!$G$10,"")</f>
        <v>14100</v>
      </c>
      <c r="D23" s="42">
        <f>IF(C23="",0,C23*J$18)</f>
        <v>1692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12408</v>
      </c>
    </row>
    <row r="24" spans="1:11" x14ac:dyDescent="0.35">
      <c r="A24" s="28" t="s">
        <v>107</v>
      </c>
      <c r="B24" s="132">
        <f>IF(DigitaDOMINICANA!C2&lt;&gt;"",DigitaDOMINICANA!C2,"")</f>
        <v>31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 t="str">
        <f>IF(DigitaDOMINICANA!E2&lt;&gt;"",DigitaDOMINICANA!E2,"")</f>
        <v>02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1077551</v>
      </c>
      <c r="D27" s="68">
        <f t="shared" ref="D27:F27" si="9">SUM(D5:D26)</f>
        <v>127864.1</v>
      </c>
      <c r="E27" s="68">
        <f t="shared" si="9"/>
        <v>8250</v>
      </c>
      <c r="F27" s="68">
        <f t="shared" si="9"/>
        <v>908250</v>
      </c>
      <c r="G27" s="88">
        <f>SUM(G5:G26)</f>
        <v>41436.900000000023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12000</v>
      </c>
      <c r="K4" s="231">
        <f t="shared" ref="K4" si="0">D7+D11+D15</f>
        <v>1440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27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IF(DigitaTICA!C11&lt;&gt;"",DigitaTICA!C11,"")</f>
        <v>12000</v>
      </c>
      <c r="D7" s="42">
        <f>IF(C7="",0,C7*J$11)</f>
        <v>1440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10560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1450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12000</v>
      </c>
      <c r="D21" s="122">
        <f t="shared" ref="D21:G21" si="5">SUM(D5:D20)</f>
        <v>1440</v>
      </c>
      <c r="E21" s="122">
        <f t="shared" si="5"/>
        <v>0</v>
      </c>
      <c r="F21" s="122">
        <f t="shared" si="5"/>
        <v>0</v>
      </c>
      <c r="G21" s="123">
        <f t="shared" si="5"/>
        <v>10560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30"/>
  <sheetViews>
    <sheetView showGridLines="0" topLeftCell="A10" zoomScale="90" zoomScaleNormal="90" workbookViewId="0">
      <selection activeCell="G31" sqref="G31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36450</v>
      </c>
      <c r="K4" s="231">
        <f>D7+D11+D15</f>
        <v>4374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IF(DigitaNICA!C12&lt;&gt;"",DigitaNICA!C12,"")</f>
        <v>15150</v>
      </c>
      <c r="D5" s="42">
        <f>IF(C5="",0,C5*J$12)</f>
        <v>1818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582</v>
      </c>
      <c r="I5" s="217" t="s">
        <v>37</v>
      </c>
      <c r="J5" s="221">
        <f>SUM(IF(C5="",0,C5),IF(C9="",0,C9),IF(C13="",0,C13),IF(C17="",0,C17))</f>
        <v>24050</v>
      </c>
      <c r="K5" s="225">
        <f t="shared" ref="K5" si="1">D5+D9+D13+D17</f>
        <v>2886</v>
      </c>
      <c r="L5" s="222">
        <f>F5+F9+F13+F17</f>
        <v>12750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4250</v>
      </c>
      <c r="K6" s="226">
        <f t="shared" ref="K6" si="2">+D8+D12+D16</f>
        <v>425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IF(DigitaTICA!C12&lt;&gt;"",DigitaTICA!C12,"")</f>
        <v>20700</v>
      </c>
      <c r="D7" s="42">
        <f>IF(C7="",0,C7*J$11)</f>
        <v>2484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-7284</v>
      </c>
      <c r="I7" s="217" t="s">
        <v>96</v>
      </c>
      <c r="J7" s="223">
        <f>SUM(IF(C19="",0,C19),IF(C20="",0,C20))</f>
        <v>21550</v>
      </c>
      <c r="K7" s="226">
        <f>+D19+D20</f>
        <v>2586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2250</v>
      </c>
      <c r="D8" s="42">
        <f>IF(C8="",0,C8*J$13)</f>
        <v>225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2025</v>
      </c>
      <c r="I8" s="218" t="s">
        <v>104</v>
      </c>
      <c r="J8" s="224">
        <f>SUM(IF(C21="",0,C21),IF(C22="",0,C22),IF(C23="",0,C23))</f>
        <v>6050</v>
      </c>
      <c r="K8" s="228">
        <f>+D21+D22+D23</f>
        <v>726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>
        <f>IF(DigitaNICA!E12&lt;&gt;"",DigitaNICA!E12,"")</f>
        <v>8900</v>
      </c>
      <c r="D9" s="42">
        <f>IF(C9="",0,C9*J$12)</f>
        <v>1068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7832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IF(DigitaTICA!E12&lt;&gt;"",DigitaTICA!E12,"")</f>
        <v>15750</v>
      </c>
      <c r="D11" s="42">
        <f>IF(C11="",0,C11*J$11)</f>
        <v>1890</v>
      </c>
      <c r="E11" s="29">
        <f>IF(DigitaTICA!F12&lt;&gt;"",DigitaTICA!F12,"")</f>
        <v>300</v>
      </c>
      <c r="F11" s="42">
        <f>IF(E11="",0,E11*PREMIOS!F11)</f>
        <v>25500</v>
      </c>
      <c r="G11" s="30">
        <f t="shared" si="0"/>
        <v>-11640</v>
      </c>
      <c r="I11" s="60" t="s">
        <v>36</v>
      </c>
      <c r="J11" s="61">
        <v>0.12</v>
      </c>
      <c r="K11" s="62">
        <f>MROUND(D7+D11+D15,50)</f>
        <v>4350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2900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2600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750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IF(DigitaPRIMERA!$C$12&lt;&gt;"",DigitaPRIMERA!$C$12,"")</f>
        <v>21550</v>
      </c>
      <c r="D19" s="42">
        <f>IF(C19="",0,C19*J$14)</f>
        <v>2586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18964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53</v>
      </c>
      <c r="C21" s="29">
        <f>IF(DigitaHONDURAS!$C$12&lt;&gt;"",DigitaHONDURAS!$C$12,"")</f>
        <v>6050</v>
      </c>
      <c r="D21" s="42">
        <f>IF(C21="",0,C21*J$15)</f>
        <v>726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5324</v>
      </c>
    </row>
    <row r="22" spans="1:7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92350</v>
      </c>
      <c r="D24" s="68">
        <f t="shared" ref="D24:G24" si="4">SUM(D5:D23)</f>
        <v>10997</v>
      </c>
      <c r="E24" s="68">
        <f t="shared" si="4"/>
        <v>750</v>
      </c>
      <c r="F24" s="68">
        <f t="shared" si="4"/>
        <v>63750</v>
      </c>
      <c r="G24" s="88">
        <f t="shared" si="4"/>
        <v>17603</v>
      </c>
    </row>
    <row r="27" spans="1:7" x14ac:dyDescent="0.35">
      <c r="G27" s="21">
        <v>408298</v>
      </c>
    </row>
    <row r="28" spans="1:7" x14ac:dyDescent="0.35">
      <c r="G28" s="141">
        <f>+G24+G27</f>
        <v>425901</v>
      </c>
    </row>
    <row r="29" spans="1:7" x14ac:dyDescent="0.35">
      <c r="G29" s="21">
        <v>-200000</v>
      </c>
    </row>
    <row r="30" spans="1:7" x14ac:dyDescent="0.35">
      <c r="G30" s="141">
        <f>+G28+G29</f>
        <v>225901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111100</v>
      </c>
      <c r="K4" s="231">
        <f t="shared" ref="K4" si="0">D7+D11+D15</f>
        <v>13332</v>
      </c>
      <c r="L4" s="220">
        <f>F7+F11+F15</f>
        <v>408000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>
        <f>IF(DigitaNICA!C13&lt;&gt;"",DigitaNICA!C13,"")</f>
        <v>35600</v>
      </c>
      <c r="D5" s="42">
        <f>IF(C5="",0,C5*J$10)</f>
        <v>4272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31328</v>
      </c>
      <c r="I5" s="218" t="s">
        <v>37</v>
      </c>
      <c r="J5" s="232">
        <f>SUM(IF(C5="",0,C5),IF(C9="",0,C9),IF(C13="",0,C13),IF(C17="",0,C17))</f>
        <v>68100</v>
      </c>
      <c r="K5" s="233">
        <f t="shared" ref="K5" si="2">D5+D9+D13+D17</f>
        <v>8172</v>
      </c>
      <c r="L5" s="234">
        <f>F5+F9+F13+F17</f>
        <v>48000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IF(DigitaTICA!C13&lt;&gt;"",DigitaTICA!C13,"")</f>
        <v>51500</v>
      </c>
      <c r="D7" s="42">
        <f>IF(C7="",0,C7*J$9)</f>
        <v>6180</v>
      </c>
      <c r="E7" s="29">
        <f>IF(DigitaTICA!D13&lt;&gt;"",DigitaTICA!D13,"")</f>
        <v>3200</v>
      </c>
      <c r="F7" s="133">
        <f>IF(E7="",0,E7*PREMIOS!F7)</f>
        <v>272000</v>
      </c>
      <c r="G7" s="30">
        <f t="shared" si="1"/>
        <v>-226680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IF(DigitaNICA!E13&lt;&gt;"",DigitaNICA!E13,"")</f>
        <v>13800</v>
      </c>
      <c r="D9" s="42">
        <f>IF(C9="",0,C9*J$10)</f>
        <v>1656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12144</v>
      </c>
      <c r="I9" s="60" t="s">
        <v>36</v>
      </c>
      <c r="J9" s="61">
        <v>0.12</v>
      </c>
      <c r="K9" s="62">
        <f>MROUND(D7+D11+D15,50)</f>
        <v>13350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8150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>
        <f>IF(DigitaTICA!E13&lt;&gt;"",DigitaTICA!E13,"")</f>
        <v>19550</v>
      </c>
      <c r="D11" s="42">
        <f>IF(C11="",0,C11*J$9)</f>
        <v>2346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17204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IF(DigitaNICA!G13&lt;&gt;"",DigitaNICA!G13,"")</f>
        <v>16750</v>
      </c>
      <c r="D13" s="42">
        <f>IF(C13="",0,C13*J$10)</f>
        <v>2010</v>
      </c>
      <c r="E13" s="29">
        <f>IF(DigitaNICA!H13&lt;&gt;"",DigitaNICA!H13,"")</f>
        <v>600</v>
      </c>
      <c r="F13" s="133">
        <f>IF(E13="",0,E13*PREMIOS!E13)</f>
        <v>48000</v>
      </c>
      <c r="G13" s="30">
        <f>IF(OR(C13="",E13=""),0,C13-D13-F13)</f>
        <v>-33260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IF(DigitaTICA!G13&lt;&gt;"",DigitaTICA!G13,"")</f>
        <v>40050</v>
      </c>
      <c r="D15" s="42">
        <f>IF(C15="",0,C15*J$9)</f>
        <v>4806</v>
      </c>
      <c r="E15" s="29">
        <f>IF(DigitaTICA!H13&lt;&gt;"",DigitaTICA!H13,"")</f>
        <v>1600</v>
      </c>
      <c r="F15" s="133">
        <f>IF(E15="",0,E15*PREMIOS!F15)</f>
        <v>136000</v>
      </c>
      <c r="G15" s="30">
        <f t="shared" si="3"/>
        <v>-100756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IF(DigitaNICA!I13&lt;&gt;"",DigitaNICA!I13,"")</f>
        <v>1950</v>
      </c>
      <c r="D17" s="42">
        <f>IF(C17="",0,C17*J$10)</f>
        <v>234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1716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179200</v>
      </c>
      <c r="D19" s="68">
        <f>MROUND(SUM(D5:D18),50)</f>
        <v>21500</v>
      </c>
      <c r="E19" s="68">
        <f>SUM(E5:E18)</f>
        <v>5400</v>
      </c>
      <c r="F19" s="68">
        <f>SUM(F5:F18)</f>
        <v>456000</v>
      </c>
      <c r="G19" s="88">
        <f>SUM(G5:G18)</f>
        <v>-298304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67100</v>
      </c>
      <c r="K4" s="236">
        <f t="shared" ref="K4" si="0">D7+D11+D15</f>
        <v>10065</v>
      </c>
      <c r="L4" s="237">
        <f>F7+F11+F15</f>
        <v>64000</v>
      </c>
    </row>
    <row r="5" spans="1:12" x14ac:dyDescent="0.35">
      <c r="A5" s="28" t="s">
        <v>43</v>
      </c>
      <c r="B5" s="132">
        <f>IF(DigitaNICA!C2&lt;&gt;"",DigitaNICA!C2,"")</f>
        <v>27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>
        <f>IF(DigitaTICA!C14&lt;&gt;"",DigitaTICA!C14,"")</f>
        <v>26650</v>
      </c>
      <c r="D7" s="42">
        <f>IF(C7="",0,C7*J$9)</f>
        <v>3997.5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22652.5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>
        <f>IF(DigitaTICA!E14&lt;&gt;"",DigitaTICA!E14,"")</f>
        <v>16400</v>
      </c>
      <c r="D11" s="42">
        <f>IF(C11="",0,C11*J$9)</f>
        <v>2460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>
        <f>IF(DigitaTICA!G14&lt;&gt;"",DigitaTICA!G14,"")</f>
        <v>24050</v>
      </c>
      <c r="D15" s="42">
        <f>IF(C15="",0,C15*J$9)</f>
        <v>3607.5</v>
      </c>
      <c r="E15" s="29">
        <f>IF(DigitaTICA!H14&lt;&gt;"",DigitaTICA!H14,"")</f>
        <v>800</v>
      </c>
      <c r="F15" s="42">
        <f>IF(E15="",0,E15*PREMIOS!E15)</f>
        <v>64000</v>
      </c>
      <c r="G15" s="30">
        <f t="shared" si="2"/>
        <v>-43557.5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67100</v>
      </c>
      <c r="D19" s="68">
        <f>MROUND(SUM(D5:D18),50)</f>
        <v>10050</v>
      </c>
      <c r="E19" s="68">
        <f>SUM(E5:E18)</f>
        <v>800</v>
      </c>
      <c r="F19" s="68">
        <f>SUM(F5:F18)</f>
        <v>64000</v>
      </c>
      <c r="G19" s="88">
        <f>SUM(G5:G18)</f>
        <v>-6965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27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68800</v>
      </c>
      <c r="K4" s="231">
        <f>D7+D11+D15</f>
        <v>8256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27</v>
      </c>
      <c r="C5" s="29">
        <f>IF(DigitaNICA!C16&lt;&gt;"",DigitaNICA!C16,"")</f>
        <v>3400</v>
      </c>
      <c r="D5" s="42">
        <f>IF(C5="",0,C5*J$12)</f>
        <v>408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2992</v>
      </c>
      <c r="I5" s="63" t="s">
        <v>37</v>
      </c>
      <c r="J5" s="225">
        <f>SUM(IF(C5="",0,C5),IF(C9="",0,C9),IF(C13="",0,C13),IF(C17="",0,C17))</f>
        <v>9800</v>
      </c>
      <c r="K5" s="225">
        <f t="shared" ref="K5" si="1">D5+D9+D13+D17</f>
        <v>1176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21</v>
      </c>
      <c r="C7" s="29">
        <f>IF(DigitaTICA!C16&lt;&gt;"",DigitaTICA!C16,"")</f>
        <v>16300</v>
      </c>
      <c r="D7" s="42">
        <f>IF(C7="",0,C7*J$11)</f>
        <v>1956</v>
      </c>
      <c r="E7" s="29">
        <f>IF(DigitaTICA!D16&lt;&gt;"",DigitaTICA!D16,"")</f>
        <v>350</v>
      </c>
      <c r="F7" s="133">
        <f>IF(E7="",0,E7*PREMIOS!F7)</f>
        <v>29750</v>
      </c>
      <c r="G7" s="30">
        <f t="shared" si="0"/>
        <v>-15406</v>
      </c>
      <c r="I7" s="63" t="s">
        <v>96</v>
      </c>
      <c r="J7" s="226">
        <f>SUM(IF(C19="",0,C19),IF(C20="",0,C20))</f>
        <v>800</v>
      </c>
      <c r="K7" s="226">
        <f>+D19+D20</f>
        <v>96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IF(DigitaTICA!E16&lt;&gt;"",DigitaTICA!E16,"")</f>
        <v>20000</v>
      </c>
      <c r="D11" s="42">
        <f>IF(C11="",0,C11*J$11)</f>
        <v>2400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17600</v>
      </c>
      <c r="I11" s="76" t="s">
        <v>36</v>
      </c>
      <c r="J11" s="77">
        <v>0.12</v>
      </c>
      <c r="K11" s="78">
        <f>MROUND(D7+D11+D15,50)</f>
        <v>8250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IF(DigitaNICA!G16&lt;&gt;"",DigitaNICA!G16,"")</f>
        <v>5000</v>
      </c>
      <c r="D13" s="42">
        <f>IF(C13="",0,C13*J$12)</f>
        <v>600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2">
        <f>IF(DigitaTICA!G2&lt;&gt;"",DigitaTICA!G2,"")</f>
        <v>61</v>
      </c>
      <c r="C15" s="29">
        <f>IF(DigitaTICA!G16&lt;&gt;"",DigitaTICA!G16,"")</f>
        <v>32500</v>
      </c>
      <c r="D15" s="42">
        <f>IF(C15="",0,C15*J$11)</f>
        <v>3900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28600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57</v>
      </c>
      <c r="C17" s="29">
        <f>IF(DigitaNICA!I16&lt;&gt;"",DigitaNICA!I16,"")</f>
        <v>1400</v>
      </c>
      <c r="D17" s="42">
        <f>IF(C17="",0,C17*J$12)</f>
        <v>168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1232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19</v>
      </c>
      <c r="C19" s="29">
        <f>IF(DigitaPRIMERA!C16&lt;&gt;"",DigitaPRIMERA!C16,"")</f>
        <v>800</v>
      </c>
      <c r="D19" s="42">
        <f>IF(C19="",0,C19*J$14)</f>
        <v>96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704</v>
      </c>
    </row>
    <row r="20" spans="1:7" x14ac:dyDescent="0.35">
      <c r="A20" s="28" t="s">
        <v>98</v>
      </c>
      <c r="B20" s="132">
        <f>IF(DigitaPRIMERA!E2&lt;&gt;"",DigitaPRIMERA!E2,"")</f>
        <v>23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06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80400</v>
      </c>
      <c r="D24" s="122">
        <f t="shared" ref="D24:G24" si="5">SUM(D5:D23)</f>
        <v>9628</v>
      </c>
      <c r="E24" s="122">
        <f t="shared" si="5"/>
        <v>350</v>
      </c>
      <c r="F24" s="122">
        <f t="shared" si="5"/>
        <v>29750</v>
      </c>
      <c r="G24" s="123">
        <f t="shared" si="5"/>
        <v>41022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365750</v>
      </c>
      <c r="K4" s="231">
        <f t="shared" ref="K4" si="0">D7+D11+D15</f>
        <v>43890</v>
      </c>
      <c r="L4" s="220">
        <f>F7+F11+F15</f>
        <v>272000</v>
      </c>
    </row>
    <row r="5" spans="1:12" x14ac:dyDescent="0.35">
      <c r="A5" s="28" t="s">
        <v>43</v>
      </c>
      <c r="B5" s="132">
        <f>IF(DigitaNICA!C2&lt;&gt;"",DigitaNICA!C2,"")</f>
        <v>27</v>
      </c>
      <c r="C5" s="89">
        <f>IF(DigitaNICA!C17&lt;&gt;"",DigitaNICA!C17,"")</f>
        <v>62300</v>
      </c>
      <c r="D5" s="42">
        <f>IF(C5="",0,C5*J$16)</f>
        <v>7476</v>
      </c>
      <c r="E5" s="89">
        <f>IF(DigitaNICA!D17&lt;&gt;"",DigitaNICA!D17,"")</f>
        <v>50</v>
      </c>
      <c r="F5" s="42">
        <f>IF(E5="",0,E5*PREMIOS!F5)</f>
        <v>4250</v>
      </c>
      <c r="G5" s="90">
        <f t="shared" ref="G5:G12" si="1">IF(OR(C5="",E5=""),0,C5-D5-F5)</f>
        <v>50574</v>
      </c>
      <c r="I5" s="217" t="s">
        <v>37</v>
      </c>
      <c r="J5" s="221">
        <f>SUM(IF(C5="",0,C5),IF(C9="",0,C9),IF(C13="",0,C13),IF(C17="",0,C17))</f>
        <v>296500</v>
      </c>
      <c r="K5" s="225">
        <f t="shared" ref="K5" si="2">D5+D9+D13+D17</f>
        <v>35580</v>
      </c>
      <c r="L5" s="222">
        <f>F5+F9+F13+F17</f>
        <v>297500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66900</v>
      </c>
      <c r="K6" s="226">
        <f t="shared" ref="K6" si="3">+D8+D12+D16</f>
        <v>6690</v>
      </c>
      <c r="L6" s="227">
        <f>+F8+F12+F16</f>
        <v>110000</v>
      </c>
    </row>
    <row r="7" spans="1:12" x14ac:dyDescent="0.35">
      <c r="A7" s="28" t="s">
        <v>46</v>
      </c>
      <c r="B7" s="132">
        <f>IF(DigitaTICA!C2&lt;&gt;"",DigitaTICA!C2,"")</f>
        <v>21</v>
      </c>
      <c r="C7" s="89">
        <f>IF(DigitaTICA!C17&lt;&gt;"",DigitaTICA!C17,"")</f>
        <v>114350</v>
      </c>
      <c r="D7" s="42">
        <f>IF(C7="",0,C7*J$15)</f>
        <v>13722</v>
      </c>
      <c r="E7" s="89">
        <f>IF(DigitaTICA!D17&lt;&gt;"",DigitaTICA!D17,"")</f>
        <v>2000</v>
      </c>
      <c r="F7" s="42">
        <f>IF(E7="",0,E7*PREMIOS!F7)</f>
        <v>170000</v>
      </c>
      <c r="G7" s="90">
        <f t="shared" si="1"/>
        <v>-69372</v>
      </c>
      <c r="I7" s="217" t="s">
        <v>96</v>
      </c>
      <c r="J7" s="223">
        <f>SUM(IF(C19="",0,C19),IF(C20="",0,C20))</f>
        <v>82400</v>
      </c>
      <c r="K7" s="226">
        <f>+D19+D20</f>
        <v>9888</v>
      </c>
      <c r="L7" s="227">
        <f>+F19+F20</f>
        <v>242250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22650</v>
      </c>
      <c r="D8" s="42">
        <f>IF(C8="",0,C8*J$17)</f>
        <v>2265</v>
      </c>
      <c r="E8" s="89">
        <f>IF(DigitaREVENTADO!D17&lt;&gt;"",DigitaREVENTADO!D17,"")</f>
        <v>550</v>
      </c>
      <c r="F8" s="42">
        <f>IF(E8="",0,E8*PREMIOS!F8)</f>
        <v>110000</v>
      </c>
      <c r="G8" s="90">
        <f t="shared" si="1"/>
        <v>-89615</v>
      </c>
      <c r="I8" s="217" t="s">
        <v>104</v>
      </c>
      <c r="J8" s="223">
        <f>SUM(IF(C21="",0,C21),IF(C22="",0,C22),IF(C23="",0,C23))</f>
        <v>55500</v>
      </c>
      <c r="K8" s="226">
        <f t="shared" ref="K8" si="4">D21+D22+D23</f>
        <v>6660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23</v>
      </c>
      <c r="C9" s="89">
        <f>IF(DigitaNICA!E17&lt;&gt;"",DigitaNICA!E17,"")</f>
        <v>62500</v>
      </c>
      <c r="D9" s="42">
        <f>IF(C9="",0,C9*J$16)</f>
        <v>7500</v>
      </c>
      <c r="E9" s="89">
        <f>IF(DigitaNICA!F17&lt;&gt;"",DigitaNICA!F17,"")</f>
        <v>1350</v>
      </c>
      <c r="F9" s="42">
        <f>IF(E9="",0,E9*PREMIOS!F9)</f>
        <v>114750</v>
      </c>
      <c r="G9" s="90">
        <f t="shared" si="1"/>
        <v>-59750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89">
        <f>IF(DigitaTICA!E17&lt;&gt;"",DigitaTICA!E17,"")</f>
        <v>75400</v>
      </c>
      <c r="D11" s="42">
        <f>IF(C11="",0,C11*J$15)</f>
        <v>9048</v>
      </c>
      <c r="E11" s="89">
        <f>IF(DigitaTICA!F17&lt;&gt;"",DigitaTICA!F17,"")</f>
        <v>200</v>
      </c>
      <c r="F11" s="42">
        <f>IF(E11="",0,E11*PREMIOS!F11)</f>
        <v>17000</v>
      </c>
      <c r="G11" s="90">
        <f t="shared" si="1"/>
        <v>49352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16500</v>
      </c>
      <c r="D12" s="42">
        <f>IF(C12="",0,C12*J$17)</f>
        <v>1650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14850</v>
      </c>
    </row>
    <row r="13" spans="1:12" ht="15" thickBot="1" x14ac:dyDescent="0.4">
      <c r="A13" s="28" t="s">
        <v>50</v>
      </c>
      <c r="B13" s="132">
        <f>IF(DigitaNICA!G2&lt;&gt;"",DigitaNICA!G2,"")</f>
        <v>91</v>
      </c>
      <c r="C13" s="89">
        <f>IF(DigitaNICA!G17&lt;&gt;"",DigitaNICA!G17,"")</f>
        <v>43900</v>
      </c>
      <c r="D13" s="42">
        <f>IF(C13="",0,C13*J$16)</f>
        <v>5268</v>
      </c>
      <c r="E13" s="89">
        <f>IF(DigitaNICA!H17&lt;&gt;"",DigitaNICA!H17,"")</f>
        <v>900</v>
      </c>
      <c r="F13" s="42">
        <f>IF(E13="",0,E13*PREMIOS!F13)</f>
        <v>76500</v>
      </c>
      <c r="G13" s="90">
        <f>IF(OR(C13="",E13=""),0,C13-D13-F13)</f>
        <v>-37868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61</v>
      </c>
      <c r="C15" s="89">
        <f>IF(DigitaTICA!G17&lt;&gt;"",DigitaTICA!G17,"")</f>
        <v>176000</v>
      </c>
      <c r="D15" s="42">
        <f>IF(C15="",0,C15*J$15)</f>
        <v>21120</v>
      </c>
      <c r="E15" s="89">
        <f>IF(DigitaTICA!H17&lt;&gt;"",DigitaTICA!H17,"")</f>
        <v>1000</v>
      </c>
      <c r="F15" s="42">
        <f>IF(E15="",0,E15*PREMIOS!F15)</f>
        <v>85000</v>
      </c>
      <c r="G15" s="90">
        <f t="shared" si="6"/>
        <v>69880</v>
      </c>
      <c r="I15" s="76" t="s">
        <v>36</v>
      </c>
      <c r="J15" s="77">
        <v>0.12</v>
      </c>
      <c r="K15" s="78">
        <f>MROUND(D7+D11+D15,50)</f>
        <v>43900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27750</v>
      </c>
      <c r="D16" s="42">
        <f>IF(C16="",0,C16*J$17)</f>
        <v>2775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24975</v>
      </c>
      <c r="I16" s="63" t="s">
        <v>37</v>
      </c>
      <c r="J16" s="64">
        <v>0.12</v>
      </c>
      <c r="K16" s="30">
        <f>MROUND(D5+D9+D13+D17,50)</f>
        <v>35600</v>
      </c>
    </row>
    <row r="17" spans="1:11" x14ac:dyDescent="0.35">
      <c r="A17" s="28" t="s">
        <v>52</v>
      </c>
      <c r="B17" s="132">
        <f>IF(DigitaNICA!I2&lt;&gt;"",DigitaNICA!I2,"")</f>
        <v>57</v>
      </c>
      <c r="C17" s="89">
        <f>IF(DigitaNICA!I17&lt;&gt;"",DigitaNICA!I17,"")</f>
        <v>127800</v>
      </c>
      <c r="D17" s="42">
        <f>IF(C17="",0,C17*J$16)</f>
        <v>15336</v>
      </c>
      <c r="E17" s="89">
        <f>IF(DigitaNICA!J17&lt;&gt;"",DigitaNICA!J17,"")</f>
        <v>1200</v>
      </c>
      <c r="F17" s="42">
        <f>IF(E17="",0,E17*PREMIOS!F17)</f>
        <v>102000</v>
      </c>
      <c r="G17" s="90">
        <f t="shared" si="6"/>
        <v>10464</v>
      </c>
      <c r="I17" s="63" t="s">
        <v>38</v>
      </c>
      <c r="J17" s="64">
        <v>0.1</v>
      </c>
      <c r="K17" s="30">
        <f>MROUND(D6+D8+D10+D12+D14+D16+D18,50)</f>
        <v>6700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9900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IF(DigitaPRIMERA!$C$17&lt;&gt;"",DigitaPRIMERA!$C$17,"")</f>
        <v>62450</v>
      </c>
      <c r="D19" s="42">
        <f>IF(C19="",0,C19*J$18)</f>
        <v>7494</v>
      </c>
      <c r="E19" s="29">
        <f>IF(DigitaPRIMERA!$D$17&lt;&gt;"",DigitaPRIMERA!$D$17,"")</f>
        <v>2250</v>
      </c>
      <c r="F19" s="42">
        <f>IF(E19="",0,E19*PREMIOS!F19)</f>
        <v>191250</v>
      </c>
      <c r="G19" s="30">
        <f t="shared" si="6"/>
        <v>-136294</v>
      </c>
      <c r="I19" s="63" t="s">
        <v>104</v>
      </c>
      <c r="J19" s="64">
        <v>0.12</v>
      </c>
      <c r="K19" s="30">
        <f>MROUND(D21+D22+D23,50)</f>
        <v>6650</v>
      </c>
    </row>
    <row r="20" spans="1:11" x14ac:dyDescent="0.35">
      <c r="A20" s="28" t="s">
        <v>98</v>
      </c>
      <c r="B20" s="132">
        <f>IF(DigitaPRIMERA!E2&lt;&gt;"",DigitaPRIMERA!E2,"")</f>
        <v>23</v>
      </c>
      <c r="C20" s="29">
        <f>IF(DigitaPRIMERA!$E$17&lt;&gt;"",DigitaPRIMERA!$E$17,"")</f>
        <v>19950</v>
      </c>
      <c r="D20" s="42">
        <f>IF(C20="",0,C20*J$18)</f>
        <v>2394</v>
      </c>
      <c r="E20" s="29">
        <f>IF(DigitaPRIMERA!$F$17&lt;&gt;"",DigitaPRIMERA!$F$17,"")</f>
        <v>600</v>
      </c>
      <c r="F20" s="42">
        <f>IF(E20="",0,E20*PREMIOS!F19)</f>
        <v>51000</v>
      </c>
      <c r="G20" s="30">
        <f t="shared" si="6"/>
        <v>-33444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53</v>
      </c>
      <c r="C21" s="29">
        <f>IF(DigitaHONDURAS!$C$17&lt;&gt;"",DigitaHONDURAS!$C$17,"")</f>
        <v>34200</v>
      </c>
      <c r="D21" s="42">
        <f>IF(C21="",0,C21*J$19)</f>
        <v>4104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30096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>
        <f>IF(DigitaHONDURAS!$E$17&lt;&gt;"",DigitaHONDURAS!$E$17,"")</f>
        <v>6750</v>
      </c>
      <c r="D22" s="42">
        <f>IF(C22="",0,C22*J$19)</f>
        <v>810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5940</v>
      </c>
    </row>
    <row r="23" spans="1:11" x14ac:dyDescent="0.35">
      <c r="A23" s="28" t="s">
        <v>101</v>
      </c>
      <c r="B23" s="132">
        <f>IF(DigitaHONDURAS!G2&lt;&gt;"",DigitaHONDURAS!G2,"")</f>
        <v>35</v>
      </c>
      <c r="C23" s="29">
        <f>IF(DigitaHONDURAS!$G$17&lt;&gt;"",DigitaHONDURAS!$G$17,"")</f>
        <v>14550</v>
      </c>
      <c r="D23" s="42">
        <f>IF(C23="",0,C23*J$19)</f>
        <v>1746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-4196</v>
      </c>
    </row>
    <row r="24" spans="1:11" x14ac:dyDescent="0.35">
      <c r="A24" s="28" t="s">
        <v>102</v>
      </c>
      <c r="B24" s="132">
        <f>IF(DigitaDOMINICANA!C2&lt;&gt;"",DigitaDOMINICANA!C2,"")</f>
        <v>31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867050</v>
      </c>
      <c r="D27" s="68">
        <f t="shared" ref="D27:G27" si="7">SUM(D5:D26)</f>
        <v>102708</v>
      </c>
      <c r="E27" s="68">
        <f t="shared" si="7"/>
        <v>10300</v>
      </c>
      <c r="F27" s="68">
        <f t="shared" si="7"/>
        <v>938750</v>
      </c>
      <c r="G27" s="88">
        <f t="shared" si="7"/>
        <v>-174408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137300</v>
      </c>
      <c r="K4" s="231">
        <f t="shared" ref="K4" si="0">D7+D11+D15</f>
        <v>16476</v>
      </c>
      <c r="L4" s="220">
        <f>F7+F11+F15</f>
        <v>289000</v>
      </c>
    </row>
    <row r="5" spans="1:12" x14ac:dyDescent="0.35">
      <c r="A5" s="28" t="str">
        <f>+Vendedor1!A5</f>
        <v>Nica 11am</v>
      </c>
      <c r="B5" s="132">
        <f>IF(DigitaNICA!C2&lt;&gt;"",DigitaNICA!C2,"")</f>
        <v>27</v>
      </c>
      <c r="C5" s="29">
        <f>IF(DigitaNICA!C18&lt;&gt;"",DigitaNICA!C18,"")</f>
        <v>73550</v>
      </c>
      <c r="D5" s="42">
        <f>IF(C5="",0,C5*J$16)</f>
        <v>8826</v>
      </c>
      <c r="E5" s="29">
        <f>IF(DigitaNICA!D18&lt;&gt;"",DigitaNICA!D18,"")</f>
        <v>1100</v>
      </c>
      <c r="F5" s="42">
        <f>IF(E5="",0,E5*PREMIOS!F5)</f>
        <v>93500</v>
      </c>
      <c r="G5" s="30">
        <f t="shared" ref="G5:G12" si="1">IF(OR(C5="",E5=""),0,C5-D5-F5)</f>
        <v>-28776</v>
      </c>
      <c r="I5" s="217" t="s">
        <v>37</v>
      </c>
      <c r="J5" s="221">
        <f>SUM(IF(C5="",0,C5),IF(C9="",0,C9),IF(C13="",0,C13),IF(C17="",0,C17))</f>
        <v>199850</v>
      </c>
      <c r="K5" s="225">
        <f t="shared" ref="K5" si="2">D5+D9+D13+D17</f>
        <v>23982</v>
      </c>
      <c r="L5" s="222">
        <f>F5+F9+F13+F17</f>
        <v>102000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44850</v>
      </c>
      <c r="K6" s="226">
        <f t="shared" ref="K6" si="3">+D8+D12+D16</f>
        <v>4485</v>
      </c>
      <c r="L6" s="227">
        <f>+F8+F12+F16</f>
        <v>60000</v>
      </c>
    </row>
    <row r="7" spans="1:12" x14ac:dyDescent="0.35">
      <c r="A7" s="28" t="str">
        <f>+Vendedor1!A7</f>
        <v>Tica 1pm</v>
      </c>
      <c r="B7" s="132">
        <f>IF(DigitaTICA!C2&lt;&gt;"",DigitaTICA!C2,"")</f>
        <v>21</v>
      </c>
      <c r="C7" s="29">
        <f>IF(DigitaTICA!C18&lt;&gt;"",DigitaTICA!C18,"")</f>
        <v>36900</v>
      </c>
      <c r="D7" s="42">
        <f>IF(C7="",0,C7*J$15)</f>
        <v>4428</v>
      </c>
      <c r="E7" s="29">
        <f>IF(DigitaTICA!D18&lt;&gt;"",DigitaTICA!D18,"")</f>
        <v>2000</v>
      </c>
      <c r="F7" s="42">
        <f>IF(E7="",0,E7*PREMIOS!F7)</f>
        <v>170000</v>
      </c>
      <c r="G7" s="30">
        <f t="shared" si="1"/>
        <v>-137528</v>
      </c>
      <c r="I7" s="217" t="s">
        <v>96</v>
      </c>
      <c r="J7" s="223">
        <f>SUM(IF(C19="",0,C19),IF(C20="",0,C20))</f>
        <v>110850</v>
      </c>
      <c r="K7" s="226">
        <f>+D19+D20</f>
        <v>13302</v>
      </c>
      <c r="L7" s="227">
        <f>+F19+F20</f>
        <v>59500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13300</v>
      </c>
      <c r="D8" s="42">
        <f>IF(C8="",0,C8*J$17)</f>
        <v>1330</v>
      </c>
      <c r="E8" s="29">
        <f>IF(DigitaREVENTADO!D18&lt;&gt;"",DigitaREVENTADO!D18,"")</f>
        <v>300</v>
      </c>
      <c r="F8" s="42">
        <f>IF(E8="",0,E8*PREMIOS!F8)</f>
        <v>60000</v>
      </c>
      <c r="G8" s="30">
        <f t="shared" si="1"/>
        <v>-48030</v>
      </c>
      <c r="I8" s="217" t="s">
        <v>104</v>
      </c>
      <c r="J8" s="223">
        <f>SUM(IF(C21="",0,C21),IF(C22="",0,C22),IF(C23="",0,C23))</f>
        <v>32900</v>
      </c>
      <c r="K8" s="226">
        <f t="shared" ref="K8" si="4">D21+D22+D23</f>
        <v>3948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23</v>
      </c>
      <c r="C9" s="29">
        <f>IF(DigitaNICA!E18&lt;&gt;"",DigitaNICA!E18,"")</f>
        <v>68200</v>
      </c>
      <c r="D9" s="42">
        <f>IF(C9="",0,C9*J$16)</f>
        <v>8184</v>
      </c>
      <c r="E9" s="29">
        <f>IF(DigitaNICA!F18&lt;&gt;"",DigitaNICA!F18,"")</f>
        <v>100</v>
      </c>
      <c r="F9" s="42">
        <f>IF(E9="",0,E9*PREMIOS!F9)</f>
        <v>8500</v>
      </c>
      <c r="G9" s="30">
        <f t="shared" si="1"/>
        <v>51516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83</v>
      </c>
      <c r="C11" s="29">
        <f>IF(DigitaTICA!E18&lt;&gt;"",DigitaTICA!E18,"")</f>
        <v>46050</v>
      </c>
      <c r="D11" s="42">
        <f>IF(C11="",0,C11*J$15)</f>
        <v>5526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23524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13900</v>
      </c>
      <c r="D12" s="42">
        <f>IF(C12="",0,C12*J$17)</f>
        <v>1390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12510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91</v>
      </c>
      <c r="C13" s="29">
        <f>IF(DigitaNICA!G18&lt;&gt;"",DigitaNICA!G18,"")</f>
        <v>50400</v>
      </c>
      <c r="D13" s="42">
        <f>IF(C13="",0,C13*J$16)</f>
        <v>6048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44352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61</v>
      </c>
      <c r="C15" s="29">
        <f>IF(DigitaTICA!G18&lt;&gt;"",DigitaTICA!G18,"")</f>
        <v>54350</v>
      </c>
      <c r="D15" s="42">
        <f>IF(C15="",0,C15*J$15)</f>
        <v>6522</v>
      </c>
      <c r="E15" s="29">
        <f>IF(DigitaTICA!H18&lt;&gt;"",DigitaTICA!H18,"")</f>
        <v>1200</v>
      </c>
      <c r="F15" s="42">
        <f>IF(E15="",0,E15*PREMIOS!F15)</f>
        <v>102000</v>
      </c>
      <c r="G15" s="30">
        <f t="shared" si="6"/>
        <v>-54172</v>
      </c>
      <c r="I15" s="76" t="s">
        <v>36</v>
      </c>
      <c r="J15" s="77">
        <v>0.12</v>
      </c>
      <c r="K15" s="78">
        <f>MROUND(D7+D11+D15,50)</f>
        <v>16500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17650</v>
      </c>
      <c r="D16" s="42">
        <f>IF(C16="",0,C16*J$17)</f>
        <v>1765</v>
      </c>
      <c r="E16" s="29">
        <f>IF(DigitaREVENTADO!H18&lt;&gt;"",DigitaREVENTADO!H18,"")</f>
        <v>600</v>
      </c>
      <c r="F16" s="42">
        <f>IF(E16="",0,E16*PREMIOS!F16)</f>
        <v>0</v>
      </c>
      <c r="G16" s="30">
        <f t="shared" si="6"/>
        <v>15885</v>
      </c>
      <c r="I16" s="63" t="s">
        <v>37</v>
      </c>
      <c r="J16" s="64">
        <v>0.12</v>
      </c>
      <c r="K16" s="30">
        <f>MROUND(D5+D9+D13+D17,50)</f>
        <v>24000</v>
      </c>
    </row>
    <row r="17" spans="1:11" x14ac:dyDescent="0.35">
      <c r="A17" s="28" t="str">
        <f>+Vendedor1!A17</f>
        <v>Nica 9pm</v>
      </c>
      <c r="B17" s="132">
        <f>IF(DigitaNICA!I2&lt;&gt;"",DigitaNICA!I2,"")</f>
        <v>57</v>
      </c>
      <c r="C17" s="29">
        <f>IF(DigitaNICA!I18&lt;&gt;"",DigitaNICA!I18,"")</f>
        <v>7700</v>
      </c>
      <c r="D17" s="42">
        <f>IF(C17="",0,C17*J$16)</f>
        <v>924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6776</v>
      </c>
      <c r="I17" s="63" t="s">
        <v>38</v>
      </c>
      <c r="J17" s="64">
        <v>0.1</v>
      </c>
      <c r="K17" s="30">
        <f>MROUND(D6+D8+D10+D12+D14+D16+D18,50)</f>
        <v>4500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13300</v>
      </c>
    </row>
    <row r="19" spans="1:11" x14ac:dyDescent="0.35">
      <c r="A19" s="28" t="s">
        <v>97</v>
      </c>
      <c r="B19" s="132">
        <f>IF(DigitaPRIMERA!C2&lt;&gt;"",DigitaPRIMERA!C2,"")</f>
        <v>19</v>
      </c>
      <c r="C19" s="29">
        <f>IF(DigitaPRIMERA!$C$18&lt;&gt;"",DigitaPRIMERA!$C$18,"")</f>
        <v>58900</v>
      </c>
      <c r="D19" s="42">
        <f>IF(C19="",0,C19*J$18)</f>
        <v>7068</v>
      </c>
      <c r="E19" s="29">
        <f>IF(DigitaPRIMERA!$D$18&lt;&gt;"",DigitaPRIMERA!$D$18,"")</f>
        <v>700</v>
      </c>
      <c r="F19" s="42">
        <f>IF(E19="",0,E19*PREMIOS!F19)</f>
        <v>59500</v>
      </c>
      <c r="G19" s="30">
        <f t="shared" si="6"/>
        <v>-7668</v>
      </c>
      <c r="I19" s="63" t="s">
        <v>104</v>
      </c>
      <c r="J19" s="64">
        <v>0.12</v>
      </c>
      <c r="K19" s="30">
        <f>MROUND(D21+D22+D23,50)</f>
        <v>3950</v>
      </c>
    </row>
    <row r="20" spans="1:11" x14ac:dyDescent="0.35">
      <c r="A20" s="28" t="s">
        <v>98</v>
      </c>
      <c r="B20" s="132">
        <f>IF(DigitaPRIMERA!E2&lt;&gt;"",DigitaPRIMERA!E2,"")</f>
        <v>23</v>
      </c>
      <c r="C20" s="29">
        <f>IF(DigitaPRIMERA!$E$18&lt;&gt;"",DigitaPRIMERA!$E$18,"")</f>
        <v>51950</v>
      </c>
      <c r="D20" s="42">
        <f>IF(C20="",0,C20*J$18)</f>
        <v>6234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45716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53</v>
      </c>
      <c r="C21" s="29">
        <f>IF(DigitaHONDURAS!$C$18&lt;&gt;"",DigitaHONDURAS!$C$18,"")</f>
        <v>17050</v>
      </c>
      <c r="D21" s="42">
        <f>IF(C21="",0,C21*J$19)</f>
        <v>2046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15004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06</v>
      </c>
      <c r="C22" s="29">
        <f>IF(DigitaHONDURAS!$E$18&lt;&gt;"",DigitaHONDURAS!$E$18,"")</f>
        <v>10850</v>
      </c>
      <c r="D22" s="42">
        <f>IF(C22="",0,C22*J$19)</f>
        <v>1302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9548</v>
      </c>
    </row>
    <row r="23" spans="1:11" x14ac:dyDescent="0.35">
      <c r="A23" s="28" t="s">
        <v>101</v>
      </c>
      <c r="B23" s="132">
        <f>IF(DigitaHONDURAS!G2&lt;&gt;"",DigitaHONDURAS!G2,"")</f>
        <v>35</v>
      </c>
      <c r="C23" s="29">
        <f>IF(DigitaHONDURAS!$G$18&lt;&gt;"",DigitaHONDURAS!$G$18,"")</f>
        <v>5000</v>
      </c>
      <c r="D23" s="42">
        <f>IF(C23="",0,C23*J$19)</f>
        <v>600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4400</v>
      </c>
    </row>
    <row r="24" spans="1:11" x14ac:dyDescent="0.35">
      <c r="A24" s="28" t="s">
        <v>102</v>
      </c>
      <c r="B24" s="132">
        <f>IF(DigitaDOMINICANA!C2&lt;&gt;"",DigitaDOMINICANA!C2,"")</f>
        <v>31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>02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525750</v>
      </c>
      <c r="D27" s="68">
        <f t="shared" ref="D27:G27" si="7">SUM(D5:D26)</f>
        <v>62193</v>
      </c>
      <c r="E27" s="68">
        <f t="shared" si="7"/>
        <v>6200</v>
      </c>
      <c r="F27" s="68">
        <f t="shared" si="7"/>
        <v>510500</v>
      </c>
      <c r="G27" s="88">
        <f t="shared" si="7"/>
        <v>-46943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27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27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-600</v>
      </c>
      <c r="K4" s="56">
        <f>SUM(F5,F7,F9,F11,F13,F15,F17)</f>
        <v>-51000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-6300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>
        <f>IF(DigitaNICA!G27&lt;&gt;"",DigitaNICA!G27,"")</f>
        <v>-52500</v>
      </c>
      <c r="D13" s="42">
        <f>IF(C13="",0,C13*J$10)</f>
        <v>-6300</v>
      </c>
      <c r="E13" s="29">
        <f>IF(DigitaNICA!H27&lt;&gt;"",DigitaNICA!H27,"")</f>
        <v>-600</v>
      </c>
      <c r="F13" s="42">
        <f>IF(E13="",0,E13*PREMIOS!F13)</f>
        <v>-51000</v>
      </c>
      <c r="G13" s="30">
        <f>IF(OR(C13="",E13=""),0,C13-D13-F13)</f>
        <v>4800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-52500</v>
      </c>
      <c r="D27" s="68">
        <f t="shared" ref="D27:G27" si="2">SUM(D5:D26)</f>
        <v>-6300</v>
      </c>
      <c r="E27" s="68">
        <f t="shared" si="2"/>
        <v>-600</v>
      </c>
      <c r="F27" s="68">
        <f t="shared" si="2"/>
        <v>-51000</v>
      </c>
      <c r="G27" s="88">
        <f t="shared" si="2"/>
        <v>4800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21</v>
      </c>
      <c r="D2" s="268"/>
      <c r="E2" s="267">
        <f>IF(PREMIOS!$B11="","",PREMIOS!$B11)</f>
        <v>83</v>
      </c>
      <c r="F2" s="268"/>
      <c r="G2" s="267">
        <f>IF(PREMIOS!$B15="","",PREMIOS!$B15)</f>
        <v>61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66750</v>
      </c>
      <c r="D4" s="78">
        <v>3250</v>
      </c>
      <c r="E4" s="189">
        <v>40650</v>
      </c>
      <c r="F4" s="78">
        <v>1000</v>
      </c>
      <c r="G4" s="189">
        <v>108750</v>
      </c>
      <c r="H4" s="78">
        <v>500</v>
      </c>
      <c r="J4" s="42">
        <f t="shared" ref="J4:J8" si="0">+C4+E4+G4</f>
        <v>216150</v>
      </c>
      <c r="K4" s="42">
        <f>IF(D4="",0,IF(F4="",D4,IF(H4="",D4+F4,D4+F4+H4)))</f>
        <v>4750</v>
      </c>
    </row>
    <row r="5" spans="1:11" x14ac:dyDescent="0.35">
      <c r="A5" s="47">
        <v>2</v>
      </c>
      <c r="B5" s="178" t="str">
        <f>Vendedor2!$B$2</f>
        <v>PUESTO 2</v>
      </c>
      <c r="C5" s="180">
        <v>51150</v>
      </c>
      <c r="D5" s="30">
        <v>400</v>
      </c>
      <c r="E5" s="180">
        <v>43700</v>
      </c>
      <c r="F5" s="30">
        <f t="shared" ref="D5:H27" si="1">IF(E5="","",0)</f>
        <v>0</v>
      </c>
      <c r="G5" s="180">
        <v>63400</v>
      </c>
      <c r="H5" s="30">
        <f t="shared" si="1"/>
        <v>0</v>
      </c>
      <c r="J5" s="42">
        <f t="shared" si="0"/>
        <v>158250</v>
      </c>
      <c r="K5" s="42">
        <f t="shared" ref="K5:K27" si="2">IF(D5="",0,IF(F5="",D5,IF(H5="",D5+F5,D5+F5+H5)))</f>
        <v>400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77000</v>
      </c>
      <c r="D8" s="30">
        <v>650</v>
      </c>
      <c r="E8" s="180">
        <v>51700</v>
      </c>
      <c r="F8" s="30">
        <f t="shared" si="1"/>
        <v>0</v>
      </c>
      <c r="G8" s="180">
        <v>49400</v>
      </c>
      <c r="H8" s="30">
        <f t="shared" si="1"/>
        <v>0</v>
      </c>
      <c r="J8" s="42">
        <f t="shared" si="0"/>
        <v>178100</v>
      </c>
      <c r="K8" s="42">
        <f t="shared" si="2"/>
        <v>650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57350+125050</f>
        <v>182400</v>
      </c>
      <c r="D10" s="30">
        <f>2450+350</f>
        <v>2800</v>
      </c>
      <c r="E10" s="180">
        <f>31250+111100</f>
        <v>142350</v>
      </c>
      <c r="F10" s="30">
        <v>50</v>
      </c>
      <c r="G10" s="180">
        <f>50750+132250</f>
        <v>183000</v>
      </c>
      <c r="H10" s="30">
        <f>1300+1000</f>
        <v>2300</v>
      </c>
      <c r="J10" s="42">
        <f t="shared" si="3"/>
        <v>507750</v>
      </c>
      <c r="K10" s="42">
        <f t="shared" si="2"/>
        <v>5150</v>
      </c>
    </row>
    <row r="11" spans="1:11" x14ac:dyDescent="0.35">
      <c r="A11" s="47">
        <v>8</v>
      </c>
      <c r="B11" s="178" t="str">
        <f>Vendedor8!$B$2</f>
        <v>ISA</v>
      </c>
      <c r="C11" s="180">
        <v>12000</v>
      </c>
      <c r="D11" s="30">
        <f t="shared" si="1"/>
        <v>0</v>
      </c>
      <c r="E11" s="180"/>
      <c r="F11" s="30" t="str">
        <f t="shared" si="1"/>
        <v/>
      </c>
      <c r="G11" s="180"/>
      <c r="H11" s="30" t="str">
        <f t="shared" si="1"/>
        <v/>
      </c>
      <c r="J11" s="42">
        <f t="shared" si="3"/>
        <v>12000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20700</v>
      </c>
      <c r="D12" s="30">
        <v>300</v>
      </c>
      <c r="E12" s="180">
        <v>15750</v>
      </c>
      <c r="F12" s="30">
        <v>300</v>
      </c>
      <c r="G12" s="180"/>
      <c r="H12" s="30" t="str">
        <f t="shared" si="1"/>
        <v/>
      </c>
      <c r="J12" s="42">
        <f t="shared" si="3"/>
        <v>36450</v>
      </c>
      <c r="K12" s="42">
        <f t="shared" si="2"/>
        <v>600</v>
      </c>
    </row>
    <row r="13" spans="1:11" x14ac:dyDescent="0.35">
      <c r="A13" s="47">
        <v>10</v>
      </c>
      <c r="B13" s="178" t="str">
        <f>Vendedor10!$B$2</f>
        <v>MARIALIZ</v>
      </c>
      <c r="C13" s="180">
        <v>51500</v>
      </c>
      <c r="D13" s="30">
        <v>3200</v>
      </c>
      <c r="E13" s="180">
        <v>19550</v>
      </c>
      <c r="F13" s="30">
        <f t="shared" si="1"/>
        <v>0</v>
      </c>
      <c r="G13" s="180">
        <v>40050</v>
      </c>
      <c r="H13" s="30">
        <v>1600</v>
      </c>
      <c r="J13" s="42">
        <f t="shared" si="3"/>
        <v>111100</v>
      </c>
      <c r="K13" s="42">
        <f t="shared" si="2"/>
        <v>4800</v>
      </c>
    </row>
    <row r="14" spans="1:11" x14ac:dyDescent="0.35">
      <c r="A14" s="47">
        <v>11</v>
      </c>
      <c r="B14" s="178" t="str">
        <f>Vendedor11!$B$2</f>
        <v>CHARLY</v>
      </c>
      <c r="C14" s="180">
        <v>26650</v>
      </c>
      <c r="D14" s="30">
        <f t="shared" si="1"/>
        <v>0</v>
      </c>
      <c r="E14" s="180">
        <v>16400</v>
      </c>
      <c r="F14" s="30">
        <f t="shared" si="1"/>
        <v>0</v>
      </c>
      <c r="G14" s="180">
        <v>24050</v>
      </c>
      <c r="H14" s="30">
        <v>800</v>
      </c>
      <c r="J14" s="42">
        <f t="shared" si="3"/>
        <v>67100</v>
      </c>
      <c r="K14" s="42">
        <f t="shared" si="2"/>
        <v>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16300</v>
      </c>
      <c r="D16" s="30">
        <v>350</v>
      </c>
      <c r="E16" s="180">
        <v>20000</v>
      </c>
      <c r="F16" s="30">
        <f t="shared" si="1"/>
        <v>0</v>
      </c>
      <c r="G16" s="180">
        <v>32500</v>
      </c>
      <c r="H16" s="30">
        <f t="shared" si="1"/>
        <v>0</v>
      </c>
      <c r="J16" s="42">
        <f t="shared" si="3"/>
        <v>68800</v>
      </c>
      <c r="K16" s="42">
        <f t="shared" si="2"/>
        <v>350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29950+84400</f>
        <v>114350</v>
      </c>
      <c r="D17" s="30">
        <f>1000+1000</f>
        <v>2000</v>
      </c>
      <c r="E17" s="180">
        <f>57500+17900</f>
        <v>75400</v>
      </c>
      <c r="F17" s="30">
        <f>200+0</f>
        <v>200</v>
      </c>
      <c r="G17" s="180">
        <f>140350+35650</f>
        <v>176000</v>
      </c>
      <c r="H17" s="30">
        <f>1000+0</f>
        <v>1000</v>
      </c>
      <c r="J17" s="42">
        <f t="shared" si="3"/>
        <v>365750</v>
      </c>
      <c r="K17" s="42">
        <f t="shared" si="2"/>
        <v>3200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23600+13300</f>
        <v>36900</v>
      </c>
      <c r="D18" s="30">
        <f>1700+300</f>
        <v>2000</v>
      </c>
      <c r="E18" s="180">
        <f>13900+32150</f>
        <v>46050</v>
      </c>
      <c r="F18" s="30">
        <v>200</v>
      </c>
      <c r="G18" s="180">
        <f>19350+35000</f>
        <v>54350</v>
      </c>
      <c r="H18" s="30">
        <f>600+600</f>
        <v>1200</v>
      </c>
      <c r="J18" s="42">
        <f t="shared" si="3"/>
        <v>137300</v>
      </c>
      <c r="K18" s="42">
        <f t="shared" si="2"/>
        <v>3400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655700</v>
      </c>
      <c r="D32" s="44">
        <f t="shared" si="6"/>
        <v>14950</v>
      </c>
      <c r="E32" s="43">
        <f t="shared" si="6"/>
        <v>471550</v>
      </c>
      <c r="F32" s="44">
        <f t="shared" si="6"/>
        <v>1750</v>
      </c>
      <c r="G32" s="43">
        <f t="shared" si="6"/>
        <v>731500</v>
      </c>
      <c r="H32" s="44">
        <f t="shared" si="6"/>
        <v>7400</v>
      </c>
      <c r="J32" s="95">
        <f>SUM(J4:J31)</f>
        <v>1858750</v>
      </c>
      <c r="K32" s="95"/>
    </row>
    <row r="33" spans="2:8" x14ac:dyDescent="0.35">
      <c r="D33" s="99">
        <f>+D32*85</f>
        <v>1270750</v>
      </c>
      <c r="F33" s="99">
        <f>+F32*85</f>
        <v>148750</v>
      </c>
      <c r="H33" s="99">
        <f>+H32*85</f>
        <v>629000</v>
      </c>
    </row>
    <row r="34" spans="2:8" x14ac:dyDescent="0.35">
      <c r="B34" s="247" t="s">
        <v>149</v>
      </c>
      <c r="C34" s="43">
        <f t="shared" ref="C34:H34" si="7">+C4+C5+C6+C8+C13</f>
        <v>246400</v>
      </c>
      <c r="D34" s="43" t="e">
        <f t="shared" si="7"/>
        <v>#VALUE!</v>
      </c>
      <c r="E34" s="43">
        <f t="shared" si="7"/>
        <v>155600</v>
      </c>
      <c r="F34" s="43" t="e">
        <f t="shared" si="7"/>
        <v>#VALUE!</v>
      </c>
      <c r="G34" s="43">
        <f t="shared" si="7"/>
        <v>261600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189900</v>
      </c>
      <c r="D35" s="43" t="e">
        <f t="shared" ref="D35:H35" si="8">+D11+D14+D15+D17+D18</f>
        <v>#VALUE!</v>
      </c>
      <c r="E35" s="43">
        <f t="shared" si="8"/>
        <v>137850</v>
      </c>
      <c r="F35" s="43" t="e">
        <f t="shared" si="8"/>
        <v>#VALUE!</v>
      </c>
      <c r="G35" s="43">
        <f t="shared" si="8"/>
        <v>254400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203100</v>
      </c>
      <c r="D36" s="43" t="e">
        <f t="shared" ref="D36:H36" si="9">+D10+D12+D27</f>
        <v>#VALUE!</v>
      </c>
      <c r="E36" s="43">
        <f t="shared" si="9"/>
        <v>158100</v>
      </c>
      <c r="F36" s="43" t="e">
        <f t="shared" si="9"/>
        <v>#VALUE!</v>
      </c>
      <c r="G36" s="43">
        <f t="shared" si="9"/>
        <v>183000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27</v>
      </c>
      <c r="D2" s="268"/>
      <c r="E2" s="267">
        <f>IF(PREMIOS!$B9="","",PREMIOS!$B9)</f>
        <v>23</v>
      </c>
      <c r="F2" s="268"/>
      <c r="G2" s="267">
        <f>IF(PREMIOS!$B13="","",PREMIOS!$B13)</f>
        <v>91</v>
      </c>
      <c r="H2" s="268"/>
      <c r="I2" s="267">
        <f>IF(PREMIOS!$B17="","",PREMIOS!$B17)</f>
        <v>57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26500</v>
      </c>
      <c r="D4" s="78">
        <v>300</v>
      </c>
      <c r="E4" s="206">
        <v>14450</v>
      </c>
      <c r="F4" s="78">
        <f t="shared" ref="D4:J27" si="0">IF(E4="","",0)</f>
        <v>0</v>
      </c>
      <c r="G4" s="189">
        <v>2450</v>
      </c>
      <c r="H4" s="78">
        <f t="shared" ref="H4:H26" si="1">IF(G4="","",0)</f>
        <v>0</v>
      </c>
      <c r="I4" s="189">
        <v>3400</v>
      </c>
      <c r="J4" s="78">
        <f t="shared" si="0"/>
        <v>0</v>
      </c>
      <c r="L4" s="42">
        <f t="shared" ref="L4:L8" si="2">+C4+E4+G4+I4</f>
        <v>46800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8" t="str">
        <f>Vendedor2!$B$2</f>
        <v>PUESTO 2</v>
      </c>
      <c r="C5" s="180">
        <v>19050</v>
      </c>
      <c r="D5" s="30">
        <f t="shared" si="0"/>
        <v>0</v>
      </c>
      <c r="E5" s="207">
        <v>8000</v>
      </c>
      <c r="F5" s="30">
        <f t="shared" si="0"/>
        <v>0</v>
      </c>
      <c r="G5" s="180">
        <v>22400</v>
      </c>
      <c r="H5" s="30">
        <f t="shared" si="1"/>
        <v>0</v>
      </c>
      <c r="I5" s="180">
        <v>11000</v>
      </c>
      <c r="J5" s="30">
        <f t="shared" ref="J5:J27" si="3">IF(I5="","",0)</f>
        <v>0</v>
      </c>
      <c r="L5" s="42">
        <f t="shared" si="2"/>
        <v>60450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84300</v>
      </c>
      <c r="D8" s="30">
        <v>500</v>
      </c>
      <c r="E8" s="207">
        <v>61500</v>
      </c>
      <c r="F8" s="30">
        <v>300</v>
      </c>
      <c r="G8" s="180">
        <v>5900</v>
      </c>
      <c r="H8" s="30">
        <f t="shared" si="1"/>
        <v>0</v>
      </c>
      <c r="I8" s="180">
        <v>44050</v>
      </c>
      <c r="J8" s="30">
        <v>450</v>
      </c>
      <c r="L8" s="42">
        <f t="shared" si="2"/>
        <v>195750</v>
      </c>
      <c r="M8" s="42">
        <f t="shared" si="4"/>
        <v>1250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49100+59450</f>
        <v>108550</v>
      </c>
      <c r="D10" s="30">
        <v>550</v>
      </c>
      <c r="E10" s="207">
        <f>36000+49550</f>
        <v>85550</v>
      </c>
      <c r="F10" s="30">
        <f>100+500</f>
        <v>600</v>
      </c>
      <c r="G10" s="180">
        <f>23000+32600</f>
        <v>55600</v>
      </c>
      <c r="H10" s="30">
        <f t="shared" si="0"/>
        <v>0</v>
      </c>
      <c r="I10" s="180">
        <f>44250+67900</f>
        <v>112150</v>
      </c>
      <c r="J10" s="30">
        <v>150</v>
      </c>
      <c r="L10" s="42">
        <f t="shared" si="5"/>
        <v>361850</v>
      </c>
      <c r="M10" s="42">
        <f t="shared" si="4"/>
        <v>1300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15150</v>
      </c>
      <c r="D12" s="30">
        <v>150</v>
      </c>
      <c r="E12" s="207">
        <v>8900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24050</v>
      </c>
      <c r="M12" s="42">
        <f t="shared" si="4"/>
        <v>150</v>
      </c>
    </row>
    <row r="13" spans="1:13" x14ac:dyDescent="0.35">
      <c r="A13" s="47">
        <v>10</v>
      </c>
      <c r="B13" s="178" t="str">
        <f>Vendedor10!$B$2</f>
        <v>MARIALIZ</v>
      </c>
      <c r="C13" s="180">
        <v>35600</v>
      </c>
      <c r="D13" s="30">
        <f t="shared" si="0"/>
        <v>0</v>
      </c>
      <c r="E13" s="207">
        <v>13800</v>
      </c>
      <c r="F13" s="30">
        <f t="shared" si="0"/>
        <v>0</v>
      </c>
      <c r="G13" s="180">
        <v>16750</v>
      </c>
      <c r="H13" s="30">
        <v>600</v>
      </c>
      <c r="I13" s="180">
        <v>1950</v>
      </c>
      <c r="J13" s="30">
        <f t="shared" si="0"/>
        <v>0</v>
      </c>
      <c r="L13" s="42">
        <f t="shared" si="5"/>
        <v>68100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3400</v>
      </c>
      <c r="D16" s="30">
        <f t="shared" si="0"/>
        <v>0</v>
      </c>
      <c r="E16" s="207"/>
      <c r="F16" s="30" t="str">
        <f t="shared" si="0"/>
        <v/>
      </c>
      <c r="G16" s="180">
        <v>5000</v>
      </c>
      <c r="H16" s="30">
        <f t="shared" si="0"/>
        <v>0</v>
      </c>
      <c r="I16" s="180">
        <v>1400</v>
      </c>
      <c r="J16" s="30">
        <f t="shared" si="0"/>
        <v>0</v>
      </c>
      <c r="L16" s="42">
        <f t="shared" si="5"/>
        <v>9800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62300</v>
      </c>
      <c r="D17" s="30">
        <v>50</v>
      </c>
      <c r="E17" s="207">
        <v>62500</v>
      </c>
      <c r="F17" s="30">
        <v>1350</v>
      </c>
      <c r="G17" s="180">
        <v>43900</v>
      </c>
      <c r="H17" s="30">
        <v>900</v>
      </c>
      <c r="I17" s="180">
        <v>127800</v>
      </c>
      <c r="J17" s="30">
        <v>1200</v>
      </c>
      <c r="L17" s="42">
        <f t="shared" si="5"/>
        <v>296500</v>
      </c>
      <c r="M17" s="42">
        <f t="shared" si="4"/>
        <v>3500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73550</v>
      </c>
      <c r="D18" s="30">
        <v>1100</v>
      </c>
      <c r="E18" s="207">
        <v>68200</v>
      </c>
      <c r="F18" s="30">
        <v>100</v>
      </c>
      <c r="G18" s="180">
        <v>50400</v>
      </c>
      <c r="H18" s="30">
        <f t="shared" si="0"/>
        <v>0</v>
      </c>
      <c r="I18" s="180">
        <v>7700</v>
      </c>
      <c r="J18" s="30">
        <f t="shared" si="3"/>
        <v>0</v>
      </c>
      <c r="L18" s="42">
        <f t="shared" si="5"/>
        <v>199850</v>
      </c>
      <c r="M18" s="42">
        <f t="shared" si="4"/>
        <v>1200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>
        <v>-52500</v>
      </c>
      <c r="H27" s="50">
        <v>-600</v>
      </c>
      <c r="I27" s="181"/>
      <c r="J27" s="50" t="str">
        <f t="shared" si="3"/>
        <v/>
      </c>
      <c r="L27" s="42">
        <f t="shared" si="5"/>
        <v>-52500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428400</v>
      </c>
      <c r="D32" s="44">
        <f t="shared" si="7"/>
        <v>2650</v>
      </c>
      <c r="E32" s="43">
        <f t="shared" si="7"/>
        <v>322900</v>
      </c>
      <c r="F32" s="44">
        <f t="shared" si="7"/>
        <v>2350</v>
      </c>
      <c r="G32" s="43">
        <f t="shared" si="7"/>
        <v>149900</v>
      </c>
      <c r="H32" s="44">
        <f t="shared" si="7"/>
        <v>900</v>
      </c>
      <c r="I32" s="43">
        <f t="shared" si="7"/>
        <v>309450</v>
      </c>
      <c r="J32" s="44">
        <f t="shared" si="7"/>
        <v>1800</v>
      </c>
      <c r="L32" s="95">
        <f>SUM(L9:L31)</f>
        <v>907650</v>
      </c>
      <c r="M32" s="95">
        <f>SUM(M9:M31)</f>
        <v>6150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21 Roja</v>
      </c>
      <c r="D2" s="268"/>
      <c r="E2" s="267" t="str">
        <f>IF(E33=0,"",CONCATENATE(PREMIOS!$B11," ",PREMIOS!$B12))</f>
        <v>83 Roja</v>
      </c>
      <c r="F2" s="268"/>
      <c r="G2" s="267" t="str">
        <f>IF(G33=0,"",CONCATENATE(PREMIOS!$B15," ",PREMIOS!$B16))</f>
        <v>61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18550+4951</f>
        <v>23501</v>
      </c>
      <c r="D10" s="30">
        <f>1500+300</f>
        <v>1800</v>
      </c>
      <c r="E10" s="180">
        <f>16050+6100</f>
        <v>22150</v>
      </c>
      <c r="F10" s="30">
        <f t="shared" si="0"/>
        <v>0</v>
      </c>
      <c r="G10" s="180">
        <f>17650+8800</f>
        <v>26450</v>
      </c>
      <c r="H10" s="30">
        <f t="shared" si="0"/>
        <v>0</v>
      </c>
      <c r="J10" s="42">
        <f t="shared" si="3"/>
        <v>72101</v>
      </c>
      <c r="K10" s="42">
        <f t="shared" si="4"/>
        <v>1800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2250</v>
      </c>
      <c r="D12" s="30">
        <f t="shared" si="0"/>
        <v>0</v>
      </c>
      <c r="E12" s="180">
        <v>2000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4250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1000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22650</v>
      </c>
      <c r="D17" s="30">
        <v>550</v>
      </c>
      <c r="E17" s="180">
        <v>16500</v>
      </c>
      <c r="F17" s="30">
        <f t="shared" si="0"/>
        <v>0</v>
      </c>
      <c r="G17" s="180">
        <v>27750</v>
      </c>
      <c r="H17" s="30">
        <f t="shared" si="0"/>
        <v>0</v>
      </c>
      <c r="J17" s="42">
        <f t="shared" si="3"/>
        <v>66900</v>
      </c>
      <c r="K17" s="42">
        <f t="shared" si="4"/>
        <v>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13300</v>
      </c>
      <c r="D18" s="30">
        <v>300</v>
      </c>
      <c r="E18" s="180">
        <v>13900</v>
      </c>
      <c r="F18" s="30">
        <f t="shared" si="0"/>
        <v>0</v>
      </c>
      <c r="G18" s="180">
        <v>17650</v>
      </c>
      <c r="H18" s="30">
        <v>600</v>
      </c>
      <c r="J18" s="42">
        <f t="shared" si="3"/>
        <v>44850</v>
      </c>
      <c r="K18" s="42">
        <f t="shared" si="4"/>
        <v>900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61701</v>
      </c>
      <c r="D33" s="44">
        <f t="shared" si="7"/>
        <v>2650</v>
      </c>
      <c r="E33" s="43">
        <f t="shared" si="7"/>
        <v>54550</v>
      </c>
      <c r="F33" s="44">
        <f t="shared" si="7"/>
        <v>0</v>
      </c>
      <c r="G33" s="43">
        <f t="shared" si="7"/>
        <v>72850</v>
      </c>
      <c r="H33" s="44">
        <f t="shared" si="7"/>
        <v>600</v>
      </c>
      <c r="J33" s="45">
        <f>SUM(J4:J32)</f>
        <v>189101</v>
      </c>
      <c r="K33" s="95">
        <f>SUM(K4:K32)</f>
        <v>3250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19</v>
      </c>
      <c r="D2" s="268"/>
      <c r="E2" s="267">
        <f>IF(PREMIOS!$C19="","",PREMIOS!$C19)</f>
        <v>23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6850</v>
      </c>
      <c r="D4" s="78">
        <f t="shared" ref="D4:F27" si="0">IF(C4="","",0)</f>
        <v>0</v>
      </c>
      <c r="E4" s="189">
        <v>2050</v>
      </c>
      <c r="F4" s="78">
        <f t="shared" si="0"/>
        <v>0</v>
      </c>
      <c r="H4" s="42">
        <f>+C4+E4</f>
        <v>8900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3000</v>
      </c>
      <c r="D5" s="30">
        <v>500</v>
      </c>
      <c r="E5" s="180"/>
      <c r="F5" s="30" t="str">
        <f t="shared" ref="F5:F27" si="1">IF(E5="","",0)</f>
        <v/>
      </c>
      <c r="H5" s="42">
        <f t="shared" ref="H5:H32" si="2">+C5+E5</f>
        <v>3000</v>
      </c>
      <c r="I5" s="42">
        <f t="shared" ref="I5:I27" si="3">IF(D5="",0,IF(F5="",D5,D5+F5))</f>
        <v>500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24300</v>
      </c>
      <c r="D8" s="30">
        <v>450</v>
      </c>
      <c r="E8" s="194">
        <v>13250</v>
      </c>
      <c r="F8" s="195">
        <f t="shared" si="1"/>
        <v>0</v>
      </c>
      <c r="H8" s="42">
        <f t="shared" si="2"/>
        <v>37550</v>
      </c>
      <c r="I8" s="42">
        <f t="shared" si="3"/>
        <v>450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14000+21700</f>
        <v>35700</v>
      </c>
      <c r="D10" s="30">
        <f t="shared" si="0"/>
        <v>0</v>
      </c>
      <c r="E10" s="180">
        <v>23550</v>
      </c>
      <c r="F10" s="195">
        <f t="shared" si="1"/>
        <v>0</v>
      </c>
      <c r="H10" s="42">
        <f t="shared" si="2"/>
        <v>59250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21550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21550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800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800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62450</v>
      </c>
      <c r="D17" s="195">
        <v>2250</v>
      </c>
      <c r="E17" s="180">
        <v>19950</v>
      </c>
      <c r="F17" s="30">
        <v>600</v>
      </c>
      <c r="H17" s="42">
        <f t="shared" si="2"/>
        <v>82400</v>
      </c>
      <c r="I17" s="42">
        <f t="shared" si="3"/>
        <v>2850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58900</v>
      </c>
      <c r="D18" s="195">
        <v>700</v>
      </c>
      <c r="E18" s="180">
        <v>51950</v>
      </c>
      <c r="F18" s="30">
        <f t="shared" si="0"/>
        <v>0</v>
      </c>
      <c r="H18" s="42">
        <f t="shared" si="2"/>
        <v>110850</v>
      </c>
      <c r="I18" s="42">
        <f t="shared" si="3"/>
        <v>700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213550</v>
      </c>
      <c r="D33" s="44">
        <f>SUM(D4:D32)</f>
        <v>3900</v>
      </c>
      <c r="E33" s="43">
        <f>SUM(E4:E32)</f>
        <v>110750</v>
      </c>
      <c r="F33" s="44">
        <f>SUM(F4:F32)</f>
        <v>600</v>
      </c>
      <c r="H33" s="95">
        <f>SUM(H4:H32)</f>
        <v>324300</v>
      </c>
      <c r="I33" s="95">
        <f>SUM(I4:I32)</f>
        <v>4500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53</v>
      </c>
      <c r="D2" s="268"/>
      <c r="E2" s="267" t="str">
        <f>IF(PREMIOS!$C20="","",PREMIOS!$C20)</f>
        <v>06</v>
      </c>
      <c r="F2" s="268"/>
      <c r="G2" s="267">
        <f>IF(PREMIOS!$D20="","",PREMIOS!$D20)</f>
        <v>35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4200+37200</f>
        <v>41400</v>
      </c>
      <c r="D10" s="195">
        <f t="shared" si="0"/>
        <v>0</v>
      </c>
      <c r="E10" s="180">
        <v>21100</v>
      </c>
      <c r="F10" s="30">
        <f t="shared" si="0"/>
        <v>0</v>
      </c>
      <c r="G10" s="180">
        <f>1000+13100</f>
        <v>14100</v>
      </c>
      <c r="H10" s="195">
        <f t="shared" si="0"/>
        <v>0</v>
      </c>
      <c r="J10" s="42">
        <f t="shared" si="3"/>
        <v>76600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6050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6050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34200</v>
      </c>
      <c r="D17" s="195">
        <f t="shared" si="0"/>
        <v>0</v>
      </c>
      <c r="E17" s="194">
        <v>6750</v>
      </c>
      <c r="F17" s="195">
        <f t="shared" si="0"/>
        <v>0</v>
      </c>
      <c r="G17" s="194">
        <v>14550</v>
      </c>
      <c r="H17" s="195">
        <v>200</v>
      </c>
      <c r="J17" s="42">
        <f t="shared" si="3"/>
        <v>55500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17050</v>
      </c>
      <c r="D18" s="195">
        <f t="shared" si="0"/>
        <v>0</v>
      </c>
      <c r="E18" s="180">
        <v>10850</v>
      </c>
      <c r="F18" s="30">
        <f t="shared" si="1"/>
        <v>0</v>
      </c>
      <c r="G18" s="180">
        <v>5000</v>
      </c>
      <c r="H18" s="30">
        <f t="shared" si="2"/>
        <v>0</v>
      </c>
      <c r="J18" s="42">
        <f t="shared" si="3"/>
        <v>32900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98700</v>
      </c>
      <c r="D33" s="44">
        <f t="shared" si="6"/>
        <v>0</v>
      </c>
      <c r="E33" s="43">
        <f t="shared" si="6"/>
        <v>38700</v>
      </c>
      <c r="F33" s="44">
        <f t="shared" si="6"/>
        <v>0</v>
      </c>
      <c r="G33" s="43">
        <f t="shared" si="6"/>
        <v>33650</v>
      </c>
      <c r="H33" s="44">
        <f t="shared" si="6"/>
        <v>200</v>
      </c>
      <c r="J33" s="45">
        <f>SUM(J4:J32)</f>
        <v>171050</v>
      </c>
      <c r="K33" s="95">
        <f>SUM(K4:K32)</f>
        <v>200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31</v>
      </c>
      <c r="D2" s="268"/>
      <c r="E2" s="267" t="str">
        <f>IF(PREMIOS!$C21="","",PREMIOS!$C21)</f>
        <v>02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2026-05-15T16:25:41Z</dcterms:modified>
  <dc:language>es-CR</dc:language>
</cp:coreProperties>
</file>
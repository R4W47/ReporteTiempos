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43" documentId="11_47F3BF5E3C7AF6DA1599CCBCF5875B646A6D0ECF" xr6:coauthVersionLast="47" xr6:coauthVersionMax="47" xr10:uidLastSave="{F002E278-4891-4180-A994-B7B879ECCA6A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2" i="14" l="1"/>
  <c r="G30" i="14"/>
  <c r="B2" i="7"/>
  <c r="B2" i="6"/>
  <c r="B2" i="15"/>
  <c r="B2" i="14"/>
  <c r="B2" i="16"/>
  <c r="B2" i="21"/>
  <c r="I5" i="69"/>
  <c r="K12" i="69" l="1"/>
  <c r="G10" i="64"/>
  <c r="G10" i="62"/>
  <c r="E10" i="62"/>
  <c r="I10" i="61"/>
  <c r="G10" i="60"/>
  <c r="F10" i="60"/>
  <c r="E10" i="60"/>
  <c r="C10" i="62"/>
  <c r="E10" i="61"/>
  <c r="C10" i="60"/>
  <c r="C10" i="65" l="1"/>
  <c r="C10" i="61"/>
  <c r="D18" i="64" l="1"/>
  <c r="D18" i="65"/>
  <c r="D11" i="65"/>
  <c r="D10" i="65"/>
  <c r="D18" i="61"/>
  <c r="D17" i="61"/>
  <c r="D10" i="61"/>
  <c r="D9" i="61"/>
  <c r="D8" i="61"/>
  <c r="E23" i="15"/>
  <c r="H16" i="71" s="1"/>
  <c r="C23" i="15"/>
  <c r="D23" i="15" s="1"/>
  <c r="C22" i="15"/>
  <c r="D22" i="15" s="1"/>
  <c r="C21" i="15"/>
  <c r="C16" i="71" s="1"/>
  <c r="H16" i="64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35" i="60" s="1"/>
  <c r="D13" i="60"/>
  <c r="D11" i="60"/>
  <c r="D36" i="60"/>
  <c r="D9" i="60"/>
  <c r="D8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9" i="60"/>
  <c r="H8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F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30" i="73"/>
  <c r="I30" i="73" s="1"/>
  <c r="F30" i="73"/>
  <c r="H29" i="73"/>
  <c r="I29" i="73" s="1"/>
  <c r="H28" i="73"/>
  <c r="I28" i="73" s="1"/>
  <c r="H25" i="73"/>
  <c r="I25" i="73" s="1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2" i="73"/>
  <c r="F20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G4" i="73" s="1"/>
  <c r="D31" i="73"/>
  <c r="H31" i="73" s="1"/>
  <c r="I31" i="73" s="1"/>
  <c r="C31" i="73"/>
  <c r="B31" i="73"/>
  <c r="D30" i="73"/>
  <c r="C30" i="73"/>
  <c r="B30" i="73"/>
  <c r="D29" i="73"/>
  <c r="C29" i="73"/>
  <c r="F29" i="73" s="1"/>
  <c r="B29" i="73"/>
  <c r="D28" i="73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C25" i="73"/>
  <c r="F25" i="73" s="1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B4" i="73"/>
  <c r="E27" i="72"/>
  <c r="D18" i="72"/>
  <c r="H18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E29" i="72"/>
  <c r="D29" i="72"/>
  <c r="J29" i="72" s="1"/>
  <c r="K29" i="72" s="1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J25" i="72"/>
  <c r="K25" i="72" s="1"/>
  <c r="F25" i="72"/>
  <c r="E25" i="72"/>
  <c r="D25" i="72"/>
  <c r="C25" i="72"/>
  <c r="H25" i="72" s="1"/>
  <c r="B25" i="72"/>
  <c r="J24" i="72"/>
  <c r="K24" i="72" s="1"/>
  <c r="F24" i="72"/>
  <c r="E24" i="72"/>
  <c r="D24" i="72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J21" i="72" s="1"/>
  <c r="K21" i="72" s="1"/>
  <c r="C21" i="72"/>
  <c r="B21" i="72"/>
  <c r="J20" i="72"/>
  <c r="K20" i="72" s="1"/>
  <c r="F20" i="72"/>
  <c r="E20" i="72"/>
  <c r="D20" i="72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J29" i="71" s="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I14" i="66" s="1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5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N25" i="72"/>
  <c r="I25" i="72"/>
  <c r="K20" i="19"/>
  <c r="K9" i="19"/>
  <c r="J31" i="64"/>
  <c r="E33" i="66"/>
  <c r="L20" i="71"/>
  <c r="M20" i="71" s="1"/>
  <c r="J30" i="71"/>
  <c r="K30" i="71" s="1"/>
  <c r="I15" i="72"/>
  <c r="N15" i="72" s="1"/>
  <c r="J22" i="70"/>
  <c r="K22" i="70" s="1"/>
  <c r="D26" i="21"/>
  <c r="J10" i="21"/>
  <c r="C17" i="73"/>
  <c r="F17" i="73" s="1"/>
  <c r="J10" i="8"/>
  <c r="D26" i="19"/>
  <c r="J10" i="19"/>
  <c r="F27" i="72"/>
  <c r="J29" i="64"/>
  <c r="I18" i="66"/>
  <c r="H24" i="70"/>
  <c r="J7" i="19"/>
  <c r="F25" i="19"/>
  <c r="L9" i="19" s="1"/>
  <c r="F18" i="72"/>
  <c r="J26" i="71"/>
  <c r="L29" i="71"/>
  <c r="M29" i="71" s="1"/>
  <c r="H20" i="72"/>
  <c r="H21" i="72"/>
  <c r="H30" i="66"/>
  <c r="H33" i="66" s="1"/>
  <c r="H21" i="70"/>
  <c r="J24" i="70"/>
  <c r="K24" i="70" s="1"/>
  <c r="L28" i="71"/>
  <c r="M28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N27" i="72"/>
  <c r="K20" i="21"/>
  <c r="K10" i="21"/>
  <c r="L27" i="70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J5" i="23" s="1"/>
  <c r="J5" i="19" l="1"/>
  <c r="L5" i="23"/>
  <c r="M25" i="52"/>
  <c r="J6" i="23"/>
  <c r="L4" i="23"/>
  <c r="M22" i="52"/>
  <c r="M24" i="52"/>
  <c r="C24" i="15"/>
  <c r="F17" i="52"/>
  <c r="F12" i="8"/>
  <c r="M26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C32" i="61"/>
  <c r="I32" i="61"/>
  <c r="G32" i="60"/>
  <c r="L19" i="59"/>
  <c r="F32" i="60"/>
  <c r="F33" i="60" s="1"/>
  <c r="H32" i="60"/>
  <c r="H33" i="60" s="1"/>
  <c r="K5" i="23"/>
  <c r="J19" i="70"/>
  <c r="K19" i="70" s="1"/>
  <c r="G32" i="61"/>
  <c r="F32" i="61"/>
  <c r="L6" i="25"/>
  <c r="H32" i="61"/>
  <c r="H19" i="70"/>
  <c r="I19" i="70" s="1"/>
  <c r="K6" i="23"/>
  <c r="K5" i="19"/>
  <c r="D24" i="15"/>
  <c r="L5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5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4" i="52"/>
  <c r="C3" i="1" s="1"/>
  <c r="B3" i="1"/>
  <c r="K20" i="52"/>
  <c r="C19" i="1" s="1"/>
  <c r="B19" i="1"/>
  <c r="K5" i="52"/>
  <c r="C4" i="1" s="1"/>
  <c r="B4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<sst xmlns="http://schemas.openxmlformats.org/spreadsheetml/2006/main" count="1293" uniqueCount="160">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</sst>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214550</v>
      </c>
      <c r="C3" s="9">
        <f>+HojaTICA!K4+HojaNICA!M4+HojaREVENTADO!K4+HojaPrimera!I4+HojaHonduras!K4+HojaDominicana!I4+HojaPANA!G4</f>
        <v>27900</v>
      </c>
      <c r="D3" s="9">
        <f>+HojaTICA!N4+HojaNICA!P4+HojaREVENTADO!O4+HojaPrimera!L4+HojaHonduras!N4+HojaDominicana!L4+HojaPANA!J4</f>
        <v>0</v>
      </c>
      <c r="F3" s="10">
        <f t="shared" ref="F3:F27" si="0">+B3-C3-D3</f>
        <v>186650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189450</v>
      </c>
      <c r="C4" s="9">
        <f>+HojaTICA!K5+HojaNICA!M5+HojaREVENTADO!K5+HojaPrimera!I5+HojaHonduras!K5+HojaDominicana!I5+HojaPANA!G5</f>
        <v>24650</v>
      </c>
      <c r="D4" s="9">
        <f>+HojaTICA!N5+HojaNICA!P5+HojaREVENTADO!O5+HojaPrimera!L5+HojaHonduras!N5+HojaDominicana!L5+HojaPANA!J5</f>
        <v>0</v>
      </c>
      <c r="F4" s="14">
        <f t="shared" si="0"/>
        <v>164800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569800</v>
      </c>
      <c r="C9" s="9">
        <f>+HojaTICA!K10+HojaNICA!M10+HojaREVENTADO!K10+HojaPrimera!I10+HojaHonduras!K10+HojaDominicana!I10+HojaPANA!G10</f>
        <v>67555</v>
      </c>
      <c r="D9" s="9">
        <f>+HojaTICA!N10+HojaNICA!P10+HojaREVENTADO!O10+HojaPrimera!L10+HojaHonduras!N10+HojaDominicana!L10+HojaPANA!J10</f>
        <v>204000</v>
      </c>
      <c r="F9" s="14">
        <f t="shared" si="0"/>
        <v>298245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4000</v>
      </c>
      <c r="C10" s="9">
        <f>+HojaTICA!K11+HojaNICA!M11+HojaREVENTADO!K11+HojaPrimera!I11+HojaHonduras!K11+HojaDominicana!I11+HojaPANA!G11</f>
        <v>500</v>
      </c>
      <c r="D10" s="9">
        <f>+HojaTICA!N11+HojaNICA!P11+HojaREVENTADO!O11+HojaPrimera!L11+HojaHonduras!N11+HojaDominicana!L11+HojaPANA!J11</f>
        <v>0</v>
      </c>
      <c r="F10" s="14">
        <f t="shared" si="0"/>
        <v>3500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165650</v>
      </c>
      <c r="C11" s="9">
        <f>+HojaTICA!K12+HojaNICA!M12+HojaREVENTADO!K12+HojaPrimera!I12+HojaHonduras!K12+HojaDominicana!I12+HojaPANA!G12</f>
        <v>19760</v>
      </c>
      <c r="D11" s="9">
        <f>+HojaTICA!N12+HojaNICA!P12+HojaREVENTADO!O12+HojaPrimera!L12+HojaHonduras!N12+HojaDominicana!L12+HojaPANA!J12</f>
        <v>76500</v>
      </c>
      <c r="F11" s="14">
        <f t="shared" si="0"/>
        <v>69390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128850</v>
      </c>
      <c r="C12" s="9">
        <f>+HojaTICA!K13+HojaNICA!M13+HojaREVENTADO!K13+HojaPrimera!I13+HojaHonduras!K13+HojaDominicana!I13+HojaPANA!G13</f>
        <v>15450</v>
      </c>
      <c r="D12" s="9">
        <f>+HojaTICA!N13+HojaNICA!P13+HojaREVENTADO!O13+HojaPrimera!L13+HojaHonduras!N13+HojaDominicana!L13+HojaPANA!J13</f>
        <v>0</v>
      </c>
      <c r="F12" s="14">
        <f t="shared" si="0"/>
        <v>113400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97800</v>
      </c>
      <c r="C13" s="9">
        <f>+HojaTICA!K14+HojaNICA!M14+HojaREVENTADO!K14+HojaPrimera!I14+HojaHonduras!K14+HojaDominicana!I14+HojaPANA!G14</f>
        <v>14650</v>
      </c>
      <c r="D13" s="9">
        <f>+HojaTICA!N14+HojaNICA!P14+HojaREVENTADO!O14+HojaPrimera!L14+HojaHonduras!N14+HojaDominicana!L14+HojaPANA!J14</f>
        <v>0</v>
      </c>
      <c r="F13" s="14">
        <f t="shared" si="0"/>
        <v>83150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115850</v>
      </c>
      <c r="C15" s="9">
        <f>+HojaTICA!K16+HojaNICA!M16+HojaREVENTADO!K16+HojaPrimera!I16+HojaHonduras!K16+HojaDominicana!I16+HojaPANA!G16</f>
        <v>13900</v>
      </c>
      <c r="D15" s="9">
        <f>+HojaTICA!N16+HojaNICA!P16+HojaREVENTADO!O16+HojaPrimera!L16+HojaHonduras!N16+HojaDominicana!L16+HojaPANA!J16</f>
        <v>0</v>
      </c>
      <c r="F15" s="14">
        <f t="shared" si="0"/>
        <v>101950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1485950</v>
      </c>
      <c r="C28" s="17">
        <f t="shared" si="1"/>
        <v>184365</v>
      </c>
      <c r="D28" s="18">
        <f t="shared" si="1"/>
        <v>280500</v>
      </c>
      <c r="F28" s="20">
        <f>SUM(F3:F27)</f>
        <v>1021085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36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27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74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63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98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39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75</v>
      </c>
      <c r="C19" s="132">
        <v>57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82</v>
      </c>
      <c r="C20" s="162">
        <v>46</v>
      </c>
      <c r="D20" s="165">
        <v>71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159</v>
      </c>
      <c r="C21" s="163">
        <v>44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27</v>
      </c>
      <c r="D2" s="267"/>
      <c r="E2" s="266">
        <f>DigitaTICA!E2</f>
        <v>63</v>
      </c>
      <c r="F2" s="267"/>
      <c r="G2" s="266">
        <f>DigitaTICA!G2</f>
        <v>98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64650</v>
      </c>
      <c r="D4" s="30">
        <f>IF(Vendedor1!$E$7="",0,Vendedor1!$E$7)</f>
        <v>0</v>
      </c>
      <c r="E4" s="179">
        <f>IF(Vendedor1!$C$11="",0,Vendedor1!$C$11)</f>
        <v>27600</v>
      </c>
      <c r="F4" s="30">
        <f>IF(Vendedor1!$E$11="",0,Vendedor1!$E$11)</f>
        <v>0</v>
      </c>
      <c r="G4" s="179">
        <f>IF(Vendedor1!$C$15="",0,Vendedor1!$C$15)</f>
        <v>76900</v>
      </c>
      <c r="H4" s="30">
        <f>IF(Vendedor1!$E$15="",0,Vendedor1!$E$15)</f>
        <v>0</v>
      </c>
      <c r="J4" s="42">
        <f t="shared" ref="J4:J7" si="0">+C4+E4+G4</f>
        <v>169150</v>
      </c>
      <c r="K4" s="41">
        <f>MROUND(J4*Vendedor1!J$9,50)</f>
        <v>22000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147150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66100</v>
      </c>
      <c r="D5" s="30">
        <f>IF(Vendedor2!$E$7="",0,Vendedor2!$E$7)</f>
        <v>0</v>
      </c>
      <c r="E5" s="179">
        <f>IF(Vendedor2!$C$11="",0,Vendedor2!$C$11)</f>
        <v>36050</v>
      </c>
      <c r="F5" s="30">
        <f>IF(Vendedor2!$E$11="",0,Vendedor2!$E$11)</f>
        <v>0</v>
      </c>
      <c r="G5" s="179">
        <f>IF(Vendedor2!$C$15="",0,Vendedor2!$C$15)</f>
        <v>65500</v>
      </c>
      <c r="H5" s="30">
        <f>IF(Vendedor2!$E$15="",0,Vendedor2!$E$15)</f>
        <v>0</v>
      </c>
      <c r="J5" s="42">
        <f t="shared" si="0"/>
        <v>167650</v>
      </c>
      <c r="K5" s="41">
        <f>MROUND(J5*Vendedor2!J$9,50)</f>
        <v>21800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145850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0</v>
      </c>
      <c r="D8" s="30">
        <f>IF(Vendedor5!$E$7="",0,Vendedor5!$E$7)</f>
        <v>0</v>
      </c>
      <c r="E8" s="179">
        <f>IF(Vendedor5!$C$11="",0,Vendedor5!$C$11)</f>
        <v>0</v>
      </c>
      <c r="F8" s="30">
        <f>IF(Vendedor5!$E$11="",0,Vendedor5!$E$11)</f>
        <v>0</v>
      </c>
      <c r="G8" s="179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7" t="str">
        <f>Vendedor6!$B$2</f>
        <v>MARTA ROSA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91100</v>
      </c>
      <c r="D10" s="30">
        <f>IF(Vendedor7!$E$7="",0,Vendedor7!$E$7)</f>
        <v>900</v>
      </c>
      <c r="E10" s="179">
        <f>IF(Vendedor7!$C$11="",0,Vendedor7!$C$11)</f>
        <v>66250</v>
      </c>
      <c r="F10" s="30">
        <f>IF(Vendedor7!$E$11="",0,Vendedor7!$E$11)</f>
        <v>650</v>
      </c>
      <c r="G10" s="179">
        <f>IF(Vendedor7!$C$15="",0,Vendedor7!$C$15)</f>
        <v>137900</v>
      </c>
      <c r="H10" s="30">
        <f>IF(Vendedor7!$E$15="",0,Vendedor7!$E$15)</f>
        <v>500</v>
      </c>
      <c r="J10" s="42">
        <f t="shared" si="8"/>
        <v>295250</v>
      </c>
      <c r="K10" s="41">
        <f>MROUND(J10*Vendedor7!J$14,50)</f>
        <v>35450</v>
      </c>
      <c r="L10" s="42">
        <f t="shared" si="9"/>
        <v>2050</v>
      </c>
      <c r="M10" s="42">
        <f t="shared" si="10"/>
        <v>174250</v>
      </c>
      <c r="N10" s="42">
        <f>Vendedor7!$F$7+Vendedor7!$F$11+Vendedor7!$F$15</f>
        <v>174250</v>
      </c>
      <c r="P10" s="42">
        <f t="shared" si="11"/>
        <v>85550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4000</v>
      </c>
      <c r="H11" s="30">
        <f>IF(Vendedor8!$E$15="",0,Vendedor8!$E$15)</f>
        <v>0</v>
      </c>
      <c r="J11" s="42">
        <f t="shared" si="8"/>
        <v>4000</v>
      </c>
      <c r="K11" s="41">
        <f>MROUND(J11*Vendedor8!J$11,50)</f>
        <v>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3500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44050</v>
      </c>
      <c r="D12" s="30">
        <f>IF(Vendedor9!$E$7="",0,Vendedor9!$E$7)</f>
        <v>250</v>
      </c>
      <c r="E12" s="179">
        <f>IF(Vendedor9!$C$11="",0,Vendedor9!$C$11)</f>
        <v>10100</v>
      </c>
      <c r="F12" s="30">
        <f>IF(Vendedor9!$E$11="",0,Vendedor9!$E$11)</f>
        <v>0</v>
      </c>
      <c r="G12" s="179">
        <f>IF(Vendedor9!$C$15="",0,Vendedor9!$C$15)</f>
        <v>25800</v>
      </c>
      <c r="H12" s="30">
        <f>IF(Vendedor9!$E$15="",0,Vendedor9!$E$15)</f>
        <v>0</v>
      </c>
      <c r="J12" s="42">
        <f t="shared" si="8"/>
        <v>79950</v>
      </c>
      <c r="K12" s="41">
        <f>MROUND(J12*Vendedor9!J$11,50)</f>
        <v>9600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49100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40250</v>
      </c>
      <c r="D13" s="30">
        <f>IF(Vendedor10!$E$7="",0,Vendedor10!$E$7)</f>
        <v>0</v>
      </c>
      <c r="E13" s="179">
        <f>IF(Vendedor10!$C$11="",0,Vendedor10!$C$11)</f>
        <v>9600</v>
      </c>
      <c r="F13" s="30">
        <f>IF(Vendedor10!$E$11="",0,Vendedor10!$E$11)</f>
        <v>0</v>
      </c>
      <c r="G13" s="179">
        <f>IF(Vendedor10!$C$15="",0,Vendedor10!$C$15)</f>
        <v>28950</v>
      </c>
      <c r="H13" s="30">
        <f>IF(Vendedor10!$E$15="",0,Vendedor10!$E$15)</f>
        <v>0</v>
      </c>
      <c r="J13" s="42">
        <f t="shared" si="8"/>
        <v>78800</v>
      </c>
      <c r="K13" s="41">
        <f>MROUND(J13*Vendedor10!J$9,50)</f>
        <v>9450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69350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43550</v>
      </c>
      <c r="D14" s="30">
        <f>IF(Vendedor11!$E$7="",0,Vendedor11!$E$7)</f>
        <v>0</v>
      </c>
      <c r="E14" s="179">
        <f>IF(Vendedor11!$C$11="",0,Vendedor11!$C$11)</f>
        <v>25550</v>
      </c>
      <c r="F14" s="30">
        <f>IF(Vendedor11!$E$11="",0,Vendedor11!$E$11)</f>
        <v>0</v>
      </c>
      <c r="G14" s="179">
        <f>IF(Vendedor11!$C$15="",0,Vendedor11!$C$15)</f>
        <v>28700</v>
      </c>
      <c r="H14" s="30">
        <f>IF(Vendedor11!$E$15="",0,Vendedor11!$E$15)</f>
        <v>0</v>
      </c>
      <c r="J14" s="42">
        <f t="shared" si="8"/>
        <v>97800</v>
      </c>
      <c r="K14" s="41">
        <f>MROUND(J14*Vendedor11!J$9,50)</f>
        <v>14650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83150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24100</v>
      </c>
      <c r="D16" s="30">
        <f>IF(Vendedor13!$E$7="",0,Vendedor13!$E$7)</f>
        <v>0</v>
      </c>
      <c r="E16" s="179">
        <f>IF(Vendedor13!$C$11="",0,Vendedor13!$C$11)</f>
        <v>13750</v>
      </c>
      <c r="F16" s="30">
        <f>IF(Vendedor13!$E$11="",0,Vendedor13!$E$11)</f>
        <v>0</v>
      </c>
      <c r="G16" s="179">
        <f>IF(Vendedor13!$C$15="",0,Vendedor13!$C$15)</f>
        <v>18100</v>
      </c>
      <c r="H16" s="30">
        <f>IF(Vendedor13!$E$15="",0,Vendedor13!$E$15)</f>
        <v>0</v>
      </c>
      <c r="J16" s="42">
        <f t="shared" si="8"/>
        <v>55950</v>
      </c>
      <c r="K16" s="41">
        <f>MROUND(J16*Vendedor13!J$11,50)</f>
        <v>6700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49250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373800</v>
      </c>
      <c r="D32" s="44">
        <f t="shared" si="16"/>
        <v>1150</v>
      </c>
      <c r="E32" s="43">
        <f t="shared" si="16"/>
        <v>188900</v>
      </c>
      <c r="F32" s="44">
        <f t="shared" si="16"/>
        <v>650</v>
      </c>
      <c r="G32" s="43">
        <f t="shared" si="16"/>
        <v>385850</v>
      </c>
      <c r="H32" s="44">
        <f t="shared" si="16"/>
        <v>500</v>
      </c>
      <c r="J32" s="95">
        <f>SUM(J4:J31)</f>
        <v>948550</v>
      </c>
      <c r="K32" s="45">
        <f>SUM(K7:K31)</f>
        <v>76350</v>
      </c>
      <c r="L32" s="95">
        <f>SUM(L4:L31)</f>
        <v>2300</v>
      </c>
      <c r="M32" s="95">
        <f>SUM(M4:M31)</f>
        <v>195500</v>
      </c>
      <c r="N32" s="95">
        <f>SUM(N4:N31)</f>
        <v>195500</v>
      </c>
      <c r="P32" s="79">
        <f>SUM(P4:P31)</f>
        <v>632900</v>
      </c>
    </row>
    <row r="33" spans="3:13" x14ac:dyDescent="0.35">
      <c r="D33" s="99">
        <f>+D32*85</f>
        <v>97750</v>
      </c>
      <c r="F33" s="99">
        <f>+F32*85</f>
        <v>55250</v>
      </c>
      <c r="H33" s="99">
        <f>+H32*85</f>
        <v>42500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948550</v>
      </c>
      <c r="E36" s="43">
        <f>+D36-J4-J5-J6</f>
        <v>611750</v>
      </c>
      <c r="G36" s="101"/>
    </row>
    <row r="37" spans="3:13" x14ac:dyDescent="0.35">
      <c r="C37" s="47" t="s">
        <v>33</v>
      </c>
      <c r="D37" s="48">
        <f>D36*13%</f>
        <v>123311.5</v>
      </c>
      <c r="E37">
        <f>+D37-K4-K5-K6</f>
        <v>79511.5</v>
      </c>
      <c r="G37" s="100"/>
      <c r="H37" s="100"/>
    </row>
    <row r="38" spans="3:13" ht="15" thickBot="1" x14ac:dyDescent="0.4">
      <c r="C38" s="47" t="s">
        <v>30</v>
      </c>
      <c r="D38" s="30">
        <f>M32</f>
        <v>195500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629738.5</v>
      </c>
      <c r="F39" s="98">
        <f>+P32-D39</f>
        <v>3161.5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629738.5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36</v>
      </c>
      <c r="D2" s="267"/>
      <c r="E2" s="266">
        <f>DigitaNICA!E2</f>
        <v>74</v>
      </c>
      <c r="F2" s="267"/>
      <c r="G2" s="266" t="str">
        <f>DigitaNICA!G2</f>
        <v/>
      </c>
      <c r="H2" s="267"/>
      <c r="I2" s="266">
        <f>DigitaNICA!I2</f>
        <v>39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14950</v>
      </c>
      <c r="D4" s="78">
        <f>IF(Vendedor1!$E$5="",0,Vendedor1!$E$5)</f>
        <v>0</v>
      </c>
      <c r="E4" s="188">
        <f>IF(Vendedor1!$C$9="",0,Vendedor1!$C$9)</f>
        <v>9350</v>
      </c>
      <c r="F4" s="78">
        <f>IF(Vendedor1!$E$9="",0,Vendedor1!$E$9)</f>
        <v>0</v>
      </c>
      <c r="G4" s="188">
        <f>IF(Vendedor1!$C$13="",0,Vendedor1!$C$13)</f>
        <v>0</v>
      </c>
      <c r="H4" s="78">
        <f>IF(Vendedor1!$E$13="",0,Vendedor1!$E$13)</f>
        <v>0</v>
      </c>
      <c r="I4" s="188">
        <f>IF(Vendedor1!$C$17="",0,Vendedor1!$C$17)</f>
        <v>2100</v>
      </c>
      <c r="J4" s="78">
        <f>IF(Vendedor1!$E$17="",0,Vendedor1!$E$17)</f>
        <v>0</v>
      </c>
      <c r="L4" s="42">
        <f t="shared" ref="L4:L7" si="0">C4+E4+G4+I4</f>
        <v>26400</v>
      </c>
      <c r="M4" s="41">
        <f>MROUND(L4*Vendedor1!J$10,50)</f>
        <v>3450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22950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8700</v>
      </c>
      <c r="D5" s="30">
        <f>IF(Vendedor2!$E$5="",0,Vendedor2!$E$5)</f>
        <v>0</v>
      </c>
      <c r="E5" s="179">
        <f>IF(Vendedor2!$C$9="",0,Vendedor2!$C$9)</f>
        <v>2000</v>
      </c>
      <c r="F5" s="30">
        <f>IF(Vendedor2!$E$9="",0,Vendedor2!$E$9)</f>
        <v>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2200</v>
      </c>
      <c r="J5" s="30">
        <f>IF(Vendedor2!$E$17="",0,Vendedor2!$E$17)</f>
        <v>0</v>
      </c>
      <c r="L5" s="42">
        <f t="shared" si="0"/>
        <v>12900</v>
      </c>
      <c r="M5" s="41">
        <f>MROUND(L5*Vendedor2!J$10,50)</f>
        <v>1700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11200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0</v>
      </c>
      <c r="D8" s="30">
        <f>IF(Vendedor5!$E$5="",0,Vendedor5!$E$5)</f>
        <v>0</v>
      </c>
      <c r="E8" s="179">
        <f>IF(Vendedor5!$C$9="",0,Vendedor5!$C$9)</f>
        <v>0</v>
      </c>
      <c r="F8" s="30">
        <f>IF(Vendedor5!$E$9="",0,Vendedor5!$E$9)</f>
        <v>0</v>
      </c>
      <c r="G8" s="179">
        <f>IF(Vendedor5!$C$13="",0,Vendedor5!$C$13)</f>
        <v>0</v>
      </c>
      <c r="H8" s="30">
        <f>IF(Vendedor5!$E$13="",0,Vendedor5!$E$13)</f>
        <v>0</v>
      </c>
      <c r="I8" s="179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7" t="str">
        <f>Vendedor6!$B$2</f>
        <v>MARTA ROSA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39100</v>
      </c>
      <c r="D10" s="30">
        <f>IF(Vendedor7!$E$5="",0,Vendedor7!$E$5)</f>
        <v>0</v>
      </c>
      <c r="E10" s="179">
        <f>IF(Vendedor7!$C$9="",0,Vendedor7!$C$9)</f>
        <v>46950</v>
      </c>
      <c r="F10" s="30">
        <f>IF(Vendedor7!$E$9="",0,Vendedor7!$E$9)</f>
        <v>150</v>
      </c>
      <c r="G10" s="179">
        <f>IF(Vendedor7!$C$13="",0,Vendedor7!$C$13)</f>
        <v>0</v>
      </c>
      <c r="H10" s="30">
        <f>IF(Vendedor7!$E$13="",0,Vendedor7!$E$13)</f>
        <v>0</v>
      </c>
      <c r="I10" s="179">
        <f>IF(Vendedor7!$C$17="",0,Vendedor7!$C$17)</f>
        <v>66400</v>
      </c>
      <c r="J10" s="30">
        <f>IF(Vendedor7!$E$17="",0,Vendedor7!$E$17)</f>
        <v>200</v>
      </c>
      <c r="L10" s="42">
        <f t="shared" si="7"/>
        <v>152450</v>
      </c>
      <c r="M10" s="41">
        <f>MROUND(L10*Vendedor7!J$15,50)</f>
        <v>18300</v>
      </c>
      <c r="N10" s="42">
        <f t="shared" ref="N10:N27" si="9">D10+F10+H10+J10</f>
        <v>350</v>
      </c>
      <c r="O10" s="41">
        <f t="shared" si="3"/>
        <v>29750</v>
      </c>
      <c r="P10" s="42">
        <f>Vendedor7!$F$5+Vendedor7!$F$9+Vendedor7!$F$13+Vendedor7!$F$17</f>
        <v>29750</v>
      </c>
      <c r="R10" s="41">
        <f t="shared" si="8"/>
        <v>104400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33350</v>
      </c>
      <c r="D12" s="30">
        <f>IF(Vendedor9!$E$5="",0,Vendedor9!$E$5)</f>
        <v>250</v>
      </c>
      <c r="E12" s="179">
        <f>IF(Vendedor9!$C$9="",0,Vendedor9!$C$9)</f>
        <v>11650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45000</v>
      </c>
      <c r="M12" s="41">
        <f>MROUND(L12*Vendedor9!J$12,50)</f>
        <v>5400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18350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28600</v>
      </c>
      <c r="D13" s="30">
        <f>IF(Vendedor10!$E$5="",0,Vendedor10!$E$5)</f>
        <v>0</v>
      </c>
      <c r="E13" s="179">
        <f>IF(Vendedor10!$C$9="",0,Vendedor10!$C$9)</f>
        <v>19800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1650</v>
      </c>
      <c r="J13" s="30">
        <f>IF(Vendedor10!$E$17="",0,Vendedor10!$E$17)</f>
        <v>0</v>
      </c>
      <c r="L13" s="42">
        <f t="shared" si="7"/>
        <v>50050</v>
      </c>
      <c r="M13" s="41">
        <f>MROUND(L13*Vendedor10!J$10,50)</f>
        <v>6000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44050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4800</v>
      </c>
      <c r="D16" s="30">
        <f>IF(Vendedor13!$E$5="",0,Vendedor13!$E$5)</f>
        <v>0</v>
      </c>
      <c r="E16" s="179">
        <f>IF(Vendedor13!$C$9="",0,Vendedor13!$C$9)</f>
        <v>9800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32050</v>
      </c>
      <c r="J16" s="30">
        <f>IF(Vendedor13!$E$17="",0,Vendedor13!$E$17)</f>
        <v>0</v>
      </c>
      <c r="L16" s="42">
        <f t="shared" si="7"/>
        <v>46650</v>
      </c>
      <c r="M16" s="41">
        <f>MROUND(L16*Vendedor13!J$12,50)</f>
        <v>5600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41050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129500</v>
      </c>
      <c r="D32" s="44">
        <f t="shared" si="14"/>
        <v>250</v>
      </c>
      <c r="E32" s="43">
        <f t="shared" si="14"/>
        <v>99550</v>
      </c>
      <c r="F32" s="44">
        <f t="shared" si="14"/>
        <v>150</v>
      </c>
      <c r="G32" s="43">
        <f t="shared" si="14"/>
        <v>0</v>
      </c>
      <c r="H32" s="44">
        <f t="shared" si="14"/>
        <v>0</v>
      </c>
      <c r="I32" s="43">
        <f t="shared" si="14"/>
        <v>104400</v>
      </c>
      <c r="J32" s="44">
        <f t="shared" si="14"/>
        <v>200</v>
      </c>
      <c r="L32" s="45">
        <f>SUM(L4:L31)</f>
        <v>333450</v>
      </c>
      <c r="M32" s="45">
        <f>SUM(M7:M31)</f>
        <v>35300</v>
      </c>
      <c r="N32" s="95">
        <f>SUM(N4:N31)</f>
        <v>600</v>
      </c>
      <c r="O32" s="46">
        <f>SUM(O4:O31)</f>
        <v>51000</v>
      </c>
      <c r="P32" s="139">
        <f>SUM(P4:P31)</f>
        <v>51000</v>
      </c>
      <c r="R32" s="79">
        <f>SUM(R4:R31)</f>
        <v>242000</v>
      </c>
    </row>
    <row r="33" spans="3:15" x14ac:dyDescent="0.35">
      <c r="D33" s="120">
        <f>+D32*85</f>
        <v>21250</v>
      </c>
      <c r="F33" s="120">
        <f>+F32*85</f>
        <v>12750</v>
      </c>
      <c r="H33" s="120">
        <f>+H32*85</f>
        <v>0</v>
      </c>
      <c r="J33" s="120">
        <f>+J32*85</f>
        <v>17000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333450</v>
      </c>
      <c r="E36" s="43">
        <f>+D36-L4-L5-L6</f>
        <v>294150</v>
      </c>
    </row>
    <row r="37" spans="3:15" x14ac:dyDescent="0.35">
      <c r="C37" s="47" t="s">
        <v>33</v>
      </c>
      <c r="D37" s="48">
        <f>D36*13%</f>
        <v>43348.5</v>
      </c>
      <c r="E37">
        <f>+D37-M4-M5-M6</f>
        <v>38198.5</v>
      </c>
    </row>
    <row r="38" spans="3:15" x14ac:dyDescent="0.35">
      <c r="C38" s="47" t="s">
        <v>30</v>
      </c>
      <c r="D38" s="30">
        <f>SUM(O4:O27)</f>
        <v>51000</v>
      </c>
      <c r="G38" s="100"/>
    </row>
    <row r="39" spans="3:15" ht="15" thickBot="1" x14ac:dyDescent="0.4">
      <c r="C39" s="49" t="s">
        <v>4</v>
      </c>
      <c r="D39" s="80">
        <f>+D36-D37-D38</f>
        <v>239101.5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239101.5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27 Roja</v>
      </c>
      <c r="D2" s="267"/>
      <c r="E2" s="266" t="str">
        <f>IF(E33=0,"",CONCATENATE(PREMIOS!$B11," ",PREMIOS!$B12))</f>
        <v>63 Blanca</v>
      </c>
      <c r="F2" s="267"/>
      <c r="G2" s="266" t="str">
        <f>IF(G33=0,"",CONCATENATE(PREMIOS!$B15," ",PREMIOS!$B16))</f>
        <v>98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MARTA ROSA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9850</v>
      </c>
      <c r="D10" s="30">
        <f>IF(Vendedor7!$E$8="",0,Vendedor7!$E$8)</f>
        <v>0</v>
      </c>
      <c r="E10" s="179">
        <f>IF(Vendedor7!$C$12="",0,Vendedor7!$C$12)</f>
        <v>10350</v>
      </c>
      <c r="F10" s="30">
        <f>IF(Vendedor7!$E$12="",0,Vendedor7!$E$12)</f>
        <v>350</v>
      </c>
      <c r="G10" s="179">
        <f>IF(Vendedor7!$C$16="",0,Vendedor7!$C$16)</f>
        <v>22850</v>
      </c>
      <c r="H10" s="30">
        <f>IF(Vendedor7!$E$16="",0,Vendedor7!$E$16)</f>
        <v>250</v>
      </c>
      <c r="J10" s="42">
        <f t="shared" si="1"/>
        <v>43050</v>
      </c>
      <c r="K10" s="41">
        <f>J10*Vendedor7!J$16</f>
        <v>4305</v>
      </c>
      <c r="L10" s="42">
        <f t="shared" si="2"/>
        <v>0</v>
      </c>
      <c r="M10" s="42">
        <f t="shared" si="3"/>
        <v>600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38745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2600</v>
      </c>
      <c r="D12" s="30">
        <f>IF(Vendedor9!$E$8="",0,Vendedor9!$E$8)</f>
        <v>0</v>
      </c>
      <c r="E12" s="179">
        <f>IF(Vendedor9!$C$12="",0,Vendedor9!$C$12)</f>
        <v>4000</v>
      </c>
      <c r="F12" s="30">
        <f>IF(Vendedor9!$E$12="",0,Vendedor9!$E$12)</f>
        <v>0</v>
      </c>
      <c r="G12" s="179">
        <f>IF(Vendedor9!$C$16="",0,Vendedor9!$C$16)</f>
        <v>500</v>
      </c>
      <c r="H12" s="30">
        <f>IF(Vendedor9!$E$16="",0,Vendedor9!$E$16)</f>
        <v>0</v>
      </c>
      <c r="J12" s="42">
        <f t="shared" si="1"/>
        <v>7100</v>
      </c>
      <c r="K12" s="41">
        <f>J12*Vendedor9!J$13</f>
        <v>710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6390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12450</v>
      </c>
      <c r="D33" s="44">
        <f>IF(PREMIOS!E8&lt;&gt;0,SUM(D4:D32),0)</f>
        <v>0</v>
      </c>
      <c r="E33" s="43">
        <f>SUM(E4:E32)</f>
        <v>14350</v>
      </c>
      <c r="F33" s="44">
        <f>IF(PREMIOS!E12&lt;&gt;0,SUM(F4:F32),0)</f>
        <v>0</v>
      </c>
      <c r="G33" s="43">
        <f>SUM(G4:G32)</f>
        <v>23350</v>
      </c>
      <c r="H33" s="44">
        <f>IF(PREMIOS!E16&lt;&gt;0,SUM(H4:H32),0)</f>
        <v>0</v>
      </c>
      <c r="J33" s="45">
        <f>SUM(J4:J32)</f>
        <v>50150</v>
      </c>
      <c r="K33" s="45">
        <f>SUM(K7:K32)</f>
        <v>5015</v>
      </c>
      <c r="L33" s="95">
        <f>SUM(L7:L32)</f>
        <v>0</v>
      </c>
      <c r="M33" s="95">
        <f>SUM(M7:M32)</f>
        <v>600</v>
      </c>
      <c r="N33" s="95">
        <f>SUM(N4:N27)</f>
        <v>0</v>
      </c>
      <c r="O33" s="95">
        <f>SUM(O4:O27)</f>
        <v>0</v>
      </c>
      <c r="Q33" s="79">
        <f>SUM(Q4:Q32)</f>
        <v>45135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50150</v>
      </c>
      <c r="E37" s="43">
        <f>+D37-J4-J5-J6</f>
        <v>50150</v>
      </c>
      <c r="F37" s="274"/>
      <c r="G37" s="274"/>
    </row>
    <row r="38" spans="3:17" ht="15" thickBot="1" x14ac:dyDescent="0.4">
      <c r="C38" s="47" t="s">
        <v>33</v>
      </c>
      <c r="D38" s="30">
        <f>D37*10%</f>
        <v>5015</v>
      </c>
      <c r="E38" s="43">
        <f>+D38-K4-K5-K6</f>
        <v>5015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45135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45135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75</v>
      </c>
      <c r="D2" s="267"/>
      <c r="E2" s="266">
        <f>DigitaPRIMERA!E2</f>
        <v>57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16100</v>
      </c>
      <c r="D4" s="78">
        <f>IF(Vendedor1!$E$19="",0,Vendedor1!$E$19)</f>
        <v>0</v>
      </c>
      <c r="E4" s="188">
        <f>IF(Vendedor1!$C$20="",0,Vendedor1!$C$20)</f>
        <v>2900</v>
      </c>
      <c r="F4" s="78">
        <f>IF(Vendedor1!$E$20="",0,Vendedor1!$E$20)</f>
        <v>0</v>
      </c>
      <c r="H4" s="42">
        <f>+C4+E4</f>
        <v>19000</v>
      </c>
      <c r="I4" s="41">
        <f>MROUND(H4*Vendedor1!J$9,50)</f>
        <v>2450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16550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8900</v>
      </c>
      <c r="D5" s="30">
        <f>IF(Vendedor2!$E$19="",0,Vendedor2!$E$19)</f>
        <v>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8900</v>
      </c>
      <c r="I5" s="41">
        <f>MROUND(H5*Vendedor2!J$9,50)</f>
        <v>1150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7750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0</v>
      </c>
      <c r="D8" s="30">
        <f>IF(Vendedor5!$E$19="",0,Vendedor5!$E$19)</f>
        <v>0</v>
      </c>
      <c r="E8" s="179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7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0</v>
      </c>
    </row>
    <row r="9" spans="1:14" x14ac:dyDescent="0.35">
      <c r="A9" s="202">
        <v>6</v>
      </c>
      <c r="B9" s="195" t="str">
        <f>Vendedor6!$B$2</f>
        <v>MARTA ROSA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25600</v>
      </c>
      <c r="D10" s="30">
        <f>IF(Vendedor7!$E$19="",0,Vendedor7!$E$19)</f>
        <v>0</v>
      </c>
      <c r="E10" s="179">
        <f>IF(Vendedor7!$C$20="",0,Vendedor7!$C$20)</f>
        <v>14400</v>
      </c>
      <c r="F10" s="30">
        <f>IF(Vendedor7!$E$20="",0,Vendedor7!$E$20)</f>
        <v>0</v>
      </c>
      <c r="H10" s="42">
        <f t="shared" si="1"/>
        <v>40000</v>
      </c>
      <c r="I10" s="41">
        <f>MROUND(H10*Vendedor7!J$14,50)</f>
        <v>4800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35200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33600</v>
      </c>
      <c r="D12" s="30">
        <f>IF(Vendedor9!$E$19="",0,Vendedor9!$E$19)</f>
        <v>400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33600</v>
      </c>
      <c r="I12" s="147">
        <f>MROUND(H12*Vendedor9!J$11,50)</f>
        <v>4050</v>
      </c>
      <c r="J12" s="133">
        <f t="shared" si="2"/>
        <v>400</v>
      </c>
      <c r="K12" s="133">
        <f t="shared" si="3"/>
        <v>34000</v>
      </c>
      <c r="L12" s="133">
        <f>Vendedor9!$F$19+Vendedor9!$F$20</f>
        <v>34000</v>
      </c>
      <c r="M12" s="154"/>
      <c r="N12" s="133">
        <f t="shared" si="0"/>
        <v>-4450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13250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13250</v>
      </c>
      <c r="I16" s="147">
        <f>MROUND(H16*Vendedor13!J$11,50)</f>
        <v>1600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11650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97450</v>
      </c>
      <c r="D32" s="44">
        <f>SUM(D4:D31)</f>
        <v>400</v>
      </c>
      <c r="E32" s="43">
        <f>SUM(E4:E31)</f>
        <v>17300</v>
      </c>
      <c r="F32" s="44">
        <f>SUM(F4:F31)</f>
        <v>0</v>
      </c>
      <c r="H32" s="95">
        <f>SUM(H4:H31)</f>
        <v>114750</v>
      </c>
      <c r="I32" s="45">
        <f>SUM(I7:I31)</f>
        <v>10450</v>
      </c>
      <c r="J32" s="95"/>
      <c r="K32" s="95">
        <f>SUM(K4:K31)</f>
        <v>34000</v>
      </c>
      <c r="L32" s="95">
        <f>SUM(L4:L31)</f>
        <v>34000</v>
      </c>
      <c r="N32" s="79">
        <f>SUM(N4:N31)</f>
        <v>66700</v>
      </c>
    </row>
    <row r="33" spans="3:6" x14ac:dyDescent="0.35">
      <c r="D33" s="99">
        <f>+D32*85</f>
        <v>34000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114750</v>
      </c>
      <c r="E36" s="43">
        <f>+D36-H4-H5-H6</f>
        <v>86850</v>
      </c>
    </row>
    <row r="37" spans="3:6" x14ac:dyDescent="0.35">
      <c r="C37" s="47" t="s">
        <v>33</v>
      </c>
      <c r="D37" s="48">
        <f>D36*13%</f>
        <v>14917.5</v>
      </c>
      <c r="E37">
        <f>+D37-I4-I5-I6</f>
        <v>11317.5</v>
      </c>
    </row>
    <row r="38" spans="3:6" ht="15" thickBot="1" x14ac:dyDescent="0.4">
      <c r="C38" s="47" t="s">
        <v>30</v>
      </c>
      <c r="D38" s="30">
        <f>SUM(K4:K27)</f>
        <v>34000</v>
      </c>
    </row>
    <row r="39" spans="3:6" ht="15" thickBot="1" x14ac:dyDescent="0.4">
      <c r="C39" s="49" t="s">
        <v>4</v>
      </c>
      <c r="D39" s="80">
        <f>+D36-D37-D38</f>
        <v>65832.5</v>
      </c>
      <c r="F39" s="98">
        <f>+N32-D39</f>
        <v>867.5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65832.5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82</v>
      </c>
      <c r="D2" s="267"/>
      <c r="E2" s="266">
        <f>DigitaHONDURAS!E2</f>
        <v>46</v>
      </c>
      <c r="F2" s="267"/>
      <c r="G2" s="266">
        <f>DigitaHONDURAS!G2</f>
        <v>71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MARTA ROSA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5700</v>
      </c>
      <c r="D10" s="30">
        <f>IF(Vendedor7!$E$21="",0,Vendedor7!$E$21)</f>
        <v>0</v>
      </c>
      <c r="E10" s="179">
        <f>IF(Vendedor7!$C$22="",0,Vendedor7!$C$22)</f>
        <v>4600</v>
      </c>
      <c r="F10" s="30">
        <f>IF(Vendedor7!$E$22="",0,Vendedor7!$E$22)</f>
        <v>0</v>
      </c>
      <c r="G10" s="179">
        <f>IF(Vendedor7!$C$23="",0,Vendedor7!$C$23)</f>
        <v>25550</v>
      </c>
      <c r="H10" s="30">
        <f>IF(Vendedor7!$E$23="",0,Vendedor7!$E$23)</f>
        <v>0</v>
      </c>
      <c r="J10" s="42">
        <f t="shared" si="0"/>
        <v>35850</v>
      </c>
      <c r="K10" s="41">
        <f>MROUND(J10*Vendedor7!J$14,50)</f>
        <v>4300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31550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5700</v>
      </c>
      <c r="D32" s="44">
        <f t="shared" si="8"/>
        <v>0</v>
      </c>
      <c r="E32" s="43">
        <f t="shared" si="8"/>
        <v>4600</v>
      </c>
      <c r="F32" s="44">
        <f t="shared" si="8"/>
        <v>0</v>
      </c>
      <c r="G32" s="43">
        <f t="shared" si="8"/>
        <v>25550</v>
      </c>
      <c r="H32" s="44">
        <f t="shared" si="8"/>
        <v>0</v>
      </c>
      <c r="J32" s="95">
        <f>SUM(J4:J31)</f>
        <v>35850</v>
      </c>
      <c r="K32" s="45">
        <f>SUM(K7:K31)</f>
        <v>4300</v>
      </c>
      <c r="L32" s="95"/>
      <c r="M32" s="95">
        <f>SUM(M4:M31)</f>
        <v>0</v>
      </c>
      <c r="N32" s="95">
        <f>SUM(N4:N31)</f>
        <v>0</v>
      </c>
      <c r="P32" s="79">
        <f>SUM(P4:P31)</f>
        <v>31550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35850</v>
      </c>
      <c r="E36" s="43">
        <f>+D36-J4-J5-J6</f>
        <v>35850</v>
      </c>
    </row>
    <row r="37" spans="3:8" x14ac:dyDescent="0.35">
      <c r="C37" s="47" t="s">
        <v>33</v>
      </c>
      <c r="D37" s="48">
        <f>D36*13%</f>
        <v>4660.5</v>
      </c>
      <c r="E37">
        <f>+D37-K4-K5-K6</f>
        <v>4660.5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31189.5</v>
      </c>
      <c r="F39" s="98">
        <f>+P32-D39</f>
        <v>360.5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31189.5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01</v>
      </c>
      <c r="D2" s="267"/>
      <c r="E2" s="266">
        <f>DigitaDOMINICANA!E2</f>
        <v>44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MARTA ROSA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1200</v>
      </c>
      <c r="D10" s="30">
        <f>IF(Vendedor7!$E$24="",0,Vendedor7!$E$24)</f>
        <v>0</v>
      </c>
      <c r="E10" s="179">
        <f>IF(Vendedor7!$C$25="",0,Vendedor7!$C$25)</f>
        <v>2000</v>
      </c>
      <c r="F10" s="30">
        <f>IF(Vendedor7!$E$25="",0,Vendedor7!$E$25)</f>
        <v>0</v>
      </c>
      <c r="H10" s="42">
        <f t="shared" si="1"/>
        <v>3200</v>
      </c>
      <c r="I10" s="41">
        <f>MROUND(H10*Vendedor7!J$14,50)</f>
        <v>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2800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1200</v>
      </c>
      <c r="D32" s="44">
        <f>SUM(D4:D31)</f>
        <v>0</v>
      </c>
      <c r="E32" s="43">
        <f>SUM(E4:E31)</f>
        <v>2000</v>
      </c>
      <c r="F32" s="44">
        <f>SUM(F4:F31)</f>
        <v>0</v>
      </c>
      <c r="H32" s="95">
        <f>SUM(H4:H31)</f>
        <v>3200</v>
      </c>
      <c r="I32" s="45">
        <f>SUM(I7:I31)</f>
        <v>400</v>
      </c>
      <c r="J32" s="95"/>
      <c r="K32" s="95">
        <f>SUM(K4:K31)</f>
        <v>0</v>
      </c>
      <c r="L32" s="95">
        <f>SUM(L4:L31)</f>
        <v>0</v>
      </c>
      <c r="N32" s="79">
        <f>SUM(N4:N31)</f>
        <v>2800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3200</v>
      </c>
      <c r="E36" s="43">
        <f>+D36-H4-H5-H6</f>
        <v>3200</v>
      </c>
    </row>
    <row r="37" spans="3:6" x14ac:dyDescent="0.35">
      <c r="C37" s="47" t="s">
        <v>33</v>
      </c>
      <c r="D37" s="48">
        <f>D36*13%</f>
        <v>416</v>
      </c>
      <c r="E37">
        <f>+D37-I4-I5-I6</f>
        <v>416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2784</v>
      </c>
      <c r="F39" s="98">
        <f>+N32-D39</f>
        <v>16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2784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MARTA ROSA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20-07-2026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294150</v>
      </c>
      <c r="C4" s="156">
        <f>HojaNICA!M32</f>
        <v>35300</v>
      </c>
      <c r="D4" s="149">
        <f>HojaNICA!E37</f>
        <v>38198.5</v>
      </c>
      <c r="E4" s="149">
        <f>HojaNICA!P32</f>
        <v>51000</v>
      </c>
      <c r="F4" s="149">
        <f>HojaNICA!O32</f>
        <v>51000</v>
      </c>
      <c r="G4" s="150">
        <f t="shared" ref="G4:G10" si="0">+D4-C4+F4-E4</f>
        <v>2898.5</v>
      </c>
      <c r="H4" s="21"/>
      <c r="I4" s="181"/>
    </row>
    <row r="5" spans="1:9" x14ac:dyDescent="0.35">
      <c r="A5" s="28" t="s">
        <v>19</v>
      </c>
      <c r="B5" s="155">
        <f>HojaTICA!$E$36</f>
        <v>611750</v>
      </c>
      <c r="C5" s="156">
        <f>HojaTICA!K32</f>
        <v>76350</v>
      </c>
      <c r="D5" s="149">
        <f>HojaTICA!E37</f>
        <v>79511.5</v>
      </c>
      <c r="E5" s="149">
        <f>HojaTICA!N32</f>
        <v>195500</v>
      </c>
      <c r="F5" s="149">
        <f>HojaTICA!D38</f>
        <v>195500</v>
      </c>
      <c r="G5" s="150">
        <f t="shared" si="0"/>
        <v>3161.5</v>
      </c>
      <c r="H5" s="21"/>
      <c r="I5" s="181"/>
    </row>
    <row r="6" spans="1:9" x14ac:dyDescent="0.35">
      <c r="A6" s="28" t="s">
        <v>125</v>
      </c>
      <c r="B6" s="155">
        <f>HojaREVENTADO!$E$37</f>
        <v>50150</v>
      </c>
      <c r="C6" s="156">
        <f>HojaREVENTADO!K33</f>
        <v>5015</v>
      </c>
      <c r="D6" s="149">
        <f>HojaREVENTADO!E38</f>
        <v>5015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86850</v>
      </c>
      <c r="C7" s="156">
        <f>HojaPrimera!I32</f>
        <v>10450</v>
      </c>
      <c r="D7" s="149">
        <f>HojaPrimera!E37</f>
        <v>11317.5</v>
      </c>
      <c r="E7" s="149">
        <f>HojaPrimera!L32</f>
        <v>34000</v>
      </c>
      <c r="F7" s="149">
        <f>HojaPrimera!K32</f>
        <v>34000</v>
      </c>
      <c r="G7" s="150">
        <f t="shared" si="0"/>
        <v>867.5</v>
      </c>
      <c r="H7" s="21"/>
      <c r="I7" s="21"/>
    </row>
    <row r="8" spans="1:9" x14ac:dyDescent="0.35">
      <c r="A8" s="28" t="s">
        <v>104</v>
      </c>
      <c r="B8" s="155">
        <f>HojaHonduras!$E$36</f>
        <v>35850</v>
      </c>
      <c r="C8" s="156">
        <f>HojaHonduras!K32</f>
        <v>4300</v>
      </c>
      <c r="D8" s="149">
        <f>HojaHonduras!E37</f>
        <v>4660.5</v>
      </c>
      <c r="E8" s="149">
        <f>HojaHonduras!N32</f>
        <v>0</v>
      </c>
      <c r="F8" s="149">
        <f>HojaHonduras!M32</f>
        <v>0</v>
      </c>
      <c r="G8" s="150">
        <f t="shared" si="0"/>
        <v>360.5</v>
      </c>
      <c r="H8" s="21"/>
      <c r="I8" s="21"/>
    </row>
    <row r="9" spans="1:9" x14ac:dyDescent="0.35">
      <c r="A9" s="28" t="s">
        <v>20</v>
      </c>
      <c r="B9" s="155">
        <f>HojaDominicana!$E$36</f>
        <v>3200</v>
      </c>
      <c r="C9" s="156">
        <f>HojaDominicana!I32</f>
        <v>400</v>
      </c>
      <c r="D9" s="149">
        <f>HojaDominicana!E37</f>
        <v>416</v>
      </c>
      <c r="E9" s="149">
        <f>HojaDominicana!L32</f>
        <v>0</v>
      </c>
      <c r="F9" s="149">
        <f>HojaDominicana!K32</f>
        <v>0</v>
      </c>
      <c r="G9" s="150">
        <f t="shared" si="0"/>
        <v>16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1081950</v>
      </c>
      <c r="C11" s="174">
        <f>SUM(C4:C10)</f>
        <v>131815</v>
      </c>
      <c r="D11" s="174">
        <f t="shared" ref="D11:F11" si="1">SUM(D4:D10)</f>
        <v>139119</v>
      </c>
      <c r="E11" s="174">
        <f t="shared" si="1"/>
        <v>280500</v>
      </c>
      <c r="F11" s="174">
        <f t="shared" si="1"/>
        <v>280500</v>
      </c>
      <c r="G11" s="175">
        <f>SUM(G4:G10)</f>
        <v>7304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-27696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214550</v>
      </c>
      <c r="E16" s="156">
        <f>+Vendedor1!D21</f>
        <v>27891.5</v>
      </c>
      <c r="F16" s="157">
        <f>IF(D16&lt;&gt;0,15000,0)</f>
        <v>15000</v>
      </c>
      <c r="G16" s="150">
        <f>+E16-F16</f>
        <v>12891.5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189450</v>
      </c>
      <c r="E17" s="156">
        <f>+Vendedor2!D21</f>
        <v>24628.5</v>
      </c>
      <c r="F17" s="157">
        <f>IF(D17&lt;&gt;0,15000,0)</f>
        <v>15000</v>
      </c>
      <c r="G17" s="150">
        <f>+E17-F17</f>
        <v>9628.5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404000</v>
      </c>
      <c r="E19" s="158">
        <f>SUM(E16:E18)</f>
        <v>52520</v>
      </c>
      <c r="F19" s="159">
        <f>SUM(F16:F18)</f>
        <v>30000</v>
      </c>
      <c r="G19" s="160">
        <f>SUM(G16:G18)</f>
        <v>22520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-5176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20-07-2026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333450</v>
      </c>
      <c r="C5" s="149">
        <f>HojaNICA!D37</f>
        <v>43348.5</v>
      </c>
      <c r="D5" s="149">
        <f>HojaNICA!D38</f>
        <v>51000</v>
      </c>
      <c r="E5" s="149"/>
      <c r="F5" s="150">
        <f>+B5-C5-D5+E5</f>
        <v>239101.5</v>
      </c>
      <c r="H5" s="248" t="s">
        <v>105</v>
      </c>
      <c r="I5" s="242">
        <f ca="1">TODAY()-1</f>
        <v>46223</v>
      </c>
      <c r="O5" s="119"/>
    </row>
    <row r="6" spans="1:15" ht="15" thickBot="1" x14ac:dyDescent="0.4">
      <c r="A6" s="47" t="s">
        <v>36</v>
      </c>
      <c r="B6" s="149">
        <f>HojaTICA!D36</f>
        <v>948550</v>
      </c>
      <c r="C6" s="149">
        <f>HojaTICA!D37</f>
        <v>123311.5</v>
      </c>
      <c r="D6" s="149">
        <f>HojaTICA!D38</f>
        <v>195500</v>
      </c>
      <c r="E6" s="149"/>
      <c r="F6" s="150">
        <f t="shared" ref="F6:F11" si="0">+B6-C6-D6+E6</f>
        <v>629738.5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50150</v>
      </c>
      <c r="C7" s="149">
        <f>HojaREVENTADO!D38</f>
        <v>5015</v>
      </c>
      <c r="D7" s="149">
        <f>HojaREVENTADO!D39</f>
        <v>0</v>
      </c>
      <c r="E7" s="149"/>
      <c r="F7" s="150">
        <f t="shared" si="0"/>
        <v>45135</v>
      </c>
    </row>
    <row r="8" spans="1:15" x14ac:dyDescent="0.35">
      <c r="A8" s="47" t="s">
        <v>96</v>
      </c>
      <c r="B8" s="149">
        <f>HojaPrimera!$D36</f>
        <v>114750</v>
      </c>
      <c r="C8" s="149">
        <f>HojaPrimera!$D37</f>
        <v>14917.5</v>
      </c>
      <c r="D8" s="149">
        <f>HojaPrimera!$D38</f>
        <v>34000</v>
      </c>
      <c r="E8" s="149"/>
      <c r="F8" s="150">
        <f t="shared" si="0"/>
        <v>65832.5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35850</v>
      </c>
      <c r="C9" s="149">
        <f>HojaHonduras!$D37</f>
        <v>4660.5</v>
      </c>
      <c r="D9" s="149">
        <f>HojaHonduras!$D38</f>
        <v>0</v>
      </c>
      <c r="E9" s="149"/>
      <c r="F9" s="150">
        <f t="shared" si="0"/>
        <v>31189.5</v>
      </c>
      <c r="H9" s="249">
        <f>+K12-K10-H6</f>
        <v>1013781</v>
      </c>
    </row>
    <row r="10" spans="1:15" ht="15" thickBot="1" x14ac:dyDescent="0.4">
      <c r="A10" s="47" t="s">
        <v>20</v>
      </c>
      <c r="B10" s="149">
        <f>HojaDominicana!$D36</f>
        <v>3200</v>
      </c>
      <c r="C10" s="149">
        <f>HojaDominicana!$D37</f>
        <v>416</v>
      </c>
      <c r="D10" s="149">
        <f>HojaDominicana!$D38</f>
        <v>0</v>
      </c>
      <c r="E10" s="149"/>
      <c r="F10" s="150">
        <f t="shared" si="0"/>
        <v>2784</v>
      </c>
      <c r="H10" s="153"/>
      <c r="J10" t="s">
        <v>148</v>
      </c>
      <c r="K10" s="251">
        <v>4800640.84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5814421.8399999999</v>
      </c>
    </row>
    <row r="12" spans="1:15" ht="16" thickBot="1" x14ac:dyDescent="0.4">
      <c r="A12" s="143" t="s">
        <v>5</v>
      </c>
      <c r="B12" s="151">
        <f>SUM(B5:B11)</f>
        <v>1485950</v>
      </c>
      <c r="C12" s="151">
        <f>SUM(C5:C11)</f>
        <v>191669</v>
      </c>
      <c r="D12" s="151">
        <f>SUM(D5:D11)</f>
        <v>280500</v>
      </c>
      <c r="E12" s="151"/>
      <c r="F12" s="254">
        <f>SUM(F5:F11)</f>
        <v>1013781</v>
      </c>
      <c r="H12" s="250">
        <f>K12</f>
        <v>5814421.8399999999</v>
      </c>
      <c r="J12" t="s">
        <v>140</v>
      </c>
      <c r="K12" s="253">
        <f>-290719.98-637077.66+3917764.5+2824454.98</f>
        <v>5814421.8399999999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169150</v>
      </c>
      <c r="K4" s="230">
        <f t="shared" ref="K4" si="0">D7+D11+D15</f>
        <v>21989.5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IF(DigitaNICA!C4&lt;&gt;"",DigitaNICA!C4,"")</f>
        <v>14950</v>
      </c>
      <c r="D5" s="42">
        <f>IF(C5="",0,C5*J$10)</f>
        <v>1943.5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13006.5</v>
      </c>
      <c r="I5" s="240" t="s">
        <v>37</v>
      </c>
      <c r="J5" s="220">
        <f>SUM(IF(C5="",0,C5),IF(C9="",0,C9),IF(C13="",0,C13),IF(C17="",0,C17))</f>
        <v>26400</v>
      </c>
      <c r="K5" s="224">
        <f t="shared" ref="K5" si="2">D5+D9+D13+D17</f>
        <v>3432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19000</v>
      </c>
      <c r="K6" s="227">
        <f>D19+D20</f>
        <v>2470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IF(DigitaTICA!C4&lt;&gt;"",DigitaTICA!C4,"")</f>
        <v>64650</v>
      </c>
      <c r="D7" s="42">
        <f>IF(C7="",0,C7*J$9)</f>
        <v>8404.5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56245.5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IF(DigitaNICA!E4&lt;&gt;"",DigitaNICA!E4,"")</f>
        <v>9350</v>
      </c>
      <c r="D9" s="42">
        <f>IF(C9="",0,C9*J$10)</f>
        <v>1215.5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8134.5</v>
      </c>
      <c r="I9" s="76" t="s">
        <v>36</v>
      </c>
      <c r="J9" s="77">
        <v>0.13</v>
      </c>
      <c r="K9" s="78">
        <f>MROUND(D7+D11+D15,50)</f>
        <v>22000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3450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IF(DigitaTICA!E4&lt;&gt;"",DigitaTICA!E4,"")</f>
        <v>27600</v>
      </c>
      <c r="D11" s="42">
        <f>IF(C11="",0,C11*J$9)</f>
        <v>3588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24012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>
        <f>IF(DigitaTICA!G4&lt;&gt;"",DigitaTICA!G4,"")</f>
        <v>76900</v>
      </c>
      <c r="D15" s="42">
        <f>IF(C15="",0,C15*J$9)</f>
        <v>9997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66903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IF(DigitaNICA!I4&lt;&gt;"",DigitaNICA!I4,"")</f>
        <v>2100</v>
      </c>
      <c r="D17" s="42">
        <f>IF(C17="",0,C17*J$10)</f>
        <v>273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1827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IF(DigitaPRIMERA!C4&lt;&gt;"",DigitaPRIMERA!C4,"")</f>
        <v>16100</v>
      </c>
      <c r="D19" s="42">
        <f>IF(C19="",0,C19*J$12)</f>
        <v>2093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14007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>
        <f>IF(DigitaPRIMERA!E4&lt;&gt;"",DigitaPRIMERA!E4,"")</f>
        <v>2900</v>
      </c>
      <c r="D20" s="42">
        <f>IF(C20="",0,C20*J$12)</f>
        <v>377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2523</v>
      </c>
    </row>
    <row r="21" spans="1:7" ht="15" thickBot="1" x14ac:dyDescent="0.4">
      <c r="A21" s="121" t="s">
        <v>5</v>
      </c>
      <c r="B21" s="128"/>
      <c r="C21" s="122">
        <f>SUM(C5:C20)</f>
        <v>214550</v>
      </c>
      <c r="D21" s="122">
        <f t="shared" ref="D21:G21" si="6">SUM(D5:D20)</f>
        <v>27891.5</v>
      </c>
      <c r="E21" s="122">
        <f t="shared" si="6"/>
        <v>0</v>
      </c>
      <c r="F21" s="122">
        <f t="shared" si="6"/>
        <v>0</v>
      </c>
      <c r="G21" s="123">
        <f t="shared" si="6"/>
        <v>186658.5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167650</v>
      </c>
      <c r="K4" s="230">
        <f t="shared" ref="K4" si="0">D7+D11+D15</f>
        <v>21794.5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IF(DigitaNICA!C5&lt;&gt;"",DigitaNICA!C5,"")</f>
        <v>8700</v>
      </c>
      <c r="D5" s="42">
        <f>IF(C5="",0,C5*J$10)</f>
        <v>1131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7569</v>
      </c>
      <c r="I5" s="240" t="s">
        <v>37</v>
      </c>
      <c r="J5" s="220">
        <f>SUM(IF(C5="",0,C5),IF(C9="",0,C9),IF(C13="",0,C13),IF(C17="",0,C17))</f>
        <v>12900</v>
      </c>
      <c r="K5" s="224">
        <f t="shared" ref="K5" si="2">D5+D9+D13+D17</f>
        <v>1677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8900</v>
      </c>
      <c r="K6" s="227">
        <f>D19+D20</f>
        <v>1157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IF(DigitaTICA!C5&lt;&gt;"",DigitaTICA!C5,"")</f>
        <v>66100</v>
      </c>
      <c r="D7" s="42">
        <f>IF(C7="",0,C7*J$9)</f>
        <v>8593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57507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IF(DigitaNICA!E5&lt;&gt;"",DigitaNICA!E5,"")</f>
        <v>2000</v>
      </c>
      <c r="D9" s="42">
        <f>IF(C9="",0,C9*J$10)</f>
        <v>260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1740</v>
      </c>
      <c r="I9" s="60" t="s">
        <v>36</v>
      </c>
      <c r="J9" s="61">
        <v>0.13</v>
      </c>
      <c r="K9" s="62">
        <f>MROUND(D7+D11+D15,50)</f>
        <v>21800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1700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IF(DigitaTICA!E5&lt;&gt;"",DigitaTICA!E5,"")</f>
        <v>36050</v>
      </c>
      <c r="D11" s="42">
        <f>IF(C11="",0,C11*J$9)</f>
        <v>4686.5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31363.5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>
        <f>IF(DigitaTICA!G5&lt;&gt;"",DigitaTICA!G5,"")</f>
        <v>65500</v>
      </c>
      <c r="D15" s="42">
        <f>IF(C15="",0,C15*J$9)</f>
        <v>8515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56985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IF(DigitaNICA!I5&lt;&gt;"",DigitaNICA!I5,"")</f>
        <v>2200</v>
      </c>
      <c r="D17" s="42">
        <f>IF(C17="",0,C17*J$10)</f>
        <v>286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1914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IF(DigitaPRIMERA!C5&lt;&gt;"",DigitaPRIMERA!C5,"")</f>
        <v>8900</v>
      </c>
      <c r="D19" s="42">
        <f>IF(C19="",0,C19*J$12)</f>
        <v>1157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7743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189450</v>
      </c>
      <c r="D21" s="68">
        <f t="shared" ref="D21:G21" si="4">SUM(D5:D20)</f>
        <v>24628.5</v>
      </c>
      <c r="E21" s="68">
        <f t="shared" si="4"/>
        <v>0</v>
      </c>
      <c r="F21" s="68">
        <f t="shared" si="4"/>
        <v>0</v>
      </c>
      <c r="G21" s="88">
        <f t="shared" si="4"/>
        <v>164821.5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MARTA ROSA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295250</v>
      </c>
      <c r="K4" s="230">
        <f t="shared" ref="K4" si="0">D7+D11+D15</f>
        <v>35430</v>
      </c>
      <c r="L4" s="219">
        <f>F7+F11+F15</f>
        <v>174250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IF(DigitaNICA!C10&lt;&gt;"",DigitaNICA!C10,"")</f>
        <v>39100</v>
      </c>
      <c r="D5" s="42">
        <f>IF(C5="",0,C5*J$15)</f>
        <v>4692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34408</v>
      </c>
      <c r="I5" s="216" t="s">
        <v>37</v>
      </c>
      <c r="J5" s="220">
        <f>SUM(IF(C5="",0,C5),IF(C9="",0,C9),IF(C13="",0,C13),IF(C17="",0,C17))</f>
        <v>152450</v>
      </c>
      <c r="K5" s="224">
        <f t="shared" ref="K5" si="2">D5+D9+D13+D17</f>
        <v>18294</v>
      </c>
      <c r="L5" s="221">
        <f>F5+F9+F13+F17</f>
        <v>29750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43050</v>
      </c>
      <c r="K6" s="225">
        <f t="shared" ref="K6" si="3">+D8+D12+D16</f>
        <v>4305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27</v>
      </c>
      <c r="C7" s="29">
        <f>IF(DigitaTICA!C10&lt;&gt;"",DigitaTICA!C10,"")</f>
        <v>91100</v>
      </c>
      <c r="D7" s="42">
        <f>IF(C7="",0,C7*J$14)</f>
        <v>10932</v>
      </c>
      <c r="E7" s="29">
        <f>IF(DigitaTICA!D10&lt;&gt;"",DigitaTICA!D10,"")</f>
        <v>900</v>
      </c>
      <c r="F7" s="42">
        <f>IF(E7="",0,E7*PREMIOS!F7)</f>
        <v>76500</v>
      </c>
      <c r="G7" s="30">
        <f t="shared" si="1"/>
        <v>3668</v>
      </c>
      <c r="I7" s="216" t="s">
        <v>96</v>
      </c>
      <c r="J7" s="222">
        <f>SUM(IF(C19="",0,C19),IF(C20="",0,C20))</f>
        <v>40000</v>
      </c>
      <c r="K7" s="225">
        <f>+D19+D20</f>
        <v>4800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9850</v>
      </c>
      <c r="D8" s="42">
        <f>IF(C8="",0,C8*J$16)</f>
        <v>985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8865</v>
      </c>
      <c r="I8" s="216" t="s">
        <v>104</v>
      </c>
      <c r="J8" s="222">
        <f>SUM(IF(C21="",0,C21),IF(C22="",0,C22),IF(C23="",0,C23))</f>
        <v>35850</v>
      </c>
      <c r="K8" s="225">
        <f t="shared" ref="K8" si="4">D21+D22+D23</f>
        <v>4302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IF(DigitaNICA!E10&lt;&gt;"",DigitaNICA!E10,"")</f>
        <v>46950</v>
      </c>
      <c r="D9" s="42">
        <f>IF(C9="",0,C9*J$15)</f>
        <v>5634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28566</v>
      </c>
      <c r="I9" s="216" t="s">
        <v>20</v>
      </c>
      <c r="J9" s="222">
        <f>SUM(IF(C24="",0,C24),IF(C25="",0,C25))</f>
        <v>3200</v>
      </c>
      <c r="K9" s="225">
        <f t="shared" ref="K9" si="5">+D24+D25</f>
        <v>384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IF(DigitaTICA!E10&lt;&gt;"",DigitaTICA!E10,"")</f>
        <v>66250</v>
      </c>
      <c r="D11" s="42">
        <f>IF(C11="",0,C11*J$14)</f>
        <v>7950</v>
      </c>
      <c r="E11" s="29">
        <f>IF(DigitaTICA!F10&lt;&gt;"",DigitaTICA!F10,"")</f>
        <v>650</v>
      </c>
      <c r="F11" s="42">
        <f>IF(E11="",0,E11*PREMIOS!F11)</f>
        <v>55250</v>
      </c>
      <c r="G11" s="30">
        <f t="shared" si="1"/>
        <v>3050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10350</v>
      </c>
      <c r="D12" s="42">
        <f>IF(C12="",0,C12*J$16)</f>
        <v>1035</v>
      </c>
      <c r="E12" s="29">
        <f>IF(DigitaREVENTADO!F10&lt;&gt;"",DigitaREVENTADO!F10,"")</f>
        <v>350</v>
      </c>
      <c r="F12" s="42">
        <f>IF(E12="",0,E12*PREMIOS!F12)</f>
        <v>0</v>
      </c>
      <c r="G12" s="30">
        <f t="shared" si="1"/>
        <v>9315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35450</v>
      </c>
    </row>
    <row r="15" spans="1:12" x14ac:dyDescent="0.35">
      <c r="A15" s="28" t="s">
        <v>61</v>
      </c>
      <c r="B15" s="132">
        <f>IF(DigitaTICA!G2&lt;&gt;"",DigitaTICA!G2,"")</f>
        <v>98</v>
      </c>
      <c r="C15" s="29">
        <f>IF(DigitaTICA!G10&lt;&gt;"",DigitaTICA!G10,"")</f>
        <v>137900</v>
      </c>
      <c r="D15" s="42">
        <f>IF(C15="",0,C15*J$14)</f>
        <v>16548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78852</v>
      </c>
      <c r="I15" s="63" t="s">
        <v>37</v>
      </c>
      <c r="J15" s="64">
        <v>0.12</v>
      </c>
      <c r="K15" s="30">
        <f>MROUND(D5+D9+D13+D17,50)</f>
        <v>18300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22850</v>
      </c>
      <c r="D16" s="42">
        <f>IF(C16="",0,C16*J$16)</f>
        <v>2285</v>
      </c>
      <c r="E16" s="29">
        <f>IF(DigitaREVENTADO!H10&lt;&gt;"",DigitaREVENTADO!H10,"")</f>
        <v>250</v>
      </c>
      <c r="F16" s="42">
        <f>IF(E16="",0,E16*PREMIOS!F16)</f>
        <v>0</v>
      </c>
      <c r="G16" s="30">
        <f t="shared" si="6"/>
        <v>20565</v>
      </c>
      <c r="I16" s="63" t="s">
        <v>38</v>
      </c>
      <c r="J16" s="64">
        <v>0.1</v>
      </c>
      <c r="K16" s="30">
        <f>MROUND(D6+D8+D10+D12+D14+D16+D18,50)</f>
        <v>4300</v>
      </c>
    </row>
    <row r="17" spans="1:11" x14ac:dyDescent="0.35">
      <c r="A17" s="28" t="s">
        <v>52</v>
      </c>
      <c r="B17" s="132">
        <f>IF(DigitaNICA!I2&lt;&gt;"",DigitaNICA!I2,"")</f>
        <v>39</v>
      </c>
      <c r="C17" s="29">
        <f>IF(DigitaNICA!I10&lt;&gt;"",DigitaNICA!I10,"")</f>
        <v>66400</v>
      </c>
      <c r="D17" s="42">
        <f>IF(C17="",0,C17*J$15)</f>
        <v>7968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41432</v>
      </c>
      <c r="I17" s="63" t="s">
        <v>96</v>
      </c>
      <c r="J17" s="64">
        <v>0.12</v>
      </c>
      <c r="K17" s="30">
        <f>MROUND(D19+D20,50)</f>
        <v>4800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4300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>
        <f>IF(DigitaPRIMERA!$C$10&lt;&gt;"",DigitaPRIMERA!$C$10,"")</f>
        <v>25600</v>
      </c>
      <c r="D19" s="42">
        <f>IF(C19="",0,C19*J$17)</f>
        <v>3072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22528</v>
      </c>
      <c r="I19" s="63" t="s">
        <v>20</v>
      </c>
      <c r="J19" s="64">
        <v>0.12</v>
      </c>
      <c r="K19" s="30">
        <f>MROUND(D24+D25,50)</f>
        <v>400</v>
      </c>
    </row>
    <row r="20" spans="1:11" ht="15" thickBot="1" x14ac:dyDescent="0.4">
      <c r="A20" s="28" t="s">
        <v>98</v>
      </c>
      <c r="B20" s="132">
        <f>IF(DigitaPRIMERA!E2&lt;&gt;"",DigitaPRIMERA!E2,"")</f>
        <v>57</v>
      </c>
      <c r="C20" s="29">
        <f>IF(DigitaPRIMERA!$E$10&lt;&gt;"",DigitaPRIMERA!$E$10,"")</f>
        <v>14400</v>
      </c>
      <c r="D20" s="42">
        <f>IF(C20="",0,C20*J$17)</f>
        <v>1728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12672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82</v>
      </c>
      <c r="C21" s="29">
        <f>IF(DigitaHONDURAS!$C$10&lt;&gt;"",DigitaHONDURAS!$C$10,"")</f>
        <v>5700</v>
      </c>
      <c r="D21" s="42">
        <f>IF(C21="",0,C21*J$18)</f>
        <v>684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5016</v>
      </c>
    </row>
    <row r="22" spans="1:11" x14ac:dyDescent="0.35">
      <c r="A22" s="28" t="s">
        <v>100</v>
      </c>
      <c r="B22" s="132">
        <f>IF(DigitaHONDURAS!E2&lt;&gt;"",DigitaHONDURAS!E2,"")</f>
        <v>46</v>
      </c>
      <c r="C22" s="29">
        <f>IF(DigitaHONDURAS!$E$10&lt;&gt;"",DigitaHONDURAS!$E$10,"")</f>
        <v>4600</v>
      </c>
      <c r="D22" s="42">
        <f>IF(C22="",0,C22*J$18)</f>
        <v>552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4048</v>
      </c>
    </row>
    <row r="23" spans="1:11" x14ac:dyDescent="0.35">
      <c r="A23" s="28" t="s">
        <v>101</v>
      </c>
      <c r="B23" s="132">
        <f>IF(DigitaHONDURAS!G2&lt;&gt;"",DigitaHONDURAS!G2,"")</f>
        <v>71</v>
      </c>
      <c r="C23" s="29">
        <f>IF(DigitaHONDURAS!$G$10&lt;&gt;"",DigitaHONDURAS!$G$10,"")</f>
        <v>25550</v>
      </c>
      <c r="D23" s="42">
        <f>IF(C23="",0,C23*J$18)</f>
        <v>3066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22484</v>
      </c>
    </row>
    <row r="24" spans="1:11" x14ac:dyDescent="0.35">
      <c r="A24" s="28" t="s">
        <v>107</v>
      </c>
      <c r="B24" s="132" t="str">
        <f>IF(DigitaDOMINICANA!C2&lt;&gt;"",DigitaDOMINICANA!C2,"")</f>
        <v>01</v>
      </c>
      <c r="C24" s="29">
        <f>IF(DigitaDOMINICANA!$C$10&lt;&gt;"",DigitaDOMINICANA!$C$10,"")</f>
        <v>1200</v>
      </c>
      <c r="D24" s="42">
        <f>IF(C24="",0,C24*J$19)</f>
        <v>144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1056</v>
      </c>
    </row>
    <row r="25" spans="1:11" x14ac:dyDescent="0.35">
      <c r="A25" s="28" t="s">
        <v>108</v>
      </c>
      <c r="B25" s="132">
        <f>IF(DigitaDOMINICANA!E2&lt;&gt;"",DigitaDOMINICANA!E2,"")</f>
        <v>44</v>
      </c>
      <c r="C25" s="29">
        <f>IF(DigitaDOMINICANA!$E$10&lt;&gt;"",DigitaDOMINICANA!$E$10,"")</f>
        <v>2000</v>
      </c>
      <c r="D25" s="42">
        <f>IF(C25="",0,C25*J$19)</f>
        <v>240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1760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569800</v>
      </c>
      <c r="D27" s="68">
        <f t="shared" ref="D27:F27" si="9">SUM(D5:D26)</f>
        <v>67515</v>
      </c>
      <c r="E27" s="68">
        <f t="shared" si="9"/>
        <v>3000</v>
      </c>
      <c r="F27" s="68">
        <f t="shared" si="9"/>
        <v>204000</v>
      </c>
      <c r="G27" s="88">
        <f>SUM(G5:G26)</f>
        <v>298285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4000</v>
      </c>
      <c r="K4" s="230">
        <f t="shared" ref="K4" si="0">D7+D11+D15</f>
        <v>480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3520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4000</v>
      </c>
      <c r="D21" s="122">
        <f t="shared" ref="D21:G21" si="5">SUM(D5:D20)</f>
        <v>480</v>
      </c>
      <c r="E21" s="122">
        <f t="shared" si="5"/>
        <v>0</v>
      </c>
      <c r="F21" s="122">
        <f t="shared" si="5"/>
        <v>0</v>
      </c>
      <c r="G21" s="123">
        <f t="shared" si="5"/>
        <v>3520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2"/>
  <sheetViews>
    <sheetView showGridLines="0" topLeftCell="A12" zoomScale="90" zoomScaleNormal="90" workbookViewId="0">
      <selection activeCell="F30" sqref="F30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79950</v>
      </c>
      <c r="K4" s="230">
        <f>D7+D11+D15</f>
        <v>9594</v>
      </c>
      <c r="L4" s="219">
        <f>F7+F11+F15</f>
        <v>21250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IF(DigitaNICA!C12&lt;&gt;"",DigitaNICA!C12,"")</f>
        <v>33350</v>
      </c>
      <c r="D5" s="42">
        <f>IF(C5="",0,C5*J$12)</f>
        <v>4002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8098</v>
      </c>
      <c r="I5" s="216" t="s">
        <v>37</v>
      </c>
      <c r="J5" s="220">
        <f>SUM(IF(C5="",0,C5),IF(C9="",0,C9),IF(C13="",0,C13),IF(C17="",0,C17))</f>
        <v>45000</v>
      </c>
      <c r="K5" s="224">
        <f t="shared" ref="K5" si="1">D5+D9+D13+D17</f>
        <v>5400</v>
      </c>
      <c r="L5" s="221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7100</v>
      </c>
      <c r="K6" s="225">
        <f t="shared" ref="K6" si="2">+D8+D12+D16</f>
        <v>710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27</v>
      </c>
      <c r="C7" s="29">
        <f>IF(DigitaTICA!C12&lt;&gt;"",DigitaTICA!C12,"")</f>
        <v>44050</v>
      </c>
      <c r="D7" s="42">
        <f>IF(C7="",0,C7*J$11)</f>
        <v>5286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17514</v>
      </c>
      <c r="I7" s="216" t="s">
        <v>96</v>
      </c>
      <c r="J7" s="222">
        <f>SUM(IF(C19="",0,C19),IF(C20="",0,C20))</f>
        <v>33600</v>
      </c>
      <c r="K7" s="225">
        <f>+D19+D20</f>
        <v>4032</v>
      </c>
      <c r="L7" s="226">
        <f>+F19+F20</f>
        <v>34000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2600</v>
      </c>
      <c r="D8" s="42">
        <f>IF(C8="",0,C8*J$13)</f>
        <v>260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2340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>
        <f>IF(DigitaNICA!E12&lt;&gt;"",DigitaNICA!E12,"")</f>
        <v>11650</v>
      </c>
      <c r="D9" s="42">
        <f>IF(C9="",0,C9*J$12)</f>
        <v>1398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10252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IF(DigitaTICA!E12&lt;&gt;"",DigitaTICA!E12,"")</f>
        <v>10100</v>
      </c>
      <c r="D11" s="42">
        <f>IF(C11="",0,C11*J$11)</f>
        <v>1212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8888</v>
      </c>
      <c r="I11" s="60" t="s">
        <v>36</v>
      </c>
      <c r="J11" s="61">
        <v>0.12</v>
      </c>
      <c r="K11" s="62">
        <f>MROUND(D7+D11+D15,50)</f>
        <v>9600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4000</v>
      </c>
      <c r="D12" s="42">
        <f>IF(C12="",0,C12*J$13)</f>
        <v>400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5400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4050</v>
      </c>
    </row>
    <row r="15" spans="1:12" ht="15" thickBot="1" x14ac:dyDescent="0.4">
      <c r="A15" s="28" t="s">
        <v>61</v>
      </c>
      <c r="B15" s="132">
        <f>IF(DigitaTICA!G2&lt;&gt;"",DigitaTICA!G2,"")</f>
        <v>98</v>
      </c>
      <c r="C15" s="29">
        <f>IF(DigitaTICA!G12&lt;&gt;"",DigitaTICA!G12,"")</f>
        <v>25800</v>
      </c>
      <c r="D15" s="42">
        <f>IF(C15="",0,C15*J$11)</f>
        <v>3096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22704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IF(DigitaPRIMERA!$C$12&lt;&gt;"",DigitaPRIMERA!$C$12,"")</f>
        <v>33600</v>
      </c>
      <c r="D19" s="42">
        <f>IF(C19="",0,C19*J$14)</f>
        <v>4032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-4432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165650</v>
      </c>
      <c r="D24" s="68">
        <f t="shared" ref="D24:G24" si="4">SUM(D5:D23)</f>
        <v>19736</v>
      </c>
      <c r="E24" s="68">
        <f t="shared" si="4"/>
        <v>900</v>
      </c>
      <c r="F24" s="68">
        <f t="shared" si="4"/>
        <v>76500</v>
      </c>
      <c r="G24" s="88">
        <f t="shared" si="4"/>
        <v>69414</v>
      </c>
    </row>
    <row r="27" spans="1:7" x14ac:dyDescent="0.35">
      <c r="G27" s="21">
        <v>422828</v>
      </c>
    </row>
    <row r="28" spans="1:7" x14ac:dyDescent="0.35">
      <c r="G28" s="140">
        <f>+G24+G27</f>
        <v>492242</v>
      </c>
    </row>
    <row r="29" spans="1:7" x14ac:dyDescent="0.35">
      <c r="F29" s="21">
        <v>60946347</v>
      </c>
      <c r="G29" s="21">
        <v>-100000</v>
      </c>
    </row>
    <row r="30" spans="1:7" x14ac:dyDescent="0.35">
      <c r="G30" s="140">
        <f>+G28+G29</f>
        <v>392242</v>
      </c>
    </row>
    <row r="31" spans="1:7" x14ac:dyDescent="0.35">
      <c r="F31" s="21">
        <v>61085622</v>
      </c>
      <c r="G31" s="21">
        <v>-100000</v>
      </c>
    </row>
    <row r="32" spans="1:7" x14ac:dyDescent="0.35">
      <c r="G32" s="140">
        <f>+G30+G31</f>
        <v>292242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78800</v>
      </c>
      <c r="K4" s="230">
        <f t="shared" ref="K4" si="0">D7+D11+D15</f>
        <v>9456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36</v>
      </c>
      <c r="C5" s="29">
        <f>IF(DigitaNICA!C13&lt;&gt;"",DigitaNICA!C13,"")</f>
        <v>28600</v>
      </c>
      <c r="D5" s="42">
        <f>IF(C5="",0,C5*J$10)</f>
        <v>3432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25168</v>
      </c>
      <c r="I5" s="217" t="s">
        <v>37</v>
      </c>
      <c r="J5" s="231">
        <f>SUM(IF(C5="",0,C5),IF(C9="",0,C9),IF(C13="",0,C13),IF(C17="",0,C17))</f>
        <v>50050</v>
      </c>
      <c r="K5" s="232">
        <f t="shared" ref="K5" si="2">D5+D9+D13+D17</f>
        <v>6006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IF(DigitaTICA!C13&lt;&gt;"",DigitaTICA!C13,"")</f>
        <v>40250</v>
      </c>
      <c r="D7" s="42">
        <f>IF(C7="",0,C7*J$9)</f>
        <v>4830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35420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74</v>
      </c>
      <c r="C9" s="29">
        <f>IF(DigitaNICA!E13&lt;&gt;"",DigitaNICA!E13,"")</f>
        <v>19800</v>
      </c>
      <c r="D9" s="42">
        <f>IF(C9="",0,C9*J$10)</f>
        <v>2376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17424</v>
      </c>
      <c r="I9" s="60" t="s">
        <v>36</v>
      </c>
      <c r="J9" s="61">
        <v>0.12</v>
      </c>
      <c r="K9" s="62">
        <f>MROUND(D7+D11+D15,50)</f>
        <v>9450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6000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>
        <f>IF(DigitaTICA!E13&lt;&gt;"",DigitaTICA!E13,"")</f>
        <v>9600</v>
      </c>
      <c r="D11" s="42">
        <f>IF(C11="",0,C11*J$9)</f>
        <v>1152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8448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>
        <f>IF(DigitaTICA!G13&lt;&gt;"",DigitaTICA!G13,"")</f>
        <v>28950</v>
      </c>
      <c r="D15" s="42">
        <f>IF(C15="",0,C15*J$9)</f>
        <v>3474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25476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IF(DigitaNICA!I13&lt;&gt;"",DigitaNICA!I13,"")</f>
        <v>1650</v>
      </c>
      <c r="D17" s="42">
        <f>IF(C17="",0,C17*J$10)</f>
        <v>198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1452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128850</v>
      </c>
      <c r="D19" s="68">
        <f>MROUND(SUM(D5:D18),50)</f>
        <v>15450</v>
      </c>
      <c r="E19" s="68">
        <f>SUM(E5:E18)</f>
        <v>0</v>
      </c>
      <c r="F19" s="68">
        <f>SUM(F5:F18)</f>
        <v>0</v>
      </c>
      <c r="G19" s="88">
        <f>SUM(G5:G18)</f>
        <v>113388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97800</v>
      </c>
      <c r="K4" s="235">
        <f t="shared" ref="K4" si="0">D7+D11+D15</f>
        <v>14670</v>
      </c>
      <c r="L4" s="236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IF(DigitaTICA!C14&lt;&gt;"",DigitaTICA!C14,"")</f>
        <v>43550</v>
      </c>
      <c r="D7" s="42">
        <f>IF(C7="",0,C7*J$9)</f>
        <v>6532.5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37017.5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>
        <f>IF(DigitaTICA!E14&lt;&gt;"",DigitaTICA!E14,"")</f>
        <v>25550</v>
      </c>
      <c r="D11" s="42">
        <f>IF(C11="",0,C11*J$9)</f>
        <v>3832.5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21717.5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>
        <f>IF(DigitaTICA!G14&lt;&gt;"",DigitaTICA!G14,"")</f>
        <v>28700</v>
      </c>
      <c r="D15" s="42">
        <f>IF(C15="",0,C15*J$9)</f>
        <v>4305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24395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97800</v>
      </c>
      <c r="D19" s="68">
        <f>MROUND(SUM(D5:D18),50)</f>
        <v>14650</v>
      </c>
      <c r="E19" s="68">
        <f>SUM(E5:E18)</f>
        <v>0</v>
      </c>
      <c r="F19" s="68">
        <f>SUM(F5:F18)</f>
        <v>0</v>
      </c>
      <c r="G19" s="88">
        <f>SUM(G5:G18)</f>
        <v>83130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74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55950</v>
      </c>
      <c r="K4" s="230">
        <f>D7+D11+D15</f>
        <v>6714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IF(DigitaNICA!C16&lt;&gt;"",DigitaNICA!C16,"")</f>
        <v>4800</v>
      </c>
      <c r="D5" s="42">
        <f>IF(C5="",0,C5*J$12)</f>
        <v>576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4224</v>
      </c>
      <c r="I5" s="63" t="s">
        <v>37</v>
      </c>
      <c r="J5" s="224">
        <f>SUM(IF(C5="",0,C5),IF(C9="",0,C9),IF(C13="",0,C13),IF(C17="",0,C17))</f>
        <v>46650</v>
      </c>
      <c r="K5" s="224">
        <f t="shared" ref="K5" si="1">D5+D9+D13+D17</f>
        <v>5598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0</v>
      </c>
      <c r="K6" s="225">
        <f t="shared" ref="K6" si="2">+D8+D12+D16</f>
        <v>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27</v>
      </c>
      <c r="C7" s="29">
        <f>IF(DigitaTICA!C16&lt;&gt;"",DigitaTICA!C16,"")</f>
        <v>24100</v>
      </c>
      <c r="D7" s="42">
        <f>IF(C7="",0,C7*J$11)</f>
        <v>2892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21208</v>
      </c>
      <c r="I7" s="63" t="s">
        <v>96</v>
      </c>
      <c r="J7" s="225">
        <f>SUM(IF(C19="",0,C19),IF(C20="",0,C20))</f>
        <v>13250</v>
      </c>
      <c r="K7" s="225">
        <f>+D19+D20</f>
        <v>1590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74</v>
      </c>
      <c r="C9" s="29">
        <f>IF(DigitaNICA!E16&lt;&gt;"",DigitaNICA!E16,"")</f>
        <v>9800</v>
      </c>
      <c r="D9" s="42">
        <f>IF(C9="",0,C9*J$12)</f>
        <v>1176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8624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63</v>
      </c>
      <c r="C11" s="29">
        <f>IF(DigitaTICA!E16&lt;&gt;"",DigitaTICA!E16,"")</f>
        <v>13750</v>
      </c>
      <c r="D11" s="42">
        <f>IF(C11="",0,C11*J$11)</f>
        <v>1650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12100</v>
      </c>
      <c r="I11" s="76" t="s">
        <v>36</v>
      </c>
      <c r="J11" s="77">
        <v>0.12</v>
      </c>
      <c r="K11" s="78">
        <f>MROUND(D7+D11+D15,50)</f>
        <v>6700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1600</v>
      </c>
    </row>
    <row r="15" spans="1:12" ht="15" thickBot="1" x14ac:dyDescent="0.4">
      <c r="A15" s="28" t="s">
        <v>61</v>
      </c>
      <c r="B15" s="132">
        <f>IF(DigitaTICA!G2&lt;&gt;"",DigitaTICA!G2,"")</f>
        <v>98</v>
      </c>
      <c r="C15" s="29">
        <f>IF(DigitaTICA!G16&lt;&gt;"",DigitaTICA!G16,"")</f>
        <v>18100</v>
      </c>
      <c r="D15" s="42">
        <f>IF(C15="",0,C15*J$11)</f>
        <v>2172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15928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>
        <f>IF(DigitaNICA!I16&lt;&gt;"",DigitaNICA!I16,"")</f>
        <v>32050</v>
      </c>
      <c r="D17" s="42">
        <f>IF(C17="",0,C17*J$12)</f>
        <v>3846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28204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75</v>
      </c>
      <c r="C19" s="29">
        <f>IF(DigitaPRIMERA!C16&lt;&gt;"",DigitaPRIMERA!C16,"")</f>
        <v>13250</v>
      </c>
      <c r="D19" s="42">
        <f>IF(C19="",0,C19*J$14)</f>
        <v>1590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11660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115850</v>
      </c>
      <c r="D24" s="122">
        <f t="shared" ref="D24:G24" si="5">SUM(D5:D23)</f>
        <v>13902</v>
      </c>
      <c r="E24" s="122">
        <f t="shared" si="5"/>
        <v>0</v>
      </c>
      <c r="F24" s="122">
        <f t="shared" si="5"/>
        <v>0</v>
      </c>
      <c r="G24" s="123">
        <f t="shared" si="5"/>
        <v>101948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27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74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98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46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71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74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63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98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75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46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74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27</v>
      </c>
      <c r="D2" s="267"/>
      <c r="E2" s="266">
        <f>IF(PREMIOS!$B11="","",PREMIOS!$B11)</f>
        <v>63</v>
      </c>
      <c r="F2" s="267"/>
      <c r="G2" s="266">
        <f>IF(PREMIOS!$B15="","",PREMIOS!$B15)</f>
        <v>98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64650</v>
      </c>
      <c r="D4" s="78">
        <f t="shared" ref="D4:H27" si="0">IF(C4="","",0)</f>
        <v>0</v>
      </c>
      <c r="E4" s="188">
        <v>27600</v>
      </c>
      <c r="F4" s="78">
        <f t="shared" si="0"/>
        <v>0</v>
      </c>
      <c r="G4" s="188">
        <v>76900</v>
      </c>
      <c r="H4" s="78">
        <f t="shared" si="0"/>
        <v>0</v>
      </c>
      <c r="J4" s="42">
        <f t="shared" ref="J4:J8" si="1">+C4+E4+G4</f>
        <v>169150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79">
        <v>66100</v>
      </c>
      <c r="D5" s="30">
        <f t="shared" si="0"/>
        <v>0</v>
      </c>
      <c r="E5" s="179">
        <v>36050</v>
      </c>
      <c r="F5" s="30">
        <f t="shared" si="0"/>
        <v>0</v>
      </c>
      <c r="G5" s="179">
        <v>65500</v>
      </c>
      <c r="H5" s="30">
        <f t="shared" si="0"/>
        <v>0</v>
      </c>
      <c r="J5" s="42">
        <f t="shared" si="1"/>
        <v>167650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/>
      <c r="D8" s="30" t="str">
        <f t="shared" si="0"/>
        <v/>
      </c>
      <c r="E8" s="179"/>
      <c r="F8" s="30" t="str">
        <f t="shared" si="0"/>
        <v/>
      </c>
      <c r="G8" s="179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23100+68000</f>
        <v>91100</v>
      </c>
      <c r="D10" s="30">
        <v>900</v>
      </c>
      <c r="E10" s="179">
        <f>15700+50550</f>
        <v>66250</v>
      </c>
      <c r="F10" s="30">
        <f>300+350</f>
        <v>650</v>
      </c>
      <c r="G10" s="179">
        <f>18750+119150</f>
        <v>137900</v>
      </c>
      <c r="H10" s="30">
        <v>500</v>
      </c>
      <c r="J10" s="42">
        <f t="shared" si="3"/>
        <v>295250</v>
      </c>
      <c r="K10" s="42">
        <f t="shared" si="2"/>
        <v>2050</v>
      </c>
    </row>
    <row r="11" spans="1:11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179"/>
      <c r="F11" s="30" t="str">
        <f t="shared" si="0"/>
        <v/>
      </c>
      <c r="G11" s="179">
        <v>4000</v>
      </c>
      <c r="H11" s="30">
        <f t="shared" si="0"/>
        <v>0</v>
      </c>
      <c r="J11" s="42">
        <f t="shared" si="3"/>
        <v>4000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44050</v>
      </c>
      <c r="D12" s="30">
        <v>250</v>
      </c>
      <c r="E12" s="179">
        <v>10100</v>
      </c>
      <c r="F12" s="30">
        <f t="shared" si="0"/>
        <v>0</v>
      </c>
      <c r="G12" s="179">
        <v>25800</v>
      </c>
      <c r="H12" s="30">
        <f t="shared" si="0"/>
        <v>0</v>
      </c>
      <c r="J12" s="42">
        <f t="shared" si="3"/>
        <v>79950</v>
      </c>
      <c r="K12" s="42">
        <f t="shared" si="2"/>
        <v>250</v>
      </c>
    </row>
    <row r="13" spans="1:11" x14ac:dyDescent="0.35">
      <c r="A13" s="47">
        <v>10</v>
      </c>
      <c r="B13" s="177" t="str">
        <f>Vendedor10!$B$2</f>
        <v>MARIALIZ</v>
      </c>
      <c r="C13" s="179">
        <v>40250</v>
      </c>
      <c r="D13" s="30">
        <f t="shared" si="0"/>
        <v>0</v>
      </c>
      <c r="E13" s="179">
        <v>9600</v>
      </c>
      <c r="F13" s="30">
        <f t="shared" si="0"/>
        <v>0</v>
      </c>
      <c r="G13" s="179">
        <v>28950</v>
      </c>
      <c r="H13" s="30">
        <f t="shared" si="0"/>
        <v>0</v>
      </c>
      <c r="J13" s="42">
        <f t="shared" si="3"/>
        <v>78800</v>
      </c>
      <c r="K13" s="42">
        <f t="shared" si="2"/>
        <v>0</v>
      </c>
    </row>
    <row r="14" spans="1:11" x14ac:dyDescent="0.35">
      <c r="A14" s="47">
        <v>11</v>
      </c>
      <c r="B14" s="177" t="str">
        <f>Vendedor11!$B$2</f>
        <v>CHARLY</v>
      </c>
      <c r="C14" s="179">
        <v>43550</v>
      </c>
      <c r="D14" s="30">
        <f t="shared" si="0"/>
        <v>0</v>
      </c>
      <c r="E14" s="179">
        <v>25550</v>
      </c>
      <c r="F14" s="30">
        <f t="shared" si="0"/>
        <v>0</v>
      </c>
      <c r="G14" s="179">
        <v>28700</v>
      </c>
      <c r="H14" s="30">
        <f t="shared" si="0"/>
        <v>0</v>
      </c>
      <c r="J14" s="42">
        <f t="shared" si="3"/>
        <v>97800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24100</v>
      </c>
      <c r="D16" s="30">
        <f t="shared" si="0"/>
        <v>0</v>
      </c>
      <c r="E16" s="179">
        <v>13750</v>
      </c>
      <c r="F16" s="30">
        <f t="shared" si="0"/>
        <v>0</v>
      </c>
      <c r="G16" s="179">
        <v>18100</v>
      </c>
      <c r="H16" s="30">
        <f t="shared" si="0"/>
        <v>0</v>
      </c>
      <c r="J16" s="42">
        <f t="shared" si="3"/>
        <v>55950</v>
      </c>
      <c r="K16" s="42">
        <f t="shared" si="2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373800</v>
      </c>
      <c r="D32" s="44">
        <f t="shared" si="6"/>
        <v>1150</v>
      </c>
      <c r="E32" s="43">
        <f t="shared" si="6"/>
        <v>188900</v>
      </c>
      <c r="F32" s="44">
        <f t="shared" si="6"/>
        <v>650</v>
      </c>
      <c r="G32" s="43">
        <f t="shared" si="6"/>
        <v>385850</v>
      </c>
      <c r="H32" s="44">
        <f t="shared" si="6"/>
        <v>500</v>
      </c>
      <c r="J32" s="95">
        <f>SUM(J4:J31)</f>
        <v>948550</v>
      </c>
      <c r="K32" s="95"/>
    </row>
    <row r="33" spans="2:8" x14ac:dyDescent="0.35">
      <c r="D33" s="99">
        <f>+D32*85</f>
        <v>97750</v>
      </c>
      <c r="F33" s="99">
        <f>+F32*85</f>
        <v>55250</v>
      </c>
      <c r="H33" s="99">
        <f>+H32*85</f>
        <v>42500</v>
      </c>
    </row>
    <row r="34" spans="2:8" x14ac:dyDescent="0.35">
      <c r="B34" s="246" t="s">
        <v>149</v>
      </c>
      <c r="C34" s="43">
        <f t="shared" ref="C34:H34" si="7">+C4+C5+C6+C8+C13</f>
        <v>171000</v>
      </c>
      <c r="D34" s="43" t="e">
        <f t="shared" si="7"/>
        <v>#VALUE!</v>
      </c>
      <c r="E34" s="43">
        <f t="shared" si="7"/>
        <v>73250</v>
      </c>
      <c r="F34" s="43" t="e">
        <f t="shared" si="7"/>
        <v>#VALUE!</v>
      </c>
      <c r="G34" s="43">
        <f t="shared" si="7"/>
        <v>171350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43550</v>
      </c>
      <c r="D35" s="43" t="e">
        <f t="shared" ref="D35:H35" si="8">+D11+D14+D15+D17+D18</f>
        <v>#VALUE!</v>
      </c>
      <c r="E35" s="43">
        <f t="shared" si="8"/>
        <v>25550</v>
      </c>
      <c r="F35" s="43" t="e">
        <f t="shared" si="8"/>
        <v>#VALUE!</v>
      </c>
      <c r="G35" s="43">
        <f t="shared" si="8"/>
        <v>32700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135150</v>
      </c>
      <c r="D36" s="43" t="e">
        <f t="shared" ref="D36:H36" si="9">+D10+D12+D27</f>
        <v>#VALUE!</v>
      </c>
      <c r="E36" s="43">
        <f t="shared" si="9"/>
        <v>76350</v>
      </c>
      <c r="F36" s="43" t="e">
        <f t="shared" si="9"/>
        <v>#VALUE!</v>
      </c>
      <c r="G36" s="43">
        <f t="shared" si="9"/>
        <v>163700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36</v>
      </c>
      <c r="D2" s="267"/>
      <c r="E2" s="266">
        <f>IF(PREMIOS!$B9="","",PREMIOS!$B9)</f>
        <v>74</v>
      </c>
      <c r="F2" s="267"/>
      <c r="G2" s="266" t="str">
        <f>IF(PREMIOS!$B13="","",PREMIOS!$B13)</f>
        <v/>
      </c>
      <c r="H2" s="267"/>
      <c r="I2" s="266">
        <f>IF(PREMIOS!$B17="","",PREMIOS!$B17)</f>
        <v>39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14950</v>
      </c>
      <c r="D4" s="78">
        <f t="shared" ref="D4:J27" si="0">IF(C4="","",0)</f>
        <v>0</v>
      </c>
      <c r="E4" s="205">
        <v>9350</v>
      </c>
      <c r="F4" s="78">
        <f t="shared" si="0"/>
        <v>0</v>
      </c>
      <c r="G4" s="188"/>
      <c r="H4" s="78" t="str">
        <f t="shared" ref="H4:H27" si="1">IF(G4="","",0)</f>
        <v/>
      </c>
      <c r="I4" s="188">
        <v>2100</v>
      </c>
      <c r="J4" s="78">
        <f t="shared" si="0"/>
        <v>0</v>
      </c>
      <c r="L4" s="42">
        <f t="shared" ref="L4:L8" si="2">+C4+E4+G4+I4</f>
        <v>26400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8700</v>
      </c>
      <c r="D5" s="30">
        <f t="shared" si="0"/>
        <v>0</v>
      </c>
      <c r="E5" s="206">
        <v>2000</v>
      </c>
      <c r="F5" s="30">
        <f t="shared" si="0"/>
        <v>0</v>
      </c>
      <c r="G5" s="179"/>
      <c r="H5" s="30" t="str">
        <f t="shared" si="1"/>
        <v/>
      </c>
      <c r="I5" s="179">
        <v>2200</v>
      </c>
      <c r="J5" s="30">
        <f t="shared" ref="J5:J27" si="3">IF(I5="","",0)</f>
        <v>0</v>
      </c>
      <c r="L5" s="42">
        <f t="shared" si="2"/>
        <v>12900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/>
      <c r="D8" s="30" t="str">
        <f t="shared" si="0"/>
        <v/>
      </c>
      <c r="E8" s="206"/>
      <c r="F8" s="30" t="str">
        <f t="shared" si="0"/>
        <v/>
      </c>
      <c r="G8" s="179"/>
      <c r="H8" s="30" t="str">
        <f t="shared" si="1"/>
        <v/>
      </c>
      <c r="I8" s="179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16300+22800</f>
        <v>39100</v>
      </c>
      <c r="D10" s="30">
        <f t="shared" si="0"/>
        <v>0</v>
      </c>
      <c r="E10" s="206">
        <f>15100+31850</f>
        <v>46950</v>
      </c>
      <c r="F10" s="30">
        <v>150</v>
      </c>
      <c r="G10" s="179"/>
      <c r="H10" s="30" t="str">
        <f t="shared" si="0"/>
        <v/>
      </c>
      <c r="I10" s="179">
        <f>16500+49900</f>
        <v>66400</v>
      </c>
      <c r="J10" s="30">
        <v>200</v>
      </c>
      <c r="L10" s="42">
        <f t="shared" si="5"/>
        <v>152450</v>
      </c>
      <c r="M10" s="42">
        <f t="shared" si="4"/>
        <v>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33350</v>
      </c>
      <c r="D12" s="30">
        <v>250</v>
      </c>
      <c r="E12" s="206">
        <v>11650</v>
      </c>
      <c r="F12" s="30">
        <f t="shared" si="0"/>
        <v>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45000</v>
      </c>
      <c r="M12" s="42">
        <f t="shared" si="4"/>
        <v>250</v>
      </c>
    </row>
    <row r="13" spans="1:13" x14ac:dyDescent="0.35">
      <c r="A13" s="47">
        <v>10</v>
      </c>
      <c r="B13" s="177" t="str">
        <f>Vendedor10!$B$2</f>
        <v>MARIALIZ</v>
      </c>
      <c r="C13" s="179">
        <v>28600</v>
      </c>
      <c r="D13" s="30">
        <f t="shared" si="0"/>
        <v>0</v>
      </c>
      <c r="E13" s="206">
        <v>19800</v>
      </c>
      <c r="F13" s="30">
        <f t="shared" si="0"/>
        <v>0</v>
      </c>
      <c r="G13" s="179"/>
      <c r="H13" s="30" t="str">
        <f t="shared" si="0"/>
        <v/>
      </c>
      <c r="I13" s="179">
        <v>1650</v>
      </c>
      <c r="J13" s="30">
        <f t="shared" si="0"/>
        <v>0</v>
      </c>
      <c r="L13" s="42">
        <f t="shared" si="5"/>
        <v>50050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4800</v>
      </c>
      <c r="D16" s="30">
        <f t="shared" si="0"/>
        <v>0</v>
      </c>
      <c r="E16" s="206">
        <v>9800</v>
      </c>
      <c r="F16" s="30">
        <f t="shared" si="0"/>
        <v>0</v>
      </c>
      <c r="G16" s="179"/>
      <c r="H16" s="30" t="str">
        <f t="shared" si="0"/>
        <v/>
      </c>
      <c r="I16" s="179">
        <v>32050</v>
      </c>
      <c r="J16" s="30">
        <f t="shared" si="0"/>
        <v>0</v>
      </c>
      <c r="L16" s="42">
        <f t="shared" si="5"/>
        <v>46650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129500</v>
      </c>
      <c r="D32" s="44">
        <f t="shared" si="7"/>
        <v>250</v>
      </c>
      <c r="E32" s="43">
        <f t="shared" si="7"/>
        <v>99550</v>
      </c>
      <c r="F32" s="44">
        <f t="shared" si="7"/>
        <v>150</v>
      </c>
      <c r="G32" s="43">
        <f t="shared" si="7"/>
        <v>0</v>
      </c>
      <c r="H32" s="44">
        <f t="shared" si="7"/>
        <v>0</v>
      </c>
      <c r="I32" s="43">
        <f t="shared" si="7"/>
        <v>104400</v>
      </c>
      <c r="J32" s="44">
        <f t="shared" si="7"/>
        <v>200</v>
      </c>
      <c r="L32" s="95">
        <f>SUM(L9:L31)</f>
        <v>294150</v>
      </c>
      <c r="M32" s="95">
        <f>SUM(M9:M31)</f>
        <v>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27 Roja</v>
      </c>
      <c r="D2" s="267"/>
      <c r="E2" s="266" t="str">
        <f>IF(E33=0,"",CONCATENATE(PREMIOS!$B11," ",PREMIOS!$B12))</f>
        <v>63 Blanca</v>
      </c>
      <c r="F2" s="267"/>
      <c r="G2" s="266" t="str">
        <f>IF(G33=0,"",CONCATENATE(PREMIOS!$B15," ",PREMIOS!$B16))</f>
        <v>98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500+9350</f>
        <v>9850</v>
      </c>
      <c r="D10" s="30">
        <f t="shared" si="0"/>
        <v>0</v>
      </c>
      <c r="E10" s="179">
        <f>2500+7850</f>
        <v>10350</v>
      </c>
      <c r="F10" s="30">
        <v>350</v>
      </c>
      <c r="G10" s="179">
        <f>2000+20850</f>
        <v>22850</v>
      </c>
      <c r="H10" s="30">
        <v>250</v>
      </c>
      <c r="J10" s="42">
        <f t="shared" si="3"/>
        <v>43050</v>
      </c>
      <c r="K10" s="42">
        <f t="shared" si="4"/>
        <v>600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2600</v>
      </c>
      <c r="D12" s="30">
        <f t="shared" si="0"/>
        <v>0</v>
      </c>
      <c r="E12" s="179">
        <v>4000</v>
      </c>
      <c r="F12" s="30">
        <f t="shared" si="1"/>
        <v>0</v>
      </c>
      <c r="G12" s="179">
        <v>500</v>
      </c>
      <c r="H12" s="30">
        <f t="shared" si="0"/>
        <v>0</v>
      </c>
      <c r="J12" s="42">
        <f t="shared" si="3"/>
        <v>7100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12450</v>
      </c>
      <c r="D33" s="44">
        <f t="shared" si="7"/>
        <v>0</v>
      </c>
      <c r="E33" s="43">
        <f t="shared" si="7"/>
        <v>14350</v>
      </c>
      <c r="F33" s="44">
        <f t="shared" si="7"/>
        <v>350</v>
      </c>
      <c r="G33" s="43">
        <f t="shared" si="7"/>
        <v>23350</v>
      </c>
      <c r="H33" s="44">
        <f t="shared" si="7"/>
        <v>250</v>
      </c>
      <c r="J33" s="45">
        <f>SUM(J4:J32)</f>
        <v>50150</v>
      </c>
      <c r="K33" s="95">
        <f>SUM(K4:K32)</f>
        <v>600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75</v>
      </c>
      <c r="D2" s="267"/>
      <c r="E2" s="266">
        <f>IF(PREMIOS!$C19="","",PREMIOS!$C19)</f>
        <v>57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16100</v>
      </c>
      <c r="D4" s="78">
        <f t="shared" ref="D4:F27" si="0">IF(C4="","",0)</f>
        <v>0</v>
      </c>
      <c r="E4" s="188">
        <v>2900</v>
      </c>
      <c r="F4" s="78">
        <f t="shared" si="0"/>
        <v>0</v>
      </c>
      <c r="H4" s="42">
        <f>+C4+E4</f>
        <v>19000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8900</v>
      </c>
      <c r="D5" s="30">
        <f t="shared" si="0"/>
        <v>0</v>
      </c>
      <c r="E5" s="179"/>
      <c r="F5" s="30" t="str">
        <f t="shared" ref="F5:F27" si="1">IF(E5="","",0)</f>
        <v/>
      </c>
      <c r="H5" s="42">
        <f t="shared" ref="H5:H32" si="2">+C5+E5</f>
        <v>8900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/>
      <c r="D8" s="30" t="str">
        <f t="shared" si="0"/>
        <v/>
      </c>
      <c r="E8" s="193"/>
      <c r="F8" s="19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MARTA ROSA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f>16400+9200</f>
        <v>25600</v>
      </c>
      <c r="D10" s="30">
        <f t="shared" si="0"/>
        <v>0</v>
      </c>
      <c r="E10" s="179">
        <v>14400</v>
      </c>
      <c r="F10" s="194">
        <f t="shared" si="1"/>
        <v>0</v>
      </c>
      <c r="H10" s="42">
        <f t="shared" si="2"/>
        <v>40000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33600</v>
      </c>
      <c r="D12" s="30">
        <v>400</v>
      </c>
      <c r="E12" s="193"/>
      <c r="F12" s="30" t="str">
        <f t="shared" si="0"/>
        <v/>
      </c>
      <c r="H12" s="42">
        <f t="shared" si="2"/>
        <v>33600</v>
      </c>
      <c r="I12" s="42">
        <f t="shared" si="3"/>
        <v>400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13250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13250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97450</v>
      </c>
      <c r="D33" s="44">
        <f>SUM(D4:D32)</f>
        <v>400</v>
      </c>
      <c r="E33" s="43">
        <f>SUM(E4:E32)</f>
        <v>17300</v>
      </c>
      <c r="F33" s="44">
        <f>SUM(F4:F32)</f>
        <v>0</v>
      </c>
      <c r="H33" s="95">
        <f>SUM(H4:H32)</f>
        <v>114750</v>
      </c>
      <c r="I33" s="95">
        <f>SUM(I4:I32)</f>
        <v>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82</v>
      </c>
      <c r="D2" s="267"/>
      <c r="E2" s="266">
        <f>IF(PREMIOS!$C20="","",PREMIOS!$C20)</f>
        <v>46</v>
      </c>
      <c r="F2" s="267"/>
      <c r="G2" s="266">
        <f>IF(PREMIOS!$D20="","",PREMIOS!$D20)</f>
        <v>71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5700</v>
      </c>
      <c r="D10" s="194">
        <f t="shared" si="0"/>
        <v>0</v>
      </c>
      <c r="E10" s="179">
        <v>4600</v>
      </c>
      <c r="F10" s="30">
        <f t="shared" si="0"/>
        <v>0</v>
      </c>
      <c r="G10" s="179">
        <f>2500+23050</f>
        <v>25550</v>
      </c>
      <c r="H10" s="194">
        <f t="shared" si="0"/>
        <v>0</v>
      </c>
      <c r="J10" s="42">
        <f t="shared" si="3"/>
        <v>35850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5700</v>
      </c>
      <c r="D33" s="44">
        <f t="shared" si="6"/>
        <v>0</v>
      </c>
      <c r="E33" s="43">
        <f t="shared" si="6"/>
        <v>4600</v>
      </c>
      <c r="F33" s="44">
        <f t="shared" si="6"/>
        <v>0</v>
      </c>
      <c r="G33" s="43">
        <f t="shared" si="6"/>
        <v>25550</v>
      </c>
      <c r="H33" s="44">
        <f t="shared" si="6"/>
        <v>0</v>
      </c>
      <c r="J33" s="45">
        <f>SUM(J4:J32)</f>
        <v>35850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01</v>
      </c>
      <c r="D2" s="267"/>
      <c r="E2" s="266">
        <f>IF(PREMIOS!$C21="","",PREMIOS!$C21)</f>
        <v>44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1200</v>
      </c>
      <c r="D10" s="30">
        <f t="shared" si="0"/>
        <v>0</v>
      </c>
      <c r="E10" s="179">
        <v>2000</v>
      </c>
      <c r="F10" s="30">
        <f t="shared" si="0"/>
        <v>0</v>
      </c>
      <c r="H10" s="42">
        <f t="shared" si="2"/>
        <v>3200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1200</v>
      </c>
      <c r="D33" s="44">
        <f>SUM(D4:D32)</f>
        <v>0</v>
      </c>
      <c r="E33" s="43">
        <f>SUM(E4:E32)</f>
        <v>2000</v>
      </c>
      <c r="F33" s="44">
        <f>SUM(F4:F32)</f>
        <v>0</v>
      </c>
      <c r="H33" s="45">
        <f>SUM(H4:H32)</f>
        <v>3200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2026-07-21T16:15:15Z</dcterms:modified>
  <dc:language>es-CR</dc:language>
</cp:coreProperties>
</file>
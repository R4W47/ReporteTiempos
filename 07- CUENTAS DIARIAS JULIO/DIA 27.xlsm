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34" documentId="11_8C3FE6CD28C532C04604C23601EFAA47214F1220" xr6:coauthVersionLast="47" xr6:coauthVersionMax="47" xr10:uidLastSave="{DB64A2C4-2419-4EF2-9F93-A01FA5DC512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E10" i="65"/>
  <c r="G10" i="62"/>
  <c r="J10" i="61"/>
  <c r="I10" i="61"/>
  <c r="G10" i="60"/>
  <c r="D10" i="60"/>
  <c r="C10" i="60"/>
  <c r="F10" i="60"/>
  <c r="E10" i="60"/>
  <c r="C11" i="60" l="1"/>
  <c r="E10" i="62"/>
  <c r="C10" i="62"/>
  <c r="E10" i="61"/>
  <c r="C10" i="61"/>
  <c r="D18" i="64" l="1"/>
  <c r="D18" i="65"/>
  <c r="D11" i="65"/>
  <c r="D18" i="61"/>
  <c r="D17" i="61"/>
  <c r="D10" i="61"/>
  <c r="D9" i="61"/>
  <c r="D8" i="61"/>
  <c r="E23" i="15"/>
  <c r="H16" i="71" s="1"/>
  <c r="D22" i="15"/>
  <c r="C23" i="15"/>
  <c r="G16" i="71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3" i="15" l="1"/>
  <c r="F23" i="15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1" i="60"/>
  <c r="D9" i="60"/>
  <c r="D7" i="60"/>
  <c r="D34" i="60"/>
  <c r="F18" i="23"/>
  <c r="F14" i="23"/>
  <c r="F10" i="23"/>
  <c r="F6" i="23"/>
  <c r="F6" i="14"/>
  <c r="F10" i="14"/>
  <c r="F14" i="14"/>
  <c r="F18" i="1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1" i="60"/>
  <c r="F9" i="60"/>
  <c r="F8" i="60"/>
  <c r="F7" i="60"/>
  <c r="F6" i="60"/>
  <c r="F5" i="60"/>
  <c r="F4" i="60"/>
  <c r="H17" i="60"/>
  <c r="H15" i="60"/>
  <c r="H14" i="60"/>
  <c r="H13" i="60"/>
  <c r="H12" i="60"/>
  <c r="H11" i="60"/>
  <c r="H9" i="60"/>
  <c r="H7" i="60"/>
  <c r="H6" i="60"/>
  <c r="H5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5" i="60"/>
  <c r="F34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J7" i="19"/>
  <c r="F25" i="19"/>
  <c r="F18" i="72"/>
  <c r="J26" i="71"/>
  <c r="L29" i="71"/>
  <c r="M29" i="71" s="1"/>
  <c r="H21" i="72"/>
  <c r="I21" i="72" s="1"/>
  <c r="N21" i="72" s="1"/>
  <c r="L9" i="19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L27" i="70"/>
  <c r="I33" i="66"/>
  <c r="K21" i="8"/>
  <c r="K10" i="8"/>
  <c r="L27" i="71"/>
  <c r="M27" i="71" s="1"/>
  <c r="K21" i="19"/>
  <c r="K10" i="19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6" i="23" l="1"/>
  <c r="F17" i="52"/>
  <c r="F12" i="8"/>
  <c r="M26" i="52"/>
  <c r="J5" i="23"/>
  <c r="M23" i="52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I32" i="61"/>
  <c r="L6" i="22"/>
  <c r="M19" i="52"/>
  <c r="F32" i="60"/>
  <c r="D32" i="61"/>
  <c r="K4" i="23"/>
  <c r="L19" i="59"/>
  <c r="L19" i="71"/>
  <c r="M19" i="71" s="1"/>
  <c r="J19" i="70"/>
  <c r="K19" i="70" s="1"/>
  <c r="G32" i="61"/>
  <c r="F32" i="61"/>
  <c r="L6" i="25"/>
  <c r="F24" i="1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M5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K5" i="52"/>
  <c r="C4" i="1" s="1"/>
  <c r="B4" i="1"/>
  <c r="K6" i="52"/>
  <c r="C5" i="1" s="1"/>
  <c r="B5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<sst xmlns="http://schemas.openxmlformats.org/spreadsheetml/2006/main" count="1295" uniqueCount="162">
  <si>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</si>
  <si>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</si>
  <si>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</si>
  <si>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</si>
  <si>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</si>
  <si>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</si>
  <si>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</si>
  <si>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</si>
  <si>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</si>
  <si>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</si>
  <si>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</si>
  <si>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</si>
  <si>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</si>
  <si>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</si>
  <si>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</si>
  <si>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</si>
  <si>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</si>
  <si>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</si>
  <si>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</si>
  <si>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</si>
  <si>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</si>
  <si>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</si>
  <si>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</si>
  <si>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</si>
  <si>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</si>
  <si>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</si>
  <si>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</si>
  <si>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</si>
  <si>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</si>
  <si>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</si>
  <si>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</si>
  <si>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</si>
  <si>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</si>
  <si>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</si>
  <si>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</si>
  <si>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</si>
  <si>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</si>
  <si>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</si>
  <si>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</si>
  <si>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</si>
  <si>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</si>
  <si>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</si>
  <si>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</si>
  <si>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</si>
  <si>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</si>
  <si>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</si>
  <si>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</si>
  <si>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</si>
  <si>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</si>
  <si>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</si>
  <si>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</si>
  <si>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</si>
  <si>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</si>
  <si>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</si>
  <si>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</si>
  <si>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</si>
  <si>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</si>
  <si>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</si>
  <si>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</si>
  <si>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</si>
  <si>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</si>
  <si>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</si>
  <si>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</si>
  <si>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</si>
  <si>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</si>
  <si>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</si>
  <si>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</si>
  <si>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</si>
  <si>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</si>
  <si>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</si>
  <si>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</si>
  <si>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</si>
  <si>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</si>
  <si>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</si>
  <si>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</si>
  <si>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</si>
  <si>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</si>
  <si>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</si>
  <si>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</si>
  <si>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</si>
  <si>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</si>
  <si>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</si>
  <si>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</si>
  <si>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</si>
  <si>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</si>
  <si>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</si>
  <si>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</si>
  <si>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</si>
  <si>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</si>
  <si>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</si>
  <si>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</si>
  <si>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</si>
  <si>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</si>
  <si>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</si>
  <si>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</si>
  <si>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</si>
  <si>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</si>
  <si>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</si>
  <si>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</si>
  <si>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</si>
  <si>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</si>
  <si>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</si>
  <si>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</si>
  <si>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</si>
  <si>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</si>
  <si>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</si>
  <si>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</si>
  <si>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</si>
  <si>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</si>
  <si>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</si>
  <si>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</si>
  <si>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</si>
  <si>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</si>
  <si>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</si>
  <si>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</si>
  <si>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</si>
  <si>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</si>
  <si>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</si>
  <si>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</si>
  <si>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</si>
  <si>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</si>
  <si>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</si>
  <si>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</si>
  <si>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</si>
  <si>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</si>
  <si>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</si>
  <si>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</si>
  <si>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</si>
  <si>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</si>
  <si>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</si>
  <si>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</si>
  <si>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</si>
  <si>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</si>
  <si>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</si>
  <si>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</si>
  <si>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</si>
  <si>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</si>
  <si>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</si>
  <si>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</si>
  <si>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</si>
  <si>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</si>
  <si>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</si>
  <si>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</si>
  <si>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</si>
  <si>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</si>
  <si>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</si>
  <si>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</si>
  <si>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</si>
  <si>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</si>
  <si>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</si>
  <si>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</si>
  <si>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</si>
  <si>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</si>
  <si>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</si>
  <si>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</si>
  <si>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</si>
  <si>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</si>
  <si>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</si>
  <si>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</si>
  <si>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</si>
  <si>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10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</si>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</sst>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3.81640625" style="1" bestFit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299150</v>
      </c>
      <c r="C3" s="9">
        <f>+HojaTICA!K4+HojaNICA!M4+HojaREVENTADO!K4+HojaPrimera!I4+HojaHonduras!K4+HojaDominicana!I4+HojaPANA!G4</f>
        <v>38850</v>
      </c>
      <c r="D3" s="9">
        <f>+HojaTICA!N4+HojaNICA!P4+HojaREVENTADO!O4+HojaPrimera!L4+HojaHonduras!N4+HojaDominicana!L4+HojaPANA!J4</f>
        <v>308750</v>
      </c>
      <c r="F3" s="10">
        <f t="shared" ref="F3:F27" si="0">+B3-C3-D3</f>
        <v>-48450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135300</v>
      </c>
      <c r="C4" s="9">
        <f>+HojaTICA!K5+HojaNICA!M5+HojaREVENTADO!K5+HojaPrimera!I5+HojaHonduras!K5+HojaDominicana!I5+HojaPANA!G5</f>
        <v>17600</v>
      </c>
      <c r="D4" s="9">
        <f>+HojaTICA!N5+HojaNICA!P5+HojaREVENTADO!O5+HojaPrimera!L5+HojaHonduras!N5+HojaDominicana!L5+HojaPANA!J5</f>
        <v>125000</v>
      </c>
      <c r="F4" s="14">
        <f t="shared" si="0"/>
        <v>-7300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270000</v>
      </c>
      <c r="C7" s="9">
        <f>+HojaTICA!K8+HojaNICA!M8+HojaREVENTADO!K8+HojaPrimera!I8+HojaHonduras!K8+HojaDominicana!I8+HojaPANA!G8</f>
        <v>32350</v>
      </c>
      <c r="D7" s="9">
        <f>+HojaTICA!N8+HojaNICA!P8+HojaREVENTADO!O8+HojaPrimera!L8+HojaHonduras!N8+HojaDominicana!L8+HojaPANA!J8</f>
        <v>177750</v>
      </c>
      <c r="F7" s="14">
        <f t="shared" si="0"/>
        <v>59900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724350</v>
      </c>
      <c r="C9" s="9">
        <f>+HojaTICA!K10+HojaNICA!M10+HojaREVENTADO!K10+HojaPrimera!I10+HojaHonduras!K10+HojaDominicana!I10+HojaPANA!G10</f>
        <v>86210</v>
      </c>
      <c r="D9" s="9">
        <f>+HojaTICA!N10+HojaNICA!P10+HojaREVENTADO!O10+HojaPrimera!L10+HojaHonduras!N10+HojaDominicana!L10+HojaPANA!J10</f>
        <v>552500</v>
      </c>
      <c r="F9" s="14">
        <f t="shared" si="0"/>
        <v>85640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2600</v>
      </c>
      <c r="C10" s="9">
        <f>+HojaTICA!K11+HojaNICA!M11+HojaREVENTADO!K11+HojaPrimera!I11+HojaHonduras!K11+HojaDominicana!I11+HojaPANA!G11</f>
        <v>300</v>
      </c>
      <c r="D10" s="9">
        <f>+HojaTICA!N11+HojaNICA!P11+HojaREVENTADO!O11+HojaPrimera!L11+HojaHonduras!N11+HojaDominicana!L11+HojaPANA!J11</f>
        <v>0</v>
      </c>
      <c r="F10" s="14">
        <f t="shared" si="0"/>
        <v>2300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188550</v>
      </c>
      <c r="C11" s="9">
        <f>+HojaTICA!K12+HojaNICA!M12+HojaREVENTADO!K12+HojaPrimera!I12+HojaHonduras!K12+HojaDominicana!I12+HojaPANA!G12</f>
        <v>22650</v>
      </c>
      <c r="D11" s="9">
        <f>+HojaTICA!N12+HojaNICA!P12+HojaREVENTADO!O12+HojaPrimera!L12+HojaHonduras!N12+HojaDominicana!L12+HojaPANA!J12</f>
        <v>110500</v>
      </c>
      <c r="F11" s="14">
        <f t="shared" si="0"/>
        <v>55400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120800</v>
      </c>
      <c r="C12" s="9">
        <f>+HojaTICA!K13+HojaNICA!M13+HojaREVENTADO!K13+HojaPrimera!I13+HojaHonduras!K13+HojaDominicana!I13+HojaPANA!G13</f>
        <v>14500</v>
      </c>
      <c r="D12" s="9">
        <f>+HojaTICA!N13+HojaNICA!P13+HojaREVENTADO!O13+HojaPrimera!L13+HojaHonduras!N13+HojaDominicana!L13+HojaPANA!J13</f>
        <v>59500</v>
      </c>
      <c r="F12" s="14">
        <f t="shared" si="0"/>
        <v>46800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72150</v>
      </c>
      <c r="C13" s="9">
        <f>+HojaTICA!K14+HojaNICA!M14+HojaREVENTADO!K14+HojaPrimera!I14+HojaHonduras!K14+HojaDominicana!I14+HojaPANA!G14</f>
        <v>10800</v>
      </c>
      <c r="D13" s="9">
        <f>+HojaTICA!N14+HojaNICA!P14+HojaREVENTADO!O14+HojaPrimera!L14+HojaHonduras!N14+HojaDominicana!L14+HojaPANA!J14</f>
        <v>48000</v>
      </c>
      <c r="F13" s="14">
        <f t="shared" si="0"/>
        <v>13350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95600</v>
      </c>
      <c r="C15" s="9">
        <f>+HojaTICA!K16+HojaNICA!M16+HojaREVENTADO!K16+HojaPrimera!I16+HojaHonduras!K16+HojaDominicana!I16+HojaPANA!G16</f>
        <v>11450</v>
      </c>
      <c r="D15" s="9">
        <f>+HojaTICA!N16+HojaNICA!P16+HojaREVENTADO!O16+HojaPrimera!L16+HojaHonduras!N16+HojaDominicana!L16+HojaPANA!J16</f>
        <v>51000</v>
      </c>
      <c r="F15" s="14">
        <f t="shared" si="0"/>
        <v>33150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1908500</v>
      </c>
      <c r="C28" s="17">
        <f t="shared" si="1"/>
        <v>234710</v>
      </c>
      <c r="D28" s="18">
        <f t="shared" si="1"/>
        <v>1433000</v>
      </c>
      <c r="F28" s="20">
        <f>SUM(F3:F27)</f>
        <v>240790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 t="s">
        <v>160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47</v>
      </c>
      <c r="C19" s="132">
        <v>44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49</v>
      </c>
      <c r="D20" s="166" t="s">
        <v>161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77</v>
      </c>
      <c r="C21" s="164">
        <v>74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38</v>
      </c>
      <c r="D2" s="268"/>
      <c r="E2" s="267">
        <f>DigitaTICA!E2</f>
        <v>47</v>
      </c>
      <c r="F2" s="268"/>
      <c r="G2" s="267">
        <f>DigitaTICA!G2</f>
        <v>96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98550</v>
      </c>
      <c r="D4" s="30">
        <f>IF(Vendedor1!$E$7="",0,Vendedor1!$E$7)</f>
        <v>3350</v>
      </c>
      <c r="E4" s="180">
        <f>IF(Vendedor1!$C$11="",0,Vendedor1!$C$11)</f>
        <v>46700</v>
      </c>
      <c r="F4" s="30">
        <f>IF(Vendedor1!$E$11="",0,Vendedor1!$E$11)</f>
        <v>0</v>
      </c>
      <c r="G4" s="180">
        <f>IF(Vendedor1!$C$15="",0,Vendedor1!$C$15)</f>
        <v>51800</v>
      </c>
      <c r="H4" s="30">
        <f>IF(Vendedor1!$E$15="",0,Vendedor1!$E$15)</f>
        <v>0</v>
      </c>
      <c r="J4" s="42">
        <f t="shared" ref="J4:J7" si="0">+C4+E4+G4</f>
        <v>197050</v>
      </c>
      <c r="K4" s="41">
        <f>MROUND(J4*Vendedor1!J$9,50)</f>
        <v>25600</v>
      </c>
      <c r="L4" s="42">
        <f t="shared" ref="L4:L7" si="1">+D4+F4+H4</f>
        <v>3350</v>
      </c>
      <c r="M4" s="42">
        <f t="shared" ref="M4:M7" si="2">+L4*85</f>
        <v>284750</v>
      </c>
      <c r="N4" s="42">
        <f>Vendedor1!$F$7+Vendedor1!$F$11+Vendedor1!$F$15</f>
        <v>284750</v>
      </c>
      <c r="P4" s="42">
        <f t="shared" ref="P4:P7" si="3">+J4-K4-N4</f>
        <v>-113300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50000</v>
      </c>
      <c r="D5" s="30">
        <f>IF(Vendedor2!$E$7="",0,Vendedor2!$E$7)</f>
        <v>1000</v>
      </c>
      <c r="E5" s="180">
        <f>IF(Vendedor2!$C$11="",0,Vendedor2!$C$11)</f>
        <v>20000</v>
      </c>
      <c r="F5" s="30">
        <f>IF(Vendedor2!$E$11="",0,Vendedor2!$E$11)</f>
        <v>0</v>
      </c>
      <c r="G5" s="180">
        <f>IF(Vendedor2!$C$15="",0,Vendedor2!$C$15)</f>
        <v>52500</v>
      </c>
      <c r="H5" s="30">
        <f>IF(Vendedor2!$E$15="",0,Vendedor2!$E$15)</f>
        <v>0</v>
      </c>
      <c r="J5" s="42">
        <f t="shared" si="0"/>
        <v>122500</v>
      </c>
      <c r="K5" s="41">
        <f>MROUND(J5*Vendedor2!J$9,50)</f>
        <v>15950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21550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50800</v>
      </c>
      <c r="D8" s="30">
        <f>IF(Vendedor5!$E$7="",0,Vendedor5!$E$7)</f>
        <v>1100</v>
      </c>
      <c r="E8" s="180">
        <f>IF(Vendedor5!$C$11="",0,Vendedor5!$C$11)</f>
        <v>30000</v>
      </c>
      <c r="F8" s="30">
        <f>IF(Vendedor5!$E$11="",0,Vendedor5!$E$11)</f>
        <v>0</v>
      </c>
      <c r="G8" s="180">
        <f>IF(Vendedor5!$C$15="",0,Vendedor5!$C$15)</f>
        <v>48150</v>
      </c>
      <c r="H8" s="30">
        <f>IF(Vendedor5!$E$15="",0,Vendedor5!$E$15)</f>
        <v>850</v>
      </c>
      <c r="J8" s="42">
        <f t="shared" ref="J8" si="4">+C8+E8+G8</f>
        <v>128950</v>
      </c>
      <c r="K8" s="41">
        <f>MROUND(J8*Vendedor5!J$11,50)</f>
        <v>15450</v>
      </c>
      <c r="L8" s="42">
        <f t="shared" ref="L8" si="5">+D8+F8+H8</f>
        <v>1950</v>
      </c>
      <c r="M8" s="42">
        <f t="shared" ref="M8" si="6">+L8*85</f>
        <v>165750</v>
      </c>
      <c r="N8" s="42">
        <f>Vendedor5!$F$7+Vendedor5!$F$11+Vendedor5!$F$15</f>
        <v>165750</v>
      </c>
      <c r="P8" s="42">
        <f t="shared" ref="P8" si="7">+J8-K8-N8</f>
        <v>-52250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104500</v>
      </c>
      <c r="D10" s="30">
        <f>IF(Vendedor7!$E$7="",0,Vendedor7!$E$7)</f>
        <v>350</v>
      </c>
      <c r="E10" s="180">
        <f>IF(Vendedor7!$C$11="",0,Vendedor7!$C$11)</f>
        <v>98250</v>
      </c>
      <c r="F10" s="30">
        <f>IF(Vendedor7!$E$11="",0,Vendedor7!$E$11)</f>
        <v>2050</v>
      </c>
      <c r="G10" s="180">
        <f>IF(Vendedor7!$C$15="",0,Vendedor7!$C$15)</f>
        <v>119950</v>
      </c>
      <c r="H10" s="30">
        <f>IF(Vendedor7!$E$15="",0,Vendedor7!$E$15)</f>
        <v>1000</v>
      </c>
      <c r="J10" s="42">
        <f t="shared" si="8"/>
        <v>322700</v>
      </c>
      <c r="K10" s="41">
        <f>MROUND(J10*Vendedor7!J$14,50)</f>
        <v>38700</v>
      </c>
      <c r="L10" s="42">
        <f t="shared" si="9"/>
        <v>3400</v>
      </c>
      <c r="M10" s="42">
        <f t="shared" si="10"/>
        <v>289000</v>
      </c>
      <c r="N10" s="42">
        <f>Vendedor7!$F$7+Vendedor7!$F$11+Vendedor7!$F$15</f>
        <v>289000</v>
      </c>
      <c r="P10" s="42">
        <f t="shared" si="11"/>
        <v>-5000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2600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2600</v>
      </c>
      <c r="K11" s="41">
        <f>MROUND(J11*Vendedor8!J$11,50)</f>
        <v>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46550</v>
      </c>
      <c r="D12" s="30">
        <f>IF(Vendedor9!$E$7="",0,Vendedor9!$E$7)</f>
        <v>200</v>
      </c>
      <c r="E12" s="180">
        <f>IF(Vendedor9!$C$11="",0,Vendedor9!$C$11)</f>
        <v>26400</v>
      </c>
      <c r="F12" s="30">
        <f>IF(Vendedor9!$E$11="",0,Vendedor9!$E$11)</f>
        <v>250</v>
      </c>
      <c r="G12" s="180">
        <f>IF(Vendedor9!$C$15="",0,Vendedor9!$C$15)</f>
        <v>16500</v>
      </c>
      <c r="H12" s="30">
        <f>IF(Vendedor9!$E$15="",0,Vendedor9!$E$15)</f>
        <v>0</v>
      </c>
      <c r="J12" s="42">
        <f t="shared" si="8"/>
        <v>89450</v>
      </c>
      <c r="K12" s="41">
        <f>MROUND(J12*Vendedor9!J$11,50)</f>
        <v>10750</v>
      </c>
      <c r="L12" s="42">
        <f t="shared" si="9"/>
        <v>450</v>
      </c>
      <c r="M12" s="42">
        <f t="shared" si="10"/>
        <v>38250</v>
      </c>
      <c r="N12" s="42">
        <f>Vendedor9!$F$7+Vendedor9!$F$11+Vendedor9!$F$15</f>
        <v>38250</v>
      </c>
      <c r="P12" s="42">
        <f t="shared" si="11"/>
        <v>40450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45550</v>
      </c>
      <c r="D13" s="30">
        <f>IF(Vendedor10!$E$7="",0,Vendedor10!$E$7)</f>
        <v>700</v>
      </c>
      <c r="E13" s="180">
        <f>IF(Vendedor10!$C$11="",0,Vendedor10!$C$11)</f>
        <v>15150</v>
      </c>
      <c r="F13" s="30">
        <f>IF(Vendedor10!$E$11="",0,Vendedor10!$E$11)</f>
        <v>0</v>
      </c>
      <c r="G13" s="180">
        <f>IF(Vendedor10!$C$15="",0,Vendedor10!$C$15)</f>
        <v>25400</v>
      </c>
      <c r="H13" s="30">
        <f>IF(Vendedor10!$E$15="",0,Vendedor10!$E$15)</f>
        <v>0</v>
      </c>
      <c r="J13" s="42">
        <f t="shared" si="8"/>
        <v>86100</v>
      </c>
      <c r="K13" s="41">
        <f>MROUND(J13*Vendedor10!J$9,50)</f>
        <v>10350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16250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27600</v>
      </c>
      <c r="D14" s="30">
        <f>IF(Vendedor11!$E$7="",0,Vendedor11!$E$7)</f>
        <v>600</v>
      </c>
      <c r="E14" s="180">
        <f>IF(Vendedor11!$C$11="",0,Vendedor11!$C$11)</f>
        <v>21650</v>
      </c>
      <c r="F14" s="30">
        <f>IF(Vendedor11!$E$11="",0,Vendedor11!$E$11)</f>
        <v>0</v>
      </c>
      <c r="G14" s="180">
        <f>IF(Vendedor11!$C$15="",0,Vendedor11!$C$15)</f>
        <v>22900</v>
      </c>
      <c r="H14" s="30">
        <f>IF(Vendedor11!$E$15="",0,Vendedor11!$E$15)</f>
        <v>0</v>
      </c>
      <c r="J14" s="42">
        <f t="shared" si="8"/>
        <v>72150</v>
      </c>
      <c r="K14" s="41">
        <f>MROUND(J14*Vendedor11!J$9,50)</f>
        <v>10800</v>
      </c>
      <c r="L14" s="42">
        <f t="shared" si="9"/>
        <v>600</v>
      </c>
      <c r="M14" s="42">
        <f t="shared" si="10"/>
        <v>51000</v>
      </c>
      <c r="N14" s="42">
        <f>Vendedor11!$F$7+Vendedor11!$F$11+Vendedor11!$F$15</f>
        <v>48000</v>
      </c>
      <c r="P14" s="42">
        <f t="shared" si="11"/>
        <v>13350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22050</v>
      </c>
      <c r="D16" s="30">
        <f>IF(Vendedor13!$E$7="",0,Vendedor13!$E$7)</f>
        <v>200</v>
      </c>
      <c r="E16" s="180">
        <f>IF(Vendedor13!$C$11="",0,Vendedor13!$C$11)</f>
        <v>15850</v>
      </c>
      <c r="F16" s="30">
        <f>IF(Vendedor13!$E$11="",0,Vendedor13!$E$11)</f>
        <v>0</v>
      </c>
      <c r="G16" s="180">
        <f>IF(Vendedor13!$C$15="",0,Vendedor13!$C$15)</f>
        <v>29250</v>
      </c>
      <c r="H16" s="30">
        <f>IF(Vendedor13!$E$15="",0,Vendedor13!$E$15)</f>
        <v>400</v>
      </c>
      <c r="J16" s="42">
        <f t="shared" si="8"/>
        <v>67150</v>
      </c>
      <c r="K16" s="41">
        <f>MROUND(J16*Vendedor13!J$11,50)</f>
        <v>8050</v>
      </c>
      <c r="L16" s="42">
        <f t="shared" si="9"/>
        <v>600</v>
      </c>
      <c r="M16" s="42">
        <f t="shared" si="10"/>
        <v>51000</v>
      </c>
      <c r="N16" s="42">
        <f>Vendedor13!$F$7+Vendedor13!$F$11+Vendedor13!$F$15</f>
        <v>51000</v>
      </c>
      <c r="P16" s="42">
        <f t="shared" si="11"/>
        <v>8100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448200</v>
      </c>
      <c r="D32" s="44">
        <f t="shared" si="16"/>
        <v>7500</v>
      </c>
      <c r="E32" s="43">
        <f t="shared" si="16"/>
        <v>274000</v>
      </c>
      <c r="F32" s="44">
        <f t="shared" si="16"/>
        <v>2300</v>
      </c>
      <c r="G32" s="43">
        <f t="shared" si="16"/>
        <v>366450</v>
      </c>
      <c r="H32" s="44">
        <f t="shared" si="16"/>
        <v>2250</v>
      </c>
      <c r="J32" s="95">
        <f>SUM(J4:J31)</f>
        <v>1088650</v>
      </c>
      <c r="K32" s="45">
        <f>SUM(K7:K31)</f>
        <v>94400</v>
      </c>
      <c r="L32" s="95">
        <f>SUM(L4:L31)</f>
        <v>12050</v>
      </c>
      <c r="M32" s="95">
        <f>SUM(M4:M31)</f>
        <v>1024250</v>
      </c>
      <c r="N32" s="95">
        <f>SUM(N4:N31)</f>
        <v>1021250</v>
      </c>
      <c r="P32" s="79">
        <f>SUM(P4:P31)</f>
        <v>-68550</v>
      </c>
    </row>
    <row r="33" spans="3:13" x14ac:dyDescent="0.35">
      <c r="D33" s="99">
        <f>+D32*85</f>
        <v>637500</v>
      </c>
      <c r="F33" s="99">
        <f>+F32*85</f>
        <v>195500</v>
      </c>
      <c r="H33" s="99">
        <f>+H32*85</f>
        <v>191250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1088650</v>
      </c>
      <c r="E36" s="43">
        <f>+D36-J4-J5-J6</f>
        <v>769100</v>
      </c>
      <c r="G36" s="101"/>
    </row>
    <row r="37" spans="3:13" x14ac:dyDescent="0.35">
      <c r="C37" s="47" t="s">
        <v>33</v>
      </c>
      <c r="D37" s="48">
        <f>D36*13%</f>
        <v>141524.5</v>
      </c>
      <c r="E37">
        <f>+D37-K4-K5-K6</f>
        <v>99974.5</v>
      </c>
      <c r="G37" s="100"/>
      <c r="H37" s="100"/>
    </row>
    <row r="38" spans="3:13" ht="15" thickBot="1" x14ac:dyDescent="0.4">
      <c r="C38" s="47" t="s">
        <v>30</v>
      </c>
      <c r="D38" s="30">
        <f>M32</f>
        <v>1024250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-77124.5</v>
      </c>
      <c r="F39" s="98">
        <f>+P32-D39</f>
        <v>8574.5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-77124.5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83</v>
      </c>
      <c r="D2" s="268"/>
      <c r="E2" s="267">
        <f>DigitaNICA!E2</f>
        <v>92</v>
      </c>
      <c r="F2" s="268"/>
      <c r="G2" s="267" t="str">
        <f>DigitaNICA!G2</f>
        <v/>
      </c>
      <c r="H2" s="268"/>
      <c r="I2" s="267" t="str">
        <f>DigitaNICA!I2</f>
        <v>10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52550</v>
      </c>
      <c r="D4" s="78">
        <f>IF(Vendedor1!$E$5="",0,Vendedor1!$E$5)</f>
        <v>0</v>
      </c>
      <c r="E4" s="189">
        <f>IF(Vendedor1!$C$9="",0,Vendedor1!$C$9)</f>
        <v>36050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2700</v>
      </c>
      <c r="J4" s="78">
        <f>IF(Vendedor1!$E$17="",0,Vendedor1!$E$17)</f>
        <v>100</v>
      </c>
      <c r="L4" s="42">
        <f t="shared" ref="L4:L7" si="0">C4+E4+G4+I4</f>
        <v>91300</v>
      </c>
      <c r="M4" s="41">
        <f>MROUND(L4*Vendedor1!J$10,50)</f>
        <v>11850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70950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2000</v>
      </c>
      <c r="D5" s="30">
        <f>IF(Vendedor2!$E$5="",0,Vendedor2!$E$5)</f>
        <v>0</v>
      </c>
      <c r="E5" s="180">
        <f>IF(Vendedor2!$C$9="",0,Vendedor2!$C$9)</f>
        <v>2000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5000</v>
      </c>
      <c r="J5" s="30">
        <f>IF(Vendedor2!$E$17="",0,Vendedor2!$E$17)</f>
        <v>500</v>
      </c>
      <c r="L5" s="42">
        <f t="shared" si="0"/>
        <v>9000</v>
      </c>
      <c r="M5" s="41">
        <f>MROUND(L5*Vendedor2!J$10,50)</f>
        <v>1150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-34650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37700</v>
      </c>
      <c r="D8" s="30">
        <f>IF(Vendedor5!$E$5="",0,Vendedor5!$E$5)</f>
        <v>0</v>
      </c>
      <c r="E8" s="180">
        <f>IF(Vendedor5!$C$9="",0,Vendedor5!$C$9)</f>
        <v>30400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46100</v>
      </c>
      <c r="J8" s="30">
        <f>IF(Vendedor5!$E$17="",0,Vendedor5!$E$17)</f>
        <v>150</v>
      </c>
      <c r="L8" s="42">
        <f t="shared" ref="L8" si="4">C8+E8+G8+I8</f>
        <v>114200</v>
      </c>
      <c r="M8" s="41">
        <f>MROUND(L8*Vendedor5!J$12,50)</f>
        <v>13700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87750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35750</v>
      </c>
      <c r="D10" s="30">
        <f>IF(Vendedor7!$E$5="",0,Vendedor7!$E$5)</f>
        <v>0</v>
      </c>
      <c r="E10" s="180">
        <f>IF(Vendedor7!$C$9="",0,Vendedor7!$C$9)</f>
        <v>107750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58350</v>
      </c>
      <c r="J10" s="30">
        <f>IF(Vendedor7!$E$17="",0,Vendedor7!$E$17)</f>
        <v>700</v>
      </c>
      <c r="L10" s="42">
        <f t="shared" si="7"/>
        <v>201850</v>
      </c>
      <c r="M10" s="41">
        <f>MROUND(L10*Vendedor7!J$15,50)</f>
        <v>24200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118150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34800</v>
      </c>
      <c r="D12" s="30">
        <f>IF(Vendedor9!$E$5="",0,Vendedor9!$E$5)</f>
        <v>200</v>
      </c>
      <c r="E12" s="180">
        <f>IF(Vendedor9!$C$9="",0,Vendedor9!$C$9)</f>
        <v>26100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60900</v>
      </c>
      <c r="M12" s="41">
        <f>MROUND(L12*Vendedor9!J$12,50)</f>
        <v>7300</v>
      </c>
      <c r="N12" s="42">
        <f t="shared" si="9"/>
        <v>450</v>
      </c>
      <c r="O12" s="41">
        <f t="shared" si="3"/>
        <v>38250</v>
      </c>
      <c r="P12" s="42">
        <f>Vendedor9!$F$5+Vendedor9!$F$9+Vendedor9!$F$13+Vendedor9!$F$17</f>
        <v>38250</v>
      </c>
      <c r="R12" s="41">
        <f t="shared" si="8"/>
        <v>15350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22200</v>
      </c>
      <c r="D13" s="30">
        <f>IF(Vendedor10!$E$5="",0,Vendedor10!$E$5)</f>
        <v>0</v>
      </c>
      <c r="E13" s="180">
        <f>IF(Vendedor10!$C$9="",0,Vendedor10!$C$9)</f>
        <v>9550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2950</v>
      </c>
      <c r="J13" s="30">
        <f>IF(Vendedor10!$E$17="",0,Vendedor10!$E$17)</f>
        <v>0</v>
      </c>
      <c r="L13" s="42">
        <f t="shared" si="7"/>
        <v>34700</v>
      </c>
      <c r="M13" s="41">
        <f>MROUND(L13*Vendedor10!J$10,50)</f>
        <v>4150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4800</v>
      </c>
      <c r="D16" s="30">
        <f>IF(Vendedor13!$E$5="",0,Vendedor13!$E$5)</f>
        <v>0</v>
      </c>
      <c r="E16" s="180">
        <f>IF(Vendedor13!$C$9="",0,Vendedor13!$C$9)</f>
        <v>7500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15150</v>
      </c>
      <c r="J16" s="30">
        <f>IF(Vendedor13!$E$17="",0,Vendedor13!$E$17)</f>
        <v>0</v>
      </c>
      <c r="L16" s="42">
        <f t="shared" si="7"/>
        <v>27450</v>
      </c>
      <c r="M16" s="41">
        <f>MROUND(L16*Vendedor13!J$12,50)</f>
        <v>3300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24150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189800</v>
      </c>
      <c r="D32" s="44">
        <f t="shared" si="14"/>
        <v>200</v>
      </c>
      <c r="E32" s="43">
        <f t="shared" si="14"/>
        <v>219350</v>
      </c>
      <c r="F32" s="44">
        <f t="shared" si="14"/>
        <v>250</v>
      </c>
      <c r="G32" s="43">
        <f t="shared" si="14"/>
        <v>0</v>
      </c>
      <c r="H32" s="44">
        <f t="shared" si="14"/>
        <v>0</v>
      </c>
      <c r="I32" s="43">
        <f t="shared" si="14"/>
        <v>130250</v>
      </c>
      <c r="J32" s="44">
        <f t="shared" si="14"/>
        <v>1450</v>
      </c>
      <c r="L32" s="45">
        <f>SUM(L4:L31)</f>
        <v>539400</v>
      </c>
      <c r="M32" s="45">
        <f>SUM(M7:M31)</f>
        <v>52650</v>
      </c>
      <c r="N32" s="95">
        <f>SUM(N4:N31)</f>
        <v>1900</v>
      </c>
      <c r="O32" s="46">
        <f>SUM(O4:O31)</f>
        <v>161500</v>
      </c>
      <c r="P32" s="140">
        <f>SUM(P4:P31)</f>
        <v>157750</v>
      </c>
      <c r="R32" s="79">
        <f>SUM(R4:R31)</f>
        <v>312250</v>
      </c>
    </row>
    <row r="33" spans="3:15" x14ac:dyDescent="0.35">
      <c r="D33" s="120">
        <f>+D32*85</f>
        <v>17000</v>
      </c>
      <c r="F33" s="120">
        <f>+F32*85</f>
        <v>21250</v>
      </c>
      <c r="H33" s="120">
        <f>+H32*85</f>
        <v>0</v>
      </c>
      <c r="J33" s="120">
        <f>+J32*85</f>
        <v>123250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539400</v>
      </c>
      <c r="E36" s="43">
        <f>+D36-L4-L5-L6</f>
        <v>439100</v>
      </c>
    </row>
    <row r="37" spans="3:15" x14ac:dyDescent="0.35">
      <c r="C37" s="47" t="s">
        <v>33</v>
      </c>
      <c r="D37" s="48">
        <f>D36*13%</f>
        <v>70122</v>
      </c>
      <c r="E37">
        <f>+D37-M4-M5-M6</f>
        <v>57122</v>
      </c>
    </row>
    <row r="38" spans="3:15" x14ac:dyDescent="0.35">
      <c r="C38" s="47" t="s">
        <v>30</v>
      </c>
      <c r="D38" s="30">
        <f>SUM(O4:O27)</f>
        <v>161500</v>
      </c>
      <c r="G38" s="100"/>
    </row>
    <row r="39" spans="3:15" ht="15" thickBot="1" x14ac:dyDescent="0.4">
      <c r="C39" s="49" t="s">
        <v>4</v>
      </c>
      <c r="D39" s="80">
        <f>+D36-D37-D38</f>
        <v>307778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307778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38 Roja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96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8150</v>
      </c>
      <c r="D10" s="30">
        <f>IF(Vendedor7!$E$8="",0,Vendedor7!$E$8)</f>
        <v>0</v>
      </c>
      <c r="E10" s="180">
        <f>IF(Vendedor7!$C$12="",0,Vendedor7!$C$12)</f>
        <v>13700</v>
      </c>
      <c r="F10" s="30">
        <f>IF(Vendedor7!$E$12="",0,Vendedor7!$E$12)</f>
        <v>0</v>
      </c>
      <c r="G10" s="180">
        <f>IF(Vendedor7!$C$16="",0,Vendedor7!$C$16)</f>
        <v>13250</v>
      </c>
      <c r="H10" s="30">
        <f>IF(Vendedor7!$E$16="",0,Vendedor7!$E$16)</f>
        <v>0</v>
      </c>
      <c r="J10" s="42">
        <f t="shared" si="1"/>
        <v>35100</v>
      </c>
      <c r="K10" s="41">
        <f>J10*Vendedor7!J$16</f>
        <v>3510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31590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0</v>
      </c>
      <c r="K12" s="41">
        <f>J12*Vendedor9!J$13</f>
        <v>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9150</v>
      </c>
      <c r="D33" s="44">
        <f>IF(PREMIOS!E8&lt;&gt;0,SUM(D4:D32),0)</f>
        <v>0</v>
      </c>
      <c r="E33" s="43">
        <f>SUM(E4:E32)</f>
        <v>13700</v>
      </c>
      <c r="F33" s="44">
        <f>IF(PREMIOS!E12&lt;&gt;0,SUM(F4:F32),0)</f>
        <v>0</v>
      </c>
      <c r="G33" s="43">
        <f>SUM(G4:G32)</f>
        <v>13250</v>
      </c>
      <c r="H33" s="44">
        <f>IF(PREMIOS!E16&lt;&gt;0,SUM(H4:H32),0)</f>
        <v>0</v>
      </c>
      <c r="J33" s="45">
        <f>SUM(J4:J32)</f>
        <v>36100</v>
      </c>
      <c r="K33" s="45">
        <f>SUM(K7:K32)</f>
        <v>3610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32490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36100</v>
      </c>
      <c r="E37" s="43">
        <f>+D37-J4-J5-J6</f>
        <v>36100</v>
      </c>
      <c r="F37" s="275"/>
      <c r="G37" s="275"/>
    </row>
    <row r="38" spans="3:17" ht="15" thickBot="1" x14ac:dyDescent="0.4">
      <c r="C38" s="47" t="s">
        <v>33</v>
      </c>
      <c r="D38" s="30">
        <f>D37*10%</f>
        <v>3610</v>
      </c>
      <c r="E38" s="43">
        <f>+D38-K4-K5-K6</f>
        <v>3610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32490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32490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47</v>
      </c>
      <c r="D2" s="268"/>
      <c r="E2" s="267">
        <f>DigitaPRIMERA!E2</f>
        <v>44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8900</v>
      </c>
      <c r="D4" s="78">
        <f>IF(Vendedor1!$E$19="",0,Vendedor1!$E$19)</f>
        <v>0</v>
      </c>
      <c r="E4" s="189">
        <f>IF(Vendedor1!$C$20="",0,Vendedor1!$C$20)</f>
        <v>1900</v>
      </c>
      <c r="F4" s="78">
        <f>IF(Vendedor1!$E$20="",0,Vendedor1!$E$20)</f>
        <v>200</v>
      </c>
      <c r="H4" s="42">
        <f>+C4+E4</f>
        <v>10800</v>
      </c>
      <c r="I4" s="41">
        <f>MROUND(H4*Vendedor1!J$9,50)</f>
        <v>1400</v>
      </c>
      <c r="J4" s="42">
        <f>+D4+F4</f>
        <v>200</v>
      </c>
      <c r="K4" s="42">
        <f>+J4*85</f>
        <v>17000</v>
      </c>
      <c r="L4" s="42">
        <f>Vendedor1!$F$19+Vendedor1!$F$20</f>
        <v>16000</v>
      </c>
      <c r="N4" s="42">
        <f t="shared" ref="N4:N31" si="0">+H4-I4-L4</f>
        <v>-6600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3800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13950</v>
      </c>
      <c r="D8" s="30">
        <f>IF(Vendedor5!$E$19="",0,Vendedor5!$E$19)</f>
        <v>0</v>
      </c>
      <c r="E8" s="180">
        <f>IF(Vendedor5!$C$20="",0,Vendedor5!$C$20)</f>
        <v>12900</v>
      </c>
      <c r="F8" s="30">
        <f>IF(Vendedor5!$E$20="",0,Vendedor5!$E$20)</f>
        <v>0</v>
      </c>
      <c r="H8" s="133">
        <f t="shared" si="1"/>
        <v>26850</v>
      </c>
      <c r="I8" s="148">
        <f>MROUND(H8*Vendedor5!J$11,50)</f>
        <v>3200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23650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19150</v>
      </c>
      <c r="D10" s="30">
        <f>IF(Vendedor7!$E$19="",0,Vendedor7!$E$19)</f>
        <v>500</v>
      </c>
      <c r="E10" s="180">
        <f>IF(Vendedor7!$C$20="",0,Vendedor7!$C$20)</f>
        <v>22450</v>
      </c>
      <c r="F10" s="30">
        <f>IF(Vendedor7!$E$20="",0,Vendedor7!$E$20)</f>
        <v>300</v>
      </c>
      <c r="H10" s="42">
        <f t="shared" si="1"/>
        <v>41600</v>
      </c>
      <c r="I10" s="41">
        <f>MROUND(H10*Vendedor7!J$14,50)</f>
        <v>5000</v>
      </c>
      <c r="J10" s="42">
        <f t="shared" si="2"/>
        <v>800</v>
      </c>
      <c r="K10" s="42">
        <f t="shared" si="3"/>
        <v>68000</v>
      </c>
      <c r="L10" s="42">
        <f>Vendedor7!$F$19+Vendedor7!$F$20</f>
        <v>68000</v>
      </c>
      <c r="N10" s="42">
        <f t="shared" si="0"/>
        <v>-31400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38200</v>
      </c>
      <c r="D12" s="30">
        <f>IF(Vendedor9!$E$19="",0,Vendedor9!$E$19)</f>
        <v>400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38200</v>
      </c>
      <c r="I12" s="148">
        <f>MROUND(H12*Vendedor9!J$11,50)</f>
        <v>4600</v>
      </c>
      <c r="J12" s="133">
        <f t="shared" si="2"/>
        <v>400</v>
      </c>
      <c r="K12" s="133">
        <f t="shared" si="3"/>
        <v>34000</v>
      </c>
      <c r="L12" s="133">
        <f>Vendedor9!$F$19+Vendedor9!$F$20</f>
        <v>34000</v>
      </c>
      <c r="M12" s="155"/>
      <c r="N12" s="133">
        <f t="shared" si="0"/>
        <v>-400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80200</v>
      </c>
      <c r="D32" s="44">
        <f>SUM(D4:D31)</f>
        <v>900</v>
      </c>
      <c r="E32" s="43">
        <f>SUM(E4:E31)</f>
        <v>41050</v>
      </c>
      <c r="F32" s="44">
        <f>SUM(F4:F31)</f>
        <v>500</v>
      </c>
      <c r="H32" s="95">
        <f>SUM(H4:H31)</f>
        <v>121250</v>
      </c>
      <c r="I32" s="45">
        <f>SUM(I7:I31)</f>
        <v>12800</v>
      </c>
      <c r="J32" s="95"/>
      <c r="K32" s="95">
        <f>SUM(K4:K31)</f>
        <v>119000</v>
      </c>
      <c r="L32" s="95">
        <f>SUM(L4:L31)</f>
        <v>118000</v>
      </c>
      <c r="N32" s="79">
        <f>SUM(N4:N31)</f>
        <v>-11450</v>
      </c>
    </row>
    <row r="33" spans="3:6" x14ac:dyDescent="0.35">
      <c r="D33" s="99">
        <f>+D32*85</f>
        <v>76500</v>
      </c>
      <c r="F33" s="99">
        <f>+F32*85</f>
        <v>42500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121250</v>
      </c>
      <c r="E36" s="43">
        <f>+D36-H4-H5-H6</f>
        <v>106650</v>
      </c>
    </row>
    <row r="37" spans="3:6" x14ac:dyDescent="0.35">
      <c r="C37" s="47" t="s">
        <v>33</v>
      </c>
      <c r="D37" s="48">
        <f>D36*13%</f>
        <v>15762.5</v>
      </c>
      <c r="E37">
        <f>+D37-I4-I5-I6</f>
        <v>13862.5</v>
      </c>
    </row>
    <row r="38" spans="3:6" ht="15" thickBot="1" x14ac:dyDescent="0.4">
      <c r="C38" s="47" t="s">
        <v>30</v>
      </c>
      <c r="D38" s="30">
        <f>SUM(K4:K27)</f>
        <v>119000</v>
      </c>
    </row>
    <row r="39" spans="3:6" ht="15" thickBot="1" x14ac:dyDescent="0.4">
      <c r="C39" s="49" t="s">
        <v>4</v>
      </c>
      <c r="D39" s="80">
        <f>+D36-D37-D38</f>
        <v>-13512.5</v>
      </c>
      <c r="F39" s="98">
        <f>+N32-D39</f>
        <v>2062.5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-13512.5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00</v>
      </c>
      <c r="D2" s="268"/>
      <c r="E2" s="267">
        <f>DigitaHONDURAS!E2</f>
        <v>49</v>
      </c>
      <c r="F2" s="268"/>
      <c r="G2" s="267" t="str">
        <f>DigitaHONDURAS!G2</f>
        <v>04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3200</v>
      </c>
      <c r="D10" s="30">
        <f>IF(Vendedor7!$E$21="",0,Vendedor7!$E$21)</f>
        <v>0</v>
      </c>
      <c r="E10" s="180">
        <f>IF(Vendedor7!$C$22="",0,Vendedor7!$C$22)</f>
        <v>2100</v>
      </c>
      <c r="F10" s="30">
        <f>IF(Vendedor7!$E$22="",0,Vendedor7!$E$22)</f>
        <v>0</v>
      </c>
      <c r="G10" s="180">
        <f>IF(Vendedor7!$C$23="",0,Vendedor7!$C$23)</f>
        <v>13800</v>
      </c>
      <c r="H10" s="30">
        <f>IF(Vendedor7!$E$23="",0,Vendedor7!$E$23)</f>
        <v>100</v>
      </c>
      <c r="J10" s="42">
        <f t="shared" si="0"/>
        <v>19100</v>
      </c>
      <c r="K10" s="41">
        <f>MROUND(J10*Vendedor7!J$14,50)</f>
        <v>2300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8300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3200</v>
      </c>
      <c r="D32" s="44">
        <f t="shared" si="8"/>
        <v>0</v>
      </c>
      <c r="E32" s="43">
        <f t="shared" si="8"/>
        <v>2100</v>
      </c>
      <c r="F32" s="44">
        <f t="shared" si="8"/>
        <v>0</v>
      </c>
      <c r="G32" s="43">
        <f t="shared" si="8"/>
        <v>13800</v>
      </c>
      <c r="H32" s="44">
        <f t="shared" si="8"/>
        <v>100</v>
      </c>
      <c r="J32" s="95">
        <f>SUM(J4:J31)</f>
        <v>19100</v>
      </c>
      <c r="K32" s="45">
        <f>SUM(K7:K31)</f>
        <v>2300</v>
      </c>
      <c r="L32" s="95"/>
      <c r="M32" s="95">
        <f>SUM(M4:M31)</f>
        <v>8500</v>
      </c>
      <c r="N32" s="95">
        <f>SUM(N4:N31)</f>
        <v>8500</v>
      </c>
      <c r="P32" s="79">
        <f>SUM(P4:P31)</f>
        <v>8300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19100</v>
      </c>
      <c r="E36" s="43">
        <f>+D36-J4-J5-J6</f>
        <v>19100</v>
      </c>
    </row>
    <row r="37" spans="3:8" x14ac:dyDescent="0.35">
      <c r="C37" s="47" t="s">
        <v>33</v>
      </c>
      <c r="D37" s="48">
        <f>D36*13%</f>
        <v>2483</v>
      </c>
      <c r="E37">
        <f>+D37-K4-K5-K6</f>
        <v>2483</v>
      </c>
    </row>
    <row r="38" spans="3:8" ht="15" thickBot="1" x14ac:dyDescent="0.4">
      <c r="C38" s="47" t="s">
        <v>30</v>
      </c>
      <c r="D38" s="30">
        <f>SUM(M4:M27)</f>
        <v>8500</v>
      </c>
      <c r="G38" s="100"/>
    </row>
    <row r="39" spans="3:8" ht="15" thickBot="1" x14ac:dyDescent="0.4">
      <c r="C39" s="49" t="s">
        <v>4</v>
      </c>
      <c r="D39" s="80">
        <f>+D36-D37-D38</f>
        <v>8117</v>
      </c>
      <c r="F39" s="98">
        <f>+P32-D39</f>
        <v>183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8117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77</v>
      </c>
      <c r="D2" s="268"/>
      <c r="E2" s="267">
        <f>DigitaDOMINICANA!E2</f>
        <v>74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47000</v>
      </c>
      <c r="D10" s="30">
        <f>IF(Vendedor7!$E$24="",0,Vendedor7!$E$24)</f>
        <v>1500</v>
      </c>
      <c r="E10" s="180">
        <f>IF(Vendedor7!$C$25="",0,Vendedor7!$C$25)</f>
        <v>57000</v>
      </c>
      <c r="F10" s="30">
        <f>IF(Vendedor7!$E$25="",0,Vendedor7!$E$25)</f>
        <v>0</v>
      </c>
      <c r="H10" s="42">
        <f t="shared" si="1"/>
        <v>104000</v>
      </c>
      <c r="I10" s="41">
        <f>MROUND(H10*Vendedor7!J$14,50)</f>
        <v>12500</v>
      </c>
      <c r="J10" s="42">
        <f t="shared" si="2"/>
        <v>1500</v>
      </c>
      <c r="K10" s="42">
        <f t="shared" si="3"/>
        <v>127500</v>
      </c>
      <c r="L10" s="42">
        <f>Vendedor7!$F$24+Vendedor7!$F$25</f>
        <v>127500</v>
      </c>
      <c r="N10" s="42">
        <f t="shared" si="0"/>
        <v>-36000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47000</v>
      </c>
      <c r="D32" s="44">
        <f>SUM(D4:D31)</f>
        <v>1500</v>
      </c>
      <c r="E32" s="43">
        <f>SUM(E4:E31)</f>
        <v>57000</v>
      </c>
      <c r="F32" s="44">
        <f>SUM(F4:F31)</f>
        <v>0</v>
      </c>
      <c r="H32" s="95">
        <f>SUM(H4:H31)</f>
        <v>104000</v>
      </c>
      <c r="I32" s="45">
        <f>SUM(I7:I31)</f>
        <v>12500</v>
      </c>
      <c r="J32" s="95"/>
      <c r="K32" s="95">
        <f>SUM(K4:K31)</f>
        <v>127500</v>
      </c>
      <c r="L32" s="95">
        <f>SUM(L4:L31)</f>
        <v>127500</v>
      </c>
      <c r="N32" s="79">
        <f>SUM(N4:N31)</f>
        <v>-36000</v>
      </c>
    </row>
    <row r="33" spans="3:6" x14ac:dyDescent="0.35">
      <c r="D33" s="99">
        <f>+D32*85</f>
        <v>127500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104000</v>
      </c>
      <c r="E36" s="43">
        <f>+D36-H4-H5-H6</f>
        <v>104000</v>
      </c>
    </row>
    <row r="37" spans="3:6" x14ac:dyDescent="0.35">
      <c r="C37" s="47" t="s">
        <v>33</v>
      </c>
      <c r="D37" s="48">
        <f>D36*13%</f>
        <v>13520</v>
      </c>
      <c r="E37">
        <f>+D37-I4-I5-I6</f>
        <v>13520</v>
      </c>
    </row>
    <row r="38" spans="3:6" ht="15" thickBot="1" x14ac:dyDescent="0.4">
      <c r="C38" s="47" t="s">
        <v>30</v>
      </c>
      <c r="D38" s="30">
        <f>SUM(K4:K27)</f>
        <v>127500</v>
      </c>
    </row>
    <row r="39" spans="3:6" ht="15" thickBot="1" x14ac:dyDescent="0.4">
      <c r="C39" s="49" t="s">
        <v>4</v>
      </c>
      <c r="D39" s="80">
        <f>+D36-D37-D38</f>
        <v>-37020</v>
      </c>
      <c r="F39" s="98">
        <f>+N32-D39</f>
        <v>1020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-37020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439100</v>
      </c>
      <c r="C4" s="157">
        <f>HojaNICA!M32</f>
        <v>52650</v>
      </c>
      <c r="D4" s="150">
        <f>HojaNICA!E37</f>
        <v>57122</v>
      </c>
      <c r="E4" s="150">
        <f>HojaNICA!P32</f>
        <v>157750</v>
      </c>
      <c r="F4" s="150">
        <f>HojaNICA!O32</f>
        <v>161500</v>
      </c>
      <c r="G4" s="151">
        <f t="shared" ref="G4:G10" si="0">+D4-C4+F4-E4</f>
        <v>8222</v>
      </c>
      <c r="H4" s="21"/>
      <c r="I4" s="182"/>
    </row>
    <row r="5" spans="1:9" x14ac:dyDescent="0.35">
      <c r="A5" s="28" t="s">
        <v>19</v>
      </c>
      <c r="B5" s="156">
        <f>HojaTICA!$E$36</f>
        <v>769100</v>
      </c>
      <c r="C5" s="157">
        <f>HojaTICA!K32</f>
        <v>94400</v>
      </c>
      <c r="D5" s="150">
        <f>HojaTICA!E37</f>
        <v>99974.5</v>
      </c>
      <c r="E5" s="150">
        <f>HojaTICA!N32</f>
        <v>1021250</v>
      </c>
      <c r="F5" s="150">
        <f>HojaTICA!D38</f>
        <v>1024250</v>
      </c>
      <c r="G5" s="151">
        <f t="shared" si="0"/>
        <v>8574.5</v>
      </c>
      <c r="H5" s="21"/>
      <c r="I5" s="182"/>
    </row>
    <row r="6" spans="1:9" x14ac:dyDescent="0.35">
      <c r="A6" s="28" t="s">
        <v>125</v>
      </c>
      <c r="B6" s="156">
        <f>HojaREVENTADO!$E$37</f>
        <v>36100</v>
      </c>
      <c r="C6" s="157">
        <f>HojaREVENTADO!K33</f>
        <v>3610</v>
      </c>
      <c r="D6" s="150">
        <f>HojaREVENTADO!E38</f>
        <v>3610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106650</v>
      </c>
      <c r="C7" s="157">
        <f>HojaPrimera!I32</f>
        <v>12800</v>
      </c>
      <c r="D7" s="150">
        <f>HojaPrimera!E37</f>
        <v>13862.5</v>
      </c>
      <c r="E7" s="150">
        <f>HojaPrimera!L32</f>
        <v>118000</v>
      </c>
      <c r="F7" s="150">
        <f>HojaPrimera!K32</f>
        <v>119000</v>
      </c>
      <c r="G7" s="151">
        <f t="shared" si="0"/>
        <v>2062.5</v>
      </c>
      <c r="H7" s="21"/>
      <c r="I7" s="21"/>
    </row>
    <row r="8" spans="1:9" x14ac:dyDescent="0.35">
      <c r="A8" s="28" t="s">
        <v>104</v>
      </c>
      <c r="B8" s="156">
        <f>HojaHonduras!$E$36</f>
        <v>19100</v>
      </c>
      <c r="C8" s="157">
        <f>HojaHonduras!K32</f>
        <v>2300</v>
      </c>
      <c r="D8" s="150">
        <f>HojaHonduras!E37</f>
        <v>2483</v>
      </c>
      <c r="E8" s="150">
        <f>HojaHonduras!N32</f>
        <v>8500</v>
      </c>
      <c r="F8" s="150">
        <f>HojaHonduras!M32</f>
        <v>8500</v>
      </c>
      <c r="G8" s="151">
        <f t="shared" si="0"/>
        <v>183</v>
      </c>
      <c r="H8" s="21"/>
      <c r="I8" s="21"/>
    </row>
    <row r="9" spans="1:9" x14ac:dyDescent="0.35">
      <c r="A9" s="28" t="s">
        <v>20</v>
      </c>
      <c r="B9" s="156">
        <f>HojaDominicana!$E$36</f>
        <v>104000</v>
      </c>
      <c r="C9" s="157">
        <f>HojaDominicana!I32</f>
        <v>12500</v>
      </c>
      <c r="D9" s="150">
        <f>HojaDominicana!E37</f>
        <v>13520</v>
      </c>
      <c r="E9" s="150">
        <f>HojaDominicana!L32</f>
        <v>127500</v>
      </c>
      <c r="F9" s="150">
        <f>HojaDominicana!K32</f>
        <v>127500</v>
      </c>
      <c r="G9" s="151">
        <f t="shared" si="0"/>
        <v>1020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1474050</v>
      </c>
      <c r="C11" s="175">
        <f>SUM(C4:C10)</f>
        <v>178260</v>
      </c>
      <c r="D11" s="175">
        <f t="shared" ref="D11:F11" si="1">SUM(D4:D10)</f>
        <v>190572</v>
      </c>
      <c r="E11" s="175">
        <f t="shared" si="1"/>
        <v>1433000</v>
      </c>
      <c r="F11" s="175">
        <f t="shared" si="1"/>
        <v>1440750</v>
      </c>
      <c r="G11" s="176">
        <f>SUM(G4:G10)</f>
        <v>20062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-14938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299150</v>
      </c>
      <c r="E16" s="157">
        <f>+Vendedor1!D21</f>
        <v>38889.5</v>
      </c>
      <c r="F16" s="158">
        <f>IF(D16&lt;&gt;0,15000,0)</f>
        <v>15000</v>
      </c>
      <c r="G16" s="151">
        <f>+E16-F16</f>
        <v>23889.5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135300</v>
      </c>
      <c r="E17" s="157">
        <f>+Vendedor2!D21</f>
        <v>17589</v>
      </c>
      <c r="F17" s="158">
        <f>IF(D17&lt;&gt;0,15000,0)</f>
        <v>15000</v>
      </c>
      <c r="G17" s="151">
        <f>+E17-F17</f>
        <v>2589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434450</v>
      </c>
      <c r="E19" s="159">
        <f>SUM(E16:E18)</f>
        <v>56478.5</v>
      </c>
      <c r="F19" s="160">
        <f>SUM(F16:F18)</f>
        <v>30000</v>
      </c>
      <c r="G19" s="161">
        <f>SUM(G16:G18)</f>
        <v>26478.5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11540.5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539400</v>
      </c>
      <c r="C5" s="150">
        <f>HojaNICA!D37</f>
        <v>70122</v>
      </c>
      <c r="D5" s="150">
        <f>HojaNICA!D38</f>
        <v>161500</v>
      </c>
      <c r="E5" s="150"/>
      <c r="F5" s="151">
        <f>+B5-C5-D5+E5</f>
        <v>307778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1088650</v>
      </c>
      <c r="C6" s="150">
        <f>HojaTICA!D37</f>
        <v>141524.5</v>
      </c>
      <c r="D6" s="150">
        <f>HojaTICA!D38</f>
        <v>1024250</v>
      </c>
      <c r="E6" s="150"/>
      <c r="F6" s="151">
        <f t="shared" ref="F6:F11" si="0">+B6-C6-D6+E6</f>
        <v>-77124.5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36100</v>
      </c>
      <c r="C7" s="150">
        <f>HojaREVENTADO!D38</f>
        <v>3610</v>
      </c>
      <c r="D7" s="150">
        <f>HojaREVENTADO!D39</f>
        <v>0</v>
      </c>
      <c r="E7" s="150"/>
      <c r="F7" s="151">
        <f t="shared" si="0"/>
        <v>32490</v>
      </c>
    </row>
    <row r="8" spans="1:15" x14ac:dyDescent="0.35">
      <c r="A8" s="47" t="s">
        <v>96</v>
      </c>
      <c r="B8" s="150">
        <f>HojaPrimera!$D36</f>
        <v>121250</v>
      </c>
      <c r="C8" s="150">
        <f>HojaPrimera!$D37</f>
        <v>15762.5</v>
      </c>
      <c r="D8" s="150">
        <f>HojaPrimera!$D38</f>
        <v>119000</v>
      </c>
      <c r="E8" s="150"/>
      <c r="F8" s="151">
        <f t="shared" si="0"/>
        <v>-13512.5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19100</v>
      </c>
      <c r="C9" s="150">
        <f>HojaHonduras!$D37</f>
        <v>2483</v>
      </c>
      <c r="D9" s="150">
        <f>HojaHonduras!$D38</f>
        <v>8500</v>
      </c>
      <c r="E9" s="150"/>
      <c r="F9" s="151">
        <f t="shared" si="0"/>
        <v>8117</v>
      </c>
      <c r="H9" s="250">
        <f>+K12-K10-H6</f>
        <v>220728</v>
      </c>
    </row>
    <row r="10" spans="1:15" ht="15" thickBot="1" x14ac:dyDescent="0.4">
      <c r="A10" s="47" t="s">
        <v>20</v>
      </c>
      <c r="B10" s="150">
        <f>HojaDominicana!$D36</f>
        <v>104000</v>
      </c>
      <c r="C10" s="150">
        <f>HojaDominicana!$D37</f>
        <v>13520</v>
      </c>
      <c r="D10" s="150">
        <f>HojaDominicana!$D38</f>
        <v>127500</v>
      </c>
      <c r="E10" s="150"/>
      <c r="F10" s="151">
        <f t="shared" si="0"/>
        <v>-37020</v>
      </c>
      <c r="H10" s="154"/>
      <c r="J10" t="s">
        <v>148</v>
      </c>
      <c r="K10" s="252">
        <v>4091035.59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4311763.59</v>
      </c>
    </row>
    <row r="12" spans="1:15" ht="16" thickBot="1" x14ac:dyDescent="0.4">
      <c r="A12" s="144" t="s">
        <v>5</v>
      </c>
      <c r="B12" s="152">
        <f>SUM(B5:B11)</f>
        <v>1908500</v>
      </c>
      <c r="C12" s="152">
        <f>SUM(C5:C11)</f>
        <v>247022</v>
      </c>
      <c r="D12" s="152">
        <f>SUM(D5:D11)</f>
        <v>1440750</v>
      </c>
      <c r="E12" s="152"/>
      <c r="F12" s="255">
        <f>SUM(F5:F11)</f>
        <v>220728</v>
      </c>
      <c r="H12" s="251">
        <f>K12</f>
        <v>4311763.59</v>
      </c>
      <c r="J12" t="s">
        <v>140</v>
      </c>
      <c r="K12" s="254">
        <f>-1628577.48-486829.91+4251579.5+2175591.48</f>
        <v>4311763.59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197050</v>
      </c>
      <c r="K4" s="231">
        <f t="shared" ref="K4" si="0">D7+D11+D15</f>
        <v>25616.5</v>
      </c>
      <c r="L4" s="220">
        <f>F7+F11+F15</f>
        <v>284750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IF(DigitaNICA!C4&lt;&gt;"",DigitaNICA!C4,"")</f>
        <v>52550</v>
      </c>
      <c r="D5" s="42">
        <f>IF(C5="",0,C5*J$10)</f>
        <v>6831.5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45718.5</v>
      </c>
      <c r="I5" s="241" t="s">
        <v>37</v>
      </c>
      <c r="J5" s="221">
        <f>SUM(IF(C5="",0,C5),IF(C9="",0,C9),IF(C13="",0,C13),IF(C17="",0,C17))</f>
        <v>91300</v>
      </c>
      <c r="K5" s="225">
        <f t="shared" ref="K5" si="2">D5+D9+D13+D17</f>
        <v>11869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10800</v>
      </c>
      <c r="K6" s="228">
        <f>D19+D20</f>
        <v>1404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IF(DigitaTICA!C4&lt;&gt;"",DigitaTICA!C4,"")</f>
        <v>98550</v>
      </c>
      <c r="D7" s="42">
        <f>IF(C7="",0,C7*J$9)</f>
        <v>12811.5</v>
      </c>
      <c r="E7" s="29">
        <f>IF(DigitaTICA!D4&lt;&gt;"",DigitaTICA!D4,"")</f>
        <v>3350</v>
      </c>
      <c r="F7" s="42">
        <f>IF(E7="",0,E7*PREMIOS!F7)</f>
        <v>284750</v>
      </c>
      <c r="G7" s="30">
        <f t="shared" si="1"/>
        <v>-199011.5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IF(DigitaNICA!E4&lt;&gt;"",DigitaNICA!E4,"")</f>
        <v>36050</v>
      </c>
      <c r="D9" s="42">
        <f>IF(C9="",0,C9*J$10)</f>
        <v>4686.5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31363.5</v>
      </c>
      <c r="I9" s="76" t="s">
        <v>36</v>
      </c>
      <c r="J9" s="77">
        <v>0.13</v>
      </c>
      <c r="K9" s="78">
        <f>MROUND(D7+D11+D15,50)</f>
        <v>25600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11850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IF(DigitaTICA!E4&lt;&gt;"",DigitaTICA!E4,"")</f>
        <v>46700</v>
      </c>
      <c r="D11" s="42">
        <f>IF(C11="",0,C11*J$9)</f>
        <v>6071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40629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IF(DigitaTICA!G4&lt;&gt;"",DigitaTICA!G4,"")</f>
        <v>51800</v>
      </c>
      <c r="D15" s="42">
        <f>IF(C15="",0,C15*J$9)</f>
        <v>6734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45066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>
        <f>IF(DigitaNICA!I4&lt;&gt;"",DigitaNICA!I4,"")</f>
        <v>2700</v>
      </c>
      <c r="D17" s="42">
        <f>IF(C17="",0,C17*J$10)</f>
        <v>351</v>
      </c>
      <c r="E17" s="29">
        <f>IF(DigitaNICA!J4&lt;&gt;"",DigitaNICA!J4,"")</f>
        <v>100</v>
      </c>
      <c r="F17" s="42">
        <f>IF(E17="",0,E17*PREMIOS!E17)</f>
        <v>8000</v>
      </c>
      <c r="G17" s="30">
        <f t="shared" si="3"/>
        <v>-5651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IF(DigitaPRIMERA!C4&lt;&gt;"",DigitaPRIMERA!C4,"")</f>
        <v>8900</v>
      </c>
      <c r="D19" s="42">
        <f>IF(C19="",0,C19*J$12)</f>
        <v>1157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7743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IF(DigitaPRIMERA!E4&lt;&gt;"",DigitaPRIMERA!E4,"")</f>
        <v>1900</v>
      </c>
      <c r="D20" s="42">
        <f>IF(C20="",0,C20*J$12)</f>
        <v>247</v>
      </c>
      <c r="E20" s="29">
        <f>IF(DigitaPRIMERA!F4&lt;&gt;"",DigitaPRIMERA!F4,"")</f>
        <v>200</v>
      </c>
      <c r="F20" s="42">
        <f>IF(E20="",0,E20*PREMIOS!E19)</f>
        <v>16000</v>
      </c>
      <c r="G20" s="30">
        <f t="shared" ref="G20" si="5">IF(OR(C20="",E20=""),0,C20-D20-F20)</f>
        <v>-14347</v>
      </c>
    </row>
    <row r="21" spans="1:7" ht="15" thickBot="1" x14ac:dyDescent="0.4">
      <c r="A21" s="121" t="s">
        <v>5</v>
      </c>
      <c r="B21" s="128"/>
      <c r="C21" s="122">
        <f>SUM(C5:C20)</f>
        <v>299150</v>
      </c>
      <c r="D21" s="122">
        <f t="shared" ref="D21:G21" si="6">SUM(D5:D20)</f>
        <v>38889.5</v>
      </c>
      <c r="E21" s="122">
        <f t="shared" si="6"/>
        <v>3650</v>
      </c>
      <c r="F21" s="122">
        <f t="shared" si="6"/>
        <v>308750</v>
      </c>
      <c r="G21" s="123">
        <f t="shared" si="6"/>
        <v>-48489.5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122500</v>
      </c>
      <c r="K4" s="231">
        <f t="shared" ref="K4" si="0">D7+D11+D15</f>
        <v>15925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IF(DigitaNICA!C5&lt;&gt;"",DigitaNICA!C5,"")</f>
        <v>2000</v>
      </c>
      <c r="D5" s="42">
        <f>IF(C5="",0,C5*J$10)</f>
        <v>260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1740</v>
      </c>
      <c r="I5" s="241" t="s">
        <v>37</v>
      </c>
      <c r="J5" s="221">
        <f>SUM(IF(C5="",0,C5),IF(C9="",0,C9),IF(C13="",0,C13),IF(C17="",0,C17))</f>
        <v>9000</v>
      </c>
      <c r="K5" s="225">
        <f t="shared" ref="K5" si="2">D5+D9+D13+D17</f>
        <v>1170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3800</v>
      </c>
      <c r="K6" s="228">
        <f>D19+D20</f>
        <v>494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IF(DigitaTICA!C5&lt;&gt;"",DigitaTICA!C5,"")</f>
        <v>50000</v>
      </c>
      <c r="D7" s="42">
        <f>IF(C7="",0,C7*J$9)</f>
        <v>6500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-41500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IF(DigitaNICA!E5&lt;&gt;"",DigitaNICA!E5,"")</f>
        <v>2000</v>
      </c>
      <c r="D9" s="42">
        <f>IF(C9="",0,C9*J$10)</f>
        <v>260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1740</v>
      </c>
      <c r="I9" s="60" t="s">
        <v>36</v>
      </c>
      <c r="J9" s="61">
        <v>0.13</v>
      </c>
      <c r="K9" s="62">
        <f>MROUND(D7+D11+D15,50)</f>
        <v>15950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1150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IF(DigitaTICA!E5&lt;&gt;"",DigitaTICA!E5,"")</f>
        <v>20000</v>
      </c>
      <c r="D11" s="42">
        <f>IF(C11="",0,C11*J$9)</f>
        <v>2600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17400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IF(DigitaTICA!G5&lt;&gt;"",DigitaTICA!G5,"")</f>
        <v>52500</v>
      </c>
      <c r="D15" s="42">
        <f>IF(C15="",0,C15*J$9)</f>
        <v>6825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45675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>
        <f>IF(DigitaNICA!I5&lt;&gt;"",DigitaNICA!I5,"")</f>
        <v>5000</v>
      </c>
      <c r="D17" s="42">
        <f>IF(C17="",0,C17*J$10)</f>
        <v>650</v>
      </c>
      <c r="E17" s="29">
        <f>IF(DigitaNICA!J5&lt;&gt;"",DigitaNICA!J5,"")</f>
        <v>500</v>
      </c>
      <c r="F17" s="42">
        <f>IF(E17="",0,E17*PREMIOS!E17)</f>
        <v>40000</v>
      </c>
      <c r="G17" s="30">
        <f t="shared" si="3"/>
        <v>-35650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IF(DigitaPRIMERA!E5&lt;&gt;"",DigitaPRIMERA!E5,"")</f>
        <v>3800</v>
      </c>
      <c r="D20" s="42">
        <f>IF(C20="",0,C20*J$12)</f>
        <v>494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3306</v>
      </c>
    </row>
    <row r="21" spans="1:7" ht="15" thickBot="1" x14ac:dyDescent="0.4">
      <c r="A21" s="67" t="s">
        <v>5</v>
      </c>
      <c r="B21" s="127"/>
      <c r="C21" s="68">
        <f>SUM(C5:C20)</f>
        <v>135300</v>
      </c>
      <c r="D21" s="68">
        <f t="shared" ref="D21:G21" si="4">SUM(D5:D20)</f>
        <v>17589</v>
      </c>
      <c r="E21" s="68">
        <f t="shared" si="4"/>
        <v>1500</v>
      </c>
      <c r="F21" s="68">
        <f t="shared" si="4"/>
        <v>125000</v>
      </c>
      <c r="G21" s="88">
        <f t="shared" si="4"/>
        <v>-7289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128950</v>
      </c>
      <c r="K4" s="231">
        <f t="shared" ref="K4" si="0">D7+D11+D15</f>
        <v>15474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IF(DigitaNICA!C8&lt;&gt;"",DigitaNICA!C8,"")</f>
        <v>37700</v>
      </c>
      <c r="D5" s="42">
        <f>IF(C5="",0,C5*J$12)</f>
        <v>4524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33176</v>
      </c>
      <c r="I5" s="241" t="s">
        <v>37</v>
      </c>
      <c r="J5" s="221">
        <f>SUM(IF(C5="",0,C5),IF(C9="",0,C9),IF(C13="",0,C13),IF(C17="",0,C17))</f>
        <v>114200</v>
      </c>
      <c r="K5" s="225">
        <f t="shared" ref="K5" si="2">D5+D9+D13+D17</f>
        <v>13704</v>
      </c>
      <c r="L5" s="222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IF(DigitaTICA!C8&lt;&gt;"",DigitaTICA!C8,"")</f>
        <v>50800</v>
      </c>
      <c r="D7" s="42">
        <f>IF(C7="",0,C7*J$11)</f>
        <v>6096</v>
      </c>
      <c r="E7" s="29">
        <f>IF(DigitaTICA!D8&lt;&gt;"",DigitaTICA!D8,"")</f>
        <v>1100</v>
      </c>
      <c r="F7" s="42">
        <f>IF(E7="",0,E7*PREMIOS!F7)</f>
        <v>93500</v>
      </c>
      <c r="G7" s="30">
        <f t="shared" si="1"/>
        <v>-48796</v>
      </c>
      <c r="I7" s="242" t="s">
        <v>96</v>
      </c>
      <c r="J7" s="224">
        <f>SUM(IF(C19="",0,C19),IF(C20="",0,C20))</f>
        <v>26850</v>
      </c>
      <c r="K7" s="228">
        <f>+D19+D20</f>
        <v>3222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IF(DigitaNICA!E8&lt;&gt;"",DigitaNICA!E8,"")</f>
        <v>30400</v>
      </c>
      <c r="D9" s="42">
        <f>IF(C9="",0,C9*J$12)</f>
        <v>3648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26752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IF(DigitaTICA!E8&lt;&gt;"",DigitaTICA!E8,"")</f>
        <v>30000</v>
      </c>
      <c r="D11" s="42">
        <f>IF(C11="",0,C11*J$11)</f>
        <v>3600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26400</v>
      </c>
      <c r="I11" s="60" t="s">
        <v>36</v>
      </c>
      <c r="J11" s="61">
        <v>0.12</v>
      </c>
      <c r="K11" s="62">
        <f>MROUND(D7+D11+D15,50)</f>
        <v>15450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3200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IF(DigitaTICA!G8&lt;&gt;"",DigitaTICA!G8,"")</f>
        <v>48150</v>
      </c>
      <c r="D15" s="42">
        <f>IF(C15="",0,C15*J$11)</f>
        <v>5778</v>
      </c>
      <c r="E15" s="29">
        <f>IF(DigitaTICA!H8&lt;&gt;"",DigitaTICA!H8,"")</f>
        <v>850</v>
      </c>
      <c r="F15" s="42">
        <f>IF(E15="",0,E15*PREMIOS!F15)</f>
        <v>72250</v>
      </c>
      <c r="G15" s="30">
        <f t="shared" si="4"/>
        <v>-29878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>
        <f>IF(DigitaNICA!I8&lt;&gt;"",DigitaNICA!I8,"")</f>
        <v>46100</v>
      </c>
      <c r="D17" s="42">
        <f>IF(C17="",0,C17*J$12)</f>
        <v>5532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28568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IF(DigitaPRIMERA!C8&lt;&gt;"",DigitaPRIMERA!C8,"")</f>
        <v>13950</v>
      </c>
      <c r="D19" s="42">
        <f>IF(C19="",0,C19*J$14)</f>
        <v>1674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12276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>
        <f>IF(DigitaPRIMERA!E8&lt;&gt;"",DigitaPRIMERA!E8,"")</f>
        <v>12900</v>
      </c>
      <c r="D20" s="42">
        <f>IF(C20="",0,C20*J$14)</f>
        <v>1548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11352</v>
      </c>
    </row>
    <row r="21" spans="1:7" ht="15" thickBot="1" x14ac:dyDescent="0.4">
      <c r="A21" s="121" t="s">
        <v>5</v>
      </c>
      <c r="B21" s="128"/>
      <c r="C21" s="122">
        <f>SUM(C5:C20)</f>
        <v>270000</v>
      </c>
      <c r="D21" s="122">
        <f t="shared" ref="D21:G21" si="5">SUM(D5:D20)</f>
        <v>32400</v>
      </c>
      <c r="E21" s="122">
        <f t="shared" si="5"/>
        <v>2100</v>
      </c>
      <c r="F21" s="122">
        <f t="shared" si="5"/>
        <v>177750</v>
      </c>
      <c r="G21" s="123">
        <f t="shared" si="5"/>
        <v>59850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322700</v>
      </c>
      <c r="K4" s="231">
        <f t="shared" ref="K4" si="0">D7+D11+D15</f>
        <v>38724</v>
      </c>
      <c r="L4" s="220">
        <f>F7+F11+F15</f>
        <v>289000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IF(DigitaNICA!C10&lt;&gt;"",DigitaNICA!C10,"")</f>
        <v>35750</v>
      </c>
      <c r="D5" s="42">
        <f>IF(C5="",0,C5*J$15)</f>
        <v>4290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31460</v>
      </c>
      <c r="I5" s="217" t="s">
        <v>37</v>
      </c>
      <c r="J5" s="221">
        <f>SUM(IF(C5="",0,C5),IF(C9="",0,C9),IF(C13="",0,C13),IF(C17="",0,C17))</f>
        <v>201850</v>
      </c>
      <c r="K5" s="225">
        <f t="shared" ref="K5" si="2">D5+D9+D13+D17</f>
        <v>24222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35100</v>
      </c>
      <c r="K6" s="226">
        <f t="shared" ref="K6" si="3">+D8+D12+D16</f>
        <v>3510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IF(DigitaTICA!C10&lt;&gt;"",DigitaTICA!C10,"")</f>
        <v>104500</v>
      </c>
      <c r="D7" s="42">
        <f>IF(C7="",0,C7*J$14)</f>
        <v>12540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62210</v>
      </c>
      <c r="I7" s="217" t="s">
        <v>96</v>
      </c>
      <c r="J7" s="223">
        <f>SUM(IF(C19="",0,C19),IF(C20="",0,C20))</f>
        <v>41600</v>
      </c>
      <c r="K7" s="226">
        <f>+D19+D20</f>
        <v>4992</v>
      </c>
      <c r="L7" s="227">
        <f>+F19+F20</f>
        <v>68000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8150</v>
      </c>
      <c r="D8" s="42">
        <f>IF(C8="",0,C8*J$16)</f>
        <v>815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7335</v>
      </c>
      <c r="I8" s="217" t="s">
        <v>104</v>
      </c>
      <c r="J8" s="223">
        <f>SUM(IF(C21="",0,C21),IF(C22="",0,C22),IF(C23="",0,C23))</f>
        <v>19100</v>
      </c>
      <c r="K8" s="226">
        <f t="shared" ref="K8" si="4">D21+D22+D23</f>
        <v>2292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IF(DigitaNICA!E10&lt;&gt;"",DigitaNICA!E10,"")</f>
        <v>107750</v>
      </c>
      <c r="D9" s="42">
        <f>IF(C9="",0,C9*J$15)</f>
        <v>12930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94820</v>
      </c>
      <c r="I9" s="217" t="s">
        <v>20</v>
      </c>
      <c r="J9" s="223">
        <f>SUM(IF(C24="",0,C24),IF(C25="",0,C25))</f>
        <v>104000</v>
      </c>
      <c r="K9" s="226">
        <f t="shared" ref="K9" si="5">+D24+D25</f>
        <v>12480</v>
      </c>
      <c r="L9" s="227">
        <f>F24+F25</f>
        <v>127500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IF(DigitaTICA!E10&lt;&gt;"",DigitaTICA!E10,"")</f>
        <v>98250</v>
      </c>
      <c r="D11" s="42">
        <f>IF(C11="",0,C11*J$14)</f>
        <v>11790</v>
      </c>
      <c r="E11" s="29">
        <f>IF(DigitaTICA!F10&lt;&gt;"",DigitaTICA!F10,"")</f>
        <v>2050</v>
      </c>
      <c r="F11" s="42">
        <f>IF(E11="",0,E11*PREMIOS!F11)</f>
        <v>174250</v>
      </c>
      <c r="G11" s="30">
        <f t="shared" si="1"/>
        <v>-87790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13700</v>
      </c>
      <c r="D12" s="42">
        <f>IF(C12="",0,C12*J$16)</f>
        <v>1370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12330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38700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IF(DigitaTICA!G10&lt;&gt;"",DigitaTICA!G10,"")</f>
        <v>119950</v>
      </c>
      <c r="D15" s="42">
        <f>IF(C15="",0,C15*J$14)</f>
        <v>14394</v>
      </c>
      <c r="E15" s="29">
        <f>IF(DigitaTICA!H10&lt;&gt;"",DigitaTICA!H10,"")</f>
        <v>1000</v>
      </c>
      <c r="F15" s="42">
        <f>IF(E15="",0,E15*PREMIOS!F15)</f>
        <v>85000</v>
      </c>
      <c r="G15" s="30">
        <f t="shared" si="6"/>
        <v>20556</v>
      </c>
      <c r="I15" s="63" t="s">
        <v>37</v>
      </c>
      <c r="J15" s="64">
        <v>0.12</v>
      </c>
      <c r="K15" s="30">
        <f>MROUND(D5+D9+D13+D17,50)</f>
        <v>24200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13250</v>
      </c>
      <c r="D16" s="42">
        <f>IF(C16="",0,C16*J$16)</f>
        <v>1325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11925</v>
      </c>
      <c r="I16" s="63" t="s">
        <v>38</v>
      </c>
      <c r="J16" s="64">
        <v>0.1</v>
      </c>
      <c r="K16" s="30">
        <f>MROUND(D6+D8+D10+D12+D14+D16+D18,50)</f>
        <v>3500</v>
      </c>
    </row>
    <row r="17" spans="1:11" x14ac:dyDescent="0.35">
      <c r="A17" s="28" t="s">
        <v>52</v>
      </c>
      <c r="B17" s="132" t="str">
        <f>IF(DigitaNICA!I2&lt;&gt;"",DigitaNICA!I2,"")</f>
        <v>10</v>
      </c>
      <c r="C17" s="29">
        <f>IF(DigitaNICA!I10&lt;&gt;"",DigitaNICA!I10,"")</f>
        <v>58350</v>
      </c>
      <c r="D17" s="42">
        <f>IF(C17="",0,C17*J$15)</f>
        <v>7002</v>
      </c>
      <c r="E17" s="29">
        <f>IF(DigitaNICA!J10&lt;&gt;"",DigitaNICA!J10,"")</f>
        <v>700</v>
      </c>
      <c r="F17" s="42">
        <f>IF(E17="",0,E17*PREMIOS!F17)</f>
        <v>59500</v>
      </c>
      <c r="G17" s="30">
        <f t="shared" si="6"/>
        <v>-8152</v>
      </c>
      <c r="I17" s="63" t="s">
        <v>96</v>
      </c>
      <c r="J17" s="64">
        <v>0.12</v>
      </c>
      <c r="K17" s="30">
        <f>MROUND(D19+D20,50)</f>
        <v>5000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2300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IF(DigitaPRIMERA!$C$10&lt;&gt;"",DigitaPRIMERA!$C$10,"")</f>
        <v>19150</v>
      </c>
      <c r="D19" s="42">
        <f>IF(C19="",0,C19*J$17)</f>
        <v>2298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-25648</v>
      </c>
      <c r="I19" s="63" t="s">
        <v>20</v>
      </c>
      <c r="J19" s="64">
        <v>0.12</v>
      </c>
      <c r="K19" s="30">
        <f>MROUND(D24+D25,50)</f>
        <v>12500</v>
      </c>
    </row>
    <row r="20" spans="1:11" ht="15" thickBot="1" x14ac:dyDescent="0.4">
      <c r="A20" s="28" t="s">
        <v>98</v>
      </c>
      <c r="B20" s="132">
        <f>IF(DigitaPRIMERA!E2&lt;&gt;"",DigitaPRIMERA!E2,"")</f>
        <v>44</v>
      </c>
      <c r="C20" s="29">
        <f>IF(DigitaPRIMERA!$E$10&lt;&gt;"",DigitaPRIMERA!$E$10,"")</f>
        <v>22450</v>
      </c>
      <c r="D20" s="42">
        <f>IF(C20="",0,C20*J$17)</f>
        <v>2694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-5744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00</v>
      </c>
      <c r="C21" s="29">
        <f>IF(DigitaHONDURAS!$C$10&lt;&gt;"",DigitaHONDURAS!$C$10,"")</f>
        <v>3200</v>
      </c>
      <c r="D21" s="42">
        <f>IF(C21="",0,C21*J$18)</f>
        <v>384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2816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>
        <f>IF(DigitaHONDURAS!$E$10&lt;&gt;"",DigitaHONDURAS!$E$10,"")</f>
        <v>2100</v>
      </c>
      <c r="D22" s="42">
        <f>IF(C22="",0,C22*J$18)</f>
        <v>252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1848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IF(DigitaHONDURAS!$G$10&lt;&gt;"",DigitaHONDURAS!$G$10,"")</f>
        <v>13800</v>
      </c>
      <c r="D23" s="42">
        <f>IF(C23="",0,C23*J$18)</f>
        <v>1656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3644</v>
      </c>
    </row>
    <row r="24" spans="1:11" x14ac:dyDescent="0.35">
      <c r="A24" s="28" t="s">
        <v>107</v>
      </c>
      <c r="B24" s="132">
        <f>IF(DigitaDOMINICANA!C2&lt;&gt;"",DigitaDOMINICANA!C2,"")</f>
        <v>77</v>
      </c>
      <c r="C24" s="29">
        <f>IF(DigitaDOMINICANA!$C$10&lt;&gt;"",DigitaDOMINICANA!$C$10,"")</f>
        <v>47000</v>
      </c>
      <c r="D24" s="42">
        <f>IF(C24="",0,C24*J$19)</f>
        <v>5640</v>
      </c>
      <c r="E24" s="29">
        <f>IF(DigitaDOMINICANA!$D$10&lt;&gt;"",DigitaDOMINICANA!$D$10,"")</f>
        <v>1500</v>
      </c>
      <c r="F24" s="42">
        <f>IF(E24="",0,E24*PREMIOS!F21)</f>
        <v>127500</v>
      </c>
      <c r="G24" s="30">
        <f t="shared" si="8"/>
        <v>-86140</v>
      </c>
    </row>
    <row r="25" spans="1:11" x14ac:dyDescent="0.35">
      <c r="A25" s="28" t="s">
        <v>108</v>
      </c>
      <c r="B25" s="132">
        <f>IF(DigitaDOMINICANA!E2&lt;&gt;"",DigitaDOMINICANA!E2,"")</f>
        <v>74</v>
      </c>
      <c r="C25" s="29">
        <f>IF(DigitaDOMINICANA!$E$10&lt;&gt;"",DigitaDOMINICANA!$E$10,"")</f>
        <v>57000</v>
      </c>
      <c r="D25" s="42">
        <f>IF(C25="",0,C25*J$19)</f>
        <v>6840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50160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724350</v>
      </c>
      <c r="D27" s="68">
        <f t="shared" ref="D27:F27" si="9">SUM(D5:D26)</f>
        <v>86220</v>
      </c>
      <c r="E27" s="68">
        <f t="shared" si="9"/>
        <v>6500</v>
      </c>
      <c r="F27" s="68">
        <f t="shared" si="9"/>
        <v>552500</v>
      </c>
      <c r="G27" s="88">
        <f>SUM(G5:G26)</f>
        <v>85630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2600</v>
      </c>
      <c r="K4" s="231">
        <f t="shared" ref="K4" si="0">D7+D11+D15</f>
        <v>312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IF(DigitaTICA!C11&lt;&gt;"",DigitaTICA!C11,"")</f>
        <v>2600</v>
      </c>
      <c r="D7" s="42">
        <f>IF(C7="",0,C7*J$11)</f>
        <v>312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2288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2600</v>
      </c>
      <c r="D21" s="122">
        <f t="shared" ref="D21:G21" si="5">SUM(D5:D20)</f>
        <v>312</v>
      </c>
      <c r="E21" s="122">
        <f t="shared" si="5"/>
        <v>0</v>
      </c>
      <c r="F21" s="122">
        <f t="shared" si="5"/>
        <v>0</v>
      </c>
      <c r="G21" s="123">
        <f t="shared" si="5"/>
        <v>2288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89450</v>
      </c>
      <c r="K4" s="231">
        <f>D7+D11+D15</f>
        <v>10734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IF(DigitaNICA!C12&lt;&gt;"",DigitaNICA!C12,"")</f>
        <v>34800</v>
      </c>
      <c r="D5" s="42">
        <f>IF(C5="",0,C5*J$12)</f>
        <v>4176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13624</v>
      </c>
      <c r="I5" s="217" t="s">
        <v>37</v>
      </c>
      <c r="J5" s="221">
        <f>SUM(IF(C5="",0,C5),IF(C9="",0,C9),IF(C13="",0,C13),IF(C17="",0,C17))</f>
        <v>60900</v>
      </c>
      <c r="K5" s="225">
        <f t="shared" ref="K5" si="1">D5+D9+D13+D17</f>
        <v>7308</v>
      </c>
      <c r="L5" s="222">
        <f>F5+F9+F13+F17</f>
        <v>38250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0</v>
      </c>
      <c r="K6" s="226">
        <f t="shared" ref="K6" si="2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IF(DigitaTICA!C12&lt;&gt;"",DigitaTICA!C12,"")</f>
        <v>46550</v>
      </c>
      <c r="D7" s="42">
        <f>IF(C7="",0,C7*J$11)</f>
        <v>5586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23964</v>
      </c>
      <c r="I7" s="217" t="s">
        <v>96</v>
      </c>
      <c r="J7" s="223">
        <f>SUM(IF(C19="",0,C19),IF(C20="",0,C20))</f>
        <v>38200</v>
      </c>
      <c r="K7" s="226">
        <f>+D19+D20</f>
        <v>4584</v>
      </c>
      <c r="L7" s="227">
        <f>+F19+F20</f>
        <v>34000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IF(DigitaNICA!E12&lt;&gt;"",DigitaNICA!E12,"")</f>
        <v>26100</v>
      </c>
      <c r="D9" s="42">
        <f>IF(C9="",0,C9*J$12)</f>
        <v>3132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1718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IF(DigitaTICA!E12&lt;&gt;"",DigitaTICA!E12,"")</f>
        <v>26400</v>
      </c>
      <c r="D11" s="42">
        <f>IF(C11="",0,C11*J$11)</f>
        <v>3168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1982</v>
      </c>
      <c r="I11" s="60" t="s">
        <v>36</v>
      </c>
      <c r="J11" s="61">
        <v>0.12</v>
      </c>
      <c r="K11" s="62">
        <f>MROUND(D7+D11+D15,50)</f>
        <v>10750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4600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IF(DigitaTICA!G12&lt;&gt;"",DigitaTICA!G12,"")</f>
        <v>16500</v>
      </c>
      <c r="D15" s="42">
        <f>IF(C15="",0,C15*J$11)</f>
        <v>1980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14520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IF(DigitaPRIMERA!$C$12&lt;&gt;"",DigitaPRIMERA!$C$12,"")</f>
        <v>38200</v>
      </c>
      <c r="D19" s="42">
        <f>IF(C19="",0,C19*J$14)</f>
        <v>4584</v>
      </c>
      <c r="E19" s="29">
        <f>IF(DigitaPRIMERA!$D$12&lt;&gt;"",DigitaPRIMERA!$D$12,"")</f>
        <v>400</v>
      </c>
      <c r="F19" s="42">
        <f>IF(E19="",0,E19*PREMIOS!F19)</f>
        <v>34000</v>
      </c>
      <c r="G19" s="30">
        <f t="shared" si="3"/>
        <v>-384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188550</v>
      </c>
      <c r="D24" s="68">
        <f t="shared" ref="D24:G24" si="4">SUM(D5:D23)</f>
        <v>22626</v>
      </c>
      <c r="E24" s="68">
        <f t="shared" si="4"/>
        <v>1300</v>
      </c>
      <c r="F24" s="68">
        <f t="shared" si="4"/>
        <v>110500</v>
      </c>
      <c r="G24" s="88">
        <f t="shared" si="4"/>
        <v>55424</v>
      </c>
    </row>
    <row r="27" spans="1:7" x14ac:dyDescent="0.35">
      <c r="G27" s="21">
        <v>208289</v>
      </c>
    </row>
    <row r="28" spans="1:7" x14ac:dyDescent="0.35">
      <c r="G28" s="141">
        <f>+G24+G27</f>
        <v>263713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86100</v>
      </c>
      <c r="K4" s="231">
        <f t="shared" ref="K4" si="0">D7+D11+D15</f>
        <v>10332</v>
      </c>
      <c r="L4" s="220">
        <f>F7+F11+F15</f>
        <v>59500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>
        <f>IF(DigitaNICA!C13&lt;&gt;"",DigitaNICA!C13,"")</f>
        <v>22200</v>
      </c>
      <c r="D5" s="42">
        <f>IF(C5="",0,C5*J$10)</f>
        <v>2664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19536</v>
      </c>
      <c r="I5" s="218" t="s">
        <v>37</v>
      </c>
      <c r="J5" s="232">
        <f>SUM(IF(C5="",0,C5),IF(C9="",0,C9),IF(C13="",0,C13),IF(C17="",0,C17))</f>
        <v>34700</v>
      </c>
      <c r="K5" s="233">
        <f t="shared" ref="K5" si="2">D5+D9+D13+D17</f>
        <v>4164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IF(DigitaTICA!C13&lt;&gt;"",DigitaTICA!C13,"")</f>
        <v>45550</v>
      </c>
      <c r="D7" s="42">
        <f>IF(C7="",0,C7*J$9)</f>
        <v>5466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-19416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>
        <f>IF(DigitaNICA!E13&lt;&gt;"",DigitaNICA!E13,"")</f>
        <v>9550</v>
      </c>
      <c r="D9" s="42">
        <f>IF(C9="",0,C9*J$10)</f>
        <v>1146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8404</v>
      </c>
      <c r="I9" s="60" t="s">
        <v>36</v>
      </c>
      <c r="J9" s="61">
        <v>0.12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4150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>
        <f>IF(DigitaTICA!E13&lt;&gt;"",DigitaTICA!E13,"")</f>
        <v>15150</v>
      </c>
      <c r="D11" s="42">
        <f>IF(C11="",0,C11*J$9)</f>
        <v>1818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13332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IF(DigitaTICA!G13&lt;&gt;"",DigitaTICA!G13,"")</f>
        <v>25400</v>
      </c>
      <c r="D15" s="42">
        <f>IF(C15="",0,C15*J$9)</f>
        <v>3048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22352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>
        <f>IF(DigitaNICA!I13&lt;&gt;"",DigitaNICA!I13,"")</f>
        <v>2950</v>
      </c>
      <c r="D17" s="42">
        <f>IF(C17="",0,C17*J$10)</f>
        <v>354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2596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120800</v>
      </c>
      <c r="D19" s="68">
        <f>MROUND(SUM(D5:D18),50)</f>
        <v>14500</v>
      </c>
      <c r="E19" s="68">
        <f>SUM(E5:E18)</f>
        <v>700</v>
      </c>
      <c r="F19" s="68">
        <f>SUM(F5:F18)</f>
        <v>59500</v>
      </c>
      <c r="G19" s="88">
        <f>SUM(G5:G18)</f>
        <v>46804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72150</v>
      </c>
      <c r="K4" s="236">
        <f t="shared" ref="K4" si="0">D7+D11+D15</f>
        <v>10822.5</v>
      </c>
      <c r="L4" s="237">
        <f>F7+F11+F15</f>
        <v>48000</v>
      </c>
    </row>
    <row r="5" spans="1:12" x14ac:dyDescent="0.35">
      <c r="A5" s="28" t="s">
        <v>43</v>
      </c>
      <c r="B5" s="132">
        <f>IF(DigitaNICA!C2&lt;&gt;"",DigitaNICA!C2,"")</f>
        <v>83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>
        <f>IF(DigitaTICA!C14&lt;&gt;"",DigitaTICA!C14,"")</f>
        <v>27600</v>
      </c>
      <c r="D7" s="42">
        <f>IF(C7="",0,C7*J$9)</f>
        <v>4140</v>
      </c>
      <c r="E7" s="29">
        <f>IF(DigitaTICA!D14&lt;&gt;"",DigitaTICA!D14,"")</f>
        <v>600</v>
      </c>
      <c r="F7" s="42">
        <f>IF(E7="",0,E7*PREMIOS!E7)</f>
        <v>48000</v>
      </c>
      <c r="G7" s="30">
        <f t="shared" si="1"/>
        <v>-24540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10800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>
        <f>IF(DigitaTICA!E14&lt;&gt;"",DigitaTICA!E14,"")</f>
        <v>21650</v>
      </c>
      <c r="D11" s="42">
        <f>IF(C11="",0,C11*J$9)</f>
        <v>3247.5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18402.5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IF(DigitaTICA!G14&lt;&gt;"",DigitaTICA!G14,"")</f>
        <v>22900</v>
      </c>
      <c r="D15" s="42">
        <f>IF(C15="",0,C15*J$9)</f>
        <v>3435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19465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72150</v>
      </c>
      <c r="D19" s="68">
        <f>MROUND(SUM(D5:D18),50)</f>
        <v>10800</v>
      </c>
      <c r="E19" s="68">
        <f>SUM(E5:E18)</f>
        <v>600</v>
      </c>
      <c r="F19" s="68">
        <f>SUM(F5:F18)</f>
        <v>48000</v>
      </c>
      <c r="G19" s="88">
        <f>SUM(G5:G18)</f>
        <v>13327.5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67150</v>
      </c>
      <c r="K4" s="231">
        <f>D7+D11+D15</f>
        <v>8058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83</v>
      </c>
      <c r="C5" s="29">
        <f>IF(DigitaNICA!C16&lt;&gt;"",DigitaNICA!C16,"")</f>
        <v>4800</v>
      </c>
      <c r="D5" s="42">
        <f>IF(C5="",0,C5*J$12)</f>
        <v>576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4224</v>
      </c>
      <c r="I5" s="63" t="s">
        <v>37</v>
      </c>
      <c r="J5" s="225">
        <f>SUM(IF(C5="",0,C5),IF(C9="",0,C9),IF(C13="",0,C13),IF(C17="",0,C17))</f>
        <v>27450</v>
      </c>
      <c r="K5" s="225">
        <f t="shared" ref="K5" si="1">D5+D9+D13+D17</f>
        <v>3294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29">
        <f>IF(DigitaTICA!C16&lt;&gt;"",DigitaTICA!C16,"")</f>
        <v>22050</v>
      </c>
      <c r="D7" s="42">
        <f>IF(C7="",0,C7*J$11)</f>
        <v>2646</v>
      </c>
      <c r="E7" s="29">
        <f>IF(DigitaTICA!D16&lt;&gt;"",DigitaTICA!D16,"")</f>
        <v>200</v>
      </c>
      <c r="F7" s="133">
        <f>IF(E7="",0,E7*PREMIOS!F7)</f>
        <v>17000</v>
      </c>
      <c r="G7" s="30">
        <f t="shared" si="0"/>
        <v>2404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92</v>
      </c>
      <c r="C9" s="29">
        <f>IF(DigitaNICA!E16&lt;&gt;"",DigitaNICA!E16,"")</f>
        <v>7500</v>
      </c>
      <c r="D9" s="42">
        <f>IF(C9="",0,C9*J$12)</f>
        <v>900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6600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47</v>
      </c>
      <c r="C11" s="29">
        <f>IF(DigitaTICA!E16&lt;&gt;"",DigitaTICA!E16,"")</f>
        <v>15850</v>
      </c>
      <c r="D11" s="42">
        <f>IF(C11="",0,C11*J$11)</f>
        <v>1902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13948</v>
      </c>
      <c r="I11" s="76" t="s">
        <v>36</v>
      </c>
      <c r="J11" s="77">
        <v>0.12</v>
      </c>
      <c r="K11" s="78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IF(DigitaTICA!G16&lt;&gt;"",DigitaTICA!G16,"")</f>
        <v>29250</v>
      </c>
      <c r="D15" s="42">
        <f>IF(C15="",0,C15*J$11)</f>
        <v>3510</v>
      </c>
      <c r="E15" s="29">
        <f>IF(DigitaTICA!H16&lt;&gt;"",DigitaTICA!H16,"")</f>
        <v>400</v>
      </c>
      <c r="F15" s="133">
        <f>IF(E15="",0,E15*PREMIOS!F15)</f>
        <v>34000</v>
      </c>
      <c r="G15" s="30">
        <f t="shared" si="3"/>
        <v>-8260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>
        <f>IF(DigitaNICA!I16&lt;&gt;"",DigitaNICA!I16,"")</f>
        <v>15150</v>
      </c>
      <c r="D17" s="42">
        <f>IF(C17="",0,C17*J$12)</f>
        <v>1818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13332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95600</v>
      </c>
      <c r="D24" s="122">
        <f t="shared" ref="D24:G24" si="5">SUM(D5:D23)</f>
        <v>11452</v>
      </c>
      <c r="E24" s="122">
        <f t="shared" si="5"/>
        <v>600</v>
      </c>
      <c r="F24" s="122">
        <f t="shared" si="5"/>
        <v>51000</v>
      </c>
      <c r="G24" s="123">
        <f t="shared" si="5"/>
        <v>33148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83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38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92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10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83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38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92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47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10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10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10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38</v>
      </c>
      <c r="D2" s="268"/>
      <c r="E2" s="267">
        <f>IF(PREMIOS!$B11="","",PREMIOS!$B11)</f>
        <v>47</v>
      </c>
      <c r="F2" s="268"/>
      <c r="G2" s="267">
        <f>IF(PREMIOS!$B15="","",PREMIOS!$B15)</f>
        <v>96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98550</v>
      </c>
      <c r="D4" s="78">
        <v>3350</v>
      </c>
      <c r="E4" s="189">
        <v>46700</v>
      </c>
      <c r="F4" s="78">
        <f t="shared" ref="D4:H27" si="0">IF(E4="","",0)</f>
        <v>0</v>
      </c>
      <c r="G4" s="189">
        <v>51800</v>
      </c>
      <c r="H4" s="78">
        <f t="shared" si="0"/>
        <v>0</v>
      </c>
      <c r="J4" s="42">
        <f t="shared" ref="J4:J8" si="1">+C4+E4+G4</f>
        <v>197050</v>
      </c>
      <c r="K4" s="42">
        <f>IF(D4="",0,IF(F4="",D4,IF(H4="",D4+F4,D4+F4+H4)))</f>
        <v>3350</v>
      </c>
    </row>
    <row r="5" spans="1:11" x14ac:dyDescent="0.35">
      <c r="A5" s="47">
        <v>2</v>
      </c>
      <c r="B5" s="178" t="str">
        <f>Vendedor2!$B$2</f>
        <v>PUESTO 2</v>
      </c>
      <c r="C5" s="180">
        <v>50000</v>
      </c>
      <c r="D5" s="30">
        <v>1000</v>
      </c>
      <c r="E5" s="180">
        <v>20000</v>
      </c>
      <c r="F5" s="30">
        <f t="shared" si="0"/>
        <v>0</v>
      </c>
      <c r="G5" s="180">
        <v>52500</v>
      </c>
      <c r="H5" s="30">
        <f t="shared" si="0"/>
        <v>0</v>
      </c>
      <c r="J5" s="42">
        <f t="shared" si="1"/>
        <v>122500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50800</v>
      </c>
      <c r="D8" s="30">
        <v>1100</v>
      </c>
      <c r="E8" s="180">
        <v>30000</v>
      </c>
      <c r="F8" s="30">
        <f t="shared" si="0"/>
        <v>0</v>
      </c>
      <c r="G8" s="180">
        <v>48150</v>
      </c>
      <c r="H8" s="30">
        <v>850</v>
      </c>
      <c r="J8" s="42">
        <f t="shared" si="1"/>
        <v>128950</v>
      </c>
      <c r="K8" s="42">
        <f t="shared" si="2"/>
        <v>1950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26700+77800</f>
        <v>104500</v>
      </c>
      <c r="D10" s="30">
        <f>200+150</f>
        <v>350</v>
      </c>
      <c r="E10" s="180">
        <f>23000+75250</f>
        <v>98250</v>
      </c>
      <c r="F10" s="30">
        <f>750+1300</f>
        <v>2050</v>
      </c>
      <c r="G10" s="180">
        <f>32300+87650</f>
        <v>119950</v>
      </c>
      <c r="H10" s="30">
        <v>1000</v>
      </c>
      <c r="J10" s="42">
        <f t="shared" si="3"/>
        <v>322700</v>
      </c>
      <c r="K10" s="42">
        <f t="shared" si="2"/>
        <v>3400</v>
      </c>
    </row>
    <row r="11" spans="1:11" x14ac:dyDescent="0.35">
      <c r="A11" s="47">
        <v>8</v>
      </c>
      <c r="B11" s="178" t="str">
        <f>Vendedor8!$B$2</f>
        <v>ISA</v>
      </c>
      <c r="C11" s="180">
        <f>600+1500+500</f>
        <v>2600</v>
      </c>
      <c r="D11" s="30">
        <f t="shared" si="0"/>
        <v>0</v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2600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46550</v>
      </c>
      <c r="D12" s="30">
        <v>200</v>
      </c>
      <c r="E12" s="180">
        <v>26400</v>
      </c>
      <c r="F12" s="30">
        <v>250</v>
      </c>
      <c r="G12" s="180">
        <v>16500</v>
      </c>
      <c r="H12" s="30">
        <f t="shared" si="0"/>
        <v>0</v>
      </c>
      <c r="J12" s="42">
        <f t="shared" si="3"/>
        <v>89450</v>
      </c>
      <c r="K12" s="42">
        <f t="shared" si="2"/>
        <v>450</v>
      </c>
    </row>
    <row r="13" spans="1:11" x14ac:dyDescent="0.35">
      <c r="A13" s="47">
        <v>10</v>
      </c>
      <c r="B13" s="178" t="str">
        <f>Vendedor10!$B$2</f>
        <v>MARIALIZ</v>
      </c>
      <c r="C13" s="180">
        <v>45550</v>
      </c>
      <c r="D13" s="30">
        <v>700</v>
      </c>
      <c r="E13" s="180">
        <v>15150</v>
      </c>
      <c r="F13" s="30">
        <f t="shared" si="0"/>
        <v>0</v>
      </c>
      <c r="G13" s="180">
        <v>25400</v>
      </c>
      <c r="H13" s="30">
        <f t="shared" si="0"/>
        <v>0</v>
      </c>
      <c r="J13" s="42">
        <f t="shared" si="3"/>
        <v>86100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27600</v>
      </c>
      <c r="D14" s="30">
        <v>600</v>
      </c>
      <c r="E14" s="180">
        <v>21650</v>
      </c>
      <c r="F14" s="30">
        <f t="shared" si="0"/>
        <v>0</v>
      </c>
      <c r="G14" s="180">
        <v>22900</v>
      </c>
      <c r="H14" s="30">
        <f t="shared" si="0"/>
        <v>0</v>
      </c>
      <c r="J14" s="42">
        <f t="shared" si="3"/>
        <v>72150</v>
      </c>
      <c r="K14" s="42">
        <f t="shared" si="2"/>
        <v>600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22050</v>
      </c>
      <c r="D16" s="30">
        <v>200</v>
      </c>
      <c r="E16" s="180">
        <v>15850</v>
      </c>
      <c r="F16" s="30">
        <f t="shared" si="0"/>
        <v>0</v>
      </c>
      <c r="G16" s="180">
        <v>29250</v>
      </c>
      <c r="H16" s="30">
        <v>400</v>
      </c>
      <c r="J16" s="42">
        <f t="shared" si="3"/>
        <v>67150</v>
      </c>
      <c r="K16" s="42">
        <f t="shared" si="2"/>
        <v>600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448200</v>
      </c>
      <c r="D32" s="44">
        <f t="shared" si="6"/>
        <v>7500</v>
      </c>
      <c r="E32" s="43">
        <f t="shared" si="6"/>
        <v>274000</v>
      </c>
      <c r="F32" s="44">
        <f t="shared" si="6"/>
        <v>2300</v>
      </c>
      <c r="G32" s="43">
        <f t="shared" si="6"/>
        <v>366450</v>
      </c>
      <c r="H32" s="44">
        <f t="shared" si="6"/>
        <v>2250</v>
      </c>
      <c r="J32" s="95">
        <f>SUM(J4:J31)</f>
        <v>1088650</v>
      </c>
      <c r="K32" s="95"/>
    </row>
    <row r="33" spans="2:8" x14ac:dyDescent="0.35">
      <c r="D33" s="99">
        <f>+D32*85</f>
        <v>637500</v>
      </c>
      <c r="F33" s="99">
        <f>+F32*85</f>
        <v>195500</v>
      </c>
      <c r="H33" s="99">
        <f>+H32*85</f>
        <v>191250</v>
      </c>
    </row>
    <row r="34" spans="2:8" x14ac:dyDescent="0.35">
      <c r="B34" s="247" t="s">
        <v>149</v>
      </c>
      <c r="C34" s="43">
        <f t="shared" ref="C34:H34" si="7">+C4+C5+C6+C8+C13</f>
        <v>244900</v>
      </c>
      <c r="D34" s="43" t="e">
        <f t="shared" si="7"/>
        <v>#VALUE!</v>
      </c>
      <c r="E34" s="43">
        <f t="shared" si="7"/>
        <v>111850</v>
      </c>
      <c r="F34" s="43" t="e">
        <f t="shared" si="7"/>
        <v>#VALUE!</v>
      </c>
      <c r="G34" s="43">
        <f t="shared" si="7"/>
        <v>177850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30200</v>
      </c>
      <c r="D35" s="43" t="e">
        <f t="shared" ref="D35:H35" si="8">+D11+D14+D15+D17+D18</f>
        <v>#VALUE!</v>
      </c>
      <c r="E35" s="43">
        <f t="shared" si="8"/>
        <v>21650</v>
      </c>
      <c r="F35" s="43" t="e">
        <f t="shared" si="8"/>
        <v>#VALUE!</v>
      </c>
      <c r="G35" s="43">
        <f t="shared" si="8"/>
        <v>22900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151050</v>
      </c>
      <c r="D36" s="43" t="e">
        <f t="shared" ref="D36:H36" si="9">+D10+D12+D27</f>
        <v>#VALUE!</v>
      </c>
      <c r="E36" s="43">
        <f t="shared" si="9"/>
        <v>124650</v>
      </c>
      <c r="F36" s="43" t="e">
        <f t="shared" si="9"/>
        <v>#VALUE!</v>
      </c>
      <c r="G36" s="43">
        <f t="shared" si="9"/>
        <v>136450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83</v>
      </c>
      <c r="D2" s="268"/>
      <c r="E2" s="267">
        <f>IF(PREMIOS!$B9="","",PREMIOS!$B9)</f>
        <v>92</v>
      </c>
      <c r="F2" s="268"/>
      <c r="G2" s="267" t="str">
        <f>IF(PREMIOS!$B13="","",PREMIOS!$B13)</f>
        <v/>
      </c>
      <c r="H2" s="268"/>
      <c r="I2" s="267" t="str">
        <f>IF(PREMIOS!$B17="","",PREMIOS!$B17)</f>
        <v>10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52550</v>
      </c>
      <c r="D4" s="78">
        <f t="shared" ref="D4:J27" si="0">IF(C4="","",0)</f>
        <v>0</v>
      </c>
      <c r="E4" s="206">
        <v>36050</v>
      </c>
      <c r="F4" s="78">
        <f t="shared" si="0"/>
        <v>0</v>
      </c>
      <c r="G4" s="189"/>
      <c r="H4" s="78" t="str">
        <f t="shared" ref="H4:H27" si="1">IF(G4="","",0)</f>
        <v/>
      </c>
      <c r="I4" s="189">
        <v>2700</v>
      </c>
      <c r="J4" s="78">
        <v>100</v>
      </c>
      <c r="L4" s="42">
        <f t="shared" ref="L4:L8" si="2">+C4+E4+G4+I4</f>
        <v>91300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207">
        <v>2000</v>
      </c>
      <c r="F5" s="30">
        <f t="shared" si="0"/>
        <v>0</v>
      </c>
      <c r="G5" s="180"/>
      <c r="H5" s="30" t="str">
        <f t="shared" si="1"/>
        <v/>
      </c>
      <c r="I5" s="180">
        <v>5000</v>
      </c>
      <c r="J5" s="30">
        <v>500</v>
      </c>
      <c r="L5" s="42">
        <f t="shared" si="2"/>
        <v>9000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8" t="str">
        <f>Vendedor5!$B$2</f>
        <v>YOYO</v>
      </c>
      <c r="C8" s="180">
        <v>37700</v>
      </c>
      <c r="D8" s="30">
        <f t="shared" si="0"/>
        <v>0</v>
      </c>
      <c r="E8" s="207">
        <v>30400</v>
      </c>
      <c r="F8" s="30">
        <f t="shared" si="0"/>
        <v>0</v>
      </c>
      <c r="G8" s="180"/>
      <c r="H8" s="30" t="str">
        <f t="shared" si="1"/>
        <v/>
      </c>
      <c r="I8" s="180">
        <v>46100</v>
      </c>
      <c r="J8" s="30">
        <v>150</v>
      </c>
      <c r="L8" s="42">
        <f t="shared" si="2"/>
        <v>114200</v>
      </c>
      <c r="M8" s="42">
        <f t="shared" si="3"/>
        <v>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8" t="str">
        <f>Vendedor7!$B$2</f>
        <v>PIKIS</v>
      </c>
      <c r="C10" s="180">
        <f>12600+23150</f>
        <v>35750</v>
      </c>
      <c r="D10" s="30">
        <f t="shared" si="0"/>
        <v>0</v>
      </c>
      <c r="E10" s="207">
        <f>30000+77750</f>
        <v>107750</v>
      </c>
      <c r="F10" s="30">
        <f t="shared" si="0"/>
        <v>0</v>
      </c>
      <c r="G10" s="180"/>
      <c r="H10" s="30" t="str">
        <f t="shared" si="0"/>
        <v/>
      </c>
      <c r="I10" s="180">
        <f>30650+27700</f>
        <v>58350</v>
      </c>
      <c r="J10" s="30">
        <f>550+150</f>
        <v>700</v>
      </c>
      <c r="L10" s="42">
        <f t="shared" si="5"/>
        <v>201850</v>
      </c>
      <c r="M10" s="42">
        <f t="shared" si="3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34800</v>
      </c>
      <c r="D12" s="30">
        <v>200</v>
      </c>
      <c r="E12" s="207">
        <v>26100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60900</v>
      </c>
      <c r="M12" s="42">
        <f t="shared" si="3"/>
        <v>450</v>
      </c>
    </row>
    <row r="13" spans="1:13" x14ac:dyDescent="0.35">
      <c r="A13" s="47">
        <v>10</v>
      </c>
      <c r="B13" s="178" t="str">
        <f>Vendedor10!$B$2</f>
        <v>MARIALIZ</v>
      </c>
      <c r="C13" s="180">
        <v>22200</v>
      </c>
      <c r="D13" s="30">
        <f t="shared" si="0"/>
        <v>0</v>
      </c>
      <c r="E13" s="207">
        <v>9550</v>
      </c>
      <c r="F13" s="30">
        <f t="shared" si="0"/>
        <v>0</v>
      </c>
      <c r="G13" s="180"/>
      <c r="H13" s="30" t="str">
        <f t="shared" si="0"/>
        <v/>
      </c>
      <c r="I13" s="180">
        <v>2950</v>
      </c>
      <c r="J13" s="30">
        <f t="shared" si="0"/>
        <v>0</v>
      </c>
      <c r="L13" s="42">
        <f t="shared" si="5"/>
        <v>34700</v>
      </c>
      <c r="M13" s="42">
        <f t="shared" si="3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3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4800</v>
      </c>
      <c r="D16" s="30">
        <f t="shared" si="0"/>
        <v>0</v>
      </c>
      <c r="E16" s="207">
        <v>7500</v>
      </c>
      <c r="F16" s="30">
        <f t="shared" si="0"/>
        <v>0</v>
      </c>
      <c r="G16" s="180"/>
      <c r="H16" s="30" t="str">
        <f t="shared" si="0"/>
        <v/>
      </c>
      <c r="I16" s="180">
        <v>15150</v>
      </c>
      <c r="J16" s="30">
        <f t="shared" si="0"/>
        <v>0</v>
      </c>
      <c r="L16" s="42">
        <f t="shared" si="5"/>
        <v>27450</v>
      </c>
      <c r="M16" s="42">
        <f t="shared" si="3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3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4"/>
        <v/>
      </c>
      <c r="L18" s="42">
        <f t="shared" si="5"/>
        <v>0</v>
      </c>
      <c r="M18" s="42" t="str">
        <f t="shared" si="3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189800</v>
      </c>
      <c r="D32" s="44">
        <f t="shared" si="7"/>
        <v>200</v>
      </c>
      <c r="E32" s="43">
        <f t="shared" si="7"/>
        <v>219350</v>
      </c>
      <c r="F32" s="44">
        <f t="shared" si="7"/>
        <v>250</v>
      </c>
      <c r="G32" s="43">
        <f t="shared" si="7"/>
        <v>0</v>
      </c>
      <c r="H32" s="44">
        <f t="shared" si="7"/>
        <v>0</v>
      </c>
      <c r="I32" s="43">
        <f t="shared" si="7"/>
        <v>130250</v>
      </c>
      <c r="J32" s="44">
        <f t="shared" si="7"/>
        <v>1450</v>
      </c>
      <c r="L32" s="95">
        <f>SUM(L9:L31)</f>
        <v>324900</v>
      </c>
      <c r="M32" s="95">
        <f>SUM(M9:M31)</f>
        <v>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38 Roja</v>
      </c>
      <c r="D2" s="268"/>
      <c r="E2" s="267" t="str">
        <f>IF(E33=0,"",CONCATENATE(PREMIOS!$B11," ",PREMIOS!$B12))</f>
        <v>47 Blanca</v>
      </c>
      <c r="F2" s="268"/>
      <c r="G2" s="267" t="str">
        <f>IF(G33=0,"",CONCATENATE(PREMIOS!$B15," ",PREMIOS!$B16))</f>
        <v>96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3950+4200</f>
        <v>8150</v>
      </c>
      <c r="D10" s="30">
        <f t="shared" si="0"/>
        <v>0</v>
      </c>
      <c r="E10" s="180">
        <f>5700+8000</f>
        <v>13700</v>
      </c>
      <c r="F10" s="30">
        <f t="shared" si="0"/>
        <v>0</v>
      </c>
      <c r="G10" s="180">
        <f>4200+9050</f>
        <v>13250</v>
      </c>
      <c r="H10" s="30">
        <f t="shared" si="0"/>
        <v>0</v>
      </c>
      <c r="J10" s="42">
        <f t="shared" si="3"/>
        <v>35100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9150</v>
      </c>
      <c r="D33" s="44">
        <f t="shared" si="7"/>
        <v>0</v>
      </c>
      <c r="E33" s="43">
        <f t="shared" si="7"/>
        <v>13700</v>
      </c>
      <c r="F33" s="44">
        <f t="shared" si="7"/>
        <v>0</v>
      </c>
      <c r="G33" s="43">
        <f t="shared" si="7"/>
        <v>13250</v>
      </c>
      <c r="H33" s="44">
        <f t="shared" si="7"/>
        <v>0</v>
      </c>
      <c r="J33" s="45">
        <f>SUM(J4:J32)</f>
        <v>36100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47</v>
      </c>
      <c r="D2" s="268"/>
      <c r="E2" s="267">
        <f>IF(PREMIOS!$C19="","",PREMIOS!$C19)</f>
        <v>44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8900</v>
      </c>
      <c r="D4" s="78">
        <f t="shared" ref="D4:F27" si="0">IF(C4="","",0)</f>
        <v>0</v>
      </c>
      <c r="E4" s="189">
        <v>1900</v>
      </c>
      <c r="F4" s="78">
        <v>200</v>
      </c>
      <c r="H4" s="42">
        <f>+C4+E4</f>
        <v>10800</v>
      </c>
      <c r="I4" s="42">
        <f>IF(D4="",0,IF(F4="",D4,D4+F4))</f>
        <v>200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3800</v>
      </c>
      <c r="F5" s="30">
        <f t="shared" ref="F5:F27" si="1">IF(E5="","",0)</f>
        <v>0</v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13950</v>
      </c>
      <c r="D8" s="30">
        <f t="shared" si="0"/>
        <v>0</v>
      </c>
      <c r="E8" s="194">
        <v>12900</v>
      </c>
      <c r="F8" s="195">
        <f t="shared" si="1"/>
        <v>0</v>
      </c>
      <c r="H8" s="42">
        <f t="shared" si="2"/>
        <v>26850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19150</v>
      </c>
      <c r="D10" s="30">
        <v>500</v>
      </c>
      <c r="E10" s="180">
        <f>18250+4200</f>
        <v>22450</v>
      </c>
      <c r="F10" s="195">
        <v>300</v>
      </c>
      <c r="H10" s="42">
        <f t="shared" si="2"/>
        <v>41600</v>
      </c>
      <c r="I10" s="42">
        <f t="shared" si="3"/>
        <v>800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38200</v>
      </c>
      <c r="D12" s="30">
        <v>400</v>
      </c>
      <c r="E12" s="194"/>
      <c r="F12" s="30" t="str">
        <f t="shared" si="0"/>
        <v/>
      </c>
      <c r="H12" s="42">
        <f t="shared" si="2"/>
        <v>38200</v>
      </c>
      <c r="I12" s="42">
        <f t="shared" si="3"/>
        <v>400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80200</v>
      </c>
      <c r="D33" s="44">
        <f>SUM(D4:D32)</f>
        <v>900</v>
      </c>
      <c r="E33" s="43">
        <f>SUM(E4:E32)</f>
        <v>41050</v>
      </c>
      <c r="F33" s="44">
        <f>SUM(F4:F32)</f>
        <v>500</v>
      </c>
      <c r="H33" s="95">
        <f>SUM(H4:H32)</f>
        <v>121250</v>
      </c>
      <c r="I33" s="95">
        <f>SUM(I4:I32)</f>
        <v>1400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00</v>
      </c>
      <c r="D2" s="268"/>
      <c r="E2" s="267">
        <f>IF(PREMIOS!$C20="","",PREMIOS!$C20)</f>
        <v>49</v>
      </c>
      <c r="F2" s="268"/>
      <c r="G2" s="267" t="str">
        <f>IF(PREMIOS!$D20="","",PREMIOS!$D20)</f>
        <v>04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3200</v>
      </c>
      <c r="D10" s="195">
        <f t="shared" si="0"/>
        <v>0</v>
      </c>
      <c r="E10" s="180">
        <v>2100</v>
      </c>
      <c r="F10" s="30">
        <f t="shared" si="0"/>
        <v>0</v>
      </c>
      <c r="G10" s="180">
        <f>10000+3800</f>
        <v>13800</v>
      </c>
      <c r="H10" s="195">
        <v>100</v>
      </c>
      <c r="J10" s="42">
        <f t="shared" si="3"/>
        <v>19100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3200</v>
      </c>
      <c r="D33" s="44">
        <f t="shared" si="6"/>
        <v>0</v>
      </c>
      <c r="E33" s="43">
        <f t="shared" si="6"/>
        <v>2100</v>
      </c>
      <c r="F33" s="44">
        <f t="shared" si="6"/>
        <v>0</v>
      </c>
      <c r="G33" s="43">
        <f t="shared" si="6"/>
        <v>13800</v>
      </c>
      <c r="H33" s="44">
        <f t="shared" si="6"/>
        <v>100</v>
      </c>
      <c r="J33" s="45">
        <f>SUM(J4:J32)</f>
        <v>19100</v>
      </c>
      <c r="K33" s="95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77</v>
      </c>
      <c r="D2" s="268"/>
      <c r="E2" s="267">
        <f>IF(PREMIOS!$C21="","",PREMIOS!$C21)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47000</v>
      </c>
      <c r="D10" s="30">
        <v>1500</v>
      </c>
      <c r="E10" s="180">
        <v>57000</v>
      </c>
      <c r="F10" s="30">
        <f t="shared" si="0"/>
        <v>0</v>
      </c>
      <c r="H10" s="42">
        <f t="shared" si="2"/>
        <v>104000</v>
      </c>
      <c r="I10" s="42">
        <f t="shared" si="3"/>
        <v>1500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47000</v>
      </c>
      <c r="D33" s="44">
        <f>SUM(D4:D32)</f>
        <v>1500</v>
      </c>
      <c r="E33" s="43">
        <f>SUM(E4:E32)</f>
        <v>57000</v>
      </c>
      <c r="F33" s="44">
        <f>SUM(F4:F32)</f>
        <v>0</v>
      </c>
      <c r="H33" s="45">
        <f>SUM(H4:H32)</f>
        <v>104000</v>
      </c>
      <c r="I33" s="95">
        <f>SUM(I4:I32)</f>
        <v>1500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2026-07-29T17:19:46Z</dcterms:modified>
  <dc:language>es-CR</dc:language>
</cp:coreProperties>
</file>
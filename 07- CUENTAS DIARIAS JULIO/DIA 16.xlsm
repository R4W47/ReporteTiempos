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9" documentId="11_08E6A0C31DD2B50A1FC83AB829855DF29AA407EE" xr6:coauthVersionLast="47" xr6:coauthVersionMax="47" xr10:uidLastSave="{7B579804-753E-4347-BD03-7DD17953B56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/>
  <c r="H10" i="60"/>
  <c r="G10" i="60"/>
  <c r="E10" i="62"/>
  <c r="F10" i="60"/>
  <c r="E10" i="60"/>
  <c r="C10" i="62" l="1"/>
  <c r="E10" i="61"/>
  <c r="C10" i="60"/>
  <c r="C10" i="64" l="1"/>
  <c r="D10" i="61"/>
  <c r="C10" i="61"/>
  <c r="D18" i="64" l="1"/>
  <c r="D18" i="65"/>
  <c r="D11" i="65"/>
  <c r="D18" i="61"/>
  <c r="D17" i="61"/>
  <c r="D9" i="61"/>
  <c r="E23" i="15"/>
  <c r="F23" i="15" s="1"/>
  <c r="C23" i="15"/>
  <c r="D23" i="15" s="1"/>
  <c r="C22" i="15"/>
  <c r="E16" i="71" s="1"/>
  <c r="C21" i="15"/>
  <c r="C16" i="71" s="1"/>
  <c r="H16" i="64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D22" i="15" l="1"/>
  <c r="G16" i="71"/>
  <c r="H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27" i="60"/>
  <c r="D36" i="60" s="1"/>
  <c r="D26" i="60"/>
  <c r="D25" i="60"/>
  <c r="D24" i="60"/>
  <c r="D23" i="60"/>
  <c r="D22" i="60"/>
  <c r="D21" i="60"/>
  <c r="D20" i="60"/>
  <c r="D19" i="60"/>
  <c r="D18" i="60"/>
  <c r="D17" i="60"/>
  <c r="D16" i="60"/>
  <c r="D15" i="60"/>
  <c r="D11" i="60"/>
  <c r="D35" i="60" s="1"/>
  <c r="D9" i="60"/>
  <c r="D7" i="60"/>
  <c r="D34" i="60"/>
  <c r="F18" i="23"/>
  <c r="F14" i="23"/>
  <c r="F10" i="23"/>
  <c r="F6" i="23"/>
  <c r="F6" i="14"/>
  <c r="F10" i="14"/>
  <c r="F14" i="14"/>
  <c r="F18" i="14"/>
  <c r="D10" i="66"/>
  <c r="H10" i="64"/>
  <c r="D10" i="64"/>
  <c r="F17" i="64"/>
  <c r="F17" i="65"/>
  <c r="F18" i="62"/>
  <c r="F10" i="62"/>
  <c r="D5" i="61"/>
  <c r="F17" i="61"/>
  <c r="F18" i="61"/>
  <c r="F16" i="61"/>
  <c r="J17" i="61"/>
  <c r="D6" i="60"/>
  <c r="F18" i="60"/>
  <c r="F17" i="60"/>
  <c r="F16" i="60"/>
  <c r="F15" i="60"/>
  <c r="F14" i="60"/>
  <c r="F12" i="60"/>
  <c r="F11" i="60"/>
  <c r="F35" i="60" s="1"/>
  <c r="F9" i="60"/>
  <c r="F7" i="60"/>
  <c r="F6" i="60"/>
  <c r="F5" i="60"/>
  <c r="F4" i="60"/>
  <c r="H17" i="60"/>
  <c r="H16" i="60"/>
  <c r="H15" i="60"/>
  <c r="H14" i="60"/>
  <c r="H11" i="60"/>
  <c r="H9" i="60"/>
  <c r="H7" i="60"/>
  <c r="H6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9" i="61"/>
  <c r="J8" i="61"/>
  <c r="J7" i="61"/>
  <c r="F15" i="61"/>
  <c r="F14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4" i="60" l="1"/>
  <c r="F34" i="60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I15" i="72" s="1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2" i="64"/>
  <c r="L6" i="6"/>
  <c r="K20" i="19"/>
  <c r="K9" i="19"/>
  <c r="L21" i="71"/>
  <c r="M21" i="71" s="1"/>
  <c r="J31" i="71"/>
  <c r="D18" i="72"/>
  <c r="J31" i="64"/>
  <c r="E33" i="66"/>
  <c r="H22" i="70"/>
  <c r="J25" i="70"/>
  <c r="K25" i="70" s="1"/>
  <c r="L9" i="19"/>
  <c r="L20" i="71"/>
  <c r="M20" i="71" s="1"/>
  <c r="J30" i="71"/>
  <c r="K30" i="71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F18" i="72"/>
  <c r="J26" i="71"/>
  <c r="L29" i="71"/>
  <c r="M29" i="71" s="1"/>
  <c r="J21" i="70"/>
  <c r="K21" i="70" s="1"/>
  <c r="F16" i="71"/>
  <c r="L16" i="71" s="1"/>
  <c r="M16" i="71" s="1"/>
  <c r="F22" i="15"/>
  <c r="L8" i="15" s="1"/>
  <c r="G22" i="15"/>
  <c r="L25" i="71"/>
  <c r="M25" i="71" s="1"/>
  <c r="J23" i="72"/>
  <c r="K23" i="72" s="1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L27" i="71"/>
  <c r="M27" i="71" s="1"/>
  <c r="K20" i="21"/>
  <c r="K10" i="21"/>
  <c r="N27" i="71"/>
  <c r="P27" i="71" s="1"/>
  <c r="K21" i="19"/>
  <c r="K10" i="19"/>
  <c r="N27" i="72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4" i="23" l="1"/>
  <c r="J5" i="19"/>
  <c r="M20" i="52"/>
  <c r="L5" i="23"/>
  <c r="M25" i="52"/>
  <c r="F17" i="52"/>
  <c r="F12" i="8"/>
  <c r="M24" i="52"/>
  <c r="J5" i="23"/>
  <c r="M23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E32" i="60" l="1"/>
  <c r="J32" i="61"/>
  <c r="C32" i="61"/>
  <c r="I32" i="61"/>
  <c r="L6" i="22"/>
  <c r="M19" i="52"/>
  <c r="F32" i="60"/>
  <c r="G32" i="60"/>
  <c r="L19" i="59"/>
  <c r="F24" i="15"/>
  <c r="H32" i="60"/>
  <c r="H33" i="60" s="1"/>
  <c r="K5" i="23"/>
  <c r="J19" i="70"/>
  <c r="K19" i="70" s="1"/>
  <c r="G32" i="61"/>
  <c r="F32" i="61"/>
  <c r="L6" i="25"/>
  <c r="H32" i="61"/>
  <c r="H19" i="70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M6" i="52" s="1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5" i="52"/>
  <c r="K6" i="25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4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G24" i="15" s="1"/>
  <c r="F8" i="21"/>
  <c r="F24" i="14" l="1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<sst xmlns="http://schemas.openxmlformats.org/spreadsheetml/2006/main" count="1296" uniqueCount="162">
  <si>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</si>
  <si>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</si>
  <si>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</si>
  <si>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</si>
  <si>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</si>
  <si>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</si>
  <si>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</si>
  <si>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</si>
  <si>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</si>
  <si>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</si>
  <si>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</si>
  <si>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</si>
  <si>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</si>
  <si>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</si>
  <si>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</si>
  <si>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</si>
  <si>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</si>
  <si>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</si>
  <si>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</si>
  <si>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</si>
  <si>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</si>
  <si>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</si>
  <si>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</si>
  <si>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</si>
  <si>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</si>
  <si>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</si>
  <si>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</si>
  <si>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</si>
  <si>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</si>
  <si>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</si>
  <si>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</si>
  <si>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</si>
  <si>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</si>
  <si>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</si>
  <si>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</si>
  <si>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</si>
  <si>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</si>
  <si>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</si>
  <si>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</si>
  <si>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</si>
  <si>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</si>
  <si>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</si>
  <si>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</si>
  <si>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</si>
  <si>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</si>
  <si>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</si>
  <si>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</si>
  <si>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</si>
  <si>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</si>
  <si>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</si>
  <si>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</si>
  <si>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</si>
  <si>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</si>
  <si>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</si>
  <si>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</si>
  <si>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</si>
  <si>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</si>
  <si>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</si>
  <si>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</si>
  <si>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</si>
  <si>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</si>
  <si>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</si>
  <si>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</si>
  <si>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</si>
  <si>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</si>
  <si>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</si>
  <si>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</si>
  <si>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</si>
  <si>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</si>
  <si>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</si>
  <si>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</si>
  <si>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</si>
  <si>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</si>
  <si>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</si>
  <si>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</si>
  <si>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</si>
  <si>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</si>
  <si>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</si>
  <si>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</si>
  <si>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</si>
  <si>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</si>
  <si>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</si>
  <si>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</si>
  <si>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</si>
  <si>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</si>
  <si>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</si>
  <si>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</si>
  <si>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</si>
  <si>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</si>
  <si>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</si>
  <si>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</si>
  <si>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</si>
  <si>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</si>
  <si>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</si>
  <si>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</si>
  <si>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</si>
  <si>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</si>
  <si>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</si>
  <si>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</si>
  <si>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</si>
  <si>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</si>
  <si>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</si>
  <si>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</si>
  <si>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</si>
  <si>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</si>
  <si>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</si>
  <si>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</si>
  <si>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</si>
  <si>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</si>
  <si>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</si>
  <si>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</si>
  <si>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</si>
  <si>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</si>
  <si>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</si>
  <si>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</si>
  <si>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</si>
  <si>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</si>
  <si>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</si>
  <si>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</si>
  <si>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</si>
  <si>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</si>
  <si>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</si>
  <si>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</si>
  <si>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</si>
  <si>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</si>
  <si>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</si>
  <si>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</si>
  <si>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</si>
  <si>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</si>
  <si>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</si>
  <si>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</si>
  <si>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</si>
  <si>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</si>
  <si>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</si>
  <si>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</si>
  <si>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</si>
  <si>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</si>
  <si>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</si>
  <si>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</si>
  <si>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</si>
  <si>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</si>
  <si>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</si>
  <si>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</si>
  <si>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</si>
  <si>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</si>
  <si>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</si>
  <si>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</si>
  <si>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</si>
  <si>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</si>
  <si>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</si>
  <si>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</si>
  <si>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</si>
  <si>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</si>
  <si>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</si>
  <si>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</si>
  <si>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</si>
  <si>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</si>
  <si>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</si>
  <si>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</si>
  <si>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02</t>
  </si>
  <si>
    <t>07</t>
  </si>
  <si>
    <t>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</si>
</sst>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205450</v>
      </c>
      <c r="C3" s="9">
        <f>+HojaTICA!K4+HojaNICA!M4+HojaREVENTADO!K4+HojaPrimera!I4+HojaHonduras!K4+HojaDominicana!I4+HojaPANA!G4</f>
        <v>26750</v>
      </c>
      <c r="D3" s="9">
        <f>+HojaTICA!N4+HojaNICA!P4+HojaREVENTADO!O4+HojaPrimera!L4+HojaHonduras!N4+HojaDominicana!L4+HojaPANA!J4</f>
        <v>89500</v>
      </c>
      <c r="F3" s="10">
        <f t="shared" ref="F3:F27" si="0">+B3-C3-D3</f>
        <v>89200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167800</v>
      </c>
      <c r="C4" s="9">
        <f>+HojaTICA!K5+HojaNICA!M5+HojaREVENTADO!K5+HojaPrimera!I5+HojaHonduras!K5+HojaDominicana!I5+HojaPANA!G5</f>
        <v>21850</v>
      </c>
      <c r="D4" s="9">
        <f>+HojaTICA!N5+HojaNICA!P5+HojaREVENTADO!O5+HojaPrimera!L5+HojaHonduras!N5+HojaDominicana!L5+HojaPANA!J5</f>
        <v>102000</v>
      </c>
      <c r="F4" s="14">
        <f t="shared" si="0"/>
        <v>43950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256950</v>
      </c>
      <c r="C7" s="9">
        <f>+HojaTICA!K8+HojaNICA!M8+HojaREVENTADO!K8+HojaPrimera!I8+HojaHonduras!K8+HojaDominicana!I8+HojaPANA!G8</f>
        <v>30850</v>
      </c>
      <c r="D7" s="9">
        <f>+HojaTICA!N8+HojaNICA!P8+HojaREVENTADO!O8+HojaPrimera!L8+HojaHonduras!N8+HojaDominicana!L8+HojaPANA!J8</f>
        <v>246250</v>
      </c>
      <c r="F7" s="14">
        <f t="shared" si="0"/>
        <v>-20150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727400</v>
      </c>
      <c r="C9" s="9">
        <f>+HojaTICA!K10+HojaNICA!M10+HojaREVENTADO!K10+HojaPrimera!I10+HojaHonduras!K10+HojaDominicana!I10+HojaPANA!G10</f>
        <v>86360</v>
      </c>
      <c r="D9" s="9">
        <f>+HojaTICA!N10+HojaNICA!P10+HojaREVENTADO!O10+HojaPrimera!L10+HojaHonduras!N10+HojaDominicana!L10+HojaPANA!J10</f>
        <v>748000</v>
      </c>
      <c r="F9" s="14">
        <f t="shared" si="0"/>
        <v>-106960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7000</v>
      </c>
      <c r="C10" s="9">
        <f>+HojaTICA!K11+HojaNICA!M11+HojaREVENTADO!K11+HojaPrimera!I11+HojaHonduras!K11+HojaDominicana!I11+HojaPANA!G11</f>
        <v>850</v>
      </c>
      <c r="D10" s="9">
        <f>+HojaTICA!N11+HojaNICA!P11+HojaREVENTADO!O11+HojaPrimera!L11+HojaHonduras!N11+HojaDominicana!L11+HojaPANA!J11</f>
        <v>0</v>
      </c>
      <c r="F10" s="14">
        <f t="shared" si="0"/>
        <v>6150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158350</v>
      </c>
      <c r="C11" s="9">
        <f>+HojaTICA!K12+HojaNICA!M12+HojaREVENTADO!K12+HojaPrimera!I12+HojaHonduras!K12+HojaDominicana!I12+HojaPANA!G12</f>
        <v>18960</v>
      </c>
      <c r="D11" s="9">
        <f>+HojaTICA!N12+HojaNICA!P12+HojaREVENTADO!O12+HojaPrimera!L12+HojaHonduras!N12+HojaDominicana!L12+HojaPANA!J12</f>
        <v>208250</v>
      </c>
      <c r="F11" s="14">
        <f t="shared" si="0"/>
        <v>-68860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114900</v>
      </c>
      <c r="C12" s="9">
        <f>+HojaTICA!K13+HojaNICA!M13+HojaREVENTADO!K13+HojaPrimera!I13+HojaHonduras!K13+HojaDominicana!I13+HojaPANA!G13</f>
        <v>13800</v>
      </c>
      <c r="D12" s="9">
        <f>+HojaTICA!N13+HojaNICA!P13+HojaREVENTADO!O13+HojaPrimera!L13+HojaHonduras!N13+HojaDominicana!L13+HojaPANA!J13</f>
        <v>257500</v>
      </c>
      <c r="F12" s="14">
        <f t="shared" si="0"/>
        <v>-156400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106200</v>
      </c>
      <c r="C13" s="9">
        <f>+HojaTICA!K14+HojaNICA!M14+HojaREVENTADO!K14+HojaPrimera!I14+HojaHonduras!K14+HojaDominicana!I14+HojaPANA!G14</f>
        <v>15950</v>
      </c>
      <c r="D13" s="9">
        <f>+HojaTICA!N14+HojaNICA!P14+HojaREVENTADO!O14+HojaPrimera!L14+HojaHonduras!N14+HojaDominicana!L14+HojaPANA!J14</f>
        <v>120000</v>
      </c>
      <c r="F13" s="14">
        <f t="shared" si="0"/>
        <v>-29750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81050</v>
      </c>
      <c r="C15" s="9">
        <f>+HojaTICA!K16+HojaNICA!M16+HojaREVENTADO!K16+HojaPrimera!I16+HojaHonduras!K16+HojaDominicana!I16+HojaPANA!G16</f>
        <v>9700</v>
      </c>
      <c r="D15" s="9">
        <f>+HojaTICA!N16+HojaNICA!P16+HojaREVENTADO!O16+HojaPrimera!L16+HojaHonduras!N16+HojaDominicana!L16+HojaPANA!J16</f>
        <v>8000</v>
      </c>
      <c r="F15" s="14">
        <f t="shared" si="0"/>
        <v>63350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2000</v>
      </c>
      <c r="C26" s="9">
        <f>+HojaTICA!K27+HojaNICA!M27+HojaREVENTADO!K27+HojaPrimera!I27+HojaHonduras!K27+HojaDominicana!I27+HojaPANA!G27</f>
        <v>250</v>
      </c>
      <c r="D26" s="9">
        <f>+HojaTICA!N27+HojaNICA!P27+HojaREVENTADO!O27+HojaPrimera!L27+HojaHonduras!N27+HojaDominicana!L27+HojaPANA!J27</f>
        <v>0</v>
      </c>
      <c r="F26" s="14">
        <f t="shared" si="0"/>
        <v>1750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1827100</v>
      </c>
      <c r="C28" s="17">
        <f t="shared" si="1"/>
        <v>225320</v>
      </c>
      <c r="D28" s="18">
        <f t="shared" si="1"/>
        <v>1779500</v>
      </c>
      <c r="F28" s="20">
        <f>SUM(F3:F27)</f>
        <v>-177720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5" sqref="C15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>
        <v>32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 t="s">
        <v>160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65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51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Blanca</v>
      </c>
      <c r="C12" s="135"/>
      <c r="D12" s="136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 t="s">
        <v>161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Roja</v>
      </c>
      <c r="C16" s="135"/>
      <c r="D16" s="136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2">
        <v>65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99</v>
      </c>
      <c r="C19" s="132">
        <v>43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64</v>
      </c>
      <c r="C20" s="162" t="s">
        <v>159</v>
      </c>
      <c r="D20" s="165">
        <v>14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161</v>
      </c>
      <c r="C21" s="163">
        <v>24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 t="str">
        <f>DigitaTICA!C2</f>
        <v>07</v>
      </c>
      <c r="D2" s="267"/>
      <c r="E2" s="266">
        <f>DigitaTICA!E2</f>
        <v>51</v>
      </c>
      <c r="F2" s="267"/>
      <c r="G2" s="266" t="str">
        <f>DigitaTICA!G2</f>
        <v>04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70300</v>
      </c>
      <c r="D4" s="30">
        <f>IF(Vendedor1!$E$7="",0,Vendedor1!$E$7)</f>
        <v>300</v>
      </c>
      <c r="E4" s="179">
        <f>IF(Vendedor1!$C$11="",0,Vendedor1!$C$11)</f>
        <v>30950</v>
      </c>
      <c r="F4" s="30">
        <f>IF(Vendedor1!$E$11="",0,Vendedor1!$E$11)</f>
        <v>0</v>
      </c>
      <c r="G4" s="179">
        <f>IF(Vendedor1!$C$15="",0,Vendedor1!$C$15)</f>
        <v>65150</v>
      </c>
      <c r="H4" s="30">
        <f>IF(Vendedor1!$E$15="",0,Vendedor1!$E$15)</f>
        <v>0</v>
      </c>
      <c r="J4" s="42">
        <f t="shared" ref="J4:J7" si="0">+C4+E4+G4</f>
        <v>166400</v>
      </c>
      <c r="K4" s="41">
        <f>MROUND(J4*Vendedor1!J$9,50)</f>
        <v>21650</v>
      </c>
      <c r="L4" s="42">
        <f t="shared" ref="L4:L7" si="1">+D4+F4+H4</f>
        <v>300</v>
      </c>
      <c r="M4" s="42">
        <f t="shared" ref="M4:M7" si="2">+L4*85</f>
        <v>25500</v>
      </c>
      <c r="N4" s="42">
        <f>Vendedor1!$F$7+Vendedor1!$F$11+Vendedor1!$F$15</f>
        <v>25500</v>
      </c>
      <c r="P4" s="42">
        <f t="shared" ref="P4:P7" si="3">+J4-K4-N4</f>
        <v>119250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38300</v>
      </c>
      <c r="D5" s="30">
        <f>IF(Vendedor2!$E$7="",0,Vendedor2!$E$7)</f>
        <v>200</v>
      </c>
      <c r="E5" s="179">
        <f>IF(Vendedor2!$C$11="",0,Vendedor2!$C$11)</f>
        <v>32600</v>
      </c>
      <c r="F5" s="30">
        <f>IF(Vendedor2!$E$11="",0,Vendedor2!$E$11)</f>
        <v>0</v>
      </c>
      <c r="G5" s="179">
        <f>IF(Vendedor2!$C$15="",0,Vendedor2!$C$15)</f>
        <v>66500</v>
      </c>
      <c r="H5" s="30">
        <f>IF(Vendedor2!$E$15="",0,Vendedor2!$E$15)</f>
        <v>1000</v>
      </c>
      <c r="J5" s="42">
        <f t="shared" si="0"/>
        <v>137400</v>
      </c>
      <c r="K5" s="41">
        <f>MROUND(J5*Vendedor2!J$9,50)</f>
        <v>17850</v>
      </c>
      <c r="L5" s="42">
        <f t="shared" si="1"/>
        <v>1200</v>
      </c>
      <c r="M5" s="42">
        <f t="shared" si="2"/>
        <v>102000</v>
      </c>
      <c r="N5" s="42">
        <f>Vendedor2!$F$7+Vendedor2!$F$11+Vendedor2!$F$15</f>
        <v>102000</v>
      </c>
      <c r="P5" s="42">
        <f t="shared" si="3"/>
        <v>17550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42000</v>
      </c>
      <c r="D8" s="30">
        <f>IF(Vendedor5!$E$7="",0,Vendedor5!$E$7)</f>
        <v>600</v>
      </c>
      <c r="E8" s="179">
        <f>IF(Vendedor5!$C$11="",0,Vendedor5!$C$11)</f>
        <v>36600</v>
      </c>
      <c r="F8" s="30">
        <f>IF(Vendedor5!$E$11="",0,Vendedor5!$E$11)</f>
        <v>1150</v>
      </c>
      <c r="G8" s="179">
        <f>IF(Vendedor5!$C$15="",0,Vendedor5!$C$15)</f>
        <v>37600</v>
      </c>
      <c r="H8" s="30">
        <f>IF(Vendedor5!$E$15="",0,Vendedor5!$E$15)</f>
        <v>300</v>
      </c>
      <c r="J8" s="42">
        <f t="shared" ref="J8" si="4">+C8+E8+G8</f>
        <v>116200</v>
      </c>
      <c r="K8" s="41">
        <f>MROUND(J8*Vendedor5!J$11,50)</f>
        <v>13950</v>
      </c>
      <c r="L8" s="42">
        <f t="shared" ref="L8" si="5">+D8+F8+H8</f>
        <v>2050</v>
      </c>
      <c r="M8" s="42">
        <f t="shared" ref="M8" si="6">+L8*85</f>
        <v>174250</v>
      </c>
      <c r="N8" s="42">
        <f>Vendedor5!$F$7+Vendedor5!$F$11+Vendedor5!$F$15</f>
        <v>174250</v>
      </c>
      <c r="P8" s="42">
        <f t="shared" ref="P8" si="7">+J8-K8-N8</f>
        <v>-72000</v>
      </c>
    </row>
    <row r="9" spans="1:16" x14ac:dyDescent="0.35">
      <c r="A9" s="41">
        <v>6</v>
      </c>
      <c r="B9" s="177" t="str">
        <f>Vendedor6!$B$2</f>
        <v>MARTA ROSA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155200</v>
      </c>
      <c r="D10" s="30">
        <f>IF(Vendedor7!$E$7="",0,Vendedor7!$E$7)</f>
        <v>3200</v>
      </c>
      <c r="E10" s="179">
        <f>IF(Vendedor7!$C$11="",0,Vendedor7!$C$11)</f>
        <v>89950</v>
      </c>
      <c r="F10" s="30">
        <f>IF(Vendedor7!$E$11="",0,Vendedor7!$E$11)</f>
        <v>300</v>
      </c>
      <c r="G10" s="179">
        <f>IF(Vendedor7!$C$15="",0,Vendedor7!$C$15)</f>
        <v>94900</v>
      </c>
      <c r="H10" s="30">
        <f>IF(Vendedor7!$E$15="",0,Vendedor7!$E$15)</f>
        <v>1850</v>
      </c>
      <c r="J10" s="42">
        <f t="shared" si="8"/>
        <v>340050</v>
      </c>
      <c r="K10" s="41">
        <f>MROUND(J10*Vendedor7!J$14,50)</f>
        <v>40800</v>
      </c>
      <c r="L10" s="42">
        <f t="shared" si="9"/>
        <v>5350</v>
      </c>
      <c r="M10" s="42">
        <f t="shared" si="10"/>
        <v>454750</v>
      </c>
      <c r="N10" s="42">
        <f>Vendedor7!$F$7+Vendedor7!$F$11+Vendedor7!$F$15</f>
        <v>454750</v>
      </c>
      <c r="P10" s="42">
        <f t="shared" si="11"/>
        <v>-155500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7000</v>
      </c>
      <c r="H11" s="30">
        <f>IF(Vendedor8!$E$15="",0,Vendedor8!$E$15)</f>
        <v>0</v>
      </c>
      <c r="J11" s="42">
        <f t="shared" si="8"/>
        <v>7000</v>
      </c>
      <c r="K11" s="41">
        <f>MROUND(J11*Vendedor8!J$11,50)</f>
        <v>850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6150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41600</v>
      </c>
      <c r="D12" s="30">
        <f>IF(Vendedor9!$E$7="",0,Vendedor9!$E$7)</f>
        <v>1900</v>
      </c>
      <c r="E12" s="179">
        <f>IF(Vendedor9!$C$11="",0,Vendedor9!$C$11)</f>
        <v>18100</v>
      </c>
      <c r="F12" s="30">
        <f>IF(Vendedor9!$E$11="",0,Vendedor9!$E$11)</f>
        <v>0</v>
      </c>
      <c r="G12" s="179">
        <f>IF(Vendedor9!$C$15="",0,Vendedor9!$C$15)</f>
        <v>8200</v>
      </c>
      <c r="H12" s="30">
        <f>IF(Vendedor9!$E$15="",0,Vendedor9!$E$15)</f>
        <v>300</v>
      </c>
      <c r="J12" s="42">
        <f t="shared" si="8"/>
        <v>67900</v>
      </c>
      <c r="K12" s="41">
        <f>MROUND(J12*Vendedor9!J$11,50)</f>
        <v>8150</v>
      </c>
      <c r="L12" s="42">
        <f t="shared" si="9"/>
        <v>2200</v>
      </c>
      <c r="M12" s="42">
        <f t="shared" si="10"/>
        <v>187000</v>
      </c>
      <c r="N12" s="42">
        <f>Vendedor9!$F$7+Vendedor9!$F$11+Vendedor9!$F$15</f>
        <v>187000</v>
      </c>
      <c r="P12" s="42">
        <f t="shared" si="11"/>
        <v>-127250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18100</v>
      </c>
      <c r="D13" s="30">
        <f>IF(Vendedor10!$E$7="",0,Vendedor10!$E$7)</f>
        <v>500</v>
      </c>
      <c r="E13" s="179">
        <f>IF(Vendedor10!$C$11="",0,Vendedor10!$C$11)</f>
        <v>26700</v>
      </c>
      <c r="F13" s="30">
        <f>IF(Vendedor10!$E$11="",0,Vendedor10!$E$11)</f>
        <v>100</v>
      </c>
      <c r="G13" s="179">
        <f>IF(Vendedor10!$C$15="",0,Vendedor10!$C$15)</f>
        <v>32800</v>
      </c>
      <c r="H13" s="30">
        <f>IF(Vendedor10!$E$15="",0,Vendedor10!$E$15)</f>
        <v>1300</v>
      </c>
      <c r="J13" s="42">
        <f t="shared" si="8"/>
        <v>77600</v>
      </c>
      <c r="K13" s="41">
        <f>MROUND(J13*Vendedor10!J$9,50)</f>
        <v>9300</v>
      </c>
      <c r="L13" s="42">
        <f t="shared" si="9"/>
        <v>1900</v>
      </c>
      <c r="M13" s="42">
        <f t="shared" si="10"/>
        <v>161500</v>
      </c>
      <c r="N13" s="42">
        <f>Vendedor10!$F$7+Vendedor10!$F$11+Vendedor10!$F$15</f>
        <v>161500</v>
      </c>
      <c r="P13" s="42">
        <f t="shared" si="11"/>
        <v>-93200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50200</v>
      </c>
      <c r="D14" s="30">
        <f>IF(Vendedor11!$E$7="",0,Vendedor11!$E$7)</f>
        <v>1500</v>
      </c>
      <c r="E14" s="179">
        <f>IF(Vendedor11!$C$11="",0,Vendedor11!$C$11)</f>
        <v>31300</v>
      </c>
      <c r="F14" s="30">
        <f>IF(Vendedor11!$E$11="",0,Vendedor11!$E$11)</f>
        <v>0</v>
      </c>
      <c r="G14" s="179">
        <f>IF(Vendedor11!$C$15="",0,Vendedor11!$C$15)</f>
        <v>24700</v>
      </c>
      <c r="H14" s="30">
        <f>IF(Vendedor11!$E$15="",0,Vendedor11!$E$15)</f>
        <v>0</v>
      </c>
      <c r="J14" s="42">
        <f t="shared" si="8"/>
        <v>106200</v>
      </c>
      <c r="K14" s="41">
        <f>MROUND(J14*Vendedor11!J$9,50)</f>
        <v>15950</v>
      </c>
      <c r="L14" s="42">
        <f t="shared" si="9"/>
        <v>1500</v>
      </c>
      <c r="M14" s="42">
        <f t="shared" si="10"/>
        <v>127500</v>
      </c>
      <c r="N14" s="42">
        <f>Vendedor11!$F$7+Vendedor11!$F$11+Vendedor11!$F$15</f>
        <v>120000</v>
      </c>
      <c r="P14" s="42">
        <f t="shared" si="11"/>
        <v>-29750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22400</v>
      </c>
      <c r="D16" s="30">
        <f>IF(Vendedor13!$E$7="",0,Vendedor13!$E$7)</f>
        <v>0</v>
      </c>
      <c r="E16" s="179">
        <f>IF(Vendedor13!$C$11="",0,Vendedor13!$C$11)</f>
        <v>12000</v>
      </c>
      <c r="F16" s="30">
        <f>IF(Vendedor13!$E$11="",0,Vendedor13!$E$11)</f>
        <v>0</v>
      </c>
      <c r="G16" s="179">
        <f>IF(Vendedor13!$C$15="",0,Vendedor13!$C$15)</f>
        <v>18650</v>
      </c>
      <c r="H16" s="30">
        <f>IF(Vendedor13!$E$15="",0,Vendedor13!$E$15)</f>
        <v>0</v>
      </c>
      <c r="J16" s="42">
        <f t="shared" si="8"/>
        <v>53050</v>
      </c>
      <c r="K16" s="41">
        <f>MROUND(J16*Vendedor13!J$11,50)</f>
        <v>6350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46700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0</v>
      </c>
      <c r="D17" s="30">
        <f>IF(Vendedor14!$E$7="",0,Vendedor14!$E$7)</f>
        <v>0</v>
      </c>
      <c r="E17" s="179">
        <f>IF(Vendedor14!$C$11="",0,Vendedor14!$C$11)</f>
        <v>0</v>
      </c>
      <c r="F17" s="30">
        <f>IF(Vendedor14!$E$11="",0,Vendedor14!$E$11)</f>
        <v>0</v>
      </c>
      <c r="G17" s="179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0</v>
      </c>
      <c r="D18" s="30">
        <f>IF(Vendedor15!$E$7="",0,Vendedor15!$E$7)</f>
        <v>0</v>
      </c>
      <c r="E18" s="179">
        <f>IF(Vendedor15!$C$11="",0,Vendedor15!$C$11)</f>
        <v>0</v>
      </c>
      <c r="F18" s="30">
        <f>IF(Vendedor15!$E$11="",0,Vendedor15!$E$11)</f>
        <v>0</v>
      </c>
      <c r="G18" s="179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2000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2000</v>
      </c>
      <c r="K27" s="41">
        <f>IF(J27*Vendedor24!J$9&gt;0,MROUND(J27*Vendedor24!J$9,50),MROUND(J27*Vendedor24!J$9,-50))</f>
        <v>250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1750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440100</v>
      </c>
      <c r="D32" s="44">
        <f t="shared" si="16"/>
        <v>8200</v>
      </c>
      <c r="E32" s="43">
        <f t="shared" si="16"/>
        <v>278200</v>
      </c>
      <c r="F32" s="44">
        <f t="shared" si="16"/>
        <v>1550</v>
      </c>
      <c r="G32" s="43">
        <f t="shared" si="16"/>
        <v>355500</v>
      </c>
      <c r="H32" s="44">
        <f t="shared" si="16"/>
        <v>4750</v>
      </c>
      <c r="J32" s="95">
        <f>SUM(J4:J31)</f>
        <v>1073800</v>
      </c>
      <c r="K32" s="45">
        <f>SUM(K7:K31)</f>
        <v>95600</v>
      </c>
      <c r="L32" s="95">
        <f>SUM(L4:L31)</f>
        <v>14500</v>
      </c>
      <c r="M32" s="95">
        <f>SUM(M4:M31)</f>
        <v>1232500</v>
      </c>
      <c r="N32" s="95">
        <f>SUM(N4:N31)</f>
        <v>1225000</v>
      </c>
      <c r="P32" s="79">
        <f>SUM(P4:P31)</f>
        <v>-286300</v>
      </c>
    </row>
    <row r="33" spans="3:13" x14ac:dyDescent="0.35">
      <c r="D33" s="99">
        <f>+D32*85</f>
        <v>697000</v>
      </c>
      <c r="F33" s="99">
        <f>+F32*85</f>
        <v>131750</v>
      </c>
      <c r="H33" s="99">
        <f>+H32*85</f>
        <v>403750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1073800</v>
      </c>
      <c r="E36" s="43">
        <f>+D36-J4-J5-J6</f>
        <v>770000</v>
      </c>
      <c r="G36" s="101"/>
    </row>
    <row r="37" spans="3:13" x14ac:dyDescent="0.35">
      <c r="C37" s="47" t="s">
        <v>33</v>
      </c>
      <c r="D37" s="48">
        <f>D36*13%</f>
        <v>139594</v>
      </c>
      <c r="E37">
        <f>+D37-K4-K5-K6</f>
        <v>100094</v>
      </c>
      <c r="G37" s="100"/>
      <c r="H37" s="100"/>
    </row>
    <row r="38" spans="3:13" ht="15" thickBot="1" x14ac:dyDescent="0.4">
      <c r="C38" s="47" t="s">
        <v>30</v>
      </c>
      <c r="D38" s="30">
        <f>M32</f>
        <v>1232500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-298294</v>
      </c>
      <c r="F39" s="98">
        <f>+P32-D39</f>
        <v>11994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-298294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>
        <f>DigitaNICA!C2</f>
        <v>32</v>
      </c>
      <c r="D2" s="267"/>
      <c r="E2" s="266">
        <f>DigitaNICA!E2</f>
        <v>65</v>
      </c>
      <c r="F2" s="267"/>
      <c r="G2" s="266" t="str">
        <f>DigitaNICA!G2</f>
        <v/>
      </c>
      <c r="H2" s="267"/>
      <c r="I2" s="266">
        <f>DigitaNICA!I2</f>
        <v>65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18850</v>
      </c>
      <c r="D4" s="78">
        <f>IF(Vendedor1!$E$5="",0,Vendedor1!$E$5)</f>
        <v>800</v>
      </c>
      <c r="E4" s="188">
        <f>IF(Vendedor1!$C$9="",0,Vendedor1!$C$9)</f>
        <v>14450</v>
      </c>
      <c r="F4" s="78">
        <f>IF(Vendedor1!$E$9="",0,Vendedor1!$E$9)</f>
        <v>0</v>
      </c>
      <c r="G4" s="188">
        <f>IF(Vendedor1!$C$13="",0,Vendedor1!$C$13)</f>
        <v>0</v>
      </c>
      <c r="H4" s="78">
        <f>IF(Vendedor1!$E$13="",0,Vendedor1!$E$13)</f>
        <v>0</v>
      </c>
      <c r="I4" s="188">
        <f>IF(Vendedor1!$C$17="",0,Vendedor1!$C$17)</f>
        <v>500</v>
      </c>
      <c r="J4" s="78">
        <f>IF(Vendedor1!$E$17="",0,Vendedor1!$E$17)</f>
        <v>0</v>
      </c>
      <c r="L4" s="42">
        <f t="shared" ref="L4:L7" si="0">C4+E4+G4+I4</f>
        <v>33800</v>
      </c>
      <c r="M4" s="41">
        <f>MROUND(L4*Vendedor1!J$10,50)</f>
        <v>4400</v>
      </c>
      <c r="N4" s="42">
        <f t="shared" ref="N4:N7" si="1">D4+F4+H4+J4</f>
        <v>800</v>
      </c>
      <c r="O4" s="41">
        <f>IFERROR(N4*85,0)</f>
        <v>68000</v>
      </c>
      <c r="P4" s="42">
        <f>Vendedor1!$F$5+Vendedor1!$F$9+Vendedor1!$F$13+Vendedor1!$F$17</f>
        <v>64000</v>
      </c>
      <c r="R4" s="41">
        <f t="shared" ref="R4:R7" si="2">+L4-M4-O4</f>
        <v>-38600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12500</v>
      </c>
      <c r="D5" s="30">
        <f>IF(Vendedor2!$E$5="",0,Vendedor2!$E$5)</f>
        <v>0</v>
      </c>
      <c r="E5" s="179">
        <f>IF(Vendedor2!$C$9="",0,Vendedor2!$C$9)</f>
        <v>1750</v>
      </c>
      <c r="F5" s="30">
        <f>IF(Vendedor2!$E$9="",0,Vendedor2!$E$9)</f>
        <v>0</v>
      </c>
      <c r="G5" s="179">
        <f>IF(Vendedor2!$C$13="",0,Vendedor2!$C$13)</f>
        <v>0</v>
      </c>
      <c r="H5" s="30">
        <f>IF(Vendedor2!$E$13="",0,Vendedor2!$E$13)</f>
        <v>0</v>
      </c>
      <c r="I5" s="179">
        <f>IF(Vendedor2!$C$17="",0,Vendedor2!$C$17)</f>
        <v>4800</v>
      </c>
      <c r="J5" s="30">
        <f>IF(Vendedor2!$E$17="",0,Vendedor2!$E$17)</f>
        <v>0</v>
      </c>
      <c r="L5" s="42">
        <f t="shared" si="0"/>
        <v>19050</v>
      </c>
      <c r="M5" s="41">
        <f>MROUND(L5*Vendedor2!J$10,50)</f>
        <v>2500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16550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29050</v>
      </c>
      <c r="D8" s="30">
        <f>IF(Vendedor5!$E$5="",0,Vendedor5!$E$5)</f>
        <v>500</v>
      </c>
      <c r="E8" s="179">
        <f>IF(Vendedor5!$C$9="",0,Vendedor5!$C$9)</f>
        <v>29800</v>
      </c>
      <c r="F8" s="30">
        <f>IF(Vendedor5!$E$9="",0,Vendedor5!$E$9)</f>
        <v>0</v>
      </c>
      <c r="G8" s="179">
        <f>IF(Vendedor5!$C$13="",0,Vendedor5!$C$13)</f>
        <v>0</v>
      </c>
      <c r="H8" s="30">
        <f>IF(Vendedor5!$E$13="",0,Vendedor5!$E$13)</f>
        <v>0</v>
      </c>
      <c r="I8" s="179">
        <f>IF(Vendedor5!$C$17="",0,Vendedor5!$C$17)</f>
        <v>37050</v>
      </c>
      <c r="J8" s="30">
        <f>IF(Vendedor5!$E$17="",0,Vendedor5!$E$17)</f>
        <v>0</v>
      </c>
      <c r="L8" s="42">
        <f t="shared" ref="L8" si="4">C8+E8+G8+I8</f>
        <v>95900</v>
      </c>
      <c r="M8" s="41">
        <f>MROUND(L8*Vendedor5!J$12,50)</f>
        <v>11500</v>
      </c>
      <c r="N8" s="42">
        <f t="shared" ref="N8" si="5">D8+F8+H8+J8</f>
        <v>500</v>
      </c>
      <c r="O8" s="41">
        <f t="shared" si="3"/>
        <v>42500</v>
      </c>
      <c r="P8" s="42">
        <f>Vendedor5!$F$5+Vendedor5!$F$9+Vendedor5!$F$13+Vendedor5!$F$17</f>
        <v>40000</v>
      </c>
      <c r="Q8">
        <v>17</v>
      </c>
      <c r="R8" s="41">
        <f t="shared" ref="R8" si="6">+L8-M8-O8</f>
        <v>41900</v>
      </c>
    </row>
    <row r="9" spans="1:18" x14ac:dyDescent="0.35">
      <c r="A9" s="47">
        <v>6</v>
      </c>
      <c r="B9" s="177" t="str">
        <f>Vendedor6!$B$2</f>
        <v>MARTA ROSA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48750</v>
      </c>
      <c r="D10" s="30">
        <f>IF(Vendedor7!$E$5="",0,Vendedor7!$E$5)</f>
        <v>3300</v>
      </c>
      <c r="E10" s="179">
        <f>IF(Vendedor7!$C$9="",0,Vendedor7!$C$9)</f>
        <v>73200</v>
      </c>
      <c r="F10" s="30">
        <f>IF(Vendedor7!$E$9="",0,Vendedor7!$E$9)</f>
        <v>0</v>
      </c>
      <c r="G10" s="179">
        <f>IF(Vendedor7!$C$13="",0,Vendedor7!$C$13)</f>
        <v>0</v>
      </c>
      <c r="H10" s="30">
        <f>IF(Vendedor7!$E$13="",0,Vendedor7!$E$13)</f>
        <v>0</v>
      </c>
      <c r="I10" s="179">
        <f>IF(Vendedor7!$C$17="",0,Vendedor7!$C$17)</f>
        <v>53350</v>
      </c>
      <c r="J10" s="30">
        <f>IF(Vendedor7!$E$17="",0,Vendedor7!$E$17)</f>
        <v>100</v>
      </c>
      <c r="L10" s="42">
        <f t="shared" si="7"/>
        <v>175300</v>
      </c>
      <c r="M10" s="41">
        <f>MROUND(L10*Vendedor7!J$15,50)</f>
        <v>21050</v>
      </c>
      <c r="N10" s="42">
        <f t="shared" ref="N10:N27" si="9">D10+F10+H10+J10</f>
        <v>3400</v>
      </c>
      <c r="O10" s="41">
        <f t="shared" si="3"/>
        <v>289000</v>
      </c>
      <c r="P10" s="42">
        <f>Vendedor7!$F$5+Vendedor7!$F$9+Vendedor7!$F$13+Vendedor7!$F$17</f>
        <v>289000</v>
      </c>
      <c r="R10" s="41">
        <f t="shared" si="8"/>
        <v>-134750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33500</v>
      </c>
      <c r="D12" s="30">
        <f>IF(Vendedor9!$E$5="",0,Vendedor9!$E$5)</f>
        <v>0</v>
      </c>
      <c r="E12" s="179">
        <f>IF(Vendedor9!$C$9="",0,Vendedor9!$C$9)</f>
        <v>17550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51050</v>
      </c>
      <c r="M12" s="41">
        <f>MROUND(L12*Vendedor9!J$12,50)</f>
        <v>6150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44900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21100</v>
      </c>
      <c r="D13" s="30">
        <f>IF(Vendedor10!$E$5="",0,Vendedor10!$E$5)</f>
        <v>700</v>
      </c>
      <c r="E13" s="179">
        <f>IF(Vendedor10!$C$9="",0,Vendedor10!$C$9)</f>
        <v>14300</v>
      </c>
      <c r="F13" s="30">
        <f>IF(Vendedor10!$E$9="",0,Vendedor10!$E$9)</f>
        <v>500</v>
      </c>
      <c r="G13" s="179">
        <f>IF(Vendedor10!$C$13="",0,Vendedor10!$C$13)</f>
        <v>0</v>
      </c>
      <c r="H13" s="30">
        <f>IF(Vendedor10!$E$13="",0,Vendedor10!$E$13)</f>
        <v>0</v>
      </c>
      <c r="I13" s="179">
        <f>IF(Vendedor10!$C$17="",0,Vendedor10!$C$17)</f>
        <v>1900</v>
      </c>
      <c r="J13" s="30">
        <f>IF(Vendedor10!$E$17="",0,Vendedor10!$E$17)</f>
        <v>0</v>
      </c>
      <c r="L13" s="42">
        <f t="shared" si="7"/>
        <v>37300</v>
      </c>
      <c r="M13" s="41">
        <f>MROUND(L13*Vendedor10!J$10,50)</f>
        <v>4500</v>
      </c>
      <c r="N13" s="42">
        <f t="shared" si="9"/>
        <v>1200</v>
      </c>
      <c r="O13" s="41">
        <f t="shared" si="3"/>
        <v>102000</v>
      </c>
      <c r="P13" s="42">
        <f>Vendedor10!$F$5+Vendedor10!$F$9+Vendedor10!$F$13+Vendedor10!$F$17</f>
        <v>96000</v>
      </c>
      <c r="R13" s="41">
        <f t="shared" si="8"/>
        <v>-69200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10000</v>
      </c>
      <c r="D16" s="30">
        <f>IF(Vendedor13!$E$5="",0,Vendedor13!$E$5)</f>
        <v>0</v>
      </c>
      <c r="E16" s="179">
        <f>IF(Vendedor13!$C$9="",0,Vendedor13!$C$9)</f>
        <v>6500</v>
      </c>
      <c r="F16" s="30">
        <f>IF(Vendedor13!$E$9="",0,Vendedor13!$E$9)</f>
        <v>0</v>
      </c>
      <c r="G16" s="179">
        <f>IF(Vendedor13!$C$13="",0,Vendedor13!$C$13)</f>
        <v>0</v>
      </c>
      <c r="H16" s="30">
        <f>IF(Vendedor13!$E$13="",0,Vendedor13!$E$13)</f>
        <v>0</v>
      </c>
      <c r="I16" s="179">
        <f>IF(Vendedor13!$C$17="",0,Vendedor13!$C$17)</f>
        <v>10500</v>
      </c>
      <c r="J16" s="30">
        <f>IF(Vendedor13!$E$17="",0,Vendedor13!$E$17)</f>
        <v>100</v>
      </c>
      <c r="L16" s="42">
        <f t="shared" si="7"/>
        <v>27000</v>
      </c>
      <c r="M16" s="41">
        <f>MROUND(L16*Vendedor13!J$12,50)</f>
        <v>3250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15250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0</v>
      </c>
      <c r="D17" s="30">
        <f>IF(Vendedor14!$E$5="",0,Vendedor14!$E$5)</f>
        <v>0</v>
      </c>
      <c r="E17" s="179">
        <f>IF(Vendedor14!$C$9="",0,Vendedor14!$C$9)</f>
        <v>0</v>
      </c>
      <c r="F17" s="30">
        <f>IF(Vendedor14!$E$9="",0,Vendedor14!$E$9)</f>
        <v>0</v>
      </c>
      <c r="G17" s="179">
        <f>IF(Vendedor14!$C$13="",0,Vendedor14!$C$13)</f>
        <v>0</v>
      </c>
      <c r="H17" s="30">
        <f>IF(Vendedor14!$E$13="",0,Vendedor14!$E$13)</f>
        <v>0</v>
      </c>
      <c r="I17" s="179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0</v>
      </c>
      <c r="D18" s="30">
        <f>IF(Vendedor15!$E$5="",0,Vendedor15!$E$5)</f>
        <v>0</v>
      </c>
      <c r="E18" s="179">
        <f>IF(Vendedor15!$C$9="",0,Vendedor15!$C$9)</f>
        <v>0</v>
      </c>
      <c r="F18" s="30">
        <f>IF(Vendedor15!$E$9="",0,Vendedor15!$E$9)</f>
        <v>0</v>
      </c>
      <c r="G18" s="179">
        <f>IF(Vendedor15!$C$13="",0,Vendedor15!$C$13)</f>
        <v>0</v>
      </c>
      <c r="H18" s="30">
        <f>IF(Vendedor15!$E$13="",0,Vendedor15!$E$13)</f>
        <v>0</v>
      </c>
      <c r="I18" s="179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173750</v>
      </c>
      <c r="D32" s="44">
        <f t="shared" si="14"/>
        <v>5300</v>
      </c>
      <c r="E32" s="43">
        <f t="shared" si="14"/>
        <v>157550</v>
      </c>
      <c r="F32" s="44">
        <f t="shared" si="14"/>
        <v>500</v>
      </c>
      <c r="G32" s="43">
        <f t="shared" si="14"/>
        <v>0</v>
      </c>
      <c r="H32" s="44">
        <f t="shared" si="14"/>
        <v>0</v>
      </c>
      <c r="I32" s="43">
        <f t="shared" si="14"/>
        <v>108100</v>
      </c>
      <c r="J32" s="44">
        <f t="shared" si="14"/>
        <v>200</v>
      </c>
      <c r="L32" s="45">
        <f>SUM(L4:L31)</f>
        <v>439400</v>
      </c>
      <c r="M32" s="45">
        <f>SUM(M7:M31)</f>
        <v>46450</v>
      </c>
      <c r="N32" s="95">
        <f>SUM(N4:N31)</f>
        <v>6000</v>
      </c>
      <c r="O32" s="46">
        <f>SUM(O4:O31)</f>
        <v>510000</v>
      </c>
      <c r="P32" s="139">
        <f>SUM(P4:P31)</f>
        <v>497000</v>
      </c>
      <c r="R32" s="79">
        <f>SUM(R4:R31)</f>
        <v>-123950</v>
      </c>
    </row>
    <row r="33" spans="3:15" x14ac:dyDescent="0.35">
      <c r="D33" s="120">
        <f>+D32*85</f>
        <v>450500</v>
      </c>
      <c r="F33" s="120">
        <f>+F32*85</f>
        <v>42500</v>
      </c>
      <c r="H33" s="120">
        <f>+H32*85</f>
        <v>0</v>
      </c>
      <c r="J33" s="120">
        <f>+J32*85</f>
        <v>17000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439400</v>
      </c>
      <c r="E36" s="43">
        <f>+D36-L4-L5-L6</f>
        <v>386550</v>
      </c>
    </row>
    <row r="37" spans="3:15" x14ac:dyDescent="0.35">
      <c r="C37" s="47" t="s">
        <v>33</v>
      </c>
      <c r="D37" s="48">
        <f>D36*13%</f>
        <v>57122</v>
      </c>
      <c r="E37">
        <f>+D37-M4-M5-M6</f>
        <v>50222</v>
      </c>
    </row>
    <row r="38" spans="3:15" x14ac:dyDescent="0.35">
      <c r="C38" s="47" t="s">
        <v>30</v>
      </c>
      <c r="D38" s="30">
        <f>SUM(O4:O27)</f>
        <v>510000</v>
      </c>
      <c r="G38" s="100"/>
    </row>
    <row r="39" spans="3:15" ht="15" thickBot="1" x14ac:dyDescent="0.4">
      <c r="C39" s="49" t="s">
        <v>4</v>
      </c>
      <c r="D39" s="80">
        <f>+D36-D37-D38</f>
        <v>-127722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-127722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07 Blanca</v>
      </c>
      <c r="D2" s="267"/>
      <c r="E2" s="266" t="str">
        <f>IF(E33=0,"",CONCATENATE(PREMIOS!$B11," ",PREMIOS!$B12))</f>
        <v>51 Blanca</v>
      </c>
      <c r="F2" s="267"/>
      <c r="G2" s="266" t="str">
        <f>IF(G33=0,"",CONCATENATE(PREMIOS!$B15," ",PREMIOS!$B16))</f>
        <v>04 Roja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MARTA ROSA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20400</v>
      </c>
      <c r="D10" s="30">
        <f>IF(Vendedor7!$E$8="",0,Vendedor7!$E$8)</f>
        <v>0</v>
      </c>
      <c r="E10" s="179">
        <f>IF(Vendedor7!$C$12="",0,Vendedor7!$C$12)</f>
        <v>16150</v>
      </c>
      <c r="F10" s="30">
        <f>IF(Vendedor7!$E$12="",0,Vendedor7!$E$12)</f>
        <v>0</v>
      </c>
      <c r="G10" s="179">
        <f>IF(Vendedor7!$C$16="",0,Vendedor7!$C$16)</f>
        <v>12550</v>
      </c>
      <c r="H10" s="30">
        <f>IF(Vendedor7!$E$16="",0,Vendedor7!$E$16)</f>
        <v>0</v>
      </c>
      <c r="J10" s="42">
        <f t="shared" si="1"/>
        <v>49100</v>
      </c>
      <c r="K10" s="41">
        <f>J10*Vendedor7!J$16</f>
        <v>4910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44190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1500</v>
      </c>
      <c r="D12" s="30">
        <f>IF(Vendedor9!$E$8="",0,Vendedor9!$E$8)</f>
        <v>0</v>
      </c>
      <c r="E12" s="179">
        <f>IF(Vendedor9!$C$12="",0,Vendedor9!$C$12)</f>
        <v>2600</v>
      </c>
      <c r="F12" s="30">
        <f>IF(Vendedor9!$E$12="",0,Vendedor9!$E$12)</f>
        <v>0</v>
      </c>
      <c r="G12" s="179">
        <f>IF(Vendedor9!$C$16="",0,Vendedor9!$C$16)</f>
        <v>500</v>
      </c>
      <c r="H12" s="30">
        <f>IF(Vendedor9!$E$16="",0,Vendedor9!$E$16)</f>
        <v>0</v>
      </c>
      <c r="J12" s="42">
        <f t="shared" si="1"/>
        <v>4600</v>
      </c>
      <c r="K12" s="41">
        <f>J12*Vendedor9!J$13</f>
        <v>460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4140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1000</v>
      </c>
      <c r="D16" s="30">
        <f>IF(Vendedor13!$E$8="",0,Vendedor13!$E$8)</f>
        <v>0</v>
      </c>
      <c r="E16" s="179">
        <f>IF(Vendedor13!$C$12="",0,Vendedor13!$C$12)</f>
        <v>0</v>
      </c>
      <c r="F16" s="30">
        <f>IF(Vendedor13!$E$12="",0,Vendedor13!$E$12)</f>
        <v>0</v>
      </c>
      <c r="G16" s="179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0</v>
      </c>
      <c r="D17" s="30">
        <f>IF(Vendedor14!$E$8="",0,Vendedor14!$E$8)</f>
        <v>0</v>
      </c>
      <c r="E17" s="179">
        <f>IF(Vendedor14!$C$12="",0,Vendedor14!$C$12)</f>
        <v>0</v>
      </c>
      <c r="F17" s="30">
        <f>IF(Vendedor14!$E$12="",0,Vendedor14!$E$12)</f>
        <v>0</v>
      </c>
      <c r="G17" s="179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0</v>
      </c>
      <c r="D18" s="30">
        <f>IF(Vendedor15!$E$8="",0,Vendedor15!$E$8)</f>
        <v>0</v>
      </c>
      <c r="E18" s="179">
        <f>IF(Vendedor15!$C$12="",0,Vendedor15!$C$12)</f>
        <v>0</v>
      </c>
      <c r="F18" s="30">
        <f>IF(Vendedor15!$E$12="",0,Vendedor15!$E$12)</f>
        <v>0</v>
      </c>
      <c r="G18" s="179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22900</v>
      </c>
      <c r="D33" s="44">
        <f>IF(PREMIOS!E8&lt;&gt;0,SUM(D4:D32),0)</f>
        <v>0</v>
      </c>
      <c r="E33" s="43">
        <f>SUM(E4:E32)</f>
        <v>18750</v>
      </c>
      <c r="F33" s="44">
        <f>IF(PREMIOS!E12&lt;&gt;0,SUM(F4:F32),0)</f>
        <v>0</v>
      </c>
      <c r="G33" s="43">
        <f>SUM(G4:G32)</f>
        <v>13050</v>
      </c>
      <c r="H33" s="44">
        <f>IF(PREMIOS!E16&lt;&gt;0,SUM(H4:H32),0)</f>
        <v>0</v>
      </c>
      <c r="J33" s="45">
        <f>SUM(J4:J32)</f>
        <v>54700</v>
      </c>
      <c r="K33" s="45">
        <f>SUM(K7:K32)</f>
        <v>5470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49230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54700</v>
      </c>
      <c r="E37" s="43">
        <f>+D37-J4-J5-J6</f>
        <v>54700</v>
      </c>
      <c r="F37" s="274"/>
      <c r="G37" s="274"/>
    </row>
    <row r="38" spans="3:17" ht="15" thickBot="1" x14ac:dyDescent="0.4">
      <c r="C38" s="47" t="s">
        <v>33</v>
      </c>
      <c r="D38" s="30">
        <f>D37*10%</f>
        <v>5470</v>
      </c>
      <c r="E38" s="43">
        <f>+D38-K4-K5-K6</f>
        <v>5470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49230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49230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99</v>
      </c>
      <c r="D2" s="267"/>
      <c r="E2" s="266">
        <f>DigitaPRIMERA!E2</f>
        <v>43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5250</v>
      </c>
      <c r="D4" s="78">
        <f>IF(Vendedor1!$E$19="",0,Vendedor1!$E$19)</f>
        <v>0</v>
      </c>
      <c r="E4" s="188">
        <f>IF(Vendedor1!$C$20="",0,Vendedor1!$C$20)</f>
        <v>0</v>
      </c>
      <c r="F4" s="78">
        <f>IF(Vendedor1!$E$20="",0,Vendedor1!$E$20)</f>
        <v>0</v>
      </c>
      <c r="H4" s="42">
        <f>+C4+E4</f>
        <v>5250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4550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10750</v>
      </c>
      <c r="D5" s="30">
        <f>IF(Vendedor2!$E$19="",0,Vendedor2!$E$19)</f>
        <v>0</v>
      </c>
      <c r="E5" s="179">
        <f>IF(Vendedor2!$C$20="",0,Vendedor2!$C$20)</f>
        <v>600</v>
      </c>
      <c r="F5" s="30">
        <f>IF(Vendedor2!$E$20="",0,Vendedor2!$E$20)</f>
        <v>0</v>
      </c>
      <c r="H5" s="42">
        <f t="shared" ref="H5:H31" si="1">+C5+E5</f>
        <v>11350</v>
      </c>
      <c r="I5" s="41">
        <f>MROUND(H5*Vendedor2!J$9,50)</f>
        <v>1500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9850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30600</v>
      </c>
      <c r="D8" s="30">
        <f>IF(Vendedor5!$E$19="",0,Vendedor5!$E$19)</f>
        <v>0</v>
      </c>
      <c r="E8" s="179">
        <f>IF(Vendedor5!$C$20="",0,Vendedor5!$C$20)</f>
        <v>14250</v>
      </c>
      <c r="F8" s="30">
        <f>IF(Vendedor5!$E$20="",0,Vendedor5!$E$20)</f>
        <v>400</v>
      </c>
      <c r="H8" s="133">
        <f t="shared" si="1"/>
        <v>44850</v>
      </c>
      <c r="I8" s="147">
        <f>MROUND(H8*Vendedor5!J$11,50)</f>
        <v>5400</v>
      </c>
      <c r="J8" s="133">
        <f t="shared" si="2"/>
        <v>400</v>
      </c>
      <c r="K8" s="133">
        <f t="shared" si="3"/>
        <v>34000</v>
      </c>
      <c r="L8" s="133">
        <f>Vendedor5!$F$19+Vendedor5!$F$20</f>
        <v>32000</v>
      </c>
      <c r="M8" s="154"/>
      <c r="N8" s="133">
        <f t="shared" si="0"/>
        <v>7450</v>
      </c>
    </row>
    <row r="9" spans="1:14" x14ac:dyDescent="0.35">
      <c r="A9" s="202">
        <v>6</v>
      </c>
      <c r="B9" s="195" t="str">
        <f>Vendedor6!$B$2</f>
        <v>MARTA ROSA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26850</v>
      </c>
      <c r="D10" s="30">
        <f>IF(Vendedor7!$E$19="",0,Vendedor7!$E$19)</f>
        <v>50</v>
      </c>
      <c r="E10" s="179">
        <f>IF(Vendedor7!$C$20="",0,Vendedor7!$C$20)</f>
        <v>13850</v>
      </c>
      <c r="F10" s="30">
        <f>IF(Vendedor7!$E$20="",0,Vendedor7!$E$20)</f>
        <v>0</v>
      </c>
      <c r="H10" s="42">
        <f t="shared" si="1"/>
        <v>40700</v>
      </c>
      <c r="I10" s="41">
        <f>MROUND(H10*Vendedor7!J$14,50)</f>
        <v>4900</v>
      </c>
      <c r="J10" s="42">
        <f t="shared" si="2"/>
        <v>50</v>
      </c>
      <c r="K10" s="42">
        <f t="shared" si="3"/>
        <v>4250</v>
      </c>
      <c r="L10" s="42">
        <f>Vendedor7!$F$19+Vendedor7!$F$20</f>
        <v>4250</v>
      </c>
      <c r="N10" s="42">
        <f t="shared" si="0"/>
        <v>31550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34800</v>
      </c>
      <c r="D12" s="30">
        <f>IF(Vendedor9!$E$19="",0,Vendedor9!$E$19)</f>
        <v>250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34800</v>
      </c>
      <c r="I12" s="147">
        <f>MROUND(H12*Vendedor9!J$11,50)</f>
        <v>4200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4"/>
      <c r="N12" s="133">
        <f t="shared" si="0"/>
        <v>9350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7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0</v>
      </c>
      <c r="D17" s="30">
        <f>IF(Vendedor14!$E$19="",0,Vendedor14!$E$19)</f>
        <v>0</v>
      </c>
      <c r="E17" s="179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0</v>
      </c>
      <c r="D18" s="30">
        <f>IF(Vendedor15!$E$19="",0,Vendedor15!$E$19)</f>
        <v>0</v>
      </c>
      <c r="E18" s="179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108250</v>
      </c>
      <c r="D32" s="44">
        <f>SUM(D4:D31)</f>
        <v>300</v>
      </c>
      <c r="E32" s="43">
        <f>SUM(E4:E31)</f>
        <v>28700</v>
      </c>
      <c r="F32" s="44">
        <f>SUM(F4:F31)</f>
        <v>400</v>
      </c>
      <c r="H32" s="95">
        <f>SUM(H4:H31)</f>
        <v>136950</v>
      </c>
      <c r="I32" s="45">
        <f>SUM(I7:I31)</f>
        <v>14500</v>
      </c>
      <c r="J32" s="95"/>
      <c r="K32" s="95">
        <f>SUM(K4:K31)</f>
        <v>59500</v>
      </c>
      <c r="L32" s="95">
        <f>SUM(L4:L31)</f>
        <v>57500</v>
      </c>
      <c r="N32" s="79">
        <f>SUM(N4:N31)</f>
        <v>62750</v>
      </c>
    </row>
    <row r="33" spans="3:6" x14ac:dyDescent="0.35">
      <c r="D33" s="99">
        <f>+D32*85</f>
        <v>25500</v>
      </c>
      <c r="F33" s="99">
        <f>+F32*85</f>
        <v>34000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136950</v>
      </c>
      <c r="E36" s="43">
        <f>+D36-H4-H5-H6</f>
        <v>120350</v>
      </c>
    </row>
    <row r="37" spans="3:6" x14ac:dyDescent="0.35">
      <c r="C37" s="47" t="s">
        <v>33</v>
      </c>
      <c r="D37" s="48">
        <f>D36*13%</f>
        <v>17803.5</v>
      </c>
      <c r="E37">
        <f>+D37-I4-I5-I6</f>
        <v>15603.5</v>
      </c>
    </row>
    <row r="38" spans="3:6" ht="15" thickBot="1" x14ac:dyDescent="0.4">
      <c r="C38" s="47" t="s">
        <v>30</v>
      </c>
      <c r="D38" s="30">
        <f>SUM(K4:K27)</f>
        <v>59500</v>
      </c>
    </row>
    <row r="39" spans="3:6" ht="15" thickBot="1" x14ac:dyDescent="0.4">
      <c r="C39" s="49" t="s">
        <v>4</v>
      </c>
      <c r="D39" s="80">
        <f>+D36-D37-D38</f>
        <v>59646.5</v>
      </c>
      <c r="F39" s="98">
        <f>+N32-D39</f>
        <v>3103.5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59646.5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64</v>
      </c>
      <c r="D2" s="267"/>
      <c r="E2" s="266" t="str">
        <f>DigitaHONDURAS!E2</f>
        <v>02</v>
      </c>
      <c r="F2" s="267"/>
      <c r="G2" s="266">
        <f>DigitaHONDURAS!G2</f>
        <v>14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MARTA ROSA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6500</v>
      </c>
      <c r="D10" s="30">
        <f>IF(Vendedor7!$E$21="",0,Vendedor7!$E$21)</f>
        <v>0</v>
      </c>
      <c r="E10" s="179">
        <f>IF(Vendedor7!$C$22="",0,Vendedor7!$C$22)</f>
        <v>13050</v>
      </c>
      <c r="F10" s="30">
        <f>IF(Vendedor7!$E$22="",0,Vendedor7!$E$22)</f>
        <v>0</v>
      </c>
      <c r="G10" s="179">
        <f>IF(Vendedor7!$C$23="",0,Vendedor7!$C$23)</f>
        <v>16200</v>
      </c>
      <c r="H10" s="30">
        <f>IF(Vendedor7!$E$23="",0,Vendedor7!$E$23)</f>
        <v>0</v>
      </c>
      <c r="J10" s="42">
        <f t="shared" si="0"/>
        <v>35750</v>
      </c>
      <c r="K10" s="41">
        <f>MROUND(J10*Vendedor7!J$14,50)</f>
        <v>4300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31450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0</v>
      </c>
      <c r="F16" s="30">
        <f>IF(Vendedor13!$E$22="",0,Vendedor13!$E$22)</f>
        <v>0</v>
      </c>
      <c r="G16" s="179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7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0</v>
      </c>
      <c r="D17" s="30">
        <f>IF(Vendedor14!$E$21="",0,Vendedor14!$E$21)</f>
        <v>0</v>
      </c>
      <c r="E17" s="179">
        <f>IF(Vendedor14!$C$22="",0,Vendedor14!$C$22)</f>
        <v>0</v>
      </c>
      <c r="F17" s="30">
        <f>IF(Vendedor14!$E$22="",0,Vendedor14!$E$22)</f>
        <v>0</v>
      </c>
      <c r="G17" s="179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0</v>
      </c>
      <c r="D18" s="30">
        <f>IF(Vendedor15!$E$21="",0,Vendedor15!$E$21)</f>
        <v>0</v>
      </c>
      <c r="E18" s="179">
        <f>IF(Vendedor15!$C$22="",0,Vendedor15!$C$22)</f>
        <v>0</v>
      </c>
      <c r="F18" s="30">
        <f>IF(Vendedor15!$E$22="",0,Vendedor15!$E$22)</f>
        <v>0</v>
      </c>
      <c r="G18" s="179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0</v>
      </c>
      <c r="F27" s="50">
        <f>IF(Vendedor24!$E$22="",0,Vendedor24!$E$22)</f>
        <v>0</v>
      </c>
      <c r="G27" s="180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6500</v>
      </c>
      <c r="D32" s="44">
        <f t="shared" si="8"/>
        <v>0</v>
      </c>
      <c r="E32" s="43">
        <f t="shared" si="8"/>
        <v>13050</v>
      </c>
      <c r="F32" s="44">
        <f t="shared" si="8"/>
        <v>0</v>
      </c>
      <c r="G32" s="43">
        <f t="shared" si="8"/>
        <v>16200</v>
      </c>
      <c r="H32" s="44">
        <f t="shared" si="8"/>
        <v>0</v>
      </c>
      <c r="J32" s="95">
        <f>SUM(J4:J31)</f>
        <v>35750</v>
      </c>
      <c r="K32" s="45">
        <f>SUM(K7:K31)</f>
        <v>4300</v>
      </c>
      <c r="L32" s="95"/>
      <c r="M32" s="95">
        <f>SUM(M4:M31)</f>
        <v>0</v>
      </c>
      <c r="N32" s="95">
        <f>SUM(N4:N31)</f>
        <v>0</v>
      </c>
      <c r="P32" s="79">
        <f>SUM(P4:P31)</f>
        <v>31450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35750</v>
      </c>
      <c r="E36" s="43">
        <f>+D36-J4-J5-J6</f>
        <v>35750</v>
      </c>
    </row>
    <row r="37" spans="3:8" x14ac:dyDescent="0.35">
      <c r="C37" s="47" t="s">
        <v>33</v>
      </c>
      <c r="D37" s="48">
        <f>D36*13%</f>
        <v>4647.5</v>
      </c>
      <c r="E37">
        <f>+D37-K4-K5-K6</f>
        <v>4647.5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31102.5</v>
      </c>
      <c r="F39" s="98">
        <f>+P32-D39</f>
        <v>347.5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31102.5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04</v>
      </c>
      <c r="D2" s="267"/>
      <c r="E2" s="266">
        <f>DigitaDOMINICANA!E2</f>
        <v>24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MARTA ROSA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41500</v>
      </c>
      <c r="D10" s="30">
        <f>IF(Vendedor7!$E$24="",0,Vendedor7!$E$24)</f>
        <v>0</v>
      </c>
      <c r="E10" s="179">
        <f>IF(Vendedor7!$C$25="",0,Vendedor7!$C$25)</f>
        <v>45000</v>
      </c>
      <c r="F10" s="30">
        <f>IF(Vendedor7!$E$25="",0,Vendedor7!$E$25)</f>
        <v>0</v>
      </c>
      <c r="H10" s="42">
        <f t="shared" si="1"/>
        <v>86500</v>
      </c>
      <c r="I10" s="41">
        <f>MROUND(H10*Vendedor7!J$14,50)</f>
        <v>10400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76100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41500</v>
      </c>
      <c r="D32" s="44">
        <f>SUM(D4:D31)</f>
        <v>0</v>
      </c>
      <c r="E32" s="43">
        <f>SUM(E4:E31)</f>
        <v>45000</v>
      </c>
      <c r="F32" s="44">
        <f>SUM(F4:F31)</f>
        <v>0</v>
      </c>
      <c r="H32" s="95">
        <f>SUM(H4:H31)</f>
        <v>86500</v>
      </c>
      <c r="I32" s="45">
        <f>SUM(I7:I31)</f>
        <v>10400</v>
      </c>
      <c r="J32" s="95"/>
      <c r="K32" s="95">
        <f>SUM(K4:K31)</f>
        <v>0</v>
      </c>
      <c r="L32" s="95">
        <f>SUM(L4:L31)</f>
        <v>0</v>
      </c>
      <c r="N32" s="79">
        <f>SUM(N4:N31)</f>
        <v>76100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86500</v>
      </c>
      <c r="E36" s="43">
        <f>+D36-H4-H5-H6</f>
        <v>86500</v>
      </c>
    </row>
    <row r="37" spans="3:6" x14ac:dyDescent="0.35">
      <c r="C37" s="47" t="s">
        <v>33</v>
      </c>
      <c r="D37" s="48">
        <f>D36*13%</f>
        <v>11245</v>
      </c>
      <c r="E37">
        <f>+D37-I4-I5-I6</f>
        <v>11245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75255</v>
      </c>
      <c r="F39" s="98">
        <f>+N32-D39</f>
        <v>845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75255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 t="str">
        <f>DigitaPANAMENA!C2</f>
        <v/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MARTA ROSA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5" t="str">
        <f ca="1">CONCATENATE("Cuentas ALI ",TEXT('Ctas Banca'!I5,"dd-mm-yyyy"))</f>
        <v>Cuentas ALI 20-07-2026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386550</v>
      </c>
      <c r="C4" s="156">
        <f>HojaNICA!M32</f>
        <v>46450</v>
      </c>
      <c r="D4" s="149">
        <f>HojaNICA!E37</f>
        <v>50222</v>
      </c>
      <c r="E4" s="149">
        <f>HojaNICA!P32</f>
        <v>497000</v>
      </c>
      <c r="F4" s="149">
        <f>HojaNICA!O32</f>
        <v>510000</v>
      </c>
      <c r="G4" s="150">
        <f t="shared" ref="G4:G10" si="0">+D4-C4+F4-E4</f>
        <v>16772</v>
      </c>
      <c r="H4" s="21"/>
      <c r="I4" s="181"/>
    </row>
    <row r="5" spans="1:9" x14ac:dyDescent="0.35">
      <c r="A5" s="28" t="s">
        <v>19</v>
      </c>
      <c r="B5" s="155">
        <f>HojaTICA!$E$36</f>
        <v>770000</v>
      </c>
      <c r="C5" s="156">
        <f>HojaTICA!K32</f>
        <v>95600</v>
      </c>
      <c r="D5" s="149">
        <f>HojaTICA!E37</f>
        <v>100094</v>
      </c>
      <c r="E5" s="149">
        <f>HojaTICA!N32</f>
        <v>1225000</v>
      </c>
      <c r="F5" s="149">
        <f>HojaTICA!D38</f>
        <v>1232500</v>
      </c>
      <c r="G5" s="150">
        <f t="shared" si="0"/>
        <v>11994</v>
      </c>
      <c r="H5" s="21"/>
      <c r="I5" s="181"/>
    </row>
    <row r="6" spans="1:9" x14ac:dyDescent="0.35">
      <c r="A6" s="28" t="s">
        <v>125</v>
      </c>
      <c r="B6" s="155">
        <f>HojaREVENTADO!$E$37</f>
        <v>54700</v>
      </c>
      <c r="C6" s="156">
        <f>HojaREVENTADO!K33</f>
        <v>5470</v>
      </c>
      <c r="D6" s="149">
        <f>HojaREVENTADO!E38</f>
        <v>5470</v>
      </c>
      <c r="E6" s="149">
        <f>HojaREVENTADO!O33</f>
        <v>0</v>
      </c>
      <c r="F6" s="149">
        <f>HojaREVENTADO!N33</f>
        <v>0</v>
      </c>
      <c r="G6" s="150">
        <f t="shared" si="0"/>
        <v>0</v>
      </c>
      <c r="H6" s="21"/>
      <c r="I6" s="181"/>
    </row>
    <row r="7" spans="1:9" x14ac:dyDescent="0.35">
      <c r="A7" s="28" t="s">
        <v>96</v>
      </c>
      <c r="B7" s="155">
        <f>HojaPrimera!$E$36</f>
        <v>120350</v>
      </c>
      <c r="C7" s="156">
        <f>HojaPrimera!I32</f>
        <v>14500</v>
      </c>
      <c r="D7" s="149">
        <f>HojaPrimera!E37</f>
        <v>15603.5</v>
      </c>
      <c r="E7" s="149">
        <f>HojaPrimera!L32</f>
        <v>57500</v>
      </c>
      <c r="F7" s="149">
        <f>HojaPrimera!K32</f>
        <v>59500</v>
      </c>
      <c r="G7" s="150">
        <f t="shared" si="0"/>
        <v>3103.5</v>
      </c>
      <c r="H7" s="21"/>
      <c r="I7" s="21"/>
    </row>
    <row r="8" spans="1:9" x14ac:dyDescent="0.35">
      <c r="A8" s="28" t="s">
        <v>104</v>
      </c>
      <c r="B8" s="155">
        <f>HojaHonduras!$E$36</f>
        <v>35750</v>
      </c>
      <c r="C8" s="156">
        <f>HojaHonduras!K32</f>
        <v>4300</v>
      </c>
      <c r="D8" s="149">
        <f>HojaHonduras!E37</f>
        <v>4647.5</v>
      </c>
      <c r="E8" s="149">
        <f>HojaHonduras!N32</f>
        <v>0</v>
      </c>
      <c r="F8" s="149">
        <f>HojaHonduras!M32</f>
        <v>0</v>
      </c>
      <c r="G8" s="150">
        <f t="shared" si="0"/>
        <v>347.5</v>
      </c>
      <c r="H8" s="21"/>
      <c r="I8" s="21"/>
    </row>
    <row r="9" spans="1:9" x14ac:dyDescent="0.35">
      <c r="A9" s="28" t="s">
        <v>20</v>
      </c>
      <c r="B9" s="155">
        <f>HojaDominicana!$E$36</f>
        <v>86500</v>
      </c>
      <c r="C9" s="156">
        <f>HojaDominicana!I32</f>
        <v>10400</v>
      </c>
      <c r="D9" s="149">
        <f>HojaDominicana!E37</f>
        <v>11245</v>
      </c>
      <c r="E9" s="149">
        <f>HojaDominicana!L32</f>
        <v>0</v>
      </c>
      <c r="F9" s="149">
        <f>HojaDominicana!K32</f>
        <v>0</v>
      </c>
      <c r="G9" s="150">
        <f t="shared" si="0"/>
        <v>845</v>
      </c>
      <c r="H9" s="21"/>
      <c r="I9" s="21"/>
    </row>
    <row r="10" spans="1:9" ht="15" thickBot="1" x14ac:dyDescent="0.4">
      <c r="A10" s="166" t="s">
        <v>21</v>
      </c>
      <c r="B10" s="167">
        <f>HojaPANA!F36</f>
        <v>0</v>
      </c>
      <c r="C10" s="168">
        <f>HojaPANA!G32</f>
        <v>0</v>
      </c>
      <c r="D10" s="169">
        <f>HojaPANA!F37</f>
        <v>0</v>
      </c>
      <c r="E10" s="169">
        <f>HojaPANA!J32</f>
        <v>0</v>
      </c>
      <c r="F10" s="169">
        <f>HojaPANA!I32</f>
        <v>0</v>
      </c>
      <c r="G10" s="170">
        <f t="shared" si="0"/>
        <v>0</v>
      </c>
      <c r="H10" s="21"/>
      <c r="I10" s="21"/>
    </row>
    <row r="11" spans="1:9" ht="19" thickBot="1" x14ac:dyDescent="0.5">
      <c r="A11" s="173" t="s">
        <v>32</v>
      </c>
      <c r="B11" s="174">
        <f>SUM(B4:B10)</f>
        <v>1453850</v>
      </c>
      <c r="C11" s="174">
        <f>SUM(C4:C10)</f>
        <v>176720</v>
      </c>
      <c r="D11" s="174">
        <f t="shared" ref="D11:F11" si="1">SUM(D4:D10)</f>
        <v>187282</v>
      </c>
      <c r="E11" s="174">
        <f t="shared" si="1"/>
        <v>1779500</v>
      </c>
      <c r="F11" s="174">
        <f t="shared" si="1"/>
        <v>1802000</v>
      </c>
      <c r="G11" s="175">
        <f>SUM(G4:G10)</f>
        <v>33062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f>IF(F16&lt;&gt;0,35000,0)</f>
        <v>35000</v>
      </c>
      <c r="H12" s="140">
        <f>+G11-G12</f>
        <v>-1938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205450</v>
      </c>
      <c r="E16" s="156">
        <f>+Vendedor1!D21</f>
        <v>26708.5</v>
      </c>
      <c r="F16" s="157">
        <f>IF(D16&lt;&gt;0,15000,0)</f>
        <v>15000</v>
      </c>
      <c r="G16" s="150">
        <f>+E16-F16</f>
        <v>11708.5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167800</v>
      </c>
      <c r="E17" s="156">
        <f>+Vendedor2!D21</f>
        <v>21814</v>
      </c>
      <c r="F17" s="157">
        <f>IF(D17&lt;&gt;0,15000,0)</f>
        <v>15000</v>
      </c>
      <c r="G17" s="150">
        <f>+E17-F17</f>
        <v>6814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373250</v>
      </c>
      <c r="E19" s="158">
        <f>SUM(E16:E18)</f>
        <v>48522.5</v>
      </c>
      <c r="F19" s="159">
        <f>SUM(F16:F18)</f>
        <v>30000</v>
      </c>
      <c r="G19" s="160">
        <f>SUM(G16:G18)</f>
        <v>18522.5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f>-Vendedor24!C27</f>
        <v>-2000</v>
      </c>
      <c r="E22" s="156">
        <f>-Vendedor24!D27</f>
        <v>-240</v>
      </c>
      <c r="F22" s="157">
        <f>-Vendedor24!F27</f>
        <v>0</v>
      </c>
      <c r="G22" s="150">
        <f>+D22-E22-F22</f>
        <v>-1760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14824.5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7" t="str">
        <f ca="1">CONCATENATE("Tiempos Pana ",TEXT(I5,"dd-mm-yyyy"))</f>
        <v>Tiempos Pana 20-07-2026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439400</v>
      </c>
      <c r="C5" s="149">
        <f>HojaNICA!D37</f>
        <v>57122</v>
      </c>
      <c r="D5" s="149">
        <f>HojaNICA!D38</f>
        <v>510000</v>
      </c>
      <c r="E5" s="149"/>
      <c r="F5" s="150">
        <f>+B5-C5-D5+E5</f>
        <v>-127722</v>
      </c>
      <c r="H5" s="248" t="s">
        <v>105</v>
      </c>
      <c r="I5" s="242">
        <f ca="1">TODAY()-1</f>
        <v>46223</v>
      </c>
      <c r="O5" s="119"/>
    </row>
    <row r="6" spans="1:15" ht="15" thickBot="1" x14ac:dyDescent="0.4">
      <c r="A6" s="47" t="s">
        <v>36</v>
      </c>
      <c r="B6" s="149">
        <f>HojaTICA!D36</f>
        <v>1073800</v>
      </c>
      <c r="C6" s="149">
        <f>HojaTICA!D37</f>
        <v>139594</v>
      </c>
      <c r="D6" s="149">
        <f>HojaTICA!D38</f>
        <v>1232500</v>
      </c>
      <c r="E6" s="149"/>
      <c r="F6" s="150">
        <f t="shared" ref="F6:F11" si="0">+B6-C6-D6+E6</f>
        <v>-298294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54700</v>
      </c>
      <c r="C7" s="149">
        <f>HojaREVENTADO!D38</f>
        <v>5470</v>
      </c>
      <c r="D7" s="149">
        <f>HojaREVENTADO!D39</f>
        <v>0</v>
      </c>
      <c r="E7" s="149"/>
      <c r="F7" s="150">
        <f t="shared" si="0"/>
        <v>49230</v>
      </c>
    </row>
    <row r="8" spans="1:15" x14ac:dyDescent="0.35">
      <c r="A8" s="47" t="s">
        <v>96</v>
      </c>
      <c r="B8" s="149">
        <f>HojaPrimera!$D36</f>
        <v>136950</v>
      </c>
      <c r="C8" s="149">
        <f>HojaPrimera!$D37</f>
        <v>17803.5</v>
      </c>
      <c r="D8" s="149">
        <f>HojaPrimera!$D38</f>
        <v>59500</v>
      </c>
      <c r="E8" s="149"/>
      <c r="F8" s="150">
        <f t="shared" si="0"/>
        <v>59646.5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35750</v>
      </c>
      <c r="C9" s="149">
        <f>HojaHonduras!$D37</f>
        <v>4647.5</v>
      </c>
      <c r="D9" s="149">
        <f>HojaHonduras!$D38</f>
        <v>0</v>
      </c>
      <c r="E9" s="149"/>
      <c r="F9" s="150">
        <f t="shared" si="0"/>
        <v>31102.5</v>
      </c>
      <c r="H9" s="249">
        <f>+K12-K10-H6</f>
        <v>-210782</v>
      </c>
    </row>
    <row r="10" spans="1:15" ht="15" thickBot="1" x14ac:dyDescent="0.4">
      <c r="A10" s="47" t="s">
        <v>20</v>
      </c>
      <c r="B10" s="149">
        <f>HojaDominicana!$D36</f>
        <v>86500</v>
      </c>
      <c r="C10" s="149">
        <f>HojaDominicana!$D37</f>
        <v>11245</v>
      </c>
      <c r="D10" s="149">
        <f>HojaDominicana!$D38</f>
        <v>0</v>
      </c>
      <c r="E10" s="149"/>
      <c r="F10" s="150">
        <f t="shared" si="0"/>
        <v>75255</v>
      </c>
      <c r="H10" s="153"/>
      <c r="J10" t="s">
        <v>148</v>
      </c>
      <c r="K10" s="251">
        <v>5814421.8399999999</v>
      </c>
    </row>
    <row r="11" spans="1:15" ht="15" thickBot="1" x14ac:dyDescent="0.4">
      <c r="A11" s="47" t="s">
        <v>21</v>
      </c>
      <c r="B11" s="149">
        <f>HojaPANA!$D36</f>
        <v>0</v>
      </c>
      <c r="C11" s="149">
        <f>HojaPANA!$D37</f>
        <v>0</v>
      </c>
      <c r="D11" s="164">
        <f>HojaPANA!$D38</f>
        <v>0</v>
      </c>
      <c r="E11" s="149"/>
      <c r="F11" s="150">
        <f t="shared" si="0"/>
        <v>0</v>
      </c>
      <c r="H11" s="213" t="s">
        <v>154</v>
      </c>
      <c r="J11" t="s">
        <v>158</v>
      </c>
      <c r="K11" s="252">
        <f>+K10+F12+H6</f>
        <v>5603639.8399999999</v>
      </c>
    </row>
    <row r="12" spans="1:15" ht="16" thickBot="1" x14ac:dyDescent="0.4">
      <c r="A12" s="143" t="s">
        <v>5</v>
      </c>
      <c r="B12" s="151">
        <f>SUM(B5:B11)</f>
        <v>1827100</v>
      </c>
      <c r="C12" s="151">
        <f>SUM(C5:C11)</f>
        <v>235882</v>
      </c>
      <c r="D12" s="151">
        <f>SUM(D5:D11)</f>
        <v>1802000</v>
      </c>
      <c r="E12" s="151"/>
      <c r="F12" s="254">
        <f>SUM(F5:F11)</f>
        <v>-210782</v>
      </c>
      <c r="H12" s="250">
        <f>K12</f>
        <v>5603639.8399999999</v>
      </c>
      <c r="J12" t="s">
        <v>140</v>
      </c>
      <c r="K12" s="253">
        <f>-589013.98-764799.66+3966994.5+2990458.98</f>
        <v>5603639.8399999999</v>
      </c>
    </row>
    <row r="13" spans="1:15" x14ac:dyDescent="0.35">
      <c r="M13" s="153"/>
    </row>
    <row r="14" spans="1:15" x14ac:dyDescent="0.35"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166400</v>
      </c>
      <c r="K4" s="230">
        <f t="shared" ref="K4" si="0">D7+D11+D15</f>
        <v>21632</v>
      </c>
      <c r="L4" s="219">
        <f>F7+F11+F15</f>
        <v>25500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IF(DigitaNICA!C4&lt;&gt;"",DigitaNICA!C4,"")</f>
        <v>18850</v>
      </c>
      <c r="D5" s="42">
        <f>IF(C5="",0,C5*J$10)</f>
        <v>2450.5</v>
      </c>
      <c r="E5" s="29">
        <f>IF(DigitaNICA!D4&lt;&gt;"",DigitaNICA!D4,"")</f>
        <v>800</v>
      </c>
      <c r="F5" s="42">
        <f>IF(E5="",0,E5*PREMIOS!E5)</f>
        <v>64000</v>
      </c>
      <c r="G5" s="30">
        <f t="shared" ref="G5:G12" si="1">IF(OR(C5="",E5=""),0,C5-D5-F5)</f>
        <v>-47600.5</v>
      </c>
      <c r="I5" s="240" t="s">
        <v>37</v>
      </c>
      <c r="J5" s="220">
        <f>SUM(IF(C5="",0,C5),IF(C9="",0,C9),IF(C13="",0,C13),IF(C17="",0,C17))</f>
        <v>33800</v>
      </c>
      <c r="K5" s="224">
        <f t="shared" ref="K5" si="2">D5+D9+D13+D17</f>
        <v>4394</v>
      </c>
      <c r="L5" s="221">
        <f>F5+F9+F13+F17</f>
        <v>64000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5250</v>
      </c>
      <c r="K6" s="227">
        <f>D19+D20</f>
        <v>682.5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IF(DigitaTICA!C4&lt;&gt;"",DigitaTICA!C4,"")</f>
        <v>70300</v>
      </c>
      <c r="D7" s="42">
        <f>IF(C7="",0,C7*J$9)</f>
        <v>9139</v>
      </c>
      <c r="E7" s="29">
        <f>IF(DigitaTICA!D4&lt;&gt;"",DigitaTICA!D4,"")</f>
        <v>300</v>
      </c>
      <c r="F7" s="42">
        <f>IF(E7="",0,E7*PREMIOS!F7)</f>
        <v>25500</v>
      </c>
      <c r="G7" s="30">
        <f t="shared" si="1"/>
        <v>35661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65</v>
      </c>
      <c r="C9" s="29">
        <f>IF(DigitaNICA!E4&lt;&gt;"",DigitaNICA!E4,"")</f>
        <v>14450</v>
      </c>
      <c r="D9" s="42">
        <f>IF(C9="",0,C9*J$10)</f>
        <v>1878.5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12571.5</v>
      </c>
      <c r="I9" s="76" t="s">
        <v>36</v>
      </c>
      <c r="J9" s="77">
        <v>0.13</v>
      </c>
      <c r="K9" s="78">
        <f>MROUND(D7+D11+D15,50)</f>
        <v>21650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4400</v>
      </c>
    </row>
    <row r="11" spans="1:12" x14ac:dyDescent="0.35">
      <c r="A11" s="28" t="s">
        <v>59</v>
      </c>
      <c r="B11" s="132">
        <f>IF(DigitaTICA!E2&lt;&gt;"",DigitaTICA!E2,"")</f>
        <v>51</v>
      </c>
      <c r="C11" s="29">
        <f>IF(DigitaTICA!E4&lt;&gt;"",DigitaTICA!E4,"")</f>
        <v>30950</v>
      </c>
      <c r="D11" s="42">
        <f>IF(C11="",0,C11*J$9)</f>
        <v>4023.5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26926.5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>
        <f>IF(DigitaTICA!G4&lt;&gt;"",DigitaTICA!G4,"")</f>
        <v>65150</v>
      </c>
      <c r="D15" s="42">
        <f>IF(C15="",0,C15*J$9)</f>
        <v>8469.5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56680.5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>
        <f>IF(DigitaNICA!I4&lt;&gt;"",DigitaNICA!I4,"")</f>
        <v>500</v>
      </c>
      <c r="D17" s="42">
        <f>IF(C17="",0,C17*J$10)</f>
        <v>65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IF(DigitaPRIMERA!C4&lt;&gt;"",DigitaPRIMERA!C4,"")</f>
        <v>5250</v>
      </c>
      <c r="D19" s="42">
        <f>IF(C19="",0,C19*J$12)</f>
        <v>682.5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4567.5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205450</v>
      </c>
      <c r="D21" s="122">
        <f t="shared" ref="D21:G21" si="6">SUM(D5:D20)</f>
        <v>26708.5</v>
      </c>
      <c r="E21" s="122">
        <f t="shared" si="6"/>
        <v>1100</v>
      </c>
      <c r="F21" s="122">
        <f t="shared" si="6"/>
        <v>89500</v>
      </c>
      <c r="G21" s="123">
        <f t="shared" si="6"/>
        <v>89241.5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137400</v>
      </c>
      <c r="K4" s="230">
        <f t="shared" ref="K4" si="0">D7+D11+D15</f>
        <v>17862</v>
      </c>
      <c r="L4" s="219">
        <f>F7+F11+F15</f>
        <v>102000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IF(DigitaNICA!C5&lt;&gt;"",DigitaNICA!C5,"")</f>
        <v>12500</v>
      </c>
      <c r="D5" s="42">
        <f>IF(C5="",0,C5*J$10)</f>
        <v>1625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10875</v>
      </c>
      <c r="I5" s="240" t="s">
        <v>37</v>
      </c>
      <c r="J5" s="220">
        <f>SUM(IF(C5="",0,C5),IF(C9="",0,C9),IF(C13="",0,C13),IF(C17="",0,C17))</f>
        <v>19050</v>
      </c>
      <c r="K5" s="224">
        <f t="shared" ref="K5" si="2">D5+D9+D13+D17</f>
        <v>2476.5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11350</v>
      </c>
      <c r="K6" s="227">
        <f>D19+D20</f>
        <v>1475.5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IF(DigitaTICA!C5&lt;&gt;"",DigitaTICA!C5,"")</f>
        <v>38300</v>
      </c>
      <c r="D7" s="42">
        <f>IF(C7="",0,C7*J$9)</f>
        <v>4979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16321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65</v>
      </c>
      <c r="C9" s="29">
        <f>IF(DigitaNICA!E5&lt;&gt;"",DigitaNICA!E5,"")</f>
        <v>1750</v>
      </c>
      <c r="D9" s="42">
        <f>IF(C9="",0,C9*J$10)</f>
        <v>227.5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1522.5</v>
      </c>
      <c r="I9" s="60" t="s">
        <v>36</v>
      </c>
      <c r="J9" s="61">
        <v>0.13</v>
      </c>
      <c r="K9" s="62">
        <f>MROUND(D7+D11+D15,50)</f>
        <v>17850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2500</v>
      </c>
    </row>
    <row r="11" spans="1:12" x14ac:dyDescent="0.35">
      <c r="A11" s="28" t="s">
        <v>59</v>
      </c>
      <c r="B11" s="132">
        <f>IF(DigitaTICA!E2&lt;&gt;"",DigitaTICA!E2,"")</f>
        <v>51</v>
      </c>
      <c r="C11" s="29">
        <f>IF(DigitaTICA!E5&lt;&gt;"",DigitaTICA!E5,"")</f>
        <v>32600</v>
      </c>
      <c r="D11" s="42">
        <f>IF(C11="",0,C11*J$9)</f>
        <v>4238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28362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>
        <f>IF(DigitaTICA!G5&lt;&gt;"",DigitaTICA!G5,"")</f>
        <v>66500</v>
      </c>
      <c r="D15" s="42">
        <f>IF(C15="",0,C15*J$9)</f>
        <v>8645</v>
      </c>
      <c r="E15" s="29">
        <f>IF(DigitaTICA!H5&lt;&gt;"",DigitaTICA!H5,"")</f>
        <v>1000</v>
      </c>
      <c r="F15" s="42">
        <f>IF(E15="",0,E15*PREMIOS!F15)</f>
        <v>85000</v>
      </c>
      <c r="G15" s="30">
        <f t="shared" si="3"/>
        <v>-27145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>
        <f>IF(DigitaNICA!I5&lt;&gt;"",DigitaNICA!I5,"")</f>
        <v>4800</v>
      </c>
      <c r="D17" s="42">
        <f>IF(C17="",0,C17*J$10)</f>
        <v>624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4176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IF(DigitaPRIMERA!C5&lt;&gt;"",DigitaPRIMERA!C5,"")</f>
        <v>10750</v>
      </c>
      <c r="D19" s="42">
        <f>IF(C19="",0,C19*J$12)</f>
        <v>1397.5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9352.5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IF(DigitaPRIMERA!E5&lt;&gt;"",DigitaPRIMERA!E5,"")</f>
        <v>600</v>
      </c>
      <c r="D20" s="42">
        <f>IF(C20="",0,C20*J$12)</f>
        <v>78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522</v>
      </c>
    </row>
    <row r="21" spans="1:7" ht="15" thickBot="1" x14ac:dyDescent="0.4">
      <c r="A21" s="67" t="s">
        <v>5</v>
      </c>
      <c r="B21" s="127"/>
      <c r="C21" s="68">
        <f>SUM(C5:C20)</f>
        <v>167800</v>
      </c>
      <c r="D21" s="68">
        <f t="shared" ref="D21:G21" si="4">SUM(D5:D20)</f>
        <v>21814</v>
      </c>
      <c r="E21" s="68">
        <f t="shared" si="4"/>
        <v>1200</v>
      </c>
      <c r="F21" s="68">
        <f t="shared" si="4"/>
        <v>102000</v>
      </c>
      <c r="G21" s="88">
        <f t="shared" si="4"/>
        <v>43986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65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51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51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116200</v>
      </c>
      <c r="K4" s="230">
        <f t="shared" ref="K4" si="0">D7+D11+D15</f>
        <v>13944</v>
      </c>
      <c r="L4" s="219">
        <f>F7+F11+F15</f>
        <v>174250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IF(DigitaNICA!C8&lt;&gt;"",DigitaNICA!C8,"")</f>
        <v>29050</v>
      </c>
      <c r="D5" s="42">
        <f>IF(C5="",0,C5*J$12)</f>
        <v>3486</v>
      </c>
      <c r="E5" s="29">
        <f>IF(DigitaNICA!D8&lt;&gt;"",DigitaNICA!D8,"")</f>
        <v>500</v>
      </c>
      <c r="F5" s="42">
        <f>IF(E5="",0,E5*PREMIOS!E5)</f>
        <v>40000</v>
      </c>
      <c r="G5" s="30">
        <f t="shared" ref="G5:G12" si="1">IF(OR(C5="",E5=""),0,C5-D5-F5)</f>
        <v>-14436</v>
      </c>
      <c r="I5" s="240" t="s">
        <v>37</v>
      </c>
      <c r="J5" s="220">
        <f>SUM(IF(C5="",0,C5),IF(C9="",0,C9),IF(C13="",0,C13),IF(C17="",0,C17))</f>
        <v>95900</v>
      </c>
      <c r="K5" s="224">
        <f t="shared" ref="K5" si="2">D5+D9+D13+D17</f>
        <v>11508</v>
      </c>
      <c r="L5" s="221">
        <f>F5+F9+F13+F17</f>
        <v>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IF(DigitaTICA!C8&lt;&gt;"",DigitaTICA!C8,"")</f>
        <v>42000</v>
      </c>
      <c r="D7" s="42">
        <f>IF(C7="",0,C7*J$11)</f>
        <v>5040</v>
      </c>
      <c r="E7" s="29">
        <f>IF(DigitaTICA!D8&lt;&gt;"",DigitaTICA!D8,"")</f>
        <v>600</v>
      </c>
      <c r="F7" s="42">
        <f>IF(E7="",0,E7*PREMIOS!F7)</f>
        <v>51000</v>
      </c>
      <c r="G7" s="30">
        <f t="shared" si="1"/>
        <v>-14040</v>
      </c>
      <c r="I7" s="241" t="s">
        <v>96</v>
      </c>
      <c r="J7" s="223">
        <f>SUM(IF(C19="",0,C19),IF(C20="",0,C20))</f>
        <v>44850</v>
      </c>
      <c r="K7" s="227">
        <f>+D19+D20</f>
        <v>5382</v>
      </c>
      <c r="L7" s="228">
        <f>+F19+F20</f>
        <v>32000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65</v>
      </c>
      <c r="C9" s="29">
        <f>IF(DigitaNICA!E8&lt;&gt;"",DigitaNICA!E8,"")</f>
        <v>29800</v>
      </c>
      <c r="D9" s="42">
        <f>IF(C9="",0,C9*J$12)</f>
        <v>3576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26224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51</v>
      </c>
      <c r="C11" s="29">
        <f>IF(DigitaTICA!E8&lt;&gt;"",DigitaTICA!E8,"")</f>
        <v>36600</v>
      </c>
      <c r="D11" s="42">
        <f>IF(C11="",0,C11*J$11)</f>
        <v>4392</v>
      </c>
      <c r="E11" s="29">
        <f>IF(DigitaTICA!F8&lt;&gt;"",DigitaTICA!F8,"")</f>
        <v>1150</v>
      </c>
      <c r="F11" s="42">
        <f>IF(E11="",0,E11*PREMIOS!F11)</f>
        <v>97750</v>
      </c>
      <c r="G11" s="30">
        <f t="shared" si="1"/>
        <v>-65542</v>
      </c>
      <c r="I11" s="60" t="s">
        <v>36</v>
      </c>
      <c r="J11" s="61">
        <v>0.12</v>
      </c>
      <c r="K11" s="62">
        <f>MROUND(D7+D11+D15,50)</f>
        <v>13950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11500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5400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>
        <f>IF(DigitaTICA!G8&lt;&gt;"",DigitaTICA!G8,"")</f>
        <v>37600</v>
      </c>
      <c r="D15" s="42">
        <f>IF(C15="",0,C15*J$11)</f>
        <v>4512</v>
      </c>
      <c r="E15" s="29">
        <f>IF(DigitaTICA!H8&lt;&gt;"",DigitaTICA!H8,"")</f>
        <v>300</v>
      </c>
      <c r="F15" s="42">
        <f>IF(E15="",0,E15*PREMIOS!F15)</f>
        <v>25500</v>
      </c>
      <c r="G15" s="30">
        <f t="shared" si="4"/>
        <v>7588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>
        <f>IF(DigitaNICA!I8&lt;&gt;"",DigitaNICA!I8,"")</f>
        <v>37050</v>
      </c>
      <c r="D17" s="42">
        <f>IF(C17="",0,C17*J$12)</f>
        <v>4446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32604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IF(DigitaPRIMERA!C8&lt;&gt;"",DigitaPRIMERA!C8,"")</f>
        <v>30600</v>
      </c>
      <c r="D19" s="42">
        <f>IF(C19="",0,C19*J$14)</f>
        <v>3672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26928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>
        <f>IF(DigitaPRIMERA!E8&lt;&gt;"",DigitaPRIMERA!E8,"")</f>
        <v>14250</v>
      </c>
      <c r="D20" s="42">
        <f>IF(C20="",0,C20*J$14)</f>
        <v>1710</v>
      </c>
      <c r="E20" s="29">
        <f>IF(DigitaPRIMERA!F8&lt;&gt;"",DigitaPRIMERA!F8,"")</f>
        <v>400</v>
      </c>
      <c r="F20" s="42">
        <f>IF(E20="",0,E20*PREMIOS!E19)</f>
        <v>32000</v>
      </c>
      <c r="G20" s="30">
        <f t="shared" si="4"/>
        <v>-19460</v>
      </c>
    </row>
    <row r="21" spans="1:7" ht="15" thickBot="1" x14ac:dyDescent="0.4">
      <c r="A21" s="121" t="s">
        <v>5</v>
      </c>
      <c r="B21" s="128"/>
      <c r="C21" s="122">
        <f>SUM(C5:C20)</f>
        <v>256950</v>
      </c>
      <c r="D21" s="122">
        <f t="shared" ref="D21:G21" si="5">SUM(D5:D20)</f>
        <v>30834</v>
      </c>
      <c r="E21" s="122">
        <f t="shared" si="5"/>
        <v>2950</v>
      </c>
      <c r="F21" s="122">
        <f t="shared" si="5"/>
        <v>246250</v>
      </c>
      <c r="G21" s="123">
        <f t="shared" si="5"/>
        <v>-20134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MARTA ROSA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51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340050</v>
      </c>
      <c r="K4" s="230">
        <f t="shared" ref="K4" si="0">D7+D11+D15</f>
        <v>40806</v>
      </c>
      <c r="L4" s="219">
        <f>F7+F11+F15</f>
        <v>454750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IF(DigitaNICA!C10&lt;&gt;"",DigitaNICA!C10,"")</f>
        <v>48750</v>
      </c>
      <c r="D5" s="42">
        <f>IF(C5="",0,C5*J$15)</f>
        <v>5850</v>
      </c>
      <c r="E5" s="29">
        <f>IF(DigitaNICA!D10&lt;&gt;"",DigitaNICA!D10,"")</f>
        <v>3300</v>
      </c>
      <c r="F5" s="42">
        <f>IF(E5="",0,E5*PREMIOS!F5)</f>
        <v>280500</v>
      </c>
      <c r="G5" s="30">
        <f t="shared" ref="G5:G12" si="1">IF(OR(C5="",E5=""),0,C5-D5-F5)</f>
        <v>-237600</v>
      </c>
      <c r="I5" s="216" t="s">
        <v>37</v>
      </c>
      <c r="J5" s="220">
        <f>SUM(IF(C5="",0,C5),IF(C9="",0,C9),IF(C13="",0,C13),IF(C17="",0,C17))</f>
        <v>175300</v>
      </c>
      <c r="K5" s="224">
        <f t="shared" ref="K5" si="2">D5+D9+D13+D17</f>
        <v>21036</v>
      </c>
      <c r="L5" s="221">
        <f>F5+F9+F13+F17</f>
        <v>289000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49100</v>
      </c>
      <c r="K6" s="225">
        <f t="shared" ref="K6" si="3">+D8+D12+D16</f>
        <v>4910</v>
      </c>
      <c r="L6" s="226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IF(DigitaTICA!C10&lt;&gt;"",DigitaTICA!C10,"")</f>
        <v>155200</v>
      </c>
      <c r="D7" s="42">
        <f>IF(C7="",0,C7*J$14)</f>
        <v>18624</v>
      </c>
      <c r="E7" s="29">
        <f>IF(DigitaTICA!D10&lt;&gt;"",DigitaTICA!D10,"")</f>
        <v>3200</v>
      </c>
      <c r="F7" s="42">
        <f>IF(E7="",0,E7*PREMIOS!F7)</f>
        <v>272000</v>
      </c>
      <c r="G7" s="30">
        <f t="shared" si="1"/>
        <v>-135424</v>
      </c>
      <c r="I7" s="216" t="s">
        <v>96</v>
      </c>
      <c r="J7" s="222">
        <f>SUM(IF(C19="",0,C19),IF(C20="",0,C20))</f>
        <v>40700</v>
      </c>
      <c r="K7" s="225">
        <f>+D19+D20</f>
        <v>4884</v>
      </c>
      <c r="L7" s="226">
        <f>+F19+F20</f>
        <v>4250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20400</v>
      </c>
      <c r="D8" s="42">
        <f>IF(C8="",0,C8*J$16)</f>
        <v>2040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18360</v>
      </c>
      <c r="I8" s="216" t="s">
        <v>104</v>
      </c>
      <c r="J8" s="222">
        <f>SUM(IF(C21="",0,C21),IF(C22="",0,C22),IF(C23="",0,C23))</f>
        <v>35750</v>
      </c>
      <c r="K8" s="225">
        <f t="shared" ref="K8" si="4">D21+D22+D23</f>
        <v>4290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65</v>
      </c>
      <c r="C9" s="29">
        <f>IF(DigitaNICA!E10&lt;&gt;"",DigitaNICA!E10,"")</f>
        <v>73200</v>
      </c>
      <c r="D9" s="42">
        <f>IF(C9="",0,C9*J$15)</f>
        <v>8784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64416</v>
      </c>
      <c r="I9" s="216" t="s">
        <v>20</v>
      </c>
      <c r="J9" s="222">
        <f>SUM(IF(C24="",0,C24),IF(C25="",0,C25))</f>
        <v>86500</v>
      </c>
      <c r="K9" s="225">
        <f t="shared" ref="K9" si="5">+D24+D25</f>
        <v>10380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51</v>
      </c>
      <c r="C11" s="29">
        <f>IF(DigitaTICA!E10&lt;&gt;"",DigitaTICA!E10,"")</f>
        <v>89950</v>
      </c>
      <c r="D11" s="42">
        <f>IF(C11="",0,C11*J$14)</f>
        <v>10794</v>
      </c>
      <c r="E11" s="29">
        <f>IF(DigitaTICA!F10&lt;&gt;"",DigitaTICA!F10,"")</f>
        <v>300</v>
      </c>
      <c r="F11" s="42">
        <f>IF(E11="",0,E11*PREMIOS!F11)</f>
        <v>25500</v>
      </c>
      <c r="G11" s="30">
        <f t="shared" si="1"/>
        <v>53656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16150</v>
      </c>
      <c r="D12" s="42">
        <f>IF(C12="",0,C12*J$16)</f>
        <v>1615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14535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40800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>
        <f>IF(DigitaTICA!G10&lt;&gt;"",DigitaTICA!G10,"")</f>
        <v>94900</v>
      </c>
      <c r="D15" s="42">
        <f>IF(C15="",0,C15*J$14)</f>
        <v>11388</v>
      </c>
      <c r="E15" s="29">
        <f>IF(DigitaTICA!H10&lt;&gt;"",DigitaTICA!H10,"")</f>
        <v>1850</v>
      </c>
      <c r="F15" s="42">
        <f>IF(E15="",0,E15*PREMIOS!F15)</f>
        <v>157250</v>
      </c>
      <c r="G15" s="30">
        <f t="shared" si="6"/>
        <v>-73738</v>
      </c>
      <c r="I15" s="63" t="s">
        <v>37</v>
      </c>
      <c r="J15" s="64">
        <v>0.12</v>
      </c>
      <c r="K15" s="30">
        <f>MROUND(D5+D9+D13+D17,50)</f>
        <v>21050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12550</v>
      </c>
      <c r="D16" s="42">
        <f>IF(C16="",0,C16*J$16)</f>
        <v>1255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11295</v>
      </c>
      <c r="I16" s="63" t="s">
        <v>38</v>
      </c>
      <c r="J16" s="64">
        <v>0.1</v>
      </c>
      <c r="K16" s="30">
        <f>MROUND(D6+D8+D10+D12+D14+D16+D18,50)</f>
        <v>4900</v>
      </c>
    </row>
    <row r="17" spans="1:11" x14ac:dyDescent="0.35">
      <c r="A17" s="28" t="s">
        <v>52</v>
      </c>
      <c r="B17" s="132">
        <f>IF(DigitaNICA!I2&lt;&gt;"",DigitaNICA!I2,"")</f>
        <v>65</v>
      </c>
      <c r="C17" s="29">
        <f>IF(DigitaNICA!I10&lt;&gt;"",DigitaNICA!I10,"")</f>
        <v>53350</v>
      </c>
      <c r="D17" s="42">
        <f>IF(C17="",0,C17*J$15)</f>
        <v>6402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38448</v>
      </c>
      <c r="I17" s="63" t="s">
        <v>96</v>
      </c>
      <c r="J17" s="64">
        <v>0.12</v>
      </c>
      <c r="K17" s="30">
        <f>MROUND(D19+D20,50)</f>
        <v>4900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4300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>
        <f>IF(DigitaPRIMERA!$C$10&lt;&gt;"",DigitaPRIMERA!$C$10,"")</f>
        <v>26850</v>
      </c>
      <c r="D19" s="42">
        <f>IF(C19="",0,C19*J$17)</f>
        <v>3222</v>
      </c>
      <c r="E19" s="29">
        <f>IF(DigitaPRIMERA!$D$10&lt;&gt;"",DigitaPRIMERA!$D$10,"")</f>
        <v>50</v>
      </c>
      <c r="F19" s="42">
        <f>IF(E19="",0,E19*PREMIOS!F19)</f>
        <v>4250</v>
      </c>
      <c r="G19" s="30">
        <f t="shared" ref="G19:G22" si="7">IF(OR(C19="",E19=""),0,C19-D19-F19)</f>
        <v>19378</v>
      </c>
      <c r="I19" s="63" t="s">
        <v>20</v>
      </c>
      <c r="J19" s="64">
        <v>0.12</v>
      </c>
      <c r="K19" s="30">
        <f>MROUND(D24+D25,50)</f>
        <v>10400</v>
      </c>
    </row>
    <row r="20" spans="1:11" ht="15" thickBot="1" x14ac:dyDescent="0.4">
      <c r="A20" s="28" t="s">
        <v>98</v>
      </c>
      <c r="B20" s="132">
        <f>IF(DigitaPRIMERA!E2&lt;&gt;"",DigitaPRIMERA!E2,"")</f>
        <v>43</v>
      </c>
      <c r="C20" s="29">
        <f>IF(DigitaPRIMERA!$E$10&lt;&gt;"",DigitaPRIMERA!$E$10,"")</f>
        <v>13850</v>
      </c>
      <c r="D20" s="42">
        <f>IF(C20="",0,C20*J$17)</f>
        <v>1662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12188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64</v>
      </c>
      <c r="C21" s="29">
        <f>IF(DigitaHONDURAS!$C$10&lt;&gt;"",DigitaHONDURAS!$C$10,"")</f>
        <v>6500</v>
      </c>
      <c r="D21" s="42">
        <f>IF(C21="",0,C21*J$18)</f>
        <v>780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5720</v>
      </c>
    </row>
    <row r="22" spans="1:11" x14ac:dyDescent="0.35">
      <c r="A22" s="28" t="s">
        <v>100</v>
      </c>
      <c r="B22" s="132" t="str">
        <f>IF(DigitaHONDURAS!E2&lt;&gt;"",DigitaHONDURAS!E2,"")</f>
        <v>02</v>
      </c>
      <c r="C22" s="29">
        <f>IF(DigitaHONDURAS!$E$10&lt;&gt;"",DigitaHONDURAS!$E$10,"")</f>
        <v>13050</v>
      </c>
      <c r="D22" s="42">
        <f>IF(C22="",0,C22*J$18)</f>
        <v>1566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11484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>
        <f>IF(DigitaHONDURAS!$G$10&lt;&gt;"",DigitaHONDURAS!$G$10,"")</f>
        <v>16200</v>
      </c>
      <c r="D23" s="42">
        <f>IF(C23="",0,C23*J$18)</f>
        <v>1944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14256</v>
      </c>
    </row>
    <row r="24" spans="1:11" x14ac:dyDescent="0.35">
      <c r="A24" s="28" t="s">
        <v>107</v>
      </c>
      <c r="B24" s="132" t="str">
        <f>IF(DigitaDOMINICANA!C2&lt;&gt;"",DigitaDOMINICANA!C2,"")</f>
        <v>04</v>
      </c>
      <c r="C24" s="29">
        <f>IF(DigitaDOMINICANA!$C$10&lt;&gt;"",DigitaDOMINICANA!$C$10,"")</f>
        <v>41500</v>
      </c>
      <c r="D24" s="42">
        <f>IF(C24="",0,C24*J$19)</f>
        <v>4980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36520</v>
      </c>
    </row>
    <row r="25" spans="1:11" x14ac:dyDescent="0.35">
      <c r="A25" s="28" t="s">
        <v>108</v>
      </c>
      <c r="B25" s="132">
        <f>IF(DigitaDOMINICANA!E2&lt;&gt;"",DigitaDOMINICANA!E2,"")</f>
        <v>24</v>
      </c>
      <c r="C25" s="29">
        <f>IF(DigitaDOMINICANA!$E$10&lt;&gt;"",DigitaDOMINICANA!$E$10,"")</f>
        <v>45000</v>
      </c>
      <c r="D25" s="42">
        <f>IF(C25="",0,C25*J$19)</f>
        <v>5400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39600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727400</v>
      </c>
      <c r="D27" s="68">
        <f t="shared" ref="D27:F27" si="9">SUM(D5:D26)</f>
        <v>86306</v>
      </c>
      <c r="E27" s="68">
        <f t="shared" si="9"/>
        <v>8800</v>
      </c>
      <c r="F27" s="68">
        <f t="shared" si="9"/>
        <v>748000</v>
      </c>
      <c r="G27" s="88">
        <f>SUM(G5:G26)</f>
        <v>-106906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7000</v>
      </c>
      <c r="K4" s="230">
        <f t="shared" ref="K4" si="0">D7+D11+D15</f>
        <v>840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65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51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850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>
        <f>IF(DigitaTICA!G11&lt;&gt;"",DigitaTICA!G11,"")</f>
        <v>7000</v>
      </c>
      <c r="D15" s="42">
        <f>IF(C15="",0,C15*J$11)</f>
        <v>840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6160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7000</v>
      </c>
      <c r="D21" s="122">
        <f t="shared" ref="D21:G21" si="5">SUM(D5:D20)</f>
        <v>840</v>
      </c>
      <c r="E21" s="122">
        <f t="shared" si="5"/>
        <v>0</v>
      </c>
      <c r="F21" s="122">
        <f t="shared" si="5"/>
        <v>0</v>
      </c>
      <c r="G21" s="123">
        <f t="shared" si="5"/>
        <v>6160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3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67900</v>
      </c>
      <c r="K4" s="230">
        <f>D7+D11+D15</f>
        <v>8148</v>
      </c>
      <c r="L4" s="219">
        <f>F7+F11+F15</f>
        <v>187000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IF(DigitaNICA!C12&lt;&gt;"",DigitaNICA!C12,"")</f>
        <v>33500</v>
      </c>
      <c r="D5" s="42">
        <f>IF(C5="",0,C5*J$12)</f>
        <v>4020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29480</v>
      </c>
      <c r="I5" s="216" t="s">
        <v>37</v>
      </c>
      <c r="J5" s="220">
        <f>SUM(IF(C5="",0,C5),IF(C9="",0,C9),IF(C13="",0,C13),IF(C17="",0,C17))</f>
        <v>51050</v>
      </c>
      <c r="K5" s="224">
        <f t="shared" ref="K5" si="1">D5+D9+D13+D17</f>
        <v>6126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4600</v>
      </c>
      <c r="K6" s="225">
        <f t="shared" ref="K6" si="2">+D8+D12+D16</f>
        <v>460</v>
      </c>
      <c r="L6" s="226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IF(DigitaTICA!C12&lt;&gt;"",DigitaTICA!C12,"")</f>
        <v>41600</v>
      </c>
      <c r="D7" s="42">
        <f>IF(C7="",0,C7*J$11)</f>
        <v>4992</v>
      </c>
      <c r="E7" s="29">
        <f>IF(DigitaTICA!D12&lt;&gt;"",DigitaTICA!D12,"")</f>
        <v>1900</v>
      </c>
      <c r="F7" s="42">
        <f>IF(E7="",0,E7*PREMIOS!F7)</f>
        <v>161500</v>
      </c>
      <c r="G7" s="30">
        <f t="shared" si="0"/>
        <v>-124892</v>
      </c>
      <c r="I7" s="216" t="s">
        <v>96</v>
      </c>
      <c r="J7" s="222">
        <f>SUM(IF(C19="",0,C19),IF(C20="",0,C20))</f>
        <v>34800</v>
      </c>
      <c r="K7" s="225">
        <f>+D19+D20</f>
        <v>4176</v>
      </c>
      <c r="L7" s="226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1500</v>
      </c>
      <c r="D8" s="42">
        <f>IF(C8="",0,C8*J$13)</f>
        <v>150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1350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65</v>
      </c>
      <c r="C9" s="29">
        <f>IF(DigitaNICA!E12&lt;&gt;"",DigitaNICA!E12,"")</f>
        <v>17550</v>
      </c>
      <c r="D9" s="42">
        <f>IF(C9="",0,C9*J$12)</f>
        <v>2106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15444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51</v>
      </c>
      <c r="C11" s="29">
        <f>IF(DigitaTICA!E12&lt;&gt;"",DigitaTICA!E12,"")</f>
        <v>18100</v>
      </c>
      <c r="D11" s="42">
        <f>IF(C11="",0,C11*J$11)</f>
        <v>2172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15928</v>
      </c>
      <c r="I11" s="60" t="s">
        <v>36</v>
      </c>
      <c r="J11" s="61">
        <v>0.12</v>
      </c>
      <c r="K11" s="62">
        <f>MROUND(D7+D11+D15,50)</f>
        <v>8150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2600</v>
      </c>
      <c r="D12" s="42">
        <f>IF(C12="",0,C12*J$13)</f>
        <v>260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2340</v>
      </c>
      <c r="I12" s="63" t="s">
        <v>37</v>
      </c>
      <c r="J12" s="64">
        <v>0.12</v>
      </c>
      <c r="K12" s="30">
        <f>MROUND(D5+D9+D13+D17,50)</f>
        <v>6150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4200</v>
      </c>
    </row>
    <row r="15" spans="1:12" ht="15" thickBot="1" x14ac:dyDescent="0.4">
      <c r="A15" s="28" t="s">
        <v>61</v>
      </c>
      <c r="B15" s="132" t="str">
        <f>IF(DigitaTICA!G2&lt;&gt;"",DigitaTICA!G2,"")</f>
        <v>04</v>
      </c>
      <c r="C15" s="29">
        <f>IF(DigitaTICA!G12&lt;&gt;"",DigitaTICA!G12,"")</f>
        <v>8200</v>
      </c>
      <c r="D15" s="42">
        <f>IF(C15="",0,C15*J$11)</f>
        <v>984</v>
      </c>
      <c r="E15" s="29">
        <f>IF(DigitaTICA!H12&lt;&gt;"",DigitaTICA!H12,"")</f>
        <v>300</v>
      </c>
      <c r="F15" s="42">
        <f>IF(E15="",0,E15*PREMIOS!F15)</f>
        <v>25500</v>
      </c>
      <c r="G15" s="30">
        <f t="shared" si="3"/>
        <v>-18284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65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>
        <f>IF(DigitaPRIMERA!$C$12&lt;&gt;"",DigitaPRIMERA!$C$12,"")</f>
        <v>34800</v>
      </c>
      <c r="D19" s="42">
        <f>IF(C19="",0,C19*J$14)</f>
        <v>4176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9374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64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02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14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158350</v>
      </c>
      <c r="D24" s="68">
        <f t="shared" ref="D24:G24" si="4">SUM(D5:D23)</f>
        <v>18910</v>
      </c>
      <c r="E24" s="68">
        <f t="shared" si="4"/>
        <v>2450</v>
      </c>
      <c r="F24" s="68">
        <f t="shared" si="4"/>
        <v>208250</v>
      </c>
      <c r="G24" s="88">
        <f t="shared" si="4"/>
        <v>-68810</v>
      </c>
    </row>
    <row r="27" spans="1:7" x14ac:dyDescent="0.35">
      <c r="G27" s="21">
        <v>292242</v>
      </c>
    </row>
    <row r="28" spans="1:7" x14ac:dyDescent="0.35">
      <c r="G28" s="140">
        <f>+G24+G27</f>
        <v>223432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77600</v>
      </c>
      <c r="K4" s="230">
        <f t="shared" ref="K4" si="0">D7+D11+D15</f>
        <v>9312</v>
      </c>
      <c r="L4" s="219">
        <f>F7+F11+F15</f>
        <v>161500</v>
      </c>
    </row>
    <row r="5" spans="1:12" ht="15" thickBot="1" x14ac:dyDescent="0.4">
      <c r="A5" s="28" t="s">
        <v>43</v>
      </c>
      <c r="B5" s="132">
        <f>IF(DigitaNICA!C2&lt;&gt;"",DigitaNICA!C2,"")</f>
        <v>32</v>
      </c>
      <c r="C5" s="29">
        <f>IF(DigitaNICA!C13&lt;&gt;"",DigitaNICA!C13,"")</f>
        <v>21100</v>
      </c>
      <c r="D5" s="42">
        <f>IF(C5="",0,C5*J$10)</f>
        <v>2532</v>
      </c>
      <c r="E5" s="29">
        <f>IF(DigitaNICA!D13&lt;&gt;"",DigitaNICA!D13,"")</f>
        <v>700</v>
      </c>
      <c r="F5" s="42">
        <f>IF(E5="",0,E5*PREMIOS!E5)</f>
        <v>56000</v>
      </c>
      <c r="G5" s="30">
        <f t="shared" ref="G5:G12" si="1">IF(OR(C5="",E5=""),0,C5-D5-F5)</f>
        <v>-37432</v>
      </c>
      <c r="I5" s="217" t="s">
        <v>37</v>
      </c>
      <c r="J5" s="231">
        <f>SUM(IF(C5="",0,C5),IF(C9="",0,C9),IF(C13="",0,C13),IF(C17="",0,C17))</f>
        <v>37300</v>
      </c>
      <c r="K5" s="232">
        <f t="shared" ref="K5" si="2">D5+D9+D13+D17</f>
        <v>4476</v>
      </c>
      <c r="L5" s="233">
        <f>F5+F9+F13+F17</f>
        <v>96000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IF(DigitaTICA!C13&lt;&gt;"",DigitaTICA!C13,"")</f>
        <v>18100</v>
      </c>
      <c r="D7" s="42">
        <f>IF(C7="",0,C7*J$9)</f>
        <v>2172</v>
      </c>
      <c r="E7" s="29">
        <f>IF(DigitaTICA!D13&lt;&gt;"",DigitaTICA!D13,"")</f>
        <v>500</v>
      </c>
      <c r="F7" s="133">
        <f>IF(E7="",0,E7*PREMIOS!F7)</f>
        <v>42500</v>
      </c>
      <c r="G7" s="30">
        <f t="shared" si="1"/>
        <v>-26572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65</v>
      </c>
      <c r="C9" s="29">
        <f>IF(DigitaNICA!E13&lt;&gt;"",DigitaNICA!E13,"")</f>
        <v>14300</v>
      </c>
      <c r="D9" s="42">
        <f>IF(C9="",0,C9*J$10)</f>
        <v>1716</v>
      </c>
      <c r="E9" s="29">
        <f>IF(DigitaNICA!F13&lt;&gt;"",DigitaNICA!F13,"")</f>
        <v>500</v>
      </c>
      <c r="F9" s="133">
        <f>IF(E9="",0,E9*PREMIOS!E9)</f>
        <v>40000</v>
      </c>
      <c r="G9" s="30">
        <f t="shared" si="1"/>
        <v>-27416</v>
      </c>
      <c r="I9" s="60" t="s">
        <v>36</v>
      </c>
      <c r="J9" s="61">
        <v>0.12</v>
      </c>
      <c r="K9" s="62">
        <f>MROUND(D7+D11+D15,50)</f>
        <v>9300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4500</v>
      </c>
    </row>
    <row r="11" spans="1:12" ht="15" thickBot="1" x14ac:dyDescent="0.4">
      <c r="A11" s="28" t="s">
        <v>59</v>
      </c>
      <c r="B11" s="132">
        <f>IF(DigitaTICA!E2&lt;&gt;"",DigitaTICA!E2,"")</f>
        <v>51</v>
      </c>
      <c r="C11" s="29">
        <f>IF(DigitaTICA!E13&lt;&gt;"",DigitaTICA!E13,"")</f>
        <v>26700</v>
      </c>
      <c r="D11" s="42">
        <f>IF(C11="",0,C11*J$9)</f>
        <v>3204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14996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>
        <f>IF(DigitaTICA!G13&lt;&gt;"",DigitaTICA!G13,"")</f>
        <v>32800</v>
      </c>
      <c r="D15" s="42">
        <f>IF(C15="",0,C15*J$9)</f>
        <v>3936</v>
      </c>
      <c r="E15" s="29">
        <f>IF(DigitaTICA!H13&lt;&gt;"",DigitaTICA!H13,"")</f>
        <v>1300</v>
      </c>
      <c r="F15" s="133">
        <f>IF(E15="",0,E15*PREMIOS!F15)</f>
        <v>110500</v>
      </c>
      <c r="G15" s="30">
        <f t="shared" si="3"/>
        <v>-81636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>
        <f>IF(DigitaNICA!I13&lt;&gt;"",DigitaNICA!I13,"")</f>
        <v>1900</v>
      </c>
      <c r="D17" s="42">
        <f>IF(C17="",0,C17*J$10)</f>
        <v>228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1672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114900</v>
      </c>
      <c r="D19" s="68">
        <f>MROUND(SUM(D5:D18),50)</f>
        <v>13800</v>
      </c>
      <c r="E19" s="68">
        <f>SUM(E5:E18)</f>
        <v>3100</v>
      </c>
      <c r="F19" s="68">
        <f>SUM(F5:F18)</f>
        <v>257500</v>
      </c>
      <c r="G19" s="88">
        <f>SUM(G5:G18)</f>
        <v>-156388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106200</v>
      </c>
      <c r="K4" s="235">
        <f t="shared" ref="K4" si="0">D7+D11+D15</f>
        <v>15930</v>
      </c>
      <c r="L4" s="236">
        <f>F7+F11+F15</f>
        <v>120000</v>
      </c>
    </row>
    <row r="5" spans="1:12" x14ac:dyDescent="0.35">
      <c r="A5" s="28" t="s">
        <v>43</v>
      </c>
      <c r="B5" s="132">
        <f>IF(DigitaNICA!C2&lt;&gt;"",DigitaNICA!C2,"")</f>
        <v>32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>
        <f>IF(DigitaTICA!C14&lt;&gt;"",DigitaTICA!C14,"")</f>
        <v>50200</v>
      </c>
      <c r="D7" s="42">
        <f>IF(C7="",0,C7*J$9)</f>
        <v>7530</v>
      </c>
      <c r="E7" s="29">
        <f>IF(DigitaTICA!D14&lt;&gt;"",DigitaTICA!D14,"")</f>
        <v>1500</v>
      </c>
      <c r="F7" s="42">
        <f>IF(E7="",0,E7*PREMIOS!E7)</f>
        <v>120000</v>
      </c>
      <c r="G7" s="30">
        <f t="shared" si="1"/>
        <v>-77330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15950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51</v>
      </c>
      <c r="C11" s="29">
        <f>IF(DigitaTICA!E14&lt;&gt;"",DigitaTICA!E14,"")</f>
        <v>31300</v>
      </c>
      <c r="D11" s="42">
        <f>IF(C11="",0,C11*J$9)</f>
        <v>4695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26605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>
        <f>IF(DigitaTICA!G14&lt;&gt;"",DigitaTICA!G14,"")</f>
        <v>24700</v>
      </c>
      <c r="D15" s="42">
        <f>IF(C15="",0,C15*J$9)</f>
        <v>3705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20995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106200</v>
      </c>
      <c r="D19" s="68">
        <f>MROUND(SUM(D5:D18),50)</f>
        <v>15950</v>
      </c>
      <c r="E19" s="68">
        <f>SUM(E5:E18)</f>
        <v>1500</v>
      </c>
      <c r="F19" s="68">
        <f>SUM(F5:F18)</f>
        <v>120000</v>
      </c>
      <c r="G19" s="88">
        <f>SUM(G5:G18)</f>
        <v>-29730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32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 t="str">
        <f>IF(DigitaTICA!C2&lt;&gt;"",DigitaTICA!C2,"")</f>
        <v>07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65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51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 t="str">
        <f>IF(DigitaTICA!G2&lt;&gt;"",DigitaTICA!G2,"")</f>
        <v>04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53050</v>
      </c>
      <c r="K4" s="230">
        <f>D7+D11+D15</f>
        <v>6366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29">
        <f>IF(DigitaNICA!C16&lt;&gt;"",DigitaNICA!C16,"")</f>
        <v>10000</v>
      </c>
      <c r="D5" s="42">
        <f>IF(C5="",0,C5*J$12)</f>
        <v>1200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8800</v>
      </c>
      <c r="I5" s="63" t="s">
        <v>37</v>
      </c>
      <c r="J5" s="224">
        <f>SUM(IF(C5="",0,C5),IF(C9="",0,C9),IF(C13="",0,C13),IF(C17="",0,C17))</f>
        <v>27000</v>
      </c>
      <c r="K5" s="224">
        <f t="shared" ref="K5" si="1">D5+D9+D13+D17</f>
        <v>3240</v>
      </c>
      <c r="L5" s="221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1000</v>
      </c>
      <c r="K6" s="225">
        <f t="shared" ref="K6" si="2">+D8+D12+D16</f>
        <v>100</v>
      </c>
      <c r="L6" s="226">
        <f>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29">
        <f>IF(DigitaTICA!C16&lt;&gt;"",DigitaTICA!C16,"")</f>
        <v>22400</v>
      </c>
      <c r="D7" s="42">
        <f>IF(C7="",0,C7*J$11)</f>
        <v>2688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19712</v>
      </c>
      <c r="I7" s="63" t="s">
        <v>96</v>
      </c>
      <c r="J7" s="225">
        <f>SUM(IF(C19="",0,C19),IF(C20="",0,C20))</f>
        <v>0</v>
      </c>
      <c r="K7" s="225">
        <f>+D19+D20</f>
        <v>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7">
        <f>SUM(IF(C21="",0,C21),IF(C22="",0,C22),IF(C23="",0,C23))</f>
        <v>0</v>
      </c>
      <c r="K8" s="227">
        <f>D21+D22+D23</f>
        <v>0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65</v>
      </c>
      <c r="C9" s="29">
        <f>IF(DigitaNICA!E16&lt;&gt;"",DigitaNICA!E16,"")</f>
        <v>6500</v>
      </c>
      <c r="D9" s="42">
        <f>IF(C9="",0,C9*J$12)</f>
        <v>780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5720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51</v>
      </c>
      <c r="C11" s="29">
        <f>IF(DigitaTICA!E16&lt;&gt;"",DigitaTICA!E16,"")</f>
        <v>12000</v>
      </c>
      <c r="D11" s="42">
        <f>IF(C11="",0,C11*J$11)</f>
        <v>1440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10560</v>
      </c>
      <c r="I11" s="76" t="s">
        <v>36</v>
      </c>
      <c r="J11" s="77">
        <v>0.12</v>
      </c>
      <c r="K11" s="78">
        <f>MROUND(D7+D11+D15,50)</f>
        <v>6350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3250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 t="str">
        <f>IF(DigitaTICA!G2&lt;&gt;"",DigitaTICA!G2,"")</f>
        <v>04</v>
      </c>
      <c r="C15" s="29">
        <f>IF(DigitaTICA!G16&lt;&gt;"",DigitaTICA!G16,"")</f>
        <v>18650</v>
      </c>
      <c r="D15" s="42">
        <f>IF(C15="",0,C15*J$11)</f>
        <v>2238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16412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>
        <f>IF(DigitaNICA!I16&lt;&gt;"",DigitaNICA!I16,"")</f>
        <v>10500</v>
      </c>
      <c r="D17" s="42">
        <f>IF(C17="",0,C17*J$12)</f>
        <v>1260</v>
      </c>
      <c r="E17" s="29">
        <f>IF(DigitaNICA!J16&lt;&gt;"",DigitaNICA!J16,"")</f>
        <v>100</v>
      </c>
      <c r="F17" s="42">
        <f>IF(E17="",0,E17*PREMIOS!E17)</f>
        <v>8000</v>
      </c>
      <c r="G17" s="30">
        <f t="shared" si="3"/>
        <v>1240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99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43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64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 t="str">
        <f>IF(DigitaHONDURAS!E2&lt;&gt;"",DigitaHONDURAS!E2,"")</f>
        <v>02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14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81050</v>
      </c>
      <c r="D24" s="122">
        <f t="shared" ref="D24:G24" si="5">SUM(D5:D23)</f>
        <v>9706</v>
      </c>
      <c r="E24" s="122">
        <f t="shared" si="5"/>
        <v>100</v>
      </c>
      <c r="F24" s="122">
        <f t="shared" si="5"/>
        <v>8000</v>
      </c>
      <c r="G24" s="123">
        <f t="shared" si="5"/>
        <v>63344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>
        <f>IF(DigitaNICA!C2&lt;&gt;"",DigitaNICA!C2,"")</f>
        <v>32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">
        <v>46</v>
      </c>
      <c r="B7" s="132" t="str">
        <f>IF(DigitaTICA!C2&lt;&gt;"",DigitaTICA!C2,"")</f>
        <v>07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65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51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 t="str">
        <f>IF(DigitaTICA!G2&lt;&gt;"",DigitaTICA!G2,"")</f>
        <v>04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65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64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02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32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6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0</v>
      </c>
      <c r="K6" s="225">
        <f t="shared" ref="K6" si="3">+D8+D12+D16</f>
        <v>0</v>
      </c>
      <c r="L6" s="226">
        <f>+F8+F12+F16</f>
        <v>0</v>
      </c>
    </row>
    <row r="7" spans="1:12" x14ac:dyDescent="0.35">
      <c r="A7" s="28" t="str">
        <f>+Vendedor1!A7</f>
        <v>Tica 1pm</v>
      </c>
      <c r="B7" s="132" t="str">
        <f>IF(DigitaTICA!C2&lt;&gt;"",DigitaTICA!C2,"")</f>
        <v>07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6" t="s">
        <v>96</v>
      </c>
      <c r="J7" s="222">
        <f>SUM(IF(C19="",0,C19),IF(C20="",0,C20))</f>
        <v>0</v>
      </c>
      <c r="K7" s="225">
        <f>+D19+D20</f>
        <v>0</v>
      </c>
      <c r="L7" s="226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6" t="s">
        <v>104</v>
      </c>
      <c r="J8" s="222">
        <f>SUM(IF(C21="",0,C21),IF(C22="",0,C22),IF(C23="",0,C23))</f>
        <v>0</v>
      </c>
      <c r="K8" s="225">
        <f t="shared" ref="K8" si="4">D21+D22+D23</f>
        <v>0</v>
      </c>
      <c r="L8" s="226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65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51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 t="str">
        <f>IF(DigitaTICA!G2&lt;&gt;"",DigitaTICA!G2,"")</f>
        <v>04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65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99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43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64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 t="str">
        <f>IF(DigitaHONDURAS!E2&lt;&gt;"",DigitaHONDURAS!E2,"")</f>
        <v>02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14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 t="str">
        <f>IF(DigitaDOMINICANA!C2&lt;&gt;"",DigitaDOMINICANA!C2,"")</f>
        <v>04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24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32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 t="str">
        <f>IF(DigitaTICA!C2&lt;&gt;"",DigitaTICA!C2,"")</f>
        <v>07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65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51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 t="str">
        <f>IF(DigitaTICA!G2&lt;&gt;"",DigitaTICA!G2,"")</f>
        <v>04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32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 t="str">
        <f>IF(DigitaTICA!C2&lt;&gt;"",DigitaTICA!C2,"")</f>
        <v>07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65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51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 t="str">
        <f>IF(DigitaTICA!G2&lt;&gt;"",DigitaTICA!G2,"")</f>
        <v>04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>
        <f>IF(DigitaTICA!C27&lt;&gt;"",DigitaTICA!C27,"")</f>
        <v>2000</v>
      </c>
      <c r="D7" s="42">
        <f>IF(C7="",0,C7*J$9)</f>
        <v>240</v>
      </c>
      <c r="E7" s="29">
        <f>IF(DigitaTICA!D27&lt;&gt;"",DigitaTICA!D27,"")</f>
        <v>0</v>
      </c>
      <c r="F7" s="42">
        <f>IF(E7="",0,E7*PREMIOS!F7)</f>
        <v>0</v>
      </c>
      <c r="G7" s="30">
        <f t="shared" si="0"/>
        <v>1760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250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2000</v>
      </c>
      <c r="D27" s="68">
        <f t="shared" ref="D27:G27" si="2">SUM(D5:D26)</f>
        <v>240</v>
      </c>
      <c r="E27" s="68">
        <f t="shared" si="2"/>
        <v>0</v>
      </c>
      <c r="F27" s="68">
        <f t="shared" si="2"/>
        <v>0</v>
      </c>
      <c r="G27" s="88">
        <f t="shared" si="2"/>
        <v>1760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IF(PREMIOS!$B7="","",PREMIOS!$B7)</f>
        <v>07</v>
      </c>
      <c r="D2" s="267"/>
      <c r="E2" s="266">
        <f>IF(PREMIOS!$B11="","",PREMIOS!$B11)</f>
        <v>51</v>
      </c>
      <c r="F2" s="267"/>
      <c r="G2" s="266" t="str">
        <f>IF(PREMIOS!$B15="","",PREMIOS!$B15)</f>
        <v>04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70300</v>
      </c>
      <c r="D4" s="78">
        <v>300</v>
      </c>
      <c r="E4" s="188">
        <v>30950</v>
      </c>
      <c r="F4" s="78">
        <f t="shared" ref="D4:H27" si="0">IF(E4="","",0)</f>
        <v>0</v>
      </c>
      <c r="G4" s="188">
        <v>65150</v>
      </c>
      <c r="H4" s="78">
        <f t="shared" si="0"/>
        <v>0</v>
      </c>
      <c r="J4" s="42">
        <f t="shared" ref="J4:J8" si="1">+C4+E4+G4</f>
        <v>166400</v>
      </c>
      <c r="K4" s="42">
        <f>IF(D4="",0,IF(F4="",D4,IF(H4="",D4+F4,D4+F4+H4)))</f>
        <v>300</v>
      </c>
    </row>
    <row r="5" spans="1:11" x14ac:dyDescent="0.35">
      <c r="A5" s="47">
        <v>2</v>
      </c>
      <c r="B5" s="177" t="str">
        <f>Vendedor2!$B$2</f>
        <v>PUESTO 2</v>
      </c>
      <c r="C5" s="179">
        <v>38300</v>
      </c>
      <c r="D5" s="30">
        <v>200</v>
      </c>
      <c r="E5" s="179">
        <v>32600</v>
      </c>
      <c r="F5" s="30">
        <f t="shared" si="0"/>
        <v>0</v>
      </c>
      <c r="G5" s="179">
        <v>66500</v>
      </c>
      <c r="H5" s="30">
        <v>1000</v>
      </c>
      <c r="J5" s="42">
        <f t="shared" si="1"/>
        <v>137400</v>
      </c>
      <c r="K5" s="42">
        <f t="shared" ref="K5:K27" si="2">IF(D5="",0,IF(F5="",D5,IF(H5="",D5+F5,D5+F5+H5)))</f>
        <v>1200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0"/>
        <v/>
      </c>
      <c r="G6" s="179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179"/>
      <c r="F7" s="30" t="str">
        <f t="shared" si="0"/>
        <v/>
      </c>
      <c r="G7" s="179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42000</v>
      </c>
      <c r="D8" s="30">
        <v>600</v>
      </c>
      <c r="E8" s="179">
        <v>36600</v>
      </c>
      <c r="F8" s="30">
        <v>1150</v>
      </c>
      <c r="G8" s="179">
        <v>37600</v>
      </c>
      <c r="H8" s="30">
        <v>300</v>
      </c>
      <c r="J8" s="42">
        <f t="shared" si="1"/>
        <v>116200</v>
      </c>
      <c r="K8" s="42">
        <f t="shared" si="2"/>
        <v>2050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0"/>
        <v/>
      </c>
      <c r="G9" s="179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30100+125100</f>
        <v>155200</v>
      </c>
      <c r="D10" s="30">
        <v>3200</v>
      </c>
      <c r="E10" s="179">
        <f>17350+72600</f>
        <v>89950</v>
      </c>
      <c r="F10" s="30">
        <f>300+0</f>
        <v>300</v>
      </c>
      <c r="G10" s="179">
        <f>25050+69850</f>
        <v>94900</v>
      </c>
      <c r="H10" s="30">
        <f>1800+50</f>
        <v>1850</v>
      </c>
      <c r="J10" s="42">
        <f t="shared" si="3"/>
        <v>340050</v>
      </c>
      <c r="K10" s="42">
        <f t="shared" si="2"/>
        <v>5350</v>
      </c>
    </row>
    <row r="11" spans="1:11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179"/>
      <c r="F11" s="30" t="str">
        <f t="shared" si="0"/>
        <v/>
      </c>
      <c r="G11" s="179">
        <v>7000</v>
      </c>
      <c r="H11" s="30">
        <f t="shared" si="0"/>
        <v>0</v>
      </c>
      <c r="J11" s="42">
        <f t="shared" si="3"/>
        <v>7000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41600</v>
      </c>
      <c r="D12" s="30">
        <v>1900</v>
      </c>
      <c r="E12" s="179">
        <v>18100</v>
      </c>
      <c r="F12" s="30">
        <f t="shared" si="0"/>
        <v>0</v>
      </c>
      <c r="G12" s="179">
        <v>8200</v>
      </c>
      <c r="H12" s="30">
        <v>300</v>
      </c>
      <c r="J12" s="42">
        <f t="shared" si="3"/>
        <v>67900</v>
      </c>
      <c r="K12" s="42">
        <f t="shared" si="2"/>
        <v>2200</v>
      </c>
    </row>
    <row r="13" spans="1:11" x14ac:dyDescent="0.35">
      <c r="A13" s="47">
        <v>10</v>
      </c>
      <c r="B13" s="177" t="str">
        <f>Vendedor10!$B$2</f>
        <v>MARIALIZ</v>
      </c>
      <c r="C13" s="179">
        <v>18100</v>
      </c>
      <c r="D13" s="30">
        <v>500</v>
      </c>
      <c r="E13" s="179">
        <v>26700</v>
      </c>
      <c r="F13" s="30">
        <v>100</v>
      </c>
      <c r="G13" s="179">
        <v>32800</v>
      </c>
      <c r="H13" s="30">
        <v>1300</v>
      </c>
      <c r="J13" s="42">
        <f t="shared" si="3"/>
        <v>77600</v>
      </c>
      <c r="K13" s="42">
        <f t="shared" si="2"/>
        <v>1900</v>
      </c>
    </row>
    <row r="14" spans="1:11" x14ac:dyDescent="0.35">
      <c r="A14" s="47">
        <v>11</v>
      </c>
      <c r="B14" s="177" t="str">
        <f>Vendedor11!$B$2</f>
        <v>CHARLY</v>
      </c>
      <c r="C14" s="179">
        <v>50200</v>
      </c>
      <c r="D14" s="30">
        <v>1500</v>
      </c>
      <c r="E14" s="179">
        <v>31300</v>
      </c>
      <c r="F14" s="30">
        <f t="shared" si="0"/>
        <v>0</v>
      </c>
      <c r="G14" s="179">
        <v>24700</v>
      </c>
      <c r="H14" s="30">
        <f t="shared" si="0"/>
        <v>0</v>
      </c>
      <c r="J14" s="42">
        <f t="shared" si="3"/>
        <v>106200</v>
      </c>
      <c r="K14" s="42">
        <f t="shared" si="2"/>
        <v>1500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179"/>
      <c r="F15" s="30" t="str">
        <f t="shared" si="0"/>
        <v/>
      </c>
      <c r="G15" s="179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22400</v>
      </c>
      <c r="D16" s="30">
        <f t="shared" si="0"/>
        <v>0</v>
      </c>
      <c r="E16" s="179">
        <v>12000</v>
      </c>
      <c r="F16" s="30">
        <f t="shared" si="0"/>
        <v>0</v>
      </c>
      <c r="G16" s="179">
        <v>18650</v>
      </c>
      <c r="H16" s="30">
        <f t="shared" si="0"/>
        <v>0</v>
      </c>
      <c r="J16" s="42">
        <f t="shared" si="3"/>
        <v>53050</v>
      </c>
      <c r="K16" s="42">
        <f t="shared" si="2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0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0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0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0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0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0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0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0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>
        <v>2000</v>
      </c>
      <c r="D27" s="50">
        <f t="shared" si="0"/>
        <v>0</v>
      </c>
      <c r="E27" s="180"/>
      <c r="F27" s="50" t="str">
        <f t="shared" si="0"/>
        <v/>
      </c>
      <c r="G27" s="180"/>
      <c r="H27" s="50" t="str">
        <f t="shared" si="4"/>
        <v/>
      </c>
      <c r="J27" s="42">
        <f t="shared" si="3"/>
        <v>2000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440100</v>
      </c>
      <c r="D32" s="44">
        <f t="shared" si="6"/>
        <v>8200</v>
      </c>
      <c r="E32" s="43">
        <f t="shared" si="6"/>
        <v>278200</v>
      </c>
      <c r="F32" s="44">
        <f t="shared" si="6"/>
        <v>1550</v>
      </c>
      <c r="G32" s="43">
        <f t="shared" si="6"/>
        <v>355500</v>
      </c>
      <c r="H32" s="44">
        <f t="shared" si="6"/>
        <v>4750</v>
      </c>
      <c r="J32" s="95">
        <f>SUM(J4:J31)</f>
        <v>1073800</v>
      </c>
      <c r="K32" s="95"/>
    </row>
    <row r="33" spans="2:8" x14ac:dyDescent="0.35">
      <c r="D33" s="99">
        <f>+D32*85</f>
        <v>697000</v>
      </c>
      <c r="F33" s="99">
        <f>+F32*85</f>
        <v>131750</v>
      </c>
      <c r="H33" s="99">
        <f>+H32*85</f>
        <v>403750</v>
      </c>
    </row>
    <row r="34" spans="2:8" x14ac:dyDescent="0.35">
      <c r="B34" s="246" t="s">
        <v>149</v>
      </c>
      <c r="C34" s="43">
        <f t="shared" ref="C34:H34" si="7">+C4+C5+C6+C8+C13</f>
        <v>168700</v>
      </c>
      <c r="D34" s="43" t="e">
        <f t="shared" si="7"/>
        <v>#VALUE!</v>
      </c>
      <c r="E34" s="43">
        <f t="shared" si="7"/>
        <v>126850</v>
      </c>
      <c r="F34" s="43" t="e">
        <f t="shared" si="7"/>
        <v>#VALUE!</v>
      </c>
      <c r="G34" s="43">
        <f t="shared" si="7"/>
        <v>202050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50200</v>
      </c>
      <c r="D35" s="43" t="e">
        <f t="shared" ref="D35:H35" si="8">+D11+D14+D15+D17+D18</f>
        <v>#VALUE!</v>
      </c>
      <c r="E35" s="43">
        <f t="shared" si="8"/>
        <v>31300</v>
      </c>
      <c r="F35" s="43" t="e">
        <f t="shared" si="8"/>
        <v>#VALUE!</v>
      </c>
      <c r="G35" s="43">
        <f t="shared" si="8"/>
        <v>31700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198800</v>
      </c>
      <c r="D36" s="43">
        <f t="shared" ref="D36:H36" si="9">+D10+D12+D27</f>
        <v>5100</v>
      </c>
      <c r="E36" s="43">
        <f t="shared" si="9"/>
        <v>108050</v>
      </c>
      <c r="F36" s="43" t="e">
        <f t="shared" si="9"/>
        <v>#VALUE!</v>
      </c>
      <c r="G36" s="43">
        <f t="shared" si="9"/>
        <v>103100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>
        <f>IF(PREMIOS!$B5="","",PREMIOS!$B5)</f>
        <v>32</v>
      </c>
      <c r="D2" s="267"/>
      <c r="E2" s="266">
        <f>IF(PREMIOS!$B9="","",PREMIOS!$B9)</f>
        <v>65</v>
      </c>
      <c r="F2" s="267"/>
      <c r="G2" s="266" t="str">
        <f>IF(PREMIOS!$B13="","",PREMIOS!$B13)</f>
        <v/>
      </c>
      <c r="H2" s="267"/>
      <c r="I2" s="266">
        <f>IF(PREMIOS!$B17="","",PREMIOS!$B17)</f>
        <v>65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18850</v>
      </c>
      <c r="D4" s="78">
        <v>800</v>
      </c>
      <c r="E4" s="205">
        <v>14450</v>
      </c>
      <c r="F4" s="78">
        <f t="shared" ref="D4:J27" si="0">IF(E4="","",0)</f>
        <v>0</v>
      </c>
      <c r="G4" s="188"/>
      <c r="H4" s="78" t="str">
        <f t="shared" ref="H4:H27" si="1">IF(G4="","",0)</f>
        <v/>
      </c>
      <c r="I4" s="188">
        <v>500</v>
      </c>
      <c r="J4" s="78">
        <f t="shared" si="0"/>
        <v>0</v>
      </c>
      <c r="L4" s="42">
        <f t="shared" ref="L4:L8" si="2">+C4+E4+G4+I4</f>
        <v>33800</v>
      </c>
      <c r="M4" s="42">
        <f>IF(D4=0,0,IF(F4="",D4,IF(H4="",D4+F4,IF(J4="",D4+F4+H4,D4+F4+H4+J4))))</f>
        <v>800</v>
      </c>
    </row>
    <row r="5" spans="1:13" x14ac:dyDescent="0.35">
      <c r="A5" s="47">
        <v>2</v>
      </c>
      <c r="B5" s="177" t="str">
        <f>Vendedor2!$B$2</f>
        <v>PUESTO 2</v>
      </c>
      <c r="C5" s="179">
        <v>12500</v>
      </c>
      <c r="D5" s="30">
        <f t="shared" si="0"/>
        <v>0</v>
      </c>
      <c r="E5" s="206">
        <v>1750</v>
      </c>
      <c r="F5" s="30">
        <f t="shared" si="0"/>
        <v>0</v>
      </c>
      <c r="G5" s="179"/>
      <c r="H5" s="30" t="str">
        <f t="shared" si="1"/>
        <v/>
      </c>
      <c r="I5" s="179">
        <v>4800</v>
      </c>
      <c r="J5" s="30">
        <f t="shared" ref="J5:J27" si="3">IF(I5="","",0)</f>
        <v>0</v>
      </c>
      <c r="L5" s="42">
        <f t="shared" si="2"/>
        <v>19050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1"/>
        <v/>
      </c>
      <c r="I6" s="179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1"/>
        <v/>
      </c>
      <c r="I7" s="179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29050</v>
      </c>
      <c r="D8" s="30">
        <v>500</v>
      </c>
      <c r="E8" s="206">
        <v>29800</v>
      </c>
      <c r="F8" s="30">
        <f t="shared" si="0"/>
        <v>0</v>
      </c>
      <c r="G8" s="179"/>
      <c r="H8" s="30" t="str">
        <f t="shared" si="1"/>
        <v/>
      </c>
      <c r="I8" s="179">
        <v>37050</v>
      </c>
      <c r="J8" s="30">
        <f t="shared" si="0"/>
        <v>0</v>
      </c>
      <c r="L8" s="42">
        <f t="shared" si="2"/>
        <v>95900</v>
      </c>
      <c r="M8" s="42">
        <f t="shared" si="4"/>
        <v>500</v>
      </c>
    </row>
    <row r="9" spans="1:13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1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20150+28600</f>
        <v>48750</v>
      </c>
      <c r="D10" s="30">
        <f>1500+1800</f>
        <v>3300</v>
      </c>
      <c r="E10" s="206">
        <f>18150+55050</f>
        <v>73200</v>
      </c>
      <c r="F10" s="30">
        <f t="shared" si="0"/>
        <v>0</v>
      </c>
      <c r="G10" s="179"/>
      <c r="H10" s="30" t="str">
        <f t="shared" si="0"/>
        <v/>
      </c>
      <c r="I10" s="179">
        <f>21500+31850</f>
        <v>53350</v>
      </c>
      <c r="J10" s="30">
        <v>100</v>
      </c>
      <c r="L10" s="42">
        <f t="shared" si="5"/>
        <v>175300</v>
      </c>
      <c r="M10" s="42">
        <f t="shared" si="4"/>
        <v>3300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33500</v>
      </c>
      <c r="D12" s="30">
        <f t="shared" si="0"/>
        <v>0</v>
      </c>
      <c r="E12" s="206">
        <v>17550</v>
      </c>
      <c r="F12" s="30">
        <f t="shared" si="0"/>
        <v>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51050</v>
      </c>
      <c r="M12" s="42">
        <f t="shared" si="4"/>
        <v>0</v>
      </c>
    </row>
    <row r="13" spans="1:13" x14ac:dyDescent="0.35">
      <c r="A13" s="47">
        <v>10</v>
      </c>
      <c r="B13" s="177" t="str">
        <f>Vendedor10!$B$2</f>
        <v>MARIALIZ</v>
      </c>
      <c r="C13" s="179">
        <v>21100</v>
      </c>
      <c r="D13" s="30">
        <v>700</v>
      </c>
      <c r="E13" s="206">
        <v>14300</v>
      </c>
      <c r="F13" s="30">
        <v>500</v>
      </c>
      <c r="G13" s="179"/>
      <c r="H13" s="30" t="str">
        <f t="shared" si="0"/>
        <v/>
      </c>
      <c r="I13" s="179">
        <v>1900</v>
      </c>
      <c r="J13" s="30">
        <f t="shared" si="0"/>
        <v>0</v>
      </c>
      <c r="L13" s="42">
        <f t="shared" si="5"/>
        <v>37300</v>
      </c>
      <c r="M13" s="42">
        <f t="shared" si="4"/>
        <v>1200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10000</v>
      </c>
      <c r="D16" s="30">
        <f t="shared" si="0"/>
        <v>0</v>
      </c>
      <c r="E16" s="206">
        <v>6500</v>
      </c>
      <c r="F16" s="30">
        <f t="shared" si="0"/>
        <v>0</v>
      </c>
      <c r="G16" s="179"/>
      <c r="H16" s="30" t="str">
        <f t="shared" si="0"/>
        <v/>
      </c>
      <c r="I16" s="179">
        <v>10500</v>
      </c>
      <c r="J16" s="30">
        <v>100</v>
      </c>
      <c r="L16" s="42">
        <f t="shared" si="5"/>
        <v>27000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206"/>
      <c r="F17" s="30" t="str">
        <f t="shared" si="0"/>
        <v/>
      </c>
      <c r="G17" s="179"/>
      <c r="H17" s="30" t="str">
        <f t="shared" si="0"/>
        <v/>
      </c>
      <c r="I17" s="179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206"/>
      <c r="F18" s="30" t="str">
        <f t="shared" si="0"/>
        <v/>
      </c>
      <c r="G18" s="179"/>
      <c r="H18" s="30" t="str">
        <f t="shared" si="0"/>
        <v/>
      </c>
      <c r="I18" s="179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1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1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1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1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1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1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1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1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1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173750</v>
      </c>
      <c r="D32" s="44">
        <f t="shared" si="7"/>
        <v>5300</v>
      </c>
      <c r="E32" s="43">
        <f t="shared" si="7"/>
        <v>157550</v>
      </c>
      <c r="F32" s="44">
        <f t="shared" si="7"/>
        <v>500</v>
      </c>
      <c r="G32" s="43">
        <f t="shared" si="7"/>
        <v>0</v>
      </c>
      <c r="H32" s="44">
        <f t="shared" si="7"/>
        <v>0</v>
      </c>
      <c r="I32" s="43">
        <f t="shared" si="7"/>
        <v>108100</v>
      </c>
      <c r="J32" s="44">
        <f t="shared" si="7"/>
        <v>200</v>
      </c>
      <c r="L32" s="95">
        <f>SUM(L9:L31)</f>
        <v>290650</v>
      </c>
      <c r="M32" s="95">
        <f>SUM(M9:M31)</f>
        <v>4500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07 Blanca</v>
      </c>
      <c r="D2" s="267"/>
      <c r="E2" s="266" t="str">
        <f>IF(E33=0,"",CONCATENATE(PREMIOS!$B11," ",PREMIOS!$B12))</f>
        <v>51 Blanca</v>
      </c>
      <c r="F2" s="267"/>
      <c r="G2" s="266" t="str">
        <f>IF(G33=0,"",CONCATENATE(PREMIOS!$B15," ",PREMIOS!$B16))</f>
        <v>04 Roja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3500+16900</f>
        <v>20400</v>
      </c>
      <c r="D10" s="30">
        <f t="shared" si="0"/>
        <v>0</v>
      </c>
      <c r="E10" s="179">
        <f>3000+13150</f>
        <v>16150</v>
      </c>
      <c r="F10" s="30">
        <f t="shared" si="0"/>
        <v>0</v>
      </c>
      <c r="G10" s="179">
        <f>2500+10050</f>
        <v>12550</v>
      </c>
      <c r="H10" s="30">
        <f t="shared" si="0"/>
        <v>0</v>
      </c>
      <c r="J10" s="42">
        <f t="shared" si="3"/>
        <v>49100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1500</v>
      </c>
      <c r="D12" s="30">
        <f t="shared" si="0"/>
        <v>0</v>
      </c>
      <c r="E12" s="179">
        <v>2600</v>
      </c>
      <c r="F12" s="30">
        <f t="shared" si="1"/>
        <v>0</v>
      </c>
      <c r="G12" s="179">
        <v>500</v>
      </c>
      <c r="H12" s="30">
        <f t="shared" si="0"/>
        <v>0</v>
      </c>
      <c r="J12" s="42">
        <f t="shared" si="3"/>
        <v>4600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1000</v>
      </c>
      <c r="D16" s="194">
        <f t="shared" si="0"/>
        <v>0</v>
      </c>
      <c r="E16" s="193"/>
      <c r="F16" s="194" t="str">
        <f t="shared" si="1"/>
        <v/>
      </c>
      <c r="G16" s="193"/>
      <c r="H16" s="194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0"/>
        <v/>
      </c>
      <c r="G17" s="179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0"/>
        <v/>
      </c>
      <c r="G18" s="179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22900</v>
      </c>
      <c r="D33" s="44">
        <f t="shared" si="7"/>
        <v>0</v>
      </c>
      <c r="E33" s="43">
        <f t="shared" si="7"/>
        <v>18750</v>
      </c>
      <c r="F33" s="44">
        <f t="shared" si="7"/>
        <v>0</v>
      </c>
      <c r="G33" s="43">
        <f t="shared" si="7"/>
        <v>13050</v>
      </c>
      <c r="H33" s="44">
        <f t="shared" si="7"/>
        <v>0</v>
      </c>
      <c r="J33" s="45">
        <f>SUM(J4:J32)</f>
        <v>54700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99</v>
      </c>
      <c r="D2" s="267"/>
      <c r="E2" s="266">
        <f>IF(PREMIOS!$C19="","",PREMIOS!$C19)</f>
        <v>43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5250</v>
      </c>
      <c r="D4" s="78">
        <f t="shared" ref="D4:F27" si="0">IF(C4="","",0)</f>
        <v>0</v>
      </c>
      <c r="E4" s="188"/>
      <c r="F4" s="78" t="str">
        <f t="shared" si="0"/>
        <v/>
      </c>
      <c r="H4" s="42">
        <f>+C4+E4</f>
        <v>5250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10750</v>
      </c>
      <c r="D5" s="30">
        <f t="shared" si="0"/>
        <v>0</v>
      </c>
      <c r="E5" s="179">
        <v>600</v>
      </c>
      <c r="F5" s="30">
        <f t="shared" ref="F5:F27" si="1">IF(E5="","",0)</f>
        <v>0</v>
      </c>
      <c r="H5" s="42">
        <f t="shared" ref="H5:H32" si="2">+C5+E5</f>
        <v>11350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30600</v>
      </c>
      <c r="D8" s="30">
        <f t="shared" si="0"/>
        <v>0</v>
      </c>
      <c r="E8" s="193">
        <v>14250</v>
      </c>
      <c r="F8" s="194">
        <v>400</v>
      </c>
      <c r="H8" s="42">
        <f t="shared" si="2"/>
        <v>44850</v>
      </c>
      <c r="I8" s="42">
        <f t="shared" si="3"/>
        <v>400</v>
      </c>
    </row>
    <row r="9" spans="1:9" x14ac:dyDescent="0.35">
      <c r="A9" s="47">
        <v>6</v>
      </c>
      <c r="B9" s="177" t="str">
        <f>Vendedor6!$B$2</f>
        <v>MARTA ROSA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26850</v>
      </c>
      <c r="D10" s="30">
        <v>50</v>
      </c>
      <c r="E10" s="179">
        <v>13850</v>
      </c>
      <c r="F10" s="194">
        <f t="shared" si="1"/>
        <v>0</v>
      </c>
      <c r="H10" s="42">
        <f t="shared" si="2"/>
        <v>40700</v>
      </c>
      <c r="I10" s="42">
        <f t="shared" si="3"/>
        <v>50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34800</v>
      </c>
      <c r="D12" s="30">
        <v>250</v>
      </c>
      <c r="E12" s="193"/>
      <c r="F12" s="30" t="str">
        <f t="shared" si="0"/>
        <v/>
      </c>
      <c r="H12" s="42">
        <f t="shared" si="2"/>
        <v>34800</v>
      </c>
      <c r="I12" s="42">
        <f t="shared" si="3"/>
        <v>250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194" t="str">
        <f t="shared" si="0"/>
        <v/>
      </c>
      <c r="E17" s="179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108250</v>
      </c>
      <c r="D33" s="44">
        <f>SUM(D4:D32)</f>
        <v>300</v>
      </c>
      <c r="E33" s="43">
        <f>SUM(E4:E32)</f>
        <v>28700</v>
      </c>
      <c r="F33" s="44">
        <f>SUM(F4:F32)</f>
        <v>400</v>
      </c>
      <c r="H33" s="95">
        <f>SUM(H4:H32)</f>
        <v>136950</v>
      </c>
      <c r="I33" s="95">
        <f>SUM(I4:I32)</f>
        <v>700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64</v>
      </c>
      <c r="D2" s="267"/>
      <c r="E2" s="266" t="str">
        <f>IF(PREMIOS!$C20="","",PREMIOS!$C20)</f>
        <v>02</v>
      </c>
      <c r="F2" s="267"/>
      <c r="G2" s="266">
        <f>IF(PREMIOS!$D20="","",PREMIOS!$D20)</f>
        <v>14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1500+5000</f>
        <v>6500</v>
      </c>
      <c r="D10" s="194">
        <f t="shared" si="0"/>
        <v>0</v>
      </c>
      <c r="E10" s="179">
        <v>13050</v>
      </c>
      <c r="F10" s="30">
        <f t="shared" si="0"/>
        <v>0</v>
      </c>
      <c r="G10" s="179">
        <v>16200</v>
      </c>
      <c r="H10" s="194">
        <f t="shared" si="0"/>
        <v>0</v>
      </c>
      <c r="J10" s="42">
        <f t="shared" si="3"/>
        <v>35750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/>
      <c r="F16" s="194" t="str">
        <f t="shared" si="1"/>
        <v/>
      </c>
      <c r="G16" s="193"/>
      <c r="H16" s="194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/>
      <c r="D17" s="194" t="str">
        <f t="shared" si="0"/>
        <v/>
      </c>
      <c r="E17" s="193"/>
      <c r="F17" s="194" t="str">
        <f t="shared" si="0"/>
        <v/>
      </c>
      <c r="G17" s="193"/>
      <c r="H17" s="194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7" t="str">
        <f>Vendedor15!$B$2</f>
        <v>EDUARDO PUESTO CENTRO</v>
      </c>
      <c r="C18" s="179"/>
      <c r="D18" s="194" t="str">
        <f t="shared" si="0"/>
        <v/>
      </c>
      <c r="E18" s="179"/>
      <c r="F18" s="30" t="str">
        <f t="shared" si="1"/>
        <v/>
      </c>
      <c r="G18" s="179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6500</v>
      </c>
      <c r="D33" s="44">
        <f t="shared" si="6"/>
        <v>0</v>
      </c>
      <c r="E33" s="43">
        <f t="shared" si="6"/>
        <v>13050</v>
      </c>
      <c r="F33" s="44">
        <f t="shared" si="6"/>
        <v>0</v>
      </c>
      <c r="G33" s="43">
        <f t="shared" si="6"/>
        <v>16200</v>
      </c>
      <c r="H33" s="44">
        <f t="shared" si="6"/>
        <v>0</v>
      </c>
      <c r="J33" s="45">
        <f>SUM(J4:J32)</f>
        <v>35750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04</v>
      </c>
      <c r="D2" s="267"/>
      <c r="E2" s="266">
        <f>IF(PREMIOS!$C21="","",PREMIOS!$C21)</f>
        <v>24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F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41500</v>
      </c>
      <c r="D10" s="30">
        <f t="shared" si="0"/>
        <v>0</v>
      </c>
      <c r="E10" s="179">
        <v>45000</v>
      </c>
      <c r="F10" s="30">
        <f t="shared" si="0"/>
        <v>0</v>
      </c>
      <c r="H10" s="42">
        <f t="shared" si="2"/>
        <v>86500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41500</v>
      </c>
      <c r="D33" s="44">
        <f>SUM(D4:D32)</f>
        <v>0</v>
      </c>
      <c r="E33" s="43">
        <f>SUM(E4:E32)</f>
        <v>45000</v>
      </c>
      <c r="F33" s="44">
        <f>SUM(F4:F32)</f>
        <v>0</v>
      </c>
      <c r="H33" s="45">
        <f>SUM(H4:H32)</f>
        <v>86500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 t="str">
        <f>IF(PREMIOS!$B22="","",PREMIOS!$B22)</f>
        <v/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MARTA ROSA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/>
      <c r="D10" s="30" t="str">
        <f t="shared" si="0"/>
        <v/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2026-07-21T16:15:54Z</dcterms:modified>
  <dc:language>es-CR</dc:language>
</cp:coreProperties>
</file>
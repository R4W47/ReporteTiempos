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2" documentId="11_3356DA4C8F79DC009470EE0FFF00B6783F0190E4" xr6:coauthVersionLast="47" xr6:coauthVersionMax="47" xr10:uidLastSave="{A35E5646-53DF-4465-9C5D-5F95912259D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8" i="60"/>
  <c r="H17" i="60"/>
  <c r="H15" i="60"/>
  <c r="H14" i="60"/>
  <c r="H13" i="60"/>
  <c r="H12" i="60"/>
  <c r="H9" i="60"/>
  <c r="H7" i="60"/>
  <c r="H5" i="60"/>
  <c r="H4" i="60"/>
  <c r="G10" i="62"/>
  <c r="H10" i="62" s="1"/>
  <c r="I10" i="61"/>
  <c r="G10" i="60"/>
  <c r="H10" i="60" s="1"/>
  <c r="G11" i="60"/>
  <c r="H11" i="60" s="1"/>
  <c r="D10" i="65" l="1"/>
  <c r="C10" i="65"/>
  <c r="F10" i="62"/>
  <c r="E10" i="62"/>
  <c r="C10" i="62"/>
  <c r="E10" i="61"/>
  <c r="C10" i="61"/>
  <c r="F10" i="60"/>
  <c r="E10" i="60"/>
  <c r="C10" i="60"/>
  <c r="D18" i="64" l="1"/>
  <c r="D18" i="65"/>
  <c r="D11" i="65"/>
  <c r="D18" i="61"/>
  <c r="D17" i="61"/>
  <c r="D10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1" i="60"/>
  <c r="D10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J30" i="70" s="1"/>
  <c r="E30" i="70"/>
  <c r="H30" i="70" s="1"/>
  <c r="D30" i="70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K20" i="19"/>
  <c r="K9" i="19"/>
  <c r="J31" i="64"/>
  <c r="E33" i="66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18" i="72" s="1"/>
  <c r="K18" i="72" s="1"/>
  <c r="J26" i="71"/>
  <c r="L29" i="71"/>
  <c r="M29" i="71" s="1"/>
  <c r="L28" i="71"/>
  <c r="M28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0" i="21"/>
  <c r="K10" i="21"/>
  <c r="K21" i="8"/>
  <c r="K10" i="8"/>
  <c r="L18" i="72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F17" i="52"/>
  <c r="F12" i="8"/>
  <c r="M26" i="52"/>
  <c r="J5" i="23"/>
  <c r="M23" i="52"/>
  <c r="J4" i="23"/>
  <c r="L4" i="23"/>
  <c r="J5" i="19"/>
  <c r="N18" i="71"/>
  <c r="L6" i="23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24" i="15"/>
  <c r="F32" i="60"/>
  <c r="G32" i="60"/>
  <c r="H32" i="60"/>
  <c r="K5" i="23"/>
  <c r="G32" i="61"/>
  <c r="F32" i="61"/>
  <c r="H32" i="61"/>
  <c r="K5" i="19"/>
  <c r="K6" i="23"/>
  <c r="L6" i="25"/>
  <c r="L6" i="22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4" i="58"/>
  <c r="P25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20" i="52"/>
  <c r="C19" i="1" s="1"/>
  <c r="B19" i="1"/>
  <c r="K5" i="52"/>
  <c r="C4" i="1" s="1"/>
  <c r="B4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G15" i="16" l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<sst xmlns="http://schemas.openxmlformats.org/spreadsheetml/2006/main" count="1290" uniqueCount="157">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</sst>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253999</xdr:colOff>
      <xdr:row>1</xdr:row>
      <xdr:rowOff>70555</xdr:rowOff>
    </xdr:from>
    <xdr:to>
      <xdr:col>1</xdr:col>
      <xdr:colOff>1603727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253999" y="261055"/>
          <a:ext cx="1709561" cy="3421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153900</v>
      </c>
      <c r="C3" s="9">
        <f>+HojaTICA!K4+HojaNICA!M4+HojaREVENTADO!K4+HojaPrimera!I4+HojaHonduras!K4+HojaDominicana!I4+HojaPANA!G4</f>
        <v>19950</v>
      </c>
      <c r="D3" s="9">
        <f>+HojaTICA!N4+HojaNICA!P4+HojaREVENTADO!O4+HojaPrimera!L4+HojaHonduras!N4+HojaDominicana!L4+HojaPANA!J4</f>
        <v>58000</v>
      </c>
      <c r="F3" s="10">
        <f t="shared" ref="F3:F27" si="0">+B3-C3-D3</f>
        <v>75950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191800</v>
      </c>
      <c r="C4" s="9">
        <f>+HojaTICA!K5+HojaNICA!M5+HojaREVENTADO!K5+HojaPrimera!I5+HojaHonduras!K5+HojaDominicana!I5+HojaPANA!G5</f>
        <v>24950</v>
      </c>
      <c r="D4" s="9">
        <f>+HojaTICA!N5+HojaNICA!P5+HojaREVENTADO!O5+HojaPrimera!L5+HojaHonduras!N5+HojaDominicana!L5+HojaPANA!J5</f>
        <v>21250</v>
      </c>
      <c r="F4" s="14">
        <f t="shared" si="0"/>
        <v>145600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379750</v>
      </c>
      <c r="C7" s="9">
        <f>+HojaTICA!K8+HojaNICA!M8+HojaREVENTADO!K8+HojaPrimera!I8+HojaHonduras!K8+HojaDominicana!I8+HojaPANA!G8</f>
        <v>45550</v>
      </c>
      <c r="D7" s="9">
        <f>+HojaTICA!N8+HojaNICA!P8+HojaREVENTADO!O8+HojaPrimera!L8+HojaHonduras!N8+HojaDominicana!L8+HojaPANA!J8</f>
        <v>447750</v>
      </c>
      <c r="F7" s="14">
        <f t="shared" si="0"/>
        <v>-113550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617350</v>
      </c>
      <c r="C9" s="9">
        <f>+HojaTICA!K10+HojaNICA!M10+HojaREVENTADO!K10+HojaPrimera!I10+HojaHonduras!K10+HojaDominicana!I10+HojaPANA!G10</f>
        <v>73230</v>
      </c>
      <c r="D9" s="9">
        <f>+HojaTICA!N10+HojaNICA!P10+HojaREVENTADO!O10+HojaPrimera!L10+HojaHonduras!N10+HojaDominicana!L10+HojaPANA!J10</f>
        <v>802250</v>
      </c>
      <c r="F9" s="14">
        <f t="shared" si="0"/>
        <v>-258130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2000</v>
      </c>
      <c r="C10" s="9">
        <f>+HojaTICA!K11+HojaNICA!M11+HojaREVENTADO!K11+HojaPrimera!I11+HojaHonduras!K11+HojaDominicana!I11+HojaPANA!G11</f>
        <v>250</v>
      </c>
      <c r="D10" s="9">
        <f>+HojaTICA!N11+HojaNICA!P11+HojaREVENTADO!O11+HojaPrimera!L11+HojaHonduras!N11+HojaDominicana!L11+HojaPANA!J11</f>
        <v>0</v>
      </c>
      <c r="F10" s="14">
        <f t="shared" si="0"/>
        <v>1750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208300</v>
      </c>
      <c r="C11" s="9">
        <f>+HojaTICA!K12+HojaNICA!M12+HojaREVENTADO!K12+HojaPrimera!I12+HojaHonduras!K12+HojaDominicana!I12+HojaPANA!G12</f>
        <v>24870</v>
      </c>
      <c r="D11" s="9">
        <f>+HojaTICA!N12+HojaNICA!P12+HojaREVENTADO!O12+HojaPrimera!L12+HojaHonduras!N12+HojaDominicana!L12+HojaPANA!J12</f>
        <v>182750</v>
      </c>
      <c r="F11" s="14">
        <f t="shared" si="0"/>
        <v>680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99550</v>
      </c>
      <c r="C12" s="9">
        <f>+HojaTICA!K13+HojaNICA!M13+HojaREVENTADO!K13+HojaPrimera!I13+HojaHonduras!K13+HojaDominicana!I13+HojaPANA!G13</f>
        <v>11950</v>
      </c>
      <c r="D12" s="9">
        <f>+HojaTICA!N13+HojaNICA!P13+HojaREVENTADO!O13+HojaPrimera!L13+HojaHonduras!N13+HojaDominicana!L13+HojaPANA!J13</f>
        <v>25500</v>
      </c>
      <c r="F12" s="14">
        <f t="shared" si="0"/>
        <v>62100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78400</v>
      </c>
      <c r="C13" s="9">
        <f>+HojaTICA!K14+HojaNICA!M14+HojaREVENTADO!K14+HojaPrimera!I14+HojaHonduras!K14+HojaDominicana!I14+HojaPANA!G14</f>
        <v>11750</v>
      </c>
      <c r="D13" s="9">
        <f>+HojaTICA!N14+HojaNICA!P14+HojaREVENTADO!O14+HojaPrimera!L14+HojaHonduras!N14+HojaDominicana!L14+HojaPANA!J14</f>
        <v>24000</v>
      </c>
      <c r="F13" s="14">
        <f t="shared" si="0"/>
        <v>42650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101000</v>
      </c>
      <c r="C15" s="9">
        <f>+HojaTICA!K16+HojaNICA!M16+HojaREVENTADO!K16+HojaPrimera!I16+HojaHonduras!K16+HojaDominicana!I16+HojaPANA!G16</f>
        <v>12150</v>
      </c>
      <c r="D15" s="9">
        <f>+HojaTICA!N16+HojaNICA!P16+HojaREVENTADO!O16+HojaPrimera!L16+HojaHonduras!N16+HojaDominicana!L16+HojaPANA!J16</f>
        <v>106250</v>
      </c>
      <c r="F15" s="14">
        <f t="shared" si="0"/>
        <v>-17400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1832050</v>
      </c>
      <c r="C28" s="17">
        <f t="shared" si="1"/>
        <v>224650</v>
      </c>
      <c r="D28" s="18">
        <f t="shared" si="1"/>
        <v>1667750</v>
      </c>
      <c r="F28" s="20">
        <f>SUM(F3:F27)</f>
        <v>-60350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54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68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83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22</v>
      </c>
      <c r="C19" s="132">
        <v>71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87</v>
      </c>
      <c r="C20" s="163">
        <v>18</v>
      </c>
      <c r="D20" s="166" t="s">
        <v>156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54</v>
      </c>
      <c r="C21" s="164">
        <v>28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52</v>
      </c>
      <c r="D2" s="268"/>
      <c r="E2" s="267">
        <f>DigitaTICA!E2</f>
        <v>90</v>
      </c>
      <c r="F2" s="268"/>
      <c r="G2" s="267">
        <f>DigitaTICA!G2</f>
        <v>83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40200</v>
      </c>
      <c r="D4" s="30">
        <f>IF(Vendedor1!$E$7="",0,Vendedor1!$E$7)</f>
        <v>0</v>
      </c>
      <c r="E4" s="180">
        <f>IF(Vendedor1!$C$11="",0,Vendedor1!$C$11)</f>
        <v>27500</v>
      </c>
      <c r="F4" s="30">
        <f>IF(Vendedor1!$E$11="",0,Vendedor1!$E$11)</f>
        <v>400</v>
      </c>
      <c r="G4" s="180">
        <f>IF(Vendedor1!$C$15="",0,Vendedor1!$C$15)</f>
        <v>53600</v>
      </c>
      <c r="H4" s="30">
        <f>IF(Vendedor1!$E$15="",0,Vendedor1!$E$15)</f>
        <v>0</v>
      </c>
      <c r="J4" s="42">
        <f t="shared" ref="J4:J7" si="0">+C4+E4+G4</f>
        <v>121300</v>
      </c>
      <c r="K4" s="41">
        <f>MROUND(J4*Vendedor1!J$9,50)</f>
        <v>15750</v>
      </c>
      <c r="L4" s="42">
        <f t="shared" ref="L4:L7" si="1">+D4+F4+H4</f>
        <v>400</v>
      </c>
      <c r="M4" s="42">
        <f t="shared" ref="M4:M7" si="2">+L4*85</f>
        <v>34000</v>
      </c>
      <c r="N4" s="42">
        <f>Vendedor1!$F$7+Vendedor1!$F$11+Vendedor1!$F$15</f>
        <v>34000</v>
      </c>
      <c r="P4" s="42">
        <f t="shared" ref="P4:P7" si="3">+J4-K4-N4</f>
        <v>71550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78000</v>
      </c>
      <c r="D5" s="30">
        <f>IF(Vendedor2!$E$7="",0,Vendedor2!$E$7)</f>
        <v>0</v>
      </c>
      <c r="E5" s="180">
        <f>IF(Vendedor2!$C$11="",0,Vendedor2!$C$11)</f>
        <v>33650</v>
      </c>
      <c r="F5" s="30">
        <f>IF(Vendedor2!$E$11="",0,Vendedor2!$E$11)</f>
        <v>250</v>
      </c>
      <c r="G5" s="180">
        <f>IF(Vendedor2!$C$15="",0,Vendedor2!$C$15)</f>
        <v>62150</v>
      </c>
      <c r="H5" s="30">
        <f>IF(Vendedor2!$E$15="",0,Vendedor2!$E$15)</f>
        <v>0</v>
      </c>
      <c r="J5" s="42">
        <f t="shared" si="0"/>
        <v>173800</v>
      </c>
      <c r="K5" s="41">
        <f>MROUND(J5*Vendedor2!J$9,50)</f>
        <v>22600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129950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74450</v>
      </c>
      <c r="D8" s="30">
        <f>IF(Vendedor5!$E$7="",0,Vendedor5!$E$7)</f>
        <v>500</v>
      </c>
      <c r="E8" s="180">
        <f>IF(Vendedor5!$C$11="",0,Vendedor5!$C$11)</f>
        <v>38600</v>
      </c>
      <c r="F8" s="30">
        <f>IF(Vendedor5!$E$11="",0,Vendedor5!$E$11)</f>
        <v>1800</v>
      </c>
      <c r="G8" s="180">
        <f>IF(Vendedor5!$C$15="",0,Vendedor5!$C$15)</f>
        <v>73700</v>
      </c>
      <c r="H8" s="30">
        <f>IF(Vendedor5!$E$15="",0,Vendedor5!$E$15)</f>
        <v>850</v>
      </c>
      <c r="J8" s="42">
        <f t="shared" ref="J8" si="4">+C8+E8+G8</f>
        <v>186750</v>
      </c>
      <c r="K8" s="41">
        <f>MROUND(J8*Vendedor5!J$11,50)</f>
        <v>22400</v>
      </c>
      <c r="L8" s="42">
        <f t="shared" ref="L8" si="5">+D8+F8+H8</f>
        <v>3150</v>
      </c>
      <c r="M8" s="42">
        <f t="shared" ref="M8" si="6">+L8*85</f>
        <v>267750</v>
      </c>
      <c r="N8" s="42">
        <f>Vendedor5!$F$7+Vendedor5!$F$11+Vendedor5!$F$15</f>
        <v>267750</v>
      </c>
      <c r="P8" s="42">
        <f t="shared" ref="P8" si="7">+J8-K8-N8</f>
        <v>-103400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86150</v>
      </c>
      <c r="D10" s="30">
        <f>IF(Vendedor7!$E$7="",0,Vendedor7!$E$7)</f>
        <v>0</v>
      </c>
      <c r="E10" s="180">
        <f>IF(Vendedor7!$C$11="",0,Vendedor7!$C$11)</f>
        <v>100350</v>
      </c>
      <c r="F10" s="30">
        <f>IF(Vendedor7!$E$11="",0,Vendedor7!$E$11)</f>
        <v>6900</v>
      </c>
      <c r="G10" s="180">
        <f>IF(Vendedor7!$C$15="",0,Vendedor7!$C$15)</f>
        <v>119800</v>
      </c>
      <c r="H10" s="30">
        <f>IF(Vendedor7!$E$15="",0,Vendedor7!$E$15)</f>
        <v>0</v>
      </c>
      <c r="J10" s="42">
        <f t="shared" si="8"/>
        <v>306300</v>
      </c>
      <c r="K10" s="41">
        <f>MROUND(J10*Vendedor7!J$14,50)</f>
        <v>36750</v>
      </c>
      <c r="L10" s="42">
        <f t="shared" si="9"/>
        <v>6900</v>
      </c>
      <c r="M10" s="42">
        <f t="shared" si="10"/>
        <v>586500</v>
      </c>
      <c r="N10" s="42">
        <f>Vendedor7!$F$7+Vendedor7!$F$11+Vendedor7!$F$15</f>
        <v>586500</v>
      </c>
      <c r="P10" s="42">
        <f t="shared" si="11"/>
        <v>-316950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2000</v>
      </c>
      <c r="H11" s="30">
        <f>IF(Vendedor8!$E$15="",0,Vendedor8!$E$15)</f>
        <v>0</v>
      </c>
      <c r="J11" s="42">
        <f t="shared" si="8"/>
        <v>2000</v>
      </c>
      <c r="K11" s="41">
        <f>MROUND(J11*Vendedor8!J$11,50)</f>
        <v>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51800</v>
      </c>
      <c r="D12" s="30">
        <f>IF(Vendedor9!$E$7="",0,Vendedor9!$E$7)</f>
        <v>850</v>
      </c>
      <c r="E12" s="180">
        <f>IF(Vendedor9!$C$11="",0,Vendedor9!$C$11)</f>
        <v>19500</v>
      </c>
      <c r="F12" s="30">
        <f>IF(Vendedor9!$E$11="",0,Vendedor9!$E$11)</f>
        <v>750</v>
      </c>
      <c r="G12" s="180">
        <f>IF(Vendedor9!$C$15="",0,Vendedor9!$C$15)</f>
        <v>28000</v>
      </c>
      <c r="H12" s="30">
        <f>IF(Vendedor9!$E$15="",0,Vendedor9!$E$15)</f>
        <v>0</v>
      </c>
      <c r="J12" s="42">
        <f t="shared" si="8"/>
        <v>99300</v>
      </c>
      <c r="K12" s="41">
        <f>MROUND(J12*Vendedor9!J$11,50)</f>
        <v>11900</v>
      </c>
      <c r="L12" s="42">
        <f t="shared" si="9"/>
        <v>1600</v>
      </c>
      <c r="M12" s="42">
        <f t="shared" si="10"/>
        <v>136000</v>
      </c>
      <c r="N12" s="42">
        <f>Vendedor9!$F$7+Vendedor9!$F$11+Vendedor9!$F$15</f>
        <v>136000</v>
      </c>
      <c r="P12" s="42">
        <f t="shared" si="11"/>
        <v>-48600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20200</v>
      </c>
      <c r="D13" s="30">
        <f>IF(Vendedor10!$E$7="",0,Vendedor10!$E$7)</f>
        <v>0</v>
      </c>
      <c r="E13" s="180">
        <f>IF(Vendedor10!$C$11="",0,Vendedor10!$C$11)</f>
        <v>8450</v>
      </c>
      <c r="F13" s="30">
        <f>IF(Vendedor10!$E$11="",0,Vendedor10!$E$11)</f>
        <v>300</v>
      </c>
      <c r="G13" s="180">
        <f>IF(Vendedor10!$C$15="",0,Vendedor10!$C$15)</f>
        <v>24550</v>
      </c>
      <c r="H13" s="30">
        <f>IF(Vendedor10!$E$15="",0,Vendedor10!$E$15)</f>
        <v>0</v>
      </c>
      <c r="J13" s="42">
        <f t="shared" si="8"/>
        <v>53200</v>
      </c>
      <c r="K13" s="41">
        <f>MROUND(J13*Vendedor10!J$9,50)</f>
        <v>6400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21300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33550</v>
      </c>
      <c r="D14" s="30">
        <f>IF(Vendedor11!$E$7="",0,Vendedor11!$E$7)</f>
        <v>300</v>
      </c>
      <c r="E14" s="180">
        <f>IF(Vendedor11!$C$11="",0,Vendedor11!$C$11)</f>
        <v>17750</v>
      </c>
      <c r="F14" s="30">
        <f>IF(Vendedor11!$E$11="",0,Vendedor11!$E$11)</f>
        <v>0</v>
      </c>
      <c r="G14" s="180">
        <f>IF(Vendedor11!$C$15="",0,Vendedor11!$C$15)</f>
        <v>27100</v>
      </c>
      <c r="H14" s="30">
        <f>IF(Vendedor11!$E$15="",0,Vendedor11!$E$15)</f>
        <v>0</v>
      </c>
      <c r="J14" s="42">
        <f t="shared" si="8"/>
        <v>78400</v>
      </c>
      <c r="K14" s="41">
        <f>MROUND(J14*Vendedor11!J$9,50)</f>
        <v>11750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42650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24750</v>
      </c>
      <c r="D16" s="30">
        <f>IF(Vendedor13!$E$7="",0,Vendedor13!$E$7)</f>
        <v>0</v>
      </c>
      <c r="E16" s="180">
        <f>IF(Vendedor13!$C$11="",0,Vendedor13!$C$11)</f>
        <v>7750</v>
      </c>
      <c r="F16" s="30">
        <f>IF(Vendedor13!$E$11="",0,Vendedor13!$E$11)</f>
        <v>250</v>
      </c>
      <c r="G16" s="180">
        <f>IF(Vendedor13!$C$15="",0,Vendedor13!$C$15)</f>
        <v>30700</v>
      </c>
      <c r="H16" s="30">
        <f>IF(Vendedor13!$E$15="",0,Vendedor13!$E$15)</f>
        <v>1000</v>
      </c>
      <c r="J16" s="42">
        <f t="shared" si="8"/>
        <v>63200</v>
      </c>
      <c r="K16" s="41">
        <f>MROUND(J16*Vendedor13!J$11,50)</f>
        <v>7600</v>
      </c>
      <c r="L16" s="42">
        <f t="shared" si="9"/>
        <v>1250</v>
      </c>
      <c r="M16" s="42">
        <f t="shared" si="10"/>
        <v>106250</v>
      </c>
      <c r="N16" s="42">
        <f>Vendedor13!$F$7+Vendedor13!$F$11+Vendedor13!$F$15</f>
        <v>106250</v>
      </c>
      <c r="P16" s="42">
        <f t="shared" si="11"/>
        <v>-50650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409100</v>
      </c>
      <c r="D32" s="44">
        <f t="shared" si="16"/>
        <v>1650</v>
      </c>
      <c r="E32" s="43">
        <f t="shared" si="16"/>
        <v>253550</v>
      </c>
      <c r="F32" s="44">
        <f t="shared" si="16"/>
        <v>10650</v>
      </c>
      <c r="G32" s="43">
        <f t="shared" si="16"/>
        <v>421600</v>
      </c>
      <c r="H32" s="44">
        <f t="shared" si="16"/>
        <v>1850</v>
      </c>
      <c r="J32" s="95">
        <f>SUM(J4:J31)</f>
        <v>1084250</v>
      </c>
      <c r="K32" s="45">
        <f>SUM(K7:K31)</f>
        <v>97050</v>
      </c>
      <c r="L32" s="95">
        <f>SUM(L4:L31)</f>
        <v>14150</v>
      </c>
      <c r="M32" s="95">
        <f>SUM(M4:M31)</f>
        <v>1202750</v>
      </c>
      <c r="N32" s="95">
        <f>SUM(N4:N31)</f>
        <v>1201250</v>
      </c>
      <c r="P32" s="79">
        <f>SUM(P4:P31)</f>
        <v>-252400</v>
      </c>
    </row>
    <row r="33" spans="3:13" x14ac:dyDescent="0.35">
      <c r="D33" s="99">
        <f>+D32*85</f>
        <v>140250</v>
      </c>
      <c r="F33" s="99">
        <f>+F32*85</f>
        <v>905250</v>
      </c>
      <c r="H33" s="99">
        <f>+H32*85</f>
        <v>157250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1084250</v>
      </c>
      <c r="E36" s="43">
        <f>+D36-J4-J5-J6</f>
        <v>789150</v>
      </c>
      <c r="G36" s="101"/>
    </row>
    <row r="37" spans="3:13" x14ac:dyDescent="0.35">
      <c r="C37" s="47" t="s">
        <v>33</v>
      </c>
      <c r="D37" s="48">
        <f>D36*13%</f>
        <v>140952.5</v>
      </c>
      <c r="E37">
        <f>+D37-K4-K5-K6</f>
        <v>102602.5</v>
      </c>
      <c r="G37" s="100"/>
      <c r="H37" s="100"/>
    </row>
    <row r="38" spans="3:13" ht="15" thickBot="1" x14ac:dyDescent="0.4">
      <c r="C38" s="47" t="s">
        <v>30</v>
      </c>
      <c r="D38" s="30">
        <f>M32</f>
        <v>1202750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-259452.5</v>
      </c>
      <c r="F39" s="98">
        <f>+P32-D39</f>
        <v>7052.5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-259452.5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54</v>
      </c>
      <c r="D2" s="268"/>
      <c r="E2" s="267">
        <f>DigitaNICA!E2</f>
        <v>68</v>
      </c>
      <c r="F2" s="268"/>
      <c r="G2" s="267" t="str">
        <f>DigitaNICA!G2</f>
        <v/>
      </c>
      <c r="H2" s="268"/>
      <c r="I2" s="267">
        <f>DigitaNICA!I2</f>
        <v>27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18100</v>
      </c>
      <c r="D4" s="78">
        <f>IF(Vendedor1!$E$5="",0,Vendedor1!$E$5)</f>
        <v>0</v>
      </c>
      <c r="E4" s="189">
        <f>IF(Vendedor1!$C$9="",0,Vendedor1!$C$9)</f>
        <v>7500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1850</v>
      </c>
      <c r="J4" s="78">
        <f>IF(Vendedor1!$E$17="",0,Vendedor1!$E$17)</f>
        <v>200</v>
      </c>
      <c r="L4" s="42">
        <f t="shared" ref="L4:L7" si="0">C4+E4+G4+I4</f>
        <v>27450</v>
      </c>
      <c r="M4" s="41">
        <f>MROUND(L4*Vendedor1!J$10,50)</f>
        <v>3550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6900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13650</v>
      </c>
      <c r="D5" s="30">
        <f>IF(Vendedor2!$E$5="",0,Vendedor2!$E$5)</f>
        <v>0</v>
      </c>
      <c r="E5" s="180">
        <f>IF(Vendedor2!$C$9="",0,Vendedor2!$C$9)</f>
        <v>2350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16000</v>
      </c>
      <c r="M5" s="41">
        <f>MROUND(L5*Vendedor2!J$10,50)</f>
        <v>2100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13900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63150</v>
      </c>
      <c r="D8" s="30">
        <f>IF(Vendedor5!$E$5="",0,Vendedor5!$E$5)</f>
        <v>0</v>
      </c>
      <c r="E8" s="180">
        <f>IF(Vendedor5!$C$9="",0,Vendedor5!$C$9)</f>
        <v>37150</v>
      </c>
      <c r="F8" s="30">
        <f>IF(Vendedor5!$E$9="",0,Vendedor5!$E$9)</f>
        <v>650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47950</v>
      </c>
      <c r="J8" s="30">
        <f>IF(Vendedor5!$E$17="",0,Vendedor5!$E$17)</f>
        <v>1000</v>
      </c>
      <c r="L8" s="42">
        <f t="shared" ref="L8" si="4">C8+E8+G8+I8</f>
        <v>148250</v>
      </c>
      <c r="M8" s="41">
        <f>MROUND(L8*Vendedor5!J$12,50)</f>
        <v>17800</v>
      </c>
      <c r="N8" s="42">
        <f t="shared" ref="N8" si="5">D8+F8+H8+J8</f>
        <v>1650</v>
      </c>
      <c r="O8" s="41">
        <f t="shared" si="3"/>
        <v>140250</v>
      </c>
      <c r="P8" s="42">
        <f>Vendedor5!$F$5+Vendedor5!$F$9+Vendedor5!$F$13+Vendedor5!$F$17</f>
        <v>132000</v>
      </c>
      <c r="Q8">
        <v>17</v>
      </c>
      <c r="R8" s="41">
        <f t="shared" ref="R8" si="6">+L8-M8-O8</f>
        <v>-9800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55200</v>
      </c>
      <c r="D10" s="30">
        <f>IF(Vendedor7!$E$5="",0,Vendedor7!$E$5)</f>
        <v>0</v>
      </c>
      <c r="E10" s="180">
        <f>IF(Vendedor7!$C$9="",0,Vendedor7!$C$9)</f>
        <v>50550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53450</v>
      </c>
      <c r="J10" s="30">
        <f>IF(Vendedor7!$E$17="",0,Vendedor7!$E$17)</f>
        <v>1000</v>
      </c>
      <c r="L10" s="42">
        <f t="shared" si="7"/>
        <v>159200</v>
      </c>
      <c r="M10" s="41">
        <f>MROUND(L10*Vendedor7!J$15,50)</f>
        <v>19100</v>
      </c>
      <c r="N10" s="42">
        <f t="shared" ref="N10:N27" si="9">D10+F10+H10+J10</f>
        <v>1000</v>
      </c>
      <c r="O10" s="41">
        <f t="shared" si="3"/>
        <v>85000</v>
      </c>
      <c r="P10" s="42">
        <f>Vendedor7!$F$5+Vendedor7!$F$9+Vendedor7!$F$13+Vendedor7!$F$17</f>
        <v>85000</v>
      </c>
      <c r="R10" s="41">
        <f t="shared" si="8"/>
        <v>55100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36200</v>
      </c>
      <c r="D12" s="30">
        <f>IF(Vendedor9!$E$5="",0,Vendedor9!$E$5)</f>
        <v>0</v>
      </c>
      <c r="E12" s="180">
        <f>IF(Vendedor9!$C$9="",0,Vendedor9!$C$9)</f>
        <v>38900</v>
      </c>
      <c r="F12" s="30">
        <f>IF(Vendedor9!$E$9="",0,Vendedor9!$E$9)</f>
        <v>350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75100</v>
      </c>
      <c r="M12" s="41">
        <f>MROUND(L12*Vendedor9!J$12,50)</f>
        <v>9000</v>
      </c>
      <c r="N12" s="42">
        <f t="shared" si="9"/>
        <v>350</v>
      </c>
      <c r="O12" s="41">
        <f t="shared" si="3"/>
        <v>29750</v>
      </c>
      <c r="P12" s="42">
        <f>Vendedor9!$F$5+Vendedor9!$F$9+Vendedor9!$F$13+Vendedor9!$F$17</f>
        <v>29750</v>
      </c>
      <c r="R12" s="41">
        <f t="shared" si="8"/>
        <v>36350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18150</v>
      </c>
      <c r="D13" s="30">
        <f>IF(Vendedor10!$E$5="",0,Vendedor10!$E$5)</f>
        <v>0</v>
      </c>
      <c r="E13" s="180">
        <f>IF(Vendedor10!$C$9="",0,Vendedor10!$C$9)</f>
        <v>27300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900</v>
      </c>
      <c r="J13" s="30">
        <f>IF(Vendedor10!$E$17="",0,Vendedor10!$E$17)</f>
        <v>0</v>
      </c>
      <c r="L13" s="42">
        <f t="shared" si="7"/>
        <v>46350</v>
      </c>
      <c r="M13" s="41">
        <f>MROUND(L13*Vendedor10!J$10,50)</f>
        <v>5550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40800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5400</v>
      </c>
      <c r="D16" s="30">
        <f>IF(Vendedor13!$E$5="",0,Vendedor13!$E$5)</f>
        <v>0</v>
      </c>
      <c r="E16" s="180">
        <f>IF(Vendedor13!$C$9="",0,Vendedor13!$C$9)</f>
        <v>7000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20800</v>
      </c>
      <c r="J16" s="30">
        <f>IF(Vendedor13!$E$17="",0,Vendedor13!$E$17)</f>
        <v>0</v>
      </c>
      <c r="L16" s="42">
        <f t="shared" si="7"/>
        <v>33200</v>
      </c>
      <c r="M16" s="41">
        <f>MROUND(L16*Vendedor13!J$12,50)</f>
        <v>4000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29200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209850</v>
      </c>
      <c r="D32" s="44">
        <f t="shared" si="14"/>
        <v>0</v>
      </c>
      <c r="E32" s="43">
        <f t="shared" si="14"/>
        <v>170750</v>
      </c>
      <c r="F32" s="44">
        <f t="shared" si="14"/>
        <v>1000</v>
      </c>
      <c r="G32" s="43">
        <f t="shared" si="14"/>
        <v>0</v>
      </c>
      <c r="H32" s="44">
        <f t="shared" si="14"/>
        <v>0</v>
      </c>
      <c r="I32" s="43">
        <f t="shared" si="14"/>
        <v>124950</v>
      </c>
      <c r="J32" s="44">
        <f t="shared" si="14"/>
        <v>2200</v>
      </c>
      <c r="L32" s="45">
        <f>SUM(L4:L31)</f>
        <v>505550</v>
      </c>
      <c r="M32" s="45">
        <f>SUM(M7:M31)</f>
        <v>55450</v>
      </c>
      <c r="N32" s="95">
        <f>SUM(N4:N31)</f>
        <v>3200</v>
      </c>
      <c r="O32" s="46">
        <f>SUM(O4:O31)</f>
        <v>272000</v>
      </c>
      <c r="P32" s="140">
        <f>SUM(P4:P31)</f>
        <v>262750</v>
      </c>
      <c r="R32" s="79">
        <f>SUM(R4:R31)</f>
        <v>172450</v>
      </c>
    </row>
    <row r="33" spans="3:15" x14ac:dyDescent="0.35">
      <c r="D33" s="120">
        <f>+D32*85</f>
        <v>0</v>
      </c>
      <c r="F33" s="120">
        <f>+F32*85</f>
        <v>85000</v>
      </c>
      <c r="H33" s="120">
        <f>+H32*85</f>
        <v>0</v>
      </c>
      <c r="J33" s="120">
        <f>+J32*85</f>
        <v>187000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505550</v>
      </c>
      <c r="E36" s="43">
        <f>+D36-L4-L5-L6</f>
        <v>462100</v>
      </c>
    </row>
    <row r="37" spans="3:15" x14ac:dyDescent="0.35">
      <c r="C37" s="47" t="s">
        <v>33</v>
      </c>
      <c r="D37" s="48">
        <f>D36*13%</f>
        <v>65721.5</v>
      </c>
      <c r="E37">
        <f>+D37-M4-M5-M6</f>
        <v>60071.5</v>
      </c>
    </row>
    <row r="38" spans="3:15" x14ac:dyDescent="0.35">
      <c r="C38" s="47" t="s">
        <v>30</v>
      </c>
      <c r="D38" s="30">
        <f>SUM(O4:O27)</f>
        <v>272000</v>
      </c>
      <c r="G38" s="100"/>
    </row>
    <row r="39" spans="3:15" ht="15" thickBot="1" x14ac:dyDescent="0.4">
      <c r="C39" s="49" t="s">
        <v>4</v>
      </c>
      <c r="D39" s="80">
        <f>+D36-D37-D38</f>
        <v>167828.5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167828.5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52 Blanca</v>
      </c>
      <c r="D2" s="268"/>
      <c r="E2" s="267" t="str">
        <f>IF(E33=0,"",CONCATENATE(PREMIOS!$B11," ",PREMIOS!$B12))</f>
        <v>90 Roja</v>
      </c>
      <c r="F2" s="268"/>
      <c r="G2" s="267" t="str">
        <f>IF(G33=0,"",CONCATENATE(PREMIOS!$B15," ",PREMIOS!$B16))</f>
        <v>83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12400</v>
      </c>
      <c r="D10" s="30">
        <f>IF(Vendedor7!$E$8="",0,Vendedor7!$E$8)</f>
        <v>0</v>
      </c>
      <c r="E10" s="180">
        <f>IF(Vendedor7!$C$12="",0,Vendedor7!$C$12)</f>
        <v>12550</v>
      </c>
      <c r="F10" s="30">
        <f>IF(Vendedor7!$E$12="",0,Vendedor7!$E$12)</f>
        <v>250</v>
      </c>
      <c r="G10" s="180">
        <f>IF(Vendedor7!$C$16="",0,Vendedor7!$C$16)</f>
        <v>16350</v>
      </c>
      <c r="H10" s="30">
        <f>IF(Vendedor7!$E$16="",0,Vendedor7!$E$16)</f>
        <v>0</v>
      </c>
      <c r="J10" s="42">
        <f t="shared" si="1"/>
        <v>41300</v>
      </c>
      <c r="K10" s="41">
        <f>J10*Vendedor7!J$16</f>
        <v>4130</v>
      </c>
      <c r="L10" s="42">
        <f t="shared" si="2"/>
        <v>250</v>
      </c>
      <c r="M10" s="42">
        <f t="shared" si="3"/>
        <v>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-12830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1700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2500</v>
      </c>
      <c r="H12" s="30">
        <f>IF(Vendedor9!$E$16="",0,Vendedor9!$E$16)</f>
        <v>0</v>
      </c>
      <c r="J12" s="42">
        <f t="shared" si="1"/>
        <v>4700</v>
      </c>
      <c r="K12" s="41">
        <f>J12*Vendedor9!J$13</f>
        <v>470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4230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15100</v>
      </c>
      <c r="D33" s="44">
        <f>IF(PREMIOS!E8&lt;&gt;0,SUM(D4:D32),0)</f>
        <v>0</v>
      </c>
      <c r="E33" s="43">
        <f>SUM(E4:E32)</f>
        <v>13050</v>
      </c>
      <c r="F33" s="44">
        <f>IF(PREMIOS!E12&lt;&gt;0,SUM(F4:F32),0)</f>
        <v>250</v>
      </c>
      <c r="G33" s="43">
        <f>SUM(G4:G32)</f>
        <v>18850</v>
      </c>
      <c r="H33" s="44">
        <f>IF(PREMIOS!E16&lt;&gt;0,SUM(H4:H32),0)</f>
        <v>0</v>
      </c>
      <c r="J33" s="45">
        <f>SUM(J4:J32)</f>
        <v>47000</v>
      </c>
      <c r="K33" s="45">
        <f>SUM(K7:K32)</f>
        <v>4700</v>
      </c>
      <c r="L33" s="95">
        <f>SUM(L7:L32)</f>
        <v>250</v>
      </c>
      <c r="M33" s="95">
        <f>SUM(M7:M32)</f>
        <v>250</v>
      </c>
      <c r="N33" s="95">
        <f>SUM(N4:N27)</f>
        <v>55000</v>
      </c>
      <c r="O33" s="95">
        <f>SUM(O4:O27)</f>
        <v>50000</v>
      </c>
      <c r="Q33" s="79">
        <f>SUM(Q4:Q32)</f>
        <v>-7700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55000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47000</v>
      </c>
      <c r="E37" s="43">
        <f>+D37-J4-J5-J6</f>
        <v>47000</v>
      </c>
      <c r="F37" s="275"/>
      <c r="G37" s="275"/>
    </row>
    <row r="38" spans="3:17" ht="15" thickBot="1" x14ac:dyDescent="0.4">
      <c r="C38" s="47" t="s">
        <v>33</v>
      </c>
      <c r="D38" s="30">
        <f>D37*10%</f>
        <v>4700</v>
      </c>
      <c r="E38" s="43">
        <f>+D38-K4-K5-K6</f>
        <v>4700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55000</v>
      </c>
    </row>
    <row r="40" spans="3:17" ht="15" thickBot="1" x14ac:dyDescent="0.4">
      <c r="C40" s="49" t="s">
        <v>4</v>
      </c>
      <c r="D40" s="80">
        <f>+D37-D38-D39</f>
        <v>-12700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-12700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22</v>
      </c>
      <c r="D2" s="268"/>
      <c r="E2" s="267">
        <f>DigitaPRIMERA!E2</f>
        <v>71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4950</v>
      </c>
      <c r="D4" s="78">
        <f>IF(Vendedor1!$E$19="",0,Vendedor1!$E$19)</f>
        <v>100</v>
      </c>
      <c r="E4" s="189">
        <f>IF(Vendedor1!$C$20="",0,Vendedor1!$C$20)</f>
        <v>200</v>
      </c>
      <c r="F4" s="78">
        <f>IF(Vendedor1!$E$20="",0,Vendedor1!$E$20)</f>
        <v>0</v>
      </c>
      <c r="H4" s="42">
        <f>+C4+E4</f>
        <v>5150</v>
      </c>
      <c r="I4" s="41">
        <f>MROUND(H4*Vendedor1!J$9,50)</f>
        <v>650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-3500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19700</v>
      </c>
      <c r="D8" s="30">
        <f>IF(Vendedor5!$E$19="",0,Vendedor5!$E$19)</f>
        <v>600</v>
      </c>
      <c r="E8" s="180">
        <f>IF(Vendedor5!$C$20="",0,Vendedor5!$C$20)</f>
        <v>25050</v>
      </c>
      <c r="F8" s="30">
        <f>IF(Vendedor5!$E$20="",0,Vendedor5!$E$20)</f>
        <v>0</v>
      </c>
      <c r="H8" s="133">
        <f t="shared" si="1"/>
        <v>44750</v>
      </c>
      <c r="I8" s="148">
        <f>MROUND(H8*Vendedor5!J$11,50)</f>
        <v>5350</v>
      </c>
      <c r="J8" s="133">
        <f t="shared" si="2"/>
        <v>600</v>
      </c>
      <c r="K8" s="133">
        <f t="shared" si="3"/>
        <v>51000</v>
      </c>
      <c r="L8" s="133">
        <f>Vendedor5!$F$19+Vendedor5!$F$20</f>
        <v>48000</v>
      </c>
      <c r="M8" s="155"/>
      <c r="N8" s="133">
        <f t="shared" si="0"/>
        <v>-8600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12600</v>
      </c>
      <c r="D10" s="30">
        <f>IF(Vendedor7!$E$19="",0,Vendedor7!$E$19)</f>
        <v>950</v>
      </c>
      <c r="E10" s="180">
        <f>IF(Vendedor7!$C$20="",0,Vendedor7!$C$20)</f>
        <v>5450</v>
      </c>
      <c r="F10" s="30">
        <f>IF(Vendedor7!$E$20="",0,Vendedor7!$E$20)</f>
        <v>0</v>
      </c>
      <c r="H10" s="42">
        <f t="shared" si="1"/>
        <v>18050</v>
      </c>
      <c r="I10" s="41">
        <f>MROUND(H10*Vendedor7!J$14,50)</f>
        <v>2150</v>
      </c>
      <c r="J10" s="42">
        <f t="shared" si="2"/>
        <v>950</v>
      </c>
      <c r="K10" s="42">
        <f t="shared" si="3"/>
        <v>80750</v>
      </c>
      <c r="L10" s="42">
        <f>Vendedor7!$F$19+Vendedor7!$F$20</f>
        <v>80750</v>
      </c>
      <c r="N10" s="42">
        <f t="shared" si="0"/>
        <v>-64850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29200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29200</v>
      </c>
      <c r="I12" s="148">
        <f>MROUND(H12*Vendedor9!J$11,50)</f>
        <v>3500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8700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3600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3600</v>
      </c>
      <c r="I16" s="148">
        <f>MROUND(H16*Vendedor13!J$11,50)</f>
        <v>450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3150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72050</v>
      </c>
      <c r="D32" s="44">
        <f>SUM(D4:D31)</f>
        <v>1850</v>
      </c>
      <c r="E32" s="43">
        <f>SUM(E4:E31)</f>
        <v>30700</v>
      </c>
      <c r="F32" s="44">
        <f>SUM(F4:F31)</f>
        <v>0</v>
      </c>
      <c r="H32" s="95">
        <f>SUM(H4:H31)</f>
        <v>102750</v>
      </c>
      <c r="I32" s="45">
        <f>SUM(I7:I31)</f>
        <v>11450</v>
      </c>
      <c r="J32" s="95"/>
      <c r="K32" s="95">
        <f>SUM(K4:K31)</f>
        <v>157250</v>
      </c>
      <c r="L32" s="95">
        <f>SUM(L4:L31)</f>
        <v>153750</v>
      </c>
      <c r="N32" s="79">
        <f>SUM(N4:N31)</f>
        <v>-63350</v>
      </c>
    </row>
    <row r="33" spans="3:6" x14ac:dyDescent="0.35">
      <c r="D33" s="99">
        <f>+D32*85</f>
        <v>157250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102750</v>
      </c>
      <c r="E36" s="43">
        <f>+D36-H4-H5-H6</f>
        <v>95600</v>
      </c>
    </row>
    <row r="37" spans="3:6" x14ac:dyDescent="0.35">
      <c r="C37" s="47" t="s">
        <v>33</v>
      </c>
      <c r="D37" s="48">
        <f>D36*13%</f>
        <v>13357.5</v>
      </c>
      <c r="E37">
        <f>+D37-I4-I5-I6</f>
        <v>12457.5</v>
      </c>
    </row>
    <row r="38" spans="3:6" ht="15" thickBot="1" x14ac:dyDescent="0.4">
      <c r="C38" s="47" t="s">
        <v>30</v>
      </c>
      <c r="D38" s="30">
        <f>SUM(K4:K27)</f>
        <v>157250</v>
      </c>
    </row>
    <row r="39" spans="3:6" ht="15" thickBot="1" x14ac:dyDescent="0.4">
      <c r="C39" s="49" t="s">
        <v>4</v>
      </c>
      <c r="D39" s="80">
        <f>+D36-D37-D38</f>
        <v>-67857.5</v>
      </c>
      <c r="F39" s="98">
        <f>+N32-D39</f>
        <v>4507.5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-67857.5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87</v>
      </c>
      <c r="D2" s="268"/>
      <c r="E2" s="267">
        <f>DigitaHONDURAS!E2</f>
        <v>18</v>
      </c>
      <c r="F2" s="268"/>
      <c r="G2" s="267" t="str">
        <f>DigitaHONDURAS!G2</f>
        <v>09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18150</v>
      </c>
      <c r="D10" s="30">
        <f>IF(Vendedor7!$E$21="",0,Vendedor7!$E$21)</f>
        <v>0</v>
      </c>
      <c r="E10" s="180">
        <f>IF(Vendedor7!$C$22="",0,Vendedor7!$C$22)</f>
        <v>4750</v>
      </c>
      <c r="F10" s="30">
        <f>IF(Vendedor7!$E$22="",0,Vendedor7!$E$22)</f>
        <v>0</v>
      </c>
      <c r="G10" s="180">
        <f>IF(Vendedor7!$C$23="",0,Vendedor7!$C$23)</f>
        <v>15100</v>
      </c>
      <c r="H10" s="30">
        <f>IF(Vendedor7!$E$23="",0,Vendedor7!$E$23)</f>
        <v>0</v>
      </c>
      <c r="J10" s="42">
        <f t="shared" si="0"/>
        <v>38000</v>
      </c>
      <c r="K10" s="41">
        <f>MROUND(J10*Vendedor7!J$14,50)</f>
        <v>4550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33450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18150</v>
      </c>
      <c r="D32" s="44">
        <f t="shared" si="8"/>
        <v>0</v>
      </c>
      <c r="E32" s="43">
        <f t="shared" si="8"/>
        <v>4750</v>
      </c>
      <c r="F32" s="44">
        <f t="shared" si="8"/>
        <v>0</v>
      </c>
      <c r="G32" s="43">
        <f t="shared" si="8"/>
        <v>15100</v>
      </c>
      <c r="H32" s="44">
        <f t="shared" si="8"/>
        <v>0</v>
      </c>
      <c r="J32" s="95">
        <f>SUM(J4:J31)</f>
        <v>38000</v>
      </c>
      <c r="K32" s="45">
        <f>SUM(K7:K31)</f>
        <v>4550</v>
      </c>
      <c r="L32" s="95"/>
      <c r="M32" s="95">
        <f>SUM(M4:M31)</f>
        <v>0</v>
      </c>
      <c r="N32" s="95">
        <f>SUM(N4:N31)</f>
        <v>0</v>
      </c>
      <c r="P32" s="79">
        <f>SUM(P4:P31)</f>
        <v>33450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38000</v>
      </c>
      <c r="E36" s="43">
        <f>+D36-J4-J5-J6</f>
        <v>38000</v>
      </c>
    </row>
    <row r="37" spans="3:8" x14ac:dyDescent="0.35">
      <c r="C37" s="47" t="s">
        <v>33</v>
      </c>
      <c r="D37" s="48">
        <f>D36*13%</f>
        <v>4940</v>
      </c>
      <c r="E37">
        <f>+D37-K4-K5-K6</f>
        <v>4940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33060</v>
      </c>
      <c r="F39" s="98">
        <f>+P32-D39</f>
        <v>390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33060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54</v>
      </c>
      <c r="D2" s="268"/>
      <c r="E2" s="267">
        <f>DigitaDOMINICANA!E2</f>
        <v>28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26000</v>
      </c>
      <c r="D10" s="30">
        <f>IF(Vendedor7!$E$24="",0,Vendedor7!$E$24)</f>
        <v>0</v>
      </c>
      <c r="E10" s="180">
        <f>IF(Vendedor7!$C$25="",0,Vendedor7!$C$25)</f>
        <v>28500</v>
      </c>
      <c r="F10" s="30">
        <f>IF(Vendedor7!$E$25="",0,Vendedor7!$E$25)</f>
        <v>0</v>
      </c>
      <c r="H10" s="42">
        <f t="shared" si="1"/>
        <v>54500</v>
      </c>
      <c r="I10" s="41">
        <f>MROUND(H10*Vendedor7!J$14,50)</f>
        <v>6550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47950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26000</v>
      </c>
      <c r="D32" s="44">
        <f>SUM(D4:D31)</f>
        <v>0</v>
      </c>
      <c r="E32" s="43">
        <f>SUM(E4:E31)</f>
        <v>28500</v>
      </c>
      <c r="F32" s="44">
        <f>SUM(F4:F31)</f>
        <v>0</v>
      </c>
      <c r="H32" s="95">
        <f>SUM(H4:H31)</f>
        <v>54500</v>
      </c>
      <c r="I32" s="45">
        <f>SUM(I7:I31)</f>
        <v>6550</v>
      </c>
      <c r="J32" s="95"/>
      <c r="K32" s="95">
        <f>SUM(K4:K31)</f>
        <v>0</v>
      </c>
      <c r="L32" s="95">
        <f>SUM(L4:L31)</f>
        <v>0</v>
      </c>
      <c r="N32" s="79">
        <f>SUM(N4:N31)</f>
        <v>47950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54500</v>
      </c>
      <c r="E36" s="43">
        <f>+D36-H4-H5-H6</f>
        <v>54500</v>
      </c>
    </row>
    <row r="37" spans="3:6" x14ac:dyDescent="0.35">
      <c r="C37" s="47" t="s">
        <v>33</v>
      </c>
      <c r="D37" s="48">
        <f>D36*13%</f>
        <v>7085</v>
      </c>
      <c r="E37">
        <f>+D37-I4-I5-I6</f>
        <v>7085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47415</v>
      </c>
      <c r="F39" s="98">
        <f>+N32-D39</f>
        <v>535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47415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462100</v>
      </c>
      <c r="C4" s="157">
        <f>HojaNICA!M32</f>
        <v>55450</v>
      </c>
      <c r="D4" s="150">
        <f>HojaNICA!E37</f>
        <v>60071.5</v>
      </c>
      <c r="E4" s="150">
        <f>HojaNICA!P32</f>
        <v>262750</v>
      </c>
      <c r="F4" s="150">
        <f>HojaNICA!O32</f>
        <v>272000</v>
      </c>
      <c r="G4" s="151">
        <f t="shared" ref="G4:G10" si="0">+D4-C4+F4-E4</f>
        <v>13871.5</v>
      </c>
      <c r="H4" s="21"/>
      <c r="I4" s="182"/>
    </row>
    <row r="5" spans="1:9" x14ac:dyDescent="0.35">
      <c r="A5" s="28" t="s">
        <v>19</v>
      </c>
      <c r="B5" s="156">
        <f>HojaTICA!$E$36</f>
        <v>789150</v>
      </c>
      <c r="C5" s="157">
        <f>HojaTICA!K32</f>
        <v>97050</v>
      </c>
      <c r="D5" s="150">
        <f>HojaTICA!E37</f>
        <v>102602.5</v>
      </c>
      <c r="E5" s="150">
        <f>HojaTICA!N32</f>
        <v>1201250</v>
      </c>
      <c r="F5" s="150">
        <f>HojaTICA!D38</f>
        <v>1202750</v>
      </c>
      <c r="G5" s="151">
        <f t="shared" si="0"/>
        <v>7052.5</v>
      </c>
      <c r="H5" s="21"/>
      <c r="I5" s="182"/>
    </row>
    <row r="6" spans="1:9" x14ac:dyDescent="0.35">
      <c r="A6" s="28" t="s">
        <v>125</v>
      </c>
      <c r="B6" s="156">
        <f>HojaREVENTADO!$E$37</f>
        <v>47000</v>
      </c>
      <c r="C6" s="157">
        <f>HojaREVENTADO!K33</f>
        <v>4700</v>
      </c>
      <c r="D6" s="150">
        <f>HojaREVENTADO!E38</f>
        <v>4700</v>
      </c>
      <c r="E6" s="150">
        <f>HojaREVENTADO!O33</f>
        <v>50000</v>
      </c>
      <c r="F6" s="150">
        <f>HojaREVENTADO!N33</f>
        <v>55000</v>
      </c>
      <c r="G6" s="151">
        <f t="shared" si="0"/>
        <v>5000</v>
      </c>
      <c r="H6" s="21"/>
      <c r="I6" s="182"/>
    </row>
    <row r="7" spans="1:9" x14ac:dyDescent="0.35">
      <c r="A7" s="28" t="s">
        <v>96</v>
      </c>
      <c r="B7" s="156">
        <f>HojaPrimera!$E$36</f>
        <v>95600</v>
      </c>
      <c r="C7" s="157">
        <f>HojaPrimera!I32</f>
        <v>11450</v>
      </c>
      <c r="D7" s="150">
        <f>HojaPrimera!E37</f>
        <v>12457.5</v>
      </c>
      <c r="E7" s="150">
        <f>HojaPrimera!L32</f>
        <v>153750</v>
      </c>
      <c r="F7" s="150">
        <f>HojaPrimera!K32</f>
        <v>157250</v>
      </c>
      <c r="G7" s="151">
        <f t="shared" si="0"/>
        <v>4507.5</v>
      </c>
      <c r="H7" s="21"/>
      <c r="I7" s="21"/>
    </row>
    <row r="8" spans="1:9" x14ac:dyDescent="0.35">
      <c r="A8" s="28" t="s">
        <v>104</v>
      </c>
      <c r="B8" s="156">
        <f>HojaHonduras!$E$36</f>
        <v>38000</v>
      </c>
      <c r="C8" s="157">
        <f>HojaHonduras!K32</f>
        <v>4550</v>
      </c>
      <c r="D8" s="150">
        <f>HojaHonduras!E37</f>
        <v>4940</v>
      </c>
      <c r="E8" s="150">
        <f>HojaHonduras!N32</f>
        <v>0</v>
      </c>
      <c r="F8" s="150">
        <f>HojaHonduras!M32</f>
        <v>0</v>
      </c>
      <c r="G8" s="151">
        <f t="shared" si="0"/>
        <v>390</v>
      </c>
      <c r="H8" s="21"/>
      <c r="I8" s="21"/>
    </row>
    <row r="9" spans="1:9" x14ac:dyDescent="0.35">
      <c r="A9" s="28" t="s">
        <v>20</v>
      </c>
      <c r="B9" s="156">
        <f>HojaDominicana!$E$36</f>
        <v>54500</v>
      </c>
      <c r="C9" s="157">
        <f>HojaDominicana!I32</f>
        <v>6550</v>
      </c>
      <c r="D9" s="150">
        <f>HojaDominicana!E37</f>
        <v>7085</v>
      </c>
      <c r="E9" s="150">
        <f>HojaDominicana!L32</f>
        <v>0</v>
      </c>
      <c r="F9" s="150">
        <f>HojaDominicana!K32</f>
        <v>0</v>
      </c>
      <c r="G9" s="151">
        <f t="shared" si="0"/>
        <v>535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1486350</v>
      </c>
      <c r="C11" s="175">
        <f>SUM(C4:C10)</f>
        <v>179750</v>
      </c>
      <c r="D11" s="175">
        <f t="shared" ref="D11:F11" si="1">SUM(D4:D10)</f>
        <v>191856.5</v>
      </c>
      <c r="E11" s="175">
        <f t="shared" si="1"/>
        <v>1667750</v>
      </c>
      <c r="F11" s="175">
        <f t="shared" si="1"/>
        <v>1687000</v>
      </c>
      <c r="G11" s="176">
        <f>SUM(G4:G10)</f>
        <v>31356.5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-3643.5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153900</v>
      </c>
      <c r="E16" s="157">
        <f>+Vendedor1!D21</f>
        <v>20007</v>
      </c>
      <c r="F16" s="158">
        <f>IF(D16&lt;&gt;0,15000,0)</f>
        <v>15000</v>
      </c>
      <c r="G16" s="151">
        <f>+E16-F16</f>
        <v>5007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191800</v>
      </c>
      <c r="E17" s="157">
        <f>+Vendedor2!D21</f>
        <v>24934</v>
      </c>
      <c r="F17" s="158">
        <f>IF(D17&lt;&gt;0,15000,0)</f>
        <v>15000</v>
      </c>
      <c r="G17" s="151">
        <f>+E17-F17</f>
        <v>9934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345700</v>
      </c>
      <c r="E19" s="159">
        <f>SUM(E16:E18)</f>
        <v>44941</v>
      </c>
      <c r="F19" s="160">
        <f>SUM(F16:F18)</f>
        <v>30000</v>
      </c>
      <c r="G19" s="161">
        <f>SUM(G16:G18)</f>
        <v>14941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11297.5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505550</v>
      </c>
      <c r="C5" s="150">
        <f>HojaNICA!D37</f>
        <v>65721.5</v>
      </c>
      <c r="D5" s="150">
        <f>HojaNICA!D38</f>
        <v>272000</v>
      </c>
      <c r="E5" s="150"/>
      <c r="F5" s="151">
        <f>+B5-C5-D5+E5</f>
        <v>167828.5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1084250</v>
      </c>
      <c r="C6" s="150">
        <f>HojaTICA!D37</f>
        <v>140952.5</v>
      </c>
      <c r="D6" s="150">
        <f>HojaTICA!D38</f>
        <v>1202750</v>
      </c>
      <c r="E6" s="150"/>
      <c r="F6" s="151">
        <f t="shared" ref="F6:F11" si="0">+B6-C6-D6+E6</f>
        <v>-259452.5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47000</v>
      </c>
      <c r="C7" s="150">
        <f>HojaREVENTADO!D38</f>
        <v>4700</v>
      </c>
      <c r="D7" s="150">
        <f>HojaREVENTADO!D39</f>
        <v>55000</v>
      </c>
      <c r="E7" s="150"/>
      <c r="F7" s="151">
        <f t="shared" si="0"/>
        <v>-12700</v>
      </c>
    </row>
    <row r="8" spans="1:15" x14ac:dyDescent="0.35">
      <c r="A8" s="47" t="s">
        <v>96</v>
      </c>
      <c r="B8" s="150">
        <f>HojaPrimera!$D36</f>
        <v>102750</v>
      </c>
      <c r="C8" s="150">
        <f>HojaPrimera!$D37</f>
        <v>13357.5</v>
      </c>
      <c r="D8" s="150">
        <f>HojaPrimera!$D38</f>
        <v>157250</v>
      </c>
      <c r="E8" s="150"/>
      <c r="F8" s="151">
        <f t="shared" si="0"/>
        <v>-67857.5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38000</v>
      </c>
      <c r="C9" s="150">
        <f>HojaHonduras!$D37</f>
        <v>4940</v>
      </c>
      <c r="D9" s="150">
        <f>HojaHonduras!$D38</f>
        <v>0</v>
      </c>
      <c r="E9" s="150"/>
      <c r="F9" s="151">
        <f t="shared" si="0"/>
        <v>33060</v>
      </c>
      <c r="H9" s="250">
        <f>+K12-K10-H6</f>
        <v>-91706.5</v>
      </c>
    </row>
    <row r="10" spans="1:15" ht="15" thickBot="1" x14ac:dyDescent="0.4">
      <c r="A10" s="47" t="s">
        <v>20</v>
      </c>
      <c r="B10" s="150">
        <f>HojaDominicana!$D36</f>
        <v>54500</v>
      </c>
      <c r="C10" s="150">
        <f>HojaDominicana!$D37</f>
        <v>7085</v>
      </c>
      <c r="D10" s="150">
        <f>HojaDominicana!$D38</f>
        <v>0</v>
      </c>
      <c r="E10" s="150"/>
      <c r="F10" s="151">
        <f t="shared" si="0"/>
        <v>47415</v>
      </c>
      <c r="H10" s="154"/>
      <c r="J10" t="s">
        <v>148</v>
      </c>
      <c r="K10" s="252">
        <v>3845594.09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3753887.59</v>
      </c>
    </row>
    <row r="12" spans="1:15" ht="16" thickBot="1" x14ac:dyDescent="0.4">
      <c r="A12" s="144" t="s">
        <v>5</v>
      </c>
      <c r="B12" s="152">
        <f>SUM(B5:B11)</f>
        <v>1832050</v>
      </c>
      <c r="C12" s="152">
        <f>SUM(C5:C11)</f>
        <v>236756.5</v>
      </c>
      <c r="D12" s="152">
        <f>SUM(D5:D11)</f>
        <v>1687000</v>
      </c>
      <c r="E12" s="152"/>
      <c r="F12" s="255">
        <f>SUM(F5:F11)</f>
        <v>-91706.5</v>
      </c>
      <c r="H12" s="251">
        <f>K12</f>
        <v>3753887.59</v>
      </c>
      <c r="J12" t="s">
        <v>140</v>
      </c>
      <c r="K12" s="254">
        <f>-1761343.98-483636.91+4168404.5+1830463.98</f>
        <v>3753887.59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121300</v>
      </c>
      <c r="K4" s="231">
        <f t="shared" ref="K4" si="0">D7+D11+D15</f>
        <v>15769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IF(DigitaNICA!C4&lt;&gt;"",DigitaNICA!C4,"")</f>
        <v>18100</v>
      </c>
      <c r="D5" s="42">
        <f>IF(C5="",0,C5*J$10)</f>
        <v>2353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15747</v>
      </c>
      <c r="I5" s="241" t="s">
        <v>37</v>
      </c>
      <c r="J5" s="221">
        <f>SUM(IF(C5="",0,C5),IF(C9="",0,C9),IF(C13="",0,C13),IF(C17="",0,C17))</f>
        <v>27450</v>
      </c>
      <c r="K5" s="225">
        <f t="shared" ref="K5" si="2">D5+D9+D13+D17</f>
        <v>3568.5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5150</v>
      </c>
      <c r="K6" s="228">
        <f>D19+D20</f>
        <v>669.5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IF(DigitaTICA!C4&lt;&gt;"",DigitaTICA!C4,"")</f>
        <v>40200</v>
      </c>
      <c r="D7" s="42">
        <f>IF(C7="",0,C7*J$9)</f>
        <v>5226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34974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68</v>
      </c>
      <c r="C9" s="29">
        <f>IF(DigitaNICA!E4&lt;&gt;"",DigitaNICA!E4,"")</f>
        <v>7500</v>
      </c>
      <c r="D9" s="42">
        <f>IF(C9="",0,C9*J$10)</f>
        <v>975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6525</v>
      </c>
      <c r="I9" s="76" t="s">
        <v>36</v>
      </c>
      <c r="J9" s="77">
        <v>0.13</v>
      </c>
      <c r="K9" s="78">
        <f>MROUND(D7+D11+D15,50)</f>
        <v>15750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3550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IF(DigitaTICA!E4&lt;&gt;"",DigitaTICA!E4,"")</f>
        <v>27500</v>
      </c>
      <c r="D11" s="42">
        <f>IF(C11="",0,C11*J$9)</f>
        <v>3575</v>
      </c>
      <c r="E11" s="29">
        <f>IF(DigitaTICA!F4&lt;&gt;"",DigitaTICA!F4,"")</f>
        <v>400</v>
      </c>
      <c r="F11" s="42">
        <f>IF(E11="",0,E11*PREMIOS!F11)</f>
        <v>34000</v>
      </c>
      <c r="G11" s="30">
        <f t="shared" si="1"/>
        <v>-10075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IF(DigitaTICA!G4&lt;&gt;"",DigitaTICA!G4,"")</f>
        <v>53600</v>
      </c>
      <c r="D15" s="42">
        <f>IF(C15="",0,C15*J$9)</f>
        <v>6968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46632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IF(DigitaNICA!I4&lt;&gt;"",DigitaNICA!I4,"")</f>
        <v>1850</v>
      </c>
      <c r="D17" s="42">
        <f>IF(C17="",0,C17*J$10)</f>
        <v>240.5</v>
      </c>
      <c r="E17" s="29">
        <f>IF(DigitaNICA!J4&lt;&gt;"",DigitaNICA!J4,"")</f>
        <v>200</v>
      </c>
      <c r="F17" s="42">
        <f>IF(E17="",0,E17*PREMIOS!E17)</f>
        <v>16000</v>
      </c>
      <c r="G17" s="30">
        <f t="shared" si="3"/>
        <v>-14390.5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IF(DigitaPRIMERA!C4&lt;&gt;"",DigitaPRIMERA!C4,"")</f>
        <v>4950</v>
      </c>
      <c r="D19" s="42">
        <f>IF(C19="",0,C19*J$12)</f>
        <v>643.5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-3693.5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1" t="s">
        <v>5</v>
      </c>
      <c r="B21" s="128"/>
      <c r="C21" s="122">
        <f>SUM(C5:C20)</f>
        <v>153900</v>
      </c>
      <c r="D21" s="122">
        <f t="shared" ref="D21:G21" si="6">SUM(D5:D20)</f>
        <v>20007</v>
      </c>
      <c r="E21" s="122">
        <f t="shared" si="6"/>
        <v>700</v>
      </c>
      <c r="F21" s="122">
        <f t="shared" si="6"/>
        <v>58000</v>
      </c>
      <c r="G21" s="123">
        <f t="shared" si="6"/>
        <v>75893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173800</v>
      </c>
      <c r="K4" s="231">
        <f t="shared" ref="K4" si="0">D7+D11+D15</f>
        <v>22594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IF(DigitaNICA!C5&lt;&gt;"",DigitaNICA!C5,"")</f>
        <v>13650</v>
      </c>
      <c r="D5" s="42">
        <f>IF(C5="",0,C5*J$10)</f>
        <v>1774.5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11875.5</v>
      </c>
      <c r="I5" s="241" t="s">
        <v>37</v>
      </c>
      <c r="J5" s="221">
        <f>SUM(IF(C5="",0,C5),IF(C9="",0,C9),IF(C13="",0,C13),IF(C17="",0,C17))</f>
        <v>16000</v>
      </c>
      <c r="K5" s="225">
        <f t="shared" ref="K5" si="2">D5+D9+D13+D17</f>
        <v>2080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2000</v>
      </c>
      <c r="K6" s="228">
        <f>D19+D20</f>
        <v>260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IF(DigitaTICA!C5&lt;&gt;"",DigitaTICA!C5,"")</f>
        <v>78000</v>
      </c>
      <c r="D7" s="42">
        <f>IF(C7="",0,C7*J$9)</f>
        <v>10140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67860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68</v>
      </c>
      <c r="C9" s="29">
        <f>IF(DigitaNICA!E5&lt;&gt;"",DigitaNICA!E5,"")</f>
        <v>2350</v>
      </c>
      <c r="D9" s="42">
        <f>IF(C9="",0,C9*J$10)</f>
        <v>305.5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2044.5</v>
      </c>
      <c r="I9" s="60" t="s">
        <v>36</v>
      </c>
      <c r="J9" s="61">
        <v>0.13</v>
      </c>
      <c r="K9" s="62">
        <f>MROUND(D7+D11+D15,50)</f>
        <v>22600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2100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IF(DigitaTICA!E5&lt;&gt;"",DigitaTICA!E5,"")</f>
        <v>33650</v>
      </c>
      <c r="D11" s="42">
        <f>IF(C11="",0,C11*J$9)</f>
        <v>4374.5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8025.5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IF(DigitaTICA!G5&lt;&gt;"",DigitaTICA!G5,"")</f>
        <v>62150</v>
      </c>
      <c r="D15" s="42">
        <f>IF(C15="",0,C15*J$9)</f>
        <v>8079.5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54070.5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191800</v>
      </c>
      <c r="D21" s="68">
        <f t="shared" ref="D21:G21" si="4">SUM(D5:D20)</f>
        <v>24934</v>
      </c>
      <c r="E21" s="68">
        <f t="shared" si="4"/>
        <v>250</v>
      </c>
      <c r="F21" s="68">
        <f t="shared" si="4"/>
        <v>21250</v>
      </c>
      <c r="G21" s="88">
        <f t="shared" si="4"/>
        <v>145616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149</v>
      </c>
      <c r="C2" s="280"/>
      <c r="D2" s="281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186750</v>
      </c>
      <c r="K4" s="231">
        <f t="shared" ref="K4" si="0">D7+D11+D15</f>
        <v>22410</v>
      </c>
      <c r="L4" s="220">
        <f>F7+F11+F15</f>
        <v>267750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IF(DigitaNICA!C8&lt;&gt;"",DigitaNICA!C8,"")</f>
        <v>63150</v>
      </c>
      <c r="D5" s="42">
        <f>IF(C5="",0,C5*J$12)</f>
        <v>7578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55572</v>
      </c>
      <c r="I5" s="241" t="s">
        <v>37</v>
      </c>
      <c r="J5" s="221">
        <f>SUM(IF(C5="",0,C5),IF(C9="",0,C9),IF(C13="",0,C13),IF(C17="",0,C17))</f>
        <v>148250</v>
      </c>
      <c r="K5" s="225">
        <f t="shared" ref="K5" si="2">D5+D9+D13+D17</f>
        <v>17790</v>
      </c>
      <c r="L5" s="222">
        <f>F5+F9+F13+F17</f>
        <v>132000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IF(DigitaTICA!C8&lt;&gt;"",DigitaTICA!C8,"")</f>
        <v>74450</v>
      </c>
      <c r="D7" s="42">
        <f>IF(C7="",0,C7*J$11)</f>
        <v>8934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23016</v>
      </c>
      <c r="I7" s="242" t="s">
        <v>96</v>
      </c>
      <c r="J7" s="224">
        <f>SUM(IF(C19="",0,C19),IF(C20="",0,C20))</f>
        <v>44750</v>
      </c>
      <c r="K7" s="228">
        <f>+D19+D20</f>
        <v>5370</v>
      </c>
      <c r="L7" s="229">
        <f>+F19+F20</f>
        <v>48000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68</v>
      </c>
      <c r="C9" s="29">
        <f>IF(DigitaNICA!E8&lt;&gt;"",DigitaNICA!E8,"")</f>
        <v>37150</v>
      </c>
      <c r="D9" s="42">
        <f>IF(C9="",0,C9*J$12)</f>
        <v>4458</v>
      </c>
      <c r="E9" s="29">
        <f>IF(DigitaNICA!F8&lt;&gt;"",DigitaNICA!F8,"")</f>
        <v>650</v>
      </c>
      <c r="F9" s="42">
        <f>IF(E9="",0,E9*PREMIOS!E9)</f>
        <v>52000</v>
      </c>
      <c r="G9" s="30">
        <f t="shared" si="1"/>
        <v>-19308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IF(DigitaTICA!E8&lt;&gt;"",DigitaTICA!E8,"")</f>
        <v>38600</v>
      </c>
      <c r="D11" s="42">
        <f>IF(C11="",0,C11*J$11)</f>
        <v>4632</v>
      </c>
      <c r="E11" s="29">
        <f>IF(DigitaTICA!F8&lt;&gt;"",DigitaTICA!F8,"")</f>
        <v>1800</v>
      </c>
      <c r="F11" s="42">
        <f>IF(E11="",0,E11*PREMIOS!F11)</f>
        <v>153000</v>
      </c>
      <c r="G11" s="30">
        <f t="shared" si="1"/>
        <v>-119032</v>
      </c>
      <c r="I11" s="60" t="s">
        <v>36</v>
      </c>
      <c r="J11" s="61">
        <v>0.12</v>
      </c>
      <c r="K11" s="62">
        <f>MROUND(D7+D11+D15,50)</f>
        <v>22400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5350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IF(DigitaTICA!G8&lt;&gt;"",DigitaTICA!G8,"")</f>
        <v>73700</v>
      </c>
      <c r="D15" s="42">
        <f>IF(C15="",0,C15*J$11)</f>
        <v>8844</v>
      </c>
      <c r="E15" s="29">
        <f>IF(DigitaTICA!H8&lt;&gt;"",DigitaTICA!H8,"")</f>
        <v>850</v>
      </c>
      <c r="F15" s="42">
        <f>IF(E15="",0,E15*PREMIOS!F15)</f>
        <v>72250</v>
      </c>
      <c r="G15" s="30">
        <f t="shared" si="4"/>
        <v>-7394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IF(DigitaNICA!I8&lt;&gt;"",DigitaNICA!I8,"")</f>
        <v>47950</v>
      </c>
      <c r="D17" s="42">
        <f>IF(C17="",0,C17*J$12)</f>
        <v>5754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-37804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IF(DigitaPRIMERA!C8&lt;&gt;"",DigitaPRIMERA!C8,"")</f>
        <v>19700</v>
      </c>
      <c r="D19" s="42">
        <f>IF(C19="",0,C19*J$14)</f>
        <v>2364</v>
      </c>
      <c r="E19" s="29">
        <f>IF(DigitaPRIMERA!D8&lt;&gt;"",DigitaPRIMERA!D8,"")</f>
        <v>600</v>
      </c>
      <c r="F19" s="42">
        <f>IF(E19="",0,E19*PREMIOS!E19)</f>
        <v>48000</v>
      </c>
      <c r="G19" s="30">
        <f t="shared" si="4"/>
        <v>-30664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>
        <f>IF(DigitaPRIMERA!E8&lt;&gt;"",DigitaPRIMERA!E8,"")</f>
        <v>25050</v>
      </c>
      <c r="D20" s="42">
        <f>IF(C20="",0,C20*J$14)</f>
        <v>3006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22044</v>
      </c>
    </row>
    <row r="21" spans="1:7" ht="15" thickBot="1" x14ac:dyDescent="0.4">
      <c r="A21" s="121" t="s">
        <v>5</v>
      </c>
      <c r="B21" s="128"/>
      <c r="C21" s="122">
        <f>SUM(C5:C20)</f>
        <v>379750</v>
      </c>
      <c r="D21" s="122">
        <f t="shared" ref="D21:G21" si="5">SUM(D5:D20)</f>
        <v>45570</v>
      </c>
      <c r="E21" s="122">
        <f t="shared" si="5"/>
        <v>5400</v>
      </c>
      <c r="F21" s="122">
        <f t="shared" si="5"/>
        <v>447750</v>
      </c>
      <c r="G21" s="123">
        <f t="shared" si="5"/>
        <v>-113570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306300</v>
      </c>
      <c r="K4" s="231">
        <f t="shared" ref="K4" si="0">D7+D11+D15</f>
        <v>36756</v>
      </c>
      <c r="L4" s="220">
        <f>F7+F11+F15</f>
        <v>586500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IF(DigitaNICA!C10&lt;&gt;"",DigitaNICA!C10,"")</f>
        <v>55200</v>
      </c>
      <c r="D5" s="42">
        <f>IF(C5="",0,C5*J$15)</f>
        <v>6624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48576</v>
      </c>
      <c r="I5" s="217" t="s">
        <v>37</v>
      </c>
      <c r="J5" s="221">
        <f>SUM(IF(C5="",0,C5),IF(C9="",0,C9),IF(C13="",0,C13),IF(C17="",0,C17))</f>
        <v>159200</v>
      </c>
      <c r="K5" s="225">
        <f t="shared" ref="K5" si="2">D5+D9+D13+D17</f>
        <v>19104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41300</v>
      </c>
      <c r="K6" s="226">
        <f t="shared" ref="K6" si="3">+D8+D12+D16</f>
        <v>4130</v>
      </c>
      <c r="L6" s="227">
        <f>F8+F12+F16</f>
        <v>50000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IF(DigitaTICA!C10&lt;&gt;"",DigitaTICA!C10,"")</f>
        <v>86150</v>
      </c>
      <c r="D7" s="42">
        <f>IF(C7="",0,C7*J$14)</f>
        <v>10338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75812</v>
      </c>
      <c r="I7" s="217" t="s">
        <v>96</v>
      </c>
      <c r="J7" s="223">
        <f>SUM(IF(C19="",0,C19),IF(C20="",0,C20))</f>
        <v>18050</v>
      </c>
      <c r="K7" s="226">
        <f>+D19+D20</f>
        <v>2166</v>
      </c>
      <c r="L7" s="227">
        <f>+F19+F20</f>
        <v>80750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12400</v>
      </c>
      <c r="D8" s="42">
        <f>IF(C8="",0,C8*J$16)</f>
        <v>1240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11160</v>
      </c>
      <c r="I8" s="217" t="s">
        <v>104</v>
      </c>
      <c r="J8" s="223">
        <f>SUM(IF(C21="",0,C21),IF(C22="",0,C22),IF(C23="",0,C23))</f>
        <v>38000</v>
      </c>
      <c r="K8" s="226">
        <f t="shared" ref="K8" si="4">D21+D22+D23</f>
        <v>4560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68</v>
      </c>
      <c r="C9" s="29">
        <f>IF(DigitaNICA!E10&lt;&gt;"",DigitaNICA!E10,"")</f>
        <v>50550</v>
      </c>
      <c r="D9" s="42">
        <f>IF(C9="",0,C9*J$15)</f>
        <v>6066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44484</v>
      </c>
      <c r="I9" s="217" t="s">
        <v>20</v>
      </c>
      <c r="J9" s="223">
        <f>SUM(IF(C24="",0,C24),IF(C25="",0,C25))</f>
        <v>54500</v>
      </c>
      <c r="K9" s="226">
        <f t="shared" ref="K9" si="5">+D24+D25</f>
        <v>6540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IF(DigitaTICA!E10&lt;&gt;"",DigitaTICA!E10,"")</f>
        <v>100350</v>
      </c>
      <c r="D11" s="42">
        <f>IF(C11="",0,C11*J$14)</f>
        <v>12042</v>
      </c>
      <c r="E11" s="29">
        <f>IF(DigitaTICA!F10&lt;&gt;"",DigitaTICA!F10,"")</f>
        <v>6900</v>
      </c>
      <c r="F11" s="42">
        <f>IF(E11="",0,E11*PREMIOS!F11)</f>
        <v>586500</v>
      </c>
      <c r="G11" s="30">
        <f t="shared" si="1"/>
        <v>-498192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12550</v>
      </c>
      <c r="D12" s="42">
        <f>IF(C12="",0,C12*J$16)</f>
        <v>1255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-38705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36750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IF(DigitaTICA!G10&lt;&gt;"",DigitaTICA!G10,"")</f>
        <v>119800</v>
      </c>
      <c r="D15" s="42">
        <f>IF(C15="",0,C15*J$14)</f>
        <v>14376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105424</v>
      </c>
      <c r="I15" s="63" t="s">
        <v>37</v>
      </c>
      <c r="J15" s="64">
        <v>0.12</v>
      </c>
      <c r="K15" s="30">
        <f>MROUND(D5+D9+D13+D17,50)</f>
        <v>19100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16350</v>
      </c>
      <c r="D16" s="42">
        <f>IF(C16="",0,C16*J$16)</f>
        <v>1635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14715</v>
      </c>
      <c r="I16" s="63" t="s">
        <v>38</v>
      </c>
      <c r="J16" s="64">
        <v>0.1</v>
      </c>
      <c r="K16" s="30">
        <f>MROUND(D6+D8+D10+D12+D14+D16+D18,50)</f>
        <v>4150</v>
      </c>
    </row>
    <row r="17" spans="1:11" x14ac:dyDescent="0.35">
      <c r="A17" s="28" t="s">
        <v>52</v>
      </c>
      <c r="B17" s="132">
        <f>IF(DigitaNICA!I2&lt;&gt;"",DigitaNICA!I2,"")</f>
        <v>27</v>
      </c>
      <c r="C17" s="29">
        <f>IF(DigitaNICA!I10&lt;&gt;"",DigitaNICA!I10,"")</f>
        <v>53450</v>
      </c>
      <c r="D17" s="42">
        <f>IF(C17="",0,C17*J$15)</f>
        <v>6414</v>
      </c>
      <c r="E17" s="29">
        <f>IF(DigitaNICA!J10&lt;&gt;"",DigitaNICA!J10,"")</f>
        <v>1000</v>
      </c>
      <c r="F17" s="42">
        <f>IF(E17="",0,E17*PREMIOS!F17)</f>
        <v>85000</v>
      </c>
      <c r="G17" s="30">
        <f t="shared" si="6"/>
        <v>-37964</v>
      </c>
      <c r="I17" s="63" t="s">
        <v>96</v>
      </c>
      <c r="J17" s="64">
        <v>0.12</v>
      </c>
      <c r="K17" s="30">
        <f>MROUND(D19+D20,50)</f>
        <v>2150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4550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>
        <f>IF(DigitaPRIMERA!$C$10&lt;&gt;"",DigitaPRIMERA!$C$10,"")</f>
        <v>12600</v>
      </c>
      <c r="D19" s="42">
        <f>IF(C19="",0,C19*J$17)</f>
        <v>1512</v>
      </c>
      <c r="E19" s="29">
        <f>IF(DigitaPRIMERA!$D$10&lt;&gt;"",DigitaPRIMERA!$D$10,"")</f>
        <v>950</v>
      </c>
      <c r="F19" s="42">
        <f>IF(E19="",0,E19*PREMIOS!F19)</f>
        <v>80750</v>
      </c>
      <c r="G19" s="30">
        <f t="shared" ref="G19:G22" si="7">IF(OR(C19="",E19=""),0,C19-D19-F19)</f>
        <v>-69662</v>
      </c>
      <c r="I19" s="63" t="s">
        <v>20</v>
      </c>
      <c r="J19" s="64">
        <v>0.12</v>
      </c>
      <c r="K19" s="30">
        <f>MROUND(D24+D25,50)</f>
        <v>6550</v>
      </c>
    </row>
    <row r="20" spans="1:11" ht="15" thickBot="1" x14ac:dyDescent="0.4">
      <c r="A20" s="28" t="s">
        <v>98</v>
      </c>
      <c r="B20" s="132">
        <f>IF(DigitaPRIMERA!E2&lt;&gt;"",DigitaPRIMERA!E2,"")</f>
        <v>71</v>
      </c>
      <c r="C20" s="29">
        <f>IF(DigitaPRIMERA!$E$10&lt;&gt;"",DigitaPRIMERA!$E$10,"")</f>
        <v>5450</v>
      </c>
      <c r="D20" s="42">
        <f>IF(C20="",0,C20*J$17)</f>
        <v>654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4796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87</v>
      </c>
      <c r="C21" s="29">
        <f>IF(DigitaHONDURAS!$C$10&lt;&gt;"",DigitaHONDURAS!$C$10,"")</f>
        <v>18150</v>
      </c>
      <c r="D21" s="42">
        <f>IF(C21="",0,C21*J$18)</f>
        <v>2178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15972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>
        <f>IF(DigitaHONDURAS!$E$10&lt;&gt;"",DigitaHONDURAS!$E$10,"")</f>
        <v>4750</v>
      </c>
      <c r="D22" s="42">
        <f>IF(C22="",0,C22*J$18)</f>
        <v>570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4180</v>
      </c>
    </row>
    <row r="23" spans="1:11" x14ac:dyDescent="0.35">
      <c r="A23" s="28" t="s">
        <v>101</v>
      </c>
      <c r="B23" s="132" t="str">
        <f>IF(DigitaHONDURAS!G2&lt;&gt;"",DigitaHONDURAS!G2,"")</f>
        <v>09</v>
      </c>
      <c r="C23" s="29">
        <f>IF(DigitaHONDURAS!$G$10&lt;&gt;"",DigitaHONDURAS!$G$10,"")</f>
        <v>15100</v>
      </c>
      <c r="D23" s="42">
        <f>IF(C23="",0,C23*J$18)</f>
        <v>1812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13288</v>
      </c>
    </row>
    <row r="24" spans="1:11" x14ac:dyDescent="0.35">
      <c r="A24" s="28" t="s">
        <v>107</v>
      </c>
      <c r="B24" s="132">
        <f>IF(DigitaDOMINICANA!C2&lt;&gt;"",DigitaDOMINICANA!C2,"")</f>
        <v>54</v>
      </c>
      <c r="C24" s="29">
        <f>IF(DigitaDOMINICANA!$C$10&lt;&gt;"",DigitaDOMINICANA!$C$10,"")</f>
        <v>26000</v>
      </c>
      <c r="D24" s="42">
        <f>IF(C24="",0,C24*J$19)</f>
        <v>3120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22880</v>
      </c>
    </row>
    <row r="25" spans="1:11" x14ac:dyDescent="0.35">
      <c r="A25" s="28" t="s">
        <v>108</v>
      </c>
      <c r="B25" s="132">
        <f>IF(DigitaDOMINICANA!E2&lt;&gt;"",DigitaDOMINICANA!E2,"")</f>
        <v>28</v>
      </c>
      <c r="C25" s="29">
        <f>IF(DigitaDOMINICANA!$E$10&lt;&gt;"",DigitaDOMINICANA!$E$10,"")</f>
        <v>28500</v>
      </c>
      <c r="D25" s="42">
        <f>IF(C25="",0,C25*J$19)</f>
        <v>3420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25080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617350</v>
      </c>
      <c r="D27" s="68">
        <f t="shared" ref="D27:F27" si="9">SUM(D5:D26)</f>
        <v>73256</v>
      </c>
      <c r="E27" s="68">
        <f t="shared" si="9"/>
        <v>9100</v>
      </c>
      <c r="F27" s="68">
        <f t="shared" si="9"/>
        <v>802250</v>
      </c>
      <c r="G27" s="88">
        <f>SUM(G5:G26)</f>
        <v>-258156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2000</v>
      </c>
      <c r="K4" s="231">
        <f t="shared" ref="K4" si="0">D7+D11+D15</f>
        <v>240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IF(DigitaTICA!G11&lt;&gt;"",DigitaTICA!G11,"")</f>
        <v>2000</v>
      </c>
      <c r="D15" s="42">
        <f>IF(C15="",0,C15*J$11)</f>
        <v>240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1760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2000</v>
      </c>
      <c r="D21" s="122">
        <f t="shared" ref="D21:G21" si="5">SUM(D5:D20)</f>
        <v>240</v>
      </c>
      <c r="E21" s="122">
        <f t="shared" si="5"/>
        <v>0</v>
      </c>
      <c r="F21" s="122">
        <f t="shared" si="5"/>
        <v>0</v>
      </c>
      <c r="G21" s="123">
        <f t="shared" si="5"/>
        <v>1760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99300</v>
      </c>
      <c r="K4" s="231">
        <f>D7+D11+D15</f>
        <v>11916</v>
      </c>
      <c r="L4" s="220">
        <f>F7+F11+F15</f>
        <v>136000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IF(DigitaNICA!C12&lt;&gt;"",DigitaNICA!C12,"")</f>
        <v>36200</v>
      </c>
      <c r="D5" s="42">
        <f>IF(C5="",0,C5*J$12)</f>
        <v>4344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31856</v>
      </c>
      <c r="I5" s="217" t="s">
        <v>37</v>
      </c>
      <c r="J5" s="221">
        <f>SUM(IF(C5="",0,C5),IF(C9="",0,C9),IF(C13="",0,C13),IF(C17="",0,C17))</f>
        <v>75100</v>
      </c>
      <c r="K5" s="225">
        <f t="shared" ref="K5" si="1">D5+D9+D13+D17</f>
        <v>9012</v>
      </c>
      <c r="L5" s="222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4700</v>
      </c>
      <c r="K6" s="226">
        <f t="shared" ref="K6" si="2">+D8+D12+D16</f>
        <v>470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IF(DigitaTICA!C12&lt;&gt;"",DigitaTICA!C12,"")</f>
        <v>51800</v>
      </c>
      <c r="D7" s="42">
        <f>IF(C7="",0,C7*J$11)</f>
        <v>6216</v>
      </c>
      <c r="E7" s="29">
        <f>IF(DigitaTICA!D12&lt;&gt;"",DigitaTICA!D12,"")</f>
        <v>850</v>
      </c>
      <c r="F7" s="42">
        <f>IF(E7="",0,E7*PREMIOS!F7)</f>
        <v>72250</v>
      </c>
      <c r="G7" s="30">
        <f t="shared" si="0"/>
        <v>-26666</v>
      </c>
      <c r="I7" s="217" t="s">
        <v>96</v>
      </c>
      <c r="J7" s="223">
        <f>SUM(IF(C19="",0,C19),IF(C20="",0,C20))</f>
        <v>29200</v>
      </c>
      <c r="K7" s="226">
        <f>+D19+D20</f>
        <v>3504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1700</v>
      </c>
      <c r="D8" s="42">
        <f>IF(C8="",0,C8*J$13)</f>
        <v>170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1530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68</v>
      </c>
      <c r="C9" s="29">
        <f>IF(DigitaNICA!E12&lt;&gt;"",DigitaNICA!E12,"")</f>
        <v>38900</v>
      </c>
      <c r="D9" s="42">
        <f>IF(C9="",0,C9*J$12)</f>
        <v>4668</v>
      </c>
      <c r="E9" s="29">
        <f>IF(DigitaNICA!F12&lt;&gt;"",DigitaNICA!F12,"")</f>
        <v>350</v>
      </c>
      <c r="F9" s="42">
        <f>IF(E9="",0,E9*PREMIOS!F9)</f>
        <v>29750</v>
      </c>
      <c r="G9" s="30">
        <f t="shared" si="0"/>
        <v>4482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IF(DigitaTICA!E12&lt;&gt;"",DigitaTICA!E12,"")</f>
        <v>19500</v>
      </c>
      <c r="D11" s="42">
        <f>IF(C11="",0,C11*J$11)</f>
        <v>2340</v>
      </c>
      <c r="E11" s="29">
        <f>IF(DigitaTICA!F12&lt;&gt;"",DigitaTICA!F12,"")</f>
        <v>750</v>
      </c>
      <c r="F11" s="42">
        <f>IF(E11="",0,E11*PREMIOS!F11)</f>
        <v>63750</v>
      </c>
      <c r="G11" s="30">
        <f t="shared" si="0"/>
        <v>-46590</v>
      </c>
      <c r="I11" s="60" t="s">
        <v>36</v>
      </c>
      <c r="J11" s="61">
        <v>0.12</v>
      </c>
      <c r="K11" s="62">
        <f>MROUND(D7+D11+D15,50)</f>
        <v>11900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9000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3500</v>
      </c>
    </row>
    <row r="15" spans="1:12" ht="15" thickBot="1" x14ac:dyDescent="0.4">
      <c r="A15" s="28" t="s">
        <v>61</v>
      </c>
      <c r="B15" s="132">
        <f>IF(DigitaTICA!G2&lt;&gt;"",DigitaTICA!G2,"")</f>
        <v>83</v>
      </c>
      <c r="C15" s="29">
        <f>IF(DigitaTICA!G12&lt;&gt;"",DigitaTICA!G12,"")</f>
        <v>28000</v>
      </c>
      <c r="D15" s="42">
        <f>IF(C15="",0,C15*J$11)</f>
        <v>3360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24640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IF(DigitaPRIMERA!$C$12&lt;&gt;"",DigitaPRIMERA!$C$12,"")</f>
        <v>29200</v>
      </c>
      <c r="D19" s="42">
        <f>IF(C19="",0,C19*J$14)</f>
        <v>3504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8696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208300</v>
      </c>
      <c r="D24" s="68">
        <f t="shared" ref="D24:G24" si="4">SUM(D5:D23)</f>
        <v>24902</v>
      </c>
      <c r="E24" s="68">
        <f t="shared" si="4"/>
        <v>2150</v>
      </c>
      <c r="F24" s="68">
        <f t="shared" si="4"/>
        <v>182750</v>
      </c>
      <c r="G24" s="88">
        <f t="shared" si="4"/>
        <v>648</v>
      </c>
    </row>
    <row r="27" spans="1:7" x14ac:dyDescent="0.35">
      <c r="G27" s="21">
        <v>168132</v>
      </c>
    </row>
    <row r="28" spans="1:7" x14ac:dyDescent="0.35">
      <c r="G28" s="141">
        <f>+G24+G27</f>
        <v>168780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53200</v>
      </c>
      <c r="K4" s="231">
        <f t="shared" ref="K4" si="0">D7+D11+D15</f>
        <v>6384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54</v>
      </c>
      <c r="C5" s="29">
        <f>IF(DigitaNICA!C13&lt;&gt;"",DigitaNICA!C13,"")</f>
        <v>18150</v>
      </c>
      <c r="D5" s="42">
        <f>IF(C5="",0,C5*J$10)</f>
        <v>2178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15972</v>
      </c>
      <c r="I5" s="218" t="s">
        <v>37</v>
      </c>
      <c r="J5" s="232">
        <f>SUM(IF(C5="",0,C5),IF(C9="",0,C9),IF(C13="",0,C13),IF(C17="",0,C17))</f>
        <v>46350</v>
      </c>
      <c r="K5" s="233">
        <f t="shared" ref="K5" si="2">D5+D9+D13+D17</f>
        <v>5562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IF(DigitaTICA!C13&lt;&gt;"",DigitaTICA!C13,"")</f>
        <v>20200</v>
      </c>
      <c r="D7" s="42">
        <f>IF(C7="",0,C7*J$9)</f>
        <v>2424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17776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68</v>
      </c>
      <c r="C9" s="29">
        <f>IF(DigitaNICA!E13&lt;&gt;"",DigitaNICA!E13,"")</f>
        <v>27300</v>
      </c>
      <c r="D9" s="42">
        <f>IF(C9="",0,C9*J$10)</f>
        <v>3276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24024</v>
      </c>
      <c r="I9" s="60" t="s">
        <v>36</v>
      </c>
      <c r="J9" s="61">
        <v>0.12</v>
      </c>
      <c r="K9" s="62">
        <f>MROUND(D7+D11+D15,50)</f>
        <v>6400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5550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>
        <f>IF(DigitaTICA!E13&lt;&gt;"",DigitaTICA!E13,"")</f>
        <v>8450</v>
      </c>
      <c r="D11" s="42">
        <f>IF(C11="",0,C11*J$9)</f>
        <v>1014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-18064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IF(DigitaTICA!G13&lt;&gt;"",DigitaTICA!G13,"")</f>
        <v>24550</v>
      </c>
      <c r="D15" s="42">
        <f>IF(C15="",0,C15*J$9)</f>
        <v>2946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21604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IF(DigitaNICA!I13&lt;&gt;"",DigitaNICA!I13,"")</f>
        <v>900</v>
      </c>
      <c r="D17" s="42">
        <f>IF(C17="",0,C17*J$10)</f>
        <v>108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99550</v>
      </c>
      <c r="D19" s="68">
        <f>MROUND(SUM(D5:D18),50)</f>
        <v>11950</v>
      </c>
      <c r="E19" s="68">
        <f>SUM(E5:E18)</f>
        <v>300</v>
      </c>
      <c r="F19" s="68">
        <f>SUM(F5:F18)</f>
        <v>25500</v>
      </c>
      <c r="G19" s="88">
        <f>SUM(G5:G18)</f>
        <v>62104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78400</v>
      </c>
      <c r="K4" s="236">
        <f t="shared" ref="K4" si="0">D7+D11+D15</f>
        <v>11760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54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>
        <f>IF(DigitaTICA!C14&lt;&gt;"",DigitaTICA!C14,"")</f>
        <v>33550</v>
      </c>
      <c r="D7" s="42">
        <f>IF(C7="",0,C7*J$9)</f>
        <v>5032.5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4517.5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11750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>
        <f>IF(DigitaTICA!E14&lt;&gt;"",DigitaTICA!E14,"")</f>
        <v>17750</v>
      </c>
      <c r="D11" s="42">
        <f>IF(C11="",0,C11*J$9)</f>
        <v>2662.5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15087.5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IF(DigitaTICA!G14&lt;&gt;"",DigitaTICA!G14,"")</f>
        <v>27100</v>
      </c>
      <c r="D15" s="42">
        <f>IF(C15="",0,C15*J$9)</f>
        <v>4065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23035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78400</v>
      </c>
      <c r="D19" s="68">
        <f>MROUND(SUM(D5:D18),50)</f>
        <v>11750</v>
      </c>
      <c r="E19" s="68">
        <f>SUM(E5:E18)</f>
        <v>300</v>
      </c>
      <c r="F19" s="68">
        <f>SUM(F5:F18)</f>
        <v>24000</v>
      </c>
      <c r="G19" s="88">
        <f>SUM(G5:G18)</f>
        <v>42640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63200</v>
      </c>
      <c r="K4" s="231">
        <f>D7+D11+D15</f>
        <v>7584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54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5">
        <f>SUM(IF(C5="",0,C5),IF(C9="",0,C9),IF(C13="",0,C13),IF(C17="",0,C17))</f>
        <v>33200</v>
      </c>
      <c r="K5" s="225">
        <f t="shared" ref="K5" si="1">D5+D9+D13+D17</f>
        <v>3984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29">
        <f>IF(DigitaTICA!C16&lt;&gt;"",DigitaTICA!C16,"")</f>
        <v>24750</v>
      </c>
      <c r="D7" s="42">
        <f>IF(C7="",0,C7*J$11)</f>
        <v>2970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21780</v>
      </c>
      <c r="I7" s="63" t="s">
        <v>96</v>
      </c>
      <c r="J7" s="226">
        <f>SUM(IF(C19="",0,C19),IF(C20="",0,C20))</f>
        <v>3600</v>
      </c>
      <c r="K7" s="226">
        <f>+D19+D20</f>
        <v>432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68</v>
      </c>
      <c r="C9" s="29">
        <f>IF(DigitaNICA!E16&lt;&gt;"",DigitaNICA!E16,"")</f>
        <v>7000</v>
      </c>
      <c r="D9" s="42">
        <f>IF(C9="",0,C9*J$12)</f>
        <v>840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6160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90</v>
      </c>
      <c r="C11" s="29">
        <f>IF(DigitaTICA!E16&lt;&gt;"",DigitaTICA!E16,"")</f>
        <v>7750</v>
      </c>
      <c r="D11" s="42">
        <f>IF(C11="",0,C11*J$11)</f>
        <v>930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-14430</v>
      </c>
      <c r="I11" s="76" t="s">
        <v>36</v>
      </c>
      <c r="J11" s="77">
        <v>0.12</v>
      </c>
      <c r="K11" s="78">
        <f>MROUND(D7+D11+D15,50)</f>
        <v>7600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</v>
      </c>
    </row>
    <row r="15" spans="1:12" ht="15" thickBot="1" x14ac:dyDescent="0.4">
      <c r="A15" s="28" t="s">
        <v>61</v>
      </c>
      <c r="B15" s="132">
        <f>IF(DigitaTICA!G2&lt;&gt;"",DigitaTICA!G2,"")</f>
        <v>83</v>
      </c>
      <c r="C15" s="29">
        <f>IF(DigitaTICA!G16&lt;&gt;"",DigitaTICA!G16,"")</f>
        <v>30700</v>
      </c>
      <c r="D15" s="42">
        <f>IF(C15="",0,C15*J$11)</f>
        <v>3684</v>
      </c>
      <c r="E15" s="29">
        <f>IF(DigitaTICA!H16&lt;&gt;"",DigitaTICA!H16,"")</f>
        <v>1000</v>
      </c>
      <c r="F15" s="133">
        <f>IF(E15="",0,E15*PREMIOS!F15)</f>
        <v>85000</v>
      </c>
      <c r="G15" s="30">
        <f t="shared" si="3"/>
        <v>-57984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IF(DigitaNICA!I16&lt;&gt;"",DigitaNICA!I16,"")</f>
        <v>20800</v>
      </c>
      <c r="D17" s="42">
        <f>IF(C17="",0,C17*J$12)</f>
        <v>2496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18304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22</v>
      </c>
      <c r="C19" s="29">
        <f>IF(DigitaPRIMERA!C16&lt;&gt;"",DigitaPRIMERA!C16,"")</f>
        <v>3600</v>
      </c>
      <c r="D19" s="42">
        <f>IF(C19="",0,C19*J$14)</f>
        <v>432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3168</v>
      </c>
    </row>
    <row r="20" spans="1:7" x14ac:dyDescent="0.35">
      <c r="A20" s="28" t="s">
        <v>98</v>
      </c>
      <c r="B20" s="132">
        <f>IF(DigitaPRIMERA!E2&lt;&gt;"",DigitaPRIMERA!E2,"")</f>
        <v>71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101000</v>
      </c>
      <c r="D24" s="122">
        <f t="shared" ref="D24:G24" si="5">SUM(D5:D23)</f>
        <v>12100</v>
      </c>
      <c r="E24" s="122">
        <f t="shared" si="5"/>
        <v>1250</v>
      </c>
      <c r="F24" s="122">
        <f t="shared" si="5"/>
        <v>106250</v>
      </c>
      <c r="G24" s="123">
        <f t="shared" si="5"/>
        <v>-17350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52</v>
      </c>
      <c r="D2" s="268"/>
      <c r="E2" s="267">
        <f>IF(PREMIOS!$B11="","",PREMIOS!$B11)</f>
        <v>90</v>
      </c>
      <c r="F2" s="268"/>
      <c r="G2" s="267">
        <f>IF(PREMIOS!$B15="","",PREMIOS!$B15)</f>
        <v>83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40200</v>
      </c>
      <c r="D4" s="78">
        <f t="shared" ref="D4:H27" si="0">IF(C4="","",0)</f>
        <v>0</v>
      </c>
      <c r="E4" s="189">
        <v>27500</v>
      </c>
      <c r="F4" s="78">
        <v>400</v>
      </c>
      <c r="G4" s="189">
        <v>53600</v>
      </c>
      <c r="H4" s="78">
        <f t="shared" si="0"/>
        <v>0</v>
      </c>
      <c r="J4" s="42">
        <f t="shared" ref="J4:J8" si="1">+C4+E4+G4</f>
        <v>121300</v>
      </c>
      <c r="K4" s="42">
        <f>IF(D4="",0,IF(F4="",D4,IF(H4="",D4+F4,D4+F4+H4)))</f>
        <v>400</v>
      </c>
    </row>
    <row r="5" spans="1:11" x14ac:dyDescent="0.35">
      <c r="A5" s="47">
        <v>2</v>
      </c>
      <c r="B5" s="178" t="str">
        <f>Vendedor2!$B$2</f>
        <v>PUESTO 2</v>
      </c>
      <c r="C5" s="180">
        <v>78000</v>
      </c>
      <c r="D5" s="30">
        <f t="shared" si="0"/>
        <v>0</v>
      </c>
      <c r="E5" s="180">
        <v>33650</v>
      </c>
      <c r="F5" s="30">
        <v>250</v>
      </c>
      <c r="G5" s="180">
        <v>62150</v>
      </c>
      <c r="H5" s="30">
        <f t="shared" si="0"/>
        <v>0</v>
      </c>
      <c r="J5" s="42">
        <f t="shared" si="1"/>
        <v>173800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74450</v>
      </c>
      <c r="D8" s="30">
        <v>500</v>
      </c>
      <c r="E8" s="180">
        <v>38600</v>
      </c>
      <c r="F8" s="30">
        <v>1800</v>
      </c>
      <c r="G8" s="180">
        <v>73700</v>
      </c>
      <c r="H8" s="30">
        <v>850</v>
      </c>
      <c r="J8" s="42">
        <f t="shared" si="1"/>
        <v>186750</v>
      </c>
      <c r="K8" s="42">
        <f t="shared" si="2"/>
        <v>3150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17150+69000</f>
        <v>86150</v>
      </c>
      <c r="D10" s="30">
        <f t="shared" si="0"/>
        <v>0</v>
      </c>
      <c r="E10" s="180">
        <f>11800+88550</f>
        <v>100350</v>
      </c>
      <c r="F10" s="30">
        <f>1250+5650</f>
        <v>6900</v>
      </c>
      <c r="G10" s="180">
        <f>14200+105600</f>
        <v>119800</v>
      </c>
      <c r="H10" s="30">
        <f t="shared" si="0"/>
        <v>0</v>
      </c>
      <c r="J10" s="42">
        <f t="shared" si="3"/>
        <v>306300</v>
      </c>
      <c r="K10" s="42">
        <f t="shared" si="2"/>
        <v>6900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f>500+750+750</f>
        <v>2000</v>
      </c>
      <c r="H11" s="30">
        <f t="shared" si="0"/>
        <v>0</v>
      </c>
      <c r="J11" s="42">
        <f t="shared" si="3"/>
        <v>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51800</v>
      </c>
      <c r="D12" s="30">
        <v>850</v>
      </c>
      <c r="E12" s="180">
        <v>19500</v>
      </c>
      <c r="F12" s="30">
        <v>750</v>
      </c>
      <c r="G12" s="180">
        <v>28000</v>
      </c>
      <c r="H12" s="30">
        <f t="shared" si="0"/>
        <v>0</v>
      </c>
      <c r="J12" s="42">
        <f t="shared" si="3"/>
        <v>99300</v>
      </c>
      <c r="K12" s="42">
        <f t="shared" si="2"/>
        <v>1600</v>
      </c>
    </row>
    <row r="13" spans="1:11" x14ac:dyDescent="0.35">
      <c r="A13" s="47">
        <v>10</v>
      </c>
      <c r="B13" s="178" t="str">
        <f>Vendedor10!$B$2</f>
        <v>MARIALIZ</v>
      </c>
      <c r="C13" s="180">
        <v>20200</v>
      </c>
      <c r="D13" s="30">
        <f t="shared" si="0"/>
        <v>0</v>
      </c>
      <c r="E13" s="180">
        <v>8450</v>
      </c>
      <c r="F13" s="30">
        <v>300</v>
      </c>
      <c r="G13" s="180">
        <v>24550</v>
      </c>
      <c r="H13" s="30">
        <f t="shared" si="0"/>
        <v>0</v>
      </c>
      <c r="J13" s="42">
        <f t="shared" si="3"/>
        <v>53200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33550</v>
      </c>
      <c r="D14" s="30">
        <v>300</v>
      </c>
      <c r="E14" s="180">
        <v>17750</v>
      </c>
      <c r="F14" s="30">
        <f t="shared" si="0"/>
        <v>0</v>
      </c>
      <c r="G14" s="180">
        <v>27100</v>
      </c>
      <c r="H14" s="30">
        <f t="shared" si="0"/>
        <v>0</v>
      </c>
      <c r="J14" s="42">
        <f t="shared" si="3"/>
        <v>78400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24750</v>
      </c>
      <c r="D16" s="30">
        <f t="shared" si="0"/>
        <v>0</v>
      </c>
      <c r="E16" s="180">
        <v>7750</v>
      </c>
      <c r="F16" s="30">
        <v>250</v>
      </c>
      <c r="G16" s="180">
        <v>30700</v>
      </c>
      <c r="H16" s="30">
        <v>1000</v>
      </c>
      <c r="J16" s="42">
        <f t="shared" si="3"/>
        <v>63200</v>
      </c>
      <c r="K16" s="42">
        <f t="shared" si="2"/>
        <v>1250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409100</v>
      </c>
      <c r="D32" s="44">
        <f t="shared" si="6"/>
        <v>1650</v>
      </c>
      <c r="E32" s="43">
        <f t="shared" si="6"/>
        <v>253550</v>
      </c>
      <c r="F32" s="44">
        <f t="shared" si="6"/>
        <v>10650</v>
      </c>
      <c r="G32" s="43">
        <f t="shared" si="6"/>
        <v>421600</v>
      </c>
      <c r="H32" s="44">
        <f t="shared" si="6"/>
        <v>1850</v>
      </c>
      <c r="J32" s="95">
        <f>SUM(J4:J31)</f>
        <v>1084250</v>
      </c>
      <c r="K32" s="95"/>
    </row>
    <row r="33" spans="2:8" x14ac:dyDescent="0.35">
      <c r="D33" s="99">
        <f>+D32*85</f>
        <v>140250</v>
      </c>
      <c r="F33" s="99">
        <f>+F32*85</f>
        <v>905250</v>
      </c>
      <c r="H33" s="99">
        <f>+H32*85</f>
        <v>157250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54</v>
      </c>
      <c r="D2" s="268"/>
      <c r="E2" s="267">
        <f>IF(PREMIOS!$B9="","",PREMIOS!$B9)</f>
        <v>68</v>
      </c>
      <c r="F2" s="268"/>
      <c r="G2" s="267" t="str">
        <f>IF(PREMIOS!$B13="","",PREMIOS!$B13)</f>
        <v/>
      </c>
      <c r="H2" s="268"/>
      <c r="I2" s="267">
        <f>IF(PREMIOS!$B17="","",PREMIOS!$B17)</f>
        <v>27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18100</v>
      </c>
      <c r="D4" s="78">
        <f t="shared" ref="D4:J27" si="0">IF(C4="","",0)</f>
        <v>0</v>
      </c>
      <c r="E4" s="206">
        <v>7500</v>
      </c>
      <c r="F4" s="78">
        <f t="shared" si="0"/>
        <v>0</v>
      </c>
      <c r="G4" s="189"/>
      <c r="H4" s="78" t="str">
        <f t="shared" ref="H4:H27" si="1">IF(G4="","",0)</f>
        <v/>
      </c>
      <c r="I4" s="189">
        <v>1850</v>
      </c>
      <c r="J4" s="78">
        <v>200</v>
      </c>
      <c r="L4" s="42">
        <f t="shared" ref="L4:L8" si="2">+C4+E4+G4+I4</f>
        <v>27450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13650</v>
      </c>
      <c r="D5" s="30">
        <f t="shared" si="0"/>
        <v>0</v>
      </c>
      <c r="E5" s="207">
        <v>2350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16000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63150</v>
      </c>
      <c r="D8" s="30">
        <f t="shared" si="0"/>
        <v>0</v>
      </c>
      <c r="E8" s="207">
        <v>37150</v>
      </c>
      <c r="F8" s="30">
        <v>650</v>
      </c>
      <c r="G8" s="180"/>
      <c r="H8" s="30" t="str">
        <f t="shared" si="1"/>
        <v/>
      </c>
      <c r="I8" s="180">
        <v>47950</v>
      </c>
      <c r="J8" s="30">
        <v>1000</v>
      </c>
      <c r="L8" s="42">
        <f t="shared" si="2"/>
        <v>148250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12000+43200</f>
        <v>55200</v>
      </c>
      <c r="D10" s="30">
        <f t="shared" si="0"/>
        <v>0</v>
      </c>
      <c r="E10" s="207">
        <f>10650+39900</f>
        <v>50550</v>
      </c>
      <c r="F10" s="30">
        <f t="shared" si="0"/>
        <v>0</v>
      </c>
      <c r="G10" s="180"/>
      <c r="H10" s="30" t="str">
        <f t="shared" si="0"/>
        <v/>
      </c>
      <c r="I10" s="180">
        <f>13950+39500</f>
        <v>53450</v>
      </c>
      <c r="J10" s="30">
        <v>1000</v>
      </c>
      <c r="L10" s="42">
        <f t="shared" si="5"/>
        <v>159200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36200</v>
      </c>
      <c r="D12" s="30">
        <f t="shared" si="0"/>
        <v>0</v>
      </c>
      <c r="E12" s="207">
        <v>38900</v>
      </c>
      <c r="F12" s="30">
        <v>350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75100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18150</v>
      </c>
      <c r="D13" s="30">
        <f t="shared" si="0"/>
        <v>0</v>
      </c>
      <c r="E13" s="207">
        <v>27300</v>
      </c>
      <c r="F13" s="30">
        <f t="shared" si="0"/>
        <v>0</v>
      </c>
      <c r="G13" s="180"/>
      <c r="H13" s="30" t="str">
        <f t="shared" si="0"/>
        <v/>
      </c>
      <c r="I13" s="180">
        <v>900</v>
      </c>
      <c r="J13" s="30">
        <f t="shared" si="0"/>
        <v>0</v>
      </c>
      <c r="L13" s="42">
        <f t="shared" si="5"/>
        <v>46350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5400</v>
      </c>
      <c r="D16" s="30">
        <f t="shared" si="0"/>
        <v>0</v>
      </c>
      <c r="E16" s="207">
        <v>7000</v>
      </c>
      <c r="F16" s="30">
        <f t="shared" si="0"/>
        <v>0</v>
      </c>
      <c r="G16" s="180"/>
      <c r="H16" s="30" t="str">
        <f t="shared" si="0"/>
        <v/>
      </c>
      <c r="I16" s="180">
        <v>20800</v>
      </c>
      <c r="J16" s="30">
        <f t="shared" si="0"/>
        <v>0</v>
      </c>
      <c r="L16" s="42">
        <f t="shared" si="5"/>
        <v>33200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209850</v>
      </c>
      <c r="D32" s="44">
        <f t="shared" si="7"/>
        <v>0</v>
      </c>
      <c r="E32" s="43">
        <f t="shared" si="7"/>
        <v>170750</v>
      </c>
      <c r="F32" s="44">
        <f t="shared" si="7"/>
        <v>1000</v>
      </c>
      <c r="G32" s="43">
        <f t="shared" si="7"/>
        <v>0</v>
      </c>
      <c r="H32" s="44">
        <f t="shared" si="7"/>
        <v>0</v>
      </c>
      <c r="I32" s="43">
        <f t="shared" si="7"/>
        <v>124950</v>
      </c>
      <c r="J32" s="44">
        <f t="shared" si="7"/>
        <v>2200</v>
      </c>
      <c r="L32" s="95">
        <f>SUM(L9:L31)</f>
        <v>313850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9" sqref="G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52 Blanca</v>
      </c>
      <c r="D2" s="268"/>
      <c r="E2" s="267" t="str">
        <f>IF(E33=0,"",CONCATENATE(PREMIOS!$B11," ",PREMIOS!$B12))</f>
        <v>90 Roja</v>
      </c>
      <c r="F2" s="268"/>
      <c r="G2" s="267" t="str">
        <f>IF(G33=0,"",CONCATENATE(PREMIOS!$B15," ",PREMIOS!$B16))</f>
        <v>83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2400+10000</f>
        <v>12400</v>
      </c>
      <c r="D10" s="30">
        <f t="shared" si="0"/>
        <v>0</v>
      </c>
      <c r="E10" s="180">
        <f>4000+8550</f>
        <v>12550</v>
      </c>
      <c r="F10" s="30">
        <f>250+0</f>
        <v>250</v>
      </c>
      <c r="G10" s="180">
        <f>3700+12650</f>
        <v>16350</v>
      </c>
      <c r="H10" s="30">
        <f t="shared" si="0"/>
        <v>0</v>
      </c>
      <c r="J10" s="42">
        <f t="shared" si="3"/>
        <v>41300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1700</v>
      </c>
      <c r="D12" s="30">
        <f t="shared" si="0"/>
        <v>0</v>
      </c>
      <c r="E12" s="180">
        <v>500</v>
      </c>
      <c r="F12" s="30">
        <f t="shared" si="1"/>
        <v>0</v>
      </c>
      <c r="G12" s="180">
        <v>2500</v>
      </c>
      <c r="H12" s="30">
        <f t="shared" si="0"/>
        <v>0</v>
      </c>
      <c r="J12" s="42">
        <f t="shared" si="3"/>
        <v>4700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15100</v>
      </c>
      <c r="D33" s="44">
        <f t="shared" si="7"/>
        <v>0</v>
      </c>
      <c r="E33" s="43">
        <f t="shared" si="7"/>
        <v>13050</v>
      </c>
      <c r="F33" s="44">
        <f t="shared" si="7"/>
        <v>250</v>
      </c>
      <c r="G33" s="43">
        <f t="shared" si="7"/>
        <v>18850</v>
      </c>
      <c r="H33" s="44">
        <f t="shared" si="7"/>
        <v>0</v>
      </c>
      <c r="J33" s="45">
        <f>SUM(J4:J32)</f>
        <v>47000</v>
      </c>
      <c r="K33" s="95">
        <f>SUM(K4:K32)</f>
        <v>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22</v>
      </c>
      <c r="D2" s="268"/>
      <c r="E2" s="267">
        <f>IF(PREMIOS!$C19="","",PREMIOS!$C19)</f>
        <v>71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4950</v>
      </c>
      <c r="D4" s="78">
        <v>100</v>
      </c>
      <c r="E4" s="189">
        <v>200</v>
      </c>
      <c r="F4" s="78">
        <f t="shared" ref="D4:F27" si="0">IF(E4="","",0)</f>
        <v>0</v>
      </c>
      <c r="H4" s="42">
        <f>+C4+E4</f>
        <v>5150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19700</v>
      </c>
      <c r="D8" s="30">
        <v>600</v>
      </c>
      <c r="E8" s="194">
        <v>25050</v>
      </c>
      <c r="F8" s="195">
        <f t="shared" si="1"/>
        <v>0</v>
      </c>
      <c r="H8" s="42">
        <f t="shared" si="2"/>
        <v>44750</v>
      </c>
      <c r="I8" s="42">
        <f t="shared" si="3"/>
        <v>600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3700+8900</f>
        <v>12600</v>
      </c>
      <c r="D10" s="30">
        <f>250+700</f>
        <v>950</v>
      </c>
      <c r="E10" s="180">
        <v>5450</v>
      </c>
      <c r="F10" s="195">
        <f t="shared" si="1"/>
        <v>0</v>
      </c>
      <c r="H10" s="42">
        <f t="shared" si="2"/>
        <v>18050</v>
      </c>
      <c r="I10" s="42">
        <f t="shared" si="3"/>
        <v>950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29200</v>
      </c>
      <c r="D12" s="30">
        <v>200</v>
      </c>
      <c r="E12" s="194"/>
      <c r="F12" s="30" t="str">
        <f t="shared" si="0"/>
        <v/>
      </c>
      <c r="H12" s="42">
        <f t="shared" si="2"/>
        <v>29200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3600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72050</v>
      </c>
      <c r="D33" s="44">
        <f>SUM(D4:D32)</f>
        <v>1850</v>
      </c>
      <c r="E33" s="43">
        <f>SUM(E4:E32)</f>
        <v>30700</v>
      </c>
      <c r="F33" s="44">
        <f>SUM(F4:F32)</f>
        <v>0</v>
      </c>
      <c r="H33" s="95">
        <f>SUM(H4:H32)</f>
        <v>102750</v>
      </c>
      <c r="I33" s="95">
        <f>SUM(I4:I32)</f>
        <v>1850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87</v>
      </c>
      <c r="D2" s="268"/>
      <c r="E2" s="267">
        <f>IF(PREMIOS!$C20="","",PREMIOS!$C20)</f>
        <v>18</v>
      </c>
      <c r="F2" s="268"/>
      <c r="G2" s="267" t="str">
        <f>IF(PREMIOS!$D20="","",PREMIOS!$D20)</f>
        <v>09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18150</v>
      </c>
      <c r="D10" s="195">
        <f t="shared" si="0"/>
        <v>0</v>
      </c>
      <c r="E10" s="180">
        <v>4750</v>
      </c>
      <c r="F10" s="30">
        <f t="shared" si="0"/>
        <v>0</v>
      </c>
      <c r="G10" s="180">
        <v>15100</v>
      </c>
      <c r="H10" s="195">
        <f t="shared" si="0"/>
        <v>0</v>
      </c>
      <c r="J10" s="42">
        <f t="shared" si="3"/>
        <v>38000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18150</v>
      </c>
      <c r="D33" s="44">
        <f t="shared" si="6"/>
        <v>0</v>
      </c>
      <c r="E33" s="43">
        <f t="shared" si="6"/>
        <v>4750</v>
      </c>
      <c r="F33" s="44">
        <f t="shared" si="6"/>
        <v>0</v>
      </c>
      <c r="G33" s="43">
        <f t="shared" si="6"/>
        <v>15100</v>
      </c>
      <c r="H33" s="44">
        <f t="shared" si="6"/>
        <v>0</v>
      </c>
      <c r="J33" s="45">
        <f>SUM(J4:J32)</f>
        <v>38000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54</v>
      </c>
      <c r="D2" s="268"/>
      <c r="E2" s="267">
        <f>IF(PREMIOS!$C21="","",PREMIOS!$C21)</f>
        <v>28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26000</v>
      </c>
      <c r="D10" s="30">
        <f t="shared" si="0"/>
        <v>0</v>
      </c>
      <c r="E10" s="180">
        <v>28500</v>
      </c>
      <c r="F10" s="30">
        <f t="shared" si="0"/>
        <v>0</v>
      </c>
      <c r="H10" s="42">
        <f t="shared" si="2"/>
        <v>54500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26000</v>
      </c>
      <c r="D33" s="44">
        <f>SUM(D4:D32)</f>
        <v>0</v>
      </c>
      <c r="E33" s="43">
        <f>SUM(E4:E32)</f>
        <v>28500</v>
      </c>
      <c r="F33" s="44">
        <f>SUM(F4:F32)</f>
        <v>0</v>
      </c>
      <c r="H33" s="45">
        <f>SUM(H4:H32)</f>
        <v>54500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B6" sqref="B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2026-07-29T17:17:10Z</dcterms:modified>
  <dc:language>es-CR</dc:language>
</cp:coreProperties>
</file>
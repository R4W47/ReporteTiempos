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10" documentId="13_ncr:1_{EB1C27A7-1EBD-4619-B18B-0BCA469E8746}" xr6:coauthVersionLast="47" xr6:coauthVersionMax="47" xr10:uidLastSave="{9A2F4AB3-D62F-475A-80AA-88069E7002C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C10" i="62"/>
  <c r="I10" i="61"/>
  <c r="E10" i="61"/>
  <c r="D10" i="61"/>
  <c r="C10" i="61"/>
  <c r="G10" i="60"/>
  <c r="G11" i="60"/>
  <c r="E10" i="60"/>
  <c r="C10" i="60"/>
  <c r="D18" i="64" l="1"/>
  <c r="D18" i="65"/>
  <c r="D12" i="65"/>
  <c r="D11" i="65"/>
  <c r="D18" i="61"/>
  <c r="D17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36" i="60"/>
  <c r="D11" i="60"/>
  <c r="D35" i="60" s="1"/>
  <c r="D10" i="60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3" i="60"/>
  <c r="F12" i="60"/>
  <c r="F11" i="60"/>
  <c r="F10" i="60"/>
  <c r="F9" i="60"/>
  <c r="F8" i="60"/>
  <c r="F7" i="60"/>
  <c r="F6" i="60"/>
  <c r="H17" i="60"/>
  <c r="H16" i="60"/>
  <c r="H15" i="60"/>
  <c r="H14" i="60"/>
  <c r="H12" i="60"/>
  <c r="H11" i="60"/>
  <c r="H35" i="60" s="1"/>
  <c r="H10" i="60"/>
  <c r="H9" i="60"/>
  <c r="H8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10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F36" i="60"/>
  <c r="F34" i="60"/>
  <c r="D34" i="60"/>
  <c r="E7" i="16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F17" i="29"/>
  <c r="G17" i="29" s="1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<sst xmlns="http://schemas.openxmlformats.org/spreadsheetml/2006/main" count="1292" uniqueCount="159">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</sst>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296000</v>
      </c>
      <c r="C3" s="9">
        <f>+HojaTICA!K4+HojaNICA!M4+HojaREVENTADO!K4+HojaPrimera!I4+HojaHonduras!K4+HojaDominicana!I4+HojaPANA!G4</f>
        <v>38500</v>
      </c>
      <c r="D3" s="9">
        <f>+HojaTICA!N4+HojaNICA!P4+HojaREVENTADO!O4+HojaPrimera!L4+HojaHonduras!N4+HojaDominicana!L4+HojaPANA!J4</f>
        <v>556750</v>
      </c>
      <c r="F3" s="10">
        <f t="shared" ref="F3:F27" si="0">+B3-C3-D3</f>
        <v>-299250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216550</v>
      </c>
      <c r="C4" s="9">
        <f>+HojaTICA!K5+HojaNICA!M5+HojaREVENTADO!K5+HojaPrimera!I5+HojaHonduras!K5+HojaDominicana!I5+HojaPANA!G5</f>
        <v>28150</v>
      </c>
      <c r="D4" s="9">
        <f>+HojaTICA!N5+HojaNICA!P5+HojaREVENTADO!O5+HojaPrimera!L5+HojaHonduras!N5+HojaDominicana!L5+HojaPANA!J5</f>
        <v>191250</v>
      </c>
      <c r="F4" s="14">
        <f t="shared" si="0"/>
        <v>-2850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290300</v>
      </c>
      <c r="C7" s="9">
        <f>+HojaTICA!K8+HojaNICA!M8+HojaREVENTADO!K8+HojaPrimera!I8+HojaHonduras!K8+HojaDominicana!I8+HojaPANA!G8</f>
        <v>34800</v>
      </c>
      <c r="D7" s="9">
        <f>+HojaTICA!N8+HojaNICA!P8+HojaREVENTADO!O8+HojaPrimera!L8+HojaHonduras!N8+HojaDominicana!L8+HojaPANA!J8</f>
        <v>90500</v>
      </c>
      <c r="F7" s="14">
        <f t="shared" si="0"/>
        <v>165000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753350</v>
      </c>
      <c r="C9" s="9">
        <f>+HojaTICA!K10+HojaNICA!M10+HojaREVENTADO!K10+HojaPrimera!I10+HojaHonduras!K10+HojaDominicana!I10+HojaPANA!G10</f>
        <v>89470</v>
      </c>
      <c r="D9" s="9">
        <f>+HojaTICA!N10+HojaNICA!P10+HojaREVENTADO!O10+HojaPrimera!L10+HojaHonduras!N10+HojaDominicana!L10+HojaPANA!J10</f>
        <v>51000</v>
      </c>
      <c r="F9" s="14">
        <f t="shared" si="0"/>
        <v>612880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20000</v>
      </c>
      <c r="C10" s="9">
        <f>+HojaTICA!K11+HojaNICA!M11+HojaREVENTADO!K11+HojaPrimera!I11+HojaHonduras!K11+HojaDominicana!I11+HojaPANA!G11</f>
        <v>2400</v>
      </c>
      <c r="D10" s="9">
        <f>+HojaTICA!N11+HojaNICA!P11+HojaREVENTADO!O11+HojaPrimera!L11+HojaHonduras!N11+HojaDominicana!L11+HojaPANA!J11</f>
        <v>0</v>
      </c>
      <c r="F10" s="14">
        <f t="shared" si="0"/>
        <v>17600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78500</v>
      </c>
      <c r="C11" s="9">
        <f>+HojaTICA!K12+HojaNICA!M12+HojaREVENTADO!K12+HojaPrimera!I12+HojaHonduras!K12+HojaDominicana!I12+HojaPANA!G12</f>
        <v>9400</v>
      </c>
      <c r="D11" s="9">
        <f>+HojaTICA!N12+HojaNICA!P12+HojaREVENTADO!O12+HojaPrimera!L12+HojaHonduras!N12+HojaDominicana!L12+HojaPANA!J12</f>
        <v>8500</v>
      </c>
      <c r="F11" s="14">
        <f t="shared" si="0"/>
        <v>60600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195450</v>
      </c>
      <c r="C12" s="9">
        <f>+HojaTICA!K13+HojaNICA!M13+HojaREVENTADO!K13+HojaPrimera!I13+HojaHonduras!K13+HojaDominicana!I13+HojaPANA!G13</f>
        <v>23500</v>
      </c>
      <c r="D12" s="9">
        <f>+HojaTICA!N13+HojaNICA!P13+HojaREVENTADO!O13+HojaPrimera!L13+HojaHonduras!N13+HojaDominicana!L13+HojaPANA!J13</f>
        <v>25500</v>
      </c>
      <c r="F12" s="14">
        <f t="shared" si="0"/>
        <v>146450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97600</v>
      </c>
      <c r="C15" s="9">
        <f>+HojaTICA!K16+HojaNICA!M16+HojaREVENTADO!K16+HojaPrimera!I16+HojaHonduras!K16+HojaDominicana!I16+HojaPANA!G16</f>
        <v>11700</v>
      </c>
      <c r="D15" s="9">
        <f>+HojaTICA!N16+HojaNICA!P16+HojaREVENTADO!O16+HojaPrimera!L16+HojaHonduras!N16+HojaDominicana!L16+HojaPANA!J16</f>
        <v>37250</v>
      </c>
      <c r="F15" s="14">
        <f t="shared" si="0"/>
        <v>48650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-2250</v>
      </c>
      <c r="C26" s="9">
        <f>+HojaTICA!K27+HojaNICA!M27+HojaREVENTADO!K27+HojaPrimera!I27+HojaHonduras!K27+HojaDominicana!I27+HojaPANA!G27</f>
        <v>-250</v>
      </c>
      <c r="D26" s="9">
        <f>+HojaTICA!N27+HojaNICA!P27+HojaREVENTADO!O27+HojaPrimera!L27+HojaHonduras!N27+HojaDominicana!L27+HojaPANA!J27</f>
        <v>0</v>
      </c>
      <c r="F26" s="14">
        <f t="shared" si="0"/>
        <v>-2000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1945500</v>
      </c>
      <c r="C28" s="17">
        <f t="shared" si="1"/>
        <v>237670</v>
      </c>
      <c r="D28" s="18">
        <f t="shared" si="1"/>
        <v>960750</v>
      </c>
      <c r="F28" s="20">
        <f>SUM(F3:F27)</f>
        <v>747080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98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69</v>
      </c>
      <c r="C19" s="132">
        <v>12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49</v>
      </c>
      <c r="C20" s="163">
        <v>62</v>
      </c>
      <c r="D20" s="166">
        <v>84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24</v>
      </c>
      <c r="C21" s="164">
        <v>78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28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62</v>
      </c>
      <c r="D2" s="268"/>
      <c r="E2" s="267">
        <f>DigitaTICA!E2</f>
        <v>43</v>
      </c>
      <c r="F2" s="268"/>
      <c r="G2" s="267">
        <f>DigitaTICA!G2</f>
        <v>73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90300</v>
      </c>
      <c r="D4" s="30">
        <f>IF(Vendedor1!$E$7="",0,Vendedor1!$E$7)</f>
        <v>2800</v>
      </c>
      <c r="E4" s="180">
        <f>IF(Vendedor1!$C$11="",0,Vendedor1!$C$11)</f>
        <v>32050</v>
      </c>
      <c r="F4" s="30">
        <f>IF(Vendedor1!$E$11="",0,Vendedor1!$E$11)</f>
        <v>250</v>
      </c>
      <c r="G4" s="180">
        <f>IF(Vendedor1!$C$15="",0,Vendedor1!$C$15)</f>
        <v>106600</v>
      </c>
      <c r="H4" s="30">
        <f>IF(Vendedor1!$E$15="",0,Vendedor1!$E$15)</f>
        <v>3500</v>
      </c>
      <c r="J4" s="42">
        <f t="shared" ref="J4:J7" si="0">+C4+E4+G4</f>
        <v>228950</v>
      </c>
      <c r="K4" s="41">
        <f>MROUND(J4*Vendedor1!J$9,50)</f>
        <v>29750</v>
      </c>
      <c r="L4" s="42">
        <f t="shared" ref="L4:L7" si="1">+D4+F4+H4</f>
        <v>6550</v>
      </c>
      <c r="M4" s="42">
        <f t="shared" ref="M4:M7" si="2">+L4*85</f>
        <v>556750</v>
      </c>
      <c r="N4" s="42">
        <f>Vendedor1!$F$7+Vendedor1!$F$11+Vendedor1!$F$15</f>
        <v>556750</v>
      </c>
      <c r="P4" s="42">
        <f t="shared" ref="P4:P7" si="3">+J4-K4-N4</f>
        <v>-357550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81700</v>
      </c>
      <c r="D5" s="30">
        <f>IF(Vendedor2!$E$7="",0,Vendedor2!$E$7)</f>
        <v>0</v>
      </c>
      <c r="E5" s="180">
        <f>IF(Vendedor2!$C$11="",0,Vendedor2!$C$11)</f>
        <v>16350</v>
      </c>
      <c r="F5" s="30">
        <f>IF(Vendedor2!$E$11="",0,Vendedor2!$E$11)</f>
        <v>250</v>
      </c>
      <c r="G5" s="180">
        <f>IF(Vendedor2!$C$15="",0,Vendedor2!$C$15)</f>
        <v>74700</v>
      </c>
      <c r="H5" s="30">
        <f>IF(Vendedor2!$E$15="",0,Vendedor2!$E$15)</f>
        <v>2000</v>
      </c>
      <c r="J5" s="42">
        <f t="shared" si="0"/>
        <v>172750</v>
      </c>
      <c r="K5" s="41">
        <f>MROUND(J5*Vendedor2!J$9,50)</f>
        <v>22450</v>
      </c>
      <c r="L5" s="42">
        <f t="shared" si="1"/>
        <v>2250</v>
      </c>
      <c r="M5" s="42">
        <f t="shared" si="2"/>
        <v>191250</v>
      </c>
      <c r="N5" s="42">
        <f>Vendedor2!$F$7+Vendedor2!$F$11+Vendedor2!$F$15</f>
        <v>191250</v>
      </c>
      <c r="P5" s="42">
        <f t="shared" si="3"/>
        <v>-40950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43850</v>
      </c>
      <c r="D8" s="30">
        <f>IF(Vendedor5!$E$7="",0,Vendedor5!$E$7)</f>
        <v>500</v>
      </c>
      <c r="E8" s="180">
        <f>IF(Vendedor5!$C$11="",0,Vendedor5!$C$11)</f>
        <v>30650</v>
      </c>
      <c r="F8" s="30">
        <f>IF(Vendedor5!$E$11="",0,Vendedor5!$E$11)</f>
        <v>0</v>
      </c>
      <c r="G8" s="180">
        <f>IF(Vendedor5!$C$15="",0,Vendedor5!$C$15)</f>
        <v>51000</v>
      </c>
      <c r="H8" s="30">
        <f>IF(Vendedor5!$E$15="",0,Vendedor5!$E$15)</f>
        <v>0</v>
      </c>
      <c r="J8" s="42">
        <f t="shared" ref="J8" si="4">+C8+E8+G8</f>
        <v>125500</v>
      </c>
      <c r="K8" s="41">
        <f>MROUND(J8*Vendedor5!J$11,50)</f>
        <v>15050</v>
      </c>
      <c r="L8" s="42">
        <f t="shared" ref="L8" si="5">+D8+F8+H8</f>
        <v>500</v>
      </c>
      <c r="M8" s="42">
        <f t="shared" ref="M8" si="6">+L8*85</f>
        <v>42500</v>
      </c>
      <c r="N8" s="42">
        <f>Vendedor5!$F$7+Vendedor5!$F$11+Vendedor5!$F$15</f>
        <v>42500</v>
      </c>
      <c r="P8" s="42">
        <f t="shared" ref="P8" si="7">+J8-K8-N8</f>
        <v>67950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102400</v>
      </c>
      <c r="D10" s="30">
        <f>IF(Vendedor7!$E$7="",0,Vendedor7!$E$7)</f>
        <v>0</v>
      </c>
      <c r="E10" s="180">
        <f>IF(Vendedor7!$C$11="",0,Vendedor7!$C$11)</f>
        <v>73700</v>
      </c>
      <c r="F10" s="30">
        <f>IF(Vendedor7!$E$11="",0,Vendedor7!$E$11)</f>
        <v>0</v>
      </c>
      <c r="G10" s="180">
        <f>IF(Vendedor7!$C$15="",0,Vendedor7!$C$15)</f>
        <v>138900</v>
      </c>
      <c r="H10" s="30">
        <f>IF(Vendedor7!$E$15="",0,Vendedor7!$E$15)</f>
        <v>0</v>
      </c>
      <c r="J10" s="42">
        <f t="shared" si="8"/>
        <v>315000</v>
      </c>
      <c r="K10" s="41">
        <f>MROUND(J10*Vendedor7!J$14,50)</f>
        <v>37800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277200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18000</v>
      </c>
      <c r="H11" s="30">
        <f>IF(Vendedor8!$E$15="",0,Vendedor8!$E$15)</f>
        <v>0</v>
      </c>
      <c r="J11" s="42">
        <f t="shared" si="8"/>
        <v>20000</v>
      </c>
      <c r="K11" s="41">
        <f>MROUND(J11*Vendedor8!J$11,50)</f>
        <v>2400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17600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25200</v>
      </c>
      <c r="D12" s="30">
        <f>IF(Vendedor9!$E$7="",0,Vendedor9!$E$7)</f>
        <v>100</v>
      </c>
      <c r="E12" s="180">
        <f>IF(Vendedor9!$C$11="",0,Vendedor9!$C$11)</f>
        <v>9100</v>
      </c>
      <c r="F12" s="30">
        <f>IF(Vendedor9!$E$11="",0,Vendedor9!$E$11)</f>
        <v>0</v>
      </c>
      <c r="G12" s="180">
        <f>IF(Vendedor9!$C$15="",0,Vendedor9!$C$15)</f>
        <v>15400</v>
      </c>
      <c r="H12" s="30">
        <f>IF(Vendedor9!$E$15="",0,Vendedor9!$E$15)</f>
        <v>0</v>
      </c>
      <c r="J12" s="42">
        <f t="shared" si="8"/>
        <v>49700</v>
      </c>
      <c r="K12" s="41">
        <f>MROUND(J12*Vendedor9!J$11,50)</f>
        <v>5950</v>
      </c>
      <c r="L12" s="42">
        <f t="shared" si="9"/>
        <v>100</v>
      </c>
      <c r="M12" s="42">
        <f t="shared" si="10"/>
        <v>8500</v>
      </c>
      <c r="N12" s="42">
        <f>Vendedor9!$F$7+Vendedor9!$F$11+Vendedor9!$F$15</f>
        <v>8500</v>
      </c>
      <c r="P12" s="42">
        <f t="shared" si="11"/>
        <v>35250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46750</v>
      </c>
      <c r="D13" s="30">
        <f>IF(Vendedor10!$E$7="",0,Vendedor10!$E$7)</f>
        <v>0</v>
      </c>
      <c r="E13" s="180">
        <f>IF(Vendedor10!$C$11="",0,Vendedor10!$C$11)</f>
        <v>25700</v>
      </c>
      <c r="F13" s="30">
        <f>IF(Vendedor10!$E$11="",0,Vendedor10!$E$11)</f>
        <v>0</v>
      </c>
      <c r="G13" s="180">
        <f>IF(Vendedor10!$C$15="",0,Vendedor10!$C$15)</f>
        <v>64850</v>
      </c>
      <c r="H13" s="30">
        <f>IF(Vendedor10!$E$15="",0,Vendedor10!$E$15)</f>
        <v>300</v>
      </c>
      <c r="J13" s="42">
        <f t="shared" si="8"/>
        <v>137300</v>
      </c>
      <c r="K13" s="41">
        <f>MROUND(J13*Vendedor10!J$9,50)</f>
        <v>16500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95300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25600</v>
      </c>
      <c r="D16" s="30">
        <f>IF(Vendedor13!$E$7="",0,Vendedor13!$E$7)</f>
        <v>0</v>
      </c>
      <c r="E16" s="180">
        <f>IF(Vendedor13!$C$11="",0,Vendedor13!$C$11)</f>
        <v>13250</v>
      </c>
      <c r="F16" s="30">
        <f>IF(Vendedor13!$E$11="",0,Vendedor13!$E$11)</f>
        <v>250</v>
      </c>
      <c r="G16" s="180">
        <f>IF(Vendedor13!$C$15="",0,Vendedor13!$C$15)</f>
        <v>40950</v>
      </c>
      <c r="H16" s="30">
        <f>IF(Vendedor13!$E$15="",0,Vendedor13!$E$15)</f>
        <v>0</v>
      </c>
      <c r="J16" s="42">
        <f t="shared" si="8"/>
        <v>79800</v>
      </c>
      <c r="K16" s="41">
        <f>MROUND(J16*Vendedor13!J$11,50)</f>
        <v>9600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48950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417800</v>
      </c>
      <c r="D32" s="44">
        <f t="shared" si="16"/>
        <v>3400</v>
      </c>
      <c r="E32" s="43">
        <f t="shared" si="16"/>
        <v>200800</v>
      </c>
      <c r="F32" s="44">
        <f t="shared" si="16"/>
        <v>750</v>
      </c>
      <c r="G32" s="43">
        <f t="shared" si="16"/>
        <v>510400</v>
      </c>
      <c r="H32" s="44">
        <f t="shared" si="16"/>
        <v>5800</v>
      </c>
      <c r="J32" s="95">
        <f>SUM(J4:J31)</f>
        <v>1129000</v>
      </c>
      <c r="K32" s="45">
        <f>SUM(K7:K31)</f>
        <v>87300</v>
      </c>
      <c r="L32" s="95">
        <f>SUM(L4:L31)</f>
        <v>9950</v>
      </c>
      <c r="M32" s="95">
        <f>SUM(M4:M31)</f>
        <v>845750</v>
      </c>
      <c r="N32" s="95">
        <f>SUM(N4:N31)</f>
        <v>845750</v>
      </c>
      <c r="P32" s="79">
        <f>SUM(P4:P31)</f>
        <v>143750</v>
      </c>
    </row>
    <row r="33" spans="3:13" x14ac:dyDescent="0.35">
      <c r="D33" s="99">
        <f>+D32*85</f>
        <v>289000</v>
      </c>
      <c r="F33" s="99">
        <f>+F32*85</f>
        <v>63750</v>
      </c>
      <c r="H33" s="99">
        <f>+H32*85</f>
        <v>493000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1129000</v>
      </c>
      <c r="E36" s="43">
        <f>+D36-J4-J5-J6</f>
        <v>727300</v>
      </c>
      <c r="G36" s="101"/>
    </row>
    <row r="37" spans="3:13" x14ac:dyDescent="0.35">
      <c r="C37" s="47" t="s">
        <v>33</v>
      </c>
      <c r="D37" s="48">
        <f>D36*13%</f>
        <v>146770</v>
      </c>
      <c r="E37">
        <f>+D37-K4-K5-K6</f>
        <v>94570</v>
      </c>
      <c r="G37" s="100"/>
      <c r="H37" s="100"/>
    </row>
    <row r="38" spans="3:13" ht="15" thickBot="1" x14ac:dyDescent="0.4">
      <c r="C38" s="47" t="s">
        <v>30</v>
      </c>
      <c r="D38" s="30">
        <f>M32</f>
        <v>845750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136480</v>
      </c>
      <c r="F39" s="98">
        <f>+P32-D39</f>
        <v>7270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136480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44</v>
      </c>
      <c r="D2" s="268"/>
      <c r="E2" s="267">
        <f>DigitaNICA!E2</f>
        <v>74</v>
      </c>
      <c r="F2" s="268"/>
      <c r="G2" s="267">
        <f>DigitaNICA!G2</f>
        <v>81</v>
      </c>
      <c r="H2" s="268"/>
      <c r="I2" s="267">
        <f>DigitaNICA!I2</f>
        <v>98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21550</v>
      </c>
      <c r="D4" s="78">
        <f>IF(Vendedor1!$E$5="",0,Vendedor1!$E$5)</f>
        <v>0</v>
      </c>
      <c r="E4" s="189">
        <f>IF(Vendedor1!$C$9="",0,Vendedor1!$C$9)</f>
        <v>24700</v>
      </c>
      <c r="F4" s="78">
        <f>IF(Vendedor1!$E$9="",0,Vendedor1!$E$9)</f>
        <v>0</v>
      </c>
      <c r="G4" s="189">
        <f>IF(Vendedor1!$C$13="",0,Vendedor1!$C$13)</f>
        <v>15100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61350</v>
      </c>
      <c r="M4" s="41">
        <f>MROUND(L4*Vendedor1!J$10,50)</f>
        <v>8000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53350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10900</v>
      </c>
      <c r="D5" s="30">
        <f>IF(Vendedor2!$E$5="",0,Vendedor2!$E$5)</f>
        <v>0</v>
      </c>
      <c r="E5" s="180">
        <f>IF(Vendedor2!$C$9="",0,Vendedor2!$C$9)</f>
        <v>18650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2250</v>
      </c>
      <c r="J5" s="30">
        <f>IF(Vendedor2!$E$17="",0,Vendedor2!$E$17)</f>
        <v>0</v>
      </c>
      <c r="L5" s="42">
        <f t="shared" si="0"/>
        <v>31800</v>
      </c>
      <c r="M5" s="41">
        <f>MROUND(L5*Vendedor2!J$10,50)</f>
        <v>4150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27650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47350</v>
      </c>
      <c r="D8" s="30">
        <f>IF(Vendedor5!$E$5="",0,Vendedor5!$E$5)</f>
        <v>0</v>
      </c>
      <c r="E8" s="180">
        <f>IF(Vendedor5!$C$9="",0,Vendedor5!$C$9)</f>
        <v>35250</v>
      </c>
      <c r="F8" s="30">
        <f>IF(Vendedor5!$E$9="",0,Vendedor5!$E$9)</f>
        <v>0</v>
      </c>
      <c r="G8" s="180">
        <f>IF(Vendedor5!$C$13="",0,Vendedor5!$C$13)</f>
        <v>10800</v>
      </c>
      <c r="H8" s="30">
        <f>IF(Vendedor5!$E$13="",0,Vendedor5!$E$13)</f>
        <v>0</v>
      </c>
      <c r="I8" s="180">
        <f>IF(Vendedor5!$C$17="",0,Vendedor5!$C$17)</f>
        <v>30800</v>
      </c>
      <c r="J8" s="30">
        <f>IF(Vendedor5!$E$17="",0,Vendedor5!$E$17)</f>
        <v>600</v>
      </c>
      <c r="L8" s="42">
        <f t="shared" ref="L8" si="4">C8+E8+G8+I8</f>
        <v>124200</v>
      </c>
      <c r="M8" s="41">
        <f>MROUND(L8*Vendedor5!J$12,50)</f>
        <v>14900</v>
      </c>
      <c r="N8" s="42">
        <f t="shared" ref="N8" si="5">D8+F8+H8+J8</f>
        <v>600</v>
      </c>
      <c r="O8" s="41">
        <f t="shared" si="3"/>
        <v>51000</v>
      </c>
      <c r="P8" s="42">
        <f>Vendedor5!$F$5+Vendedor5!$F$9+Vendedor5!$F$13+Vendedor5!$F$17</f>
        <v>48000</v>
      </c>
      <c r="Q8">
        <v>17</v>
      </c>
      <c r="R8" s="41">
        <f t="shared" ref="R8" si="6">+L8-M8-O8</f>
        <v>58300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72350</v>
      </c>
      <c r="D10" s="30">
        <f>IF(Vendedor7!$E$5="",0,Vendedor7!$E$5)</f>
        <v>300</v>
      </c>
      <c r="E10" s="180">
        <f>IF(Vendedor7!$C$9="",0,Vendedor7!$C$9)</f>
        <v>53250</v>
      </c>
      <c r="F10" s="30">
        <f>IF(Vendedor7!$E$9="",0,Vendedor7!$E$9)</f>
        <v>0</v>
      </c>
      <c r="G10" s="180">
        <f>IF(Vendedor7!$C$13="",0,Vendedor7!$C$13)</f>
        <v>27650</v>
      </c>
      <c r="H10" s="30">
        <f>IF(Vendedor7!$E$13="",0,Vendedor7!$E$13)</f>
        <v>0</v>
      </c>
      <c r="I10" s="180">
        <f>IF(Vendedor7!$C$17="",0,Vendedor7!$C$17)</f>
        <v>67650</v>
      </c>
      <c r="J10" s="30">
        <f>IF(Vendedor7!$E$17="",0,Vendedor7!$E$17)</f>
        <v>0</v>
      </c>
      <c r="L10" s="42">
        <f t="shared" si="7"/>
        <v>220900</v>
      </c>
      <c r="M10" s="41">
        <f>MROUND(L10*Vendedor7!J$15,50)</f>
        <v>26500</v>
      </c>
      <c r="N10" s="42">
        <f t="shared" ref="N10:N27" si="9">D10+F10+H10+J10</f>
        <v>300</v>
      </c>
      <c r="O10" s="41">
        <f t="shared" si="3"/>
        <v>25500</v>
      </c>
      <c r="P10" s="42">
        <f>Vendedor7!$F$5+Vendedor7!$F$9+Vendedor7!$F$13+Vendedor7!$F$17</f>
        <v>25500</v>
      </c>
      <c r="R10" s="41">
        <f t="shared" si="8"/>
        <v>168900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6900</v>
      </c>
      <c r="D12" s="30">
        <f>IF(Vendedor9!$E$5="",0,Vendedor9!$E$5)</f>
        <v>0</v>
      </c>
      <c r="E12" s="180">
        <f>IF(Vendedor9!$C$9="",0,Vendedor9!$C$9)</f>
        <v>4600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11500</v>
      </c>
      <c r="M12" s="41">
        <f>MROUND(L12*Vendedor9!J$12,50)</f>
        <v>1400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10100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30600</v>
      </c>
      <c r="D13" s="30">
        <f>IF(Vendedor10!$E$5="",0,Vendedor10!$E$5)</f>
        <v>0</v>
      </c>
      <c r="E13" s="180">
        <f>IF(Vendedor10!$C$9="",0,Vendedor10!$C$9)</f>
        <v>21450</v>
      </c>
      <c r="F13" s="30">
        <f>IF(Vendedor10!$E$9="",0,Vendedor10!$E$9)</f>
        <v>0</v>
      </c>
      <c r="G13" s="180">
        <f>IF(Vendedor10!$C$13="",0,Vendedor10!$C$13)</f>
        <v>6100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58150</v>
      </c>
      <c r="M13" s="41">
        <f>MROUND(L13*Vendedor10!J$10,50)</f>
        <v>7000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51150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700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16100</v>
      </c>
      <c r="J16" s="30">
        <f>IF(Vendedor13!$E$17="",0,Vendedor13!$E$17)</f>
        <v>200</v>
      </c>
      <c r="L16" s="42">
        <f t="shared" si="7"/>
        <v>16800</v>
      </c>
      <c r="M16" s="41">
        <f>MROUND(L16*Vendedor13!J$12,50)</f>
        <v>2000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-2200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-2250</v>
      </c>
      <c r="J27" s="50">
        <f>IF(Vendedor24!$E$17="",0,Vendedor24!$E$17)</f>
        <v>0</v>
      </c>
      <c r="L27" s="42">
        <f t="shared" si="10"/>
        <v>-2250</v>
      </c>
      <c r="M27" s="41">
        <f>IF((L27*Vendedor24!J$10)&lt;0,MROUND(L27*Vendedor24!J$10,-50),MROUND(L27*Vendedor24!J$10,50))</f>
        <v>-250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-2000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189650</v>
      </c>
      <c r="D32" s="44">
        <f t="shared" si="14"/>
        <v>300</v>
      </c>
      <c r="E32" s="43">
        <f t="shared" si="14"/>
        <v>158600</v>
      </c>
      <c r="F32" s="44">
        <f t="shared" si="14"/>
        <v>0</v>
      </c>
      <c r="G32" s="43">
        <f t="shared" si="14"/>
        <v>59650</v>
      </c>
      <c r="H32" s="44">
        <f t="shared" si="14"/>
        <v>0</v>
      </c>
      <c r="I32" s="43">
        <f t="shared" si="14"/>
        <v>114550</v>
      </c>
      <c r="J32" s="44">
        <f t="shared" si="14"/>
        <v>800</v>
      </c>
      <c r="L32" s="45">
        <f>SUM(L4:L31)</f>
        <v>522450</v>
      </c>
      <c r="M32" s="45">
        <f>SUM(M7:M31)</f>
        <v>51550</v>
      </c>
      <c r="N32" s="95">
        <f>SUM(N4:N31)</f>
        <v>1100</v>
      </c>
      <c r="O32" s="46">
        <f>SUM(O4:O31)</f>
        <v>93500</v>
      </c>
      <c r="P32" s="140">
        <f>SUM(P4:P31)</f>
        <v>89500</v>
      </c>
      <c r="R32" s="79">
        <f>SUM(R4:R31)</f>
        <v>365250</v>
      </c>
    </row>
    <row r="33" spans="3:15" x14ac:dyDescent="0.35">
      <c r="D33" s="120">
        <f>+D32*85</f>
        <v>25500</v>
      </c>
      <c r="F33" s="120">
        <f>+F32*85</f>
        <v>0</v>
      </c>
      <c r="H33" s="120">
        <f>+H32*85</f>
        <v>0</v>
      </c>
      <c r="J33" s="120">
        <f>+J32*85</f>
        <v>68000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522450</v>
      </c>
      <c r="E36" s="43">
        <f>+D36-L4-L5-L6</f>
        <v>429300</v>
      </c>
    </row>
    <row r="37" spans="3:15" x14ac:dyDescent="0.35">
      <c r="C37" s="47" t="s">
        <v>33</v>
      </c>
      <c r="D37" s="48">
        <f>D36*13%</f>
        <v>67918.5</v>
      </c>
      <c r="E37">
        <f>+D37-M4-M5-M6</f>
        <v>55768.5</v>
      </c>
    </row>
    <row r="38" spans="3:15" x14ac:dyDescent="0.35">
      <c r="C38" s="47" t="s">
        <v>30</v>
      </c>
      <c r="D38" s="30">
        <f>SUM(O4:O27)</f>
        <v>93500</v>
      </c>
      <c r="G38" s="100"/>
    </row>
    <row r="39" spans="3:15" ht="15" thickBot="1" x14ac:dyDescent="0.4">
      <c r="C39" s="49" t="s">
        <v>4</v>
      </c>
      <c r="D39" s="80">
        <f>+D36-D37-D38</f>
        <v>361031.5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361031.5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62 Roja</v>
      </c>
      <c r="D2" s="268"/>
      <c r="E2" s="267" t="str">
        <f>IF(E33=0,"",CONCATENATE(PREMIOS!$B11," ",PREMIOS!$B12))</f>
        <v>43 Blanca</v>
      </c>
      <c r="F2" s="268"/>
      <c r="G2" s="267" t="str">
        <f>IF(G33=0,"",CONCATENATE(PREMIOS!$B15," ",PREMIOS!$B16))</f>
        <v>73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17050</v>
      </c>
      <c r="D10" s="30">
        <f>IF(Vendedor7!$E$8="",0,Vendedor7!$E$8)</f>
        <v>0</v>
      </c>
      <c r="E10" s="180">
        <f>IF(Vendedor7!$C$12="",0,Vendedor7!$C$12)</f>
        <v>12200</v>
      </c>
      <c r="F10" s="30">
        <f>IF(Vendedor7!$E$12="",0,Vendedor7!$E$12)</f>
        <v>0</v>
      </c>
      <c r="G10" s="180">
        <f>IF(Vendedor7!$C$16="",0,Vendedor7!$C$16)</f>
        <v>16450</v>
      </c>
      <c r="H10" s="30">
        <f>IF(Vendedor7!$E$16="",0,Vendedor7!$E$16)</f>
        <v>0</v>
      </c>
      <c r="J10" s="42">
        <f t="shared" si="1"/>
        <v>45700</v>
      </c>
      <c r="K10" s="41">
        <f>J10*Vendedor7!J$16</f>
        <v>4570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41130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18050</v>
      </c>
      <c r="D33" s="44">
        <f>IF(PREMIOS!E8&lt;&gt;0,SUM(D4:D32),0)</f>
        <v>0</v>
      </c>
      <c r="E33" s="43">
        <f>SUM(E4:E32)</f>
        <v>12200</v>
      </c>
      <c r="F33" s="44">
        <f>IF(PREMIOS!E12&lt;&gt;0,SUM(F4:F32),0)</f>
        <v>0</v>
      </c>
      <c r="G33" s="43">
        <f>SUM(G4:G32)</f>
        <v>17450</v>
      </c>
      <c r="H33" s="44">
        <f>IF(PREMIOS!E16&lt;&gt;0,SUM(H4:H32),0)</f>
        <v>0</v>
      </c>
      <c r="J33" s="45">
        <f>SUM(J4:J32)</f>
        <v>47700</v>
      </c>
      <c r="K33" s="45">
        <f>SUM(K7:K32)</f>
        <v>4770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42930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47700</v>
      </c>
      <c r="E37" s="43">
        <f>+D37-J4-J5-J6</f>
        <v>47700</v>
      </c>
      <c r="F37" s="275"/>
      <c r="G37" s="275"/>
    </row>
    <row r="38" spans="3:17" ht="15" thickBot="1" x14ac:dyDescent="0.4">
      <c r="C38" s="47" t="s">
        <v>33</v>
      </c>
      <c r="D38" s="30">
        <f>D37*10%</f>
        <v>4770</v>
      </c>
      <c r="E38" s="43">
        <f>+D38-K4-K5-K6</f>
        <v>4770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42930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42930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69</v>
      </c>
      <c r="D2" s="268"/>
      <c r="E2" s="267">
        <f>DigitaPRIMERA!E2</f>
        <v>12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5700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5700</v>
      </c>
      <c r="I4" s="41">
        <f>MROUND(H4*Vendedor1!J$9,50)</f>
        <v>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4950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12000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12000</v>
      </c>
      <c r="I5" s="41">
        <f>MROUND(H5*Vendedor2!J$9,50)</f>
        <v>1550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10450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31000</v>
      </c>
      <c r="D8" s="30">
        <f>IF(Vendedor5!$E$19="",0,Vendedor5!$E$19)</f>
        <v>0</v>
      </c>
      <c r="E8" s="180">
        <f>IF(Vendedor5!$C$20="",0,Vendedor5!$C$20)</f>
        <v>9600</v>
      </c>
      <c r="F8" s="30">
        <f>IF(Vendedor5!$E$20="",0,Vendedor5!$E$20)</f>
        <v>0</v>
      </c>
      <c r="H8" s="133">
        <f t="shared" si="1"/>
        <v>40600</v>
      </c>
      <c r="I8" s="148">
        <f>MROUND(H8*Vendedor5!J$11,50)</f>
        <v>4850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35750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18300</v>
      </c>
      <c r="D10" s="30">
        <f>IF(Vendedor7!$E$19="",0,Vendedor7!$E$19)</f>
        <v>300</v>
      </c>
      <c r="E10" s="180">
        <f>IF(Vendedor7!$C$20="",0,Vendedor7!$C$20)</f>
        <v>5100</v>
      </c>
      <c r="F10" s="30">
        <f>IF(Vendedor7!$E$20="",0,Vendedor7!$E$20)</f>
        <v>0</v>
      </c>
      <c r="H10" s="42">
        <f t="shared" si="1"/>
        <v>23400</v>
      </c>
      <c r="I10" s="41">
        <f>MROUND(H10*Vendedor7!J$14,50)</f>
        <v>2800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-4900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16300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16300</v>
      </c>
      <c r="I12" s="148">
        <f>MROUND(H12*Vendedor9!J$11,50)</f>
        <v>1950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14350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83300</v>
      </c>
      <c r="D32" s="44">
        <f>SUM(D4:D31)</f>
        <v>300</v>
      </c>
      <c r="E32" s="43">
        <f>SUM(E4:E31)</f>
        <v>14700</v>
      </c>
      <c r="F32" s="44">
        <f>SUM(F4:F31)</f>
        <v>0</v>
      </c>
      <c r="H32" s="95">
        <f>SUM(H4:H31)</f>
        <v>98000</v>
      </c>
      <c r="I32" s="45">
        <f>SUM(I7:I31)</f>
        <v>9600</v>
      </c>
      <c r="J32" s="95"/>
      <c r="K32" s="95">
        <f>SUM(K4:K31)</f>
        <v>25500</v>
      </c>
      <c r="L32" s="95">
        <f>SUM(L4:L31)</f>
        <v>25500</v>
      </c>
      <c r="N32" s="79">
        <f>SUM(N4:N31)</f>
        <v>60600</v>
      </c>
    </row>
    <row r="33" spans="3:6" x14ac:dyDescent="0.35">
      <c r="D33" s="99">
        <f>+D32*85</f>
        <v>25500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98000</v>
      </c>
      <c r="E36" s="43">
        <f>+D36-H4-H5-H6</f>
        <v>80300</v>
      </c>
    </row>
    <row r="37" spans="3:6" x14ac:dyDescent="0.35">
      <c r="C37" s="47" t="s">
        <v>33</v>
      </c>
      <c r="D37" s="48">
        <f>D36*13%</f>
        <v>12740</v>
      </c>
      <c r="E37">
        <f>+D37-I4-I5-I6</f>
        <v>10440</v>
      </c>
    </row>
    <row r="38" spans="3:6" ht="15" thickBot="1" x14ac:dyDescent="0.4">
      <c r="C38" s="47" t="s">
        <v>30</v>
      </c>
      <c r="D38" s="30">
        <f>SUM(K4:K27)</f>
        <v>25500</v>
      </c>
    </row>
    <row r="39" spans="3:6" ht="15" thickBot="1" x14ac:dyDescent="0.4">
      <c r="C39" s="49" t="s">
        <v>4</v>
      </c>
      <c r="D39" s="80">
        <f>+D36-D37-D38</f>
        <v>59760</v>
      </c>
      <c r="F39" s="98">
        <f>+N32-D39</f>
        <v>840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59760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49</v>
      </c>
      <c r="D2" s="268"/>
      <c r="E2" s="267">
        <f>DigitaHONDURAS!E2</f>
        <v>62</v>
      </c>
      <c r="F2" s="268"/>
      <c r="G2" s="267">
        <f>DigitaHONDURAS!G2</f>
        <v>84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31600</v>
      </c>
      <c r="D10" s="30">
        <f>IF(Vendedor7!$E$21="",0,Vendedor7!$E$21)</f>
        <v>0</v>
      </c>
      <c r="E10" s="180">
        <f>IF(Vendedor7!$C$22="",0,Vendedor7!$C$22)</f>
        <v>800</v>
      </c>
      <c r="F10" s="30">
        <f>IF(Vendedor7!$E$22="",0,Vendedor7!$E$22)</f>
        <v>0</v>
      </c>
      <c r="G10" s="180">
        <f>IF(Vendedor7!$C$23="",0,Vendedor7!$C$23)</f>
        <v>29150</v>
      </c>
      <c r="H10" s="30">
        <f>IF(Vendedor7!$E$23="",0,Vendedor7!$E$23)</f>
        <v>0</v>
      </c>
      <c r="J10" s="42">
        <f t="shared" si="0"/>
        <v>61550</v>
      </c>
      <c r="K10" s="41">
        <f>MROUND(J10*Vendedor7!J$14,50)</f>
        <v>7400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54150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31600</v>
      </c>
      <c r="D32" s="44">
        <f t="shared" si="8"/>
        <v>0</v>
      </c>
      <c r="E32" s="43">
        <f t="shared" si="8"/>
        <v>800</v>
      </c>
      <c r="F32" s="44">
        <f t="shared" si="8"/>
        <v>0</v>
      </c>
      <c r="G32" s="43">
        <f t="shared" si="8"/>
        <v>29150</v>
      </c>
      <c r="H32" s="44">
        <f t="shared" si="8"/>
        <v>0</v>
      </c>
      <c r="J32" s="95">
        <f>SUM(J4:J31)</f>
        <v>61550</v>
      </c>
      <c r="K32" s="45">
        <f>SUM(K7:K31)</f>
        <v>7400</v>
      </c>
      <c r="L32" s="95"/>
      <c r="M32" s="95">
        <f>SUM(M4:M31)</f>
        <v>0</v>
      </c>
      <c r="N32" s="95">
        <f>SUM(N4:N31)</f>
        <v>0</v>
      </c>
      <c r="P32" s="79">
        <f>SUM(P4:P31)</f>
        <v>54150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61550</v>
      </c>
      <c r="E36" s="43">
        <f>+D36-J4-J5-J6</f>
        <v>61550</v>
      </c>
    </row>
    <row r="37" spans="3:8" x14ac:dyDescent="0.35">
      <c r="C37" s="47" t="s">
        <v>33</v>
      </c>
      <c r="D37" s="48">
        <f>D36*13%</f>
        <v>8001.5</v>
      </c>
      <c r="E37">
        <f>+D37-K4-K5-K6</f>
        <v>8001.5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53548.5</v>
      </c>
      <c r="F39" s="98">
        <f>+P32-D39</f>
        <v>601.5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53548.5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24</v>
      </c>
      <c r="D2" s="268"/>
      <c r="E2" s="267">
        <f>DigitaDOMINICANA!E2</f>
        <v>78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43000</v>
      </c>
      <c r="D10" s="30">
        <f>IF(Vendedor7!$E$24="",0,Vendedor7!$E$24)</f>
        <v>0</v>
      </c>
      <c r="E10" s="180">
        <f>IF(Vendedor7!$C$25="",0,Vendedor7!$C$25)</f>
        <v>43800</v>
      </c>
      <c r="F10" s="30">
        <f>IF(Vendedor7!$E$25="",0,Vendedor7!$E$25)</f>
        <v>0</v>
      </c>
      <c r="H10" s="42">
        <f t="shared" si="1"/>
        <v>86800</v>
      </c>
      <c r="I10" s="41">
        <f>MROUND(H10*Vendedor7!J$14,50)</f>
        <v>10400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76400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43000</v>
      </c>
      <c r="D32" s="44">
        <f>SUM(D4:D31)</f>
        <v>0</v>
      </c>
      <c r="E32" s="43">
        <f>SUM(E4:E31)</f>
        <v>43800</v>
      </c>
      <c r="F32" s="44">
        <f>SUM(F4:F31)</f>
        <v>0</v>
      </c>
      <c r="H32" s="95">
        <f>SUM(H4:H31)</f>
        <v>86800</v>
      </c>
      <c r="I32" s="45">
        <f>SUM(I7:I31)</f>
        <v>10400</v>
      </c>
      <c r="J32" s="95"/>
      <c r="K32" s="95">
        <f>SUM(K4:K31)</f>
        <v>0</v>
      </c>
      <c r="L32" s="95">
        <f>SUM(L4:L31)</f>
        <v>0</v>
      </c>
      <c r="N32" s="79">
        <f>SUM(N4:N31)</f>
        <v>76400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86800</v>
      </c>
      <c r="E36" s="43">
        <f>+D36-H4-H5-H6</f>
        <v>86800</v>
      </c>
    </row>
    <row r="37" spans="3:6" x14ac:dyDescent="0.35">
      <c r="C37" s="47" t="s">
        <v>33</v>
      </c>
      <c r="D37" s="48">
        <f>D36*13%</f>
        <v>11284</v>
      </c>
      <c r="E37">
        <f>+D37-I4-I5-I6</f>
        <v>11284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75516</v>
      </c>
      <c r="F39" s="98">
        <f>+N32-D39</f>
        <v>884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75516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28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20-07-2026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429300</v>
      </c>
      <c r="C4" s="157">
        <f>HojaNICA!M32</f>
        <v>51550</v>
      </c>
      <c r="D4" s="150">
        <f>HojaNICA!E37</f>
        <v>55768.5</v>
      </c>
      <c r="E4" s="150">
        <f>HojaNICA!P32</f>
        <v>89500</v>
      </c>
      <c r="F4" s="150">
        <f>HojaNICA!O32</f>
        <v>93500</v>
      </c>
      <c r="G4" s="151">
        <f t="shared" ref="G4:G10" si="0">+D4-C4+F4-E4</f>
        <v>8218.5</v>
      </c>
      <c r="H4" s="21"/>
      <c r="I4" s="182"/>
    </row>
    <row r="5" spans="1:9" x14ac:dyDescent="0.35">
      <c r="A5" s="28" t="s">
        <v>19</v>
      </c>
      <c r="B5" s="156">
        <f>HojaTICA!$E$36</f>
        <v>727300</v>
      </c>
      <c r="C5" s="157">
        <f>HojaTICA!K32</f>
        <v>87300</v>
      </c>
      <c r="D5" s="150">
        <f>HojaTICA!E37</f>
        <v>94570</v>
      </c>
      <c r="E5" s="150">
        <f>HojaTICA!N32</f>
        <v>845750</v>
      </c>
      <c r="F5" s="150">
        <f>HojaTICA!D38</f>
        <v>845750</v>
      </c>
      <c r="G5" s="151">
        <f t="shared" si="0"/>
        <v>7270</v>
      </c>
      <c r="H5" s="21"/>
      <c r="I5" s="182"/>
    </row>
    <row r="6" spans="1:9" x14ac:dyDescent="0.35">
      <c r="A6" s="28" t="s">
        <v>125</v>
      </c>
      <c r="B6" s="156">
        <f>HojaREVENTADO!$E$37</f>
        <v>47700</v>
      </c>
      <c r="C6" s="157">
        <f>HojaREVENTADO!K33</f>
        <v>4770</v>
      </c>
      <c r="D6" s="150">
        <f>HojaREVENTADO!E38</f>
        <v>4770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80300</v>
      </c>
      <c r="C7" s="157">
        <f>HojaPrimera!I32</f>
        <v>9600</v>
      </c>
      <c r="D7" s="150">
        <f>HojaPrimera!E37</f>
        <v>10440</v>
      </c>
      <c r="E7" s="150">
        <f>HojaPrimera!L32</f>
        <v>25500</v>
      </c>
      <c r="F7" s="150">
        <f>HojaPrimera!K32</f>
        <v>25500</v>
      </c>
      <c r="G7" s="151">
        <f t="shared" si="0"/>
        <v>840</v>
      </c>
      <c r="H7" s="21"/>
      <c r="I7" s="21"/>
    </row>
    <row r="8" spans="1:9" x14ac:dyDescent="0.35">
      <c r="A8" s="28" t="s">
        <v>104</v>
      </c>
      <c r="B8" s="156">
        <f>HojaHonduras!$E$36</f>
        <v>61550</v>
      </c>
      <c r="C8" s="157">
        <f>HojaHonduras!K32</f>
        <v>7400</v>
      </c>
      <c r="D8" s="150">
        <f>HojaHonduras!E37</f>
        <v>8001.5</v>
      </c>
      <c r="E8" s="150">
        <f>HojaHonduras!N32</f>
        <v>0</v>
      </c>
      <c r="F8" s="150">
        <f>HojaHonduras!M32</f>
        <v>0</v>
      </c>
      <c r="G8" s="151">
        <f t="shared" si="0"/>
        <v>601.5</v>
      </c>
      <c r="H8" s="21"/>
      <c r="I8" s="21"/>
    </row>
    <row r="9" spans="1:9" x14ac:dyDescent="0.35">
      <c r="A9" s="28" t="s">
        <v>20</v>
      </c>
      <c r="B9" s="156">
        <f>HojaDominicana!$E$36</f>
        <v>86800</v>
      </c>
      <c r="C9" s="157">
        <f>HojaDominicana!I32</f>
        <v>10400</v>
      </c>
      <c r="D9" s="150">
        <f>HojaDominicana!E37</f>
        <v>11284</v>
      </c>
      <c r="E9" s="150">
        <f>HojaDominicana!L32</f>
        <v>0</v>
      </c>
      <c r="F9" s="150">
        <f>HojaDominicana!K32</f>
        <v>0</v>
      </c>
      <c r="G9" s="151">
        <f t="shared" si="0"/>
        <v>884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1432950</v>
      </c>
      <c r="C11" s="175">
        <f>SUM(C4:C10)</f>
        <v>171020</v>
      </c>
      <c r="D11" s="175">
        <f t="shared" ref="D11:F11" si="1">SUM(D4:D10)</f>
        <v>184834</v>
      </c>
      <c r="E11" s="175">
        <f t="shared" si="1"/>
        <v>960750</v>
      </c>
      <c r="F11" s="175">
        <f t="shared" si="1"/>
        <v>964750</v>
      </c>
      <c r="G11" s="176">
        <f>SUM(G4:G10)</f>
        <v>17814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2814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296000</v>
      </c>
      <c r="E16" s="157">
        <f>+Vendedor1!D21</f>
        <v>38480</v>
      </c>
      <c r="F16" s="158">
        <f>IF(D16&lt;&gt;0,15000,0)</f>
        <v>15000</v>
      </c>
      <c r="G16" s="151">
        <f>+E16-F16</f>
        <v>23480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216550</v>
      </c>
      <c r="E17" s="157">
        <f>+Vendedor2!D21</f>
        <v>28151.5</v>
      </c>
      <c r="F17" s="158">
        <f>IF(D17&lt;&gt;0,15000,0)</f>
        <v>15000</v>
      </c>
      <c r="G17" s="151">
        <f>+E17-F17</f>
        <v>13151.5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512550</v>
      </c>
      <c r="E19" s="159">
        <f>SUM(E16:E18)</f>
        <v>66631.5</v>
      </c>
      <c r="F19" s="160">
        <f>SUM(F16:F18)</f>
        <v>30000</v>
      </c>
      <c r="G19" s="161">
        <f>SUM(G16:G18)</f>
        <v>36631.5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2250</v>
      </c>
      <c r="E22" s="157">
        <f>-Vendedor24!D27</f>
        <v>270</v>
      </c>
      <c r="F22" s="158">
        <f>-Vendedor24!F27</f>
        <v>0</v>
      </c>
      <c r="G22" s="151">
        <f>+D22-E22-F22</f>
        <v>1980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41425.5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20-07-2026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522450</v>
      </c>
      <c r="C5" s="150">
        <f>HojaNICA!D37</f>
        <v>67918.5</v>
      </c>
      <c r="D5" s="150">
        <f>HojaNICA!D38</f>
        <v>93500</v>
      </c>
      <c r="E5" s="150"/>
      <c r="F5" s="151">
        <f>+B5-C5-D5+E5</f>
        <v>361031.5</v>
      </c>
      <c r="H5" s="249" t="s">
        <v>105</v>
      </c>
      <c r="I5" s="243">
        <f ca="1">TODAY()-1</f>
        <v>46223</v>
      </c>
      <c r="O5" s="119"/>
    </row>
    <row r="6" spans="1:15" ht="15" thickBot="1" x14ac:dyDescent="0.4">
      <c r="A6" s="47" t="s">
        <v>36</v>
      </c>
      <c r="B6" s="150">
        <f>HojaTICA!D36</f>
        <v>1129000</v>
      </c>
      <c r="C6" s="150">
        <f>HojaTICA!D37</f>
        <v>146770</v>
      </c>
      <c r="D6" s="150">
        <f>HojaTICA!D38</f>
        <v>845750</v>
      </c>
      <c r="E6" s="150"/>
      <c r="F6" s="151">
        <f t="shared" ref="F6:F11" si="0">+B6-C6-D6+E6</f>
        <v>136480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47700</v>
      </c>
      <c r="C7" s="150">
        <f>HojaREVENTADO!D38</f>
        <v>4770</v>
      </c>
      <c r="D7" s="150">
        <f>HojaREVENTADO!D39</f>
        <v>0</v>
      </c>
      <c r="E7" s="150"/>
      <c r="F7" s="151">
        <f t="shared" si="0"/>
        <v>42930</v>
      </c>
    </row>
    <row r="8" spans="1:15" x14ac:dyDescent="0.35">
      <c r="A8" s="47" t="s">
        <v>96</v>
      </c>
      <c r="B8" s="150">
        <f>HojaPrimera!$D36</f>
        <v>98000</v>
      </c>
      <c r="C8" s="150">
        <f>HojaPrimera!$D37</f>
        <v>12740</v>
      </c>
      <c r="D8" s="150">
        <f>HojaPrimera!$D38</f>
        <v>25500</v>
      </c>
      <c r="E8" s="150"/>
      <c r="F8" s="151">
        <f t="shared" si="0"/>
        <v>59760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61550</v>
      </c>
      <c r="C9" s="150">
        <f>HojaHonduras!$D37</f>
        <v>8001.5</v>
      </c>
      <c r="D9" s="150">
        <f>HojaHonduras!$D38</f>
        <v>0</v>
      </c>
      <c r="E9" s="150"/>
      <c r="F9" s="151">
        <f t="shared" si="0"/>
        <v>53548.5</v>
      </c>
      <c r="H9" s="250">
        <f>+K12-K10-H6</f>
        <v>729701</v>
      </c>
    </row>
    <row r="10" spans="1:15" ht="15" thickBot="1" x14ac:dyDescent="0.4">
      <c r="A10" s="47" t="s">
        <v>20</v>
      </c>
      <c r="B10" s="150">
        <f>HojaDominicana!$D36</f>
        <v>86800</v>
      </c>
      <c r="C10" s="150">
        <f>HojaDominicana!$D37</f>
        <v>11284</v>
      </c>
      <c r="D10" s="150">
        <f>HojaDominicana!$D38</f>
        <v>0</v>
      </c>
      <c r="E10" s="150"/>
      <c r="F10" s="151">
        <f t="shared" si="0"/>
        <v>75516</v>
      </c>
      <c r="H10" s="154"/>
      <c r="J10" t="s">
        <v>148</v>
      </c>
      <c r="K10" s="252">
        <v>5174900.09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5904166.0899999999</v>
      </c>
    </row>
    <row r="12" spans="1:15" ht="16" thickBot="1" x14ac:dyDescent="0.4">
      <c r="A12" s="144" t="s">
        <v>5</v>
      </c>
      <c r="B12" s="152">
        <f>SUM(B5:B11)</f>
        <v>1945500</v>
      </c>
      <c r="C12" s="152">
        <f>SUM(C5:C11)</f>
        <v>251484</v>
      </c>
      <c r="D12" s="152">
        <f>SUM(D5:D11)</f>
        <v>964750</v>
      </c>
      <c r="E12" s="152"/>
      <c r="F12" s="255">
        <f>SUM(F5:F11)</f>
        <v>729266</v>
      </c>
      <c r="H12" s="251">
        <f>K12</f>
        <v>5904601.0899999999</v>
      </c>
      <c r="J12" t="s">
        <v>140</v>
      </c>
      <c r="K12" s="254">
        <f>-896987.48-430954.91+4094209.5+3138333.98</f>
        <v>5904601.0899999999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228950</v>
      </c>
      <c r="K4" s="231">
        <f t="shared" ref="K4" si="0">D7+D11+D15</f>
        <v>29763.5</v>
      </c>
      <c r="L4" s="220">
        <f>F7+F11+F15</f>
        <v>556750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IF(DigitaNICA!C4&lt;&gt;"",DigitaNICA!C4,"")</f>
        <v>21550</v>
      </c>
      <c r="D5" s="42">
        <f>IF(C5="",0,C5*J$10)</f>
        <v>2801.5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18748.5</v>
      </c>
      <c r="I5" s="241" t="s">
        <v>37</v>
      </c>
      <c r="J5" s="221">
        <f>SUM(IF(C5="",0,C5),IF(C9="",0,C9),IF(C13="",0,C13),IF(C17="",0,C17))</f>
        <v>61350</v>
      </c>
      <c r="K5" s="225">
        <f t="shared" ref="K5" si="2">D5+D9+D13+D17</f>
        <v>7975.5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5700</v>
      </c>
      <c r="K6" s="228">
        <f>D19+D20</f>
        <v>741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IF(DigitaTICA!C4&lt;&gt;"",DigitaTICA!C4,"")</f>
        <v>90300</v>
      </c>
      <c r="D7" s="42">
        <f>IF(C7="",0,C7*J$9)</f>
        <v>11739</v>
      </c>
      <c r="E7" s="29">
        <f>IF(DigitaTICA!D4&lt;&gt;"",DigitaTICA!D4,"")</f>
        <v>2800</v>
      </c>
      <c r="F7" s="42">
        <f>IF(E7="",0,E7*PREMIOS!F7)</f>
        <v>238000</v>
      </c>
      <c r="G7" s="30">
        <f t="shared" si="1"/>
        <v>-159439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IF(DigitaNICA!E4&lt;&gt;"",DigitaNICA!E4,"")</f>
        <v>24700</v>
      </c>
      <c r="D9" s="42">
        <f>IF(C9="",0,C9*J$10)</f>
        <v>3211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21489</v>
      </c>
      <c r="I9" s="76" t="s">
        <v>36</v>
      </c>
      <c r="J9" s="77">
        <v>0.13</v>
      </c>
      <c r="K9" s="78">
        <f>MROUND(D7+D11+D15,50)</f>
        <v>29750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8000</v>
      </c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IF(DigitaTICA!E4&lt;&gt;"",DigitaTICA!E4,"")</f>
        <v>32050</v>
      </c>
      <c r="D11" s="42">
        <f>IF(C11="",0,C11*J$9)</f>
        <v>4166.5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6633.5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2">
        <f>IF(DigitaNICA!G2&lt;&gt;"",DigitaNICA!G2,"")</f>
        <v>81</v>
      </c>
      <c r="C13" s="29">
        <f>IF(DigitaNICA!G4&lt;&gt;"",DigitaNICA!G4,"")</f>
        <v>15100</v>
      </c>
      <c r="D13" s="42">
        <f>IF(C13="",0,C13*J$10)</f>
        <v>1963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13137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IF(DigitaTICA!G4&lt;&gt;"",DigitaTICA!G4,"")</f>
        <v>106600</v>
      </c>
      <c r="D15" s="42">
        <f>IF(C15="",0,C15*J$9)</f>
        <v>13858</v>
      </c>
      <c r="E15" s="29">
        <f>IF(DigitaTICA!H4&lt;&gt;"",DigitaTICA!H4,"")</f>
        <v>3500</v>
      </c>
      <c r="F15" s="42">
        <f>IF(E15="",0,E15*PREMIOS!F15)</f>
        <v>297500</v>
      </c>
      <c r="G15" s="30">
        <f t="shared" si="3"/>
        <v>-204758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IF(DigitaPRIMERA!C4&lt;&gt;"",DigitaPRIMERA!C4,"")</f>
        <v>5700</v>
      </c>
      <c r="D19" s="42">
        <f>IF(C19="",0,C19*J$12)</f>
        <v>741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4959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296000</v>
      </c>
      <c r="D21" s="122">
        <f t="shared" ref="D21:G21" si="6">SUM(D5:D20)</f>
        <v>38480</v>
      </c>
      <c r="E21" s="122">
        <f t="shared" si="6"/>
        <v>6550</v>
      </c>
      <c r="F21" s="122">
        <f t="shared" si="6"/>
        <v>556750</v>
      </c>
      <c r="G21" s="123">
        <f t="shared" si="6"/>
        <v>-299230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172750</v>
      </c>
      <c r="K4" s="231">
        <f t="shared" ref="K4" si="0">D7+D11+D15</f>
        <v>22457.5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IF(DigitaNICA!C5&lt;&gt;"",DigitaNICA!C5,"")</f>
        <v>10900</v>
      </c>
      <c r="D5" s="42">
        <f>IF(C5="",0,C5*J$10)</f>
        <v>1417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9483</v>
      </c>
      <c r="I5" s="241" t="s">
        <v>37</v>
      </c>
      <c r="J5" s="221">
        <f>SUM(IF(C5="",0,C5),IF(C9="",0,C9),IF(C13="",0,C13),IF(C17="",0,C17))</f>
        <v>31800</v>
      </c>
      <c r="K5" s="225">
        <f t="shared" ref="K5" si="2">D5+D9+D13+D17</f>
        <v>4134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12000</v>
      </c>
      <c r="K6" s="228">
        <f>D19+D20</f>
        <v>1560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IF(DigitaTICA!C5&lt;&gt;"",DigitaTICA!C5,"")</f>
        <v>81700</v>
      </c>
      <c r="D7" s="42">
        <f>IF(C7="",0,C7*J$9)</f>
        <v>10621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71079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IF(DigitaNICA!E5&lt;&gt;"",DigitaNICA!E5,"")</f>
        <v>18650</v>
      </c>
      <c r="D9" s="42">
        <f>IF(C9="",0,C9*J$10)</f>
        <v>2424.5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16225.5</v>
      </c>
      <c r="I9" s="60" t="s">
        <v>36</v>
      </c>
      <c r="J9" s="61">
        <v>0.13</v>
      </c>
      <c r="K9" s="62">
        <f>MROUND(D7+D11+D15,50)</f>
        <v>22450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4150</v>
      </c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IF(DigitaTICA!E5&lt;&gt;"",DigitaTICA!E5,"")</f>
        <v>16350</v>
      </c>
      <c r="D11" s="42">
        <f>IF(C11="",0,C11*J$9)</f>
        <v>2125.5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-7025.5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1550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IF(DigitaTICA!G5&lt;&gt;"",DigitaTICA!G5,"")</f>
        <v>74700</v>
      </c>
      <c r="D15" s="42">
        <f>IF(C15="",0,C15*J$9)</f>
        <v>9711</v>
      </c>
      <c r="E15" s="29">
        <f>IF(DigitaTICA!H5&lt;&gt;"",DigitaTICA!H5,"")</f>
        <v>2000</v>
      </c>
      <c r="F15" s="42">
        <f>IF(E15="",0,E15*PREMIOS!F15)</f>
        <v>170000</v>
      </c>
      <c r="G15" s="30">
        <f t="shared" si="3"/>
        <v>-105011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>
        <f>IF(DigitaNICA!I5&lt;&gt;"",DigitaNICA!I5,"")</f>
        <v>2250</v>
      </c>
      <c r="D17" s="42">
        <f>IF(C17="",0,C17*J$10)</f>
        <v>292.5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1957.5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IF(DigitaPRIMERA!C5&lt;&gt;"",DigitaPRIMERA!C5,"")</f>
        <v>12000</v>
      </c>
      <c r="D19" s="42">
        <f>IF(C19="",0,C19*J$12)</f>
        <v>1560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10440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216550</v>
      </c>
      <c r="D21" s="68">
        <f t="shared" ref="D21:G21" si="4">SUM(D5:D20)</f>
        <v>28151.5</v>
      </c>
      <c r="E21" s="68">
        <f t="shared" si="4"/>
        <v>2250</v>
      </c>
      <c r="F21" s="68">
        <f t="shared" si="4"/>
        <v>191250</v>
      </c>
      <c r="G21" s="88">
        <f t="shared" si="4"/>
        <v>-2851.5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125500</v>
      </c>
      <c r="K4" s="231">
        <f t="shared" ref="K4" si="0">D7+D11+D15</f>
        <v>15060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IF(DigitaNICA!C8&lt;&gt;"",DigitaNICA!C8,"")</f>
        <v>47350</v>
      </c>
      <c r="D5" s="42">
        <f>IF(C5="",0,C5*J$12)</f>
        <v>5682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41668</v>
      </c>
      <c r="I5" s="241" t="s">
        <v>37</v>
      </c>
      <c r="J5" s="221">
        <f>SUM(IF(C5="",0,C5),IF(C9="",0,C9),IF(C13="",0,C13),IF(C17="",0,C17))</f>
        <v>124200</v>
      </c>
      <c r="K5" s="225">
        <f t="shared" ref="K5" si="2">D5+D9+D13+D17</f>
        <v>14904</v>
      </c>
      <c r="L5" s="222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IF(DigitaTICA!C8&lt;&gt;"",DigitaTICA!C8,"")</f>
        <v>43850</v>
      </c>
      <c r="D7" s="42">
        <f>IF(C7="",0,C7*J$11)</f>
        <v>5262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-3912</v>
      </c>
      <c r="I7" s="242" t="s">
        <v>96</v>
      </c>
      <c r="J7" s="224">
        <f>SUM(IF(C19="",0,C19),IF(C20="",0,C20))</f>
        <v>40600</v>
      </c>
      <c r="K7" s="228">
        <f>+D19+D20</f>
        <v>4872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IF(DigitaNICA!E8&lt;&gt;"",DigitaNICA!E8,"")</f>
        <v>35250</v>
      </c>
      <c r="D9" s="42">
        <f>IF(C9="",0,C9*J$12)</f>
        <v>4230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31020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IF(DigitaTICA!E8&lt;&gt;"",DigitaTICA!E8,"")</f>
        <v>30650</v>
      </c>
      <c r="D11" s="42">
        <f>IF(C11="",0,C11*J$11)</f>
        <v>3678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26972</v>
      </c>
      <c r="I11" s="60" t="s">
        <v>36</v>
      </c>
      <c r="J11" s="61">
        <v>0.12</v>
      </c>
      <c r="K11" s="62">
        <f>MROUND(D7+D11+D15,50)</f>
        <v>15050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14900</v>
      </c>
    </row>
    <row r="13" spans="1:12" x14ac:dyDescent="0.35">
      <c r="A13" s="28" t="s">
        <v>50</v>
      </c>
      <c r="B13" s="132">
        <f>IF(DigitaNICA!G2&lt;&gt;"",DigitaNICA!G2,"")</f>
        <v>81</v>
      </c>
      <c r="C13" s="29">
        <f>IF(DigitaNICA!G8&lt;&gt;"",DigitaNICA!G8,"")</f>
        <v>10800</v>
      </c>
      <c r="D13" s="42">
        <f>IF(C13="",0,C13*J$12)</f>
        <v>1296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9504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4850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IF(DigitaTICA!G8&lt;&gt;"",DigitaTICA!G8,"")</f>
        <v>51000</v>
      </c>
      <c r="D15" s="42">
        <f>IF(C15="",0,C15*J$11)</f>
        <v>6120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44880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>
        <f>IF(DigitaNICA!I8&lt;&gt;"",DigitaNICA!I8,"")</f>
        <v>30800</v>
      </c>
      <c r="D17" s="42">
        <f>IF(C17="",0,C17*J$12)</f>
        <v>3696</v>
      </c>
      <c r="E17" s="29">
        <f>IF(DigitaNICA!J8&lt;&gt;"",DigitaNICA!J8,"")</f>
        <v>600</v>
      </c>
      <c r="F17" s="42">
        <f>IF(E17="",0,E17*PREMIOS!E17)</f>
        <v>48000</v>
      </c>
      <c r="G17" s="30">
        <f t="shared" si="4"/>
        <v>-20896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IF(DigitaPRIMERA!C8&lt;&gt;"",DigitaPRIMERA!C8,"")</f>
        <v>31000</v>
      </c>
      <c r="D19" s="42">
        <f>IF(C19="",0,C19*J$14)</f>
        <v>3720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27280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>
        <f>IF(DigitaPRIMERA!E8&lt;&gt;"",DigitaPRIMERA!E8,"")</f>
        <v>9600</v>
      </c>
      <c r="D20" s="42">
        <f>IF(C20="",0,C20*J$14)</f>
        <v>1152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8448</v>
      </c>
    </row>
    <row r="21" spans="1:7" ht="15" thickBot="1" x14ac:dyDescent="0.4">
      <c r="A21" s="121" t="s">
        <v>5</v>
      </c>
      <c r="B21" s="128"/>
      <c r="C21" s="122">
        <f>SUM(C5:C20)</f>
        <v>290300</v>
      </c>
      <c r="D21" s="122">
        <f t="shared" ref="D21:G21" si="5">SUM(D5:D20)</f>
        <v>34836</v>
      </c>
      <c r="E21" s="122">
        <f t="shared" si="5"/>
        <v>1100</v>
      </c>
      <c r="F21" s="122">
        <f t="shared" si="5"/>
        <v>90500</v>
      </c>
      <c r="G21" s="123">
        <f t="shared" si="5"/>
        <v>164964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315000</v>
      </c>
      <c r="K4" s="231">
        <f t="shared" ref="K4" si="0">D7+D11+D15</f>
        <v>37800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IF(DigitaNICA!C10&lt;&gt;"",DigitaNICA!C10,"")</f>
        <v>72350</v>
      </c>
      <c r="D5" s="42">
        <f>IF(C5="",0,C5*J$15)</f>
        <v>8682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38168</v>
      </c>
      <c r="I5" s="217" t="s">
        <v>37</v>
      </c>
      <c r="J5" s="221">
        <f>SUM(IF(C5="",0,C5),IF(C9="",0,C9),IF(C13="",0,C13),IF(C17="",0,C17))</f>
        <v>220900</v>
      </c>
      <c r="K5" s="225">
        <f t="shared" ref="K5" si="2">D5+D9+D13+D17</f>
        <v>26508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45700</v>
      </c>
      <c r="K6" s="226">
        <f t="shared" ref="K6" si="3">+D8+D12+D16</f>
        <v>4570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29">
        <f>IF(DigitaTICA!C10&lt;&gt;"",DigitaTICA!C10,"")</f>
        <v>102400</v>
      </c>
      <c r="D7" s="42">
        <f>IF(C7="",0,C7*J$14)</f>
        <v>12288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90112</v>
      </c>
      <c r="I7" s="217" t="s">
        <v>96</v>
      </c>
      <c r="J7" s="223">
        <f>SUM(IF(C19="",0,C19),IF(C20="",0,C20))</f>
        <v>23400</v>
      </c>
      <c r="K7" s="226">
        <f>+D19+D20</f>
        <v>2808</v>
      </c>
      <c r="L7" s="227">
        <f>+F19+F20</f>
        <v>25500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17050</v>
      </c>
      <c r="D8" s="42">
        <f>IF(C8="",0,C8*J$16)</f>
        <v>1705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15345</v>
      </c>
      <c r="I8" s="217" t="s">
        <v>104</v>
      </c>
      <c r="J8" s="223">
        <f>SUM(IF(C21="",0,C21),IF(C22="",0,C22),IF(C23="",0,C23))</f>
        <v>61550</v>
      </c>
      <c r="K8" s="226">
        <f t="shared" ref="K8" si="4">D21+D22+D23</f>
        <v>7386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IF(DigitaNICA!E10&lt;&gt;"",DigitaNICA!E10,"")</f>
        <v>53250</v>
      </c>
      <c r="D9" s="42">
        <f>IF(C9="",0,C9*J$15)</f>
        <v>6390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46860</v>
      </c>
      <c r="I9" s="217" t="s">
        <v>20</v>
      </c>
      <c r="J9" s="223">
        <f>SUM(IF(C24="",0,C24),IF(C25="",0,C25))</f>
        <v>86800</v>
      </c>
      <c r="K9" s="226">
        <f t="shared" ref="K9" si="5">+D24+D25</f>
        <v>10416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IF(DigitaTICA!E10&lt;&gt;"",DigitaTICA!E10,"")</f>
        <v>73700</v>
      </c>
      <c r="D11" s="42">
        <f>IF(C11="",0,C11*J$14)</f>
        <v>8844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64856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12200</v>
      </c>
      <c r="D12" s="42">
        <f>IF(C12="",0,C12*J$16)</f>
        <v>1220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10980</v>
      </c>
    </row>
    <row r="13" spans="1:12" ht="15" thickBot="1" x14ac:dyDescent="0.4">
      <c r="A13" s="28" t="s">
        <v>50</v>
      </c>
      <c r="B13" s="132">
        <f>IF(DigitaNICA!G2&lt;&gt;"",DigitaNICA!G2,"")</f>
        <v>81</v>
      </c>
      <c r="C13" s="29">
        <f>IF(DigitaNICA!G10&lt;&gt;"",DigitaNICA!G10,"")</f>
        <v>27650</v>
      </c>
      <c r="D13" s="42">
        <f>IF(C13="",0,C13*J$15)</f>
        <v>3318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24332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37800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IF(DigitaTICA!G10&lt;&gt;"",DigitaTICA!G10,"")</f>
        <v>138900</v>
      </c>
      <c r="D15" s="42">
        <f>IF(C15="",0,C15*J$14)</f>
        <v>16668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122232</v>
      </c>
      <c r="I15" s="63" t="s">
        <v>37</v>
      </c>
      <c r="J15" s="64">
        <v>0.12</v>
      </c>
      <c r="K15" s="30">
        <f>MROUND(D5+D9+D13+D17,50)</f>
        <v>26500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16450</v>
      </c>
      <c r="D16" s="42">
        <f>IF(C16="",0,C16*J$16)</f>
        <v>1645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14805</v>
      </c>
      <c r="I16" s="63" t="s">
        <v>38</v>
      </c>
      <c r="J16" s="64">
        <v>0.1</v>
      </c>
      <c r="K16" s="30">
        <f>MROUND(D6+D8+D10+D12+D14+D16+D18,50)</f>
        <v>4550</v>
      </c>
    </row>
    <row r="17" spans="1:11" x14ac:dyDescent="0.35">
      <c r="A17" s="28" t="s">
        <v>52</v>
      </c>
      <c r="B17" s="132">
        <f>IF(DigitaNICA!I2&lt;&gt;"",DigitaNICA!I2,"")</f>
        <v>98</v>
      </c>
      <c r="C17" s="29">
        <f>IF(DigitaNICA!I10&lt;&gt;"",DigitaNICA!I10,"")</f>
        <v>67650</v>
      </c>
      <c r="D17" s="42">
        <f>IF(C17="",0,C17*J$15)</f>
        <v>8118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59532</v>
      </c>
      <c r="I17" s="63" t="s">
        <v>96</v>
      </c>
      <c r="J17" s="64">
        <v>0.12</v>
      </c>
      <c r="K17" s="30">
        <f>MROUND(D19+D20,50)</f>
        <v>2800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7400</v>
      </c>
    </row>
    <row r="19" spans="1:11" x14ac:dyDescent="0.35">
      <c r="A19" s="28" t="s">
        <v>97</v>
      </c>
      <c r="B19" s="132">
        <f>IF(DigitaPRIMERA!C2&lt;&gt;"",DigitaPRIMERA!C2,"")</f>
        <v>69</v>
      </c>
      <c r="C19" s="29">
        <f>IF(DigitaPRIMERA!$C$10&lt;&gt;"",DigitaPRIMERA!$C$10,"")</f>
        <v>18300</v>
      </c>
      <c r="D19" s="42">
        <f>IF(C19="",0,C19*J$17)</f>
        <v>2196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-9396</v>
      </c>
      <c r="I19" s="63" t="s">
        <v>20</v>
      </c>
      <c r="J19" s="64">
        <v>0.12</v>
      </c>
      <c r="K19" s="30">
        <f>MROUND(D24+D25,50)</f>
        <v>10400</v>
      </c>
    </row>
    <row r="20" spans="1:11" ht="15" thickBot="1" x14ac:dyDescent="0.4">
      <c r="A20" s="28" t="s">
        <v>98</v>
      </c>
      <c r="B20" s="132">
        <f>IF(DigitaPRIMERA!E2&lt;&gt;"",DigitaPRIMERA!E2,"")</f>
        <v>12</v>
      </c>
      <c r="C20" s="29">
        <f>IF(DigitaPRIMERA!$E$10&lt;&gt;"",DigitaPRIMERA!$E$10,"")</f>
        <v>5100</v>
      </c>
      <c r="D20" s="42">
        <f>IF(C20="",0,C20*J$17)</f>
        <v>612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4488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49</v>
      </c>
      <c r="C21" s="29">
        <f>IF(DigitaHONDURAS!$C$10&lt;&gt;"",DigitaHONDURAS!$C$10,"")</f>
        <v>31600</v>
      </c>
      <c r="D21" s="42">
        <f>IF(C21="",0,C21*J$18)</f>
        <v>3792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27808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>
        <f>IF(DigitaHONDURAS!$E$10&lt;&gt;"",DigitaHONDURAS!$E$10,"")</f>
        <v>800</v>
      </c>
      <c r="D22" s="42">
        <f>IF(C22="",0,C22*J$18)</f>
        <v>96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704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>
        <f>IF(DigitaHONDURAS!$G$10&lt;&gt;"",DigitaHONDURAS!$G$10,"")</f>
        <v>29150</v>
      </c>
      <c r="D23" s="42">
        <f>IF(C23="",0,C23*J$18)</f>
        <v>3498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25652</v>
      </c>
    </row>
    <row r="24" spans="1:11" x14ac:dyDescent="0.35">
      <c r="A24" s="28" t="s">
        <v>107</v>
      </c>
      <c r="B24" s="132">
        <f>IF(DigitaDOMINICANA!C2&lt;&gt;"",DigitaDOMINICANA!C2,"")</f>
        <v>24</v>
      </c>
      <c r="C24" s="29">
        <f>IF(DigitaDOMINICANA!$C$10&lt;&gt;"",DigitaDOMINICANA!$C$10,"")</f>
        <v>43000</v>
      </c>
      <c r="D24" s="42">
        <f>IF(C24="",0,C24*J$19)</f>
        <v>5160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37840</v>
      </c>
    </row>
    <row r="25" spans="1:11" x14ac:dyDescent="0.35">
      <c r="A25" s="28" t="s">
        <v>108</v>
      </c>
      <c r="B25" s="132">
        <f>IF(DigitaDOMINICANA!E2&lt;&gt;"",DigitaDOMINICANA!E2,"")</f>
        <v>78</v>
      </c>
      <c r="C25" s="29">
        <f>IF(DigitaDOMINICANA!$E$10&lt;&gt;"",DigitaDOMINICANA!$E$10,"")</f>
        <v>43800</v>
      </c>
      <c r="D25" s="42">
        <f>IF(C25="",0,C25*J$19)</f>
        <v>5256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38544</v>
      </c>
    </row>
    <row r="26" spans="1:11" x14ac:dyDescent="0.35">
      <c r="A26" s="28" t="s">
        <v>21</v>
      </c>
      <c r="B26" s="132">
        <f>IF(DigitaPANAMENA!C2&lt;&gt;"",DigitaPANAMENA!C2,"")</f>
        <v>28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753350</v>
      </c>
      <c r="D27" s="68">
        <f t="shared" ref="D27:F27" si="9">SUM(D5:D26)</f>
        <v>89488</v>
      </c>
      <c r="E27" s="68">
        <f t="shared" si="9"/>
        <v>600</v>
      </c>
      <c r="F27" s="68">
        <f t="shared" si="9"/>
        <v>51000</v>
      </c>
      <c r="G27" s="88">
        <f>SUM(G5:G26)</f>
        <v>612862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20000</v>
      </c>
      <c r="K4" s="231">
        <f t="shared" ref="K4" si="0">D7+D11+D15</f>
        <v>2400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2400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IF(DigitaTICA!G11&lt;&gt;"",DigitaTICA!G11,"")</f>
        <v>18000</v>
      </c>
      <c r="D15" s="42">
        <f>IF(C15="",0,C15*J$11)</f>
        <v>2160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15840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20000</v>
      </c>
      <c r="D21" s="122">
        <f t="shared" ref="D21:G21" si="5">SUM(D5:D20)</f>
        <v>2400</v>
      </c>
      <c r="E21" s="122">
        <f t="shared" si="5"/>
        <v>0</v>
      </c>
      <c r="F21" s="122">
        <f t="shared" si="5"/>
        <v>0</v>
      </c>
      <c r="G21" s="123">
        <f t="shared" si="5"/>
        <v>17600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49700</v>
      </c>
      <c r="K4" s="231">
        <f>D7+D11+D15</f>
        <v>5964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IF(DigitaNICA!C12&lt;&gt;"",DigitaNICA!C12,"")</f>
        <v>6900</v>
      </c>
      <c r="D5" s="42">
        <f>IF(C5="",0,C5*J$12)</f>
        <v>828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6072</v>
      </c>
      <c r="I5" s="217" t="s">
        <v>37</v>
      </c>
      <c r="J5" s="221">
        <f>SUM(IF(C5="",0,C5),IF(C9="",0,C9),IF(C13="",0,C13),IF(C17="",0,C17))</f>
        <v>11500</v>
      </c>
      <c r="K5" s="225">
        <f t="shared" ref="K5" si="1">D5+D9+D13+D17</f>
        <v>1380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1000</v>
      </c>
      <c r="K6" s="226">
        <f t="shared" ref="K6" si="2">+D8+D12+D16</f>
        <v>100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29">
        <f>IF(DigitaTICA!C12&lt;&gt;"",DigitaTICA!C12,"")</f>
        <v>25200</v>
      </c>
      <c r="D7" s="42">
        <f>IF(C7="",0,C7*J$11)</f>
        <v>3024</v>
      </c>
      <c r="E7" s="29">
        <f>IF(DigitaTICA!D12&lt;&gt;"",DigitaTICA!D12,"")</f>
        <v>100</v>
      </c>
      <c r="F7" s="42">
        <f>IF(E7="",0,E7*PREMIOS!F7)</f>
        <v>8500</v>
      </c>
      <c r="G7" s="30">
        <f t="shared" si="0"/>
        <v>13676</v>
      </c>
      <c r="I7" s="217" t="s">
        <v>96</v>
      </c>
      <c r="J7" s="223">
        <f>SUM(IF(C19="",0,C19),IF(C20="",0,C20))</f>
        <v>16300</v>
      </c>
      <c r="K7" s="226">
        <f>+D19+D20</f>
        <v>1956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IF(DigitaNICA!E12&lt;&gt;"",DigitaNICA!E12,"")</f>
        <v>4600</v>
      </c>
      <c r="D9" s="42">
        <f>IF(C9="",0,C9*J$12)</f>
        <v>552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4048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IF(DigitaTICA!E12&lt;&gt;"",DigitaTICA!E12,"")</f>
        <v>9100</v>
      </c>
      <c r="D11" s="42">
        <f>IF(C11="",0,C11*J$11)</f>
        <v>1092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8008</v>
      </c>
      <c r="I11" s="60" t="s">
        <v>36</v>
      </c>
      <c r="J11" s="61">
        <v>0.12</v>
      </c>
      <c r="K11" s="62">
        <f>MROUND(D7+D11+D15,50)</f>
        <v>5950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1400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1950</v>
      </c>
    </row>
    <row r="15" spans="1:12" ht="15" thickBot="1" x14ac:dyDescent="0.4">
      <c r="A15" s="28" t="s">
        <v>61</v>
      </c>
      <c r="B15" s="132">
        <f>IF(DigitaTICA!G2&lt;&gt;"",DigitaTICA!G2,"")</f>
        <v>73</v>
      </c>
      <c r="C15" s="29">
        <f>IF(DigitaTICA!G12&lt;&gt;"",DigitaTICA!G12,"")</f>
        <v>15400</v>
      </c>
      <c r="D15" s="42">
        <f>IF(C15="",0,C15*J$11)</f>
        <v>1848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13552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IF(DigitaPRIMERA!$C$12&lt;&gt;"",DigitaPRIMERA!$C$12,"")</f>
        <v>16300</v>
      </c>
      <c r="D19" s="42">
        <f>IF(C19="",0,C19*J$14)</f>
        <v>1956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14344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78500</v>
      </c>
      <c r="D24" s="68">
        <f t="shared" ref="D24:G24" si="4">SUM(D5:D23)</f>
        <v>9400</v>
      </c>
      <c r="E24" s="68">
        <f t="shared" si="4"/>
        <v>100</v>
      </c>
      <c r="F24" s="68">
        <f t="shared" si="4"/>
        <v>8500</v>
      </c>
      <c r="G24" s="88">
        <f t="shared" si="4"/>
        <v>60600</v>
      </c>
    </row>
    <row r="27" spans="1:7" x14ac:dyDescent="0.35">
      <c r="G27" s="21">
        <v>237767</v>
      </c>
    </row>
    <row r="28" spans="1:7" x14ac:dyDescent="0.35">
      <c r="G28" s="141">
        <f>+G24+G27</f>
        <v>298367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137300</v>
      </c>
      <c r="K4" s="231">
        <f t="shared" ref="K4" si="0">D7+D11+D15</f>
        <v>16476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44</v>
      </c>
      <c r="C5" s="29">
        <f>IF(DigitaNICA!C13&lt;&gt;"",DigitaNICA!C13,"")</f>
        <v>30600</v>
      </c>
      <c r="D5" s="42">
        <f>IF(C5="",0,C5*J$10)</f>
        <v>3672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26928</v>
      </c>
      <c r="I5" s="218" t="s">
        <v>37</v>
      </c>
      <c r="J5" s="232">
        <f>SUM(IF(C5="",0,C5),IF(C9="",0,C9),IF(C13="",0,C13),IF(C17="",0,C17))</f>
        <v>58150</v>
      </c>
      <c r="K5" s="233">
        <f t="shared" ref="K5" si="2">D5+D9+D13+D17</f>
        <v>6978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IF(DigitaTICA!C13&lt;&gt;"",DigitaTICA!C13,"")</f>
        <v>46750</v>
      </c>
      <c r="D7" s="42">
        <f>IF(C7="",0,C7*J$9)</f>
        <v>5610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41140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IF(DigitaNICA!E13&lt;&gt;"",DigitaNICA!E13,"")</f>
        <v>21450</v>
      </c>
      <c r="D9" s="42">
        <f>IF(C9="",0,C9*J$10)</f>
        <v>2574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18876</v>
      </c>
      <c r="I9" s="60" t="s">
        <v>36</v>
      </c>
      <c r="J9" s="61">
        <v>0.12</v>
      </c>
      <c r="K9" s="62">
        <f>MROUND(D7+D11+D15,50)</f>
        <v>16500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7000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29">
        <f>IF(DigitaTICA!E13&lt;&gt;"",DigitaTICA!E13,"")</f>
        <v>25700</v>
      </c>
      <c r="D11" s="42">
        <f>IF(C11="",0,C11*J$9)</f>
        <v>3084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22616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81</v>
      </c>
      <c r="C13" s="29">
        <f>IF(DigitaNICA!G13&lt;&gt;"",DigitaNICA!G13,"")</f>
        <v>6100</v>
      </c>
      <c r="D13" s="42">
        <f>IF(C13="",0,C13*J$10)</f>
        <v>732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5368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IF(DigitaTICA!G13&lt;&gt;"",DigitaTICA!G13,"")</f>
        <v>64850</v>
      </c>
      <c r="D15" s="42">
        <f>IF(C15="",0,C15*J$9)</f>
        <v>7782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31568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195450</v>
      </c>
      <c r="D19" s="68">
        <f>MROUND(SUM(D5:D18),50)</f>
        <v>23450</v>
      </c>
      <c r="E19" s="68">
        <f>SUM(E5:E18)</f>
        <v>300</v>
      </c>
      <c r="F19" s="68">
        <f>SUM(F5:F18)</f>
        <v>25500</v>
      </c>
      <c r="G19" s="88">
        <f>SUM(G5:G18)</f>
        <v>146496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79800</v>
      </c>
      <c r="K4" s="231">
        <f>D7+D11+D15</f>
        <v>9576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16800</v>
      </c>
      <c r="K5" s="225">
        <f t="shared" ref="K5" si="1">D5+D9+D13+D17</f>
        <v>2016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29">
        <f>IF(DigitaTICA!C16&lt;&gt;"",DigitaTICA!C16,"")</f>
        <v>25600</v>
      </c>
      <c r="D7" s="42">
        <f>IF(C7="",0,C7*J$11)</f>
        <v>3072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22528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IF(DigitaNICA!E16&lt;&gt;"",DigitaNICA!E16,"")</f>
        <v>700</v>
      </c>
      <c r="D9" s="42">
        <f>IF(C9="",0,C9*J$12)</f>
        <v>84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IF(DigitaTICA!E16&lt;&gt;"",DigitaTICA!E16,"")</f>
        <v>13250</v>
      </c>
      <c r="D11" s="42">
        <f>IF(C11="",0,C11*J$11)</f>
        <v>1590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-9590</v>
      </c>
      <c r="I11" s="76" t="s">
        <v>36</v>
      </c>
      <c r="J11" s="77">
        <v>0.12</v>
      </c>
      <c r="K11" s="78">
        <f>MROUND(D7+D11+D15,50)</f>
        <v>9600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2000</v>
      </c>
    </row>
    <row r="13" spans="1:12" x14ac:dyDescent="0.35">
      <c r="A13" s="28" t="s">
        <v>50</v>
      </c>
      <c r="B13" s="132">
        <f>IF(DigitaNICA!G2&lt;&gt;"",DigitaNICA!G2,"")</f>
        <v>81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73</v>
      </c>
      <c r="C15" s="29">
        <f>IF(DigitaTICA!G16&lt;&gt;"",DigitaTICA!G16,"")</f>
        <v>40950</v>
      </c>
      <c r="D15" s="42">
        <f>IF(C15="",0,C15*J$11)</f>
        <v>4914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36036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98</v>
      </c>
      <c r="C17" s="29">
        <f>IF(DigitaNICA!I16&lt;&gt;"",DigitaNICA!I16,"")</f>
        <v>16100</v>
      </c>
      <c r="D17" s="42">
        <f>IF(C17="",0,C17*J$12)</f>
        <v>1932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-1832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97600</v>
      </c>
      <c r="D24" s="122">
        <f t="shared" ref="D24:G24" si="5">SUM(D5:D23)</f>
        <v>11692</v>
      </c>
      <c r="E24" s="122">
        <f t="shared" si="5"/>
        <v>450</v>
      </c>
      <c r="F24" s="122">
        <f t="shared" si="5"/>
        <v>37250</v>
      </c>
      <c r="G24" s="123">
        <f t="shared" si="5"/>
        <v>48658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81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98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12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49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28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81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98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12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49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28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-250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>
        <f>IF(DigitaNICA!I27&lt;&gt;"",DigitaNICA!I27,"")</f>
        <v>-2250</v>
      </c>
      <c r="D17" s="42">
        <f>IF(C17="",0,C17*J$10)</f>
        <v>-270</v>
      </c>
      <c r="E17" s="29">
        <f>IF(DigitaNICA!J27&lt;&gt;"",DigitaNICA!J27,"")</f>
        <v>0</v>
      </c>
      <c r="F17" s="42">
        <f>IF(E17="",0,E17*PREMIOS!F17)</f>
        <v>0</v>
      </c>
      <c r="G17" s="30">
        <f t="shared" si="1"/>
        <v>-1980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-2250</v>
      </c>
      <c r="D27" s="68">
        <f t="shared" ref="D27:G27" si="2">SUM(D5:D26)</f>
        <v>-270</v>
      </c>
      <c r="E27" s="68">
        <f t="shared" si="2"/>
        <v>0</v>
      </c>
      <c r="F27" s="68">
        <f t="shared" si="2"/>
        <v>0</v>
      </c>
      <c r="G27" s="88">
        <f t="shared" si="2"/>
        <v>-1980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62</v>
      </c>
      <c r="D2" s="268"/>
      <c r="E2" s="267">
        <f>IF(PREMIOS!$B11="","",PREMIOS!$B11)</f>
        <v>43</v>
      </c>
      <c r="F2" s="268"/>
      <c r="G2" s="267">
        <f>IF(PREMIOS!$B15="","",PREMIOS!$B15)</f>
        <v>73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90300</v>
      </c>
      <c r="D4" s="78">
        <v>2800</v>
      </c>
      <c r="E4" s="189">
        <v>32050</v>
      </c>
      <c r="F4" s="78">
        <v>250</v>
      </c>
      <c r="G4" s="189">
        <v>106600</v>
      </c>
      <c r="H4" s="78">
        <v>3500</v>
      </c>
      <c r="J4" s="42">
        <f t="shared" ref="J4:J8" si="0">+C4+E4+G4</f>
        <v>228950</v>
      </c>
      <c r="K4" s="42">
        <f>IF(D4="",0,IF(F4="",D4,IF(H4="",D4+F4,D4+F4+H4)))</f>
        <v>6550</v>
      </c>
    </row>
    <row r="5" spans="1:11" x14ac:dyDescent="0.35">
      <c r="A5" s="47">
        <v>2</v>
      </c>
      <c r="B5" s="178" t="str">
        <f>Vendedor2!$B$2</f>
        <v>PUESTO 2</v>
      </c>
      <c r="C5" s="180">
        <v>81700</v>
      </c>
      <c r="D5" s="30">
        <f t="shared" ref="D5:H27" si="1">IF(C5="","",0)</f>
        <v>0</v>
      </c>
      <c r="E5" s="180">
        <v>16350</v>
      </c>
      <c r="F5" s="30">
        <v>250</v>
      </c>
      <c r="G5" s="180">
        <v>74700</v>
      </c>
      <c r="H5" s="30">
        <v>2000</v>
      </c>
      <c r="J5" s="42">
        <f t="shared" si="0"/>
        <v>172750</v>
      </c>
      <c r="K5" s="42">
        <f t="shared" ref="K5:K27" si="2">IF(D5="",0,IF(F5="",D5,IF(H5="",D5+F5,D5+F5+H5)))</f>
        <v>2250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43850</v>
      </c>
      <c r="D8" s="30">
        <v>500</v>
      </c>
      <c r="E8" s="180">
        <v>30650</v>
      </c>
      <c r="F8" s="30">
        <f t="shared" si="1"/>
        <v>0</v>
      </c>
      <c r="G8" s="180">
        <v>51000</v>
      </c>
      <c r="H8" s="30">
        <f t="shared" si="1"/>
        <v>0</v>
      </c>
      <c r="J8" s="42">
        <f t="shared" si="0"/>
        <v>125500</v>
      </c>
      <c r="K8" s="42">
        <f t="shared" si="2"/>
        <v>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22600+79800</f>
        <v>102400</v>
      </c>
      <c r="D10" s="30">
        <f t="shared" si="1"/>
        <v>0</v>
      </c>
      <c r="E10" s="180">
        <f>11200+62500</f>
        <v>73700</v>
      </c>
      <c r="F10" s="30">
        <f t="shared" si="1"/>
        <v>0</v>
      </c>
      <c r="G10" s="180">
        <f>18200+120700</f>
        <v>138900</v>
      </c>
      <c r="H10" s="30">
        <f t="shared" si="1"/>
        <v>0</v>
      </c>
      <c r="J10" s="42">
        <f t="shared" si="3"/>
        <v>315000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>
        <v>2000</v>
      </c>
      <c r="D11" s="30">
        <f t="shared" si="1"/>
        <v>0</v>
      </c>
      <c r="E11" s="180"/>
      <c r="F11" s="30" t="str">
        <f t="shared" si="1"/>
        <v/>
      </c>
      <c r="G11" s="180">
        <f>6000+6000+6000</f>
        <v>18000</v>
      </c>
      <c r="H11" s="30">
        <f t="shared" si="1"/>
        <v>0</v>
      </c>
      <c r="J11" s="42">
        <f t="shared" si="3"/>
        <v>20000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25200</v>
      </c>
      <c r="D12" s="30">
        <v>100</v>
      </c>
      <c r="E12" s="180">
        <v>9100</v>
      </c>
      <c r="F12" s="30">
        <f t="shared" si="1"/>
        <v>0</v>
      </c>
      <c r="G12" s="180">
        <v>15400</v>
      </c>
      <c r="H12" s="30">
        <f t="shared" si="1"/>
        <v>0</v>
      </c>
      <c r="J12" s="42">
        <f t="shared" si="3"/>
        <v>49700</v>
      </c>
      <c r="K12" s="42">
        <f t="shared" si="2"/>
        <v>100</v>
      </c>
    </row>
    <row r="13" spans="1:11" x14ac:dyDescent="0.35">
      <c r="A13" s="47">
        <v>10</v>
      </c>
      <c r="B13" s="178" t="str">
        <f>Vendedor10!$B$2</f>
        <v>MARIALIZ</v>
      </c>
      <c r="C13" s="180">
        <v>46750</v>
      </c>
      <c r="D13" s="30">
        <f t="shared" si="1"/>
        <v>0</v>
      </c>
      <c r="E13" s="180">
        <v>25700</v>
      </c>
      <c r="F13" s="30">
        <f t="shared" si="1"/>
        <v>0</v>
      </c>
      <c r="G13" s="180">
        <v>64850</v>
      </c>
      <c r="H13" s="30">
        <v>300</v>
      </c>
      <c r="J13" s="42">
        <f t="shared" si="3"/>
        <v>137300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1"/>
        <v/>
      </c>
      <c r="E14" s="180"/>
      <c r="F14" s="30" t="str">
        <f t="shared" si="1"/>
        <v/>
      </c>
      <c r="G14" s="180"/>
      <c r="H14" s="30" t="str">
        <f t="shared" si="1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25600</v>
      </c>
      <c r="D16" s="30">
        <f t="shared" si="1"/>
        <v>0</v>
      </c>
      <c r="E16" s="180">
        <v>13250</v>
      </c>
      <c r="F16" s="30">
        <v>250</v>
      </c>
      <c r="G16" s="180">
        <v>40950</v>
      </c>
      <c r="H16" s="30">
        <f t="shared" si="1"/>
        <v>0</v>
      </c>
      <c r="J16" s="42">
        <f t="shared" si="3"/>
        <v>79800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417800</v>
      </c>
      <c r="D32" s="44">
        <f t="shared" si="6"/>
        <v>3400</v>
      </c>
      <c r="E32" s="43">
        <f t="shared" si="6"/>
        <v>200800</v>
      </c>
      <c r="F32" s="44">
        <f t="shared" si="6"/>
        <v>750</v>
      </c>
      <c r="G32" s="43">
        <f t="shared" si="6"/>
        <v>510400</v>
      </c>
      <c r="H32" s="44">
        <f t="shared" si="6"/>
        <v>5800</v>
      </c>
      <c r="J32" s="95">
        <f>SUM(J4:J31)</f>
        <v>1129000</v>
      </c>
      <c r="K32" s="95"/>
    </row>
    <row r="33" spans="2:8" x14ac:dyDescent="0.35">
      <c r="D33" s="99">
        <f>+D32*85</f>
        <v>289000</v>
      </c>
      <c r="F33" s="99">
        <f>+F32*85</f>
        <v>63750</v>
      </c>
      <c r="H33" s="99">
        <f>+H32*85</f>
        <v>493000</v>
      </c>
    </row>
    <row r="34" spans="2:8" x14ac:dyDescent="0.35">
      <c r="B34" s="247" t="s">
        <v>149</v>
      </c>
      <c r="C34" s="43">
        <f t="shared" ref="C34:H34" si="7">+C4+C5+C6+C8+C13</f>
        <v>262600</v>
      </c>
      <c r="D34" s="43" t="e">
        <f t="shared" si="7"/>
        <v>#VALUE!</v>
      </c>
      <c r="E34" s="43">
        <f t="shared" si="7"/>
        <v>104750</v>
      </c>
      <c r="F34" s="43" t="e">
        <f t="shared" si="7"/>
        <v>#VALUE!</v>
      </c>
      <c r="G34" s="43">
        <f t="shared" si="7"/>
        <v>297150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2000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18000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127600</v>
      </c>
      <c r="D36" s="43" t="e">
        <f t="shared" ref="D36:H36" si="9">+D10+D12+D27</f>
        <v>#VALUE!</v>
      </c>
      <c r="E36" s="43">
        <f t="shared" si="9"/>
        <v>82800</v>
      </c>
      <c r="F36" s="43" t="e">
        <f t="shared" si="9"/>
        <v>#VALUE!</v>
      </c>
      <c r="G36" s="43">
        <f t="shared" si="9"/>
        <v>154300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8" sqref="I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44</v>
      </c>
      <c r="D2" s="268"/>
      <c r="E2" s="267">
        <f>IF(PREMIOS!$B9="","",PREMIOS!$B9)</f>
        <v>74</v>
      </c>
      <c r="F2" s="268"/>
      <c r="G2" s="267">
        <f>IF(PREMIOS!$B13="","",PREMIOS!$B13)</f>
        <v>81</v>
      </c>
      <c r="H2" s="268"/>
      <c r="I2" s="267">
        <f>IF(PREMIOS!$B17="","",PREMIOS!$B17)</f>
        <v>98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21550</v>
      </c>
      <c r="D4" s="78">
        <f t="shared" ref="D4:J27" si="0">IF(C4="","",0)</f>
        <v>0</v>
      </c>
      <c r="E4" s="206">
        <v>24700</v>
      </c>
      <c r="F4" s="78">
        <f t="shared" si="0"/>
        <v>0</v>
      </c>
      <c r="G4" s="189">
        <v>15100</v>
      </c>
      <c r="H4" s="78">
        <f t="shared" ref="H4:H27" si="1">IF(G4="","",0)</f>
        <v>0</v>
      </c>
      <c r="I4" s="189"/>
      <c r="J4" s="78" t="str">
        <f t="shared" si="0"/>
        <v/>
      </c>
      <c r="L4" s="42">
        <f t="shared" ref="L4:L8" si="2">+C4+E4+G4+I4</f>
        <v>61350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10900</v>
      </c>
      <c r="D5" s="30">
        <f t="shared" si="0"/>
        <v>0</v>
      </c>
      <c r="E5" s="207">
        <v>18650</v>
      </c>
      <c r="F5" s="30">
        <f t="shared" si="0"/>
        <v>0</v>
      </c>
      <c r="G5" s="180"/>
      <c r="H5" s="30" t="str">
        <f t="shared" si="1"/>
        <v/>
      </c>
      <c r="I5" s="180">
        <v>2250</v>
      </c>
      <c r="J5" s="30">
        <f t="shared" ref="J5:J27" si="3">IF(I5="","",0)</f>
        <v>0</v>
      </c>
      <c r="L5" s="42">
        <f t="shared" si="2"/>
        <v>31800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47350</v>
      </c>
      <c r="D8" s="30">
        <f t="shared" si="0"/>
        <v>0</v>
      </c>
      <c r="E8" s="207">
        <v>35250</v>
      </c>
      <c r="F8" s="30">
        <f t="shared" si="0"/>
        <v>0</v>
      </c>
      <c r="G8" s="180">
        <v>10800</v>
      </c>
      <c r="H8" s="30">
        <f t="shared" si="1"/>
        <v>0</v>
      </c>
      <c r="I8" s="180">
        <v>30800</v>
      </c>
      <c r="J8" s="30">
        <v>600</v>
      </c>
      <c r="L8" s="42">
        <f t="shared" si="2"/>
        <v>124200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15100+57250</f>
        <v>72350</v>
      </c>
      <c r="D10" s="30">
        <f>300+0</f>
        <v>300</v>
      </c>
      <c r="E10" s="207">
        <f>9100+44150</f>
        <v>53250</v>
      </c>
      <c r="F10" s="30">
        <f t="shared" si="0"/>
        <v>0</v>
      </c>
      <c r="G10" s="180">
        <v>27650</v>
      </c>
      <c r="H10" s="30">
        <f t="shared" si="0"/>
        <v>0</v>
      </c>
      <c r="I10" s="180">
        <f>9700+57950</f>
        <v>67650</v>
      </c>
      <c r="J10" s="30">
        <f t="shared" si="0"/>
        <v>0</v>
      </c>
      <c r="L10" s="42">
        <f t="shared" si="5"/>
        <v>220900</v>
      </c>
      <c r="M10" s="42">
        <f t="shared" si="4"/>
        <v>300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6900</v>
      </c>
      <c r="D12" s="30">
        <f t="shared" si="0"/>
        <v>0</v>
      </c>
      <c r="E12" s="207">
        <v>4600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11500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30600</v>
      </c>
      <c r="D13" s="30">
        <f t="shared" si="0"/>
        <v>0</v>
      </c>
      <c r="E13" s="207">
        <v>21450</v>
      </c>
      <c r="F13" s="30">
        <f t="shared" si="0"/>
        <v>0</v>
      </c>
      <c r="G13" s="180">
        <v>6100</v>
      </c>
      <c r="H13" s="30">
        <f t="shared" si="0"/>
        <v>0</v>
      </c>
      <c r="I13" s="180"/>
      <c r="J13" s="30" t="str">
        <f t="shared" si="0"/>
        <v/>
      </c>
      <c r="L13" s="42">
        <f t="shared" si="5"/>
        <v>58150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>
        <v>700</v>
      </c>
      <c r="F16" s="30">
        <f t="shared" si="0"/>
        <v>0</v>
      </c>
      <c r="G16" s="180"/>
      <c r="H16" s="30" t="str">
        <f t="shared" si="0"/>
        <v/>
      </c>
      <c r="I16" s="180">
        <v>16100</v>
      </c>
      <c r="J16" s="30">
        <v>200</v>
      </c>
      <c r="L16" s="42">
        <f t="shared" si="5"/>
        <v>16800</v>
      </c>
      <c r="M16" s="42" t="e">
        <f t="shared" si="4"/>
        <v>#VALUE!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>
        <v>-2250</v>
      </c>
      <c r="J27" s="50">
        <f t="shared" si="3"/>
        <v>0</v>
      </c>
      <c r="L27" s="42">
        <f t="shared" si="5"/>
        <v>-2250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189650</v>
      </c>
      <c r="D32" s="44">
        <f t="shared" si="7"/>
        <v>300</v>
      </c>
      <c r="E32" s="43">
        <f t="shared" si="7"/>
        <v>158600</v>
      </c>
      <c r="F32" s="44">
        <f t="shared" si="7"/>
        <v>0</v>
      </c>
      <c r="G32" s="43">
        <f t="shared" si="7"/>
        <v>59650</v>
      </c>
      <c r="H32" s="44">
        <f t="shared" si="7"/>
        <v>0</v>
      </c>
      <c r="I32" s="43">
        <f t="shared" si="7"/>
        <v>114550</v>
      </c>
      <c r="J32" s="44">
        <f t="shared" si="7"/>
        <v>800</v>
      </c>
      <c r="L32" s="95">
        <f>SUM(L9:L31)</f>
        <v>305100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62 Roja</v>
      </c>
      <c r="D2" s="268"/>
      <c r="E2" s="267" t="str">
        <f>IF(E33=0,"",CONCATENATE(PREMIOS!$B11," ",PREMIOS!$B12))</f>
        <v>43 Blanca</v>
      </c>
      <c r="F2" s="268"/>
      <c r="G2" s="267" t="str">
        <f>IF(G33=0,"",CONCATENATE(PREMIOS!$B15," ",PREMIOS!$B16))</f>
        <v>73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9250+7800</f>
        <v>17050</v>
      </c>
      <c r="D10" s="30">
        <f t="shared" si="0"/>
        <v>0</v>
      </c>
      <c r="E10" s="180">
        <f>4700+7500</f>
        <v>12200</v>
      </c>
      <c r="F10" s="30">
        <f t="shared" si="0"/>
        <v>0</v>
      </c>
      <c r="G10" s="180">
        <f>6400+10050</f>
        <v>16450</v>
      </c>
      <c r="H10" s="30">
        <f t="shared" si="0"/>
        <v>0</v>
      </c>
      <c r="J10" s="42">
        <f t="shared" si="3"/>
        <v>45700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18050</v>
      </c>
      <c r="D33" s="44">
        <f t="shared" si="7"/>
        <v>0</v>
      </c>
      <c r="E33" s="43">
        <f t="shared" si="7"/>
        <v>12200</v>
      </c>
      <c r="F33" s="44">
        <f t="shared" si="7"/>
        <v>0</v>
      </c>
      <c r="G33" s="43">
        <f t="shared" si="7"/>
        <v>17450</v>
      </c>
      <c r="H33" s="44">
        <f t="shared" si="7"/>
        <v>0</v>
      </c>
      <c r="J33" s="45">
        <f>SUM(J4:J32)</f>
        <v>47700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69</v>
      </c>
      <c r="D2" s="268"/>
      <c r="E2" s="267">
        <f>IF(PREMIOS!$C19="","",PREMIOS!$C19)</f>
        <v>12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5700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5700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12000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12000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31000</v>
      </c>
      <c r="D8" s="30">
        <f t="shared" si="0"/>
        <v>0</v>
      </c>
      <c r="E8" s="194">
        <v>9600</v>
      </c>
      <c r="F8" s="195">
        <f t="shared" si="1"/>
        <v>0</v>
      </c>
      <c r="H8" s="42">
        <f t="shared" si="2"/>
        <v>40600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18300</v>
      </c>
      <c r="D10" s="30">
        <v>300</v>
      </c>
      <c r="E10" s="180">
        <v>5100</v>
      </c>
      <c r="F10" s="195">
        <f t="shared" si="1"/>
        <v>0</v>
      </c>
      <c r="H10" s="42">
        <f t="shared" si="2"/>
        <v>23400</v>
      </c>
      <c r="I10" s="42">
        <f t="shared" si="3"/>
        <v>300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16300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16300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83300</v>
      </c>
      <c r="D33" s="44">
        <f>SUM(D4:D32)</f>
        <v>300</v>
      </c>
      <c r="E33" s="43">
        <f>SUM(E4:E32)</f>
        <v>14700</v>
      </c>
      <c r="F33" s="44">
        <f>SUM(F4:F32)</f>
        <v>0</v>
      </c>
      <c r="H33" s="95">
        <f>SUM(H4:H32)</f>
        <v>98000</v>
      </c>
      <c r="I33" s="95">
        <f>SUM(I4:I32)</f>
        <v>300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49</v>
      </c>
      <c r="D2" s="268"/>
      <c r="E2" s="267">
        <f>IF(PREMIOS!$C20="","",PREMIOS!$C20)</f>
        <v>62</v>
      </c>
      <c r="F2" s="268"/>
      <c r="G2" s="267">
        <f>IF(PREMIOS!$D20="","",PREMIOS!$D20)</f>
        <v>84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31600</v>
      </c>
      <c r="D10" s="195">
        <f t="shared" si="0"/>
        <v>0</v>
      </c>
      <c r="E10" s="180">
        <v>800</v>
      </c>
      <c r="F10" s="30">
        <f t="shared" si="0"/>
        <v>0</v>
      </c>
      <c r="G10" s="180">
        <v>29150</v>
      </c>
      <c r="H10" s="195">
        <f t="shared" si="0"/>
        <v>0</v>
      </c>
      <c r="J10" s="42">
        <f t="shared" si="3"/>
        <v>61550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31600</v>
      </c>
      <c r="D33" s="44">
        <f t="shared" si="6"/>
        <v>0</v>
      </c>
      <c r="E33" s="43">
        <f t="shared" si="6"/>
        <v>800</v>
      </c>
      <c r="F33" s="44">
        <f t="shared" si="6"/>
        <v>0</v>
      </c>
      <c r="G33" s="43">
        <f t="shared" si="6"/>
        <v>29150</v>
      </c>
      <c r="H33" s="44">
        <f t="shared" si="6"/>
        <v>0</v>
      </c>
      <c r="J33" s="45">
        <f>SUM(J4:J32)</f>
        <v>61550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24</v>
      </c>
      <c r="D2" s="268"/>
      <c r="E2" s="267">
        <f>IF(PREMIOS!$C21="","",PREMIOS!$C21)</f>
        <v>78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43000</v>
      </c>
      <c r="D10" s="30">
        <f t="shared" si="0"/>
        <v>0</v>
      </c>
      <c r="E10" s="180">
        <v>43800</v>
      </c>
      <c r="F10" s="30">
        <f t="shared" si="0"/>
        <v>0</v>
      </c>
      <c r="H10" s="42">
        <f t="shared" si="2"/>
        <v>86800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43000</v>
      </c>
      <c r="D33" s="44">
        <f>SUM(D4:D32)</f>
        <v>0</v>
      </c>
      <c r="E33" s="43">
        <f>SUM(E4:E32)</f>
        <v>43800</v>
      </c>
      <c r="F33" s="44">
        <f>SUM(F4:F32)</f>
        <v>0</v>
      </c>
      <c r="H33" s="45">
        <f>SUM(H4:H32)</f>
        <v>86800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28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2026-07-21T16:18:56Z</dcterms:modified>
  <dc:language>es-CR</dc:language>
</cp:coreProperties>
</file>
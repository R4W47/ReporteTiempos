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81" documentId="13_ncr:1_{EB1C27A7-1EBD-4619-B18B-0BCA469E8746}" xr6:coauthVersionLast="47" xr6:coauthVersionMax="47" xr10:uidLastSave="{1A637DBD-B51B-423D-9436-A52B96B08EB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K14" i="69"/>
  <c r="H12" i="69"/>
  <c r="K12" i="69"/>
  <c r="E10" i="64"/>
  <c r="C10" i="64"/>
  <c r="C10" i="65"/>
  <c r="G10" i="62"/>
  <c r="E10" i="62"/>
  <c r="C10" i="62"/>
  <c r="I10" i="61"/>
  <c r="G10" i="61"/>
  <c r="E10" i="61"/>
  <c r="C10" i="61"/>
  <c r="H10" i="60"/>
  <c r="G10" i="60"/>
  <c r="E10" i="60"/>
  <c r="C10" i="60"/>
  <c r="D18" i="64" l="1"/>
  <c r="D18" i="65"/>
  <c r="D11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F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D36" i="60"/>
  <c r="D9" i="60"/>
  <c r="D8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35" i="60" s="1"/>
  <c r="F13" i="60"/>
  <c r="F11" i="60"/>
  <c r="F9" i="60"/>
  <c r="F7" i="60"/>
  <c r="F6" i="60"/>
  <c r="F5" i="60"/>
  <c r="F4" i="60"/>
  <c r="H17" i="60"/>
  <c r="H15" i="60"/>
  <c r="H35" i="60"/>
  <c r="H12" i="60"/>
  <c r="H11" i="60"/>
  <c r="H36" i="60"/>
  <c r="H9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6" i="60" l="1"/>
  <c r="D35" i="60"/>
  <c r="D34" i="60"/>
  <c r="E7" i="16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24" i="15" s="1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<sst xmlns="http://schemas.openxmlformats.org/spreadsheetml/2006/main" count="1294" uniqueCount="161">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</sst>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213750</v>
      </c>
      <c r="C3" s="9">
        <f>+HojaTICA!K4+HojaNICA!M4+HojaREVENTADO!K4+HojaPrimera!I4+HojaHonduras!K4+HojaDominicana!I4+HojaPANA!G4</f>
        <v>27800</v>
      </c>
      <c r="D3" s="9">
        <f>+HojaTICA!N4+HojaNICA!P4+HojaREVENTADO!O4+HojaPrimera!L4+HojaHonduras!N4+HojaDominicana!L4+HojaPANA!J4</f>
        <v>236000</v>
      </c>
      <c r="F3" s="10">
        <f t="shared" ref="F3:F27" si="0">+B3-C3-D3</f>
        <v>-50050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229550</v>
      </c>
      <c r="C4" s="9">
        <f>+HojaTICA!K5+HojaNICA!M5+HojaREVENTADO!K5+HojaPrimera!I5+HojaHonduras!K5+HojaDominicana!I5+HojaPANA!G5</f>
        <v>29850</v>
      </c>
      <c r="D4" s="9">
        <f>+HojaTICA!N5+HojaNICA!P5+HojaREVENTADO!O5+HojaPrimera!L5+HojaHonduras!N5+HojaDominicana!L5+HojaPANA!J5</f>
        <v>181750</v>
      </c>
      <c r="F4" s="14">
        <f t="shared" si="0"/>
        <v>17950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482250</v>
      </c>
      <c r="C7" s="9">
        <f>+HojaTICA!K8+HojaNICA!M8+HojaREVENTADO!K8+HojaPrimera!I8+HojaHonduras!K8+HojaDominicana!I8+HojaPANA!G8</f>
        <v>57900</v>
      </c>
      <c r="D7" s="9">
        <f>+HojaTICA!N8+HojaNICA!P8+HojaREVENTADO!O8+HojaPrimera!L8+HojaHonduras!N8+HojaDominicana!L8+HojaPANA!J8</f>
        <v>528500</v>
      </c>
      <c r="F7" s="14">
        <f t="shared" si="0"/>
        <v>-104150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758900</v>
      </c>
      <c r="C9" s="9">
        <f>+HojaTICA!K10+HojaNICA!M10+HojaREVENTADO!K10+HojaPrimera!I10+HojaHonduras!K10+HojaDominicana!I10+HojaPANA!G10</f>
        <v>90005</v>
      </c>
      <c r="D9" s="9">
        <f>+HojaTICA!N10+HojaNICA!P10+HojaREVENTADO!O10+HojaPrimera!L10+HojaHonduras!N10+HojaDominicana!L10+HojaPANA!J10</f>
        <v>565250</v>
      </c>
      <c r="F9" s="14">
        <f t="shared" si="0"/>
        <v>103645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6000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181200</v>
      </c>
      <c r="C11" s="9">
        <f>+HojaTICA!K12+HojaNICA!M12+HojaREVENTADO!K12+HojaPrimera!I12+HojaHonduras!K12+HojaDominicana!I12+HojaPANA!G12</f>
        <v>21685</v>
      </c>
      <c r="D11" s="9">
        <f>+HojaTICA!N12+HojaNICA!P12+HojaREVENTADO!O12+HojaPrimera!L12+HojaHonduras!N12+HojaDominicana!L12+HojaPANA!J12</f>
        <v>161500</v>
      </c>
      <c r="F11" s="14">
        <f t="shared" si="0"/>
        <v>-1985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210150</v>
      </c>
      <c r="C12" s="9">
        <f>+HojaTICA!K13+HojaNICA!M13+HojaREVENTADO!K13+HojaPrimera!I13+HojaHonduras!K13+HojaDominicana!I13+HojaPANA!G13</f>
        <v>25200</v>
      </c>
      <c r="D12" s="9">
        <f>+HojaTICA!N13+HojaNICA!P13+HojaREVENTADO!O13+HojaPrimera!L13+HojaHonduras!N13+HojaDominicana!L13+HojaPANA!J13</f>
        <v>172000</v>
      </c>
      <c r="F12" s="14">
        <f t="shared" si="0"/>
        <v>12950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103150</v>
      </c>
      <c r="C13" s="9">
        <f>+HojaTICA!K14+HojaNICA!M14+HojaREVENTADO!K14+HojaPrimera!I14+HojaHonduras!K14+HojaDominicana!I14+HojaPANA!G14</f>
        <v>15450</v>
      </c>
      <c r="D13" s="9">
        <f>+HojaTICA!N14+HojaNICA!P14+HojaREVENTADO!O14+HojaPrimera!L14+HojaHonduras!N14+HojaDominicana!L14+HojaPANA!J14</f>
        <v>24000</v>
      </c>
      <c r="F13" s="14">
        <f t="shared" si="0"/>
        <v>63700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114600</v>
      </c>
      <c r="C15" s="9">
        <f>+HojaTICA!K16+HojaNICA!M16+HojaREVENTADO!K16+HojaPrimera!I16+HojaHonduras!K16+HojaDominicana!I16+HojaPANA!G16</f>
        <v>13750</v>
      </c>
      <c r="D15" s="9">
        <f>+HojaTICA!N16+HojaNICA!P16+HojaREVENTADO!O16+HojaPrimera!L16+HojaHonduras!N16+HojaDominicana!L16+HojaPANA!J16</f>
        <v>131750</v>
      </c>
      <c r="F15" s="14">
        <f t="shared" si="0"/>
        <v>-30900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2299550</v>
      </c>
      <c r="C28" s="17">
        <f t="shared" si="1"/>
        <v>282340</v>
      </c>
      <c r="D28" s="18">
        <f t="shared" si="1"/>
        <v>2000750</v>
      </c>
      <c r="F28" s="20">
        <f>SUM(F3:F27)</f>
        <v>16460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31</v>
      </c>
      <c r="C19" s="132">
        <v>33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11</v>
      </c>
      <c r="C20" s="163">
        <v>72</v>
      </c>
      <c r="D20" s="166">
        <v>28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33</v>
      </c>
      <c r="C21" s="164">
        <v>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83</v>
      </c>
      <c r="D2" s="268"/>
      <c r="E2" s="267">
        <f>DigitaTICA!E2</f>
        <v>91</v>
      </c>
      <c r="F2" s="268"/>
      <c r="G2" s="267" t="str">
        <f>DigitaTICA!G2</f>
        <v>08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56550</v>
      </c>
      <c r="D4" s="30">
        <f>IF(Vendedor1!$E$7="",0,Vendedor1!$E$7)</f>
        <v>0</v>
      </c>
      <c r="E4" s="180">
        <f>IF(Vendedor1!$C$11="",0,Vendedor1!$C$11)</f>
        <v>32150</v>
      </c>
      <c r="F4" s="30">
        <f>IF(Vendedor1!$E$11="",0,Vendedor1!$E$11)</f>
        <v>0</v>
      </c>
      <c r="G4" s="180">
        <f>IF(Vendedor1!$C$15="",0,Vendedor1!$C$15)</f>
        <v>87800</v>
      </c>
      <c r="H4" s="30">
        <f>IF(Vendedor1!$E$15="",0,Vendedor1!$E$15)</f>
        <v>2400</v>
      </c>
      <c r="J4" s="42">
        <f t="shared" ref="J4:J7" si="0">+C4+E4+G4</f>
        <v>176500</v>
      </c>
      <c r="K4" s="41">
        <f>MROUND(J4*Vendedor1!J$9,50)</f>
        <v>22950</v>
      </c>
      <c r="L4" s="42">
        <f t="shared" ref="L4:L7" si="1">+D4+F4+H4</f>
        <v>2400</v>
      </c>
      <c r="M4" s="42">
        <f t="shared" ref="M4:M7" si="2">+L4*85</f>
        <v>204000</v>
      </c>
      <c r="N4" s="42">
        <f>Vendedor1!$F$7+Vendedor1!$F$11+Vendedor1!$F$15</f>
        <v>204000</v>
      </c>
      <c r="P4" s="42">
        <f t="shared" ref="P4:P7" si="3">+J4-K4-N4</f>
        <v>-50450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71150</v>
      </c>
      <c r="D5" s="30">
        <f>IF(Vendedor2!$E$7="",0,Vendedor2!$E$7)</f>
        <v>200</v>
      </c>
      <c r="E5" s="180">
        <f>IF(Vendedor2!$C$11="",0,Vendedor2!$C$11)</f>
        <v>62350</v>
      </c>
      <c r="F5" s="30">
        <f>IF(Vendedor2!$E$11="",0,Vendedor2!$E$11)</f>
        <v>0</v>
      </c>
      <c r="G5" s="180">
        <f>IF(Vendedor2!$C$15="",0,Vendedor2!$C$15)</f>
        <v>63850</v>
      </c>
      <c r="H5" s="30">
        <f>IF(Vendedor2!$E$15="",0,Vendedor2!$E$15)</f>
        <v>1750</v>
      </c>
      <c r="J5" s="42">
        <f t="shared" si="0"/>
        <v>197350</v>
      </c>
      <c r="K5" s="41">
        <f>MROUND(J5*Vendedor2!J$9,50)</f>
        <v>25650</v>
      </c>
      <c r="L5" s="42">
        <f t="shared" si="1"/>
        <v>1950</v>
      </c>
      <c r="M5" s="42">
        <f t="shared" si="2"/>
        <v>165750</v>
      </c>
      <c r="N5" s="42">
        <f>Vendedor2!$F$7+Vendedor2!$F$11+Vendedor2!$F$15</f>
        <v>165750</v>
      </c>
      <c r="P5" s="42">
        <f t="shared" si="3"/>
        <v>5950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70450</v>
      </c>
      <c r="D8" s="30">
        <f>IF(Vendedor5!$E$7="",0,Vendedor5!$E$7)</f>
        <v>0</v>
      </c>
      <c r="E8" s="180">
        <f>IF(Vendedor5!$C$11="",0,Vendedor5!$C$11)</f>
        <v>69900</v>
      </c>
      <c r="F8" s="30">
        <f>IF(Vendedor5!$E$11="",0,Vendedor5!$E$11)</f>
        <v>1000</v>
      </c>
      <c r="G8" s="180">
        <f>IF(Vendedor5!$C$15="",0,Vendedor5!$C$15)</f>
        <v>67800</v>
      </c>
      <c r="H8" s="30">
        <f>IF(Vendedor5!$E$15="",0,Vendedor5!$E$15)</f>
        <v>1500</v>
      </c>
      <c r="J8" s="42">
        <f t="shared" ref="J8" si="4">+C8+E8+G8</f>
        <v>208150</v>
      </c>
      <c r="K8" s="41">
        <f>MROUND(J8*Vendedor5!J$11,50)</f>
        <v>25000</v>
      </c>
      <c r="L8" s="42">
        <f t="shared" ref="L8" si="5">+D8+F8+H8</f>
        <v>2500</v>
      </c>
      <c r="M8" s="42">
        <f t="shared" ref="M8" si="6">+L8*85</f>
        <v>212500</v>
      </c>
      <c r="N8" s="42">
        <f>Vendedor5!$F$7+Vendedor5!$F$11+Vendedor5!$F$15</f>
        <v>212500</v>
      </c>
      <c r="P8" s="42">
        <f t="shared" ref="P8" si="7">+J8-K8-N8</f>
        <v>-29350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115000</v>
      </c>
      <c r="D10" s="30">
        <f>IF(Vendedor7!$E$7="",0,Vendedor7!$E$7)</f>
        <v>450</v>
      </c>
      <c r="E10" s="180">
        <f>IF(Vendedor7!$C$11="",0,Vendedor7!$C$11)</f>
        <v>145350</v>
      </c>
      <c r="F10" s="30">
        <f>IF(Vendedor7!$E$11="",0,Vendedor7!$E$11)</f>
        <v>350</v>
      </c>
      <c r="G10" s="180">
        <f>IF(Vendedor7!$C$15="",0,Vendedor7!$C$15)</f>
        <v>120200</v>
      </c>
      <c r="H10" s="30">
        <f>IF(Vendedor7!$E$15="",0,Vendedor7!$E$15)</f>
        <v>1550</v>
      </c>
      <c r="J10" s="42">
        <f t="shared" si="8"/>
        <v>380550</v>
      </c>
      <c r="K10" s="41">
        <f>MROUND(J10*Vendedor7!J$14,50)</f>
        <v>45650</v>
      </c>
      <c r="L10" s="42">
        <f t="shared" si="9"/>
        <v>2350</v>
      </c>
      <c r="M10" s="42">
        <f t="shared" si="10"/>
        <v>199750</v>
      </c>
      <c r="N10" s="42">
        <f>Vendedor7!$F$7+Vendedor7!$F$11+Vendedor7!$F$15</f>
        <v>199750</v>
      </c>
      <c r="P10" s="42">
        <f t="shared" si="11"/>
        <v>135150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3500</v>
      </c>
      <c r="H11" s="30">
        <f>IF(Vendedor8!$E$15="",0,Vendedor8!$E$15)</f>
        <v>0</v>
      </c>
      <c r="J11" s="42">
        <f t="shared" si="8"/>
        <v>6000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48300</v>
      </c>
      <c r="D12" s="30">
        <f>IF(Vendedor9!$E$7="",0,Vendedor9!$E$7)</f>
        <v>300</v>
      </c>
      <c r="E12" s="180">
        <f>IF(Vendedor9!$C$11="",0,Vendedor9!$C$11)</f>
        <v>25500</v>
      </c>
      <c r="F12" s="30">
        <f>IF(Vendedor9!$E$11="",0,Vendedor9!$E$11)</f>
        <v>250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73800</v>
      </c>
      <c r="K12" s="41">
        <f>MROUND(J12*Vendedor9!J$11,50)</f>
        <v>8850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18200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64700</v>
      </c>
      <c r="D13" s="30">
        <f>IF(Vendedor10!$E$7="",0,Vendedor10!$E$7)</f>
        <v>0</v>
      </c>
      <c r="E13" s="180">
        <f>IF(Vendedor10!$C$11="",0,Vendedor10!$C$11)</f>
        <v>33500</v>
      </c>
      <c r="F13" s="30">
        <f>IF(Vendedor10!$E$11="",0,Vendedor10!$E$11)</f>
        <v>0</v>
      </c>
      <c r="G13" s="180">
        <f>IF(Vendedor10!$C$15="",0,Vendedor10!$C$15)</f>
        <v>32650</v>
      </c>
      <c r="H13" s="30">
        <f>IF(Vendedor10!$E$15="",0,Vendedor10!$E$15)</f>
        <v>800</v>
      </c>
      <c r="J13" s="42">
        <f t="shared" si="8"/>
        <v>130850</v>
      </c>
      <c r="K13" s="41">
        <f>MROUND(J13*Vendedor10!J$9,50)</f>
        <v>15700</v>
      </c>
      <c r="L13" s="42">
        <f t="shared" si="9"/>
        <v>800</v>
      </c>
      <c r="M13" s="42">
        <f t="shared" si="10"/>
        <v>68000</v>
      </c>
      <c r="N13" s="42">
        <f>Vendedor10!$F$7+Vendedor10!$F$11+Vendedor10!$F$15</f>
        <v>68000</v>
      </c>
      <c r="P13" s="42">
        <f t="shared" si="11"/>
        <v>47150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41850</v>
      </c>
      <c r="D14" s="30">
        <f>IF(Vendedor11!$E$7="",0,Vendedor11!$E$7)</f>
        <v>0</v>
      </c>
      <c r="E14" s="180">
        <f>IF(Vendedor11!$C$11="",0,Vendedor11!$C$11)</f>
        <v>28000</v>
      </c>
      <c r="F14" s="30">
        <f>IF(Vendedor11!$E$11="",0,Vendedor11!$E$11)</f>
        <v>0</v>
      </c>
      <c r="G14" s="180">
        <f>IF(Vendedor11!$C$15="",0,Vendedor11!$C$15)</f>
        <v>33300</v>
      </c>
      <c r="H14" s="30">
        <f>IF(Vendedor11!$E$15="",0,Vendedor11!$E$15)</f>
        <v>300</v>
      </c>
      <c r="J14" s="42">
        <f t="shared" si="8"/>
        <v>103150</v>
      </c>
      <c r="K14" s="41">
        <f>MROUND(J14*Vendedor11!J$9,50)</f>
        <v>15450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63700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19450</v>
      </c>
      <c r="D16" s="30">
        <f>IF(Vendedor13!$E$7="",0,Vendedor13!$E$7)</f>
        <v>0</v>
      </c>
      <c r="E16" s="180">
        <f>IF(Vendedor13!$C$11="",0,Vendedor13!$C$11)</f>
        <v>18250</v>
      </c>
      <c r="F16" s="30">
        <f>IF(Vendedor13!$E$11="",0,Vendedor13!$E$11)</f>
        <v>0</v>
      </c>
      <c r="G16" s="180">
        <f>IF(Vendedor13!$C$15="",0,Vendedor13!$C$15)</f>
        <v>33150</v>
      </c>
      <c r="H16" s="30">
        <f>IF(Vendedor13!$E$15="",0,Vendedor13!$E$15)</f>
        <v>1550</v>
      </c>
      <c r="J16" s="42">
        <f t="shared" si="8"/>
        <v>70850</v>
      </c>
      <c r="K16" s="41">
        <f>MROUND(J16*Vendedor13!J$11,50)</f>
        <v>8500</v>
      </c>
      <c r="L16" s="42">
        <f t="shared" si="9"/>
        <v>1550</v>
      </c>
      <c r="M16" s="42">
        <f t="shared" si="10"/>
        <v>131750</v>
      </c>
      <c r="N16" s="42">
        <f>Vendedor13!$F$7+Vendedor13!$F$11+Vendedor13!$F$15</f>
        <v>131750</v>
      </c>
      <c r="P16" s="42">
        <f t="shared" si="11"/>
        <v>-69400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489950</v>
      </c>
      <c r="D32" s="44">
        <f t="shared" si="16"/>
        <v>950</v>
      </c>
      <c r="E32" s="43">
        <f t="shared" si="16"/>
        <v>415000</v>
      </c>
      <c r="F32" s="44">
        <f t="shared" si="16"/>
        <v>1600</v>
      </c>
      <c r="G32" s="43">
        <f t="shared" si="16"/>
        <v>442250</v>
      </c>
      <c r="H32" s="44">
        <f t="shared" si="16"/>
        <v>9850</v>
      </c>
      <c r="J32" s="95">
        <f>SUM(J4:J31)</f>
        <v>1347200</v>
      </c>
      <c r="K32" s="45">
        <f>SUM(K7:K31)</f>
        <v>119850</v>
      </c>
      <c r="L32" s="95">
        <f>SUM(L4:L31)</f>
        <v>12400</v>
      </c>
      <c r="M32" s="95">
        <f>SUM(M4:M31)</f>
        <v>1054000</v>
      </c>
      <c r="N32" s="95">
        <f>SUM(N4:N31)</f>
        <v>1052500</v>
      </c>
      <c r="P32" s="79">
        <f>SUM(P4:P31)</f>
        <v>126250</v>
      </c>
    </row>
    <row r="33" spans="3:13" x14ac:dyDescent="0.35">
      <c r="D33" s="99">
        <f>+D32*85</f>
        <v>80750</v>
      </c>
      <c r="F33" s="99">
        <f>+F32*85</f>
        <v>136000</v>
      </c>
      <c r="H33" s="99">
        <f>+H32*85</f>
        <v>837250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1347200</v>
      </c>
      <c r="E36" s="43">
        <f>+D36-J4-J5-J6</f>
        <v>973350</v>
      </c>
      <c r="G36" s="101"/>
    </row>
    <row r="37" spans="3:13" x14ac:dyDescent="0.35">
      <c r="C37" s="47" t="s">
        <v>33</v>
      </c>
      <c r="D37" s="48">
        <f>D36*13%</f>
        <v>175136</v>
      </c>
      <c r="E37">
        <f>+D37-K4-K5-K6</f>
        <v>126536</v>
      </c>
      <c r="G37" s="100"/>
      <c r="H37" s="100"/>
    </row>
    <row r="38" spans="3:13" ht="15" thickBot="1" x14ac:dyDescent="0.4">
      <c r="C38" s="47" t="s">
        <v>30</v>
      </c>
      <c r="D38" s="30">
        <f>M32</f>
        <v>1054000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118064</v>
      </c>
      <c r="F39" s="98">
        <f>+P32-D39</f>
        <v>8186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118064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35</v>
      </c>
      <c r="D2" s="268"/>
      <c r="E2" s="267" t="str">
        <f>DigitaNICA!E2</f>
        <v>01</v>
      </c>
      <c r="F2" s="268"/>
      <c r="G2" s="267">
        <f>DigitaNICA!G2</f>
        <v>88</v>
      </c>
      <c r="H2" s="268"/>
      <c r="I2" s="267">
        <f>DigitaNICA!I2</f>
        <v>61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7150</v>
      </c>
      <c r="D4" s="78">
        <f>IF(Vendedor1!$E$5="",0,Vendedor1!$E$5)</f>
        <v>400</v>
      </c>
      <c r="E4" s="189">
        <f>IF(Vendedor1!$C$9="",0,Vendedor1!$C$9)</f>
        <v>11350</v>
      </c>
      <c r="F4" s="78">
        <f>IF(Vendedor1!$E$9="",0,Vendedor1!$E$9)</f>
        <v>0</v>
      </c>
      <c r="G4" s="189">
        <f>IF(Vendedor1!$C$13="",0,Vendedor1!$C$13)</f>
        <v>5850</v>
      </c>
      <c r="H4" s="78">
        <f>IF(Vendedor1!$E$13="",0,Vendedor1!$E$13)</f>
        <v>0</v>
      </c>
      <c r="I4" s="189">
        <f>IF(Vendedor1!$C$17="",0,Vendedor1!$C$17)</f>
        <v>7700</v>
      </c>
      <c r="J4" s="78">
        <f>IF(Vendedor1!$E$17="",0,Vendedor1!$E$17)</f>
        <v>0</v>
      </c>
      <c r="L4" s="42">
        <f t="shared" ref="L4:L7" si="0">C4+E4+G4+I4</f>
        <v>32050</v>
      </c>
      <c r="M4" s="41">
        <f>MROUND(L4*Vendedor1!J$10,50)</f>
        <v>4150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-6100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7100</v>
      </c>
      <c r="D5" s="30">
        <f>IF(Vendedor2!$E$5="",0,Vendedor2!$E$5)</f>
        <v>200</v>
      </c>
      <c r="E5" s="180">
        <f>IF(Vendedor2!$C$9="",0,Vendedor2!$C$9)</f>
        <v>17000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7000</v>
      </c>
      <c r="J5" s="30">
        <f>IF(Vendedor2!$E$17="",0,Vendedor2!$E$17)</f>
        <v>0</v>
      </c>
      <c r="L5" s="42">
        <f t="shared" si="0"/>
        <v>31100</v>
      </c>
      <c r="M5" s="41">
        <f>MROUND(L5*Vendedor2!J$10,50)</f>
        <v>4050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10050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89050</v>
      </c>
      <c r="D8" s="30">
        <f>IF(Vendedor5!$E$5="",0,Vendedor5!$E$5)</f>
        <v>250</v>
      </c>
      <c r="E8" s="180">
        <f>IF(Vendedor5!$C$9="",0,Vendedor5!$C$9)</f>
        <v>62600</v>
      </c>
      <c r="F8" s="30">
        <f>IF(Vendedor5!$E$9="",0,Vendedor5!$E$9)</f>
        <v>500</v>
      </c>
      <c r="G8" s="180">
        <f>IF(Vendedor5!$C$13="",0,Vendedor5!$C$13)</f>
        <v>23000</v>
      </c>
      <c r="H8" s="30">
        <f>IF(Vendedor5!$E$13="",0,Vendedor5!$E$13)</f>
        <v>2100</v>
      </c>
      <c r="I8" s="180">
        <f>IF(Vendedor5!$C$17="",0,Vendedor5!$C$17)</f>
        <v>40000</v>
      </c>
      <c r="J8" s="30">
        <f>IF(Vendedor5!$E$17="",0,Vendedor5!$E$17)</f>
        <v>0</v>
      </c>
      <c r="L8" s="42">
        <f t="shared" ref="L8" si="4">C8+E8+G8+I8</f>
        <v>214650</v>
      </c>
      <c r="M8" s="41">
        <f>MROUND(L8*Vendedor5!J$12,50)</f>
        <v>25750</v>
      </c>
      <c r="N8" s="42">
        <f t="shared" ref="N8" si="5">D8+F8+H8+J8</f>
        <v>2850</v>
      </c>
      <c r="O8" s="41">
        <f t="shared" si="3"/>
        <v>242250</v>
      </c>
      <c r="P8" s="42">
        <f>Vendedor5!$F$5+Vendedor5!$F$9+Vendedor5!$F$13+Vendedor5!$F$17</f>
        <v>228000</v>
      </c>
      <c r="Q8">
        <v>17</v>
      </c>
      <c r="R8" s="41">
        <f t="shared" ref="R8" si="6">+L8-M8-O8</f>
        <v>-53350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51800</v>
      </c>
      <c r="D10" s="30">
        <f>IF(Vendedor7!$E$5="",0,Vendedor7!$E$5)</f>
        <v>400</v>
      </c>
      <c r="E10" s="180">
        <f>IF(Vendedor7!$C$9="",0,Vendedor7!$C$9)</f>
        <v>48550</v>
      </c>
      <c r="F10" s="30">
        <f>IF(Vendedor7!$E$9="",0,Vendedor7!$E$9)</f>
        <v>100</v>
      </c>
      <c r="G10" s="180">
        <f>IF(Vendedor7!$C$13="",0,Vendedor7!$C$13)</f>
        <v>31000</v>
      </c>
      <c r="H10" s="30">
        <f>IF(Vendedor7!$E$13="",0,Vendedor7!$E$13)</f>
        <v>1500</v>
      </c>
      <c r="I10" s="180">
        <f>IF(Vendedor7!$C$17="",0,Vendedor7!$C$17)</f>
        <v>56700</v>
      </c>
      <c r="J10" s="30">
        <f>IF(Vendedor7!$E$17="",0,Vendedor7!$E$17)</f>
        <v>50</v>
      </c>
      <c r="L10" s="42">
        <f t="shared" si="7"/>
        <v>188050</v>
      </c>
      <c r="M10" s="41">
        <f>MROUND(L10*Vendedor7!J$15,50)</f>
        <v>22550</v>
      </c>
      <c r="N10" s="42">
        <f t="shared" ref="N10:N27" si="9">D10+F10+H10+J10</f>
        <v>2050</v>
      </c>
      <c r="O10" s="41">
        <f t="shared" si="3"/>
        <v>174250</v>
      </c>
      <c r="P10" s="42">
        <f>Vendedor7!$F$5+Vendedor7!$F$9+Vendedor7!$F$13+Vendedor7!$F$17</f>
        <v>174250</v>
      </c>
      <c r="R10" s="41">
        <f t="shared" si="8"/>
        <v>-8750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40100</v>
      </c>
      <c r="D12" s="30">
        <f>IF(Vendedor9!$E$5="",0,Vendedor9!$E$5)</f>
        <v>700</v>
      </c>
      <c r="E12" s="180">
        <f>IF(Vendedor9!$C$9="",0,Vendedor9!$C$9)</f>
        <v>26950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67050</v>
      </c>
      <c r="M12" s="41">
        <f>MROUND(L12*Vendedor9!J$12,50)</f>
        <v>8050</v>
      </c>
      <c r="N12" s="42">
        <f t="shared" si="9"/>
        <v>950</v>
      </c>
      <c r="O12" s="41">
        <f t="shared" si="3"/>
        <v>80750</v>
      </c>
      <c r="P12" s="42">
        <f>Vendedor9!$F$5+Vendedor9!$F$9+Vendedor9!$F$13+Vendedor9!$F$17</f>
        <v>80750</v>
      </c>
      <c r="R12" s="41">
        <f t="shared" si="8"/>
        <v>-21750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28450</v>
      </c>
      <c r="D13" s="30">
        <f>IF(Vendedor10!$E$5="",0,Vendedor10!$E$5)</f>
        <v>1100</v>
      </c>
      <c r="E13" s="180">
        <f>IF(Vendedor10!$C$9="",0,Vendedor10!$C$9)</f>
        <v>32650</v>
      </c>
      <c r="F13" s="30">
        <f>IF(Vendedor10!$E$9="",0,Vendedor10!$E$9)</f>
        <v>200</v>
      </c>
      <c r="G13" s="180">
        <f>IF(Vendedor10!$C$13="",0,Vendedor10!$C$13)</f>
        <v>15700</v>
      </c>
      <c r="H13" s="30">
        <f>IF(Vendedor10!$E$13="",0,Vendedor10!$E$13)</f>
        <v>0</v>
      </c>
      <c r="I13" s="180">
        <f>IF(Vendedor10!$C$17="",0,Vendedor10!$C$17)</f>
        <v>2500</v>
      </c>
      <c r="J13" s="30">
        <f>IF(Vendedor10!$E$17="",0,Vendedor10!$E$17)</f>
        <v>0</v>
      </c>
      <c r="L13" s="42">
        <f t="shared" si="7"/>
        <v>79300</v>
      </c>
      <c r="M13" s="41">
        <f>MROUND(L13*Vendedor10!J$10,50)</f>
        <v>9500</v>
      </c>
      <c r="N13" s="42">
        <f t="shared" si="9"/>
        <v>1300</v>
      </c>
      <c r="O13" s="41">
        <f t="shared" si="3"/>
        <v>110500</v>
      </c>
      <c r="P13" s="42">
        <f>Vendedor10!$F$5+Vendedor10!$F$9+Vendedor10!$F$13+Vendedor10!$F$17</f>
        <v>104000</v>
      </c>
      <c r="R13" s="41">
        <f t="shared" si="8"/>
        <v>-40700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6900</v>
      </c>
      <c r="D16" s="30">
        <f>IF(Vendedor13!$E$5="",0,Vendedor13!$E$5)</f>
        <v>0</v>
      </c>
      <c r="E16" s="180">
        <f>IF(Vendedor13!$C$9="",0,Vendedor13!$C$9)</f>
        <v>6350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30500</v>
      </c>
      <c r="J16" s="30">
        <f>IF(Vendedor13!$E$17="",0,Vendedor13!$E$17)</f>
        <v>0</v>
      </c>
      <c r="L16" s="42">
        <f t="shared" si="7"/>
        <v>43750</v>
      </c>
      <c r="M16" s="41">
        <f>MROUND(L16*Vendedor13!J$12,50)</f>
        <v>5250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38500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230550</v>
      </c>
      <c r="D32" s="44">
        <f t="shared" si="14"/>
        <v>3050</v>
      </c>
      <c r="E32" s="43">
        <f t="shared" si="14"/>
        <v>205450</v>
      </c>
      <c r="F32" s="44">
        <f t="shared" si="14"/>
        <v>1050</v>
      </c>
      <c r="G32" s="43">
        <f t="shared" si="14"/>
        <v>75550</v>
      </c>
      <c r="H32" s="44">
        <f t="shared" si="14"/>
        <v>3600</v>
      </c>
      <c r="I32" s="43">
        <f t="shared" si="14"/>
        <v>144400</v>
      </c>
      <c r="J32" s="44">
        <f t="shared" si="14"/>
        <v>50</v>
      </c>
      <c r="L32" s="45">
        <f>SUM(L4:L31)</f>
        <v>655950</v>
      </c>
      <c r="M32" s="45">
        <f>SUM(M7:M31)</f>
        <v>71100</v>
      </c>
      <c r="N32" s="95">
        <f>SUM(N4:N31)</f>
        <v>7750</v>
      </c>
      <c r="O32" s="46">
        <f>SUM(O4:O31)</f>
        <v>658750</v>
      </c>
      <c r="P32" s="140">
        <f>SUM(P4:P31)</f>
        <v>635000</v>
      </c>
      <c r="R32" s="79">
        <f>SUM(R4:R31)</f>
        <v>-82100</v>
      </c>
    </row>
    <row r="33" spans="3:15" x14ac:dyDescent="0.35">
      <c r="D33" s="120">
        <f>+D32*85</f>
        <v>259250</v>
      </c>
      <c r="F33" s="120">
        <f>+F32*85</f>
        <v>89250</v>
      </c>
      <c r="H33" s="120">
        <f>+H32*85</f>
        <v>306000</v>
      </c>
      <c r="J33" s="120">
        <f>+J32*85</f>
        <v>4250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655950</v>
      </c>
      <c r="E36" s="43">
        <f>+D36-L4-L5-L6</f>
        <v>592800</v>
      </c>
    </row>
    <row r="37" spans="3:15" x14ac:dyDescent="0.35">
      <c r="C37" s="47" t="s">
        <v>33</v>
      </c>
      <c r="D37" s="48">
        <f>D36*13%</f>
        <v>85273.5</v>
      </c>
      <c r="E37">
        <f>+D37-M4-M5-M6</f>
        <v>77073.5</v>
      </c>
    </row>
    <row r="38" spans="3:15" x14ac:dyDescent="0.35">
      <c r="C38" s="47" t="s">
        <v>30</v>
      </c>
      <c r="D38" s="30">
        <f>SUM(O4:O27)</f>
        <v>658750</v>
      </c>
      <c r="G38" s="100"/>
    </row>
    <row r="39" spans="3:15" ht="15" thickBot="1" x14ac:dyDescent="0.4">
      <c r="C39" s="49" t="s">
        <v>4</v>
      </c>
      <c r="D39" s="80">
        <f>+D36-D37-D38</f>
        <v>-88073.5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-88073.5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83 Blanca</v>
      </c>
      <c r="D2" s="268"/>
      <c r="E2" s="267" t="str">
        <f>IF(E33=0,"",CONCATENATE(PREMIOS!$B11," ",PREMIOS!$B12))</f>
        <v>91 Blanca</v>
      </c>
      <c r="F2" s="268"/>
      <c r="G2" s="267" t="str">
        <f>IF(G33=0,"",CONCATENATE(PREMIOS!$B15," ",PREMIOS!$B16))</f>
        <v>08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14400</v>
      </c>
      <c r="D10" s="30">
        <f>IF(Vendedor7!$E$8="",0,Vendedor7!$E$8)</f>
        <v>350</v>
      </c>
      <c r="E10" s="180">
        <f>IF(Vendedor7!$C$12="",0,Vendedor7!$C$12)</f>
        <v>21800</v>
      </c>
      <c r="F10" s="30">
        <f>IF(Vendedor7!$E$12="",0,Vendedor7!$E$12)</f>
        <v>0</v>
      </c>
      <c r="G10" s="180">
        <f>IF(Vendedor7!$C$16="",0,Vendedor7!$C$16)</f>
        <v>15850</v>
      </c>
      <c r="H10" s="30">
        <f>IF(Vendedor7!$E$16="",0,Vendedor7!$E$16)</f>
        <v>0</v>
      </c>
      <c r="J10" s="42">
        <f t="shared" si="1"/>
        <v>52050</v>
      </c>
      <c r="K10" s="41">
        <f>J10*Vendedor7!J$16</f>
        <v>5205</v>
      </c>
      <c r="L10" s="42">
        <f t="shared" si="2"/>
        <v>0</v>
      </c>
      <c r="M10" s="42">
        <f t="shared" si="3"/>
        <v>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46845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2600</v>
      </c>
      <c r="D12" s="30">
        <f>IF(Vendedor9!$E$8="",0,Vendedor9!$E$8)</f>
        <v>0</v>
      </c>
      <c r="E12" s="180">
        <f>IF(Vendedor9!$C$12="",0,Vendedor9!$C$12)</f>
        <v>1750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4350</v>
      </c>
      <c r="K12" s="41">
        <f>J12*Vendedor9!J$13</f>
        <v>435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3915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17000</v>
      </c>
      <c r="D33" s="44">
        <f>IF(PREMIOS!E8&lt;&gt;0,SUM(D4:D32),0)</f>
        <v>0</v>
      </c>
      <c r="E33" s="43">
        <f>SUM(E4:E32)</f>
        <v>23550</v>
      </c>
      <c r="F33" s="44">
        <f>IF(PREMIOS!E12&lt;&gt;0,SUM(F4:F32),0)</f>
        <v>0</v>
      </c>
      <c r="G33" s="43">
        <f>SUM(G4:G32)</f>
        <v>15850</v>
      </c>
      <c r="H33" s="44">
        <f>IF(PREMIOS!E16&lt;&gt;0,SUM(H4:H32),0)</f>
        <v>0</v>
      </c>
      <c r="J33" s="45">
        <f>SUM(J4:J32)</f>
        <v>56400</v>
      </c>
      <c r="K33" s="45">
        <f>SUM(K7:K32)</f>
        <v>5640</v>
      </c>
      <c r="L33" s="95">
        <f>SUM(L7:L32)</f>
        <v>0</v>
      </c>
      <c r="M33" s="95">
        <f>SUM(M7:M32)</f>
        <v>350</v>
      </c>
      <c r="N33" s="95">
        <f>SUM(N4:N27)</f>
        <v>0</v>
      </c>
      <c r="O33" s="95">
        <f>SUM(O4:O27)</f>
        <v>0</v>
      </c>
      <c r="Q33" s="79">
        <f>SUM(Q4:Q32)</f>
        <v>50760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56400</v>
      </c>
      <c r="E37" s="43">
        <f>+D37-J4-J5-J6</f>
        <v>56400</v>
      </c>
      <c r="F37" s="275"/>
      <c r="G37" s="275"/>
    </row>
    <row r="38" spans="3:17" ht="15" thickBot="1" x14ac:dyDescent="0.4">
      <c r="C38" s="47" t="s">
        <v>33</v>
      </c>
      <c r="D38" s="30">
        <f>D37*10%</f>
        <v>5640</v>
      </c>
      <c r="E38" s="43">
        <f>+D38-K4-K5-K6</f>
        <v>5640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50760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50760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4" zoomScale="90" zoomScaleNormal="90" workbookViewId="0">
      <selection activeCell="H37" sqref="H37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31</v>
      </c>
      <c r="D2" s="268"/>
      <c r="E2" s="267">
        <f>DigitaPRIMERA!E2</f>
        <v>33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5200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5200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1100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1100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41900</v>
      </c>
      <c r="D8" s="30">
        <f>IF(Vendedor5!$E$19="",0,Vendedor5!$E$19)</f>
        <v>1100</v>
      </c>
      <c r="E8" s="180">
        <f>IF(Vendedor5!$C$20="",0,Vendedor5!$C$20)</f>
        <v>17550</v>
      </c>
      <c r="F8" s="30">
        <f>IF(Vendedor5!$E$20="",0,Vendedor5!$E$20)</f>
        <v>0</v>
      </c>
      <c r="H8" s="133">
        <f t="shared" si="1"/>
        <v>59450</v>
      </c>
      <c r="I8" s="148">
        <f>MROUND(H8*Vendedor5!J$11,50)</f>
        <v>7150</v>
      </c>
      <c r="J8" s="133">
        <f t="shared" si="2"/>
        <v>1100</v>
      </c>
      <c r="K8" s="133">
        <f t="shared" si="3"/>
        <v>93500</v>
      </c>
      <c r="L8" s="133">
        <f>Vendedor5!$F$19+Vendedor5!$F$20</f>
        <v>88000</v>
      </c>
      <c r="M8" s="155"/>
      <c r="N8" s="133">
        <f t="shared" si="0"/>
        <v>-35700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27200</v>
      </c>
      <c r="D10" s="30">
        <f>IF(Vendedor7!$E$19="",0,Vendedor7!$E$19)</f>
        <v>1100</v>
      </c>
      <c r="E10" s="180">
        <f>IF(Vendedor7!$C$20="",0,Vendedor7!$C$20)</f>
        <v>16450</v>
      </c>
      <c r="F10" s="30">
        <f>IF(Vendedor7!$E$20="",0,Vendedor7!$E$20)</f>
        <v>150</v>
      </c>
      <c r="H10" s="42">
        <f t="shared" si="1"/>
        <v>43650</v>
      </c>
      <c r="I10" s="41">
        <f>MROUND(H10*Vendedor7!J$14,50)</f>
        <v>5250</v>
      </c>
      <c r="J10" s="42">
        <f t="shared" si="2"/>
        <v>1250</v>
      </c>
      <c r="K10" s="42">
        <f t="shared" si="3"/>
        <v>106250</v>
      </c>
      <c r="L10" s="42">
        <f>Vendedor7!$F$19+Vendedor7!$F$20</f>
        <v>106250</v>
      </c>
      <c r="N10" s="42">
        <f t="shared" si="0"/>
        <v>-67850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30750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30750</v>
      </c>
      <c r="I12" s="148">
        <f>MROUND(H12*Vendedor9!J$11,50)</f>
        <v>3700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-6950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106150</v>
      </c>
      <c r="D32" s="44">
        <f>SUM(D4:D31)</f>
        <v>2600</v>
      </c>
      <c r="E32" s="43">
        <f>SUM(E4:E31)</f>
        <v>34000</v>
      </c>
      <c r="F32" s="44">
        <f>SUM(F4:F31)</f>
        <v>150</v>
      </c>
      <c r="H32" s="95">
        <f>SUM(H4:H31)</f>
        <v>140150</v>
      </c>
      <c r="I32" s="45">
        <f>SUM(I7:I31)</f>
        <v>16100</v>
      </c>
      <c r="J32" s="95"/>
      <c r="K32" s="95">
        <f>SUM(K4:K31)</f>
        <v>233750</v>
      </c>
      <c r="L32" s="95">
        <f>SUM(L4:L31)</f>
        <v>228250</v>
      </c>
      <c r="N32" s="79">
        <f>SUM(N4:N31)</f>
        <v>-105050</v>
      </c>
    </row>
    <row r="33" spans="3:6" x14ac:dyDescent="0.35">
      <c r="D33" s="99">
        <f>+D32*85</f>
        <v>221000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140150</v>
      </c>
      <c r="E36" s="43">
        <f>+D36-H4-H5-H6</f>
        <v>133850</v>
      </c>
    </row>
    <row r="37" spans="3:6" x14ac:dyDescent="0.35">
      <c r="C37" s="47" t="s">
        <v>33</v>
      </c>
      <c r="D37" s="48">
        <f>D36*13%</f>
        <v>18219.5</v>
      </c>
      <c r="E37">
        <f>+D37-I4-I5-I6</f>
        <v>17369.5</v>
      </c>
    </row>
    <row r="38" spans="3:6" ht="15" thickBot="1" x14ac:dyDescent="0.4">
      <c r="C38" s="47" t="s">
        <v>30</v>
      </c>
      <c r="D38" s="30">
        <f>SUM(K4:K27)</f>
        <v>233750</v>
      </c>
    </row>
    <row r="39" spans="3:6" ht="15" thickBot="1" x14ac:dyDescent="0.4">
      <c r="C39" s="49" t="s">
        <v>4</v>
      </c>
      <c r="D39" s="80">
        <f>+D36-D37-D38</f>
        <v>-111819.5</v>
      </c>
      <c r="F39" s="98">
        <f>+N32-D39</f>
        <v>6769.5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-111819.5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11</v>
      </c>
      <c r="D2" s="268"/>
      <c r="E2" s="267">
        <f>DigitaHONDURAS!E2</f>
        <v>72</v>
      </c>
      <c r="F2" s="268"/>
      <c r="G2" s="267">
        <f>DigitaHONDURAS!G2</f>
        <v>28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10500</v>
      </c>
      <c r="D10" s="30">
        <f>IF(Vendedor7!$E$21="",0,Vendedor7!$E$21)</f>
        <v>0</v>
      </c>
      <c r="E10" s="180">
        <f>IF(Vendedor7!$C$22="",0,Vendedor7!$C$22)</f>
        <v>11250</v>
      </c>
      <c r="F10" s="30">
        <f>IF(Vendedor7!$E$22="",0,Vendedor7!$E$22)</f>
        <v>0</v>
      </c>
      <c r="G10" s="180">
        <f>IF(Vendedor7!$C$23="",0,Vendedor7!$C$23)</f>
        <v>7200</v>
      </c>
      <c r="H10" s="30">
        <f>IF(Vendedor7!$E$23="",0,Vendedor7!$E$23)</f>
        <v>0</v>
      </c>
      <c r="J10" s="42">
        <f t="shared" si="0"/>
        <v>28950</v>
      </c>
      <c r="K10" s="41">
        <f>MROUND(J10*Vendedor7!J$14,50)</f>
        <v>3450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25500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5250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5250</v>
      </c>
      <c r="K12" s="41">
        <f>MROUND(J12*Vendedor9!J$14,50)</f>
        <v>650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4600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15750</v>
      </c>
      <c r="D32" s="44">
        <f t="shared" si="8"/>
        <v>0</v>
      </c>
      <c r="E32" s="43">
        <f t="shared" si="8"/>
        <v>11250</v>
      </c>
      <c r="F32" s="44">
        <f t="shared" si="8"/>
        <v>0</v>
      </c>
      <c r="G32" s="43">
        <f t="shared" si="8"/>
        <v>7200</v>
      </c>
      <c r="H32" s="44">
        <f t="shared" si="8"/>
        <v>0</v>
      </c>
      <c r="J32" s="95">
        <f>SUM(J4:J31)</f>
        <v>34200</v>
      </c>
      <c r="K32" s="45">
        <f>SUM(K7:K31)</f>
        <v>4100</v>
      </c>
      <c r="L32" s="95"/>
      <c r="M32" s="95">
        <f>SUM(M4:M31)</f>
        <v>0</v>
      </c>
      <c r="N32" s="95">
        <f>SUM(N4:N31)</f>
        <v>0</v>
      </c>
      <c r="P32" s="79">
        <f>SUM(P4:P31)</f>
        <v>30100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34200</v>
      </c>
      <c r="E36" s="43">
        <f>+D36-J4-J5-J6</f>
        <v>34200</v>
      </c>
    </row>
    <row r="37" spans="3:8" x14ac:dyDescent="0.35">
      <c r="C37" s="47" t="s">
        <v>33</v>
      </c>
      <c r="D37" s="48">
        <f>D36*13%</f>
        <v>4446</v>
      </c>
      <c r="E37">
        <f>+D37-K4-K5-K6</f>
        <v>4446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29754</v>
      </c>
      <c r="F39" s="98">
        <f>+P32-D39</f>
        <v>346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29754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33</v>
      </c>
      <c r="D2" s="268"/>
      <c r="E2" s="267">
        <f>DigitaDOMINICANA!E2</f>
        <v>59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32650</v>
      </c>
      <c r="D10" s="30">
        <f>IF(Vendedor7!$E$24="",0,Vendedor7!$E$24)</f>
        <v>1000</v>
      </c>
      <c r="E10" s="180">
        <f>IF(Vendedor7!$C$25="",0,Vendedor7!$C$25)</f>
        <v>33000</v>
      </c>
      <c r="F10" s="30">
        <f>IF(Vendedor7!$E$25="",0,Vendedor7!$E$25)</f>
        <v>0</v>
      </c>
      <c r="H10" s="42">
        <f t="shared" si="1"/>
        <v>65650</v>
      </c>
      <c r="I10" s="41">
        <f>MROUND(H10*Vendedor7!J$14,50)</f>
        <v>7900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-27250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32650</v>
      </c>
      <c r="D32" s="44">
        <f>SUM(D4:D31)</f>
        <v>1000</v>
      </c>
      <c r="E32" s="43">
        <f>SUM(E4:E31)</f>
        <v>33000</v>
      </c>
      <c r="F32" s="44">
        <f>SUM(F4:F31)</f>
        <v>0</v>
      </c>
      <c r="H32" s="95">
        <f>SUM(H4:H31)</f>
        <v>65650</v>
      </c>
      <c r="I32" s="45">
        <f>SUM(I7:I31)</f>
        <v>7900</v>
      </c>
      <c r="J32" s="95"/>
      <c r="K32" s="95">
        <f>SUM(K4:K31)</f>
        <v>85000</v>
      </c>
      <c r="L32" s="95">
        <f>SUM(L4:L31)</f>
        <v>85000</v>
      </c>
      <c r="N32" s="79">
        <f>SUM(N4:N31)</f>
        <v>-27250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65650</v>
      </c>
      <c r="E36" s="43">
        <f>+D36-H4-H5-H6</f>
        <v>65650</v>
      </c>
    </row>
    <row r="37" spans="3:6" x14ac:dyDescent="0.35">
      <c r="C37" s="47" t="s">
        <v>33</v>
      </c>
      <c r="D37" s="48">
        <f>D36*13%</f>
        <v>8534.5</v>
      </c>
      <c r="E37">
        <f>+D37-I4-I5-I6</f>
        <v>8534.5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-27884.5</v>
      </c>
      <c r="F39" s="98">
        <f>+N32-D39</f>
        <v>634.5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-27884.5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06-07-2026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592800</v>
      </c>
      <c r="C4" s="157">
        <f>HojaNICA!M32</f>
        <v>71100</v>
      </c>
      <c r="D4" s="150">
        <f>HojaNICA!E37</f>
        <v>77073.5</v>
      </c>
      <c r="E4" s="150">
        <f>HojaNICA!P32</f>
        <v>635000</v>
      </c>
      <c r="F4" s="150">
        <f>HojaNICA!O32</f>
        <v>658750</v>
      </c>
      <c r="G4" s="151">
        <f t="shared" ref="G4:G10" si="0">+D4-C4+F4-E4</f>
        <v>29723.5</v>
      </c>
      <c r="H4" s="21"/>
      <c r="I4" s="182"/>
    </row>
    <row r="5" spans="1:9" x14ac:dyDescent="0.35">
      <c r="A5" s="28" t="s">
        <v>19</v>
      </c>
      <c r="B5" s="156">
        <f>HojaTICA!$E$36</f>
        <v>973350</v>
      </c>
      <c r="C5" s="157">
        <f>HojaTICA!K32</f>
        <v>119850</v>
      </c>
      <c r="D5" s="150">
        <f>HojaTICA!E37</f>
        <v>126536</v>
      </c>
      <c r="E5" s="150">
        <f>HojaTICA!N32</f>
        <v>1052500</v>
      </c>
      <c r="F5" s="150">
        <f>HojaTICA!D38</f>
        <v>1054000</v>
      </c>
      <c r="G5" s="151">
        <f t="shared" si="0"/>
        <v>8186</v>
      </c>
      <c r="H5" s="21"/>
      <c r="I5" s="182"/>
    </row>
    <row r="6" spans="1:9" x14ac:dyDescent="0.35">
      <c r="A6" s="28" t="s">
        <v>125</v>
      </c>
      <c r="B6" s="156">
        <f>HojaREVENTADO!$E$37</f>
        <v>56400</v>
      </c>
      <c r="C6" s="157">
        <f>HojaREVENTADO!K33</f>
        <v>5640</v>
      </c>
      <c r="D6" s="150">
        <f>HojaREVENTADO!E38</f>
        <v>5640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133850</v>
      </c>
      <c r="C7" s="157">
        <f>HojaPrimera!I32</f>
        <v>16100</v>
      </c>
      <c r="D7" s="150">
        <f>HojaPrimera!E37</f>
        <v>17369.5</v>
      </c>
      <c r="E7" s="150">
        <f>HojaPrimera!L32</f>
        <v>228250</v>
      </c>
      <c r="F7" s="150">
        <f>HojaPrimera!K32</f>
        <v>233750</v>
      </c>
      <c r="G7" s="151">
        <f t="shared" si="0"/>
        <v>6769.5</v>
      </c>
      <c r="H7" s="21"/>
      <c r="I7" s="21"/>
    </row>
    <row r="8" spans="1:9" x14ac:dyDescent="0.35">
      <c r="A8" s="28" t="s">
        <v>104</v>
      </c>
      <c r="B8" s="156">
        <f>HojaHonduras!$E$36</f>
        <v>34200</v>
      </c>
      <c r="C8" s="157">
        <f>HojaHonduras!K32</f>
        <v>4100</v>
      </c>
      <c r="D8" s="150">
        <f>HojaHonduras!E37</f>
        <v>4446</v>
      </c>
      <c r="E8" s="150">
        <f>HojaHonduras!N32</f>
        <v>0</v>
      </c>
      <c r="F8" s="150">
        <f>HojaHonduras!M32</f>
        <v>0</v>
      </c>
      <c r="G8" s="151">
        <f t="shared" si="0"/>
        <v>346</v>
      </c>
      <c r="H8" s="21"/>
      <c r="I8" s="21"/>
    </row>
    <row r="9" spans="1:9" x14ac:dyDescent="0.35">
      <c r="A9" s="28" t="s">
        <v>20</v>
      </c>
      <c r="B9" s="156">
        <f>HojaDominicana!$E$36</f>
        <v>65650</v>
      </c>
      <c r="C9" s="157">
        <f>HojaDominicana!I32</f>
        <v>7900</v>
      </c>
      <c r="D9" s="150">
        <f>HojaDominicana!E37</f>
        <v>8534.5</v>
      </c>
      <c r="E9" s="150">
        <f>HojaDominicana!L32</f>
        <v>85000</v>
      </c>
      <c r="F9" s="150">
        <f>HojaDominicana!K32</f>
        <v>85000</v>
      </c>
      <c r="G9" s="151">
        <f t="shared" si="0"/>
        <v>634.5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1856250</v>
      </c>
      <c r="C11" s="175">
        <f>SUM(C4:C10)</f>
        <v>224690</v>
      </c>
      <c r="D11" s="175">
        <f t="shared" ref="D11:F11" si="1">SUM(D4:D10)</f>
        <v>239599.5</v>
      </c>
      <c r="E11" s="175">
        <f t="shared" si="1"/>
        <v>2000750</v>
      </c>
      <c r="F11" s="175">
        <f t="shared" si="1"/>
        <v>2031500</v>
      </c>
      <c r="G11" s="176">
        <f>SUM(G4:G10)</f>
        <v>45659.5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25659.5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213750</v>
      </c>
      <c r="E16" s="157">
        <f>+Vendedor1!D21</f>
        <v>27787.5</v>
      </c>
      <c r="F16" s="158">
        <f>IF(D16&lt;&gt;0,15000,0)</f>
        <v>15000</v>
      </c>
      <c r="G16" s="151">
        <f>+E16-F16</f>
        <v>12787.5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229550</v>
      </c>
      <c r="E17" s="157">
        <f>+Vendedor2!D21</f>
        <v>29841.5</v>
      </c>
      <c r="F17" s="158">
        <f>IF(D17&lt;&gt;0,15000,0)</f>
        <v>15000</v>
      </c>
      <c r="G17" s="151">
        <f>+E17-F17</f>
        <v>14841.5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443300</v>
      </c>
      <c r="E19" s="159">
        <f>SUM(E16:E18)</f>
        <v>57629</v>
      </c>
      <c r="F19" s="160">
        <f>SUM(F16:F18)</f>
        <v>30000</v>
      </c>
      <c r="G19" s="161">
        <f>SUM(G16:G18)</f>
        <v>27629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53288.5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06-07-2026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655950</v>
      </c>
      <c r="C5" s="150">
        <f>HojaNICA!D37</f>
        <v>85273.5</v>
      </c>
      <c r="D5" s="150">
        <f>HojaNICA!D38</f>
        <v>658750</v>
      </c>
      <c r="E5" s="150"/>
      <c r="F5" s="151">
        <f>+B5-C5-D5+E5</f>
        <v>-88073.5</v>
      </c>
      <c r="H5" s="249" t="s">
        <v>105</v>
      </c>
      <c r="I5" s="243">
        <f ca="1">TODAY()-2</f>
        <v>46209</v>
      </c>
      <c r="O5" s="119"/>
    </row>
    <row r="6" spans="1:15" ht="15" thickBot="1" x14ac:dyDescent="0.4">
      <c r="A6" s="47" t="s">
        <v>36</v>
      </c>
      <c r="B6" s="150">
        <f>HojaTICA!D36</f>
        <v>1347200</v>
      </c>
      <c r="C6" s="150">
        <f>HojaTICA!D37</f>
        <v>175136</v>
      </c>
      <c r="D6" s="150">
        <f>HojaTICA!D38</f>
        <v>1054000</v>
      </c>
      <c r="E6" s="150"/>
      <c r="F6" s="151">
        <f t="shared" ref="F6:F11" si="0">+B6-C6-D6+E6</f>
        <v>118064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56400</v>
      </c>
      <c r="C7" s="150">
        <f>HojaREVENTADO!D38</f>
        <v>5640</v>
      </c>
      <c r="D7" s="150">
        <f>HojaREVENTADO!D39</f>
        <v>0</v>
      </c>
      <c r="E7" s="150"/>
      <c r="F7" s="151">
        <f t="shared" si="0"/>
        <v>50760</v>
      </c>
    </row>
    <row r="8" spans="1:15" x14ac:dyDescent="0.35">
      <c r="A8" s="47" t="s">
        <v>96</v>
      </c>
      <c r="B8" s="150">
        <f>HojaPrimera!$D36</f>
        <v>140150</v>
      </c>
      <c r="C8" s="150">
        <f>HojaPrimera!$D37</f>
        <v>18219.5</v>
      </c>
      <c r="D8" s="150">
        <f>HojaPrimera!$D38</f>
        <v>233750</v>
      </c>
      <c r="E8" s="150"/>
      <c r="F8" s="151">
        <f t="shared" si="0"/>
        <v>-111819.5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34200</v>
      </c>
      <c r="C9" s="150">
        <f>HojaHonduras!$D37</f>
        <v>4446</v>
      </c>
      <c r="D9" s="150">
        <f>HojaHonduras!$D38</f>
        <v>0</v>
      </c>
      <c r="E9" s="150"/>
      <c r="F9" s="151">
        <f t="shared" si="0"/>
        <v>29754</v>
      </c>
      <c r="H9" s="250">
        <f>+K12-K10-H6</f>
        <v>-16449.5</v>
      </c>
    </row>
    <row r="10" spans="1:15" ht="15" thickBot="1" x14ac:dyDescent="0.4">
      <c r="A10" s="47" t="s">
        <v>20</v>
      </c>
      <c r="B10" s="150">
        <f>HojaDominicana!$D36</f>
        <v>65650</v>
      </c>
      <c r="C10" s="150">
        <f>HojaDominicana!$D37</f>
        <v>8534.5</v>
      </c>
      <c r="D10" s="150">
        <f>HojaDominicana!$D38</f>
        <v>85000</v>
      </c>
      <c r="E10" s="150"/>
      <c r="F10" s="151">
        <f t="shared" si="0"/>
        <v>-27884.5</v>
      </c>
      <c r="H10" s="154"/>
      <c r="J10" t="s">
        <v>148</v>
      </c>
      <c r="K10" s="252">
        <v>3004734.09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2975534.59</v>
      </c>
    </row>
    <row r="12" spans="1:15" ht="16" thickBot="1" x14ac:dyDescent="0.4">
      <c r="A12" s="144" t="s">
        <v>5</v>
      </c>
      <c r="B12" s="152">
        <f>SUM(B5:B11)</f>
        <v>2299550</v>
      </c>
      <c r="C12" s="152">
        <f>SUM(C5:C11)</f>
        <v>297249.5</v>
      </c>
      <c r="D12" s="152">
        <f>SUM(D5:D11)</f>
        <v>2031500</v>
      </c>
      <c r="E12" s="152"/>
      <c r="F12" s="255">
        <f>SUM(F5:F11)</f>
        <v>-29199.5</v>
      </c>
      <c r="H12" s="251">
        <f>K11</f>
        <v>2975534.59</v>
      </c>
      <c r="J12" t="s">
        <v>140</v>
      </c>
      <c r="K12" s="254">
        <f>-1925676.23-985775.66+3665444.5+2234291.98</f>
        <v>2988284.59</v>
      </c>
    </row>
    <row r="13" spans="1:15" x14ac:dyDescent="0.35">
      <c r="M13" s="154"/>
    </row>
    <row r="14" spans="1:15" x14ac:dyDescent="0.35">
      <c r="K14" s="154">
        <f>+K12-K11</f>
        <v>12750</v>
      </c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176500</v>
      </c>
      <c r="K4" s="231">
        <f t="shared" ref="K4" si="0">D7+D11+D15</f>
        <v>22945</v>
      </c>
      <c r="L4" s="220">
        <f>F7+F11+F15</f>
        <v>204000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IF(DigitaNICA!C4&lt;&gt;"",DigitaNICA!C4,"")</f>
        <v>7150</v>
      </c>
      <c r="D5" s="42">
        <f>IF(C5="",0,C5*J$10)</f>
        <v>929.5</v>
      </c>
      <c r="E5" s="29">
        <f>IF(DigitaNICA!D4&lt;&gt;"",DigitaNICA!D4,"")</f>
        <v>400</v>
      </c>
      <c r="F5" s="42">
        <f>IF(E5="",0,E5*PREMIOS!E5)</f>
        <v>32000</v>
      </c>
      <c r="G5" s="30">
        <f t="shared" ref="G5:G12" si="1">IF(OR(C5="",E5=""),0,C5-D5-F5)</f>
        <v>-25779.5</v>
      </c>
      <c r="I5" s="241" t="s">
        <v>37</v>
      </c>
      <c r="J5" s="221">
        <f>SUM(IF(C5="",0,C5),IF(C9="",0,C9),IF(C13="",0,C13),IF(C17="",0,C17))</f>
        <v>32050</v>
      </c>
      <c r="K5" s="225">
        <f t="shared" ref="K5" si="2">D5+D9+D13+D17</f>
        <v>4166.5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5200</v>
      </c>
      <c r="K6" s="228">
        <f>D19+D20</f>
        <v>676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IF(DigitaTICA!C4&lt;&gt;"",DigitaTICA!C4,"")</f>
        <v>56550</v>
      </c>
      <c r="D7" s="42">
        <f>IF(C7="",0,C7*J$9)</f>
        <v>7351.5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49198.5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IF(DigitaNICA!E4&lt;&gt;"",DigitaNICA!E4,"")</f>
        <v>11350</v>
      </c>
      <c r="D9" s="42">
        <f>IF(C9="",0,C9*J$10)</f>
        <v>1475.5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9874.5</v>
      </c>
      <c r="I9" s="76" t="s">
        <v>36</v>
      </c>
      <c r="J9" s="77">
        <v>0.13</v>
      </c>
      <c r="K9" s="78">
        <f>MROUND(D7+D11+D15,50)</f>
        <v>22950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4150</v>
      </c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IF(DigitaTICA!E4&lt;&gt;"",DigitaTICA!E4,"")</f>
        <v>32150</v>
      </c>
      <c r="D11" s="42">
        <f>IF(C11="",0,C11*J$9)</f>
        <v>4179.5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27970.5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IF(DigitaNICA!G4&lt;&gt;"",DigitaNICA!G4,"")</f>
        <v>5850</v>
      </c>
      <c r="D13" s="42">
        <f>IF(C13="",0,C13*J$10)</f>
        <v>760.5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5089.5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IF(DigitaTICA!G4&lt;&gt;"",DigitaTICA!G4,"")</f>
        <v>87800</v>
      </c>
      <c r="D15" s="42">
        <f>IF(C15="",0,C15*J$9)</f>
        <v>11414</v>
      </c>
      <c r="E15" s="29">
        <f>IF(DigitaTICA!H4&lt;&gt;"",DigitaTICA!H4,"")</f>
        <v>2400</v>
      </c>
      <c r="F15" s="42">
        <f>IF(E15="",0,E15*PREMIOS!F15)</f>
        <v>204000</v>
      </c>
      <c r="G15" s="30">
        <f t="shared" si="3"/>
        <v>-127614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IF(DigitaNICA!I4&lt;&gt;"",DigitaNICA!I4,"")</f>
        <v>7700</v>
      </c>
      <c r="D17" s="42">
        <f>IF(C17="",0,C17*J$10)</f>
        <v>1001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6699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>
        <f>IF(DigitaPRIMERA!C4&lt;&gt;"",DigitaPRIMERA!C4,"")</f>
        <v>5200</v>
      </c>
      <c r="D19" s="42">
        <f>IF(C19="",0,C19*J$12)</f>
        <v>676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4524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213750</v>
      </c>
      <c r="D21" s="122">
        <f t="shared" ref="D21:G21" si="6">SUM(D5:D20)</f>
        <v>27787.5</v>
      </c>
      <c r="E21" s="122">
        <f t="shared" si="6"/>
        <v>2800</v>
      </c>
      <c r="F21" s="122">
        <f t="shared" si="6"/>
        <v>236000</v>
      </c>
      <c r="G21" s="123">
        <f t="shared" si="6"/>
        <v>-50037.5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197350</v>
      </c>
      <c r="K4" s="231">
        <f t="shared" ref="K4" si="0">D7+D11+D15</f>
        <v>25655.5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IF(DigitaNICA!C5&lt;&gt;"",DigitaNICA!C5,"")</f>
        <v>7100</v>
      </c>
      <c r="D5" s="42">
        <f>IF(C5="",0,C5*J$10)</f>
        <v>923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-9823</v>
      </c>
      <c r="I5" s="241" t="s">
        <v>37</v>
      </c>
      <c r="J5" s="221">
        <f>SUM(IF(C5="",0,C5),IF(C9="",0,C9),IF(C13="",0,C13),IF(C17="",0,C17))</f>
        <v>31100</v>
      </c>
      <c r="K5" s="225">
        <f t="shared" ref="K5" si="2">D5+D9+D13+D17</f>
        <v>4043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1100</v>
      </c>
      <c r="K6" s="228">
        <f>D19+D20</f>
        <v>143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IF(DigitaTICA!C5&lt;&gt;"",DigitaTICA!C5,"")</f>
        <v>71150</v>
      </c>
      <c r="D7" s="42">
        <f>IF(C7="",0,C7*J$9)</f>
        <v>9249.5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44900.5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IF(DigitaNICA!E5&lt;&gt;"",DigitaNICA!E5,"")</f>
        <v>17000</v>
      </c>
      <c r="D9" s="42">
        <f>IF(C9="",0,C9*J$10)</f>
        <v>2210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14790</v>
      </c>
      <c r="I9" s="60" t="s">
        <v>36</v>
      </c>
      <c r="J9" s="61">
        <v>0.13</v>
      </c>
      <c r="K9" s="62">
        <f>MROUND(D7+D11+D15,50)</f>
        <v>25650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4050</v>
      </c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IF(DigitaTICA!E5&lt;&gt;"",DigitaTICA!E5,"")</f>
        <v>62350</v>
      </c>
      <c r="D11" s="42">
        <f>IF(C11="",0,C11*J$9)</f>
        <v>8105.5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54244.5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IF(DigitaTICA!G5&lt;&gt;"",DigitaTICA!G5,"")</f>
        <v>63850</v>
      </c>
      <c r="D15" s="42">
        <f>IF(C15="",0,C15*J$9)</f>
        <v>8300.5</v>
      </c>
      <c r="E15" s="29">
        <f>IF(DigitaTICA!H5&lt;&gt;"",DigitaTICA!H5,"")</f>
        <v>1750</v>
      </c>
      <c r="F15" s="42">
        <f>IF(E15="",0,E15*PREMIOS!F15)</f>
        <v>148750</v>
      </c>
      <c r="G15" s="30">
        <f t="shared" si="3"/>
        <v>-93200.5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IF(DigitaNICA!I5&lt;&gt;"",DigitaNICA!I5,"")</f>
        <v>7000</v>
      </c>
      <c r="D17" s="42">
        <f>IF(C17="",0,C17*J$10)</f>
        <v>910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6090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>
        <f>IF(DigitaPRIMERA!C5&lt;&gt;"",DigitaPRIMERA!C5,"")</f>
        <v>1100</v>
      </c>
      <c r="D19" s="42">
        <f>IF(C19="",0,C19*J$12)</f>
        <v>143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957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229550</v>
      </c>
      <c r="D21" s="68">
        <f t="shared" ref="D21:G21" si="4">SUM(D5:D20)</f>
        <v>29841.5</v>
      </c>
      <c r="E21" s="68">
        <f t="shared" si="4"/>
        <v>2150</v>
      </c>
      <c r="F21" s="68">
        <f t="shared" si="4"/>
        <v>181750</v>
      </c>
      <c r="G21" s="88">
        <f t="shared" si="4"/>
        <v>17958.5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208150</v>
      </c>
      <c r="K4" s="231">
        <f t="shared" ref="K4" si="0">D7+D11+D15</f>
        <v>24978</v>
      </c>
      <c r="L4" s="220">
        <f>F7+F11+F15</f>
        <v>212500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IF(DigitaNICA!C8&lt;&gt;"",DigitaNICA!C8,"")</f>
        <v>89050</v>
      </c>
      <c r="D5" s="42">
        <f>IF(C5="",0,C5*J$12)</f>
        <v>10686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58364</v>
      </c>
      <c r="I5" s="241" t="s">
        <v>37</v>
      </c>
      <c r="J5" s="221">
        <f>SUM(IF(C5="",0,C5),IF(C9="",0,C9),IF(C13="",0,C13),IF(C17="",0,C17))</f>
        <v>214650</v>
      </c>
      <c r="K5" s="225">
        <f t="shared" ref="K5" si="2">D5+D9+D13+D17</f>
        <v>25758</v>
      </c>
      <c r="L5" s="222">
        <f>F5+F9+F13+F17</f>
        <v>228000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IF(DigitaTICA!C8&lt;&gt;"",DigitaTICA!C8,"")</f>
        <v>70450</v>
      </c>
      <c r="D7" s="42">
        <f>IF(C7="",0,C7*J$11)</f>
        <v>8454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61996</v>
      </c>
      <c r="I7" s="242" t="s">
        <v>96</v>
      </c>
      <c r="J7" s="224">
        <f>SUM(IF(C19="",0,C19),IF(C20="",0,C20))</f>
        <v>59450</v>
      </c>
      <c r="K7" s="228">
        <f>+D19+D20</f>
        <v>7134</v>
      </c>
      <c r="L7" s="229">
        <f>+F19+F20</f>
        <v>88000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>
        <f>IF(DigitaNICA!E8&lt;&gt;"",DigitaNICA!E8,"")</f>
        <v>62600</v>
      </c>
      <c r="D9" s="42">
        <f>IF(C9="",0,C9*J$12)</f>
        <v>7512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15088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IF(DigitaTICA!E8&lt;&gt;"",DigitaTICA!E8,"")</f>
        <v>69900</v>
      </c>
      <c r="D11" s="42">
        <f>IF(C11="",0,C11*J$11)</f>
        <v>8388</v>
      </c>
      <c r="E11" s="29">
        <f>IF(DigitaTICA!F8&lt;&gt;"",DigitaTICA!F8,"")</f>
        <v>1000</v>
      </c>
      <c r="F11" s="42">
        <f>IF(E11="",0,E11*PREMIOS!F11)</f>
        <v>85000</v>
      </c>
      <c r="G11" s="30">
        <f t="shared" si="1"/>
        <v>-23488</v>
      </c>
      <c r="I11" s="60" t="s">
        <v>36</v>
      </c>
      <c r="J11" s="61">
        <v>0.12</v>
      </c>
      <c r="K11" s="62">
        <f>MROUND(D7+D11+D15,50)</f>
        <v>25000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25750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IF(DigitaNICA!G8&lt;&gt;"",DigitaNICA!G8,"")</f>
        <v>23000</v>
      </c>
      <c r="D13" s="42">
        <f>IF(C13="",0,C13*J$12)</f>
        <v>2760</v>
      </c>
      <c r="E13" s="29">
        <f>IF(DigitaNICA!H8&lt;&gt;"",DigitaNICA!H8,"")</f>
        <v>2100</v>
      </c>
      <c r="F13" s="42">
        <f>IF(E13="",0,E13*PREMIOS!E13)</f>
        <v>168000</v>
      </c>
      <c r="G13" s="30">
        <f>IF(OR(C13="",E13=""),0,C13-D13-F13)</f>
        <v>-147760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7150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IF(DigitaTICA!G8&lt;&gt;"",DigitaTICA!G8,"")</f>
        <v>67800</v>
      </c>
      <c r="D15" s="42">
        <f>IF(C15="",0,C15*J$11)</f>
        <v>8136</v>
      </c>
      <c r="E15" s="29">
        <f>IF(DigitaTICA!H8&lt;&gt;"",DigitaTICA!H8,"")</f>
        <v>1500</v>
      </c>
      <c r="F15" s="42">
        <f>IF(E15="",0,E15*PREMIOS!F15)</f>
        <v>127500</v>
      </c>
      <c r="G15" s="30">
        <f t="shared" si="4"/>
        <v>-67836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IF(DigitaNICA!I8&lt;&gt;"",DigitaNICA!I8,"")</f>
        <v>40000</v>
      </c>
      <c r="D17" s="42">
        <f>IF(C17="",0,C17*J$12)</f>
        <v>4800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35200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>
        <f>IF(DigitaPRIMERA!C8&lt;&gt;"",DigitaPRIMERA!C8,"")</f>
        <v>41900</v>
      </c>
      <c r="D19" s="42">
        <f>IF(C19="",0,C19*J$14)</f>
        <v>5028</v>
      </c>
      <c r="E19" s="29">
        <f>IF(DigitaPRIMERA!D8&lt;&gt;"",DigitaPRIMERA!D8,"")</f>
        <v>1100</v>
      </c>
      <c r="F19" s="42">
        <f>IF(E19="",0,E19*PREMIOS!E19)</f>
        <v>88000</v>
      </c>
      <c r="G19" s="30">
        <f t="shared" si="4"/>
        <v>-51128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>
        <f>IF(DigitaPRIMERA!E8&lt;&gt;"",DigitaPRIMERA!E8,"")</f>
        <v>17550</v>
      </c>
      <c r="D20" s="42">
        <f>IF(C20="",0,C20*J$14)</f>
        <v>2106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15444</v>
      </c>
    </row>
    <row r="21" spans="1:7" ht="15" thickBot="1" x14ac:dyDescent="0.4">
      <c r="A21" s="121" t="s">
        <v>5</v>
      </c>
      <c r="B21" s="128"/>
      <c r="C21" s="122">
        <f>SUM(C5:C20)</f>
        <v>482250</v>
      </c>
      <c r="D21" s="122">
        <f t="shared" ref="D21:G21" si="5">SUM(D5:D20)</f>
        <v>57870</v>
      </c>
      <c r="E21" s="122">
        <f t="shared" si="5"/>
        <v>6450</v>
      </c>
      <c r="F21" s="122">
        <f t="shared" si="5"/>
        <v>528500</v>
      </c>
      <c r="G21" s="123">
        <f t="shared" si="5"/>
        <v>-104120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380550</v>
      </c>
      <c r="K4" s="231">
        <f t="shared" ref="K4" si="0">D7+D11+D15</f>
        <v>45666</v>
      </c>
      <c r="L4" s="220">
        <f>F7+F11+F15</f>
        <v>199750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IF(DigitaNICA!C10&lt;&gt;"",DigitaNICA!C10,"")</f>
        <v>51800</v>
      </c>
      <c r="D5" s="42">
        <f>IF(C5="",0,C5*J$15)</f>
        <v>6216</v>
      </c>
      <c r="E5" s="29">
        <f>IF(DigitaNICA!D10&lt;&gt;"",DigitaNICA!D10,"")</f>
        <v>400</v>
      </c>
      <c r="F5" s="42">
        <f>IF(E5="",0,E5*PREMIOS!F5)</f>
        <v>34000</v>
      </c>
      <c r="G5" s="30">
        <f t="shared" ref="G5:G12" si="1">IF(OR(C5="",E5=""),0,C5-D5-F5)</f>
        <v>11584</v>
      </c>
      <c r="I5" s="217" t="s">
        <v>37</v>
      </c>
      <c r="J5" s="221">
        <f>SUM(IF(C5="",0,C5),IF(C9="",0,C9),IF(C13="",0,C13),IF(C17="",0,C17))</f>
        <v>188050</v>
      </c>
      <c r="K5" s="225">
        <f t="shared" ref="K5" si="2">D5+D9+D13+D17</f>
        <v>22566</v>
      </c>
      <c r="L5" s="222">
        <f>F5+F9+F13+F17</f>
        <v>174250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52050</v>
      </c>
      <c r="K6" s="226">
        <f t="shared" ref="K6" si="3">+D8+D12+D16</f>
        <v>5205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83</v>
      </c>
      <c r="C7" s="29">
        <f>IF(DigitaTICA!C10&lt;&gt;"",DigitaTICA!C10,"")</f>
        <v>115000</v>
      </c>
      <c r="D7" s="42">
        <f>IF(C7="",0,C7*J$14)</f>
        <v>13800</v>
      </c>
      <c r="E7" s="29">
        <f>IF(DigitaTICA!D10&lt;&gt;"",DigitaTICA!D10,"")</f>
        <v>450</v>
      </c>
      <c r="F7" s="42">
        <f>IF(E7="",0,E7*PREMIOS!F7)</f>
        <v>38250</v>
      </c>
      <c r="G7" s="30">
        <f t="shared" si="1"/>
        <v>62950</v>
      </c>
      <c r="I7" s="217" t="s">
        <v>96</v>
      </c>
      <c r="J7" s="223">
        <f>SUM(IF(C19="",0,C19),IF(C20="",0,C20))</f>
        <v>43650</v>
      </c>
      <c r="K7" s="226">
        <f>+D19+D20</f>
        <v>5238</v>
      </c>
      <c r="L7" s="227">
        <f>+F19+F20</f>
        <v>106250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14400</v>
      </c>
      <c r="D8" s="42">
        <f>IF(C8="",0,C8*J$16)</f>
        <v>1440</v>
      </c>
      <c r="E8" s="29">
        <f>IF(DigitaREVENTADO!D10&lt;&gt;"",DigitaREVENTADO!D10,"")</f>
        <v>350</v>
      </c>
      <c r="F8" s="42">
        <f>IF(E8="",0,E8*PREMIOS!F8)</f>
        <v>0</v>
      </c>
      <c r="G8" s="30">
        <f t="shared" si="1"/>
        <v>12960</v>
      </c>
      <c r="I8" s="217" t="s">
        <v>104</v>
      </c>
      <c r="J8" s="223">
        <f>SUM(IF(C21="",0,C21),IF(C22="",0,C22),IF(C23="",0,C23))</f>
        <v>28950</v>
      </c>
      <c r="K8" s="226">
        <f t="shared" ref="K8" si="4">D21+D22+D23</f>
        <v>3474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IF(DigitaNICA!E10&lt;&gt;"",DigitaNICA!E10,"")</f>
        <v>48550</v>
      </c>
      <c r="D9" s="42">
        <f>IF(C9="",0,C9*J$15)</f>
        <v>5826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34224</v>
      </c>
      <c r="I9" s="217" t="s">
        <v>20</v>
      </c>
      <c r="J9" s="223">
        <f>SUM(IF(C24="",0,C24),IF(C25="",0,C25))</f>
        <v>65650</v>
      </c>
      <c r="K9" s="226">
        <f t="shared" ref="K9" si="5">+D24+D25</f>
        <v>7878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IF(DigitaTICA!E10&lt;&gt;"",DigitaTICA!E10,"")</f>
        <v>145350</v>
      </c>
      <c r="D11" s="42">
        <f>IF(C11="",0,C11*J$14)</f>
        <v>17442</v>
      </c>
      <c r="E11" s="29">
        <f>IF(DigitaTICA!F10&lt;&gt;"",DigitaTICA!F10,"")</f>
        <v>350</v>
      </c>
      <c r="F11" s="42">
        <f>IF(E11="",0,E11*PREMIOS!F11)</f>
        <v>29750</v>
      </c>
      <c r="G11" s="30">
        <f t="shared" si="1"/>
        <v>98158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21800</v>
      </c>
      <c r="D12" s="42">
        <f>IF(C12="",0,C12*J$16)</f>
        <v>2180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19620</v>
      </c>
    </row>
    <row r="13" spans="1:12" ht="15" thickBot="1" x14ac:dyDescent="0.4">
      <c r="A13" s="28" t="s">
        <v>50</v>
      </c>
      <c r="B13" s="132">
        <f>IF(DigitaNICA!G2&lt;&gt;"",DigitaNICA!G2,"")</f>
        <v>88</v>
      </c>
      <c r="C13" s="29">
        <f>IF(DigitaNICA!G10&lt;&gt;"",DigitaNICA!G10,"")</f>
        <v>31000</v>
      </c>
      <c r="D13" s="42">
        <f>IF(C13="",0,C13*J$15)</f>
        <v>3720</v>
      </c>
      <c r="E13" s="29">
        <f>IF(DigitaNICA!H10&lt;&gt;"",DigitaNICA!H10,"")</f>
        <v>1500</v>
      </c>
      <c r="F13" s="42">
        <f>IF(E13="",0,E13*PREMIOS!F13)</f>
        <v>127500</v>
      </c>
      <c r="G13" s="30">
        <f>IF(OR(C13="",E13=""),0,C13-D13-F13)</f>
        <v>-100220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45650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IF(DigitaTICA!G10&lt;&gt;"",DigitaTICA!G10,"")</f>
        <v>120200</v>
      </c>
      <c r="D15" s="42">
        <f>IF(C15="",0,C15*J$14)</f>
        <v>14424</v>
      </c>
      <c r="E15" s="29">
        <f>IF(DigitaTICA!H10&lt;&gt;"",DigitaTICA!H10,"")</f>
        <v>1550</v>
      </c>
      <c r="F15" s="42">
        <f>IF(E15="",0,E15*PREMIOS!F15)</f>
        <v>131750</v>
      </c>
      <c r="G15" s="30">
        <f t="shared" si="6"/>
        <v>-25974</v>
      </c>
      <c r="I15" s="63" t="s">
        <v>37</v>
      </c>
      <c r="J15" s="64">
        <v>0.12</v>
      </c>
      <c r="K15" s="30">
        <f>MROUND(D5+D9+D13+D17,50)</f>
        <v>22550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15850</v>
      </c>
      <c r="D16" s="42">
        <f>IF(C16="",0,C16*J$16)</f>
        <v>1585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14265</v>
      </c>
      <c r="I16" s="63" t="s">
        <v>38</v>
      </c>
      <c r="J16" s="64">
        <v>0.1</v>
      </c>
      <c r="K16" s="30">
        <f>MROUND(D6+D8+D10+D12+D14+D16+D18,50)</f>
        <v>5200</v>
      </c>
    </row>
    <row r="17" spans="1:11" x14ac:dyDescent="0.35">
      <c r="A17" s="28" t="s">
        <v>52</v>
      </c>
      <c r="B17" s="132">
        <f>IF(DigitaNICA!I2&lt;&gt;"",DigitaNICA!I2,"")</f>
        <v>61</v>
      </c>
      <c r="C17" s="29">
        <f>IF(DigitaNICA!I10&lt;&gt;"",DigitaNICA!I10,"")</f>
        <v>56700</v>
      </c>
      <c r="D17" s="42">
        <f>IF(C17="",0,C17*J$15)</f>
        <v>6804</v>
      </c>
      <c r="E17" s="29">
        <f>IF(DigitaNICA!J10&lt;&gt;"",DigitaNICA!J10,"")</f>
        <v>50</v>
      </c>
      <c r="F17" s="42">
        <f>IF(E17="",0,E17*PREMIOS!F17)</f>
        <v>4250</v>
      </c>
      <c r="G17" s="30">
        <f t="shared" si="6"/>
        <v>45646</v>
      </c>
      <c r="I17" s="63" t="s">
        <v>96</v>
      </c>
      <c r="J17" s="64">
        <v>0.12</v>
      </c>
      <c r="K17" s="30">
        <f>MROUND(D19+D20,50)</f>
        <v>5250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3450</v>
      </c>
    </row>
    <row r="19" spans="1:11" x14ac:dyDescent="0.35">
      <c r="A19" s="28" t="s">
        <v>97</v>
      </c>
      <c r="B19" s="132">
        <f>IF(DigitaPRIMERA!C2&lt;&gt;"",DigitaPRIMERA!C2,"")</f>
        <v>31</v>
      </c>
      <c r="C19" s="29">
        <f>IF(DigitaPRIMERA!$C$10&lt;&gt;"",DigitaPRIMERA!$C$10,"")</f>
        <v>27200</v>
      </c>
      <c r="D19" s="42">
        <f>IF(C19="",0,C19*J$17)</f>
        <v>3264</v>
      </c>
      <c r="E19" s="29">
        <f>IF(DigitaPRIMERA!$D$10&lt;&gt;"",DigitaPRIMERA!$D$10,"")</f>
        <v>1100</v>
      </c>
      <c r="F19" s="42">
        <f>IF(E19="",0,E19*PREMIOS!F19)</f>
        <v>93500</v>
      </c>
      <c r="G19" s="30">
        <f t="shared" ref="G19:G22" si="7">IF(OR(C19="",E19=""),0,C19-D19-F19)</f>
        <v>-69564</v>
      </c>
      <c r="I19" s="63" t="s">
        <v>20</v>
      </c>
      <c r="J19" s="64">
        <v>0.12</v>
      </c>
      <c r="K19" s="30">
        <f>MROUND(D24+D25,50)</f>
        <v>7900</v>
      </c>
    </row>
    <row r="20" spans="1:11" ht="15" thickBot="1" x14ac:dyDescent="0.4">
      <c r="A20" s="28" t="s">
        <v>98</v>
      </c>
      <c r="B20" s="132">
        <f>IF(DigitaPRIMERA!E2&lt;&gt;"",DigitaPRIMERA!E2,"")</f>
        <v>33</v>
      </c>
      <c r="C20" s="29">
        <f>IF(DigitaPRIMERA!$E$10&lt;&gt;"",DigitaPRIMERA!$E$10,"")</f>
        <v>16450</v>
      </c>
      <c r="D20" s="42">
        <f>IF(C20="",0,C20*J$17)</f>
        <v>1974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1726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11</v>
      </c>
      <c r="C21" s="29">
        <f>IF(DigitaHONDURAS!$C$10&lt;&gt;"",DigitaHONDURAS!$C$10,"")</f>
        <v>10500</v>
      </c>
      <c r="D21" s="42">
        <f>IF(C21="",0,C21*J$18)</f>
        <v>1260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9240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>
        <f>IF(DigitaHONDURAS!$E$10&lt;&gt;"",DigitaHONDURAS!$E$10,"")</f>
        <v>11250</v>
      </c>
      <c r="D22" s="42">
        <f>IF(C22="",0,C22*J$18)</f>
        <v>1350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9900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IF(DigitaHONDURAS!$G$10&lt;&gt;"",DigitaHONDURAS!$G$10,"")</f>
        <v>7200</v>
      </c>
      <c r="D23" s="42">
        <f>IF(C23="",0,C23*J$18)</f>
        <v>864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6336</v>
      </c>
    </row>
    <row r="24" spans="1:11" x14ac:dyDescent="0.35">
      <c r="A24" s="28" t="s">
        <v>107</v>
      </c>
      <c r="B24" s="132">
        <f>IF(DigitaDOMINICANA!C2&lt;&gt;"",DigitaDOMINICANA!C2,"")</f>
        <v>33</v>
      </c>
      <c r="C24" s="29">
        <f>IF(DigitaDOMINICANA!$C$10&lt;&gt;"",DigitaDOMINICANA!$C$10,"")</f>
        <v>32650</v>
      </c>
      <c r="D24" s="42">
        <f>IF(C24="",0,C24*J$19)</f>
        <v>3918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-56268</v>
      </c>
    </row>
    <row r="25" spans="1:11" x14ac:dyDescent="0.35">
      <c r="A25" s="28" t="s">
        <v>108</v>
      </c>
      <c r="B25" s="132">
        <f>IF(DigitaDOMINICANA!E2&lt;&gt;"",DigitaDOMINICANA!E2,"")</f>
        <v>59</v>
      </c>
      <c r="C25" s="29">
        <f>IF(DigitaDOMINICANA!$E$10&lt;&gt;"",DigitaDOMINICANA!$E$10,"")</f>
        <v>33000</v>
      </c>
      <c r="D25" s="42">
        <f>IF(C25="",0,C25*J$19)</f>
        <v>3960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29040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758900</v>
      </c>
      <c r="D27" s="68">
        <f t="shared" ref="D27:F27" si="9">SUM(D5:D26)</f>
        <v>90027</v>
      </c>
      <c r="E27" s="68">
        <f t="shared" si="9"/>
        <v>7000</v>
      </c>
      <c r="F27" s="68">
        <f t="shared" si="9"/>
        <v>565250</v>
      </c>
      <c r="G27" s="88">
        <f>SUM(G5:G26)</f>
        <v>103623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6000</v>
      </c>
      <c r="K4" s="231">
        <f t="shared" ref="K4" si="0">D7+D11+D15</f>
        <v>720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IF(DigitaTICA!G11&lt;&gt;"",DigitaTICA!G11,"")</f>
        <v>3500</v>
      </c>
      <c r="D15" s="42">
        <f>IF(C15="",0,C15*J$11)</f>
        <v>420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3080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6000</v>
      </c>
      <c r="D21" s="122">
        <f t="shared" ref="D21:G21" si="5">SUM(D5:D20)</f>
        <v>720</v>
      </c>
      <c r="E21" s="122">
        <f t="shared" si="5"/>
        <v>0</v>
      </c>
      <c r="F21" s="122">
        <f t="shared" si="5"/>
        <v>0</v>
      </c>
      <c r="G21" s="123">
        <f t="shared" si="5"/>
        <v>5280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73800</v>
      </c>
      <c r="K4" s="231">
        <f>D7+D11+D15</f>
        <v>8856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IF(DigitaNICA!C12&lt;&gt;"",DigitaNICA!C12,"")</f>
        <v>40100</v>
      </c>
      <c r="D5" s="42">
        <f>IF(C5="",0,C5*J$12)</f>
        <v>4812</v>
      </c>
      <c r="E5" s="29">
        <f>IF(DigitaNICA!D12&lt;&gt;"",DigitaNICA!D12,"")</f>
        <v>700</v>
      </c>
      <c r="F5" s="42">
        <f>IF(E5="",0,E5*PREMIOS!F5)</f>
        <v>59500</v>
      </c>
      <c r="G5" s="30">
        <f t="shared" ref="G5:G12" si="0">IF(OR(C5="",E5=""),0,C5-D5-F5)</f>
        <v>-24212</v>
      </c>
      <c r="I5" s="217" t="s">
        <v>37</v>
      </c>
      <c r="J5" s="221">
        <f>SUM(IF(C5="",0,C5),IF(C9="",0,C9),IF(C13="",0,C13),IF(C17="",0,C17))</f>
        <v>67050</v>
      </c>
      <c r="K5" s="225">
        <f t="shared" ref="K5" si="1">D5+D9+D13+D17</f>
        <v>8046</v>
      </c>
      <c r="L5" s="222">
        <f>F5+F9+F13+F17</f>
        <v>80750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4350</v>
      </c>
      <c r="K6" s="226">
        <f t="shared" ref="K6" si="2">+D8+D12+D16</f>
        <v>435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83</v>
      </c>
      <c r="C7" s="29">
        <f>IF(DigitaTICA!C12&lt;&gt;"",DigitaTICA!C12,"")</f>
        <v>48300</v>
      </c>
      <c r="D7" s="42">
        <f>IF(C7="",0,C7*J$11)</f>
        <v>5796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17004</v>
      </c>
      <c r="I7" s="217" t="s">
        <v>96</v>
      </c>
      <c r="J7" s="223">
        <f>SUM(IF(C19="",0,C19),IF(C20="",0,C20))</f>
        <v>30750</v>
      </c>
      <c r="K7" s="226">
        <f>+D19+D20</f>
        <v>3690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2600</v>
      </c>
      <c r="D8" s="42">
        <f>IF(C8="",0,C8*J$13)</f>
        <v>260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2340</v>
      </c>
      <c r="I8" s="218" t="s">
        <v>104</v>
      </c>
      <c r="J8" s="224">
        <f>SUM(IF(C21="",0,C21),IF(C22="",0,C22),IF(C23="",0,C23))</f>
        <v>5250</v>
      </c>
      <c r="K8" s="228">
        <f>+D21+D22+D23</f>
        <v>630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>
        <f>IF(DigitaNICA!E12&lt;&gt;"",DigitaNICA!E12,"")</f>
        <v>26950</v>
      </c>
      <c r="D9" s="42">
        <f>IF(C9="",0,C9*J$12)</f>
        <v>3234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2466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IF(DigitaTICA!E12&lt;&gt;"",DigitaTICA!E12,"")</f>
        <v>25500</v>
      </c>
      <c r="D11" s="42">
        <f>IF(C11="",0,C11*J$11)</f>
        <v>3060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1190</v>
      </c>
      <c r="I11" s="60" t="s">
        <v>36</v>
      </c>
      <c r="J11" s="61">
        <v>0.12</v>
      </c>
      <c r="K11" s="62">
        <f>MROUND(D7+D11+D15,50)</f>
        <v>8850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1750</v>
      </c>
      <c r="D12" s="42">
        <f>IF(C12="",0,C12*J$13)</f>
        <v>175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1575</v>
      </c>
      <c r="I12" s="63" t="s">
        <v>37</v>
      </c>
      <c r="J12" s="64">
        <v>0.12</v>
      </c>
      <c r="K12" s="30">
        <f>MROUND(D5+D9+D13+D17,50)</f>
        <v>8050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3700</v>
      </c>
    </row>
    <row r="15" spans="1:12" ht="15" thickBot="1" x14ac:dyDescent="0.4">
      <c r="A15" s="28" t="s">
        <v>61</v>
      </c>
      <c r="B15" s="132" t="str">
        <f>IF(DigitaTICA!G2&lt;&gt;"",DigitaTICA!G2,"")</f>
        <v>08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650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>
        <f>IF(DigitaPRIMERA!$C$12&lt;&gt;"",DigitaPRIMERA!$C$12,"")</f>
        <v>30750</v>
      </c>
      <c r="D19" s="42">
        <f>IF(C19="",0,C19*J$14)</f>
        <v>3690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-6940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11</v>
      </c>
      <c r="C21" s="29">
        <f>IF(DigitaHONDURAS!$C$12&lt;&gt;"",DigitaHONDURAS!$C$12,"")</f>
        <v>5250</v>
      </c>
      <c r="D21" s="42">
        <f>IF(C21="",0,C21*J$15)</f>
        <v>630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4620</v>
      </c>
    </row>
    <row r="22" spans="1:7" x14ac:dyDescent="0.35">
      <c r="A22" s="28" t="s">
        <v>100</v>
      </c>
      <c r="B22" s="132">
        <f>IF(DigitaHONDURAS!E2&lt;&gt;"",DigitaHONDURAS!E2,"")</f>
        <v>72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181200</v>
      </c>
      <c r="D24" s="68">
        <f t="shared" ref="D24:G24" si="4">SUM(D5:D23)</f>
        <v>21657</v>
      </c>
      <c r="E24" s="68">
        <f t="shared" si="4"/>
        <v>1900</v>
      </c>
      <c r="F24" s="68">
        <f t="shared" si="4"/>
        <v>161500</v>
      </c>
      <c r="G24" s="88">
        <f t="shared" si="4"/>
        <v>-1957</v>
      </c>
    </row>
    <row r="27" spans="1:7" x14ac:dyDescent="0.35">
      <c r="G27" s="21">
        <v>409781</v>
      </c>
    </row>
    <row r="28" spans="1:7" x14ac:dyDescent="0.35">
      <c r="G28" s="141">
        <f>+G24+G27</f>
        <v>407824</v>
      </c>
    </row>
    <row r="29" spans="1:7" x14ac:dyDescent="0.35">
      <c r="G29" s="21">
        <v>-150000</v>
      </c>
    </row>
    <row r="30" spans="1:7" x14ac:dyDescent="0.35">
      <c r="G30" s="141">
        <f>+G28+G29</f>
        <v>257824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130850</v>
      </c>
      <c r="K4" s="231">
        <f t="shared" ref="K4" si="0">D7+D11+D15</f>
        <v>15702</v>
      </c>
      <c r="L4" s="220">
        <f>F7+F11+F15</f>
        <v>68000</v>
      </c>
    </row>
    <row r="5" spans="1:12" ht="15" thickBot="1" x14ac:dyDescent="0.4">
      <c r="A5" s="28" t="s">
        <v>43</v>
      </c>
      <c r="B5" s="132">
        <f>IF(DigitaNICA!C2&lt;&gt;"",DigitaNICA!C2,"")</f>
        <v>35</v>
      </c>
      <c r="C5" s="29">
        <f>IF(DigitaNICA!C13&lt;&gt;"",DigitaNICA!C13,"")</f>
        <v>28450</v>
      </c>
      <c r="D5" s="42">
        <f>IF(C5="",0,C5*J$10)</f>
        <v>3414</v>
      </c>
      <c r="E5" s="29">
        <f>IF(DigitaNICA!D13&lt;&gt;"",DigitaNICA!D13,"")</f>
        <v>1100</v>
      </c>
      <c r="F5" s="42">
        <f>IF(E5="",0,E5*PREMIOS!E5)</f>
        <v>88000</v>
      </c>
      <c r="G5" s="30">
        <f t="shared" ref="G5:G12" si="1">IF(OR(C5="",E5=""),0,C5-D5-F5)</f>
        <v>-62964</v>
      </c>
      <c r="I5" s="218" t="s">
        <v>37</v>
      </c>
      <c r="J5" s="232">
        <f>SUM(IF(C5="",0,C5),IF(C9="",0,C9),IF(C13="",0,C13),IF(C17="",0,C17))</f>
        <v>79300</v>
      </c>
      <c r="K5" s="233">
        <f t="shared" ref="K5" si="2">D5+D9+D13+D17</f>
        <v>9516</v>
      </c>
      <c r="L5" s="234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IF(DigitaTICA!C13&lt;&gt;"",DigitaTICA!C13,"")</f>
        <v>64700</v>
      </c>
      <c r="D7" s="42">
        <f>IF(C7="",0,C7*J$9)</f>
        <v>7764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56936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IF(DigitaNICA!E13&lt;&gt;"",DigitaNICA!E13,"")</f>
        <v>32650</v>
      </c>
      <c r="D9" s="42">
        <f>IF(C9="",0,C9*J$10)</f>
        <v>3918</v>
      </c>
      <c r="E9" s="29">
        <f>IF(DigitaNICA!F13&lt;&gt;"",DigitaNICA!F13,"")</f>
        <v>200</v>
      </c>
      <c r="F9" s="133">
        <f>IF(E9="",0,E9*PREMIOS!E9)</f>
        <v>16000</v>
      </c>
      <c r="G9" s="30">
        <f t="shared" si="1"/>
        <v>12732</v>
      </c>
      <c r="I9" s="60" t="s">
        <v>36</v>
      </c>
      <c r="J9" s="61">
        <v>0.12</v>
      </c>
      <c r="K9" s="62">
        <f>MROUND(D7+D11+D15,50)</f>
        <v>15700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9500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29">
        <f>IF(DigitaTICA!E13&lt;&gt;"",DigitaTICA!E13,"")</f>
        <v>33500</v>
      </c>
      <c r="D11" s="42">
        <f>IF(C11="",0,C11*J$9)</f>
        <v>4020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29480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IF(DigitaNICA!G13&lt;&gt;"",DigitaNICA!G13,"")</f>
        <v>15700</v>
      </c>
      <c r="D13" s="42">
        <f>IF(C13="",0,C13*J$10)</f>
        <v>1884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13816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IF(DigitaTICA!G13&lt;&gt;"",DigitaTICA!G13,"")</f>
        <v>32650</v>
      </c>
      <c r="D15" s="42">
        <f>IF(C15="",0,C15*J$9)</f>
        <v>3918</v>
      </c>
      <c r="E15" s="29">
        <f>IF(DigitaTICA!H13&lt;&gt;"",DigitaTICA!H13,"")</f>
        <v>800</v>
      </c>
      <c r="F15" s="133">
        <f>IF(E15="",0,E15*PREMIOS!F15)</f>
        <v>68000</v>
      </c>
      <c r="G15" s="30">
        <f t="shared" si="3"/>
        <v>-39268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IF(DigitaNICA!I13&lt;&gt;"",DigitaNICA!I13,"")</f>
        <v>2500</v>
      </c>
      <c r="D17" s="42">
        <f>IF(C17="",0,C17*J$10)</f>
        <v>300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210150</v>
      </c>
      <c r="D19" s="68">
        <f>MROUND(SUM(D5:D18),50)</f>
        <v>25200</v>
      </c>
      <c r="E19" s="68">
        <f>SUM(E5:E18)</f>
        <v>2100</v>
      </c>
      <c r="F19" s="68">
        <f>SUM(F5:F18)</f>
        <v>172000</v>
      </c>
      <c r="G19" s="88">
        <f>SUM(G5:G18)</f>
        <v>12932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103150</v>
      </c>
      <c r="K4" s="236">
        <f t="shared" ref="K4" si="0">D7+D11+D15</f>
        <v>15472.5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35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IF(DigitaTICA!C14&lt;&gt;"",DigitaTICA!C14,"")</f>
        <v>41850</v>
      </c>
      <c r="D7" s="42">
        <f>IF(C7="",0,C7*J$9)</f>
        <v>6277.5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35572.5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29">
        <f>IF(DigitaTICA!E14&lt;&gt;"",DigitaTICA!E14,"")</f>
        <v>28000</v>
      </c>
      <c r="D11" s="42">
        <f>IF(C11="",0,C11*J$9)</f>
        <v>4200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23800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>
        <f>IF(DigitaTICA!G14&lt;&gt;"",DigitaTICA!G14,"")</f>
        <v>33300</v>
      </c>
      <c r="D15" s="42">
        <f>IF(C15="",0,C15*J$9)</f>
        <v>4995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4305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103150</v>
      </c>
      <c r="D19" s="68">
        <f>MROUND(SUM(D5:D18),50)</f>
        <v>15450</v>
      </c>
      <c r="E19" s="68">
        <f>SUM(E5:E18)</f>
        <v>300</v>
      </c>
      <c r="F19" s="68">
        <f>SUM(F5:F18)</f>
        <v>24000</v>
      </c>
      <c r="G19" s="88">
        <f>SUM(G5:G18)</f>
        <v>63677.5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70850</v>
      </c>
      <c r="K4" s="231">
        <f>D7+D11+D15</f>
        <v>8502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IF(DigitaNICA!C16&lt;&gt;"",DigitaNICA!C16,"")</f>
        <v>6900</v>
      </c>
      <c r="D5" s="42">
        <f>IF(C5="",0,C5*J$12)</f>
        <v>828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6072</v>
      </c>
      <c r="I5" s="63" t="s">
        <v>37</v>
      </c>
      <c r="J5" s="225">
        <f>SUM(IF(C5="",0,C5),IF(C9="",0,C9),IF(C13="",0,C13),IF(C17="",0,C17))</f>
        <v>43750</v>
      </c>
      <c r="K5" s="225">
        <f t="shared" ref="K5" si="1">D5+D9+D13+D17</f>
        <v>5250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83</v>
      </c>
      <c r="C7" s="29">
        <f>IF(DigitaTICA!C16&lt;&gt;"",DigitaTICA!C16,"")</f>
        <v>19450</v>
      </c>
      <c r="D7" s="42">
        <f>IF(C7="",0,C7*J$11)</f>
        <v>2334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17116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>
        <f>IF(DigitaNICA!E16&lt;&gt;"",DigitaNICA!E16,"")</f>
        <v>6350</v>
      </c>
      <c r="D9" s="42">
        <f>IF(C9="",0,C9*J$12)</f>
        <v>762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5588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IF(DigitaTICA!E16&lt;&gt;"",DigitaTICA!E16,"")</f>
        <v>18250</v>
      </c>
      <c r="D11" s="42">
        <f>IF(C11="",0,C11*J$11)</f>
        <v>2190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16060</v>
      </c>
      <c r="I11" s="76" t="s">
        <v>36</v>
      </c>
      <c r="J11" s="77">
        <v>0.12</v>
      </c>
      <c r="K11" s="78">
        <f>MROUND(D7+D11+D15,50)</f>
        <v>8500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5250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>08</v>
      </c>
      <c r="C15" s="29">
        <f>IF(DigitaTICA!G16&lt;&gt;"",DigitaTICA!G16,"")</f>
        <v>33150</v>
      </c>
      <c r="D15" s="42">
        <f>IF(C15="",0,C15*J$11)</f>
        <v>3978</v>
      </c>
      <c r="E15" s="29">
        <f>IF(DigitaTICA!H16&lt;&gt;"",DigitaTICA!H16,"")</f>
        <v>1550</v>
      </c>
      <c r="F15" s="133">
        <f>IF(E15="",0,E15*PREMIOS!F15)</f>
        <v>131750</v>
      </c>
      <c r="G15" s="30">
        <f t="shared" si="3"/>
        <v>-102578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IF(DigitaNICA!I16&lt;&gt;"",DigitaNICA!I16,"")</f>
        <v>30500</v>
      </c>
      <c r="D17" s="42">
        <f>IF(C17="",0,C17*J$12)</f>
        <v>3660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26840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31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114600</v>
      </c>
      <c r="D24" s="122">
        <f t="shared" ref="D24:G24" si="5">SUM(D5:D23)</f>
        <v>13752</v>
      </c>
      <c r="E24" s="122">
        <f t="shared" si="5"/>
        <v>1550</v>
      </c>
      <c r="F24" s="122">
        <f t="shared" si="5"/>
        <v>131750</v>
      </c>
      <c r="G24" s="123">
        <f t="shared" si="5"/>
        <v>-30902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01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88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>08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31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11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33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01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88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>08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31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11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33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83</v>
      </c>
      <c r="D2" s="268"/>
      <c r="E2" s="267">
        <f>IF(PREMIOS!$B11="","",PREMIOS!$B11)</f>
        <v>91</v>
      </c>
      <c r="F2" s="268"/>
      <c r="G2" s="267" t="str">
        <f>IF(PREMIOS!$B15="","",PREMIOS!$B15)</f>
        <v>08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56550</v>
      </c>
      <c r="D4" s="78">
        <f t="shared" ref="D4:H27" si="0">IF(C4="","",0)</f>
        <v>0</v>
      </c>
      <c r="E4" s="189">
        <v>32150</v>
      </c>
      <c r="F4" s="78">
        <f t="shared" si="0"/>
        <v>0</v>
      </c>
      <c r="G4" s="189">
        <v>87800</v>
      </c>
      <c r="H4" s="78">
        <v>2400</v>
      </c>
      <c r="J4" s="42">
        <f t="shared" ref="J4:J8" si="1">+C4+E4+G4</f>
        <v>176500</v>
      </c>
      <c r="K4" s="42">
        <f>IF(D4="",0,IF(F4="",D4,IF(H4="",D4+F4,D4+F4+H4)))</f>
        <v>2400</v>
      </c>
    </row>
    <row r="5" spans="1:11" x14ac:dyDescent="0.35">
      <c r="A5" s="47">
        <v>2</v>
      </c>
      <c r="B5" s="178" t="str">
        <f>Vendedor2!$B$2</f>
        <v>PUESTO 2</v>
      </c>
      <c r="C5" s="180">
        <v>71150</v>
      </c>
      <c r="D5" s="30">
        <v>200</v>
      </c>
      <c r="E5" s="180">
        <v>62350</v>
      </c>
      <c r="F5" s="30">
        <f t="shared" si="0"/>
        <v>0</v>
      </c>
      <c r="G5" s="180">
        <v>63850</v>
      </c>
      <c r="H5" s="30">
        <v>1750</v>
      </c>
      <c r="J5" s="42">
        <f t="shared" si="1"/>
        <v>197350</v>
      </c>
      <c r="K5" s="42">
        <f t="shared" ref="K5:K27" si="2">IF(D5="",0,IF(F5="",D5,IF(H5="",D5+F5,D5+F5+H5)))</f>
        <v>1950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70450</v>
      </c>
      <c r="D8" s="30">
        <f t="shared" si="0"/>
        <v>0</v>
      </c>
      <c r="E8" s="180">
        <v>69900</v>
      </c>
      <c r="F8" s="30">
        <v>1000</v>
      </c>
      <c r="G8" s="180">
        <v>67800</v>
      </c>
      <c r="H8" s="30">
        <v>1500</v>
      </c>
      <c r="J8" s="42">
        <f t="shared" si="1"/>
        <v>208150</v>
      </c>
      <c r="K8" s="42">
        <f t="shared" si="2"/>
        <v>2500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26800+88200</f>
        <v>115000</v>
      </c>
      <c r="D10" s="30">
        <v>450</v>
      </c>
      <c r="E10" s="180">
        <f>18000+127350</f>
        <v>145350</v>
      </c>
      <c r="F10" s="30">
        <v>350</v>
      </c>
      <c r="G10" s="180">
        <f>17600+102600</f>
        <v>120200</v>
      </c>
      <c r="H10" s="30">
        <f>500+1050</f>
        <v>1550</v>
      </c>
      <c r="J10" s="42">
        <f t="shared" si="3"/>
        <v>380550</v>
      </c>
      <c r="K10" s="42">
        <f t="shared" si="2"/>
        <v>2350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3500</v>
      </c>
      <c r="H11" s="30">
        <f t="shared" si="0"/>
        <v>0</v>
      </c>
      <c r="J11" s="42">
        <f t="shared" si="3"/>
        <v>6000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48300</v>
      </c>
      <c r="D12" s="30">
        <v>300</v>
      </c>
      <c r="E12" s="180">
        <v>25500</v>
      </c>
      <c r="F12" s="30">
        <v>250</v>
      </c>
      <c r="G12" s="180"/>
      <c r="H12" s="30" t="str">
        <f t="shared" si="0"/>
        <v/>
      </c>
      <c r="J12" s="42">
        <f t="shared" si="3"/>
        <v>73800</v>
      </c>
      <c r="K12" s="42">
        <f t="shared" si="2"/>
        <v>550</v>
      </c>
    </row>
    <row r="13" spans="1:11" x14ac:dyDescent="0.35">
      <c r="A13" s="47">
        <v>10</v>
      </c>
      <c r="B13" s="178" t="str">
        <f>Vendedor10!$B$2</f>
        <v>MARIALIZ</v>
      </c>
      <c r="C13" s="180">
        <v>64700</v>
      </c>
      <c r="D13" s="30">
        <f t="shared" si="0"/>
        <v>0</v>
      </c>
      <c r="E13" s="180">
        <v>33500</v>
      </c>
      <c r="F13" s="30">
        <f t="shared" si="0"/>
        <v>0</v>
      </c>
      <c r="G13" s="180">
        <v>32650</v>
      </c>
      <c r="H13" s="30">
        <v>800</v>
      </c>
      <c r="J13" s="42">
        <f t="shared" si="3"/>
        <v>130850</v>
      </c>
      <c r="K13" s="42">
        <f t="shared" si="2"/>
        <v>800</v>
      </c>
    </row>
    <row r="14" spans="1:11" x14ac:dyDescent="0.35">
      <c r="A14" s="47">
        <v>11</v>
      </c>
      <c r="B14" s="178" t="str">
        <f>Vendedor11!$B$2</f>
        <v>CHARLY</v>
      </c>
      <c r="C14" s="180">
        <v>41850</v>
      </c>
      <c r="D14" s="30">
        <f t="shared" si="0"/>
        <v>0</v>
      </c>
      <c r="E14" s="180">
        <v>28000</v>
      </c>
      <c r="F14" s="30">
        <f t="shared" si="0"/>
        <v>0</v>
      </c>
      <c r="G14" s="180">
        <v>33300</v>
      </c>
      <c r="H14" s="30">
        <v>300</v>
      </c>
      <c r="J14" s="42">
        <f t="shared" si="3"/>
        <v>103150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19450</v>
      </c>
      <c r="D16" s="30">
        <f t="shared" si="0"/>
        <v>0</v>
      </c>
      <c r="E16" s="180">
        <v>18250</v>
      </c>
      <c r="F16" s="30">
        <f t="shared" si="0"/>
        <v>0</v>
      </c>
      <c r="G16" s="180">
        <v>33150</v>
      </c>
      <c r="H16" s="30">
        <v>1550</v>
      </c>
      <c r="J16" s="42">
        <f t="shared" si="3"/>
        <v>70850</v>
      </c>
      <c r="K16" s="42">
        <f t="shared" si="2"/>
        <v>1550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489950</v>
      </c>
      <c r="D32" s="44">
        <f t="shared" si="6"/>
        <v>950</v>
      </c>
      <c r="E32" s="43">
        <f t="shared" si="6"/>
        <v>415000</v>
      </c>
      <c r="F32" s="44">
        <f t="shared" si="6"/>
        <v>1600</v>
      </c>
      <c r="G32" s="43">
        <f t="shared" si="6"/>
        <v>442250</v>
      </c>
      <c r="H32" s="44">
        <f t="shared" si="6"/>
        <v>9850</v>
      </c>
      <c r="J32" s="95">
        <f>SUM(J4:J31)</f>
        <v>1347200</v>
      </c>
      <c r="K32" s="95"/>
    </row>
    <row r="33" spans="2:8" x14ac:dyDescent="0.35">
      <c r="D33" s="99">
        <f>+D32*85</f>
        <v>80750</v>
      </c>
      <c r="F33" s="99">
        <f>+F32*85</f>
        <v>136000</v>
      </c>
      <c r="H33" s="99">
        <f>+H32*85</f>
        <v>837250</v>
      </c>
    </row>
    <row r="34" spans="2:8" x14ac:dyDescent="0.35">
      <c r="B34" s="247" t="s">
        <v>149</v>
      </c>
      <c r="C34" s="43">
        <f t="shared" ref="C34:H34" si="7">+C4+C5+C6+C8+C13</f>
        <v>262850</v>
      </c>
      <c r="D34" s="43" t="e">
        <f t="shared" si="7"/>
        <v>#VALUE!</v>
      </c>
      <c r="E34" s="43">
        <f t="shared" si="7"/>
        <v>197900</v>
      </c>
      <c r="F34" s="43" t="e">
        <f t="shared" si="7"/>
        <v>#VALUE!</v>
      </c>
      <c r="G34" s="43">
        <f t="shared" si="7"/>
        <v>252100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44350</v>
      </c>
      <c r="D35" s="43" t="e">
        <f t="shared" ref="D35:H35" si="8">+D11+D14+D15+D17+D18</f>
        <v>#VALUE!</v>
      </c>
      <c r="E35" s="43">
        <f t="shared" si="8"/>
        <v>28000</v>
      </c>
      <c r="F35" s="43" t="e">
        <f t="shared" si="8"/>
        <v>#VALUE!</v>
      </c>
      <c r="G35" s="43">
        <f t="shared" si="8"/>
        <v>36800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163300</v>
      </c>
      <c r="D36" s="43" t="e">
        <f t="shared" ref="D36:H36" si="9">+D10+D12+D27</f>
        <v>#VALUE!</v>
      </c>
      <c r="E36" s="43">
        <f t="shared" si="9"/>
        <v>170850</v>
      </c>
      <c r="F36" s="43" t="e">
        <f t="shared" si="9"/>
        <v>#VALUE!</v>
      </c>
      <c r="G36" s="43">
        <f t="shared" si="9"/>
        <v>120200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35</v>
      </c>
      <c r="D2" s="268"/>
      <c r="E2" s="267" t="str">
        <f>IF(PREMIOS!$B9="","",PREMIOS!$B9)</f>
        <v>01</v>
      </c>
      <c r="F2" s="268"/>
      <c r="G2" s="267">
        <f>IF(PREMIOS!$B13="","",PREMIOS!$B13)</f>
        <v>88</v>
      </c>
      <c r="H2" s="268"/>
      <c r="I2" s="267">
        <f>IF(PREMIOS!$B17="","",PREMIOS!$B17)</f>
        <v>61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7150</v>
      </c>
      <c r="D4" s="78">
        <v>400</v>
      </c>
      <c r="E4" s="206">
        <v>11350</v>
      </c>
      <c r="F4" s="78">
        <f t="shared" ref="D4:J27" si="0">IF(E4="","",0)</f>
        <v>0</v>
      </c>
      <c r="G4" s="189">
        <v>5850</v>
      </c>
      <c r="H4" s="78">
        <f t="shared" ref="H4:H27" si="1">IF(G4="","",0)</f>
        <v>0</v>
      </c>
      <c r="I4" s="189">
        <v>7700</v>
      </c>
      <c r="J4" s="78">
        <f t="shared" si="0"/>
        <v>0</v>
      </c>
      <c r="L4" s="42">
        <f t="shared" ref="L4:L8" si="2">+C4+E4+G4+I4</f>
        <v>32050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8" t="str">
        <f>Vendedor2!$B$2</f>
        <v>PUESTO 2</v>
      </c>
      <c r="C5" s="180">
        <v>7100</v>
      </c>
      <c r="D5" s="30">
        <v>200</v>
      </c>
      <c r="E5" s="207">
        <v>17000</v>
      </c>
      <c r="F5" s="30">
        <f t="shared" si="0"/>
        <v>0</v>
      </c>
      <c r="G5" s="180"/>
      <c r="H5" s="30" t="str">
        <f t="shared" si="1"/>
        <v/>
      </c>
      <c r="I5" s="180">
        <v>7000</v>
      </c>
      <c r="J5" s="30">
        <f t="shared" ref="J5:J27" si="3">IF(I5="","",0)</f>
        <v>0</v>
      </c>
      <c r="L5" s="42">
        <f t="shared" si="2"/>
        <v>31100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89050</v>
      </c>
      <c r="D8" s="30">
        <v>250</v>
      </c>
      <c r="E8" s="207">
        <v>62600</v>
      </c>
      <c r="F8" s="30">
        <v>500</v>
      </c>
      <c r="G8" s="180">
        <v>23000</v>
      </c>
      <c r="H8" s="30">
        <v>2100</v>
      </c>
      <c r="I8" s="180">
        <v>40000</v>
      </c>
      <c r="J8" s="30">
        <f t="shared" si="0"/>
        <v>0</v>
      </c>
      <c r="L8" s="42">
        <f t="shared" si="2"/>
        <v>214650</v>
      </c>
      <c r="M8" s="42">
        <f t="shared" si="4"/>
        <v>2850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17400+34400</f>
        <v>51800</v>
      </c>
      <c r="D10" s="30">
        <v>400</v>
      </c>
      <c r="E10" s="207">
        <f>16900+31650</f>
        <v>48550</v>
      </c>
      <c r="F10" s="30">
        <v>100</v>
      </c>
      <c r="G10" s="180">
        <f>4500+26500</f>
        <v>31000</v>
      </c>
      <c r="H10" s="30">
        <v>1500</v>
      </c>
      <c r="I10" s="180">
        <f>20600+36100</f>
        <v>56700</v>
      </c>
      <c r="J10" s="30">
        <v>50</v>
      </c>
      <c r="L10" s="42">
        <f t="shared" si="5"/>
        <v>188050</v>
      </c>
      <c r="M10" s="42">
        <f t="shared" si="4"/>
        <v>2050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40100</v>
      </c>
      <c r="D12" s="30">
        <v>700</v>
      </c>
      <c r="E12" s="207">
        <v>26950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67050</v>
      </c>
      <c r="M12" s="42">
        <f t="shared" si="4"/>
        <v>950</v>
      </c>
    </row>
    <row r="13" spans="1:13" x14ac:dyDescent="0.35">
      <c r="A13" s="47">
        <v>10</v>
      </c>
      <c r="B13" s="178" t="str">
        <f>Vendedor10!$B$2</f>
        <v>MARIALIZ</v>
      </c>
      <c r="C13" s="180">
        <v>28450</v>
      </c>
      <c r="D13" s="30">
        <v>1100</v>
      </c>
      <c r="E13" s="207">
        <v>32650</v>
      </c>
      <c r="F13" s="30">
        <v>200</v>
      </c>
      <c r="G13" s="180">
        <v>15700</v>
      </c>
      <c r="H13" s="30">
        <f t="shared" si="0"/>
        <v>0</v>
      </c>
      <c r="I13" s="180">
        <v>2500</v>
      </c>
      <c r="J13" s="30">
        <f t="shared" si="0"/>
        <v>0</v>
      </c>
      <c r="L13" s="42">
        <f t="shared" si="5"/>
        <v>79300</v>
      </c>
      <c r="M13" s="42">
        <f t="shared" si="4"/>
        <v>1300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6900</v>
      </c>
      <c r="D16" s="30">
        <f t="shared" si="0"/>
        <v>0</v>
      </c>
      <c r="E16" s="207">
        <v>6350</v>
      </c>
      <c r="F16" s="30">
        <f t="shared" si="0"/>
        <v>0</v>
      </c>
      <c r="G16" s="180"/>
      <c r="H16" s="30" t="str">
        <f t="shared" si="0"/>
        <v/>
      </c>
      <c r="I16" s="180">
        <v>30500</v>
      </c>
      <c r="J16" s="30">
        <f t="shared" si="0"/>
        <v>0</v>
      </c>
      <c r="L16" s="42">
        <f t="shared" si="5"/>
        <v>43750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230550</v>
      </c>
      <c r="D32" s="44">
        <f t="shared" si="7"/>
        <v>3050</v>
      </c>
      <c r="E32" s="43">
        <f t="shared" si="7"/>
        <v>205450</v>
      </c>
      <c r="F32" s="44">
        <f t="shared" si="7"/>
        <v>1050</v>
      </c>
      <c r="G32" s="43">
        <f t="shared" si="7"/>
        <v>75550</v>
      </c>
      <c r="H32" s="44">
        <f t="shared" si="7"/>
        <v>3600</v>
      </c>
      <c r="I32" s="43">
        <f t="shared" si="7"/>
        <v>144400</v>
      </c>
      <c r="J32" s="44">
        <f t="shared" si="7"/>
        <v>50</v>
      </c>
      <c r="L32" s="95">
        <f>SUM(L9:L31)</f>
        <v>378150</v>
      </c>
      <c r="M32" s="95">
        <f>SUM(M9:M31)</f>
        <v>4300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83 Blanca</v>
      </c>
      <c r="D2" s="268"/>
      <c r="E2" s="267" t="str">
        <f>IF(E33=0,"",CONCATENATE(PREMIOS!$B11," ",PREMIOS!$B12))</f>
        <v>91 Blanca</v>
      </c>
      <c r="F2" s="268"/>
      <c r="G2" s="267" t="str">
        <f>IF(G33=0,"",CONCATENATE(PREMIOS!$B15," ",PREMIOS!$B16))</f>
        <v>08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2900+11500</f>
        <v>14400</v>
      </c>
      <c r="D10" s="30">
        <v>350</v>
      </c>
      <c r="E10" s="180">
        <f>4400+17400</f>
        <v>21800</v>
      </c>
      <c r="F10" s="30">
        <f t="shared" si="0"/>
        <v>0</v>
      </c>
      <c r="G10" s="180">
        <f>4300+11550</f>
        <v>15850</v>
      </c>
      <c r="H10" s="30">
        <f t="shared" si="0"/>
        <v>0</v>
      </c>
      <c r="J10" s="42">
        <f t="shared" si="3"/>
        <v>52050</v>
      </c>
      <c r="K10" s="42">
        <f t="shared" si="4"/>
        <v>350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2600</v>
      </c>
      <c r="D12" s="30">
        <f t="shared" si="0"/>
        <v>0</v>
      </c>
      <c r="E12" s="180">
        <v>1750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4350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17000</v>
      </c>
      <c r="D33" s="44">
        <f t="shared" si="7"/>
        <v>350</v>
      </c>
      <c r="E33" s="43">
        <f t="shared" si="7"/>
        <v>23550</v>
      </c>
      <c r="F33" s="44">
        <f t="shared" si="7"/>
        <v>0</v>
      </c>
      <c r="G33" s="43">
        <f t="shared" si="7"/>
        <v>15850</v>
      </c>
      <c r="H33" s="44">
        <f t="shared" si="7"/>
        <v>0</v>
      </c>
      <c r="J33" s="45">
        <f>SUM(J4:J32)</f>
        <v>56400</v>
      </c>
      <c r="K33" s="95">
        <f>SUM(K4:K32)</f>
        <v>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C11" sqref="C11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31</v>
      </c>
      <c r="D2" s="268"/>
      <c r="E2" s="267">
        <f>IF(PREMIOS!$C19="","",PREMIOS!$C19)</f>
        <v>33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5200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5200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1100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41900</v>
      </c>
      <c r="D8" s="30">
        <v>1100</v>
      </c>
      <c r="E8" s="194">
        <v>17550</v>
      </c>
      <c r="F8" s="195">
        <f t="shared" si="1"/>
        <v>0</v>
      </c>
      <c r="H8" s="42">
        <f t="shared" si="2"/>
        <v>59450</v>
      </c>
      <c r="I8" s="42">
        <f t="shared" si="3"/>
        <v>1100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7500+19700</f>
        <v>27200</v>
      </c>
      <c r="D10" s="30">
        <v>1100</v>
      </c>
      <c r="E10" s="180">
        <v>16450</v>
      </c>
      <c r="F10" s="195">
        <v>150</v>
      </c>
      <c r="H10" s="42">
        <f t="shared" si="2"/>
        <v>43650</v>
      </c>
      <c r="I10" s="42">
        <f t="shared" si="3"/>
        <v>1250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30750</v>
      </c>
      <c r="D12" s="30">
        <v>400</v>
      </c>
      <c r="E12" s="194"/>
      <c r="F12" s="30" t="str">
        <f t="shared" si="0"/>
        <v/>
      </c>
      <c r="H12" s="42">
        <f t="shared" si="2"/>
        <v>30750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106150</v>
      </c>
      <c r="D33" s="44">
        <f>SUM(D4:D32)</f>
        <v>2600</v>
      </c>
      <c r="E33" s="43">
        <f>SUM(E4:E32)</f>
        <v>34000</v>
      </c>
      <c r="F33" s="44">
        <f>SUM(F4:F32)</f>
        <v>150</v>
      </c>
      <c r="H33" s="95">
        <f>SUM(H4:H32)</f>
        <v>140150</v>
      </c>
      <c r="I33" s="95">
        <f>SUM(I4:I32)</f>
        <v>2750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11</v>
      </c>
      <c r="D2" s="268"/>
      <c r="E2" s="267">
        <f>IF(PREMIOS!$C20="","",PREMIOS!$C20)</f>
        <v>72</v>
      </c>
      <c r="F2" s="268"/>
      <c r="G2" s="267">
        <f>IF(PREMIOS!$D20="","",PREMIOS!$D20)</f>
        <v>28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350+10150</f>
        <v>10500</v>
      </c>
      <c r="D10" s="195">
        <f t="shared" si="0"/>
        <v>0</v>
      </c>
      <c r="E10" s="180">
        <f>10850+400</f>
        <v>11250</v>
      </c>
      <c r="F10" s="30">
        <f t="shared" si="0"/>
        <v>0</v>
      </c>
      <c r="G10" s="180">
        <v>7200</v>
      </c>
      <c r="H10" s="195">
        <f t="shared" si="0"/>
        <v>0</v>
      </c>
      <c r="J10" s="42">
        <f t="shared" si="3"/>
        <v>28950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5250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15750</v>
      </c>
      <c r="D33" s="44">
        <f t="shared" si="6"/>
        <v>0</v>
      </c>
      <c r="E33" s="43">
        <f t="shared" si="6"/>
        <v>11250</v>
      </c>
      <c r="F33" s="44">
        <f t="shared" si="6"/>
        <v>0</v>
      </c>
      <c r="G33" s="43">
        <f t="shared" si="6"/>
        <v>7200</v>
      </c>
      <c r="H33" s="44">
        <f t="shared" si="6"/>
        <v>0</v>
      </c>
      <c r="J33" s="45">
        <f>SUM(J4:J32)</f>
        <v>34200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33</v>
      </c>
      <c r="D2" s="268"/>
      <c r="E2" s="267">
        <f>IF(PREMIOS!$C21="","",PREMIOS!$C21)</f>
        <v>59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32650</v>
      </c>
      <c r="D10" s="30">
        <v>1000</v>
      </c>
      <c r="E10" s="180">
        <v>33000</v>
      </c>
      <c r="F10" s="30">
        <f t="shared" si="0"/>
        <v>0</v>
      </c>
      <c r="H10" s="42">
        <f t="shared" si="2"/>
        <v>65650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32650</v>
      </c>
      <c r="D33" s="44">
        <f>SUM(D4:D32)</f>
        <v>1000</v>
      </c>
      <c r="E33" s="43">
        <f>SUM(E4:E32)</f>
        <v>33000</v>
      </c>
      <c r="F33" s="44">
        <f>SUM(F4:F32)</f>
        <v>0</v>
      </c>
      <c r="H33" s="45">
        <f>SUM(H4:H32)</f>
        <v>65650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2026-07-08T16:31:22Z</dcterms:modified>
  <dc:language>es-CR</dc:language>
</cp:coreProperties>
</file>
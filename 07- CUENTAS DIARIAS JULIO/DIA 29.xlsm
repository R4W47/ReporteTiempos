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66" documentId="11_47E12BDDEA2263D6681221A40F249F53D8D72776" xr6:coauthVersionLast="47" xr6:coauthVersionMax="47" xr10:uidLastSave="{D14F1820-456D-42BC-98E8-A58E0CDA51D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J10" i="61"/>
  <c r="I10" i="61"/>
  <c r="G10" i="60"/>
  <c r="E10" i="65"/>
  <c r="E10" i="62"/>
  <c r="E10" i="60"/>
  <c r="E10" i="64" l="1"/>
  <c r="C10" i="62"/>
  <c r="E10" i="61"/>
  <c r="C10" i="60"/>
  <c r="C10" i="65" l="1"/>
  <c r="C10" i="61"/>
  <c r="D18" i="64" l="1"/>
  <c r="D18" i="65"/>
  <c r="D11" i="65"/>
  <c r="D10" i="65"/>
  <c r="D18" i="61"/>
  <c r="D17" i="61"/>
  <c r="D10" i="61"/>
  <c r="D9" i="61"/>
  <c r="H16" i="71"/>
  <c r="E23" i="15"/>
  <c r="F23" i="15" s="1"/>
  <c r="D23" i="15"/>
  <c r="C23" i="15"/>
  <c r="G16" i="71" s="1"/>
  <c r="C22" i="15"/>
  <c r="D22" i="15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E16" i="71" l="1"/>
  <c r="F21" i="15"/>
  <c r="D16" i="71"/>
  <c r="D21" i="15"/>
  <c r="K8" i="15" s="1"/>
  <c r="G23" i="15"/>
  <c r="K15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1" i="60"/>
  <c r="D10" i="60"/>
  <c r="D9" i="60"/>
  <c r="D7" i="60"/>
  <c r="D5" i="60"/>
  <c r="D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D5" i="61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9" i="60"/>
  <c r="F8" i="60"/>
  <c r="F7" i="60"/>
  <c r="F6" i="60"/>
  <c r="H17" i="60"/>
  <c r="H16" i="60"/>
  <c r="H15" i="60"/>
  <c r="H14" i="60"/>
  <c r="H13" i="60"/>
  <c r="H12" i="60"/>
  <c r="H11" i="60"/>
  <c r="H10" i="60"/>
  <c r="H9" i="60"/>
  <c r="H8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D36" i="60"/>
  <c r="D35" i="60"/>
  <c r="F35" i="60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E27" i="72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J24" i="72" s="1"/>
  <c r="K24" i="72" s="1"/>
  <c r="E24" i="72"/>
  <c r="D24" i="72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31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6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L6" i="6"/>
  <c r="K20" i="19"/>
  <c r="K9" i="19"/>
  <c r="L21" i="71"/>
  <c r="M21" i="71" s="1"/>
  <c r="J31" i="71"/>
  <c r="D18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I18" i="66"/>
  <c r="H24" i="70"/>
  <c r="J7" i="19"/>
  <c r="F25" i="19"/>
  <c r="L9" i="19" s="1"/>
  <c r="F18" i="72"/>
  <c r="J26" i="71"/>
  <c r="L29" i="71"/>
  <c r="M29" i="71" s="1"/>
  <c r="H21" i="72"/>
  <c r="I21" i="72" s="1"/>
  <c r="N21" i="72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I23" i="70" s="1"/>
  <c r="J26" i="70"/>
  <c r="K26" i="70" s="1"/>
  <c r="K28" i="70"/>
  <c r="H28" i="72"/>
  <c r="D17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N27" i="72"/>
  <c r="K21" i="19"/>
  <c r="K10" i="19"/>
  <c r="K21" i="8"/>
  <c r="K10" i="8"/>
  <c r="K12" i="17"/>
  <c r="K20" i="21"/>
  <c r="K10" i="21"/>
  <c r="L27" i="70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2" i="52" l="1"/>
  <c r="L6" i="23"/>
  <c r="F17" i="52"/>
  <c r="F12" i="8"/>
  <c r="M26" i="52"/>
  <c r="M23" i="52"/>
  <c r="J5" i="23"/>
  <c r="J4" i="23"/>
  <c r="J5" i="19"/>
  <c r="M20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F32" i="60"/>
  <c r="L19" i="59"/>
  <c r="H32" i="60"/>
  <c r="H33" i="60" s="1"/>
  <c r="K5" i="23"/>
  <c r="G32" i="61"/>
  <c r="F32" i="61"/>
  <c r="L6" i="25"/>
  <c r="H32" i="61"/>
  <c r="H19" i="70"/>
  <c r="G32" i="60"/>
  <c r="K6" i="23"/>
  <c r="K5" i="19"/>
  <c r="F24" i="15"/>
  <c r="D24" i="15"/>
  <c r="L5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K6" i="22"/>
  <c r="M4" i="52"/>
  <c r="R29" i="59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3" i="58"/>
  <c r="P24" i="58"/>
  <c r="P20" i="58"/>
  <c r="P22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5" i="52"/>
  <c r="C24" i="1" s="1"/>
  <c r="B24" i="1"/>
  <c r="K24" i="52"/>
  <c r="C23" i="1" s="1"/>
  <c r="B23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K5" i="52"/>
  <c r="C4" i="1" s="1"/>
  <c r="B4" i="1"/>
  <c r="K20" i="52"/>
  <c r="C19" i="1" s="1"/>
  <c r="B19" i="1"/>
  <c r="K6" i="52"/>
  <c r="C5" i="1" s="1"/>
  <c r="B5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<sst xmlns="http://schemas.openxmlformats.org/spreadsheetml/2006/main" count="1294" uniqueCount="161">
  <si>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</si>
  <si>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</si>
  <si>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</si>
  <si>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</si>
  <si>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</si>
  <si>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</si>
  <si>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</si>
  <si>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</si>
  <si>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</si>
  <si>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</si>
  <si>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</si>
  <si>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</si>
  <si>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</si>
  <si>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</si>
  <si>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</si>
  <si>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</si>
  <si>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</si>
  <si>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</si>
  <si>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</si>
  <si>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</si>
  <si>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</si>
  <si>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</si>
  <si>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</si>
  <si>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</si>
  <si>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</si>
  <si>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</si>
  <si>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</si>
  <si>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</si>
  <si>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</si>
  <si>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</si>
  <si>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</si>
  <si>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</si>
  <si>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</si>
  <si>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</si>
  <si>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</si>
  <si>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</si>
  <si>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</si>
  <si>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</si>
  <si>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</si>
  <si>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</si>
  <si>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</si>
  <si>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</si>
  <si>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</si>
  <si>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</si>
  <si>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</si>
  <si>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</si>
  <si>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</si>
  <si>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</si>
  <si>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</si>
  <si>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</si>
  <si>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</si>
  <si>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</si>
  <si>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</si>
  <si>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</si>
  <si>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</si>
  <si>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</si>
  <si>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</si>
  <si>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</si>
  <si>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</si>
  <si>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</si>
  <si>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</si>
  <si>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</si>
  <si>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</si>
  <si>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</si>
  <si>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</si>
  <si>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</si>
  <si>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</si>
  <si>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</si>
  <si>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</si>
  <si>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</si>
  <si>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</si>
  <si>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</si>
  <si>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</si>
  <si>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</si>
  <si>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</si>
  <si>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</si>
  <si>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</si>
  <si>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</si>
  <si>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</si>
  <si>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</si>
  <si>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</si>
  <si>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</si>
  <si>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</si>
  <si>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</si>
  <si>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</si>
  <si>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</si>
  <si>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</si>
  <si>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</si>
  <si>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</si>
  <si>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</si>
  <si>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</si>
  <si>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</si>
  <si>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</si>
  <si>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</si>
  <si>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</si>
  <si>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</si>
  <si>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</si>
  <si>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</si>
  <si>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</si>
  <si>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</si>
  <si>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</si>
  <si>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</si>
  <si>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</si>
  <si>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</si>
  <si>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</si>
  <si>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</si>
  <si>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</si>
  <si>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</si>
  <si>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</si>
  <si>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</si>
  <si>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</si>
  <si>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</si>
  <si>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</si>
  <si>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</si>
  <si>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</si>
  <si>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</si>
  <si>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</si>
  <si>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</si>
  <si>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</si>
  <si>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</si>
  <si>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</si>
  <si>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</si>
  <si>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</si>
  <si>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</si>
  <si>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</si>
  <si>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</si>
  <si>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</si>
  <si>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</si>
  <si>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</si>
  <si>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</si>
  <si>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</si>
  <si>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</si>
  <si>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</si>
  <si>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</si>
  <si>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</si>
  <si>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</si>
  <si>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</si>
  <si>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</si>
  <si>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</si>
  <si>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</si>
  <si>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</si>
  <si>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</si>
  <si>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</si>
  <si>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</si>
  <si>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</si>
  <si>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</si>
  <si>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</si>
  <si>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</si>
  <si>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</si>
  <si>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</si>
  <si>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</si>
  <si>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</si>
  <si>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</si>
  <si>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</si>
  <si>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</si>
  <si>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</si>
  <si>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</si>
  <si>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</si>
  <si>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</si>
  <si>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03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</si>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</sst>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215750</v>
      </c>
      <c r="C3" s="9">
        <f>+HojaTICA!K4+HojaNICA!M4+HojaREVENTADO!K4+HojaPrimera!I4+HojaHonduras!K4+HojaDominicana!I4+HojaPANA!G4</f>
        <v>28050</v>
      </c>
      <c r="D3" s="9">
        <f>+HojaTICA!N4+HojaNICA!P4+HojaREVENTADO!O4+HojaPrimera!L4+HojaHonduras!N4+HojaDominicana!L4+HojaPANA!J4</f>
        <v>76500</v>
      </c>
      <c r="F3" s="10">
        <f t="shared" ref="F3:F27" si="0">+B3-C3-D3</f>
        <v>111200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149450</v>
      </c>
      <c r="C4" s="9">
        <f>+HojaTICA!K5+HojaNICA!M5+HojaREVENTADO!K5+HojaPrimera!I5+HojaHonduras!K5+HojaDominicana!I5+HojaPANA!G5</f>
        <v>19400</v>
      </c>
      <c r="D4" s="9">
        <f>+HojaTICA!N5+HojaNICA!P5+HojaREVENTADO!O5+HojaPrimera!L5+HojaHonduras!N5+HojaDominicana!L5+HojaPANA!J5</f>
        <v>85000</v>
      </c>
      <c r="F4" s="14">
        <f t="shared" si="0"/>
        <v>45050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354750</v>
      </c>
      <c r="C7" s="9">
        <f>+HojaTICA!K8+HojaNICA!M8+HojaREVENTADO!K8+HojaPrimera!I8+HojaHonduras!K8+HojaDominicana!I8+HojaPANA!G8</f>
        <v>42600</v>
      </c>
      <c r="D7" s="9">
        <f>+HojaTICA!N8+HojaNICA!P8+HojaREVENTADO!O8+HojaPrimera!L8+HojaHonduras!N8+HojaDominicana!L8+HojaPANA!J8</f>
        <v>158500</v>
      </c>
      <c r="F7" s="14">
        <f t="shared" si="0"/>
        <v>153650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484100</v>
      </c>
      <c r="C9" s="9">
        <f>+HojaTICA!K10+HojaNICA!M10+HojaREVENTADO!K10+HojaPrimera!I10+HojaHonduras!K10+HojaDominicana!I10+HojaPANA!G10</f>
        <v>57455</v>
      </c>
      <c r="D9" s="9">
        <f>+HojaTICA!N10+HojaNICA!P10+HojaREVENTADO!O10+HojaPrimera!L10+HojaHonduras!N10+HojaDominicana!L10+HojaPANA!J10</f>
        <v>379500</v>
      </c>
      <c r="F9" s="14">
        <f t="shared" si="0"/>
        <v>47145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2500</v>
      </c>
      <c r="C10" s="9">
        <f>+HojaTICA!K11+HojaNICA!M11+HojaREVENTADO!K11+HojaPrimera!I11+HojaHonduras!K11+HojaDominicana!I11+HojaPANA!G11</f>
        <v>300</v>
      </c>
      <c r="D10" s="9">
        <f>+HojaTICA!N11+HojaNICA!P11+HojaREVENTADO!O11+HojaPrimera!L11+HojaHonduras!N11+HojaDominicana!L11+HojaPANA!J11</f>
        <v>0</v>
      </c>
      <c r="F10" s="14">
        <f t="shared" si="0"/>
        <v>2200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202850</v>
      </c>
      <c r="C11" s="9">
        <f>+HojaTICA!K12+HojaNICA!M12+HojaREVENTADO!K12+HojaPrimera!I12+HojaHonduras!K12+HojaDominicana!I12+HojaPANA!G12</f>
        <v>24150</v>
      </c>
      <c r="D11" s="9">
        <f>+HojaTICA!N12+HojaNICA!P12+HojaREVENTADO!O12+HojaPrimera!L12+HojaHonduras!N12+HojaDominicana!L12+HojaPANA!J12</f>
        <v>97750</v>
      </c>
      <c r="F11" s="14">
        <f t="shared" si="0"/>
        <v>80950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117200</v>
      </c>
      <c r="C12" s="9">
        <f>+HojaTICA!K13+HojaNICA!M13+HojaREVENTADO!K13+HojaPrimera!I13+HojaHonduras!K13+HojaDominicana!I13+HojaPANA!G13</f>
        <v>14050</v>
      </c>
      <c r="D12" s="9">
        <f>+HojaTICA!N13+HojaNICA!P13+HojaREVENTADO!O13+HojaPrimera!L13+HojaHonduras!N13+HojaDominicana!L13+HojaPANA!J13</f>
        <v>21250</v>
      </c>
      <c r="F12" s="14">
        <f t="shared" si="0"/>
        <v>81900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44950</v>
      </c>
      <c r="C13" s="9">
        <f>+HojaTICA!K14+HojaNICA!M14+HojaREVENTADO!K14+HojaPrimera!I14+HojaHonduras!K14+HojaDominicana!I14+HojaPANA!G14</f>
        <v>6750</v>
      </c>
      <c r="D13" s="9">
        <f>+HojaTICA!N14+HojaNICA!P14+HojaREVENTADO!O14+HojaPrimera!L14+HojaHonduras!N14+HojaDominicana!L14+HojaPANA!J14</f>
        <v>0</v>
      </c>
      <c r="F13" s="14">
        <f t="shared" si="0"/>
        <v>38200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92300</v>
      </c>
      <c r="C15" s="9">
        <f>+HojaTICA!K16+HojaNICA!M16+HojaREVENTADO!K16+HojaPrimera!I16+HojaHonduras!K16+HojaDominicana!I16+HojaPANA!G16</f>
        <v>11025</v>
      </c>
      <c r="D15" s="9">
        <f>+HojaTICA!N16+HojaNICA!P16+HojaREVENTADO!O16+HojaPrimera!L16+HojaHonduras!N16+HojaDominicana!L16+HojaPANA!J16</f>
        <v>0</v>
      </c>
      <c r="F15" s="14">
        <f t="shared" si="0"/>
        <v>81275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1663850</v>
      </c>
      <c r="C28" s="17">
        <f t="shared" si="1"/>
        <v>203780</v>
      </c>
      <c r="D28" s="18">
        <f t="shared" si="1"/>
        <v>818500</v>
      </c>
      <c r="F28" s="20">
        <f>SUM(F3:F27)</f>
        <v>641570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55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72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59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23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Roja</v>
      </c>
      <c r="C12" s="135"/>
      <c r="D12" s="136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23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 t="s">
        <v>160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27</v>
      </c>
      <c r="C19" s="132">
        <v>14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44</v>
      </c>
      <c r="C20" s="162">
        <v>14</v>
      </c>
      <c r="D20" s="165">
        <v>51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159</v>
      </c>
      <c r="C21" s="163">
        <v>89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45</v>
      </c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72</v>
      </c>
      <c r="D2" s="267"/>
      <c r="E2" s="266">
        <f>DigitaTICA!E2</f>
        <v>23</v>
      </c>
      <c r="F2" s="267"/>
      <c r="G2" s="266">
        <f>DigitaTICA!G2</f>
        <v>23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65850</v>
      </c>
      <c r="D4" s="30">
        <f>IF(Vendedor1!$E$7="",0,Vendedor1!$E$7)</f>
        <v>0</v>
      </c>
      <c r="E4" s="179">
        <f>IF(Vendedor1!$C$11="",0,Vendedor1!$C$11)</f>
        <v>47900</v>
      </c>
      <c r="F4" s="30">
        <f>IF(Vendedor1!$E$11="",0,Vendedor1!$E$11)</f>
        <v>250</v>
      </c>
      <c r="G4" s="179">
        <f>IF(Vendedor1!$C$15="",0,Vendedor1!$C$15)</f>
        <v>74400</v>
      </c>
      <c r="H4" s="30">
        <f>IF(Vendedor1!$E$15="",0,Vendedor1!$E$15)</f>
        <v>650</v>
      </c>
      <c r="J4" s="42">
        <f t="shared" ref="J4:J7" si="0">+C4+E4+G4</f>
        <v>188150</v>
      </c>
      <c r="K4" s="41">
        <f>MROUND(J4*Vendedor1!J$9,50)</f>
        <v>24450</v>
      </c>
      <c r="L4" s="42">
        <f t="shared" ref="L4:L7" si="1">+D4+F4+H4</f>
        <v>900</v>
      </c>
      <c r="M4" s="42">
        <f t="shared" ref="M4:M7" si="2">+L4*85</f>
        <v>76500</v>
      </c>
      <c r="N4" s="42">
        <f>Vendedor1!$F$7+Vendedor1!$F$11+Vendedor1!$F$15</f>
        <v>76500</v>
      </c>
      <c r="P4" s="42">
        <f t="shared" ref="P4:P7" si="3">+J4-K4-N4</f>
        <v>87200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48100</v>
      </c>
      <c r="D5" s="30">
        <f>IF(Vendedor2!$E$7="",0,Vendedor2!$E$7)</f>
        <v>0</v>
      </c>
      <c r="E5" s="179">
        <f>IF(Vendedor2!$C$11="",0,Vendedor2!$C$11)</f>
        <v>29900</v>
      </c>
      <c r="F5" s="30">
        <f>IF(Vendedor2!$E$11="",0,Vendedor2!$E$11)</f>
        <v>250</v>
      </c>
      <c r="G5" s="179">
        <f>IF(Vendedor2!$C$15="",0,Vendedor2!$C$15)</f>
        <v>60200</v>
      </c>
      <c r="H5" s="30">
        <f>IF(Vendedor2!$E$15="",0,Vendedor2!$E$15)</f>
        <v>750</v>
      </c>
      <c r="J5" s="42">
        <f t="shared" si="0"/>
        <v>138200</v>
      </c>
      <c r="K5" s="41">
        <f>MROUND(J5*Vendedor2!J$9,50)</f>
        <v>17950</v>
      </c>
      <c r="L5" s="42">
        <f t="shared" si="1"/>
        <v>1000</v>
      </c>
      <c r="M5" s="42">
        <f t="shared" si="2"/>
        <v>85000</v>
      </c>
      <c r="N5" s="42">
        <f>Vendedor2!$F$7+Vendedor2!$F$11+Vendedor2!$F$15</f>
        <v>85000</v>
      </c>
      <c r="P5" s="42">
        <f t="shared" si="3"/>
        <v>35250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61950</v>
      </c>
      <c r="D8" s="30">
        <f>IF(Vendedor5!$E$7="",0,Vendedor5!$E$7)</f>
        <v>500</v>
      </c>
      <c r="E8" s="179">
        <f>IF(Vendedor5!$C$11="",0,Vendedor5!$C$11)</f>
        <v>52750</v>
      </c>
      <c r="F8" s="30">
        <f>IF(Vendedor5!$E$11="",0,Vendedor5!$E$11)</f>
        <v>0</v>
      </c>
      <c r="G8" s="179">
        <f>IF(Vendedor5!$C$15="",0,Vendedor5!$C$15)</f>
        <v>46150</v>
      </c>
      <c r="H8" s="30">
        <f>IF(Vendedor5!$E$15="",0,Vendedor5!$E$15)</f>
        <v>0</v>
      </c>
      <c r="J8" s="42">
        <f t="shared" ref="J8" si="4">+C8+E8+G8</f>
        <v>160850</v>
      </c>
      <c r="K8" s="41">
        <f>MROUND(J8*Vendedor5!J$11,50)</f>
        <v>19300</v>
      </c>
      <c r="L8" s="42">
        <f t="shared" ref="L8" si="5">+D8+F8+H8</f>
        <v>500</v>
      </c>
      <c r="M8" s="42">
        <f t="shared" ref="M8" si="6">+L8*85</f>
        <v>42500</v>
      </c>
      <c r="N8" s="42">
        <f>Vendedor5!$F$7+Vendedor5!$F$11+Vendedor5!$F$15</f>
        <v>42500</v>
      </c>
      <c r="P8" s="42">
        <f t="shared" ref="P8" si="7">+J8-K8-N8</f>
        <v>99050</v>
      </c>
    </row>
    <row r="9" spans="1:16" x14ac:dyDescent="0.35">
      <c r="A9" s="41">
        <v>6</v>
      </c>
      <c r="B9" s="177" t="str">
        <f>Vendedor6!$B$2</f>
        <v>MARTA ROSA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72500</v>
      </c>
      <c r="D10" s="30">
        <f>IF(Vendedor7!$E$7="",0,Vendedor7!$E$7)</f>
        <v>0</v>
      </c>
      <c r="E10" s="179">
        <f>IF(Vendedor7!$C$11="",0,Vendedor7!$C$11)</f>
        <v>81400</v>
      </c>
      <c r="F10" s="30">
        <f>IF(Vendedor7!$E$11="",0,Vendedor7!$E$11)</f>
        <v>1250</v>
      </c>
      <c r="G10" s="179">
        <f>IF(Vendedor7!$C$15="",0,Vendedor7!$C$15)</f>
        <v>59850</v>
      </c>
      <c r="H10" s="30">
        <f>IF(Vendedor7!$E$15="",0,Vendedor7!$E$15)</f>
        <v>0</v>
      </c>
      <c r="J10" s="42">
        <f t="shared" si="8"/>
        <v>213750</v>
      </c>
      <c r="K10" s="41">
        <f>MROUND(J10*Vendedor7!J$14,50)</f>
        <v>25650</v>
      </c>
      <c r="L10" s="42">
        <f t="shared" si="9"/>
        <v>1250</v>
      </c>
      <c r="M10" s="42">
        <f t="shared" si="10"/>
        <v>106250</v>
      </c>
      <c r="N10" s="42">
        <f>Vendedor7!$F$7+Vendedor7!$F$11+Vendedor7!$F$15</f>
        <v>106250</v>
      </c>
      <c r="P10" s="42">
        <f t="shared" si="11"/>
        <v>81850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2500</v>
      </c>
      <c r="H11" s="30">
        <f>IF(Vendedor8!$E$15="",0,Vendedor8!$E$15)</f>
        <v>0</v>
      </c>
      <c r="J11" s="42">
        <f t="shared" si="8"/>
        <v>2500</v>
      </c>
      <c r="K11" s="41">
        <f>MROUND(J11*Vendedor8!J$11,50)</f>
        <v>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58600</v>
      </c>
      <c r="D12" s="30">
        <f>IF(Vendedor9!$E$7="",0,Vendedor9!$E$7)</f>
        <v>600</v>
      </c>
      <c r="E12" s="179">
        <f>IF(Vendedor9!$C$11="",0,Vendedor9!$C$11)</f>
        <v>8700</v>
      </c>
      <c r="F12" s="30">
        <f>IF(Vendedor9!$E$11="",0,Vendedor9!$E$11)</f>
        <v>0</v>
      </c>
      <c r="G12" s="179">
        <f>IF(Vendedor9!$C$15="",0,Vendedor9!$C$15)</f>
        <v>19000</v>
      </c>
      <c r="H12" s="30">
        <f>IF(Vendedor9!$E$15="",0,Vendedor9!$E$15)</f>
        <v>0</v>
      </c>
      <c r="J12" s="42">
        <f t="shared" si="8"/>
        <v>86300</v>
      </c>
      <c r="K12" s="41">
        <f>MROUND(J12*Vendedor9!J$11,50)</f>
        <v>10350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24950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27150</v>
      </c>
      <c r="D13" s="30">
        <f>IF(Vendedor10!$E$7="",0,Vendedor10!$E$7)</f>
        <v>250</v>
      </c>
      <c r="E13" s="179">
        <f>IF(Vendedor10!$C$11="",0,Vendedor10!$C$11)</f>
        <v>15850</v>
      </c>
      <c r="F13" s="30">
        <f>IF(Vendedor10!$E$11="",0,Vendedor10!$E$11)</f>
        <v>0</v>
      </c>
      <c r="G13" s="179">
        <f>IF(Vendedor10!$C$15="",0,Vendedor10!$C$15)</f>
        <v>39250</v>
      </c>
      <c r="H13" s="30">
        <f>IF(Vendedor10!$E$15="",0,Vendedor10!$E$15)</f>
        <v>0</v>
      </c>
      <c r="J13" s="42">
        <f t="shared" si="8"/>
        <v>82250</v>
      </c>
      <c r="K13" s="41">
        <f>MROUND(J13*Vendedor10!J$9,50)</f>
        <v>9850</v>
      </c>
      <c r="L13" s="42">
        <f t="shared" si="9"/>
        <v>250</v>
      </c>
      <c r="M13" s="42">
        <f t="shared" si="10"/>
        <v>21250</v>
      </c>
      <c r="N13" s="42">
        <f>Vendedor10!$F$7+Vendedor10!$F$11+Vendedor10!$F$15</f>
        <v>21250</v>
      </c>
      <c r="P13" s="42">
        <f t="shared" si="11"/>
        <v>51150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17200</v>
      </c>
      <c r="D14" s="30">
        <f>IF(Vendedor11!$E$7="",0,Vendedor11!$E$7)</f>
        <v>0</v>
      </c>
      <c r="E14" s="179">
        <f>IF(Vendedor11!$C$11="",0,Vendedor11!$C$11)</f>
        <v>7600</v>
      </c>
      <c r="F14" s="30">
        <f>IF(Vendedor11!$E$11="",0,Vendedor11!$E$11)</f>
        <v>0</v>
      </c>
      <c r="G14" s="179">
        <f>IF(Vendedor11!$C$15="",0,Vendedor11!$C$15)</f>
        <v>20150</v>
      </c>
      <c r="H14" s="30">
        <f>IF(Vendedor11!$E$15="",0,Vendedor11!$E$15)</f>
        <v>0</v>
      </c>
      <c r="J14" s="42">
        <f t="shared" si="8"/>
        <v>44950</v>
      </c>
      <c r="K14" s="41">
        <f>MROUND(J14*Vendedor11!J$9,50)</f>
        <v>6750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38200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24000</v>
      </c>
      <c r="D16" s="30">
        <f>IF(Vendedor13!$E$7="",0,Vendedor13!$E$7)</f>
        <v>0</v>
      </c>
      <c r="E16" s="179">
        <f>IF(Vendedor13!$C$11="",0,Vendedor13!$C$11)</f>
        <v>21650</v>
      </c>
      <c r="F16" s="30">
        <f>IF(Vendedor13!$E$11="",0,Vendedor13!$E$11)</f>
        <v>0</v>
      </c>
      <c r="G16" s="179">
        <f>IF(Vendedor13!$C$15="",0,Vendedor13!$C$15)</f>
        <v>17350</v>
      </c>
      <c r="H16" s="30">
        <f>IF(Vendedor13!$E$15="",0,Vendedor13!$E$15)</f>
        <v>0</v>
      </c>
      <c r="J16" s="42">
        <f t="shared" si="8"/>
        <v>63000</v>
      </c>
      <c r="K16" s="41">
        <f>MROUND(J16*Vendedor13!J$11,50)</f>
        <v>7550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55450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375350</v>
      </c>
      <c r="D32" s="44">
        <f t="shared" si="16"/>
        <v>1350</v>
      </c>
      <c r="E32" s="43">
        <f t="shared" si="16"/>
        <v>265750</v>
      </c>
      <c r="F32" s="44">
        <f t="shared" si="16"/>
        <v>1750</v>
      </c>
      <c r="G32" s="43">
        <f t="shared" si="16"/>
        <v>338850</v>
      </c>
      <c r="H32" s="44">
        <f t="shared" si="16"/>
        <v>1400</v>
      </c>
      <c r="J32" s="95">
        <f>SUM(J4:J31)</f>
        <v>979950</v>
      </c>
      <c r="K32" s="45">
        <f>SUM(K7:K31)</f>
        <v>79750</v>
      </c>
      <c r="L32" s="95">
        <f>SUM(L4:L31)</f>
        <v>4500</v>
      </c>
      <c r="M32" s="95">
        <f>SUM(M4:M31)</f>
        <v>382500</v>
      </c>
      <c r="N32" s="95">
        <f>SUM(N4:N31)</f>
        <v>382500</v>
      </c>
      <c r="P32" s="79">
        <f>SUM(P4:P31)</f>
        <v>475300</v>
      </c>
    </row>
    <row r="33" spans="3:13" x14ac:dyDescent="0.35">
      <c r="D33" s="99">
        <f>+D32*85</f>
        <v>114750</v>
      </c>
      <c r="F33" s="99">
        <f>+F32*85</f>
        <v>148750</v>
      </c>
      <c r="H33" s="99">
        <f>+H32*85</f>
        <v>119000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979950</v>
      </c>
      <c r="E36" s="43">
        <f>+D36-J4-J5-J6</f>
        <v>653600</v>
      </c>
      <c r="G36" s="101"/>
    </row>
    <row r="37" spans="3:13" x14ac:dyDescent="0.35">
      <c r="C37" s="47" t="s">
        <v>33</v>
      </c>
      <c r="D37" s="48">
        <f>D36*13%</f>
        <v>127393.5</v>
      </c>
      <c r="E37">
        <f>+D37-K4-K5-K6</f>
        <v>84993.5</v>
      </c>
      <c r="G37" s="100"/>
      <c r="H37" s="100"/>
    </row>
    <row r="38" spans="3:13" ht="15" thickBot="1" x14ac:dyDescent="0.4">
      <c r="C38" s="47" t="s">
        <v>30</v>
      </c>
      <c r="D38" s="30">
        <f>M32</f>
        <v>382500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470056.5</v>
      </c>
      <c r="F39" s="98">
        <f>+P32-D39</f>
        <v>5243.5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470056.5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55</v>
      </c>
      <c r="D2" s="267"/>
      <c r="E2" s="266">
        <f>DigitaNICA!E2</f>
        <v>59</v>
      </c>
      <c r="F2" s="267"/>
      <c r="G2" s="266" t="str">
        <f>DigitaNICA!G2</f>
        <v/>
      </c>
      <c r="H2" s="267"/>
      <c r="I2" s="266" t="str">
        <f>DigitaNICA!I2</f>
        <v>09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11000</v>
      </c>
      <c r="D4" s="78">
        <f>IF(Vendedor1!$E$5="",0,Vendedor1!$E$5)</f>
        <v>0</v>
      </c>
      <c r="E4" s="188">
        <f>IF(Vendedor1!$C$9="",0,Vendedor1!$C$9)</f>
        <v>8350</v>
      </c>
      <c r="F4" s="78">
        <f>IF(Vendedor1!$E$9="",0,Vendedor1!$E$9)</f>
        <v>0</v>
      </c>
      <c r="G4" s="188">
        <f>IF(Vendedor1!$C$13="",0,Vendedor1!$C$13)</f>
        <v>0</v>
      </c>
      <c r="H4" s="78">
        <f>IF(Vendedor1!$E$13="",0,Vendedor1!$E$13)</f>
        <v>0</v>
      </c>
      <c r="I4" s="188">
        <f>IF(Vendedor1!$C$17="",0,Vendedor1!$C$17)</f>
        <v>3250</v>
      </c>
      <c r="J4" s="78">
        <f>IF(Vendedor1!$E$17="",0,Vendedor1!$E$17)</f>
        <v>0</v>
      </c>
      <c r="L4" s="42">
        <f t="shared" ref="L4:L7" si="0">C4+E4+G4+I4</f>
        <v>22600</v>
      </c>
      <c r="M4" s="41">
        <f>MROUND(L4*Vendedor1!J$10,50)</f>
        <v>2950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19650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1050</v>
      </c>
      <c r="D5" s="30">
        <f>IF(Vendedor2!$E$5="",0,Vendedor2!$E$5)</f>
        <v>0</v>
      </c>
      <c r="E5" s="179">
        <f>IF(Vendedor2!$C$9="",0,Vendedor2!$C$9)</f>
        <v>0</v>
      </c>
      <c r="F5" s="30">
        <f>IF(Vendedor2!$E$9="",0,Vendedor2!$E$9)</f>
        <v>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1200</v>
      </c>
      <c r="J5" s="30">
        <f>IF(Vendedor2!$E$17="",0,Vendedor2!$E$17)</f>
        <v>0</v>
      </c>
      <c r="L5" s="42">
        <f t="shared" si="0"/>
        <v>2250</v>
      </c>
      <c r="M5" s="41">
        <f>MROUND(L5*Vendedor2!J$10,50)</f>
        <v>300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1950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50300</v>
      </c>
      <c r="D8" s="30">
        <f>IF(Vendedor5!$E$5="",0,Vendedor5!$E$5)</f>
        <v>300</v>
      </c>
      <c r="E8" s="179">
        <f>IF(Vendedor5!$C$9="",0,Vendedor5!$C$9)</f>
        <v>38600</v>
      </c>
      <c r="F8" s="30">
        <f>IF(Vendedor5!$E$9="",0,Vendedor5!$E$9)</f>
        <v>0</v>
      </c>
      <c r="G8" s="179">
        <f>IF(Vendedor5!$C$13="",0,Vendedor5!$C$13)</f>
        <v>0</v>
      </c>
      <c r="H8" s="30">
        <f>IF(Vendedor5!$E$13="",0,Vendedor5!$E$13)</f>
        <v>0</v>
      </c>
      <c r="I8" s="179">
        <f>IF(Vendedor5!$C$17="",0,Vendedor5!$C$17)</f>
        <v>43500</v>
      </c>
      <c r="J8" s="30">
        <f>IF(Vendedor5!$E$17="",0,Vendedor5!$E$17)</f>
        <v>350</v>
      </c>
      <c r="L8" s="42">
        <f t="shared" ref="L8" si="4">C8+E8+G8+I8</f>
        <v>132400</v>
      </c>
      <c r="M8" s="41">
        <f>MROUND(L8*Vendedor5!J$12,50)</f>
        <v>15900</v>
      </c>
      <c r="N8" s="42">
        <f t="shared" ref="N8" si="5">D8+F8+H8+J8</f>
        <v>650</v>
      </c>
      <c r="O8" s="41">
        <f t="shared" si="3"/>
        <v>55250</v>
      </c>
      <c r="P8" s="42">
        <f>Vendedor5!$F$5+Vendedor5!$F$9+Vendedor5!$F$13+Vendedor5!$F$17</f>
        <v>52000</v>
      </c>
      <c r="Q8">
        <v>17</v>
      </c>
      <c r="R8" s="41">
        <f t="shared" ref="R8" si="6">+L8-M8-O8</f>
        <v>61250</v>
      </c>
    </row>
    <row r="9" spans="1:18" x14ac:dyDescent="0.35">
      <c r="A9" s="47">
        <v>6</v>
      </c>
      <c r="B9" s="177" t="str">
        <f>Vendedor6!$B$2</f>
        <v>MARTA ROSA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35200</v>
      </c>
      <c r="D10" s="30">
        <f>IF(Vendedor7!$E$5="",0,Vendedor7!$E$5)</f>
        <v>0</v>
      </c>
      <c r="E10" s="179">
        <f>IF(Vendedor7!$C$9="",0,Vendedor7!$C$9)</f>
        <v>37250</v>
      </c>
      <c r="F10" s="30">
        <f>IF(Vendedor7!$E$9="",0,Vendedor7!$E$9)</f>
        <v>550</v>
      </c>
      <c r="G10" s="179">
        <f>IF(Vendedor7!$C$13="",0,Vendedor7!$C$13)</f>
        <v>0</v>
      </c>
      <c r="H10" s="30">
        <f>IF(Vendedor7!$E$13="",0,Vendedor7!$E$13)</f>
        <v>0</v>
      </c>
      <c r="I10" s="179">
        <f>IF(Vendedor7!$C$17="",0,Vendedor7!$C$17)</f>
        <v>56700</v>
      </c>
      <c r="J10" s="30">
        <f>IF(Vendedor7!$E$17="",0,Vendedor7!$E$17)</f>
        <v>900</v>
      </c>
      <c r="L10" s="42">
        <f t="shared" si="7"/>
        <v>129150</v>
      </c>
      <c r="M10" s="41">
        <f>MROUND(L10*Vendedor7!J$15,50)</f>
        <v>15500</v>
      </c>
      <c r="N10" s="42">
        <f t="shared" ref="N10:N27" si="9">D10+F10+H10+J10</f>
        <v>1450</v>
      </c>
      <c r="O10" s="41">
        <f t="shared" si="3"/>
        <v>123250</v>
      </c>
      <c r="P10" s="42">
        <f>Vendedor7!$F$5+Vendedor7!$F$9+Vendedor7!$F$13+Vendedor7!$F$17</f>
        <v>123250</v>
      </c>
      <c r="R10" s="41">
        <f t="shared" si="8"/>
        <v>-9600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40250</v>
      </c>
      <c r="D12" s="30">
        <f>IF(Vendedor9!$E$5="",0,Vendedor9!$E$5)</f>
        <v>250</v>
      </c>
      <c r="E12" s="179">
        <f>IF(Vendedor9!$C$9="",0,Vendedor9!$C$9)</f>
        <v>18250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7000</v>
      </c>
      <c r="J12" s="30">
        <f>IF(Vendedor9!$E$17="",0,Vendedor9!$E$17)</f>
        <v>200</v>
      </c>
      <c r="L12" s="42">
        <f t="shared" si="7"/>
        <v>65500</v>
      </c>
      <c r="M12" s="41">
        <f>MROUND(L12*Vendedor9!J$12,50)</f>
        <v>7850</v>
      </c>
      <c r="N12" s="42">
        <f t="shared" si="9"/>
        <v>450</v>
      </c>
      <c r="O12" s="41">
        <f t="shared" si="3"/>
        <v>38250</v>
      </c>
      <c r="P12" s="42">
        <f>Vendedor9!$F$5+Vendedor9!$F$9+Vendedor9!$F$13+Vendedor9!$F$17</f>
        <v>38250</v>
      </c>
      <c r="R12" s="41">
        <f t="shared" si="8"/>
        <v>19400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19300</v>
      </c>
      <c r="D13" s="30">
        <f>IF(Vendedor10!$E$5="",0,Vendedor10!$E$5)</f>
        <v>0</v>
      </c>
      <c r="E13" s="179">
        <f>IF(Vendedor10!$C$9="",0,Vendedor10!$C$9)</f>
        <v>15150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500</v>
      </c>
      <c r="J13" s="30">
        <f>IF(Vendedor10!$E$17="",0,Vendedor10!$E$17)</f>
        <v>0</v>
      </c>
      <c r="L13" s="42">
        <f t="shared" si="7"/>
        <v>34950</v>
      </c>
      <c r="M13" s="41">
        <f>MROUND(L13*Vendedor10!J$10,50)</f>
        <v>4200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30750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8000</v>
      </c>
      <c r="D16" s="30">
        <f>IF(Vendedor13!$E$5="",0,Vendedor13!$E$5)</f>
        <v>0</v>
      </c>
      <c r="E16" s="179">
        <f>IF(Vendedor13!$C$9="",0,Vendedor13!$C$9)</f>
        <v>8500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10050</v>
      </c>
      <c r="J16" s="30">
        <f>IF(Vendedor13!$E$17="",0,Vendedor13!$E$17)</f>
        <v>0</v>
      </c>
      <c r="L16" s="42">
        <f t="shared" si="7"/>
        <v>26550</v>
      </c>
      <c r="M16" s="41">
        <f>MROUND(L16*Vendedor13!J$12,50)</f>
        <v>3200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23350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165100</v>
      </c>
      <c r="D32" s="44">
        <f t="shared" si="14"/>
        <v>550</v>
      </c>
      <c r="E32" s="43">
        <f t="shared" si="14"/>
        <v>126100</v>
      </c>
      <c r="F32" s="44">
        <f t="shared" si="14"/>
        <v>550</v>
      </c>
      <c r="G32" s="43">
        <f t="shared" si="14"/>
        <v>0</v>
      </c>
      <c r="H32" s="44">
        <f t="shared" si="14"/>
        <v>0</v>
      </c>
      <c r="I32" s="43">
        <f t="shared" si="14"/>
        <v>122200</v>
      </c>
      <c r="J32" s="44">
        <f t="shared" si="14"/>
        <v>1450</v>
      </c>
      <c r="L32" s="45">
        <f>SUM(L4:L31)</f>
        <v>413400</v>
      </c>
      <c r="M32" s="45">
        <f>SUM(M7:M31)</f>
        <v>46650</v>
      </c>
      <c r="N32" s="95">
        <f>SUM(N4:N31)</f>
        <v>2550</v>
      </c>
      <c r="O32" s="46">
        <f>SUM(O4:O31)</f>
        <v>216750</v>
      </c>
      <c r="P32" s="139">
        <f>SUM(P4:P31)</f>
        <v>213500</v>
      </c>
      <c r="R32" s="79">
        <f>SUM(R4:R31)</f>
        <v>146750</v>
      </c>
    </row>
    <row r="33" spans="3:15" x14ac:dyDescent="0.35">
      <c r="D33" s="120">
        <f>+D32*85</f>
        <v>46750</v>
      </c>
      <c r="F33" s="120">
        <f>+F32*85</f>
        <v>46750</v>
      </c>
      <c r="H33" s="120">
        <f>+H32*85</f>
        <v>0</v>
      </c>
      <c r="J33" s="120">
        <f>+J32*85</f>
        <v>123250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413400</v>
      </c>
      <c r="E36" s="43">
        <f>+D36-L4-L5-L6</f>
        <v>388550</v>
      </c>
    </row>
    <row r="37" spans="3:15" x14ac:dyDescent="0.35">
      <c r="C37" s="47" t="s">
        <v>33</v>
      </c>
      <c r="D37" s="48">
        <f>D36*13%</f>
        <v>53742</v>
      </c>
      <c r="E37">
        <f>+D37-M4-M5-M6</f>
        <v>50492</v>
      </c>
    </row>
    <row r="38" spans="3:15" x14ac:dyDescent="0.35">
      <c r="C38" s="47" t="s">
        <v>30</v>
      </c>
      <c r="D38" s="30">
        <f>SUM(O4:O27)</f>
        <v>216750</v>
      </c>
      <c r="G38" s="100"/>
    </row>
    <row r="39" spans="3:15" ht="15" thickBot="1" x14ac:dyDescent="0.4">
      <c r="C39" s="49" t="s">
        <v>4</v>
      </c>
      <c r="D39" s="80">
        <f>+D36-D37-D38</f>
        <v>142908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142908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72 Roja</v>
      </c>
      <c r="D2" s="267"/>
      <c r="E2" s="266" t="str">
        <f>IF(E33=0,"",CONCATENATE(PREMIOS!$B11," ",PREMIOS!$B12))</f>
        <v>23 Roja</v>
      </c>
      <c r="F2" s="267"/>
      <c r="G2" s="266" t="str">
        <f>IF(G33=0,"",CONCATENATE(PREMIOS!$B15," ",PREMIOS!$B16))</f>
        <v>23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MARTA ROSA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7850</v>
      </c>
      <c r="D10" s="30">
        <f>IF(Vendedor7!$E$8="",0,Vendedor7!$E$8)</f>
        <v>0</v>
      </c>
      <c r="E10" s="179">
        <f>IF(Vendedor7!$C$12="",0,Vendedor7!$C$12)</f>
        <v>10800</v>
      </c>
      <c r="F10" s="30">
        <f>IF(Vendedor7!$E$12="",0,Vendedor7!$E$12)</f>
        <v>750</v>
      </c>
      <c r="G10" s="179">
        <f>IF(Vendedor7!$C$16="",0,Vendedor7!$C$16)</f>
        <v>13900</v>
      </c>
      <c r="H10" s="30">
        <f>IF(Vendedor7!$E$16="",0,Vendedor7!$E$16)</f>
        <v>0</v>
      </c>
      <c r="J10" s="42">
        <f t="shared" si="1"/>
        <v>32550</v>
      </c>
      <c r="K10" s="41">
        <f>J10*Vendedor7!J$16</f>
        <v>3255</v>
      </c>
      <c r="L10" s="42">
        <f t="shared" si="2"/>
        <v>750</v>
      </c>
      <c r="M10" s="42">
        <f t="shared" si="3"/>
        <v>750</v>
      </c>
      <c r="N10" s="42">
        <f t="shared" si="0"/>
        <v>165000</v>
      </c>
      <c r="O10" s="42">
        <f>Vendedor7!$F$8+Vendedor7!$F$12+Vendedor7!$F$16</f>
        <v>150000</v>
      </c>
      <c r="Q10" s="42">
        <f t="shared" si="4"/>
        <v>-120705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9900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100</v>
      </c>
      <c r="H12" s="30">
        <f>IF(Vendedor9!$E$16="",0,Vendedor9!$E$16)</f>
        <v>0</v>
      </c>
      <c r="J12" s="42">
        <f t="shared" si="1"/>
        <v>10000</v>
      </c>
      <c r="K12" s="41">
        <f>J12*Vendedor9!J$13</f>
        <v>1000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750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1000</v>
      </c>
      <c r="H16" s="30">
        <f>IF(Vendedor13!$E$16="",0,Vendedor13!$E$16)</f>
        <v>0</v>
      </c>
      <c r="J16" s="42">
        <f t="shared" si="1"/>
        <v>1750</v>
      </c>
      <c r="K16" s="41">
        <f>J16*Vendedor13!J$13</f>
        <v>175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1575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18500</v>
      </c>
      <c r="D33" s="44">
        <f>IF(PREMIOS!E8&lt;&gt;0,SUM(D4:D32),0)</f>
        <v>0</v>
      </c>
      <c r="E33" s="43">
        <f>SUM(E4:E32)</f>
        <v>10800</v>
      </c>
      <c r="F33" s="44">
        <f>IF(PREMIOS!E12&lt;&gt;0,SUM(F4:F32),0)</f>
        <v>750</v>
      </c>
      <c r="G33" s="43">
        <f>SUM(G4:G32)</f>
        <v>15000</v>
      </c>
      <c r="H33" s="44">
        <f>IF(PREMIOS!E16&lt;&gt;0,SUM(H4:H32),0)</f>
        <v>0</v>
      </c>
      <c r="J33" s="45">
        <f>SUM(J4:J32)</f>
        <v>44300</v>
      </c>
      <c r="K33" s="45">
        <f>SUM(K7:K32)</f>
        <v>4430</v>
      </c>
      <c r="L33" s="95">
        <f>SUM(L7:L32)</f>
        <v>750</v>
      </c>
      <c r="M33" s="95">
        <f>SUM(M7:M32)</f>
        <v>750</v>
      </c>
      <c r="N33" s="95">
        <f>SUM(N4:N27)</f>
        <v>165000</v>
      </c>
      <c r="O33" s="95">
        <f>SUM(O4:O27)</f>
        <v>150000</v>
      </c>
      <c r="Q33" s="79">
        <f>SUM(Q4:Q32)</f>
        <v>-110130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165000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44300</v>
      </c>
      <c r="E37" s="43">
        <f>+D37-J4-J5-J6</f>
        <v>44300</v>
      </c>
      <c r="F37" s="274"/>
      <c r="G37" s="274"/>
    </row>
    <row r="38" spans="3:17" ht="15" thickBot="1" x14ac:dyDescent="0.4">
      <c r="C38" s="47" t="s">
        <v>33</v>
      </c>
      <c r="D38" s="30">
        <f>D37*10%</f>
        <v>4430</v>
      </c>
      <c r="E38" s="43">
        <f>+D38-K4-K5-K6</f>
        <v>4430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165000</v>
      </c>
    </row>
    <row r="40" spans="3:17" ht="15" thickBot="1" x14ac:dyDescent="0.4">
      <c r="C40" s="49" t="s">
        <v>4</v>
      </c>
      <c r="D40" s="80">
        <f>+D37-D38-D39</f>
        <v>-125130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-125130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27</v>
      </c>
      <c r="D2" s="267"/>
      <c r="E2" s="266">
        <f>DigitaPRIMERA!E2</f>
        <v>14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4000</v>
      </c>
      <c r="D4" s="78">
        <f>IF(Vendedor1!$E$19="",0,Vendedor1!$E$19)</f>
        <v>0</v>
      </c>
      <c r="E4" s="188">
        <f>IF(Vendedor1!$C$20="",0,Vendedor1!$C$20)</f>
        <v>1000</v>
      </c>
      <c r="F4" s="78">
        <f>IF(Vendedor1!$E$20="",0,Vendedor1!$E$20)</f>
        <v>0</v>
      </c>
      <c r="H4" s="42">
        <f>+C4+E4</f>
        <v>5000</v>
      </c>
      <c r="I4" s="41">
        <f>MROUND(H4*Vendedor1!J$9,50)</f>
        <v>650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4350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6000</v>
      </c>
      <c r="D5" s="30">
        <f>IF(Vendedor2!$E$19="",0,Vendedor2!$E$19)</f>
        <v>0</v>
      </c>
      <c r="E5" s="179">
        <f>IF(Vendedor2!$C$20="",0,Vendedor2!$C$20)</f>
        <v>3000</v>
      </c>
      <c r="F5" s="30">
        <f>IF(Vendedor2!$E$20="",0,Vendedor2!$E$20)</f>
        <v>0</v>
      </c>
      <c r="H5" s="42">
        <f t="shared" ref="H5:H31" si="1">+C5+E5</f>
        <v>9000</v>
      </c>
      <c r="I5" s="41">
        <f>MROUND(H5*Vendedor2!J$9,50)</f>
        <v>1150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7850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28400</v>
      </c>
      <c r="D8" s="30">
        <f>IF(Vendedor5!$E$19="",0,Vendedor5!$E$19)</f>
        <v>500</v>
      </c>
      <c r="E8" s="179">
        <f>IF(Vendedor5!$C$20="",0,Vendedor5!$C$20)</f>
        <v>33100</v>
      </c>
      <c r="F8" s="30">
        <f>IF(Vendedor5!$E$20="",0,Vendedor5!$E$20)</f>
        <v>300</v>
      </c>
      <c r="H8" s="133">
        <f t="shared" si="1"/>
        <v>61500</v>
      </c>
      <c r="I8" s="147">
        <f>MROUND(H8*Vendedor5!J$11,50)</f>
        <v>7400</v>
      </c>
      <c r="J8" s="133">
        <f t="shared" si="2"/>
        <v>800</v>
      </c>
      <c r="K8" s="133">
        <f t="shared" si="3"/>
        <v>68000</v>
      </c>
      <c r="L8" s="133">
        <f>Vendedor5!$F$19+Vendedor5!$F$20</f>
        <v>64000</v>
      </c>
      <c r="M8" s="154"/>
      <c r="N8" s="133">
        <f t="shared" si="0"/>
        <v>-9900</v>
      </c>
    </row>
    <row r="9" spans="1:14" x14ac:dyDescent="0.35">
      <c r="A9" s="202">
        <v>6</v>
      </c>
      <c r="B9" s="195" t="str">
        <f>Vendedor6!$B$2</f>
        <v>MARTA ROSA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21200</v>
      </c>
      <c r="D10" s="30">
        <f>IF(Vendedor7!$E$19="",0,Vendedor7!$E$19)</f>
        <v>0</v>
      </c>
      <c r="E10" s="179">
        <f>IF(Vendedor7!$C$20="",0,Vendedor7!$C$20)</f>
        <v>13300</v>
      </c>
      <c r="F10" s="30">
        <f>IF(Vendedor7!$E$20="",0,Vendedor7!$E$20)</f>
        <v>0</v>
      </c>
      <c r="H10" s="42">
        <f t="shared" si="1"/>
        <v>34500</v>
      </c>
      <c r="I10" s="41">
        <f>MROUND(H10*Vendedor7!J$14,50)</f>
        <v>4150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30350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41050</v>
      </c>
      <c r="D12" s="30">
        <f>IF(Vendedor9!$E$19="",0,Vendedor9!$E$19)</f>
        <v>100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41050</v>
      </c>
      <c r="I12" s="147">
        <f>MROUND(H12*Vendedor9!J$11,50)</f>
        <v>4950</v>
      </c>
      <c r="J12" s="133">
        <f t="shared" si="2"/>
        <v>100</v>
      </c>
      <c r="K12" s="133">
        <f t="shared" si="3"/>
        <v>8500</v>
      </c>
      <c r="L12" s="133">
        <f>Vendedor9!$F$19+Vendedor9!$F$20</f>
        <v>8500</v>
      </c>
      <c r="M12" s="154"/>
      <c r="N12" s="133">
        <f t="shared" si="0"/>
        <v>27600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1000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1000</v>
      </c>
      <c r="I16" s="147">
        <f>MROUND(H16*Vendedor13!J$11,50)</f>
        <v>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900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101650</v>
      </c>
      <c r="D32" s="44">
        <f>SUM(D4:D31)</f>
        <v>600</v>
      </c>
      <c r="E32" s="43">
        <f>SUM(E4:E31)</f>
        <v>50400</v>
      </c>
      <c r="F32" s="44">
        <f>SUM(F4:F31)</f>
        <v>300</v>
      </c>
      <c r="H32" s="95">
        <f>SUM(H4:H31)</f>
        <v>152050</v>
      </c>
      <c r="I32" s="45">
        <f>SUM(I7:I31)</f>
        <v>16600</v>
      </c>
      <c r="J32" s="95"/>
      <c r="K32" s="95">
        <f>SUM(K4:K31)</f>
        <v>76500</v>
      </c>
      <c r="L32" s="95">
        <f>SUM(L4:L31)</f>
        <v>72500</v>
      </c>
      <c r="N32" s="79">
        <f>SUM(N4:N31)</f>
        <v>61150</v>
      </c>
    </row>
    <row r="33" spans="3:6" x14ac:dyDescent="0.35">
      <c r="D33" s="99">
        <f>+D32*85</f>
        <v>51000</v>
      </c>
      <c r="F33" s="99">
        <f>+F32*85</f>
        <v>25500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152050</v>
      </c>
      <c r="E36" s="43">
        <f>+D36-H4-H5-H6</f>
        <v>138050</v>
      </c>
    </row>
    <row r="37" spans="3:6" x14ac:dyDescent="0.35">
      <c r="C37" s="47" t="s">
        <v>33</v>
      </c>
      <c r="D37" s="48">
        <f>D36*13%</f>
        <v>19766.5</v>
      </c>
      <c r="E37">
        <f>+D37-I4-I5-I6</f>
        <v>17966.5</v>
      </c>
    </row>
    <row r="38" spans="3:6" ht="15" thickBot="1" x14ac:dyDescent="0.4">
      <c r="C38" s="47" t="s">
        <v>30</v>
      </c>
      <c r="D38" s="30">
        <f>SUM(K4:K27)</f>
        <v>76500</v>
      </c>
    </row>
    <row r="39" spans="3:6" ht="15" thickBot="1" x14ac:dyDescent="0.4">
      <c r="C39" s="49" t="s">
        <v>4</v>
      </c>
      <c r="D39" s="80">
        <f>+D36-D37-D38</f>
        <v>55783.5</v>
      </c>
      <c r="F39" s="98">
        <f>+N32-D39</f>
        <v>5366.5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55783.5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44</v>
      </c>
      <c r="D2" s="267"/>
      <c r="E2" s="266">
        <f>DigitaHONDURAS!E2</f>
        <v>14</v>
      </c>
      <c r="F2" s="267"/>
      <c r="G2" s="266">
        <f>DigitaHONDURAS!G2</f>
        <v>51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MARTA ROSA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18000</v>
      </c>
      <c r="D10" s="30">
        <f>IF(Vendedor7!$E$21="",0,Vendedor7!$E$21)</f>
        <v>0</v>
      </c>
      <c r="E10" s="179">
        <f>IF(Vendedor7!$C$22="",0,Vendedor7!$C$22)</f>
        <v>14700</v>
      </c>
      <c r="F10" s="30">
        <f>IF(Vendedor7!$E$22="",0,Vendedor7!$E$22)</f>
        <v>0</v>
      </c>
      <c r="G10" s="179">
        <f>IF(Vendedor7!$C$23="",0,Vendedor7!$C$23)</f>
        <v>1800</v>
      </c>
      <c r="H10" s="30">
        <f>IF(Vendedor7!$E$23="",0,Vendedor7!$E$23)</f>
        <v>0</v>
      </c>
      <c r="J10" s="42">
        <f t="shared" si="0"/>
        <v>34500</v>
      </c>
      <c r="K10" s="41">
        <f>MROUND(J10*Vendedor7!J$14,50)</f>
        <v>4150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30350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18000</v>
      </c>
      <c r="D32" s="44">
        <f t="shared" si="8"/>
        <v>0</v>
      </c>
      <c r="E32" s="43">
        <f t="shared" si="8"/>
        <v>14700</v>
      </c>
      <c r="F32" s="44">
        <f t="shared" si="8"/>
        <v>0</v>
      </c>
      <c r="G32" s="43">
        <f t="shared" si="8"/>
        <v>1800</v>
      </c>
      <c r="H32" s="44">
        <f t="shared" si="8"/>
        <v>0</v>
      </c>
      <c r="J32" s="95">
        <f>SUM(J4:J31)</f>
        <v>34500</v>
      </c>
      <c r="K32" s="45">
        <f>SUM(K7:K31)</f>
        <v>4150</v>
      </c>
      <c r="L32" s="95"/>
      <c r="M32" s="95">
        <f>SUM(M4:M31)</f>
        <v>0</v>
      </c>
      <c r="N32" s="95">
        <f>SUM(N4:N31)</f>
        <v>0</v>
      </c>
      <c r="P32" s="79">
        <f>SUM(P4:P31)</f>
        <v>30350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34500</v>
      </c>
      <c r="E36" s="43">
        <f>+D36-J4-J5-J6</f>
        <v>34500</v>
      </c>
    </row>
    <row r="37" spans="3:8" x14ac:dyDescent="0.35">
      <c r="C37" s="47" t="s">
        <v>33</v>
      </c>
      <c r="D37" s="48">
        <f>D36*13%</f>
        <v>4485</v>
      </c>
      <c r="E37">
        <f>+D37-K4-K5-K6</f>
        <v>4485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30015</v>
      </c>
      <c r="F39" s="98">
        <f>+P32-D39</f>
        <v>335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30015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03</v>
      </c>
      <c r="D2" s="267"/>
      <c r="E2" s="266">
        <f>DigitaDOMINICANA!E2</f>
        <v>89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MARTA ROSA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0</v>
      </c>
      <c r="D10" s="30">
        <f>IF(Vendedor7!$E$24="",0,Vendedor7!$E$24)</f>
        <v>0</v>
      </c>
      <c r="E10" s="179">
        <f>IF(Vendedor7!$C$25="",0,Vendedor7!$C$25)</f>
        <v>39650</v>
      </c>
      <c r="F10" s="30">
        <f>IF(Vendedor7!$E$25="",0,Vendedor7!$E$25)</f>
        <v>0</v>
      </c>
      <c r="H10" s="42">
        <f t="shared" si="1"/>
        <v>39650</v>
      </c>
      <c r="I10" s="41">
        <f>MROUND(H10*Vendedor7!J$14,50)</f>
        <v>4750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34900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39650</v>
      </c>
      <c r="F32" s="44">
        <f>SUM(F4:F31)</f>
        <v>0</v>
      </c>
      <c r="H32" s="95">
        <f>SUM(H4:H31)</f>
        <v>39650</v>
      </c>
      <c r="I32" s="45">
        <f>SUM(I7:I31)</f>
        <v>4750</v>
      </c>
      <c r="J32" s="95"/>
      <c r="K32" s="95">
        <f>SUM(K4:K31)</f>
        <v>0</v>
      </c>
      <c r="L32" s="95">
        <f>SUM(L4:L31)</f>
        <v>0</v>
      </c>
      <c r="N32" s="79">
        <f>SUM(N4:N31)</f>
        <v>34900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39650</v>
      </c>
      <c r="E36" s="43">
        <f>+D36-H4-H5-H6</f>
        <v>39650</v>
      </c>
    </row>
    <row r="37" spans="3:6" x14ac:dyDescent="0.35">
      <c r="C37" s="47" t="s">
        <v>33</v>
      </c>
      <c r="D37" s="48">
        <f>D36*13%</f>
        <v>5154.5</v>
      </c>
      <c r="E37">
        <f>+D37-I4-I5-I6</f>
        <v>5154.5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34495.5</v>
      </c>
      <c r="F39" s="98">
        <f>+N32-D39</f>
        <v>404.5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34495.5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>
        <f>DigitaPANAMENA!C2</f>
        <v>45</v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MARTA ROSA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30-07-2026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388550</v>
      </c>
      <c r="C4" s="156">
        <f>HojaNICA!M32</f>
        <v>46650</v>
      </c>
      <c r="D4" s="149">
        <f>HojaNICA!E37</f>
        <v>50492</v>
      </c>
      <c r="E4" s="149">
        <f>HojaNICA!P32</f>
        <v>213500</v>
      </c>
      <c r="F4" s="149">
        <f>HojaNICA!O32</f>
        <v>216750</v>
      </c>
      <c r="G4" s="150">
        <f t="shared" ref="G4:G10" si="0">+D4-C4+F4-E4</f>
        <v>7092</v>
      </c>
      <c r="H4" s="21"/>
      <c r="I4" s="181"/>
    </row>
    <row r="5" spans="1:9" x14ac:dyDescent="0.35">
      <c r="A5" s="28" t="s">
        <v>19</v>
      </c>
      <c r="B5" s="155">
        <f>HojaTICA!$E$36</f>
        <v>653600</v>
      </c>
      <c r="C5" s="156">
        <f>HojaTICA!K32</f>
        <v>79750</v>
      </c>
      <c r="D5" s="149">
        <f>HojaTICA!E37</f>
        <v>84993.5</v>
      </c>
      <c r="E5" s="149">
        <f>HojaTICA!N32</f>
        <v>382500</v>
      </c>
      <c r="F5" s="149">
        <f>HojaTICA!D38</f>
        <v>382500</v>
      </c>
      <c r="G5" s="150">
        <f t="shared" si="0"/>
        <v>5243.5</v>
      </c>
      <c r="H5" s="21"/>
      <c r="I5" s="181"/>
    </row>
    <row r="6" spans="1:9" x14ac:dyDescent="0.35">
      <c r="A6" s="28" t="s">
        <v>125</v>
      </c>
      <c r="B6" s="155">
        <f>HojaREVENTADO!$E$37</f>
        <v>44300</v>
      </c>
      <c r="C6" s="156">
        <f>HojaREVENTADO!K33</f>
        <v>4430</v>
      </c>
      <c r="D6" s="149">
        <f>HojaREVENTADO!E38</f>
        <v>4430</v>
      </c>
      <c r="E6" s="149">
        <f>HojaREVENTADO!O33</f>
        <v>150000</v>
      </c>
      <c r="F6" s="149">
        <f>HojaREVENTADO!N33</f>
        <v>165000</v>
      </c>
      <c r="G6" s="150">
        <f t="shared" si="0"/>
        <v>15000</v>
      </c>
      <c r="H6" s="21"/>
      <c r="I6" s="181"/>
    </row>
    <row r="7" spans="1:9" x14ac:dyDescent="0.35">
      <c r="A7" s="28" t="s">
        <v>96</v>
      </c>
      <c r="B7" s="155">
        <f>HojaPrimera!$E$36</f>
        <v>138050</v>
      </c>
      <c r="C7" s="156">
        <f>HojaPrimera!I32</f>
        <v>16600</v>
      </c>
      <c r="D7" s="149">
        <f>HojaPrimera!E37</f>
        <v>17966.5</v>
      </c>
      <c r="E7" s="149">
        <f>HojaPrimera!L32</f>
        <v>72500</v>
      </c>
      <c r="F7" s="149">
        <f>HojaPrimera!K32</f>
        <v>76500</v>
      </c>
      <c r="G7" s="150">
        <f t="shared" si="0"/>
        <v>5366.5</v>
      </c>
      <c r="H7" s="21"/>
      <c r="I7" s="21"/>
    </row>
    <row r="8" spans="1:9" x14ac:dyDescent="0.35">
      <c r="A8" s="28" t="s">
        <v>104</v>
      </c>
      <c r="B8" s="155">
        <f>HojaHonduras!$E$36</f>
        <v>34500</v>
      </c>
      <c r="C8" s="156">
        <f>HojaHonduras!K32</f>
        <v>4150</v>
      </c>
      <c r="D8" s="149">
        <f>HojaHonduras!E37</f>
        <v>4485</v>
      </c>
      <c r="E8" s="149">
        <f>HojaHonduras!N32</f>
        <v>0</v>
      </c>
      <c r="F8" s="149">
        <f>HojaHonduras!M32</f>
        <v>0</v>
      </c>
      <c r="G8" s="150">
        <f t="shared" si="0"/>
        <v>335</v>
      </c>
      <c r="H8" s="21"/>
      <c r="I8" s="21"/>
    </row>
    <row r="9" spans="1:9" x14ac:dyDescent="0.35">
      <c r="A9" s="28" t="s">
        <v>20</v>
      </c>
      <c r="B9" s="155">
        <f>HojaDominicana!$E$36</f>
        <v>39650</v>
      </c>
      <c r="C9" s="156">
        <f>HojaDominicana!I32</f>
        <v>4750</v>
      </c>
      <c r="D9" s="149">
        <f>HojaDominicana!E37</f>
        <v>5154.5</v>
      </c>
      <c r="E9" s="149">
        <f>HojaDominicana!L32</f>
        <v>0</v>
      </c>
      <c r="F9" s="149">
        <f>HojaDominicana!K32</f>
        <v>0</v>
      </c>
      <c r="G9" s="150">
        <f t="shared" si="0"/>
        <v>404.5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1298650</v>
      </c>
      <c r="C11" s="174">
        <f>SUM(C4:C10)</f>
        <v>156330</v>
      </c>
      <c r="D11" s="174">
        <f t="shared" ref="D11:F11" si="1">SUM(D4:D10)</f>
        <v>167521.5</v>
      </c>
      <c r="E11" s="174">
        <f t="shared" si="1"/>
        <v>818500</v>
      </c>
      <c r="F11" s="174">
        <f t="shared" si="1"/>
        <v>840750</v>
      </c>
      <c r="G11" s="175">
        <f>SUM(G4:G10)</f>
        <v>33441.5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-1558.5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215750</v>
      </c>
      <c r="E16" s="156">
        <f>+Vendedor1!D21</f>
        <v>28047.5</v>
      </c>
      <c r="F16" s="157">
        <f>IF(D16&lt;&gt;0,15000,0)</f>
        <v>15000</v>
      </c>
      <c r="G16" s="150">
        <f>+E16-F16</f>
        <v>13047.5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149450</v>
      </c>
      <c r="E17" s="156">
        <f>+Vendedor2!D21</f>
        <v>19428.5</v>
      </c>
      <c r="F17" s="157">
        <f>IF(D17&lt;&gt;0,15000,0)</f>
        <v>15000</v>
      </c>
      <c r="G17" s="150">
        <f>+E17-F17</f>
        <v>4428.5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365200</v>
      </c>
      <c r="E19" s="158">
        <f>SUM(E16:E18)</f>
        <v>47476</v>
      </c>
      <c r="F19" s="159">
        <f>SUM(F16:F18)</f>
        <v>30000</v>
      </c>
      <c r="G19" s="160">
        <f>SUM(G16:G18)</f>
        <v>17476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15917.5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30-07-2026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413400</v>
      </c>
      <c r="C5" s="149">
        <f>HojaNICA!D37</f>
        <v>53742</v>
      </c>
      <c r="D5" s="149">
        <f>HojaNICA!D38</f>
        <v>216750</v>
      </c>
      <c r="E5" s="149"/>
      <c r="F5" s="150">
        <f>+B5-C5-D5+E5</f>
        <v>142908</v>
      </c>
      <c r="H5" s="248" t="s">
        <v>105</v>
      </c>
      <c r="I5" s="242">
        <f ca="1">TODAY()-1</f>
        <v>46233</v>
      </c>
      <c r="O5" s="119"/>
    </row>
    <row r="6" spans="1:15" ht="15" thickBot="1" x14ac:dyDescent="0.4">
      <c r="A6" s="47" t="s">
        <v>36</v>
      </c>
      <c r="B6" s="149">
        <f>HojaTICA!D36</f>
        <v>979950</v>
      </c>
      <c r="C6" s="149">
        <f>HojaTICA!D37</f>
        <v>127393.5</v>
      </c>
      <c r="D6" s="149">
        <f>HojaTICA!D38</f>
        <v>382500</v>
      </c>
      <c r="E6" s="149"/>
      <c r="F6" s="150">
        <f t="shared" ref="F6:F11" si="0">+B6-C6-D6+E6</f>
        <v>470056.5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44300</v>
      </c>
      <c r="C7" s="149">
        <f>HojaREVENTADO!D38</f>
        <v>4430</v>
      </c>
      <c r="D7" s="149">
        <f>HojaREVENTADO!D39</f>
        <v>165000</v>
      </c>
      <c r="E7" s="149"/>
      <c r="F7" s="150">
        <f t="shared" si="0"/>
        <v>-125130</v>
      </c>
    </row>
    <row r="8" spans="1:15" x14ac:dyDescent="0.35">
      <c r="A8" s="47" t="s">
        <v>96</v>
      </c>
      <c r="B8" s="149">
        <f>HojaPrimera!$D36</f>
        <v>152050</v>
      </c>
      <c r="C8" s="149">
        <f>HojaPrimera!$D37</f>
        <v>19766.5</v>
      </c>
      <c r="D8" s="149">
        <f>HojaPrimera!$D38</f>
        <v>76500</v>
      </c>
      <c r="E8" s="149"/>
      <c r="F8" s="150">
        <f t="shared" si="0"/>
        <v>55783.5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34500</v>
      </c>
      <c r="C9" s="149">
        <f>HojaHonduras!$D37</f>
        <v>4485</v>
      </c>
      <c r="D9" s="149">
        <f>HojaHonduras!$D38</f>
        <v>0</v>
      </c>
      <c r="E9" s="149"/>
      <c r="F9" s="150">
        <f t="shared" si="0"/>
        <v>30015</v>
      </c>
      <c r="H9" s="249">
        <f>+K12-K10-H6</f>
        <v>608128.5</v>
      </c>
    </row>
    <row r="10" spans="1:15" ht="15" thickBot="1" x14ac:dyDescent="0.4">
      <c r="A10" s="47" t="s">
        <v>20</v>
      </c>
      <c r="B10" s="149">
        <f>HojaDominicana!$D36</f>
        <v>39650</v>
      </c>
      <c r="C10" s="149">
        <f>HojaDominicana!$D37</f>
        <v>5154.5</v>
      </c>
      <c r="D10" s="149">
        <f>HojaDominicana!$D38</f>
        <v>0</v>
      </c>
      <c r="E10" s="149"/>
      <c r="F10" s="150">
        <f t="shared" si="0"/>
        <v>34495.5</v>
      </c>
      <c r="H10" s="153"/>
      <c r="J10" t="s">
        <v>148</v>
      </c>
      <c r="K10" s="251">
        <v>4606282.59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5214411.09</v>
      </c>
    </row>
    <row r="12" spans="1:15" ht="16" thickBot="1" x14ac:dyDescent="0.4">
      <c r="A12" s="143" t="s">
        <v>5</v>
      </c>
      <c r="B12" s="151">
        <f>SUM(B5:B11)</f>
        <v>1663850</v>
      </c>
      <c r="C12" s="151">
        <f>SUM(C5:C11)</f>
        <v>214971.5</v>
      </c>
      <c r="D12" s="151">
        <f>SUM(D5:D11)</f>
        <v>840750</v>
      </c>
      <c r="E12" s="151"/>
      <c r="F12" s="254">
        <f>SUM(F5:F11)</f>
        <v>608128.5</v>
      </c>
      <c r="H12" s="250">
        <f>K12</f>
        <v>5214411.09</v>
      </c>
      <c r="J12" t="s">
        <v>140</v>
      </c>
      <c r="K12" s="253">
        <f>-1163830.98-124075.91+4108124.5+2394193.48</f>
        <v>5214411.09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188150</v>
      </c>
      <c r="K4" s="230">
        <f t="shared" ref="K4" si="0">D7+D11+D15</f>
        <v>24459.5</v>
      </c>
      <c r="L4" s="219">
        <f>F7+F11+F15</f>
        <v>76500</v>
      </c>
    </row>
    <row r="5" spans="1:12" x14ac:dyDescent="0.35">
      <c r="A5" s="28" t="s">
        <v>43</v>
      </c>
      <c r="B5" s="132">
        <f>IF(DigitaNICA!C2&lt;&gt;"",DigitaNICA!C2,"")</f>
        <v>55</v>
      </c>
      <c r="C5" s="29">
        <f>IF(DigitaNICA!C4&lt;&gt;"",DigitaNICA!C4,"")</f>
        <v>11000</v>
      </c>
      <c r="D5" s="42">
        <f>IF(C5="",0,C5*J$10)</f>
        <v>1430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9570</v>
      </c>
      <c r="I5" s="240" t="s">
        <v>37</v>
      </c>
      <c r="J5" s="220">
        <f>SUM(IF(C5="",0,C5),IF(C9="",0,C9),IF(C13="",0,C13),IF(C17="",0,C17))</f>
        <v>22600</v>
      </c>
      <c r="K5" s="224">
        <f t="shared" ref="K5" si="2">D5+D9+D13+D17</f>
        <v>2938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5000</v>
      </c>
      <c r="K6" s="227">
        <f>D19+D20</f>
        <v>650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IF(DigitaTICA!C4&lt;&gt;"",DigitaTICA!C4,"")</f>
        <v>65850</v>
      </c>
      <c r="D7" s="42">
        <f>IF(C7="",0,C7*J$9)</f>
        <v>8560.5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57289.5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59</v>
      </c>
      <c r="C9" s="29">
        <f>IF(DigitaNICA!E4&lt;&gt;"",DigitaNICA!E4,"")</f>
        <v>8350</v>
      </c>
      <c r="D9" s="42">
        <f>IF(C9="",0,C9*J$10)</f>
        <v>1085.5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7264.5</v>
      </c>
      <c r="I9" s="76" t="s">
        <v>36</v>
      </c>
      <c r="J9" s="77">
        <v>0.13</v>
      </c>
      <c r="K9" s="78">
        <f>MROUND(D7+D11+D15,50)</f>
        <v>24450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2950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IF(DigitaTICA!E4&lt;&gt;"",DigitaTICA!E4,"")</f>
        <v>47900</v>
      </c>
      <c r="D11" s="42">
        <f>IF(C11="",0,C11*J$9)</f>
        <v>6227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20423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IF(DigitaTICA!G4&lt;&gt;"",DigitaTICA!G4,"")</f>
        <v>74400</v>
      </c>
      <c r="D15" s="42">
        <f>IF(C15="",0,C15*J$9)</f>
        <v>9672</v>
      </c>
      <c r="E15" s="29">
        <f>IF(DigitaTICA!H4&lt;&gt;"",DigitaTICA!H4,"")</f>
        <v>650</v>
      </c>
      <c r="F15" s="42">
        <f>IF(E15="",0,E15*PREMIOS!F15)</f>
        <v>55250</v>
      </c>
      <c r="G15" s="30">
        <f t="shared" si="3"/>
        <v>9478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>
        <f>IF(DigitaNICA!I4&lt;&gt;"",DigitaNICA!I4,"")</f>
        <v>3250</v>
      </c>
      <c r="D17" s="42">
        <f>IF(C17="",0,C17*J$10)</f>
        <v>422.5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2827.5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IF(DigitaPRIMERA!C4&lt;&gt;"",DigitaPRIMERA!C4,"")</f>
        <v>4000</v>
      </c>
      <c r="D19" s="42">
        <f>IF(C19="",0,C19*J$12)</f>
        <v>520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3480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215750</v>
      </c>
      <c r="D21" s="122">
        <f t="shared" ref="D21:G21" si="6">SUM(D5:D20)</f>
        <v>28047.5</v>
      </c>
      <c r="E21" s="122">
        <f t="shared" si="6"/>
        <v>900</v>
      </c>
      <c r="F21" s="122">
        <f t="shared" si="6"/>
        <v>76500</v>
      </c>
      <c r="G21" s="123">
        <f t="shared" si="6"/>
        <v>111202.5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138200</v>
      </c>
      <c r="K4" s="230">
        <f t="shared" ref="K4" si="0">D7+D11+D15</f>
        <v>17966</v>
      </c>
      <c r="L4" s="219">
        <f>F7+F11+F15</f>
        <v>85000</v>
      </c>
    </row>
    <row r="5" spans="1:12" x14ac:dyDescent="0.35">
      <c r="A5" s="28" t="s">
        <v>43</v>
      </c>
      <c r="B5" s="132">
        <f>IF(DigitaNICA!C2&lt;&gt;"",DigitaNICA!C2,"")</f>
        <v>55</v>
      </c>
      <c r="C5" s="29">
        <f>IF(DigitaNICA!C5&lt;&gt;"",DigitaNICA!C5,"")</f>
        <v>1050</v>
      </c>
      <c r="D5" s="42">
        <f>IF(C5="",0,C5*J$10)</f>
        <v>136.5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913.5</v>
      </c>
      <c r="I5" s="240" t="s">
        <v>37</v>
      </c>
      <c r="J5" s="220">
        <f>SUM(IF(C5="",0,C5),IF(C9="",0,C9),IF(C13="",0,C13),IF(C17="",0,C17))</f>
        <v>2250</v>
      </c>
      <c r="K5" s="224">
        <f t="shared" ref="K5" si="2">D5+D9+D13+D17</f>
        <v>292.5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9000</v>
      </c>
      <c r="K6" s="227">
        <f>D19+D20</f>
        <v>1170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IF(DigitaTICA!C5&lt;&gt;"",DigitaTICA!C5,"")</f>
        <v>48100</v>
      </c>
      <c r="D7" s="42">
        <f>IF(C7="",0,C7*J$9)</f>
        <v>6253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41847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59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17950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300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IF(DigitaTICA!E5&lt;&gt;"",DigitaTICA!E5,"")</f>
        <v>29900</v>
      </c>
      <c r="D11" s="42">
        <f>IF(C11="",0,C11*J$9)</f>
        <v>3887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4763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IF(DigitaTICA!G5&lt;&gt;"",DigitaTICA!G5,"")</f>
        <v>60200</v>
      </c>
      <c r="D15" s="42">
        <f>IF(C15="",0,C15*J$9)</f>
        <v>7826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-11376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>
        <f>IF(DigitaNICA!I5&lt;&gt;"",DigitaNICA!I5,"")</f>
        <v>1200</v>
      </c>
      <c r="D17" s="42">
        <f>IF(C17="",0,C17*J$10)</f>
        <v>156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1044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IF(DigitaPRIMERA!C5&lt;&gt;"",DigitaPRIMERA!C5,"")</f>
        <v>6000</v>
      </c>
      <c r="D19" s="42">
        <f>IF(C19="",0,C19*J$12)</f>
        <v>780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5220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>
        <f>IF(DigitaPRIMERA!E5&lt;&gt;"",DigitaPRIMERA!E5,"")</f>
        <v>3000</v>
      </c>
      <c r="D20" s="42">
        <f>IF(C20="",0,C20*J$12)</f>
        <v>390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2610</v>
      </c>
    </row>
    <row r="21" spans="1:7" ht="15" thickBot="1" x14ac:dyDescent="0.4">
      <c r="A21" s="67" t="s">
        <v>5</v>
      </c>
      <c r="B21" s="127"/>
      <c r="C21" s="68">
        <f>SUM(C5:C20)</f>
        <v>149450</v>
      </c>
      <c r="D21" s="68">
        <f t="shared" ref="D21:G21" si="4">SUM(D5:D20)</f>
        <v>19428.5</v>
      </c>
      <c r="E21" s="68">
        <f t="shared" si="4"/>
        <v>1000</v>
      </c>
      <c r="F21" s="68">
        <f t="shared" si="4"/>
        <v>85000</v>
      </c>
      <c r="G21" s="88">
        <f t="shared" si="4"/>
        <v>45021.5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59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160850</v>
      </c>
      <c r="K4" s="230">
        <f t="shared" ref="K4" si="0">D7+D11+D15</f>
        <v>19302</v>
      </c>
      <c r="L4" s="219">
        <f>F7+F11+F15</f>
        <v>42500</v>
      </c>
    </row>
    <row r="5" spans="1:12" x14ac:dyDescent="0.35">
      <c r="A5" s="28" t="s">
        <v>43</v>
      </c>
      <c r="B5" s="132">
        <f>IF(DigitaNICA!C2&lt;&gt;"",DigitaNICA!C2,"")</f>
        <v>55</v>
      </c>
      <c r="C5" s="29">
        <f>IF(DigitaNICA!C8&lt;&gt;"",DigitaNICA!C8,"")</f>
        <v>50300</v>
      </c>
      <c r="D5" s="42">
        <f>IF(C5="",0,C5*J$12)</f>
        <v>6036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20264</v>
      </c>
      <c r="I5" s="240" t="s">
        <v>37</v>
      </c>
      <c r="J5" s="220">
        <f>SUM(IF(C5="",0,C5),IF(C9="",0,C9),IF(C13="",0,C13),IF(C17="",0,C17))</f>
        <v>132400</v>
      </c>
      <c r="K5" s="224">
        <f t="shared" ref="K5" si="2">D5+D9+D13+D17</f>
        <v>15888</v>
      </c>
      <c r="L5" s="221">
        <f>F5+F9+F13+F17</f>
        <v>52000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IF(DigitaTICA!C8&lt;&gt;"",DigitaTICA!C8,"")</f>
        <v>61950</v>
      </c>
      <c r="D7" s="42">
        <f>IF(C7="",0,C7*J$11)</f>
        <v>7434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12016</v>
      </c>
      <c r="I7" s="241" t="s">
        <v>96</v>
      </c>
      <c r="J7" s="223">
        <f>SUM(IF(C19="",0,C19),IF(C20="",0,C20))</f>
        <v>61500</v>
      </c>
      <c r="K7" s="227">
        <f>+D19+D20</f>
        <v>7380</v>
      </c>
      <c r="L7" s="228">
        <f>+F19+F20</f>
        <v>64000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59</v>
      </c>
      <c r="C9" s="29">
        <f>IF(DigitaNICA!E8&lt;&gt;"",DigitaNICA!E8,"")</f>
        <v>38600</v>
      </c>
      <c r="D9" s="42">
        <f>IF(C9="",0,C9*J$12)</f>
        <v>4632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33968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IF(DigitaTICA!E8&lt;&gt;"",DigitaTICA!E8,"")</f>
        <v>52750</v>
      </c>
      <c r="D11" s="42">
        <f>IF(C11="",0,C11*J$11)</f>
        <v>6330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46420</v>
      </c>
      <c r="I11" s="60" t="s">
        <v>36</v>
      </c>
      <c r="J11" s="61">
        <v>0.12</v>
      </c>
      <c r="K11" s="62">
        <f>MROUND(D7+D11+D15,50)</f>
        <v>19300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15900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7400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IF(DigitaTICA!G8&lt;&gt;"",DigitaTICA!G8,"")</f>
        <v>46150</v>
      </c>
      <c r="D15" s="42">
        <f>IF(C15="",0,C15*J$11)</f>
        <v>5538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40612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>
        <f>IF(DigitaNICA!I8&lt;&gt;"",DigitaNICA!I8,"")</f>
        <v>43500</v>
      </c>
      <c r="D17" s="42">
        <f>IF(C17="",0,C17*J$12)</f>
        <v>5220</v>
      </c>
      <c r="E17" s="29">
        <f>IF(DigitaNICA!J8&lt;&gt;"",DigitaNICA!J8,"")</f>
        <v>350</v>
      </c>
      <c r="F17" s="42">
        <f>IF(E17="",0,E17*PREMIOS!E17)</f>
        <v>28000</v>
      </c>
      <c r="G17" s="30">
        <f t="shared" si="4"/>
        <v>10280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IF(DigitaPRIMERA!C8&lt;&gt;"",DigitaPRIMERA!C8,"")</f>
        <v>28400</v>
      </c>
      <c r="D19" s="42">
        <f>IF(C19="",0,C19*J$14)</f>
        <v>3408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-15008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>
        <f>IF(DigitaPRIMERA!E8&lt;&gt;"",DigitaPRIMERA!E8,"")</f>
        <v>33100</v>
      </c>
      <c r="D20" s="42">
        <f>IF(C20="",0,C20*J$14)</f>
        <v>3972</v>
      </c>
      <c r="E20" s="29">
        <f>IF(DigitaPRIMERA!F8&lt;&gt;"",DigitaPRIMERA!F8,"")</f>
        <v>300</v>
      </c>
      <c r="F20" s="42">
        <f>IF(E20="",0,E20*PREMIOS!E19)</f>
        <v>24000</v>
      </c>
      <c r="G20" s="30">
        <f t="shared" si="4"/>
        <v>5128</v>
      </c>
    </row>
    <row r="21" spans="1:7" ht="15" thickBot="1" x14ac:dyDescent="0.4">
      <c r="A21" s="121" t="s">
        <v>5</v>
      </c>
      <c r="B21" s="128"/>
      <c r="C21" s="122">
        <f>SUM(C5:C20)</f>
        <v>354750</v>
      </c>
      <c r="D21" s="122">
        <f t="shared" ref="D21:G21" si="5">SUM(D5:D20)</f>
        <v>42570</v>
      </c>
      <c r="E21" s="122">
        <f t="shared" si="5"/>
        <v>1950</v>
      </c>
      <c r="F21" s="122">
        <f t="shared" si="5"/>
        <v>158500</v>
      </c>
      <c r="G21" s="123">
        <f t="shared" si="5"/>
        <v>153680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MARTA ROSA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55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213750</v>
      </c>
      <c r="K4" s="230">
        <f t="shared" ref="K4" si="0">D7+D11+D15</f>
        <v>25650</v>
      </c>
      <c r="L4" s="219">
        <f>F7+F11+F15</f>
        <v>106250</v>
      </c>
    </row>
    <row r="5" spans="1:12" x14ac:dyDescent="0.35">
      <c r="A5" s="28" t="s">
        <v>43</v>
      </c>
      <c r="B5" s="132">
        <f>IF(DigitaNICA!C2&lt;&gt;"",DigitaNICA!C2,"")</f>
        <v>55</v>
      </c>
      <c r="C5" s="29">
        <f>IF(DigitaNICA!C10&lt;&gt;"",DigitaNICA!C10,"")</f>
        <v>35200</v>
      </c>
      <c r="D5" s="42">
        <f>IF(C5="",0,C5*J$15)</f>
        <v>4224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30976</v>
      </c>
      <c r="I5" s="216" t="s">
        <v>37</v>
      </c>
      <c r="J5" s="220">
        <f>SUM(IF(C5="",0,C5),IF(C9="",0,C9),IF(C13="",0,C13),IF(C17="",0,C17))</f>
        <v>129150</v>
      </c>
      <c r="K5" s="224">
        <f t="shared" ref="K5" si="2">D5+D9+D13+D17</f>
        <v>15498</v>
      </c>
      <c r="L5" s="221">
        <f>F5+F9+F13+F17</f>
        <v>123250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32550</v>
      </c>
      <c r="K6" s="225">
        <f t="shared" ref="K6" si="3">+D8+D12+D16</f>
        <v>3255</v>
      </c>
      <c r="L6" s="226">
        <f>F8+F12+F16</f>
        <v>150000</v>
      </c>
    </row>
    <row r="7" spans="1:12" x14ac:dyDescent="0.35">
      <c r="A7" s="28" t="s">
        <v>46</v>
      </c>
      <c r="B7" s="132">
        <f>IF(DigitaTICA!C2&lt;&gt;"",DigitaTICA!C2,"")</f>
        <v>72</v>
      </c>
      <c r="C7" s="29">
        <f>IF(DigitaTICA!C10&lt;&gt;"",DigitaTICA!C10,"")</f>
        <v>72500</v>
      </c>
      <c r="D7" s="42">
        <f>IF(C7="",0,C7*J$14)</f>
        <v>8700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63800</v>
      </c>
      <c r="I7" s="216" t="s">
        <v>96</v>
      </c>
      <c r="J7" s="222">
        <f>SUM(IF(C19="",0,C19),IF(C20="",0,C20))</f>
        <v>34500</v>
      </c>
      <c r="K7" s="225">
        <f>+D19+D20</f>
        <v>4140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7850</v>
      </c>
      <c r="D8" s="42">
        <f>IF(C8="",0,C8*J$16)</f>
        <v>785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7065</v>
      </c>
      <c r="I8" s="216" t="s">
        <v>104</v>
      </c>
      <c r="J8" s="222">
        <f>SUM(IF(C21="",0,C21),IF(C22="",0,C22),IF(C23="",0,C23))</f>
        <v>34500</v>
      </c>
      <c r="K8" s="225">
        <f t="shared" ref="K8" si="4">D21+D22+D23</f>
        <v>4140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59</v>
      </c>
      <c r="C9" s="29">
        <f>IF(DigitaNICA!E10&lt;&gt;"",DigitaNICA!E10,"")</f>
        <v>37250</v>
      </c>
      <c r="D9" s="42">
        <f>IF(C9="",0,C9*J$15)</f>
        <v>4470</v>
      </c>
      <c r="E9" s="29">
        <f>IF(DigitaNICA!F10&lt;&gt;"",DigitaNICA!F10,"")</f>
        <v>550</v>
      </c>
      <c r="F9" s="42">
        <f>IF(E9="",0,E9*PREMIOS!F9)</f>
        <v>46750</v>
      </c>
      <c r="G9" s="30">
        <f t="shared" si="1"/>
        <v>-13970</v>
      </c>
      <c r="I9" s="216" t="s">
        <v>20</v>
      </c>
      <c r="J9" s="222">
        <f>SUM(IF(C24="",0,C24),IF(C25="",0,C25))</f>
        <v>39650</v>
      </c>
      <c r="K9" s="225">
        <f t="shared" ref="K9" si="5">+D24+D25</f>
        <v>4758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IF(DigitaTICA!E10&lt;&gt;"",DigitaTICA!E10,"")</f>
        <v>81400</v>
      </c>
      <c r="D11" s="42">
        <f>IF(C11="",0,C11*J$14)</f>
        <v>9768</v>
      </c>
      <c r="E11" s="29">
        <f>IF(DigitaTICA!F10&lt;&gt;"",DigitaTICA!F10,"")</f>
        <v>1250</v>
      </c>
      <c r="F11" s="42">
        <f>IF(E11="",0,E11*PREMIOS!F11)</f>
        <v>106250</v>
      </c>
      <c r="G11" s="30">
        <f t="shared" si="1"/>
        <v>-34618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10800</v>
      </c>
      <c r="D12" s="42">
        <f>IF(C12="",0,C12*J$16)</f>
        <v>1080</v>
      </c>
      <c r="E12" s="29">
        <f>IF(DigitaREVENTADO!F10&lt;&gt;"",DigitaREVENTADO!F10,"")</f>
        <v>750</v>
      </c>
      <c r="F12" s="42">
        <f>IF(E12="",0,E12*PREMIOS!F12)</f>
        <v>150000</v>
      </c>
      <c r="G12" s="30">
        <f t="shared" si="1"/>
        <v>-140280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25650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IF(DigitaTICA!G10&lt;&gt;"",DigitaTICA!G10,"")</f>
        <v>59850</v>
      </c>
      <c r="D15" s="42">
        <f>IF(C15="",0,C15*J$14)</f>
        <v>7182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52668</v>
      </c>
      <c r="I15" s="63" t="s">
        <v>37</v>
      </c>
      <c r="J15" s="64">
        <v>0.12</v>
      </c>
      <c r="K15" s="30">
        <f>MROUND(D5+D9+D13+D17,50)</f>
        <v>15500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13900</v>
      </c>
      <c r="D16" s="42">
        <f>IF(C16="",0,C16*J$16)</f>
        <v>1390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12510</v>
      </c>
      <c r="I16" s="63" t="s">
        <v>38</v>
      </c>
      <c r="J16" s="64">
        <v>0.1</v>
      </c>
      <c r="K16" s="30">
        <f>MROUND(D6+D8+D10+D12+D14+D16+D18,50)</f>
        <v>3250</v>
      </c>
    </row>
    <row r="17" spans="1:11" x14ac:dyDescent="0.35">
      <c r="A17" s="28" t="s">
        <v>52</v>
      </c>
      <c r="B17" s="132" t="str">
        <f>IF(DigitaNICA!I2&lt;&gt;"",DigitaNICA!I2,"")</f>
        <v>09</v>
      </c>
      <c r="C17" s="29">
        <f>IF(DigitaNICA!I10&lt;&gt;"",DigitaNICA!I10,"")</f>
        <v>56700</v>
      </c>
      <c r="D17" s="42">
        <f>IF(C17="",0,C17*J$15)</f>
        <v>6804</v>
      </c>
      <c r="E17" s="29">
        <f>IF(DigitaNICA!J10&lt;&gt;"",DigitaNICA!J10,"")</f>
        <v>900</v>
      </c>
      <c r="F17" s="42">
        <f>IF(E17="",0,E17*PREMIOS!F17)</f>
        <v>76500</v>
      </c>
      <c r="G17" s="30">
        <f t="shared" si="6"/>
        <v>-26604</v>
      </c>
      <c r="I17" s="63" t="s">
        <v>96</v>
      </c>
      <c r="J17" s="64">
        <v>0.12</v>
      </c>
      <c r="K17" s="30">
        <f>MROUND(D19+D20,50)</f>
        <v>4150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4150</v>
      </c>
    </row>
    <row r="19" spans="1:11" x14ac:dyDescent="0.35">
      <c r="A19" s="28" t="s">
        <v>97</v>
      </c>
      <c r="B19" s="132">
        <f>IF(DigitaPRIMERA!C2&lt;&gt;"",DigitaPRIMERA!C2,"")</f>
        <v>27</v>
      </c>
      <c r="C19" s="29">
        <f>IF(DigitaPRIMERA!$C$10&lt;&gt;"",DigitaPRIMERA!$C$10,"")</f>
        <v>21200</v>
      </c>
      <c r="D19" s="42">
        <f>IF(C19="",0,C19*J$17)</f>
        <v>2544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18656</v>
      </c>
      <c r="I19" s="63" t="s">
        <v>20</v>
      </c>
      <c r="J19" s="64">
        <v>0.12</v>
      </c>
      <c r="K19" s="30">
        <f>MROUND(D24+D25,50)</f>
        <v>4750</v>
      </c>
    </row>
    <row r="20" spans="1:11" ht="15" thickBot="1" x14ac:dyDescent="0.4">
      <c r="A20" s="28" t="s">
        <v>98</v>
      </c>
      <c r="B20" s="132">
        <f>IF(DigitaPRIMERA!E2&lt;&gt;"",DigitaPRIMERA!E2,"")</f>
        <v>14</v>
      </c>
      <c r="C20" s="29">
        <f>IF(DigitaPRIMERA!$E$10&lt;&gt;"",DigitaPRIMERA!$E$10,"")</f>
        <v>13300</v>
      </c>
      <c r="D20" s="42">
        <f>IF(C20="",0,C20*J$17)</f>
        <v>1596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11704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44</v>
      </c>
      <c r="C21" s="29">
        <f>IF(DigitaHONDURAS!$C$10&lt;&gt;"",DigitaHONDURAS!$C$10,"")</f>
        <v>18000</v>
      </c>
      <c r="D21" s="42">
        <f>IF(C21="",0,C21*J$18)</f>
        <v>2160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15840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>
        <f>IF(DigitaHONDURAS!$E$10&lt;&gt;"",DigitaHONDURAS!$E$10,"")</f>
        <v>14700</v>
      </c>
      <c r="D22" s="42">
        <f>IF(C22="",0,C22*J$18)</f>
        <v>1764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12936</v>
      </c>
    </row>
    <row r="23" spans="1:11" x14ac:dyDescent="0.35">
      <c r="A23" s="28" t="s">
        <v>101</v>
      </c>
      <c r="B23" s="132">
        <f>IF(DigitaHONDURAS!G2&lt;&gt;"",DigitaHONDURAS!G2,"")</f>
        <v>51</v>
      </c>
      <c r="C23" s="29">
        <f>IF(DigitaHONDURAS!$G$10&lt;&gt;"",DigitaHONDURAS!$G$10,"")</f>
        <v>1800</v>
      </c>
      <c r="D23" s="42">
        <f>IF(C23="",0,C23*J$18)</f>
        <v>216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1584</v>
      </c>
    </row>
    <row r="24" spans="1:11" x14ac:dyDescent="0.35">
      <c r="A24" s="28" t="s">
        <v>107</v>
      </c>
      <c r="B24" s="132" t="str">
        <f>IF(DigitaDOMINICANA!C2&lt;&gt;"",DigitaDOMINICANA!C2,"")</f>
        <v>03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89</v>
      </c>
      <c r="C25" s="29">
        <f>IF(DigitaDOMINICANA!$E$10&lt;&gt;"",DigitaDOMINICANA!$E$10,"")</f>
        <v>39650</v>
      </c>
      <c r="D25" s="42">
        <f>IF(C25="",0,C25*J$19)</f>
        <v>4758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34892</v>
      </c>
    </row>
    <row r="26" spans="1:11" x14ac:dyDescent="0.35">
      <c r="A26" s="28" t="s">
        <v>21</v>
      </c>
      <c r="B26" s="132">
        <f>IF(DigitaPANAMENA!C2&lt;&gt;"",DigitaPANAMENA!C2,"")</f>
        <v>45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484100</v>
      </c>
      <c r="D27" s="68">
        <f t="shared" ref="D27:F27" si="9">SUM(D5:D26)</f>
        <v>57441</v>
      </c>
      <c r="E27" s="68">
        <f t="shared" si="9"/>
        <v>3450</v>
      </c>
      <c r="F27" s="68">
        <f t="shared" si="9"/>
        <v>379500</v>
      </c>
      <c r="G27" s="88">
        <f>SUM(G5:G26)</f>
        <v>47159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2500</v>
      </c>
      <c r="K4" s="230">
        <f t="shared" ref="K4" si="0">D7+D11+D15</f>
        <v>300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59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IF(DigitaTICA!G11&lt;&gt;"",DigitaTICA!G11,"")</f>
        <v>2500</v>
      </c>
      <c r="D15" s="42">
        <f>IF(C15="",0,C15*J$11)</f>
        <v>300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2200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2500</v>
      </c>
      <c r="D21" s="122">
        <f t="shared" ref="D21:G21" si="5">SUM(D5:D20)</f>
        <v>300</v>
      </c>
      <c r="E21" s="122">
        <f t="shared" si="5"/>
        <v>0</v>
      </c>
      <c r="F21" s="122">
        <f t="shared" si="5"/>
        <v>0</v>
      </c>
      <c r="G21" s="123">
        <f t="shared" si="5"/>
        <v>2200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86300</v>
      </c>
      <c r="K4" s="230">
        <f>D7+D11+D15</f>
        <v>10356</v>
      </c>
      <c r="L4" s="219">
        <f>F7+F11+F15</f>
        <v>51000</v>
      </c>
    </row>
    <row r="5" spans="1:12" x14ac:dyDescent="0.35">
      <c r="A5" s="28" t="s">
        <v>43</v>
      </c>
      <c r="B5" s="132">
        <f>IF(DigitaNICA!C2&lt;&gt;"",DigitaNICA!C2,"")</f>
        <v>55</v>
      </c>
      <c r="C5" s="29">
        <f>IF(DigitaNICA!C12&lt;&gt;"",DigitaNICA!C12,"")</f>
        <v>40250</v>
      </c>
      <c r="D5" s="42">
        <f>IF(C5="",0,C5*J$12)</f>
        <v>4830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14170</v>
      </c>
      <c r="I5" s="216" t="s">
        <v>37</v>
      </c>
      <c r="J5" s="220">
        <f>SUM(IF(C5="",0,C5),IF(C9="",0,C9),IF(C13="",0,C13),IF(C17="",0,C17))</f>
        <v>65500</v>
      </c>
      <c r="K5" s="224">
        <f t="shared" ref="K5" si="1">D5+D9+D13+D17</f>
        <v>7860</v>
      </c>
      <c r="L5" s="221">
        <f>F5+F9+F13+F17</f>
        <v>38250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10000</v>
      </c>
      <c r="K6" s="225">
        <f t="shared" ref="K6" si="2">+D8+D12+D16</f>
        <v>1000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72</v>
      </c>
      <c r="C7" s="29">
        <f>IF(DigitaTICA!C12&lt;&gt;"",DigitaTICA!C12,"")</f>
        <v>58600</v>
      </c>
      <c r="D7" s="42">
        <f>IF(C7="",0,C7*J$11)</f>
        <v>7032</v>
      </c>
      <c r="E7" s="29">
        <f>IF(DigitaTICA!D12&lt;&gt;"",DigitaTICA!D12,"")</f>
        <v>600</v>
      </c>
      <c r="F7" s="42">
        <f>IF(E7="",0,E7*PREMIOS!F7)</f>
        <v>51000</v>
      </c>
      <c r="G7" s="30">
        <f t="shared" si="0"/>
        <v>568</v>
      </c>
      <c r="I7" s="216" t="s">
        <v>96</v>
      </c>
      <c r="J7" s="222">
        <f>SUM(IF(C19="",0,C19),IF(C20="",0,C20))</f>
        <v>41050</v>
      </c>
      <c r="K7" s="225">
        <f>+D19+D20</f>
        <v>4926</v>
      </c>
      <c r="L7" s="226">
        <f>+F19+F20</f>
        <v>8500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9900</v>
      </c>
      <c r="D8" s="42">
        <f>IF(C8="",0,C8*J$13)</f>
        <v>990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8910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59</v>
      </c>
      <c r="C9" s="29">
        <f>IF(DigitaNICA!E12&lt;&gt;"",DigitaNICA!E12,"")</f>
        <v>18250</v>
      </c>
      <c r="D9" s="42">
        <f>IF(C9="",0,C9*J$12)</f>
        <v>2190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16060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IF(DigitaTICA!E12&lt;&gt;"",DigitaTICA!E12,"")</f>
        <v>8700</v>
      </c>
      <c r="D11" s="42">
        <f>IF(C11="",0,C11*J$11)</f>
        <v>1044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7656</v>
      </c>
      <c r="I11" s="60" t="s">
        <v>36</v>
      </c>
      <c r="J11" s="61">
        <v>0.12</v>
      </c>
      <c r="K11" s="62">
        <f>MROUND(D7+D11+D15,50)</f>
        <v>10350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4950</v>
      </c>
    </row>
    <row r="15" spans="1:12" ht="15" thickBot="1" x14ac:dyDescent="0.4">
      <c r="A15" s="28" t="s">
        <v>61</v>
      </c>
      <c r="B15" s="132">
        <f>IF(DigitaTICA!G2&lt;&gt;"",DigitaTICA!G2,"")</f>
        <v>23</v>
      </c>
      <c r="C15" s="29">
        <f>IF(DigitaTICA!G12&lt;&gt;"",DigitaTICA!G12,"")</f>
        <v>19000</v>
      </c>
      <c r="D15" s="42">
        <f>IF(C15="",0,C15*J$11)</f>
        <v>2280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16720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</v>
      </c>
      <c r="D16" s="42">
        <f>IF(C16="",0,C16*J$13)</f>
        <v>10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>
        <f>IF(DigitaNICA!I12&lt;&gt;"",DigitaNICA!I12,"")</f>
        <v>7000</v>
      </c>
      <c r="D17" s="42">
        <f>IF(C17="",0,C17*J$12)</f>
        <v>840</v>
      </c>
      <c r="E17" s="29">
        <f>IF(DigitaNICA!J12&lt;&gt;"",DigitaNICA!J12,"")</f>
        <v>200</v>
      </c>
      <c r="F17" s="42">
        <f>IF(E17="",0,E17*PREMIOS!F17)</f>
        <v>17000</v>
      </c>
      <c r="G17" s="30">
        <f t="shared" si="3"/>
        <v>-10840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IF(DigitaPRIMERA!$C$12&lt;&gt;"",DigitaPRIMERA!$C$12,"")</f>
        <v>41050</v>
      </c>
      <c r="D19" s="42">
        <f>IF(C19="",0,C19*J$14)</f>
        <v>4926</v>
      </c>
      <c r="E19" s="29">
        <f>IF(DigitaPRIMERA!$D$12&lt;&gt;"",DigitaPRIMERA!$D$12,"")</f>
        <v>100</v>
      </c>
      <c r="F19" s="42">
        <f>IF(E19="",0,E19*PREMIOS!F19)</f>
        <v>8500</v>
      </c>
      <c r="G19" s="30">
        <f t="shared" si="3"/>
        <v>27624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14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202850</v>
      </c>
      <c r="D24" s="68">
        <f t="shared" ref="D24:G24" si="4">SUM(D5:D23)</f>
        <v>24142</v>
      </c>
      <c r="E24" s="68">
        <f t="shared" si="4"/>
        <v>1150</v>
      </c>
      <c r="F24" s="68">
        <f t="shared" si="4"/>
        <v>97750</v>
      </c>
      <c r="G24" s="88">
        <f t="shared" si="4"/>
        <v>80958</v>
      </c>
    </row>
    <row r="27" spans="1:7" x14ac:dyDescent="0.35">
      <c r="G27" s="21">
        <v>0</v>
      </c>
    </row>
    <row r="28" spans="1:7" x14ac:dyDescent="0.35">
      <c r="G28" s="140">
        <f>+G24+G27</f>
        <v>80958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82250</v>
      </c>
      <c r="K4" s="230">
        <f t="shared" ref="K4" si="0">D7+D11+D15</f>
        <v>9870</v>
      </c>
      <c r="L4" s="219">
        <f>F7+F11+F15</f>
        <v>21250</v>
      </c>
    </row>
    <row r="5" spans="1:12" ht="15" thickBot="1" x14ac:dyDescent="0.4">
      <c r="A5" s="28" t="s">
        <v>43</v>
      </c>
      <c r="B5" s="132">
        <f>IF(DigitaNICA!C2&lt;&gt;"",DigitaNICA!C2,"")</f>
        <v>55</v>
      </c>
      <c r="C5" s="29">
        <f>IF(DigitaNICA!C13&lt;&gt;"",DigitaNICA!C13,"")</f>
        <v>19300</v>
      </c>
      <c r="D5" s="42">
        <f>IF(C5="",0,C5*J$10)</f>
        <v>2316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16984</v>
      </c>
      <c r="I5" s="217" t="s">
        <v>37</v>
      </c>
      <c r="J5" s="231">
        <f>SUM(IF(C5="",0,C5),IF(C9="",0,C9),IF(C13="",0,C13),IF(C17="",0,C17))</f>
        <v>34950</v>
      </c>
      <c r="K5" s="232">
        <f t="shared" ref="K5" si="2">D5+D9+D13+D17</f>
        <v>4194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IF(DigitaTICA!C13&lt;&gt;"",DigitaTICA!C13,"")</f>
        <v>27150</v>
      </c>
      <c r="D7" s="42">
        <f>IF(C7="",0,C7*J$9)</f>
        <v>3258</v>
      </c>
      <c r="E7" s="29">
        <f>IF(DigitaTICA!D13&lt;&gt;"",DigitaTICA!D13,"")</f>
        <v>250</v>
      </c>
      <c r="F7" s="133">
        <f>IF(E7="",0,E7*PREMIOS!F7)</f>
        <v>21250</v>
      </c>
      <c r="G7" s="30">
        <f t="shared" si="1"/>
        <v>2642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59</v>
      </c>
      <c r="C9" s="29">
        <f>IF(DigitaNICA!E13&lt;&gt;"",DigitaNICA!E13,"")</f>
        <v>15150</v>
      </c>
      <c r="D9" s="42">
        <f>IF(C9="",0,C9*J$10)</f>
        <v>1818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13332</v>
      </c>
      <c r="I9" s="60" t="s">
        <v>36</v>
      </c>
      <c r="J9" s="61">
        <v>0.12</v>
      </c>
      <c r="K9" s="62">
        <f>MROUND(D7+D11+D15,50)</f>
        <v>9850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4200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>
        <f>IF(DigitaTICA!E13&lt;&gt;"",DigitaTICA!E13,"")</f>
        <v>15850</v>
      </c>
      <c r="D11" s="42">
        <f>IF(C11="",0,C11*J$9)</f>
        <v>1902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13948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IF(DigitaTICA!G13&lt;&gt;"",DigitaTICA!G13,"")</f>
        <v>39250</v>
      </c>
      <c r="D15" s="42">
        <f>IF(C15="",0,C15*J$9)</f>
        <v>4710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34540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117200</v>
      </c>
      <c r="D19" s="68">
        <f>MROUND(SUM(D5:D18),50)</f>
        <v>14050</v>
      </c>
      <c r="E19" s="68">
        <f>SUM(E5:E18)</f>
        <v>250</v>
      </c>
      <c r="F19" s="68">
        <f>SUM(F5:F18)</f>
        <v>21250</v>
      </c>
      <c r="G19" s="88">
        <f>SUM(G5:G18)</f>
        <v>81886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G20" sqref="G20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44950</v>
      </c>
      <c r="K4" s="235">
        <f t="shared" ref="K4" si="0">D7+D11+D15</f>
        <v>6742.5</v>
      </c>
      <c r="L4" s="236">
        <f>F7+F11+F15</f>
        <v>0</v>
      </c>
    </row>
    <row r="5" spans="1:12" x14ac:dyDescent="0.35">
      <c r="A5" s="28" t="s">
        <v>43</v>
      </c>
      <c r="B5" s="132">
        <f>IF(DigitaNICA!C2&lt;&gt;"",DigitaNICA!C2,"")</f>
        <v>55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>
        <f>IF(DigitaTICA!C14&lt;&gt;"",DigitaTICA!C14,"")</f>
        <v>17200</v>
      </c>
      <c r="D7" s="42">
        <f>IF(C7="",0,C7*J$9)</f>
        <v>2580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14620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6750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>
        <f>IF(DigitaTICA!E14&lt;&gt;"",DigitaTICA!E14,"")</f>
        <v>7600</v>
      </c>
      <c r="D11" s="42">
        <f>IF(C11="",0,C11*J$9)</f>
        <v>1140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6460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>
        <f>IF(DigitaTICA!G14&lt;&gt;"",DigitaTICA!G14,"")</f>
        <v>20150</v>
      </c>
      <c r="D15" s="42">
        <f>IF(C15="",0,C15*J$9)</f>
        <v>3022.5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17127.5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44950</v>
      </c>
      <c r="D19" s="68">
        <f>MROUND(SUM(D5:D18),50)</f>
        <v>6750</v>
      </c>
      <c r="E19" s="68">
        <f>SUM(E5:E18)</f>
        <v>0</v>
      </c>
      <c r="F19" s="68">
        <f>SUM(F5:F18)</f>
        <v>0</v>
      </c>
      <c r="G19" s="88">
        <f>SUM(G5:G18)</f>
        <v>38207.5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55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59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23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63000</v>
      </c>
      <c r="K4" s="230">
        <f>D7+D11+D15</f>
        <v>7560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55</v>
      </c>
      <c r="C5" s="29">
        <f>IF(DigitaNICA!C16&lt;&gt;"",DigitaNICA!C16,"")</f>
        <v>8000</v>
      </c>
      <c r="D5" s="42">
        <f>IF(C5="",0,C5*J$12)</f>
        <v>960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7040</v>
      </c>
      <c r="I5" s="63" t="s">
        <v>37</v>
      </c>
      <c r="J5" s="224">
        <f>SUM(IF(C5="",0,C5),IF(C9="",0,C9),IF(C13="",0,C13),IF(C17="",0,C17))</f>
        <v>26550</v>
      </c>
      <c r="K5" s="224">
        <f t="shared" ref="K5" si="1">D5+D9+D13+D17</f>
        <v>3186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1750</v>
      </c>
      <c r="K6" s="225">
        <f t="shared" ref="K6" si="2">+D8+D12+D16</f>
        <v>175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72</v>
      </c>
      <c r="C7" s="29">
        <f>IF(DigitaTICA!C16&lt;&gt;"",DigitaTICA!C16,"")</f>
        <v>24000</v>
      </c>
      <c r="D7" s="42">
        <f>IF(C7="",0,C7*J$11)</f>
        <v>2880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21120</v>
      </c>
      <c r="I7" s="63" t="s">
        <v>96</v>
      </c>
      <c r="J7" s="225">
        <f>SUM(IF(C19="",0,C19),IF(C20="",0,C20))</f>
        <v>1000</v>
      </c>
      <c r="K7" s="225">
        <f>+D19+D20</f>
        <v>120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750</v>
      </c>
      <c r="D8" s="42">
        <f>IF(C8="",0,C8*J$13)</f>
        <v>75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675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59</v>
      </c>
      <c r="C9" s="29">
        <f>IF(DigitaNICA!E16&lt;&gt;"",DigitaNICA!E16,"")</f>
        <v>8500</v>
      </c>
      <c r="D9" s="42">
        <f>IF(C9="",0,C9*J$12)</f>
        <v>1020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7480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IF(DigitaTICA!E16&lt;&gt;"",DigitaTICA!E16,"")</f>
        <v>21650</v>
      </c>
      <c r="D11" s="42">
        <f>IF(C11="",0,C11*J$11)</f>
        <v>2598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19052</v>
      </c>
      <c r="I11" s="76" t="s">
        <v>36</v>
      </c>
      <c r="J11" s="77">
        <v>0.12</v>
      </c>
      <c r="K11" s="78">
        <f>MROUND(D7+D11+D15,50)</f>
        <v>7550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100</v>
      </c>
    </row>
    <row r="15" spans="1:12" ht="15" thickBot="1" x14ac:dyDescent="0.4">
      <c r="A15" s="28" t="s">
        <v>61</v>
      </c>
      <c r="B15" s="132">
        <f>IF(DigitaTICA!G2&lt;&gt;"",DigitaTICA!G2,"")</f>
        <v>23</v>
      </c>
      <c r="C15" s="29">
        <f>IF(DigitaTICA!G16&lt;&gt;"",DigitaTICA!G16,"")</f>
        <v>17350</v>
      </c>
      <c r="D15" s="42">
        <f>IF(C15="",0,C15*J$11)</f>
        <v>2082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15268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>
        <f>IF(DigitaNICA!I16&lt;&gt;"",DigitaNICA!I16,"")</f>
        <v>10050</v>
      </c>
      <c r="D17" s="42">
        <f>IF(C17="",0,C17*J$12)</f>
        <v>1206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8844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27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2">
        <f>IF(DigitaPRIMERA!E2&lt;&gt;"",DigitaPRIMERA!E2,"")</f>
        <v>14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14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51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92300</v>
      </c>
      <c r="D24" s="122">
        <f t="shared" ref="D24:G24" si="5">SUM(D5:D23)</f>
        <v>11041</v>
      </c>
      <c r="E24" s="122">
        <f t="shared" si="5"/>
        <v>0</v>
      </c>
      <c r="F24" s="122">
        <f t="shared" si="5"/>
        <v>0</v>
      </c>
      <c r="G24" s="123">
        <f t="shared" si="5"/>
        <v>81259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55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59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23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>09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44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51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45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55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59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23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>09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14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44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14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51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89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45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55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59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23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>09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55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59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23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>09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72</v>
      </c>
      <c r="D2" s="267"/>
      <c r="E2" s="266">
        <f>IF(PREMIOS!$B11="","",PREMIOS!$B11)</f>
        <v>23</v>
      </c>
      <c r="F2" s="267"/>
      <c r="G2" s="266">
        <f>IF(PREMIOS!$B15="","",PREMIOS!$B15)</f>
        <v>23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65850</v>
      </c>
      <c r="D4" s="78">
        <f t="shared" ref="D4:H27" si="0">IF(C4="","",0)</f>
        <v>0</v>
      </c>
      <c r="E4" s="188">
        <v>47900</v>
      </c>
      <c r="F4" s="78">
        <v>250</v>
      </c>
      <c r="G4" s="188">
        <v>74400</v>
      </c>
      <c r="H4" s="78">
        <v>650</v>
      </c>
      <c r="J4" s="42">
        <f t="shared" ref="J4:J8" si="1">+C4+E4+G4</f>
        <v>188150</v>
      </c>
      <c r="K4" s="42">
        <f>IF(D4="",0,IF(F4="",D4,IF(H4="",D4+F4,D4+F4+H4)))</f>
        <v>900</v>
      </c>
    </row>
    <row r="5" spans="1:11" x14ac:dyDescent="0.35">
      <c r="A5" s="47">
        <v>2</v>
      </c>
      <c r="B5" s="177" t="str">
        <f>Vendedor2!$B$2</f>
        <v>PUESTO 2</v>
      </c>
      <c r="C5" s="179">
        <v>48100</v>
      </c>
      <c r="D5" s="30">
        <f t="shared" si="0"/>
        <v>0</v>
      </c>
      <c r="E5" s="179">
        <v>29900</v>
      </c>
      <c r="F5" s="30">
        <v>250</v>
      </c>
      <c r="G5" s="179">
        <v>60200</v>
      </c>
      <c r="H5" s="30">
        <v>750</v>
      </c>
      <c r="J5" s="42">
        <f t="shared" si="1"/>
        <v>138200</v>
      </c>
      <c r="K5" s="42">
        <f t="shared" ref="K5:K27" si="2">IF(D5="",0,IF(F5="",D5,IF(H5="",D5+F5,D5+F5+H5)))</f>
        <v>1000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61950</v>
      </c>
      <c r="D8" s="30">
        <v>500</v>
      </c>
      <c r="E8" s="179">
        <v>52750</v>
      </c>
      <c r="F8" s="30">
        <f t="shared" si="0"/>
        <v>0</v>
      </c>
      <c r="G8" s="179">
        <v>46150</v>
      </c>
      <c r="H8" s="30">
        <f t="shared" si="0"/>
        <v>0</v>
      </c>
      <c r="J8" s="42">
        <f t="shared" si="1"/>
        <v>160850</v>
      </c>
      <c r="K8" s="42">
        <f t="shared" si="2"/>
        <v>500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25600+46900</f>
        <v>72500</v>
      </c>
      <c r="D10" s="30">
        <f t="shared" si="0"/>
        <v>0</v>
      </c>
      <c r="E10" s="179">
        <f>14400+67000</f>
        <v>81400</v>
      </c>
      <c r="F10" s="30">
        <v>1250</v>
      </c>
      <c r="G10" s="179">
        <f>16150+43700</f>
        <v>59850</v>
      </c>
      <c r="H10" s="30">
        <f t="shared" si="0"/>
        <v>0</v>
      </c>
      <c r="J10" s="42">
        <f t="shared" si="3"/>
        <v>213750</v>
      </c>
      <c r="K10" s="42">
        <f t="shared" si="2"/>
        <v>1250</v>
      </c>
    </row>
    <row r="11" spans="1:11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179"/>
      <c r="F11" s="30" t="str">
        <f t="shared" si="0"/>
        <v/>
      </c>
      <c r="G11" s="179">
        <v>2500</v>
      </c>
      <c r="H11" s="30">
        <f t="shared" si="0"/>
        <v>0</v>
      </c>
      <c r="J11" s="42">
        <f t="shared" si="3"/>
        <v>2500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58600</v>
      </c>
      <c r="D12" s="30">
        <v>600</v>
      </c>
      <c r="E12" s="179">
        <v>8700</v>
      </c>
      <c r="F12" s="30">
        <f t="shared" si="0"/>
        <v>0</v>
      </c>
      <c r="G12" s="179">
        <v>19000</v>
      </c>
      <c r="H12" s="30">
        <f t="shared" si="0"/>
        <v>0</v>
      </c>
      <c r="J12" s="42">
        <f t="shared" si="3"/>
        <v>86300</v>
      </c>
      <c r="K12" s="42">
        <f t="shared" si="2"/>
        <v>600</v>
      </c>
    </row>
    <row r="13" spans="1:11" x14ac:dyDescent="0.35">
      <c r="A13" s="47">
        <v>10</v>
      </c>
      <c r="B13" s="177" t="str">
        <f>Vendedor10!$B$2</f>
        <v>MARIALIZ</v>
      </c>
      <c r="C13" s="179">
        <v>27150</v>
      </c>
      <c r="D13" s="30">
        <v>250</v>
      </c>
      <c r="E13" s="179">
        <v>15850</v>
      </c>
      <c r="F13" s="30">
        <f t="shared" si="0"/>
        <v>0</v>
      </c>
      <c r="G13" s="179">
        <v>39250</v>
      </c>
      <c r="H13" s="30">
        <f t="shared" si="0"/>
        <v>0</v>
      </c>
      <c r="J13" s="42">
        <f t="shared" si="3"/>
        <v>82250</v>
      </c>
      <c r="K13" s="42">
        <f t="shared" si="2"/>
        <v>250</v>
      </c>
    </row>
    <row r="14" spans="1:11" x14ac:dyDescent="0.35">
      <c r="A14" s="47">
        <v>11</v>
      </c>
      <c r="B14" s="177" t="str">
        <f>Vendedor11!$B$2</f>
        <v>CHARLY</v>
      </c>
      <c r="C14" s="179">
        <v>17200</v>
      </c>
      <c r="D14" s="30">
        <f t="shared" si="0"/>
        <v>0</v>
      </c>
      <c r="E14" s="179">
        <v>7600</v>
      </c>
      <c r="F14" s="30">
        <f t="shared" si="0"/>
        <v>0</v>
      </c>
      <c r="G14" s="179">
        <v>20150</v>
      </c>
      <c r="H14" s="30">
        <f t="shared" si="0"/>
        <v>0</v>
      </c>
      <c r="J14" s="42">
        <f t="shared" si="3"/>
        <v>44950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24000</v>
      </c>
      <c r="D16" s="30">
        <f t="shared" si="0"/>
        <v>0</v>
      </c>
      <c r="E16" s="179">
        <v>21650</v>
      </c>
      <c r="F16" s="30">
        <f t="shared" si="0"/>
        <v>0</v>
      </c>
      <c r="G16" s="179">
        <v>17350</v>
      </c>
      <c r="H16" s="30">
        <f t="shared" si="0"/>
        <v>0</v>
      </c>
      <c r="J16" s="42">
        <f t="shared" si="3"/>
        <v>63000</v>
      </c>
      <c r="K16" s="42">
        <f t="shared" si="2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375350</v>
      </c>
      <c r="D32" s="44">
        <f t="shared" si="6"/>
        <v>1350</v>
      </c>
      <c r="E32" s="43">
        <f t="shared" si="6"/>
        <v>265750</v>
      </c>
      <c r="F32" s="44">
        <f t="shared" si="6"/>
        <v>1750</v>
      </c>
      <c r="G32" s="43">
        <f t="shared" si="6"/>
        <v>338850</v>
      </c>
      <c r="H32" s="44">
        <f t="shared" si="6"/>
        <v>1400</v>
      </c>
      <c r="J32" s="95">
        <f>SUM(J4:J31)</f>
        <v>979950</v>
      </c>
      <c r="K32" s="95"/>
    </row>
    <row r="33" spans="2:8" x14ac:dyDescent="0.35">
      <c r="D33" s="99">
        <f>+D32*85</f>
        <v>114750</v>
      </c>
      <c r="F33" s="99">
        <f>+F32*85</f>
        <v>148750</v>
      </c>
      <c r="H33" s="99">
        <f>+H32*85</f>
        <v>119000</v>
      </c>
    </row>
    <row r="34" spans="2:8" x14ac:dyDescent="0.35">
      <c r="B34" s="246" t="s">
        <v>149</v>
      </c>
      <c r="C34" s="43">
        <f t="shared" ref="C34:H34" si="7">+C4+C5+C6+C8+C13</f>
        <v>203050</v>
      </c>
      <c r="D34" s="43" t="e">
        <f t="shared" si="7"/>
        <v>#VALUE!</v>
      </c>
      <c r="E34" s="43">
        <f t="shared" si="7"/>
        <v>146400</v>
      </c>
      <c r="F34" s="43" t="e">
        <f t="shared" si="7"/>
        <v>#VALUE!</v>
      </c>
      <c r="G34" s="43">
        <f t="shared" si="7"/>
        <v>220000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17200</v>
      </c>
      <c r="D35" s="43" t="e">
        <f t="shared" ref="D35:H35" si="8">+D11+D14+D15+D17+D18</f>
        <v>#VALUE!</v>
      </c>
      <c r="E35" s="43">
        <f t="shared" si="8"/>
        <v>7600</v>
      </c>
      <c r="F35" s="43" t="e">
        <f t="shared" si="8"/>
        <v>#VALUE!</v>
      </c>
      <c r="G35" s="43">
        <f t="shared" si="8"/>
        <v>22650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131100</v>
      </c>
      <c r="D36" s="43" t="e">
        <f t="shared" ref="D36:H36" si="9">+D10+D12+D27</f>
        <v>#VALUE!</v>
      </c>
      <c r="E36" s="43">
        <f t="shared" si="9"/>
        <v>90100</v>
      </c>
      <c r="F36" s="43" t="e">
        <f t="shared" si="9"/>
        <v>#VALUE!</v>
      </c>
      <c r="G36" s="43">
        <f t="shared" si="9"/>
        <v>78850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55</v>
      </c>
      <c r="D2" s="267"/>
      <c r="E2" s="266">
        <f>IF(PREMIOS!$B9="","",PREMIOS!$B9)</f>
        <v>59</v>
      </c>
      <c r="F2" s="267"/>
      <c r="G2" s="266" t="str">
        <f>IF(PREMIOS!$B13="","",PREMIOS!$B13)</f>
        <v/>
      </c>
      <c r="H2" s="267"/>
      <c r="I2" s="266" t="str">
        <f>IF(PREMIOS!$B17="","",PREMIOS!$B17)</f>
        <v>09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11000</v>
      </c>
      <c r="D4" s="78">
        <f t="shared" ref="D4:J27" si="0">IF(C4="","",0)</f>
        <v>0</v>
      </c>
      <c r="E4" s="205">
        <v>8350</v>
      </c>
      <c r="F4" s="78">
        <f t="shared" si="0"/>
        <v>0</v>
      </c>
      <c r="G4" s="188"/>
      <c r="H4" s="78" t="str">
        <f t="shared" ref="H4:H27" si="1">IF(G4="","",0)</f>
        <v/>
      </c>
      <c r="I4" s="188">
        <v>3250</v>
      </c>
      <c r="J4" s="78">
        <f t="shared" si="0"/>
        <v>0</v>
      </c>
      <c r="L4" s="42">
        <f t="shared" ref="L4:L8" si="2">+C4+E4+G4+I4</f>
        <v>22600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1050</v>
      </c>
      <c r="D5" s="30">
        <f t="shared" si="0"/>
        <v>0</v>
      </c>
      <c r="E5" s="206"/>
      <c r="F5" s="30" t="str">
        <f t="shared" si="0"/>
        <v/>
      </c>
      <c r="G5" s="179"/>
      <c r="H5" s="30" t="str">
        <f t="shared" si="1"/>
        <v/>
      </c>
      <c r="I5" s="179">
        <v>1200</v>
      </c>
      <c r="J5" s="30">
        <f t="shared" ref="J5:J27" si="3">IF(I5="","",0)</f>
        <v>0</v>
      </c>
      <c r="L5" s="42">
        <f t="shared" si="2"/>
        <v>2250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50300</v>
      </c>
      <c r="D8" s="30">
        <v>300</v>
      </c>
      <c r="E8" s="206">
        <v>38600</v>
      </c>
      <c r="F8" s="30">
        <f t="shared" si="0"/>
        <v>0</v>
      </c>
      <c r="G8" s="179"/>
      <c r="H8" s="30" t="str">
        <f t="shared" si="1"/>
        <v/>
      </c>
      <c r="I8" s="179">
        <v>43500</v>
      </c>
      <c r="J8" s="30">
        <v>350</v>
      </c>
      <c r="L8" s="42">
        <f t="shared" si="2"/>
        <v>132400</v>
      </c>
      <c r="M8" s="42">
        <f t="shared" si="4"/>
        <v>300</v>
      </c>
    </row>
    <row r="9" spans="1:13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9100+26100</f>
        <v>35200</v>
      </c>
      <c r="D10" s="30">
        <f t="shared" si="0"/>
        <v>0</v>
      </c>
      <c r="E10" s="206">
        <f>17100+20150</f>
        <v>37250</v>
      </c>
      <c r="F10" s="30">
        <v>550</v>
      </c>
      <c r="G10" s="179"/>
      <c r="H10" s="30" t="str">
        <f t="shared" si="0"/>
        <v/>
      </c>
      <c r="I10" s="179">
        <f>27150+29550</f>
        <v>56700</v>
      </c>
      <c r="J10" s="30">
        <f>750+150</f>
        <v>900</v>
      </c>
      <c r="L10" s="42">
        <f t="shared" si="5"/>
        <v>129150</v>
      </c>
      <c r="M10" s="42">
        <f t="shared" si="4"/>
        <v>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40250</v>
      </c>
      <c r="D12" s="30">
        <v>250</v>
      </c>
      <c r="E12" s="206">
        <v>18250</v>
      </c>
      <c r="F12" s="30">
        <f t="shared" si="0"/>
        <v>0</v>
      </c>
      <c r="G12" s="179"/>
      <c r="H12" s="30" t="str">
        <f t="shared" si="0"/>
        <v/>
      </c>
      <c r="I12" s="179">
        <v>7000</v>
      </c>
      <c r="J12" s="30">
        <v>200</v>
      </c>
      <c r="L12" s="42">
        <f t="shared" si="5"/>
        <v>65500</v>
      </c>
      <c r="M12" s="42">
        <f t="shared" si="4"/>
        <v>250</v>
      </c>
    </row>
    <row r="13" spans="1:13" x14ac:dyDescent="0.35">
      <c r="A13" s="47">
        <v>10</v>
      </c>
      <c r="B13" s="177" t="str">
        <f>Vendedor10!$B$2</f>
        <v>MARIALIZ</v>
      </c>
      <c r="C13" s="179">
        <v>19300</v>
      </c>
      <c r="D13" s="30">
        <f t="shared" si="0"/>
        <v>0</v>
      </c>
      <c r="E13" s="206">
        <v>15150</v>
      </c>
      <c r="F13" s="30">
        <f t="shared" si="0"/>
        <v>0</v>
      </c>
      <c r="G13" s="179"/>
      <c r="H13" s="30" t="str">
        <f t="shared" si="0"/>
        <v/>
      </c>
      <c r="I13" s="179">
        <v>500</v>
      </c>
      <c r="J13" s="30">
        <f t="shared" si="0"/>
        <v>0</v>
      </c>
      <c r="L13" s="42">
        <f t="shared" si="5"/>
        <v>34950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8000</v>
      </c>
      <c r="D16" s="30">
        <f t="shared" si="0"/>
        <v>0</v>
      </c>
      <c r="E16" s="206">
        <v>8500</v>
      </c>
      <c r="F16" s="30">
        <f t="shared" si="0"/>
        <v>0</v>
      </c>
      <c r="G16" s="179"/>
      <c r="H16" s="30" t="str">
        <f t="shared" si="0"/>
        <v/>
      </c>
      <c r="I16" s="179">
        <v>10050</v>
      </c>
      <c r="J16" s="30">
        <f t="shared" si="0"/>
        <v>0</v>
      </c>
      <c r="L16" s="42">
        <f t="shared" si="5"/>
        <v>26550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165100</v>
      </c>
      <c r="D32" s="44">
        <f t="shared" si="7"/>
        <v>550</v>
      </c>
      <c r="E32" s="43">
        <f t="shared" si="7"/>
        <v>126100</v>
      </c>
      <c r="F32" s="44">
        <f t="shared" si="7"/>
        <v>550</v>
      </c>
      <c r="G32" s="43">
        <f t="shared" si="7"/>
        <v>0</v>
      </c>
      <c r="H32" s="44">
        <f t="shared" si="7"/>
        <v>0</v>
      </c>
      <c r="I32" s="43">
        <f t="shared" si="7"/>
        <v>122200</v>
      </c>
      <c r="J32" s="44">
        <f t="shared" si="7"/>
        <v>1450</v>
      </c>
      <c r="L32" s="95">
        <f>SUM(L9:L31)</f>
        <v>256150</v>
      </c>
      <c r="M32" s="95">
        <f>SUM(M9:M31)</f>
        <v>250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72 Roja</v>
      </c>
      <c r="D2" s="267"/>
      <c r="E2" s="266" t="str">
        <f>IF(E33=0,"",CONCATENATE(PREMIOS!$B11," ",PREMIOS!$B12))</f>
        <v>23 Roja</v>
      </c>
      <c r="F2" s="267"/>
      <c r="G2" s="266" t="str">
        <f>IF(G33=0,"",CONCATENATE(PREMIOS!$B15," ",PREMIOS!$B16))</f>
        <v>23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4800+3050</f>
        <v>7850</v>
      </c>
      <c r="D10" s="30">
        <f t="shared" si="0"/>
        <v>0</v>
      </c>
      <c r="E10" s="179">
        <f>4500+6300</f>
        <v>10800</v>
      </c>
      <c r="F10" s="30">
        <v>750</v>
      </c>
      <c r="G10" s="179">
        <f>6000+7900</f>
        <v>13900</v>
      </c>
      <c r="H10" s="30">
        <f t="shared" si="0"/>
        <v>0</v>
      </c>
      <c r="J10" s="42">
        <f t="shared" si="3"/>
        <v>32550</v>
      </c>
      <c r="K10" s="42">
        <f t="shared" si="4"/>
        <v>750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9900</v>
      </c>
      <c r="D12" s="30">
        <f t="shared" si="0"/>
        <v>0</v>
      </c>
      <c r="E12" s="179"/>
      <c r="F12" s="30" t="str">
        <f t="shared" si="1"/>
        <v/>
      </c>
      <c r="G12" s="179">
        <v>100</v>
      </c>
      <c r="H12" s="30">
        <f t="shared" si="0"/>
        <v>0</v>
      </c>
      <c r="J12" s="42">
        <f t="shared" si="3"/>
        <v>10000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750</v>
      </c>
      <c r="D16" s="194">
        <f t="shared" si="0"/>
        <v>0</v>
      </c>
      <c r="E16" s="193"/>
      <c r="F16" s="194" t="str">
        <f t="shared" si="1"/>
        <v/>
      </c>
      <c r="G16" s="193">
        <v>1000</v>
      </c>
      <c r="H16" s="194">
        <f t="shared" si="0"/>
        <v>0</v>
      </c>
      <c r="J16" s="42">
        <f t="shared" si="3"/>
        <v>1750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18500</v>
      </c>
      <c r="D33" s="44">
        <f t="shared" si="7"/>
        <v>0</v>
      </c>
      <c r="E33" s="43">
        <f t="shared" si="7"/>
        <v>10800</v>
      </c>
      <c r="F33" s="44">
        <f t="shared" si="7"/>
        <v>750</v>
      </c>
      <c r="G33" s="43">
        <f t="shared" si="7"/>
        <v>15000</v>
      </c>
      <c r="H33" s="44">
        <f t="shared" si="7"/>
        <v>0</v>
      </c>
      <c r="J33" s="45">
        <f>SUM(J4:J32)</f>
        <v>44300</v>
      </c>
      <c r="K33" s="95">
        <f>SUM(K4:K32)</f>
        <v>750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27</v>
      </c>
      <c r="D2" s="267"/>
      <c r="E2" s="266">
        <f>IF(PREMIOS!$C19="","",PREMIOS!$C19)</f>
        <v>14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4000</v>
      </c>
      <c r="D4" s="78">
        <f t="shared" ref="D4:F27" si="0">IF(C4="","",0)</f>
        <v>0</v>
      </c>
      <c r="E4" s="188">
        <v>1000</v>
      </c>
      <c r="F4" s="78">
        <f t="shared" si="0"/>
        <v>0</v>
      </c>
      <c r="H4" s="42">
        <f>+C4+E4</f>
        <v>5000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6000</v>
      </c>
      <c r="D5" s="30">
        <f t="shared" si="0"/>
        <v>0</v>
      </c>
      <c r="E5" s="179">
        <v>3000</v>
      </c>
      <c r="F5" s="30">
        <f t="shared" ref="F5:F27" si="1">IF(E5="","",0)</f>
        <v>0</v>
      </c>
      <c r="H5" s="42">
        <f t="shared" ref="H5:H32" si="2">+C5+E5</f>
        <v>9000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28400</v>
      </c>
      <c r="D8" s="30">
        <v>500</v>
      </c>
      <c r="E8" s="193">
        <v>33100</v>
      </c>
      <c r="F8" s="194">
        <v>300</v>
      </c>
      <c r="H8" s="42">
        <f t="shared" si="2"/>
        <v>61500</v>
      </c>
      <c r="I8" s="42">
        <f t="shared" si="3"/>
        <v>800</v>
      </c>
    </row>
    <row r="9" spans="1:9" x14ac:dyDescent="0.35">
      <c r="A9" s="47">
        <v>6</v>
      </c>
      <c r="B9" s="177" t="str">
        <f>Vendedor6!$B$2</f>
        <v>MARTA ROSA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f>12900+8300</f>
        <v>21200</v>
      </c>
      <c r="D10" s="30">
        <f t="shared" si="0"/>
        <v>0</v>
      </c>
      <c r="E10" s="179">
        <f>8650+4650</f>
        <v>13300</v>
      </c>
      <c r="F10" s="194">
        <f t="shared" si="1"/>
        <v>0</v>
      </c>
      <c r="H10" s="42">
        <f t="shared" si="2"/>
        <v>34500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41050</v>
      </c>
      <c r="D12" s="30">
        <v>100</v>
      </c>
      <c r="E12" s="193"/>
      <c r="F12" s="30" t="str">
        <f t="shared" si="0"/>
        <v/>
      </c>
      <c r="H12" s="42">
        <f t="shared" si="2"/>
        <v>41050</v>
      </c>
      <c r="I12" s="42">
        <f t="shared" si="3"/>
        <v>100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1000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1000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101650</v>
      </c>
      <c r="D33" s="44">
        <f>SUM(D4:D32)</f>
        <v>600</v>
      </c>
      <c r="E33" s="43">
        <f>SUM(E4:E32)</f>
        <v>50400</v>
      </c>
      <c r="F33" s="44">
        <f>SUM(F4:F32)</f>
        <v>300</v>
      </c>
      <c r="H33" s="95">
        <f>SUM(H4:H32)</f>
        <v>152050</v>
      </c>
      <c r="I33" s="95">
        <f>SUM(I4:I32)</f>
        <v>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44</v>
      </c>
      <c r="D2" s="267"/>
      <c r="E2" s="266">
        <f>IF(PREMIOS!$C20="","",PREMIOS!$C20)</f>
        <v>14</v>
      </c>
      <c r="F2" s="267"/>
      <c r="G2" s="266">
        <f>IF(PREMIOS!$D20="","",PREMIOS!$D20)</f>
        <v>51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18000</v>
      </c>
      <c r="D10" s="194">
        <f t="shared" si="0"/>
        <v>0</v>
      </c>
      <c r="E10" s="179">
        <f>8000+6700</f>
        <v>14700</v>
      </c>
      <c r="F10" s="30">
        <f t="shared" si="0"/>
        <v>0</v>
      </c>
      <c r="G10" s="179">
        <v>1800</v>
      </c>
      <c r="H10" s="194">
        <f t="shared" si="0"/>
        <v>0</v>
      </c>
      <c r="J10" s="42">
        <f t="shared" si="3"/>
        <v>34500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18000</v>
      </c>
      <c r="D33" s="44">
        <f t="shared" si="6"/>
        <v>0</v>
      </c>
      <c r="E33" s="43">
        <f t="shared" si="6"/>
        <v>14700</v>
      </c>
      <c r="F33" s="44">
        <f t="shared" si="6"/>
        <v>0</v>
      </c>
      <c r="G33" s="43">
        <f t="shared" si="6"/>
        <v>1800</v>
      </c>
      <c r="H33" s="44">
        <f t="shared" si="6"/>
        <v>0</v>
      </c>
      <c r="J33" s="45">
        <f>SUM(J4:J32)</f>
        <v>34500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03</v>
      </c>
      <c r="D2" s="267"/>
      <c r="E2" s="266">
        <f>IF(PREMIOS!$C21="","",PREMIOS!$C21)</f>
        <v>89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  <c r="E10" s="179">
        <v>39650</v>
      </c>
      <c r="F10" s="30">
        <f t="shared" si="0"/>
        <v>0</v>
      </c>
      <c r="H10" s="42">
        <f t="shared" si="2"/>
        <v>39650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39650</v>
      </c>
      <c r="F33" s="44">
        <f>SUM(F4:F32)</f>
        <v>0</v>
      </c>
      <c r="H33" s="45">
        <f>SUM(H4:H32)</f>
        <v>39650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>
        <f>IF(PREMIOS!$B22="","",PREMIOS!$B22)</f>
        <v>45</v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2026-07-31T17:25:10Z</dcterms:modified>
  <dc:language>es-CR</dc:language>
</cp:coreProperties>
</file>
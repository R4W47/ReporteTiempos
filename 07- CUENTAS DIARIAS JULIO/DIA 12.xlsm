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84" documentId="13_ncr:1_{EB1C27A7-1EBD-4619-B18B-0BCA469E8746}" xr6:coauthVersionLast="47" xr6:coauthVersionMax="47" xr10:uidLastSave="{6B379D64-B4E6-4EFB-AF4D-1C5EDDBF2FDA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D10" i="65"/>
  <c r="C10" i="65"/>
  <c r="E10" i="62"/>
  <c r="C10" i="62"/>
  <c r="I10" i="61"/>
  <c r="G10" i="61"/>
  <c r="E10" i="61"/>
  <c r="C10" i="61"/>
  <c r="H10" i="60"/>
  <c r="G10" i="60"/>
  <c r="F10" i="60"/>
  <c r="E10" i="60"/>
  <c r="C10" i="60"/>
  <c r="D18" i="64" l="1"/>
  <c r="D18" i="65"/>
  <c r="D11" i="65"/>
  <c r="D18" i="61"/>
  <c r="D17" i="61"/>
  <c r="D10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F36" i="60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3" i="60"/>
  <c r="D12" i="60"/>
  <c r="D11" i="60"/>
  <c r="D9" i="60"/>
  <c r="D8" i="60"/>
  <c r="D7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F17" i="64"/>
  <c r="F17" i="65"/>
  <c r="F8" i="65"/>
  <c r="F18" i="62"/>
  <c r="F10" i="62"/>
  <c r="D5" i="61"/>
  <c r="F17" i="61"/>
  <c r="F18" i="61"/>
  <c r="J17" i="61"/>
  <c r="D6" i="60"/>
  <c r="F18" i="60"/>
  <c r="F17" i="60"/>
  <c r="F16" i="60"/>
  <c r="F15" i="60"/>
  <c r="F14" i="60"/>
  <c r="F35" i="60" s="1"/>
  <c r="F13" i="60"/>
  <c r="F12" i="60"/>
  <c r="F11" i="60"/>
  <c r="F9" i="60"/>
  <c r="F8" i="60"/>
  <c r="F7" i="60"/>
  <c r="F6" i="60"/>
  <c r="F5" i="60"/>
  <c r="F4" i="60"/>
  <c r="H17" i="60"/>
  <c r="H16" i="60"/>
  <c r="H15" i="60"/>
  <c r="H14" i="60"/>
  <c r="H35" i="60" s="1"/>
  <c r="H13" i="60"/>
  <c r="H12" i="60"/>
  <c r="H36" i="60" s="1"/>
  <c r="H11" i="60"/>
  <c r="H9" i="60"/>
  <c r="H7" i="60"/>
  <c r="H6" i="60"/>
  <c r="H3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F34" i="60" l="1"/>
  <c r="D36" i="60"/>
  <c r="D35" i="60"/>
  <c r="D34" i="60"/>
  <c r="E7" i="16"/>
  <c r="L8" i="15"/>
  <c r="J8" i="14"/>
  <c r="D21" i="14"/>
  <c r="C12" i="71"/>
  <c r="D22" i="14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L6" i="23"/>
  <c r="M21" i="52"/>
  <c r="N17" i="71"/>
  <c r="F5" i="15"/>
  <c r="F24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L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5" i="15" l="1"/>
  <c r="D24" i="15"/>
  <c r="L6" i="2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<sst xmlns="http://schemas.openxmlformats.org/spreadsheetml/2006/main" count="1294" uniqueCount="161">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</sst>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205050</v>
      </c>
      <c r="C3" s="9">
        <f>+HojaTICA!K4+HojaNICA!M4+HojaREVENTADO!K4+HojaPrimera!I4+HojaHonduras!K4+HojaDominicana!I4+HojaPANA!G4</f>
        <v>26650</v>
      </c>
      <c r="D3" s="9">
        <f>+HojaTICA!N4+HojaNICA!P4+HojaREVENTADO!O4+HojaPrimera!L4+HojaHonduras!N4+HojaDominicana!L4+HojaPANA!J4</f>
        <v>170000</v>
      </c>
      <c r="F3" s="10">
        <f t="shared" ref="F3:F27" si="0">+B3-C3-D3</f>
        <v>8400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224650</v>
      </c>
      <c r="C4" s="9">
        <f>+HojaTICA!K5+HojaNICA!M5+HojaREVENTADO!K5+HojaPrimera!I5+HojaHonduras!K5+HojaDominicana!I5+HojaPANA!G5</f>
        <v>29200</v>
      </c>
      <c r="D4" s="9">
        <f>+HojaTICA!N5+HojaNICA!P5+HojaREVENTADO!O5+HojaPrimera!L5+HojaHonduras!N5+HojaDominicana!L5+HojaPANA!J5</f>
        <v>357000</v>
      </c>
      <c r="F4" s="14">
        <f t="shared" si="0"/>
        <v>-161550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288300</v>
      </c>
      <c r="C7" s="9">
        <f>+HojaTICA!K8+HojaNICA!M8+HojaREVENTADO!K8+HojaPrimera!I8+HojaHonduras!K8+HojaDominicana!I8+HojaPANA!G8</f>
        <v>34550</v>
      </c>
      <c r="D7" s="9">
        <f>+HojaTICA!N8+HojaNICA!P8+HojaREVENTADO!O8+HojaPrimera!L8+HojaHonduras!N8+HojaDominicana!L8+HojaPANA!J8</f>
        <v>152500</v>
      </c>
      <c r="F7" s="14">
        <f t="shared" si="0"/>
        <v>101250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567900</v>
      </c>
      <c r="C9" s="9">
        <f>+HojaTICA!K10+HojaNICA!M10+HojaREVENTADO!K10+HojaPrimera!I10+HojaHonduras!K10+HojaDominicana!I10+HojaPANA!G10</f>
        <v>67470</v>
      </c>
      <c r="D9" s="9">
        <f>+HojaTICA!N10+HojaNICA!P10+HojaREVENTADO!O10+HojaPrimera!L10+HojaHonduras!N10+HojaDominicana!L10+HojaPANA!J10</f>
        <v>420750</v>
      </c>
      <c r="F9" s="14">
        <f t="shared" si="0"/>
        <v>79680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21900</v>
      </c>
      <c r="C10" s="9">
        <f>+HojaTICA!K11+HojaNICA!M11+HojaREVENTADO!K11+HojaPrimera!I11+HojaHonduras!K11+HojaDominicana!I11+HojaPANA!G11</f>
        <v>2650</v>
      </c>
      <c r="D10" s="9">
        <f>+HojaTICA!N11+HojaNICA!P11+HojaREVENTADO!O11+HojaPrimera!L11+HojaHonduras!N11+HojaDominicana!L11+HojaPANA!J11</f>
        <v>0</v>
      </c>
      <c r="F10" s="14">
        <f t="shared" si="0"/>
        <v>19250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90550</v>
      </c>
      <c r="C11" s="9">
        <f>+HojaTICA!K12+HojaNICA!M12+HojaREVENTADO!K12+HojaPrimera!I12+HojaHonduras!K12+HojaDominicana!I12+HojaPANA!G12</f>
        <v>10850</v>
      </c>
      <c r="D11" s="9">
        <f>+HojaTICA!N12+HojaNICA!P12+HojaREVENTADO!O12+HojaPrimera!L12+HojaHonduras!N12+HojaDominicana!L12+HojaPANA!J12</f>
        <v>25500</v>
      </c>
      <c r="F11" s="14">
        <f t="shared" si="0"/>
        <v>54200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67200</v>
      </c>
      <c r="C12" s="9">
        <f>+HojaTICA!K13+HojaNICA!M13+HojaREVENTADO!K13+HojaPrimera!I13+HojaHonduras!K13+HojaDominicana!I13+HojaPANA!G13</f>
        <v>8050</v>
      </c>
      <c r="D12" s="9">
        <f>+HojaTICA!N13+HojaNICA!P13+HojaREVENTADO!O13+HojaPrimera!L13+HojaHonduras!N13+HojaDominicana!L13+HojaPANA!J13</f>
        <v>76000</v>
      </c>
      <c r="F12" s="14">
        <f t="shared" si="0"/>
        <v>-16850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69100</v>
      </c>
      <c r="C13" s="9">
        <f>+HojaTICA!K14+HojaNICA!M14+HojaREVENTADO!K14+HojaPrimera!I14+HojaHonduras!K14+HojaDominicana!I14+HojaPANA!G14</f>
        <v>10350</v>
      </c>
      <c r="D13" s="9">
        <f>+HojaTICA!N14+HojaNICA!P14+HojaREVENTADO!O14+HojaPrimera!L14+HojaHonduras!N14+HojaDominicana!L14+HojaPANA!J14</f>
        <v>80000</v>
      </c>
      <c r="F13" s="14">
        <f t="shared" si="0"/>
        <v>-21250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118150</v>
      </c>
      <c r="C15" s="9">
        <f>+HojaTICA!K16+HojaNICA!M16+HojaREVENTADO!K16+HojaPrimera!I16+HojaHonduras!K16+HojaDominicana!I16+HojaPANA!G16</f>
        <v>14000</v>
      </c>
      <c r="D15" s="9">
        <f>+HojaTICA!N16+HojaNICA!P16+HojaREVENTADO!O16+HojaPrimera!L16+HojaHonduras!N16+HojaDominicana!L16+HojaPANA!J16</f>
        <v>44500</v>
      </c>
      <c r="F15" s="14">
        <f t="shared" si="0"/>
        <v>59650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1652800</v>
      </c>
      <c r="C28" s="17">
        <f t="shared" si="1"/>
        <v>203770</v>
      </c>
      <c r="D28" s="18">
        <f t="shared" si="1"/>
        <v>1326250</v>
      </c>
      <c r="F28" s="20">
        <f>SUM(F3:F27)</f>
        <v>122780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70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91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43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83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13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80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93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50</v>
      </c>
      <c r="C19" s="163" t="s">
        <v>160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50</v>
      </c>
      <c r="C20" s="163" t="s">
        <v>159</v>
      </c>
      <c r="D20" s="166">
        <v>98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86</v>
      </c>
      <c r="C21" s="164">
        <v>59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52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91</v>
      </c>
      <c r="D2" s="268"/>
      <c r="E2" s="267">
        <f>DigitaTICA!E2</f>
        <v>83</v>
      </c>
      <c r="F2" s="268"/>
      <c r="G2" s="267">
        <f>DigitaTICA!G2</f>
        <v>80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59550</v>
      </c>
      <c r="D4" s="30">
        <f>IF(Vendedor1!$E$7="",0,Vendedor1!$E$7)</f>
        <v>0</v>
      </c>
      <c r="E4" s="180">
        <f>IF(Vendedor1!$C$11="",0,Vendedor1!$C$11)</f>
        <v>33350</v>
      </c>
      <c r="F4" s="30">
        <f>IF(Vendedor1!$E$11="",0,Vendedor1!$E$11)</f>
        <v>0</v>
      </c>
      <c r="G4" s="180">
        <f>IF(Vendedor1!$C$15="",0,Vendedor1!$C$15)</f>
        <v>82800</v>
      </c>
      <c r="H4" s="30">
        <f>IF(Vendedor1!$E$15="",0,Vendedor1!$E$15)</f>
        <v>2000</v>
      </c>
      <c r="J4" s="42">
        <f t="shared" ref="J4:J7" si="0">+C4+E4+G4</f>
        <v>175700</v>
      </c>
      <c r="K4" s="41">
        <f>MROUND(J4*Vendedor1!J$9,50)</f>
        <v>22850</v>
      </c>
      <c r="L4" s="42">
        <f t="shared" ref="L4:L7" si="1">+D4+F4+H4</f>
        <v>2000</v>
      </c>
      <c r="M4" s="42">
        <f t="shared" ref="M4:M7" si="2">+L4*85</f>
        <v>170000</v>
      </c>
      <c r="N4" s="42">
        <f>Vendedor1!$F$7+Vendedor1!$F$11+Vendedor1!$F$15</f>
        <v>170000</v>
      </c>
      <c r="P4" s="42">
        <f t="shared" ref="P4:P7" si="3">+J4-K4-N4</f>
        <v>-17150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52300</v>
      </c>
      <c r="D5" s="30">
        <f>IF(Vendedor2!$E$7="",0,Vendedor2!$E$7)</f>
        <v>1000</v>
      </c>
      <c r="E5" s="180">
        <f>IF(Vendedor2!$C$11="",0,Vendedor2!$C$11)</f>
        <v>28850</v>
      </c>
      <c r="F5" s="30">
        <f>IF(Vendedor2!$E$11="",0,Vendedor2!$E$11)</f>
        <v>0</v>
      </c>
      <c r="G5" s="180">
        <f>IF(Vendedor2!$C$15="",0,Vendedor2!$C$15)</f>
        <v>111800</v>
      </c>
      <c r="H5" s="30">
        <f>IF(Vendedor2!$E$15="",0,Vendedor2!$E$15)</f>
        <v>3200</v>
      </c>
      <c r="J5" s="42">
        <f t="shared" si="0"/>
        <v>192950</v>
      </c>
      <c r="K5" s="41">
        <f>MROUND(J5*Vendedor2!J$9,50)</f>
        <v>25100</v>
      </c>
      <c r="L5" s="42">
        <f t="shared" si="1"/>
        <v>4200</v>
      </c>
      <c r="M5" s="42">
        <f t="shared" si="2"/>
        <v>357000</v>
      </c>
      <c r="N5" s="42">
        <f>Vendedor2!$F$7+Vendedor2!$F$11+Vendedor2!$F$15</f>
        <v>357000</v>
      </c>
      <c r="P5" s="42">
        <f t="shared" si="3"/>
        <v>-189150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62100</v>
      </c>
      <c r="D8" s="30">
        <f>IF(Vendedor5!$E$7="",0,Vendedor5!$E$7)</f>
        <v>0</v>
      </c>
      <c r="E8" s="180">
        <f>IF(Vendedor5!$C$11="",0,Vendedor5!$C$11)</f>
        <v>28550</v>
      </c>
      <c r="F8" s="30">
        <f>IF(Vendedor5!$E$11="",0,Vendedor5!$E$11)</f>
        <v>0</v>
      </c>
      <c r="G8" s="180">
        <f>IF(Vendedor5!$C$15="",0,Vendedor5!$C$15)</f>
        <v>43550</v>
      </c>
      <c r="H8" s="30">
        <f>IF(Vendedor5!$E$15="",0,Vendedor5!$E$15)</f>
        <v>1700</v>
      </c>
      <c r="J8" s="42">
        <f t="shared" ref="J8" si="4">+C8+E8+G8</f>
        <v>134200</v>
      </c>
      <c r="K8" s="41">
        <f>MROUND(J8*Vendedor5!J$11,50)</f>
        <v>16100</v>
      </c>
      <c r="L8" s="42">
        <f t="shared" ref="L8" si="5">+D8+F8+H8</f>
        <v>1700</v>
      </c>
      <c r="M8" s="42">
        <f t="shared" ref="M8" si="6">+L8*85</f>
        <v>144500</v>
      </c>
      <c r="N8" s="42">
        <f>Vendedor5!$F$7+Vendedor5!$F$11+Vendedor5!$F$15</f>
        <v>144500</v>
      </c>
      <c r="P8" s="42">
        <f t="shared" ref="P8" si="7">+J8-K8-N8</f>
        <v>-26400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90550</v>
      </c>
      <c r="D10" s="30">
        <f>IF(Vendedor7!$E$7="",0,Vendedor7!$E$7)</f>
        <v>300</v>
      </c>
      <c r="E10" s="180">
        <f>IF(Vendedor7!$C$11="",0,Vendedor7!$C$11)</f>
        <v>80700</v>
      </c>
      <c r="F10" s="30">
        <f>IF(Vendedor7!$E$11="",0,Vendedor7!$E$11)</f>
        <v>400</v>
      </c>
      <c r="G10" s="180">
        <f>IF(Vendedor7!$C$15="",0,Vendedor7!$C$15)</f>
        <v>93200</v>
      </c>
      <c r="H10" s="30">
        <f>IF(Vendedor7!$E$15="",0,Vendedor7!$E$15)</f>
        <v>500</v>
      </c>
      <c r="J10" s="42">
        <f t="shared" si="8"/>
        <v>264450</v>
      </c>
      <c r="K10" s="41">
        <f>MROUND(J10*Vendedor7!J$14,50)</f>
        <v>31750</v>
      </c>
      <c r="L10" s="42">
        <f t="shared" si="9"/>
        <v>1200</v>
      </c>
      <c r="M10" s="42">
        <f t="shared" si="10"/>
        <v>102000</v>
      </c>
      <c r="N10" s="42">
        <f>Vendedor7!$F$7+Vendedor7!$F$11+Vendedor7!$F$15</f>
        <v>102000</v>
      </c>
      <c r="P10" s="42">
        <f t="shared" si="11"/>
        <v>130700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6000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15900</v>
      </c>
      <c r="H11" s="30">
        <f>IF(Vendedor8!$E$15="",0,Vendedor8!$E$15)</f>
        <v>0</v>
      </c>
      <c r="J11" s="42">
        <f t="shared" si="8"/>
        <v>21900</v>
      </c>
      <c r="K11" s="41">
        <f>MROUND(J11*Vendedor8!J$11,50)</f>
        <v>2650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19250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20300</v>
      </c>
      <c r="D12" s="30">
        <f>IF(Vendedor9!$E$7="",0,Vendedor9!$E$7)</f>
        <v>0</v>
      </c>
      <c r="E12" s="180">
        <f>IF(Vendedor9!$C$11="",0,Vendedor9!$C$11)</f>
        <v>5300</v>
      </c>
      <c r="F12" s="30">
        <f>IF(Vendedor9!$E$11="",0,Vendedor9!$E$11)</f>
        <v>0</v>
      </c>
      <c r="G12" s="180">
        <f>IF(Vendedor9!$C$15="",0,Vendedor9!$C$15)</f>
        <v>24000</v>
      </c>
      <c r="H12" s="30">
        <f>IF(Vendedor9!$E$15="",0,Vendedor9!$E$15)</f>
        <v>0</v>
      </c>
      <c r="J12" s="42">
        <f t="shared" si="8"/>
        <v>49600</v>
      </c>
      <c r="K12" s="41">
        <f>MROUND(J12*Vendedor9!J$11,50)</f>
        <v>5950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43650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37450</v>
      </c>
      <c r="D13" s="30">
        <f>IF(Vendedor10!$E$7="",0,Vendedor10!$E$7)</f>
        <v>0</v>
      </c>
      <c r="E13" s="180">
        <f>IF(Vendedor10!$C$11="",0,Vendedor10!$C$11)</f>
        <v>0</v>
      </c>
      <c r="F13" s="30">
        <f>IF(Vendedor10!$E$11="",0,Vendedor10!$E$11)</f>
        <v>0</v>
      </c>
      <c r="G13" s="180">
        <f>IF(Vendedor10!$C$15="",0,Vendedor10!$C$15)</f>
        <v>0</v>
      </c>
      <c r="H13" s="30">
        <f>IF(Vendedor10!$E$15="",0,Vendedor10!$E$15)</f>
        <v>0</v>
      </c>
      <c r="J13" s="42">
        <f t="shared" si="8"/>
        <v>37450</v>
      </c>
      <c r="K13" s="41">
        <f>MROUND(J13*Vendedor10!J$9,50)</f>
        <v>4500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32950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30250</v>
      </c>
      <c r="D14" s="30">
        <f>IF(Vendedor11!$E$7="",0,Vendedor11!$E$7)</f>
        <v>1000</v>
      </c>
      <c r="E14" s="180">
        <f>IF(Vendedor11!$C$11="",0,Vendedor11!$C$11)</f>
        <v>12400</v>
      </c>
      <c r="F14" s="30">
        <f>IF(Vendedor11!$E$11="",0,Vendedor11!$E$11)</f>
        <v>0</v>
      </c>
      <c r="G14" s="180">
        <f>IF(Vendedor11!$C$15="",0,Vendedor11!$C$15)</f>
        <v>26450</v>
      </c>
      <c r="H14" s="30">
        <f>IF(Vendedor11!$E$15="",0,Vendedor11!$E$15)</f>
        <v>0</v>
      </c>
      <c r="J14" s="42">
        <f t="shared" si="8"/>
        <v>69100</v>
      </c>
      <c r="K14" s="41">
        <f>MROUND(J14*Vendedor11!J$9,50)</f>
        <v>10350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-21250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17750</v>
      </c>
      <c r="D16" s="30">
        <f>IF(Vendedor13!$E$7="",0,Vendedor13!$E$7)</f>
        <v>100</v>
      </c>
      <c r="E16" s="180">
        <f>IF(Vendedor13!$C$11="",0,Vendedor13!$C$11)</f>
        <v>17750</v>
      </c>
      <c r="F16" s="30">
        <f>IF(Vendedor13!$E$11="",0,Vendedor13!$E$11)</f>
        <v>0</v>
      </c>
      <c r="G16" s="180">
        <f>IF(Vendedor13!$C$15="",0,Vendedor13!$C$15)</f>
        <v>31850</v>
      </c>
      <c r="H16" s="30">
        <f>IF(Vendedor13!$E$15="",0,Vendedor13!$E$15)</f>
        <v>0</v>
      </c>
      <c r="J16" s="42">
        <f t="shared" si="8"/>
        <v>67350</v>
      </c>
      <c r="K16" s="41">
        <f>MROUND(J16*Vendedor13!J$11,50)</f>
        <v>8100</v>
      </c>
      <c r="L16" s="42">
        <f t="shared" si="9"/>
        <v>100</v>
      </c>
      <c r="M16" s="42">
        <f t="shared" si="10"/>
        <v>8500</v>
      </c>
      <c r="N16" s="42">
        <f>Vendedor13!$F$7+Vendedor13!$F$11+Vendedor13!$F$15</f>
        <v>8500</v>
      </c>
      <c r="P16" s="42">
        <f t="shared" si="11"/>
        <v>50750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376250</v>
      </c>
      <c r="D32" s="44">
        <f t="shared" si="16"/>
        <v>2400</v>
      </c>
      <c r="E32" s="43">
        <f t="shared" si="16"/>
        <v>206900</v>
      </c>
      <c r="F32" s="44">
        <f t="shared" si="16"/>
        <v>400</v>
      </c>
      <c r="G32" s="43">
        <f t="shared" si="16"/>
        <v>429550</v>
      </c>
      <c r="H32" s="44">
        <f t="shared" si="16"/>
        <v>7400</v>
      </c>
      <c r="J32" s="95">
        <f>SUM(J4:J31)</f>
        <v>1012700</v>
      </c>
      <c r="K32" s="45">
        <f>SUM(K7:K31)</f>
        <v>79400</v>
      </c>
      <c r="L32" s="95">
        <f>SUM(L4:L31)</f>
        <v>10200</v>
      </c>
      <c r="M32" s="95">
        <f>SUM(M4:M31)</f>
        <v>867000</v>
      </c>
      <c r="N32" s="95">
        <f>SUM(N4:N31)</f>
        <v>862000</v>
      </c>
      <c r="P32" s="79">
        <f>SUM(P4:P31)</f>
        <v>23350</v>
      </c>
    </row>
    <row r="33" spans="3:13" x14ac:dyDescent="0.35">
      <c r="D33" s="99">
        <f>+D32*85</f>
        <v>204000</v>
      </c>
      <c r="F33" s="99">
        <f>+F32*85</f>
        <v>34000</v>
      </c>
      <c r="H33" s="99">
        <f>+H32*85</f>
        <v>629000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1012700</v>
      </c>
      <c r="E36" s="43">
        <f>+D36-J4-J5-J6</f>
        <v>644050</v>
      </c>
      <c r="G36" s="101"/>
    </row>
    <row r="37" spans="3:13" x14ac:dyDescent="0.35">
      <c r="C37" s="47" t="s">
        <v>33</v>
      </c>
      <c r="D37" s="48">
        <f>D36*13%</f>
        <v>131651</v>
      </c>
      <c r="E37">
        <f>+D37-K4-K5-K6</f>
        <v>83701</v>
      </c>
      <c r="G37" s="100"/>
      <c r="H37" s="100"/>
    </row>
    <row r="38" spans="3:13" ht="15" thickBot="1" x14ac:dyDescent="0.4">
      <c r="C38" s="47" t="s">
        <v>30</v>
      </c>
      <c r="D38" s="30">
        <f>M32</f>
        <v>867000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14049</v>
      </c>
      <c r="F39" s="98">
        <f>+P32-D39</f>
        <v>9301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14049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70</v>
      </c>
      <c r="D2" s="268"/>
      <c r="E2" s="267">
        <f>DigitaNICA!E2</f>
        <v>43</v>
      </c>
      <c r="F2" s="268"/>
      <c r="G2" s="267">
        <f>DigitaNICA!G2</f>
        <v>13</v>
      </c>
      <c r="H2" s="268"/>
      <c r="I2" s="267">
        <f>DigitaNICA!I2</f>
        <v>93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13500</v>
      </c>
      <c r="D4" s="78">
        <f>IF(Vendedor1!$E$5="",0,Vendedor1!$E$5)</f>
        <v>0</v>
      </c>
      <c r="E4" s="189">
        <f>IF(Vendedor1!$C$9="",0,Vendedor1!$C$9)</f>
        <v>9850</v>
      </c>
      <c r="F4" s="78">
        <f>IF(Vendedor1!$E$9="",0,Vendedor1!$E$9)</f>
        <v>0</v>
      </c>
      <c r="G4" s="189">
        <f>IF(Vendedor1!$C$13="",0,Vendedor1!$C$13)</f>
        <v>1500</v>
      </c>
      <c r="H4" s="78">
        <f>IF(Vendedor1!$E$13="",0,Vendedor1!$E$13)</f>
        <v>0</v>
      </c>
      <c r="I4" s="189">
        <f>IF(Vendedor1!$C$17="",0,Vendedor1!$C$17)</f>
        <v>1000</v>
      </c>
      <c r="J4" s="78">
        <f>IF(Vendedor1!$E$17="",0,Vendedor1!$E$17)</f>
        <v>0</v>
      </c>
      <c r="L4" s="42">
        <f t="shared" ref="L4:L7" si="0">C4+E4+G4+I4</f>
        <v>25850</v>
      </c>
      <c r="M4" s="41">
        <f>MROUND(L4*Vendedor1!J$10,50)</f>
        <v>3350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22500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12300</v>
      </c>
      <c r="D5" s="30">
        <f>IF(Vendedor2!$E$5="",0,Vendedor2!$E$5)</f>
        <v>0</v>
      </c>
      <c r="E5" s="180">
        <f>IF(Vendedor2!$C$9="",0,Vendedor2!$C$9)</f>
        <v>5000</v>
      </c>
      <c r="F5" s="30">
        <f>IF(Vendedor2!$E$9="",0,Vendedor2!$E$9)</f>
        <v>0</v>
      </c>
      <c r="G5" s="180">
        <f>IF(Vendedor2!$C$13="",0,Vendedor2!$C$13)</f>
        <v>4700</v>
      </c>
      <c r="H5" s="30">
        <f>IF(Vendedor2!$E$13="",0,Vendedor2!$E$13)</f>
        <v>0</v>
      </c>
      <c r="I5" s="180">
        <f>IF(Vendedor2!$C$17="",0,Vendedor2!$C$17)</f>
        <v>3500</v>
      </c>
      <c r="J5" s="30">
        <f>IF(Vendedor2!$E$17="",0,Vendedor2!$E$17)</f>
        <v>0</v>
      </c>
      <c r="L5" s="42">
        <f t="shared" si="0"/>
        <v>25500</v>
      </c>
      <c r="M5" s="41">
        <f>MROUND(L5*Vendedor2!J$10,50)</f>
        <v>3300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22200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51650</v>
      </c>
      <c r="D8" s="30">
        <f>IF(Vendedor5!$E$5="",0,Vendedor5!$E$5)</f>
        <v>0</v>
      </c>
      <c r="E8" s="180">
        <f>IF(Vendedor5!$C$9="",0,Vendedor5!$C$9)</f>
        <v>36250</v>
      </c>
      <c r="F8" s="30">
        <f>IF(Vendedor5!$E$9="",0,Vendedor5!$E$9)</f>
        <v>0</v>
      </c>
      <c r="G8" s="180">
        <f>IF(Vendedor5!$C$13="",0,Vendedor5!$C$13)</f>
        <v>7750</v>
      </c>
      <c r="H8" s="30">
        <f>IF(Vendedor5!$E$13="",0,Vendedor5!$E$13)</f>
        <v>0</v>
      </c>
      <c r="I8" s="180">
        <f>IF(Vendedor5!$C$17="",0,Vendedor5!$C$17)</f>
        <v>33300</v>
      </c>
      <c r="J8" s="30">
        <f>IF(Vendedor5!$E$17="",0,Vendedor5!$E$17)</f>
        <v>0</v>
      </c>
      <c r="L8" s="42">
        <f t="shared" ref="L8" si="4">C8+E8+G8+I8</f>
        <v>128950</v>
      </c>
      <c r="M8" s="41">
        <f>MROUND(L8*Vendedor5!J$12,50)</f>
        <v>15450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113500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40450</v>
      </c>
      <c r="D10" s="30">
        <f>IF(Vendedor7!$E$5="",0,Vendedor7!$E$5)</f>
        <v>0</v>
      </c>
      <c r="E10" s="180">
        <f>IF(Vendedor7!$C$9="",0,Vendedor7!$C$9)</f>
        <v>30850</v>
      </c>
      <c r="F10" s="30">
        <f>IF(Vendedor7!$E$9="",0,Vendedor7!$E$9)</f>
        <v>250</v>
      </c>
      <c r="G10" s="180">
        <f>IF(Vendedor7!$C$13="",0,Vendedor7!$C$13)</f>
        <v>17450</v>
      </c>
      <c r="H10" s="30">
        <f>IF(Vendedor7!$E$13="",0,Vendedor7!$E$13)</f>
        <v>0</v>
      </c>
      <c r="I10" s="180">
        <f>IF(Vendedor7!$C$17="",0,Vendedor7!$C$17)</f>
        <v>49900</v>
      </c>
      <c r="J10" s="30">
        <f>IF(Vendedor7!$E$17="",0,Vendedor7!$E$17)</f>
        <v>0</v>
      </c>
      <c r="L10" s="42">
        <f t="shared" si="7"/>
        <v>138650</v>
      </c>
      <c r="M10" s="41">
        <f>MROUND(L10*Vendedor7!J$15,50)</f>
        <v>16650</v>
      </c>
      <c r="N10" s="42">
        <f t="shared" ref="N10:N27" si="9">D10+F10+H10+J10</f>
        <v>250</v>
      </c>
      <c r="O10" s="41">
        <f t="shared" si="3"/>
        <v>21250</v>
      </c>
      <c r="P10" s="42">
        <f>Vendedor7!$F$5+Vendedor7!$F$9+Vendedor7!$F$13+Vendedor7!$F$17</f>
        <v>21250</v>
      </c>
      <c r="R10" s="41">
        <f t="shared" si="8"/>
        <v>100750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10000</v>
      </c>
      <c r="D12" s="30">
        <f>IF(Vendedor9!$E$5="",0,Vendedor9!$E$5)</f>
        <v>0</v>
      </c>
      <c r="E12" s="180">
        <f>IF(Vendedor9!$C$9="",0,Vendedor9!$C$9)</f>
        <v>11050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21050</v>
      </c>
      <c r="M12" s="41">
        <f>MROUND(L12*Vendedor9!J$12,50)</f>
        <v>2550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18500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29750</v>
      </c>
      <c r="D13" s="30">
        <f>IF(Vendedor10!$E$5="",0,Vendedor10!$E$5)</f>
        <v>950</v>
      </c>
      <c r="E13" s="180">
        <f>IF(Vendedor10!$C$9="",0,Vendedor10!$C$9)</f>
        <v>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29750</v>
      </c>
      <c r="M13" s="41">
        <f>MROUND(L13*Vendedor10!J$10,50)</f>
        <v>3550</v>
      </c>
      <c r="N13" s="42">
        <f t="shared" si="9"/>
        <v>950</v>
      </c>
      <c r="O13" s="41">
        <f t="shared" si="3"/>
        <v>80750</v>
      </c>
      <c r="P13" s="42">
        <f>Vendedor10!$F$5+Vendedor10!$F$9+Vendedor10!$F$13+Vendedor10!$F$17</f>
        <v>76000</v>
      </c>
      <c r="R13" s="41">
        <f t="shared" si="8"/>
        <v>-54550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4300</v>
      </c>
      <c r="D16" s="30">
        <f>IF(Vendedor13!$E$5="",0,Vendedor13!$E$5)</f>
        <v>0</v>
      </c>
      <c r="E16" s="180">
        <f>IF(Vendedor13!$C$9="",0,Vendedor13!$C$9)</f>
        <v>19700</v>
      </c>
      <c r="F16" s="30">
        <f>IF(Vendedor13!$E$9="",0,Vendedor13!$E$9)</f>
        <v>250</v>
      </c>
      <c r="G16" s="180">
        <f>IF(Vendedor13!$C$13="",0,Vendedor13!$C$13)</f>
        <v>6000</v>
      </c>
      <c r="H16" s="30">
        <f>IF(Vendedor13!$E$13="",0,Vendedor13!$E$13)</f>
        <v>0</v>
      </c>
      <c r="I16" s="180">
        <f>IF(Vendedor13!$C$17="",0,Vendedor13!$C$17)</f>
        <v>10800</v>
      </c>
      <c r="J16" s="30">
        <f>IF(Vendedor13!$E$17="",0,Vendedor13!$E$17)</f>
        <v>200</v>
      </c>
      <c r="L16" s="42">
        <f t="shared" si="7"/>
        <v>40800</v>
      </c>
      <c r="M16" s="41">
        <f>MROUND(L16*Vendedor13!J$12,50)</f>
        <v>4900</v>
      </c>
      <c r="N16" s="42">
        <f t="shared" si="9"/>
        <v>450</v>
      </c>
      <c r="O16" s="41">
        <f t="shared" si="3"/>
        <v>38250</v>
      </c>
      <c r="P16" s="42">
        <f>Vendedor13!$F$5+Vendedor13!$F$9+Vendedor13!$F$13+Vendedor13!$F$17</f>
        <v>36000</v>
      </c>
      <c r="R16" s="41">
        <f t="shared" si="8"/>
        <v>-2350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161950</v>
      </c>
      <c r="D32" s="44">
        <f t="shared" si="14"/>
        <v>950</v>
      </c>
      <c r="E32" s="43">
        <f t="shared" si="14"/>
        <v>112700</v>
      </c>
      <c r="F32" s="44">
        <f t="shared" si="14"/>
        <v>500</v>
      </c>
      <c r="G32" s="43">
        <f t="shared" si="14"/>
        <v>37400</v>
      </c>
      <c r="H32" s="44">
        <f t="shared" si="14"/>
        <v>0</v>
      </c>
      <c r="I32" s="43">
        <f t="shared" si="14"/>
        <v>98500</v>
      </c>
      <c r="J32" s="44">
        <f t="shared" si="14"/>
        <v>200</v>
      </c>
      <c r="L32" s="45">
        <f>SUM(L4:L31)</f>
        <v>410550</v>
      </c>
      <c r="M32" s="45">
        <f>SUM(M7:M31)</f>
        <v>43100</v>
      </c>
      <c r="N32" s="95">
        <f>SUM(N4:N31)</f>
        <v>1650</v>
      </c>
      <c r="O32" s="46">
        <f>SUM(O4:O31)</f>
        <v>140250</v>
      </c>
      <c r="P32" s="140">
        <f>SUM(P4:P31)</f>
        <v>133250</v>
      </c>
      <c r="R32" s="79">
        <f>SUM(R4:R31)</f>
        <v>220550</v>
      </c>
    </row>
    <row r="33" spans="3:15" x14ac:dyDescent="0.35">
      <c r="D33" s="120">
        <f>+D32*85</f>
        <v>80750</v>
      </c>
      <c r="F33" s="120">
        <f>+F32*85</f>
        <v>42500</v>
      </c>
      <c r="H33" s="120">
        <f>+H32*85</f>
        <v>0</v>
      </c>
      <c r="J33" s="120">
        <f>+J32*85</f>
        <v>17000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410550</v>
      </c>
      <c r="E36" s="43">
        <f>+D36-L4-L5-L6</f>
        <v>359200</v>
      </c>
    </row>
    <row r="37" spans="3:15" x14ac:dyDescent="0.35">
      <c r="C37" s="47" t="s">
        <v>33</v>
      </c>
      <c r="D37" s="48">
        <f>D36*13%</f>
        <v>53371.5</v>
      </c>
      <c r="E37">
        <f>+D37-M4-M5-M6</f>
        <v>46721.5</v>
      </c>
    </row>
    <row r="38" spans="3:15" x14ac:dyDescent="0.35">
      <c r="C38" s="47" t="s">
        <v>30</v>
      </c>
      <c r="D38" s="30">
        <f>SUM(O4:O27)</f>
        <v>140250</v>
      </c>
      <c r="G38" s="100"/>
    </row>
    <row r="39" spans="3:15" ht="15" thickBot="1" x14ac:dyDescent="0.4">
      <c r="C39" s="49" t="s">
        <v>4</v>
      </c>
      <c r="D39" s="80">
        <f>+D36-D37-D38</f>
        <v>216928.5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216928.5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91 Roja</v>
      </c>
      <c r="D2" s="268"/>
      <c r="E2" s="267" t="str">
        <f>IF(E33=0,"",CONCATENATE(PREMIOS!$B11," ",PREMIOS!$B12))</f>
        <v>83 Blanca</v>
      </c>
      <c r="F2" s="268"/>
      <c r="G2" s="267" t="str">
        <f>IF(G33=0,"",CONCATENATE(PREMIOS!$B15," ",PREMIOS!$B16))</f>
        <v>80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12500</v>
      </c>
      <c r="D10" s="30">
        <f>IF(Vendedor7!$E$8="",0,Vendedor7!$E$8)</f>
        <v>0</v>
      </c>
      <c r="E10" s="180">
        <f>IF(Vendedor7!$C$12="",0,Vendedor7!$C$12)</f>
        <v>12450</v>
      </c>
      <c r="F10" s="30">
        <f>IF(Vendedor7!$E$12="",0,Vendedor7!$E$12)</f>
        <v>0</v>
      </c>
      <c r="G10" s="180">
        <f>IF(Vendedor7!$C$16="",0,Vendedor7!$C$16)</f>
        <v>12250</v>
      </c>
      <c r="H10" s="30">
        <f>IF(Vendedor7!$E$16="",0,Vendedor7!$E$16)</f>
        <v>0</v>
      </c>
      <c r="J10" s="42">
        <f t="shared" si="1"/>
        <v>37200</v>
      </c>
      <c r="K10" s="41">
        <f>J10*Vendedor7!J$16</f>
        <v>3720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33480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500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500</v>
      </c>
      <c r="H12" s="30">
        <f>IF(Vendedor9!$E$16="",0,Vendedor9!$E$16)</f>
        <v>0</v>
      </c>
      <c r="J12" s="42">
        <f t="shared" si="1"/>
        <v>1000</v>
      </c>
      <c r="K12" s="41">
        <f>J12*Vendedor9!J$13</f>
        <v>100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4000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6000</v>
      </c>
      <c r="H16" s="30">
        <f>IF(Vendedor13!$E$16="",0,Vendedor13!$E$16)</f>
        <v>0</v>
      </c>
      <c r="J16" s="42">
        <f t="shared" si="1"/>
        <v>10000</v>
      </c>
      <c r="K16" s="41">
        <f>J16*Vendedor13!J$13</f>
        <v>1000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17000</v>
      </c>
      <c r="D33" s="44">
        <f>IF(PREMIOS!E8&lt;&gt;0,SUM(D4:D32),0)</f>
        <v>0</v>
      </c>
      <c r="E33" s="43">
        <f>SUM(E4:E32)</f>
        <v>12450</v>
      </c>
      <c r="F33" s="44">
        <f>IF(PREMIOS!E12&lt;&gt;0,SUM(F4:F32),0)</f>
        <v>0</v>
      </c>
      <c r="G33" s="43">
        <f>SUM(G4:G32)</f>
        <v>18750</v>
      </c>
      <c r="H33" s="44">
        <f>IF(PREMIOS!E16&lt;&gt;0,SUM(H4:H32),0)</f>
        <v>0</v>
      </c>
      <c r="J33" s="45">
        <f>SUM(J4:J32)</f>
        <v>48200</v>
      </c>
      <c r="K33" s="45">
        <f>SUM(K7:K32)</f>
        <v>4820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43380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48200</v>
      </c>
      <c r="E37" s="43">
        <f>+D37-J4-J5-J6</f>
        <v>48200</v>
      </c>
      <c r="F37" s="275"/>
      <c r="G37" s="275"/>
    </row>
    <row r="38" spans="3:17" ht="15" thickBot="1" x14ac:dyDescent="0.4">
      <c r="C38" s="47" t="s">
        <v>33</v>
      </c>
      <c r="D38" s="30">
        <f>D37*10%</f>
        <v>4820</v>
      </c>
      <c r="E38" s="43">
        <f>+D38-K4-K5-K6</f>
        <v>4820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43380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43380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50</v>
      </c>
      <c r="D2" s="268"/>
      <c r="E2" s="267" t="str">
        <f>DigitaPRIMERA!E2</f>
        <v>04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2800</v>
      </c>
      <c r="D4" s="78">
        <f>IF(Vendedor1!$E$19="",0,Vendedor1!$E$19)</f>
        <v>0</v>
      </c>
      <c r="E4" s="189">
        <f>IF(Vendedor1!$C$20="",0,Vendedor1!$C$20)</f>
        <v>700</v>
      </c>
      <c r="F4" s="78">
        <f>IF(Vendedor1!$E$20="",0,Vendedor1!$E$20)</f>
        <v>0</v>
      </c>
      <c r="H4" s="42">
        <f>+C4+E4</f>
        <v>3500</v>
      </c>
      <c r="I4" s="41">
        <f>MROUND(H4*Vendedor1!J$9,50)</f>
        <v>450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3050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6000</v>
      </c>
      <c r="D5" s="30">
        <f>IF(Vendedor2!$E$19="",0,Vendedor2!$E$19)</f>
        <v>0</v>
      </c>
      <c r="E5" s="180">
        <f>IF(Vendedor2!$C$20="",0,Vendedor2!$C$20)</f>
        <v>200</v>
      </c>
      <c r="F5" s="30">
        <f>IF(Vendedor2!$E$20="",0,Vendedor2!$E$20)</f>
        <v>0</v>
      </c>
      <c r="H5" s="42">
        <f t="shared" ref="H5:H31" si="1">+C5+E5</f>
        <v>6200</v>
      </c>
      <c r="I5" s="41">
        <f>MROUND(H5*Vendedor2!J$9,50)</f>
        <v>800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5400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12900</v>
      </c>
      <c r="D8" s="30">
        <f>IF(Vendedor5!$E$19="",0,Vendedor5!$E$19)</f>
        <v>100</v>
      </c>
      <c r="E8" s="180">
        <f>IF(Vendedor5!$C$20="",0,Vendedor5!$C$20)</f>
        <v>12250</v>
      </c>
      <c r="F8" s="30">
        <f>IF(Vendedor5!$E$20="",0,Vendedor5!$E$20)</f>
        <v>0</v>
      </c>
      <c r="H8" s="133">
        <f t="shared" si="1"/>
        <v>25150</v>
      </c>
      <c r="I8" s="148">
        <f>MROUND(H8*Vendedor5!J$11,50)</f>
        <v>3000</v>
      </c>
      <c r="J8" s="133">
        <f t="shared" si="2"/>
        <v>100</v>
      </c>
      <c r="K8" s="133">
        <f t="shared" si="3"/>
        <v>8500</v>
      </c>
      <c r="L8" s="133">
        <f>Vendedor5!$F$19+Vendedor5!$F$20</f>
        <v>8000</v>
      </c>
      <c r="M8" s="155"/>
      <c r="N8" s="133">
        <f t="shared" si="0"/>
        <v>14150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16500</v>
      </c>
      <c r="D10" s="30">
        <f>IF(Vendedor7!$E$19="",0,Vendedor7!$E$19)</f>
        <v>3000</v>
      </c>
      <c r="E10" s="180">
        <f>IF(Vendedor7!$C$20="",0,Vendedor7!$C$20)</f>
        <v>7150</v>
      </c>
      <c r="F10" s="30">
        <f>IF(Vendedor7!$E$20="",0,Vendedor7!$E$20)</f>
        <v>0</v>
      </c>
      <c r="H10" s="42">
        <f t="shared" si="1"/>
        <v>23650</v>
      </c>
      <c r="I10" s="41">
        <f>MROUND(H10*Vendedor7!J$14,50)</f>
        <v>2850</v>
      </c>
      <c r="J10" s="42">
        <f t="shared" si="2"/>
        <v>3000</v>
      </c>
      <c r="K10" s="42">
        <f t="shared" si="3"/>
        <v>255000</v>
      </c>
      <c r="L10" s="42">
        <f>Vendedor7!$F$19+Vendedor7!$F$20</f>
        <v>255000</v>
      </c>
      <c r="N10" s="42">
        <f t="shared" si="0"/>
        <v>-234200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17700</v>
      </c>
      <c r="D12" s="30">
        <f>IF(Vendedor9!$E$19="",0,Vendedor9!$E$19)</f>
        <v>300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17700</v>
      </c>
      <c r="I12" s="148">
        <f>MROUND(H12*Vendedor9!J$11,50)</f>
        <v>2100</v>
      </c>
      <c r="J12" s="133">
        <f t="shared" si="2"/>
        <v>300</v>
      </c>
      <c r="K12" s="133">
        <f t="shared" si="3"/>
        <v>25500</v>
      </c>
      <c r="L12" s="133">
        <f>Vendedor9!$F$19+Vendedor9!$F$20</f>
        <v>25500</v>
      </c>
      <c r="M12" s="155"/>
      <c r="N12" s="133">
        <f t="shared" si="0"/>
        <v>-9900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55900</v>
      </c>
      <c r="D32" s="44">
        <f>SUM(D4:D31)</f>
        <v>3400</v>
      </c>
      <c r="E32" s="43">
        <f>SUM(E4:E31)</f>
        <v>20300</v>
      </c>
      <c r="F32" s="44">
        <f>SUM(F4:F31)</f>
        <v>0</v>
      </c>
      <c r="H32" s="95">
        <f>SUM(H4:H31)</f>
        <v>76200</v>
      </c>
      <c r="I32" s="45">
        <f>SUM(I7:I31)</f>
        <v>7950</v>
      </c>
      <c r="J32" s="95"/>
      <c r="K32" s="95">
        <f>SUM(K4:K31)</f>
        <v>289000</v>
      </c>
      <c r="L32" s="95">
        <f>SUM(L4:L31)</f>
        <v>288500</v>
      </c>
      <c r="N32" s="79">
        <f>SUM(N4:N31)</f>
        <v>-221500</v>
      </c>
    </row>
    <row r="33" spans="3:6" x14ac:dyDescent="0.35">
      <c r="D33" s="99">
        <f>+D32*85</f>
        <v>289000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76200</v>
      </c>
      <c r="E36" s="43">
        <f>+D36-H4-H5-H6</f>
        <v>66500</v>
      </c>
    </row>
    <row r="37" spans="3:6" x14ac:dyDescent="0.35">
      <c r="C37" s="47" t="s">
        <v>33</v>
      </c>
      <c r="D37" s="48">
        <f>D36*13%</f>
        <v>9906</v>
      </c>
      <c r="E37">
        <f>+D37-I4-I5-I6</f>
        <v>8656</v>
      </c>
    </row>
    <row r="38" spans="3:6" ht="15" thickBot="1" x14ac:dyDescent="0.4">
      <c r="C38" s="47" t="s">
        <v>30</v>
      </c>
      <c r="D38" s="30">
        <f>SUM(K4:K27)</f>
        <v>289000</v>
      </c>
    </row>
    <row r="39" spans="3:6" ht="15" thickBot="1" x14ac:dyDescent="0.4">
      <c r="C39" s="49" t="s">
        <v>4</v>
      </c>
      <c r="D39" s="80">
        <f>+D36-D37-D38</f>
        <v>-222706</v>
      </c>
      <c r="F39" s="98">
        <f>+N32-D39</f>
        <v>1206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-222706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50</v>
      </c>
      <c r="D2" s="268"/>
      <c r="E2" s="267" t="str">
        <f>DigitaHONDURAS!E2</f>
        <v>00</v>
      </c>
      <c r="F2" s="268"/>
      <c r="G2" s="267">
        <f>DigitaHONDURAS!G2</f>
        <v>98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3900</v>
      </c>
      <c r="D10" s="30">
        <f>IF(Vendedor7!$E$21="",0,Vendedor7!$E$21)</f>
        <v>500</v>
      </c>
      <c r="E10" s="180">
        <f>IF(Vendedor7!$C$22="",0,Vendedor7!$C$22)</f>
        <v>1000</v>
      </c>
      <c r="F10" s="30">
        <f>IF(Vendedor7!$E$22="",0,Vendedor7!$E$22)</f>
        <v>0</v>
      </c>
      <c r="G10" s="180">
        <f>IF(Vendedor7!$C$23="",0,Vendedor7!$C$23)</f>
        <v>5350</v>
      </c>
      <c r="H10" s="30">
        <f>IF(Vendedor7!$E$23="",0,Vendedor7!$E$23)</f>
        <v>0</v>
      </c>
      <c r="J10" s="42">
        <f t="shared" si="0"/>
        <v>10250</v>
      </c>
      <c r="K10" s="41">
        <f>MROUND(J10*Vendedor7!J$14,50)</f>
        <v>1250</v>
      </c>
      <c r="L10" s="42">
        <f t="shared" si="1"/>
        <v>500</v>
      </c>
      <c r="M10" s="42">
        <f t="shared" si="3"/>
        <v>42500</v>
      </c>
      <c r="N10" s="42">
        <f>Vendedor7!$F$21+Vendedor7!$F$22+Vendedor7!$F$23</f>
        <v>42500</v>
      </c>
      <c r="P10" s="42">
        <f t="shared" si="2"/>
        <v>-33500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1200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1200</v>
      </c>
      <c r="K12" s="41">
        <f>MROUND(J12*Vendedor9!J$14,50)</f>
        <v>150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1050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5100</v>
      </c>
      <c r="D32" s="44">
        <f t="shared" si="8"/>
        <v>500</v>
      </c>
      <c r="E32" s="43">
        <f t="shared" si="8"/>
        <v>1000</v>
      </c>
      <c r="F32" s="44">
        <f t="shared" si="8"/>
        <v>0</v>
      </c>
      <c r="G32" s="43">
        <f t="shared" si="8"/>
        <v>5350</v>
      </c>
      <c r="H32" s="44">
        <f t="shared" si="8"/>
        <v>0</v>
      </c>
      <c r="J32" s="95">
        <f>SUM(J4:J31)</f>
        <v>11450</v>
      </c>
      <c r="K32" s="45">
        <f>SUM(K7:K31)</f>
        <v>1400</v>
      </c>
      <c r="L32" s="95"/>
      <c r="M32" s="95">
        <f>SUM(M4:M31)</f>
        <v>42500</v>
      </c>
      <c r="N32" s="95">
        <f>SUM(N4:N31)</f>
        <v>42500</v>
      </c>
      <c r="P32" s="79">
        <f>SUM(P4:P31)</f>
        <v>-32450</v>
      </c>
    </row>
    <row r="33" spans="3:8" x14ac:dyDescent="0.35">
      <c r="D33" s="99">
        <f>+D32*85</f>
        <v>42500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11450</v>
      </c>
      <c r="E36" s="43">
        <f>+D36-J4-J5-J6</f>
        <v>11450</v>
      </c>
    </row>
    <row r="37" spans="3:8" x14ac:dyDescent="0.35">
      <c r="C37" s="47" t="s">
        <v>33</v>
      </c>
      <c r="D37" s="48">
        <f>D36*13%</f>
        <v>1488.5</v>
      </c>
      <c r="E37">
        <f>+D37-K4-K5-K6</f>
        <v>1488.5</v>
      </c>
    </row>
    <row r="38" spans="3:8" ht="15" thickBot="1" x14ac:dyDescent="0.4">
      <c r="C38" s="47" t="s">
        <v>30</v>
      </c>
      <c r="D38" s="30">
        <f>SUM(M4:M27)</f>
        <v>42500</v>
      </c>
      <c r="G38" s="100"/>
    </row>
    <row r="39" spans="3:8" ht="15" thickBot="1" x14ac:dyDescent="0.4">
      <c r="C39" s="49" t="s">
        <v>4</v>
      </c>
      <c r="D39" s="80">
        <f>+D36-D37-D38</f>
        <v>-32538.5</v>
      </c>
      <c r="F39" s="98">
        <f>+P32-D39</f>
        <v>88.5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-32538.5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86</v>
      </c>
      <c r="D2" s="268"/>
      <c r="E2" s="267">
        <f>DigitaDOMINICANA!E2</f>
        <v>59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46500</v>
      </c>
      <c r="D10" s="30">
        <f>IF(Vendedor7!$E$24="",0,Vendedor7!$E$24)</f>
        <v>0</v>
      </c>
      <c r="E10" s="180">
        <f>IF(Vendedor7!$C$25="",0,Vendedor7!$C$25)</f>
        <v>47200</v>
      </c>
      <c r="F10" s="30">
        <f>IF(Vendedor7!$E$25="",0,Vendedor7!$E$25)</f>
        <v>0</v>
      </c>
      <c r="H10" s="42">
        <f t="shared" si="1"/>
        <v>93700</v>
      </c>
      <c r="I10" s="41">
        <f>MROUND(H10*Vendedor7!J$14,50)</f>
        <v>11250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82450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46500</v>
      </c>
      <c r="D32" s="44">
        <f>SUM(D4:D31)</f>
        <v>0</v>
      </c>
      <c r="E32" s="43">
        <f>SUM(E4:E31)</f>
        <v>47200</v>
      </c>
      <c r="F32" s="44">
        <f>SUM(F4:F31)</f>
        <v>0</v>
      </c>
      <c r="H32" s="95">
        <f>SUM(H4:H31)</f>
        <v>93700</v>
      </c>
      <c r="I32" s="45">
        <f>SUM(I7:I31)</f>
        <v>11250</v>
      </c>
      <c r="J32" s="95"/>
      <c r="K32" s="95">
        <f>SUM(K4:K31)</f>
        <v>0</v>
      </c>
      <c r="L32" s="95">
        <f>SUM(L4:L31)</f>
        <v>0</v>
      </c>
      <c r="N32" s="79">
        <f>SUM(N4:N31)</f>
        <v>82450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93700</v>
      </c>
      <c r="E36" s="43">
        <f>+D36-H4-H5-H6</f>
        <v>93700</v>
      </c>
    </row>
    <row r="37" spans="3:6" x14ac:dyDescent="0.35">
      <c r="C37" s="47" t="s">
        <v>33</v>
      </c>
      <c r="D37" s="48">
        <f>D36*13%</f>
        <v>12181</v>
      </c>
      <c r="E37">
        <f>+D37-I4-I5-I6</f>
        <v>12181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81519</v>
      </c>
      <c r="F39" s="98">
        <f>+N32-D39</f>
        <v>931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81519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52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13-07-2026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359200</v>
      </c>
      <c r="C4" s="157">
        <f>HojaNICA!M32</f>
        <v>43100</v>
      </c>
      <c r="D4" s="150">
        <f>HojaNICA!E37</f>
        <v>46721.5</v>
      </c>
      <c r="E4" s="150">
        <f>HojaNICA!P32</f>
        <v>133250</v>
      </c>
      <c r="F4" s="150">
        <f>HojaNICA!O32</f>
        <v>140250</v>
      </c>
      <c r="G4" s="151">
        <f t="shared" ref="G4:G10" si="0">+D4-C4+F4-E4</f>
        <v>10621.5</v>
      </c>
      <c r="H4" s="21"/>
      <c r="I4" s="182"/>
    </row>
    <row r="5" spans="1:9" x14ac:dyDescent="0.35">
      <c r="A5" s="28" t="s">
        <v>19</v>
      </c>
      <c r="B5" s="156">
        <f>HojaTICA!$E$36</f>
        <v>644050</v>
      </c>
      <c r="C5" s="157">
        <f>HojaTICA!K32</f>
        <v>79400</v>
      </c>
      <c r="D5" s="150">
        <f>HojaTICA!E37</f>
        <v>83701</v>
      </c>
      <c r="E5" s="150">
        <f>HojaTICA!N32</f>
        <v>862000</v>
      </c>
      <c r="F5" s="150">
        <f>HojaTICA!D38</f>
        <v>867000</v>
      </c>
      <c r="G5" s="151">
        <f t="shared" si="0"/>
        <v>9301</v>
      </c>
      <c r="H5" s="21"/>
      <c r="I5" s="182"/>
    </row>
    <row r="6" spans="1:9" x14ac:dyDescent="0.35">
      <c r="A6" s="28" t="s">
        <v>125</v>
      </c>
      <c r="B6" s="156">
        <f>HojaREVENTADO!$E$37</f>
        <v>48200</v>
      </c>
      <c r="C6" s="157">
        <f>HojaREVENTADO!K33</f>
        <v>4820</v>
      </c>
      <c r="D6" s="150">
        <f>HojaREVENTADO!E38</f>
        <v>4820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66500</v>
      </c>
      <c r="C7" s="157">
        <f>HojaPrimera!I32</f>
        <v>7950</v>
      </c>
      <c r="D7" s="150">
        <f>HojaPrimera!E37</f>
        <v>8656</v>
      </c>
      <c r="E7" s="150">
        <f>HojaPrimera!L32</f>
        <v>288500</v>
      </c>
      <c r="F7" s="150">
        <f>HojaPrimera!K32</f>
        <v>289000</v>
      </c>
      <c r="G7" s="151">
        <f t="shared" si="0"/>
        <v>1206</v>
      </c>
      <c r="H7" s="21"/>
      <c r="I7" s="21"/>
    </row>
    <row r="8" spans="1:9" x14ac:dyDescent="0.35">
      <c r="A8" s="28" t="s">
        <v>104</v>
      </c>
      <c r="B8" s="156">
        <f>HojaHonduras!$E$36</f>
        <v>11450</v>
      </c>
      <c r="C8" s="157">
        <f>HojaHonduras!K32</f>
        <v>1400</v>
      </c>
      <c r="D8" s="150">
        <f>HojaHonduras!E37</f>
        <v>1488.5</v>
      </c>
      <c r="E8" s="150">
        <f>HojaHonduras!N32</f>
        <v>42500</v>
      </c>
      <c r="F8" s="150">
        <f>HojaHonduras!M32</f>
        <v>42500</v>
      </c>
      <c r="G8" s="151">
        <f t="shared" si="0"/>
        <v>88.5</v>
      </c>
      <c r="H8" s="21"/>
      <c r="I8" s="21"/>
    </row>
    <row r="9" spans="1:9" x14ac:dyDescent="0.35">
      <c r="A9" s="28" t="s">
        <v>20</v>
      </c>
      <c r="B9" s="156">
        <f>HojaDominicana!$E$36</f>
        <v>93700</v>
      </c>
      <c r="C9" s="157">
        <f>HojaDominicana!I32</f>
        <v>11250</v>
      </c>
      <c r="D9" s="150">
        <f>HojaDominicana!E37</f>
        <v>12181</v>
      </c>
      <c r="E9" s="150">
        <f>HojaDominicana!L32</f>
        <v>0</v>
      </c>
      <c r="F9" s="150">
        <f>HojaDominicana!K32</f>
        <v>0</v>
      </c>
      <c r="G9" s="151">
        <f t="shared" si="0"/>
        <v>931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1223100</v>
      </c>
      <c r="C11" s="175">
        <f>SUM(C4:C10)</f>
        <v>147920</v>
      </c>
      <c r="D11" s="175">
        <f t="shared" ref="D11:F11" si="1">SUM(D4:D10)</f>
        <v>157568</v>
      </c>
      <c r="E11" s="175">
        <f t="shared" si="1"/>
        <v>1326250</v>
      </c>
      <c r="F11" s="175">
        <f t="shared" si="1"/>
        <v>1338750</v>
      </c>
      <c r="G11" s="176">
        <f>SUM(G4:G10)</f>
        <v>22148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7148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205050</v>
      </c>
      <c r="E16" s="157">
        <f>+Vendedor1!D21</f>
        <v>26656.5</v>
      </c>
      <c r="F16" s="158">
        <f>IF(D16&lt;&gt;0,15000,0)</f>
        <v>15000</v>
      </c>
      <c r="G16" s="151">
        <f>+E16-F16</f>
        <v>11656.5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224650</v>
      </c>
      <c r="E17" s="157">
        <f>+Vendedor2!D21</f>
        <v>29204.5</v>
      </c>
      <c r="F17" s="158">
        <f>IF(D17&lt;&gt;0,15000,0)</f>
        <v>15000</v>
      </c>
      <c r="G17" s="151">
        <f>+E17-F17</f>
        <v>14204.5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429700</v>
      </c>
      <c r="E19" s="159">
        <f>SUM(E16:E18)</f>
        <v>55861</v>
      </c>
      <c r="F19" s="160">
        <f>SUM(F16:F18)</f>
        <v>30000</v>
      </c>
      <c r="G19" s="161">
        <f>SUM(G16:G18)</f>
        <v>25861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33009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13-07-2026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410550</v>
      </c>
      <c r="C5" s="150">
        <f>HojaNICA!D37</f>
        <v>53371.5</v>
      </c>
      <c r="D5" s="150">
        <f>HojaNICA!D38</f>
        <v>140250</v>
      </c>
      <c r="E5" s="150"/>
      <c r="F5" s="151">
        <f>+B5-C5-D5+E5</f>
        <v>216928.5</v>
      </c>
      <c r="H5" s="249" t="s">
        <v>105</v>
      </c>
      <c r="I5" s="243">
        <f ca="1">TODAY()-1</f>
        <v>46216</v>
      </c>
      <c r="O5" s="119"/>
    </row>
    <row r="6" spans="1:15" ht="15" thickBot="1" x14ac:dyDescent="0.4">
      <c r="A6" s="47" t="s">
        <v>36</v>
      </c>
      <c r="B6" s="150">
        <f>HojaTICA!D36</f>
        <v>1012700</v>
      </c>
      <c r="C6" s="150">
        <f>HojaTICA!D37</f>
        <v>131651</v>
      </c>
      <c r="D6" s="150">
        <f>HojaTICA!D38</f>
        <v>867000</v>
      </c>
      <c r="E6" s="150"/>
      <c r="F6" s="151">
        <f t="shared" ref="F6:F11" si="0">+B6-C6-D6+E6</f>
        <v>14049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48200</v>
      </c>
      <c r="C7" s="150">
        <f>HojaREVENTADO!D38</f>
        <v>4820</v>
      </c>
      <c r="D7" s="150">
        <f>HojaREVENTADO!D39</f>
        <v>0</v>
      </c>
      <c r="E7" s="150"/>
      <c r="F7" s="151">
        <f t="shared" si="0"/>
        <v>43380</v>
      </c>
    </row>
    <row r="8" spans="1:15" x14ac:dyDescent="0.35">
      <c r="A8" s="47" t="s">
        <v>96</v>
      </c>
      <c r="B8" s="150">
        <f>HojaPrimera!$D36</f>
        <v>76200</v>
      </c>
      <c r="C8" s="150">
        <f>HojaPrimera!$D37</f>
        <v>9906</v>
      </c>
      <c r="D8" s="150">
        <f>HojaPrimera!$D38</f>
        <v>289000</v>
      </c>
      <c r="E8" s="150"/>
      <c r="F8" s="151">
        <f t="shared" si="0"/>
        <v>-222706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11450</v>
      </c>
      <c r="C9" s="150">
        <f>HojaHonduras!$D37</f>
        <v>1488.5</v>
      </c>
      <c r="D9" s="150">
        <f>HojaHonduras!$D38</f>
        <v>42500</v>
      </c>
      <c r="E9" s="150"/>
      <c r="F9" s="151">
        <f t="shared" si="0"/>
        <v>-32538.5</v>
      </c>
      <c r="H9" s="250">
        <f>+K12-K10-H6</f>
        <v>100632</v>
      </c>
    </row>
    <row r="10" spans="1:15" ht="15" thickBot="1" x14ac:dyDescent="0.4">
      <c r="A10" s="47" t="s">
        <v>20</v>
      </c>
      <c r="B10" s="150">
        <f>HojaDominicana!$D36</f>
        <v>93700</v>
      </c>
      <c r="C10" s="150">
        <f>HojaDominicana!$D37</f>
        <v>12181</v>
      </c>
      <c r="D10" s="150">
        <f>HojaDominicana!$D38</f>
        <v>0</v>
      </c>
      <c r="E10" s="150"/>
      <c r="F10" s="151">
        <f t="shared" si="0"/>
        <v>81519</v>
      </c>
      <c r="H10" s="154"/>
      <c r="J10" t="s">
        <v>148</v>
      </c>
      <c r="K10" s="252">
        <v>3587703.34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3688335.34</v>
      </c>
    </row>
    <row r="12" spans="1:15" ht="16" thickBot="1" x14ac:dyDescent="0.4">
      <c r="A12" s="144" t="s">
        <v>5</v>
      </c>
      <c r="B12" s="152">
        <f>SUM(B5:B11)</f>
        <v>1652800</v>
      </c>
      <c r="C12" s="152">
        <f>SUM(C5:C11)</f>
        <v>213418</v>
      </c>
      <c r="D12" s="152">
        <f>SUM(D5:D11)</f>
        <v>1338750</v>
      </c>
      <c r="E12" s="152"/>
      <c r="F12" s="255">
        <f>SUM(F5:F11)</f>
        <v>100632</v>
      </c>
      <c r="H12" s="251">
        <f>K12</f>
        <v>3688335.34</v>
      </c>
      <c r="J12" t="s">
        <v>140</v>
      </c>
      <c r="K12" s="254">
        <f>-1775790.98-983943.16+3793969.5+2654099.98</f>
        <v>3688335.34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175700</v>
      </c>
      <c r="K4" s="231">
        <f t="shared" ref="K4" si="0">D7+D11+D15</f>
        <v>22841</v>
      </c>
      <c r="L4" s="220">
        <f>F7+F11+F15</f>
        <v>170000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IF(DigitaNICA!C4&lt;&gt;"",DigitaNICA!C4,"")</f>
        <v>13500</v>
      </c>
      <c r="D5" s="42">
        <f>IF(C5="",0,C5*J$10)</f>
        <v>1755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11745</v>
      </c>
      <c r="I5" s="241" t="s">
        <v>37</v>
      </c>
      <c r="J5" s="221">
        <f>SUM(IF(C5="",0,C5),IF(C9="",0,C9),IF(C13="",0,C13),IF(C17="",0,C17))</f>
        <v>25850</v>
      </c>
      <c r="K5" s="225">
        <f t="shared" ref="K5" si="2">D5+D9+D13+D17</f>
        <v>3360.5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3500</v>
      </c>
      <c r="K6" s="228">
        <f>D19+D20</f>
        <v>455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91</v>
      </c>
      <c r="C7" s="29">
        <f>IF(DigitaTICA!C4&lt;&gt;"",DigitaTICA!C4,"")</f>
        <v>59550</v>
      </c>
      <c r="D7" s="42">
        <f>IF(C7="",0,C7*J$9)</f>
        <v>7741.5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51808.5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43</v>
      </c>
      <c r="C9" s="29">
        <f>IF(DigitaNICA!E4&lt;&gt;"",DigitaNICA!E4,"")</f>
        <v>9850</v>
      </c>
      <c r="D9" s="42">
        <f>IF(C9="",0,C9*J$10)</f>
        <v>1280.5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8569.5</v>
      </c>
      <c r="I9" s="76" t="s">
        <v>36</v>
      </c>
      <c r="J9" s="77">
        <v>0.13</v>
      </c>
      <c r="K9" s="78">
        <f>MROUND(D7+D11+D15,50)</f>
        <v>22850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3350</v>
      </c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IF(DigitaTICA!E4&lt;&gt;"",DigitaTICA!E4,"")</f>
        <v>33350</v>
      </c>
      <c r="D11" s="42">
        <f>IF(C11="",0,C11*J$9)</f>
        <v>4335.5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29014.5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2">
        <f>IF(DigitaNICA!G2&lt;&gt;"",DigitaNICA!G2,"")</f>
        <v>13</v>
      </c>
      <c r="C13" s="29">
        <f>IF(DigitaNICA!G4&lt;&gt;"",DigitaNICA!G4,"")</f>
        <v>1500</v>
      </c>
      <c r="D13" s="42">
        <f>IF(C13="",0,C13*J$10)</f>
        <v>195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1305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IF(DigitaTICA!G4&lt;&gt;"",DigitaTICA!G4,"")</f>
        <v>82800</v>
      </c>
      <c r="D15" s="42">
        <f>IF(C15="",0,C15*J$9)</f>
        <v>10764</v>
      </c>
      <c r="E15" s="29">
        <f>IF(DigitaTICA!H4&lt;&gt;"",DigitaTICA!H4,"")</f>
        <v>2000</v>
      </c>
      <c r="F15" s="42">
        <f>IF(E15="",0,E15*PREMIOS!F15)</f>
        <v>170000</v>
      </c>
      <c r="G15" s="30">
        <f t="shared" si="3"/>
        <v>-97964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>
        <f>IF(DigitaNICA!I4&lt;&gt;"",DigitaNICA!I4,"")</f>
        <v>1000</v>
      </c>
      <c r="D17" s="42">
        <f>IF(C17="",0,C17*J$10)</f>
        <v>130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>
        <f>IF(DigitaPRIMERA!C4&lt;&gt;"",DigitaPRIMERA!C4,"")</f>
        <v>2800</v>
      </c>
      <c r="D19" s="42">
        <f>IF(C19="",0,C19*J$12)</f>
        <v>364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2436</v>
      </c>
    </row>
    <row r="20" spans="1:7" x14ac:dyDescent="0.35">
      <c r="A20" s="28" t="s">
        <v>98</v>
      </c>
      <c r="B20" s="132" t="str">
        <f>IF(DigitaPRIMERA!E2&lt;&gt;"",DigitaPRIMERA!E2,"")</f>
        <v>04</v>
      </c>
      <c r="C20" s="29">
        <f>IF(DigitaPRIMERA!E4&lt;&gt;"",DigitaPRIMERA!E4,"")</f>
        <v>700</v>
      </c>
      <c r="D20" s="42">
        <f>IF(C20="",0,C20*J$12)</f>
        <v>91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609</v>
      </c>
    </row>
    <row r="21" spans="1:7" ht="15" thickBot="1" x14ac:dyDescent="0.4">
      <c r="A21" s="121" t="s">
        <v>5</v>
      </c>
      <c r="B21" s="128"/>
      <c r="C21" s="122">
        <f>SUM(C5:C20)</f>
        <v>205050</v>
      </c>
      <c r="D21" s="122">
        <f t="shared" ref="D21:G21" si="6">SUM(D5:D20)</f>
        <v>26656.5</v>
      </c>
      <c r="E21" s="122">
        <f t="shared" si="6"/>
        <v>2000</v>
      </c>
      <c r="F21" s="122">
        <f t="shared" si="6"/>
        <v>170000</v>
      </c>
      <c r="G21" s="123">
        <f t="shared" si="6"/>
        <v>8393.5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192950</v>
      </c>
      <c r="K4" s="231">
        <f t="shared" ref="K4" si="0">D7+D11+D15</f>
        <v>25083.5</v>
      </c>
      <c r="L4" s="220">
        <f>F7+F11+F15</f>
        <v>357000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IF(DigitaNICA!C5&lt;&gt;"",DigitaNICA!C5,"")</f>
        <v>12300</v>
      </c>
      <c r="D5" s="42">
        <f>IF(C5="",0,C5*J$10)</f>
        <v>1599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10701</v>
      </c>
      <c r="I5" s="241" t="s">
        <v>37</v>
      </c>
      <c r="J5" s="221">
        <f>SUM(IF(C5="",0,C5),IF(C9="",0,C9),IF(C13="",0,C13),IF(C17="",0,C17))</f>
        <v>25500</v>
      </c>
      <c r="K5" s="225">
        <f t="shared" ref="K5" si="2">D5+D9+D13+D17</f>
        <v>3315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6200</v>
      </c>
      <c r="K6" s="228">
        <f>D19+D20</f>
        <v>806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91</v>
      </c>
      <c r="C7" s="29">
        <f>IF(DigitaTICA!C5&lt;&gt;"",DigitaTICA!C5,"")</f>
        <v>52300</v>
      </c>
      <c r="D7" s="42">
        <f>IF(C7="",0,C7*J$9)</f>
        <v>6799</v>
      </c>
      <c r="E7" s="29">
        <f>IF(DigitaTICA!D5&lt;&gt;"",DigitaTICA!D5,"")</f>
        <v>1000</v>
      </c>
      <c r="F7" s="42">
        <f>IF(E7="",0,E7*PREMIOS!F7)</f>
        <v>85000</v>
      </c>
      <c r="G7" s="30">
        <f t="shared" si="1"/>
        <v>-39499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43</v>
      </c>
      <c r="C9" s="29">
        <f>IF(DigitaNICA!E5&lt;&gt;"",DigitaNICA!E5,"")</f>
        <v>5000</v>
      </c>
      <c r="D9" s="42">
        <f>IF(C9="",0,C9*J$10)</f>
        <v>650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4350</v>
      </c>
      <c r="I9" s="60" t="s">
        <v>36</v>
      </c>
      <c r="J9" s="61">
        <v>0.13</v>
      </c>
      <c r="K9" s="62">
        <f>MROUND(D7+D11+D15,50)</f>
        <v>25100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3300</v>
      </c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IF(DigitaTICA!E5&lt;&gt;"",DigitaTICA!E5,"")</f>
        <v>28850</v>
      </c>
      <c r="D11" s="42">
        <f>IF(C11="",0,C11*J$9)</f>
        <v>3750.5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25099.5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2">
        <f>IF(DigitaNICA!G2&lt;&gt;"",DigitaNICA!G2,"")</f>
        <v>13</v>
      </c>
      <c r="C13" s="29">
        <f>IF(DigitaNICA!G5&lt;&gt;"",DigitaNICA!G5,"")</f>
        <v>4700</v>
      </c>
      <c r="D13" s="42">
        <f>IF(C13="",0,C13*J$10)</f>
        <v>611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4089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IF(DigitaTICA!G5&lt;&gt;"",DigitaTICA!G5,"")</f>
        <v>111800</v>
      </c>
      <c r="D15" s="42">
        <f>IF(C15="",0,C15*J$9)</f>
        <v>14534</v>
      </c>
      <c r="E15" s="29">
        <f>IF(DigitaTICA!H5&lt;&gt;"",DigitaTICA!H5,"")</f>
        <v>3200</v>
      </c>
      <c r="F15" s="42">
        <f>IF(E15="",0,E15*PREMIOS!F15)</f>
        <v>272000</v>
      </c>
      <c r="G15" s="30">
        <f t="shared" si="3"/>
        <v>-174734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>
        <f>IF(DigitaNICA!I5&lt;&gt;"",DigitaNICA!I5,"")</f>
        <v>3500</v>
      </c>
      <c r="D17" s="42">
        <f>IF(C17="",0,C17*J$10)</f>
        <v>455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3045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>
        <f>IF(DigitaPRIMERA!C5&lt;&gt;"",DigitaPRIMERA!C5,"")</f>
        <v>6000</v>
      </c>
      <c r="D19" s="42">
        <f>IF(C19="",0,C19*J$12)</f>
        <v>780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5220</v>
      </c>
    </row>
    <row r="20" spans="1:7" x14ac:dyDescent="0.35">
      <c r="A20" s="28" t="s">
        <v>98</v>
      </c>
      <c r="B20" s="132" t="str">
        <f>IF(DigitaPRIMERA!E2&lt;&gt;"",DigitaPRIMERA!E2,"")</f>
        <v>04</v>
      </c>
      <c r="C20" s="29">
        <f>IF(DigitaPRIMERA!E5&lt;&gt;"",DigitaPRIMERA!E5,"")</f>
        <v>200</v>
      </c>
      <c r="D20" s="42">
        <f>IF(C20="",0,C20*J$12)</f>
        <v>26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174</v>
      </c>
    </row>
    <row r="21" spans="1:7" ht="15" thickBot="1" x14ac:dyDescent="0.4">
      <c r="A21" s="67" t="s">
        <v>5</v>
      </c>
      <c r="B21" s="127"/>
      <c r="C21" s="68">
        <f>SUM(C5:C20)</f>
        <v>224650</v>
      </c>
      <c r="D21" s="68">
        <f t="shared" ref="D21:G21" si="4">SUM(D5:D20)</f>
        <v>29204.5</v>
      </c>
      <c r="E21" s="68">
        <f t="shared" si="4"/>
        <v>4200</v>
      </c>
      <c r="F21" s="68">
        <f t="shared" si="4"/>
        <v>357000</v>
      </c>
      <c r="G21" s="88">
        <f t="shared" si="4"/>
        <v>-161554.5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83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13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91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134200</v>
      </c>
      <c r="K4" s="231">
        <f t="shared" ref="K4" si="0">D7+D11+D15</f>
        <v>16104</v>
      </c>
      <c r="L4" s="220">
        <f>F7+F11+F15</f>
        <v>144500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IF(DigitaNICA!C8&lt;&gt;"",DigitaNICA!C8,"")</f>
        <v>51650</v>
      </c>
      <c r="D5" s="42">
        <f>IF(C5="",0,C5*J$12)</f>
        <v>6198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45452</v>
      </c>
      <c r="I5" s="241" t="s">
        <v>37</v>
      </c>
      <c r="J5" s="221">
        <f>SUM(IF(C5="",0,C5),IF(C9="",0,C9),IF(C13="",0,C13),IF(C17="",0,C17))</f>
        <v>128950</v>
      </c>
      <c r="K5" s="225">
        <f t="shared" ref="K5" si="2">D5+D9+D13+D17</f>
        <v>15474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91</v>
      </c>
      <c r="C7" s="29">
        <f>IF(DigitaTICA!C8&lt;&gt;"",DigitaTICA!C8,"")</f>
        <v>62100</v>
      </c>
      <c r="D7" s="42">
        <f>IF(C7="",0,C7*J$11)</f>
        <v>7452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54648</v>
      </c>
      <c r="I7" s="242" t="s">
        <v>96</v>
      </c>
      <c r="J7" s="224">
        <f>SUM(IF(C19="",0,C19),IF(C20="",0,C20))</f>
        <v>25150</v>
      </c>
      <c r="K7" s="228">
        <f>+D19+D20</f>
        <v>3018</v>
      </c>
      <c r="L7" s="229">
        <f>+F19+F20</f>
        <v>8000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43</v>
      </c>
      <c r="C9" s="29">
        <f>IF(DigitaNICA!E8&lt;&gt;"",DigitaNICA!E8,"")</f>
        <v>36250</v>
      </c>
      <c r="D9" s="42">
        <f>IF(C9="",0,C9*J$12)</f>
        <v>4350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31900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IF(DigitaTICA!E8&lt;&gt;"",DigitaTICA!E8,"")</f>
        <v>28550</v>
      </c>
      <c r="D11" s="42">
        <f>IF(C11="",0,C11*J$11)</f>
        <v>3426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25124</v>
      </c>
      <c r="I11" s="60" t="s">
        <v>36</v>
      </c>
      <c r="J11" s="61">
        <v>0.12</v>
      </c>
      <c r="K11" s="62">
        <f>MROUND(D7+D11+D15,50)</f>
        <v>16100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15450</v>
      </c>
    </row>
    <row r="13" spans="1:12" x14ac:dyDescent="0.35">
      <c r="A13" s="28" t="s">
        <v>50</v>
      </c>
      <c r="B13" s="132">
        <f>IF(DigitaNICA!G2&lt;&gt;"",DigitaNICA!G2,"")</f>
        <v>13</v>
      </c>
      <c r="C13" s="29">
        <f>IF(DigitaNICA!G8&lt;&gt;"",DigitaNICA!G8,"")</f>
        <v>7750</v>
      </c>
      <c r="D13" s="42">
        <f>IF(C13="",0,C13*J$12)</f>
        <v>930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6820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3000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IF(DigitaTICA!G8&lt;&gt;"",DigitaTICA!G8,"")</f>
        <v>43550</v>
      </c>
      <c r="D15" s="42">
        <f>IF(C15="",0,C15*J$11)</f>
        <v>5226</v>
      </c>
      <c r="E15" s="29">
        <f>IF(DigitaTICA!H8&lt;&gt;"",DigitaTICA!H8,"")</f>
        <v>1700</v>
      </c>
      <c r="F15" s="42">
        <f>IF(E15="",0,E15*PREMIOS!F15)</f>
        <v>144500</v>
      </c>
      <c r="G15" s="30">
        <f t="shared" si="4"/>
        <v>-106176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>
        <f>IF(DigitaNICA!I8&lt;&gt;"",DigitaNICA!I8,"")</f>
        <v>33300</v>
      </c>
      <c r="D17" s="42">
        <f>IF(C17="",0,C17*J$12)</f>
        <v>3996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29304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>
        <f>IF(DigitaPRIMERA!C8&lt;&gt;"",DigitaPRIMERA!C8,"")</f>
        <v>12900</v>
      </c>
      <c r="D19" s="42">
        <f>IF(C19="",0,C19*J$14)</f>
        <v>1548</v>
      </c>
      <c r="E19" s="29">
        <f>IF(DigitaPRIMERA!D8&lt;&gt;"",DigitaPRIMERA!D8,"")</f>
        <v>100</v>
      </c>
      <c r="F19" s="42">
        <f>IF(E19="",0,E19*PREMIOS!E19)</f>
        <v>8000</v>
      </c>
      <c r="G19" s="30">
        <f t="shared" si="4"/>
        <v>3352</v>
      </c>
    </row>
    <row r="20" spans="1:7" x14ac:dyDescent="0.35">
      <c r="A20" s="28" t="s">
        <v>98</v>
      </c>
      <c r="B20" s="132" t="str">
        <f>IF(DigitaPRIMERA!E2&lt;&gt;"",DigitaPRIMERA!E2,"")</f>
        <v>04</v>
      </c>
      <c r="C20" s="29">
        <f>IF(DigitaPRIMERA!E8&lt;&gt;"",DigitaPRIMERA!E8,"")</f>
        <v>12250</v>
      </c>
      <c r="D20" s="42">
        <f>IF(C20="",0,C20*J$14)</f>
        <v>1470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10780</v>
      </c>
    </row>
    <row r="21" spans="1:7" ht="15" thickBot="1" x14ac:dyDescent="0.4">
      <c r="A21" s="121" t="s">
        <v>5</v>
      </c>
      <c r="B21" s="128"/>
      <c r="C21" s="122">
        <f>SUM(C5:C20)</f>
        <v>288300</v>
      </c>
      <c r="D21" s="122">
        <f t="shared" ref="D21:G21" si="5">SUM(D5:D20)</f>
        <v>34596</v>
      </c>
      <c r="E21" s="122">
        <f t="shared" si="5"/>
        <v>1800</v>
      </c>
      <c r="F21" s="122">
        <f t="shared" si="5"/>
        <v>152500</v>
      </c>
      <c r="G21" s="123">
        <f t="shared" si="5"/>
        <v>101204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70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264450</v>
      </c>
      <c r="K4" s="231">
        <f t="shared" ref="K4" si="0">D7+D11+D15</f>
        <v>31734</v>
      </c>
      <c r="L4" s="220">
        <f>F7+F11+F15</f>
        <v>102000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IF(DigitaNICA!C10&lt;&gt;"",DigitaNICA!C10,"")</f>
        <v>40450</v>
      </c>
      <c r="D5" s="42">
        <f>IF(C5="",0,C5*J$15)</f>
        <v>4854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35596</v>
      </c>
      <c r="I5" s="217" t="s">
        <v>37</v>
      </c>
      <c r="J5" s="221">
        <f>SUM(IF(C5="",0,C5),IF(C9="",0,C9),IF(C13="",0,C13),IF(C17="",0,C17))</f>
        <v>138650</v>
      </c>
      <c r="K5" s="225">
        <f t="shared" ref="K5" si="2">D5+D9+D13+D17</f>
        <v>16638</v>
      </c>
      <c r="L5" s="222">
        <f>F5+F9+F13+F17</f>
        <v>21250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37200</v>
      </c>
      <c r="K6" s="226">
        <f t="shared" ref="K6" si="3">+D8+D12+D16</f>
        <v>3720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91</v>
      </c>
      <c r="C7" s="29">
        <f>IF(DigitaTICA!C10&lt;&gt;"",DigitaTICA!C10,"")</f>
        <v>90550</v>
      </c>
      <c r="D7" s="42">
        <f>IF(C7="",0,C7*J$14)</f>
        <v>10866</v>
      </c>
      <c r="E7" s="29">
        <f>IF(DigitaTICA!D10&lt;&gt;"",DigitaTICA!D10,"")</f>
        <v>300</v>
      </c>
      <c r="F7" s="42">
        <f>IF(E7="",0,E7*PREMIOS!F7)</f>
        <v>25500</v>
      </c>
      <c r="G7" s="30">
        <f t="shared" si="1"/>
        <v>54184</v>
      </c>
      <c r="I7" s="217" t="s">
        <v>96</v>
      </c>
      <c r="J7" s="223">
        <f>SUM(IF(C19="",0,C19),IF(C20="",0,C20))</f>
        <v>23650</v>
      </c>
      <c r="K7" s="226">
        <f>+D19+D20</f>
        <v>2838</v>
      </c>
      <c r="L7" s="227">
        <f>+F19+F20</f>
        <v>255000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12500</v>
      </c>
      <c r="D8" s="42">
        <f>IF(C8="",0,C8*J$16)</f>
        <v>1250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11250</v>
      </c>
      <c r="I8" s="217" t="s">
        <v>104</v>
      </c>
      <c r="J8" s="223">
        <f>SUM(IF(C21="",0,C21),IF(C22="",0,C22),IF(C23="",0,C23))</f>
        <v>10250</v>
      </c>
      <c r="K8" s="226">
        <f t="shared" ref="K8" si="4">D21+D22+D23</f>
        <v>1230</v>
      </c>
      <c r="L8" s="227">
        <f>F21+F22+F23</f>
        <v>42500</v>
      </c>
    </row>
    <row r="9" spans="1:12" x14ac:dyDescent="0.35">
      <c r="A9" s="28" t="s">
        <v>48</v>
      </c>
      <c r="B9" s="132">
        <f>IF(DigitaNICA!E2&lt;&gt;"",DigitaNICA!E2,"")</f>
        <v>43</v>
      </c>
      <c r="C9" s="29">
        <f>IF(DigitaNICA!E10&lt;&gt;"",DigitaNICA!E10,"")</f>
        <v>30850</v>
      </c>
      <c r="D9" s="42">
        <f>IF(C9="",0,C9*J$15)</f>
        <v>3702</v>
      </c>
      <c r="E9" s="29">
        <f>IF(DigitaNICA!F10&lt;&gt;"",DigitaNICA!F10,"")</f>
        <v>250</v>
      </c>
      <c r="F9" s="42">
        <f>IF(E9="",0,E9*PREMIOS!F9)</f>
        <v>21250</v>
      </c>
      <c r="G9" s="30">
        <f t="shared" si="1"/>
        <v>5898</v>
      </c>
      <c r="I9" s="217" t="s">
        <v>20</v>
      </c>
      <c r="J9" s="223">
        <f>SUM(IF(C24="",0,C24),IF(C25="",0,C25))</f>
        <v>93700</v>
      </c>
      <c r="K9" s="226">
        <f t="shared" ref="K9" si="5">+D24+D25</f>
        <v>11244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IF(DigitaTICA!E10&lt;&gt;"",DigitaTICA!E10,"")</f>
        <v>80700</v>
      </c>
      <c r="D11" s="42">
        <f>IF(C11="",0,C11*J$14)</f>
        <v>9684</v>
      </c>
      <c r="E11" s="29">
        <f>IF(DigitaTICA!F10&lt;&gt;"",DigitaTICA!F10,"")</f>
        <v>400</v>
      </c>
      <c r="F11" s="42">
        <f>IF(E11="",0,E11*PREMIOS!F11)</f>
        <v>34000</v>
      </c>
      <c r="G11" s="30">
        <f t="shared" si="1"/>
        <v>37016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12450</v>
      </c>
      <c r="D12" s="42">
        <f>IF(C12="",0,C12*J$16)</f>
        <v>1245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11205</v>
      </c>
    </row>
    <row r="13" spans="1:12" ht="15" thickBot="1" x14ac:dyDescent="0.4">
      <c r="A13" s="28" t="s">
        <v>50</v>
      </c>
      <c r="B13" s="132">
        <f>IF(DigitaNICA!G2&lt;&gt;"",DigitaNICA!G2,"")</f>
        <v>13</v>
      </c>
      <c r="C13" s="29">
        <f>IF(DigitaNICA!G10&lt;&gt;"",DigitaNICA!G10,"")</f>
        <v>17450</v>
      </c>
      <c r="D13" s="42">
        <f>IF(C13="",0,C13*J$15)</f>
        <v>2094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15356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31750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IF(DigitaTICA!G10&lt;&gt;"",DigitaTICA!G10,"")</f>
        <v>93200</v>
      </c>
      <c r="D15" s="42">
        <f>IF(C15="",0,C15*J$14)</f>
        <v>11184</v>
      </c>
      <c r="E15" s="29">
        <f>IF(DigitaTICA!H10&lt;&gt;"",DigitaTICA!H10,"")</f>
        <v>500</v>
      </c>
      <c r="F15" s="42">
        <f>IF(E15="",0,E15*PREMIOS!F15)</f>
        <v>42500</v>
      </c>
      <c r="G15" s="30">
        <f t="shared" si="6"/>
        <v>39516</v>
      </c>
      <c r="I15" s="63" t="s">
        <v>37</v>
      </c>
      <c r="J15" s="64">
        <v>0.12</v>
      </c>
      <c r="K15" s="30">
        <f>MROUND(D5+D9+D13+D17,50)</f>
        <v>16650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12250</v>
      </c>
      <c r="D16" s="42">
        <f>IF(C16="",0,C16*J$16)</f>
        <v>1225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11025</v>
      </c>
      <c r="I16" s="63" t="s">
        <v>38</v>
      </c>
      <c r="J16" s="64">
        <v>0.1</v>
      </c>
      <c r="K16" s="30">
        <f>MROUND(D6+D8+D10+D12+D14+D16+D18,50)</f>
        <v>3700</v>
      </c>
    </row>
    <row r="17" spans="1:11" x14ac:dyDescent="0.35">
      <c r="A17" s="28" t="s">
        <v>52</v>
      </c>
      <c r="B17" s="132">
        <f>IF(DigitaNICA!I2&lt;&gt;"",DigitaNICA!I2,"")</f>
        <v>93</v>
      </c>
      <c r="C17" s="29">
        <f>IF(DigitaNICA!I10&lt;&gt;"",DigitaNICA!I10,"")</f>
        <v>49900</v>
      </c>
      <c r="D17" s="42">
        <f>IF(C17="",0,C17*J$15)</f>
        <v>5988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43912</v>
      </c>
      <c r="I17" s="63" t="s">
        <v>96</v>
      </c>
      <c r="J17" s="64">
        <v>0.12</v>
      </c>
      <c r="K17" s="30">
        <f>MROUND(D19+D20,50)</f>
        <v>2850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1250</v>
      </c>
    </row>
    <row r="19" spans="1:11" x14ac:dyDescent="0.35">
      <c r="A19" s="28" t="s">
        <v>97</v>
      </c>
      <c r="B19" s="132">
        <f>IF(DigitaPRIMERA!C2&lt;&gt;"",DigitaPRIMERA!C2,"")</f>
        <v>50</v>
      </c>
      <c r="C19" s="29">
        <f>IF(DigitaPRIMERA!$C$10&lt;&gt;"",DigitaPRIMERA!$C$10,"")</f>
        <v>16500</v>
      </c>
      <c r="D19" s="42">
        <f>IF(C19="",0,C19*J$17)</f>
        <v>1980</v>
      </c>
      <c r="E19" s="29">
        <f>IF(DigitaPRIMERA!$D$10&lt;&gt;"",DigitaPRIMERA!$D$10,"")</f>
        <v>3000</v>
      </c>
      <c r="F19" s="42">
        <f>IF(E19="",0,E19*PREMIOS!F19)</f>
        <v>255000</v>
      </c>
      <c r="G19" s="30">
        <f t="shared" ref="G19:G22" si="7">IF(OR(C19="",E19=""),0,C19-D19-F19)</f>
        <v>-240480</v>
      </c>
      <c r="I19" s="63" t="s">
        <v>20</v>
      </c>
      <c r="J19" s="64">
        <v>0.12</v>
      </c>
      <c r="K19" s="30">
        <f>MROUND(D24+D25,50)</f>
        <v>11250</v>
      </c>
    </row>
    <row r="20" spans="1:11" ht="15" thickBot="1" x14ac:dyDescent="0.4">
      <c r="A20" s="28" t="s">
        <v>98</v>
      </c>
      <c r="B20" s="132" t="str">
        <f>IF(DigitaPRIMERA!E2&lt;&gt;"",DigitaPRIMERA!E2,"")</f>
        <v>04</v>
      </c>
      <c r="C20" s="29">
        <f>IF(DigitaPRIMERA!$E$10&lt;&gt;"",DigitaPRIMERA!$E$10,"")</f>
        <v>7150</v>
      </c>
      <c r="D20" s="42">
        <f>IF(C20="",0,C20*J$17)</f>
        <v>858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6292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50</v>
      </c>
      <c r="C21" s="29">
        <f>IF(DigitaHONDURAS!$C$10&lt;&gt;"",DigitaHONDURAS!$C$10,"")</f>
        <v>3900</v>
      </c>
      <c r="D21" s="42">
        <f>IF(C21="",0,C21*J$18)</f>
        <v>468</v>
      </c>
      <c r="E21" s="29">
        <f>IF(DigitaHONDURAS!$D$10&lt;&gt;"",DigitaHONDURAS!$D$10,"")</f>
        <v>500</v>
      </c>
      <c r="F21" s="42">
        <f>IF(E21="",0,E21*PREMIOS!F20)</f>
        <v>42500</v>
      </c>
      <c r="G21" s="30">
        <f t="shared" si="7"/>
        <v>-39068</v>
      </c>
    </row>
    <row r="22" spans="1:11" x14ac:dyDescent="0.35">
      <c r="A22" s="28" t="s">
        <v>100</v>
      </c>
      <c r="B22" s="132" t="str">
        <f>IF(DigitaHONDURAS!E2&lt;&gt;"",DigitaHONDURAS!E2,"")</f>
        <v>00</v>
      </c>
      <c r="C22" s="29">
        <f>IF(DigitaHONDURAS!$E$10&lt;&gt;"",DigitaHONDURAS!$E$10,"")</f>
        <v>1000</v>
      </c>
      <c r="D22" s="42">
        <f>IF(C22="",0,C22*J$18)</f>
        <v>120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880</v>
      </c>
    </row>
    <row r="23" spans="1:11" x14ac:dyDescent="0.35">
      <c r="A23" s="28" t="s">
        <v>101</v>
      </c>
      <c r="B23" s="132">
        <f>IF(DigitaHONDURAS!G2&lt;&gt;"",DigitaHONDURAS!G2,"")</f>
        <v>98</v>
      </c>
      <c r="C23" s="29">
        <f>IF(DigitaHONDURAS!$G$10&lt;&gt;"",DigitaHONDURAS!$G$10,"")</f>
        <v>5350</v>
      </c>
      <c r="D23" s="42">
        <f>IF(C23="",0,C23*J$18)</f>
        <v>642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4708</v>
      </c>
    </row>
    <row r="24" spans="1:11" x14ac:dyDescent="0.35">
      <c r="A24" s="28" t="s">
        <v>107</v>
      </c>
      <c r="B24" s="132">
        <f>IF(DigitaDOMINICANA!C2&lt;&gt;"",DigitaDOMINICANA!C2,"")</f>
        <v>86</v>
      </c>
      <c r="C24" s="29">
        <f>IF(DigitaDOMINICANA!$C$10&lt;&gt;"",DigitaDOMINICANA!$C$10,"")</f>
        <v>46500</v>
      </c>
      <c r="D24" s="42">
        <f>IF(C24="",0,C24*J$19)</f>
        <v>5580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40920</v>
      </c>
    </row>
    <row r="25" spans="1:11" x14ac:dyDescent="0.35">
      <c r="A25" s="28" t="s">
        <v>108</v>
      </c>
      <c r="B25" s="132">
        <f>IF(DigitaDOMINICANA!E2&lt;&gt;"",DigitaDOMINICANA!E2,"")</f>
        <v>59</v>
      </c>
      <c r="C25" s="29">
        <f>IF(DigitaDOMINICANA!$E$10&lt;&gt;"",DigitaDOMINICANA!$E$10,"")</f>
        <v>47200</v>
      </c>
      <c r="D25" s="42">
        <f>IF(C25="",0,C25*J$19)</f>
        <v>5664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41536</v>
      </c>
    </row>
    <row r="26" spans="1:11" x14ac:dyDescent="0.35">
      <c r="A26" s="28" t="s">
        <v>21</v>
      </c>
      <c r="B26" s="132">
        <f>IF(DigitaPANAMENA!C2&lt;&gt;"",DigitaPANAMENA!C2,"")</f>
        <v>52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567900</v>
      </c>
      <c r="D27" s="68">
        <f t="shared" ref="D27:F27" si="9">SUM(D5:D26)</f>
        <v>67404</v>
      </c>
      <c r="E27" s="68">
        <f t="shared" si="9"/>
        <v>4950</v>
      </c>
      <c r="F27" s="68">
        <f t="shared" si="9"/>
        <v>420750</v>
      </c>
      <c r="G27" s="88">
        <f>SUM(G5:G26)</f>
        <v>79746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21900</v>
      </c>
      <c r="K4" s="231">
        <f t="shared" ref="K4" si="0">D7+D11+D15</f>
        <v>2628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91</v>
      </c>
      <c r="C7" s="29">
        <f>IF(DigitaTICA!C11&lt;&gt;"",DigitaTICA!C11,"")</f>
        <v>6000</v>
      </c>
      <c r="D7" s="42">
        <f>IF(C7="",0,C7*J$11)</f>
        <v>720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5280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2650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IF(DigitaTICA!G11&lt;&gt;"",DigitaTICA!G11,"")</f>
        <v>15900</v>
      </c>
      <c r="D15" s="42">
        <f>IF(C15="",0,C15*J$11)</f>
        <v>1908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13992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>04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21900</v>
      </c>
      <c r="D21" s="122">
        <f t="shared" ref="D21:G21" si="5">SUM(D5:D20)</f>
        <v>2628</v>
      </c>
      <c r="E21" s="122">
        <f t="shared" si="5"/>
        <v>0</v>
      </c>
      <c r="F21" s="122">
        <f t="shared" si="5"/>
        <v>0</v>
      </c>
      <c r="G21" s="123">
        <f t="shared" si="5"/>
        <v>19272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49600</v>
      </c>
      <c r="K4" s="231">
        <f>D7+D11+D15</f>
        <v>5952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IF(DigitaNICA!C12&lt;&gt;"",DigitaNICA!C12,"")</f>
        <v>10000</v>
      </c>
      <c r="D5" s="42">
        <f>IF(C5="",0,C5*J$12)</f>
        <v>1200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8800</v>
      </c>
      <c r="I5" s="217" t="s">
        <v>37</v>
      </c>
      <c r="J5" s="221">
        <f>SUM(IF(C5="",0,C5),IF(C9="",0,C9),IF(C13="",0,C13),IF(C17="",0,C17))</f>
        <v>21050</v>
      </c>
      <c r="K5" s="225">
        <f t="shared" ref="K5" si="1">D5+D9+D13+D17</f>
        <v>2526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1000</v>
      </c>
      <c r="K6" s="226">
        <f t="shared" ref="K6" si="2">+D8+D12+D16</f>
        <v>100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91</v>
      </c>
      <c r="C7" s="29">
        <f>IF(DigitaTICA!C12&lt;&gt;"",DigitaTICA!C12,"")</f>
        <v>20300</v>
      </c>
      <c r="D7" s="42">
        <f>IF(C7="",0,C7*J$11)</f>
        <v>2436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17864</v>
      </c>
      <c r="I7" s="217" t="s">
        <v>96</v>
      </c>
      <c r="J7" s="223">
        <f>SUM(IF(C19="",0,C19),IF(C20="",0,C20))</f>
        <v>17700</v>
      </c>
      <c r="K7" s="226">
        <f>+D19+D20</f>
        <v>2124</v>
      </c>
      <c r="L7" s="227">
        <f>+F19+F20</f>
        <v>25500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500</v>
      </c>
      <c r="D8" s="42">
        <f>IF(C8="",0,C8*J$13)</f>
        <v>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450</v>
      </c>
      <c r="I8" s="218" t="s">
        <v>104</v>
      </c>
      <c r="J8" s="224">
        <f>SUM(IF(C21="",0,C21),IF(C22="",0,C22),IF(C23="",0,C23))</f>
        <v>1200</v>
      </c>
      <c r="K8" s="228">
        <f>+D21+D22+D23</f>
        <v>144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43</v>
      </c>
      <c r="C9" s="29">
        <f>IF(DigitaNICA!E12&lt;&gt;"",DigitaNICA!E12,"")</f>
        <v>11050</v>
      </c>
      <c r="D9" s="42">
        <f>IF(C9="",0,C9*J$12)</f>
        <v>1326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9724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IF(DigitaTICA!E12&lt;&gt;"",DigitaTICA!E12,"")</f>
        <v>5300</v>
      </c>
      <c r="D11" s="42">
        <f>IF(C11="",0,C11*J$11)</f>
        <v>636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4664</v>
      </c>
      <c r="I11" s="60" t="s">
        <v>36</v>
      </c>
      <c r="J11" s="61">
        <v>0.12</v>
      </c>
      <c r="K11" s="62">
        <f>MROUND(D7+D11+D15,50)</f>
        <v>5950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2550</v>
      </c>
    </row>
    <row r="13" spans="1:12" x14ac:dyDescent="0.35">
      <c r="A13" s="28" t="s">
        <v>50</v>
      </c>
      <c r="B13" s="132">
        <f>IF(DigitaNICA!G2&lt;&gt;"",DigitaNICA!G2,"")</f>
        <v>13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2100</v>
      </c>
    </row>
    <row r="15" spans="1:12" ht="15" thickBot="1" x14ac:dyDescent="0.4">
      <c r="A15" s="28" t="s">
        <v>61</v>
      </c>
      <c r="B15" s="132">
        <f>IF(DigitaTICA!G2&lt;&gt;"",DigitaTICA!G2,"")</f>
        <v>80</v>
      </c>
      <c r="C15" s="29">
        <f>IF(DigitaTICA!G12&lt;&gt;"",DigitaTICA!G12,"")</f>
        <v>24000</v>
      </c>
      <c r="D15" s="42">
        <f>IF(C15="",0,C15*J$11)</f>
        <v>2880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21120</v>
      </c>
      <c r="I15" s="65" t="s">
        <v>104</v>
      </c>
      <c r="J15" s="66">
        <v>0.12</v>
      </c>
      <c r="K15" s="50">
        <f>MROUND(D21+D22+D23,50)</f>
        <v>150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93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>
        <f>IF(DigitaPRIMERA!$C$12&lt;&gt;"",DigitaPRIMERA!$C$12,"")</f>
        <v>17700</v>
      </c>
      <c r="D19" s="42">
        <f>IF(C19="",0,C19*J$14)</f>
        <v>2124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-9924</v>
      </c>
    </row>
    <row r="20" spans="1:7" x14ac:dyDescent="0.35">
      <c r="A20" s="28" t="s">
        <v>98</v>
      </c>
      <c r="B20" s="132" t="str">
        <f>IF(DigitaPRIMERA!E2&lt;&gt;"",DigitaPRIMERA!E2,"")</f>
        <v>04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50</v>
      </c>
      <c r="C21" s="29">
        <f>IF(DigitaHONDURAS!$C$12&lt;&gt;"",DigitaHONDURAS!$C$12,"")</f>
        <v>1200</v>
      </c>
      <c r="D21" s="42">
        <f>IF(C21="",0,C21*J$15)</f>
        <v>144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1056</v>
      </c>
    </row>
    <row r="22" spans="1:7" x14ac:dyDescent="0.35">
      <c r="A22" s="28" t="s">
        <v>100</v>
      </c>
      <c r="B22" s="132" t="str">
        <f>IF(DigitaHONDURAS!E2&lt;&gt;"",DigitaHONDURAS!E2,"")</f>
        <v>00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90550</v>
      </c>
      <c r="D24" s="68">
        <f t="shared" ref="D24:G24" si="4">SUM(D5:D23)</f>
        <v>10846</v>
      </c>
      <c r="E24" s="68">
        <f t="shared" si="4"/>
        <v>300</v>
      </c>
      <c r="F24" s="68">
        <f t="shared" si="4"/>
        <v>25500</v>
      </c>
      <c r="G24" s="88">
        <f t="shared" si="4"/>
        <v>54204</v>
      </c>
    </row>
    <row r="27" spans="1:7" x14ac:dyDescent="0.35">
      <c r="G27" s="21">
        <v>242716</v>
      </c>
    </row>
    <row r="28" spans="1:7" x14ac:dyDescent="0.35">
      <c r="G28" s="141">
        <f>+G24+G27</f>
        <v>296920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37450</v>
      </c>
      <c r="K4" s="231">
        <f t="shared" ref="K4" si="0">D7+D11+D15</f>
        <v>4494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70</v>
      </c>
      <c r="C5" s="29">
        <f>IF(DigitaNICA!C13&lt;&gt;"",DigitaNICA!C13,"")</f>
        <v>29750</v>
      </c>
      <c r="D5" s="42">
        <f>IF(C5="",0,C5*J$10)</f>
        <v>3570</v>
      </c>
      <c r="E5" s="29">
        <f>IF(DigitaNICA!D13&lt;&gt;"",DigitaNICA!D13,"")</f>
        <v>950</v>
      </c>
      <c r="F5" s="42">
        <f>IF(E5="",0,E5*PREMIOS!E5)</f>
        <v>76000</v>
      </c>
      <c r="G5" s="30">
        <f t="shared" ref="G5:G12" si="1">IF(OR(C5="",E5=""),0,C5-D5-F5)</f>
        <v>-49820</v>
      </c>
      <c r="I5" s="218" t="s">
        <v>37</v>
      </c>
      <c r="J5" s="232">
        <f>SUM(IF(C5="",0,C5),IF(C9="",0,C9),IF(C13="",0,C13),IF(C17="",0,C17))</f>
        <v>29750</v>
      </c>
      <c r="K5" s="233">
        <f t="shared" ref="K5" si="2">D5+D9+D13+D17</f>
        <v>3570</v>
      </c>
      <c r="L5" s="234">
        <f>F5+F9+F13+F17</f>
        <v>76000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91</v>
      </c>
      <c r="C7" s="29">
        <f>IF(DigitaTICA!C13&lt;&gt;"",DigitaTICA!C13,"")</f>
        <v>37450</v>
      </c>
      <c r="D7" s="42">
        <f>IF(C7="",0,C7*J$9)</f>
        <v>4494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32956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43</v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4500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3550</v>
      </c>
    </row>
    <row r="11" spans="1:12" ht="15" thickBot="1" x14ac:dyDescent="0.4">
      <c r="A11" s="28" t="s">
        <v>59</v>
      </c>
      <c r="B11" s="132">
        <f>IF(DigitaTICA!E2&lt;&gt;"",DigitaTICA!E2,"")</f>
        <v>83</v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13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67200</v>
      </c>
      <c r="D19" s="68">
        <f>MROUND(SUM(D5:D18),50)</f>
        <v>8050</v>
      </c>
      <c r="E19" s="68">
        <f>SUM(E5:E18)</f>
        <v>950</v>
      </c>
      <c r="F19" s="68">
        <f>SUM(F5:F18)</f>
        <v>76000</v>
      </c>
      <c r="G19" s="88">
        <f>SUM(G5:G18)</f>
        <v>-16864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69100</v>
      </c>
      <c r="K4" s="236">
        <f t="shared" ref="K4" si="0">D7+D11+D15</f>
        <v>10365</v>
      </c>
      <c r="L4" s="237">
        <f>F7+F11+F15</f>
        <v>80000</v>
      </c>
    </row>
    <row r="5" spans="1:12" x14ac:dyDescent="0.35">
      <c r="A5" s="28" t="s">
        <v>43</v>
      </c>
      <c r="B5" s="132">
        <f>IF(DigitaNICA!C2&lt;&gt;"",DigitaNICA!C2,"")</f>
        <v>70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91</v>
      </c>
      <c r="C7" s="29">
        <f>IF(DigitaTICA!C14&lt;&gt;"",DigitaTICA!C14,"")</f>
        <v>30250</v>
      </c>
      <c r="D7" s="42">
        <f>IF(C7="",0,C7*J$9)</f>
        <v>4537.5</v>
      </c>
      <c r="E7" s="29">
        <f>IF(DigitaTICA!D14&lt;&gt;"",DigitaTICA!D14,"")</f>
        <v>1000</v>
      </c>
      <c r="F7" s="42">
        <f>IF(E7="",0,E7*PREMIOS!E7)</f>
        <v>80000</v>
      </c>
      <c r="G7" s="30">
        <f t="shared" si="1"/>
        <v>-54287.5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43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10350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83</v>
      </c>
      <c r="C11" s="29">
        <f>IF(DigitaTICA!E14&lt;&gt;"",DigitaTICA!E14,"")</f>
        <v>12400</v>
      </c>
      <c r="D11" s="42">
        <f>IF(C11="",0,C11*J$9)</f>
        <v>1860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10540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13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IF(DigitaTICA!G14&lt;&gt;"",DigitaTICA!G14,"")</f>
        <v>26450</v>
      </c>
      <c r="D15" s="42">
        <f>IF(C15="",0,C15*J$9)</f>
        <v>3967.5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22482.5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69100</v>
      </c>
      <c r="D19" s="68">
        <f>MROUND(SUM(D5:D18),50)</f>
        <v>10350</v>
      </c>
      <c r="E19" s="68">
        <f>SUM(E5:E18)</f>
        <v>1000</v>
      </c>
      <c r="F19" s="68">
        <f>SUM(F5:F18)</f>
        <v>80000</v>
      </c>
      <c r="G19" s="88">
        <f>SUM(G5:G18)</f>
        <v>-21265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70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67350</v>
      </c>
      <c r="K4" s="231">
        <f>D7+D11+D15</f>
        <v>8082</v>
      </c>
      <c r="L4" s="220">
        <f>F7+F11+F15</f>
        <v>8500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IF(DigitaNICA!C16&lt;&gt;"",DigitaNICA!C16,"")</f>
        <v>4300</v>
      </c>
      <c r="D5" s="42">
        <f>IF(C5="",0,C5*J$12)</f>
        <v>516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3784</v>
      </c>
      <c r="I5" s="63" t="s">
        <v>37</v>
      </c>
      <c r="J5" s="225">
        <f>SUM(IF(C5="",0,C5),IF(C9="",0,C9),IF(C13="",0,C13),IF(C17="",0,C17))</f>
        <v>40800</v>
      </c>
      <c r="K5" s="225">
        <f t="shared" ref="K5" si="1">D5+D9+D13+D17</f>
        <v>4896</v>
      </c>
      <c r="L5" s="222">
        <f>F5+F9+F13+F17</f>
        <v>36000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10000</v>
      </c>
      <c r="K6" s="226">
        <f t="shared" ref="K6" si="2">+D8+D12+D16</f>
        <v>1000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91</v>
      </c>
      <c r="C7" s="29">
        <f>IF(DigitaTICA!C16&lt;&gt;"",DigitaTICA!C16,"")</f>
        <v>17750</v>
      </c>
      <c r="D7" s="42">
        <f>IF(C7="",0,C7*J$11)</f>
        <v>2130</v>
      </c>
      <c r="E7" s="29">
        <f>IF(DigitaTICA!D16&lt;&gt;"",DigitaTICA!D16,"")</f>
        <v>100</v>
      </c>
      <c r="F7" s="133">
        <f>IF(E7="",0,E7*PREMIOS!F7)</f>
        <v>8500</v>
      </c>
      <c r="G7" s="30">
        <f t="shared" si="0"/>
        <v>7120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4000</v>
      </c>
      <c r="D8" s="42">
        <f>IF(C8="",0,C8*J$13)</f>
        <v>400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3600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43</v>
      </c>
      <c r="C9" s="29">
        <f>IF(DigitaNICA!E16&lt;&gt;"",DigitaNICA!E16,"")</f>
        <v>19700</v>
      </c>
      <c r="D9" s="42">
        <f>IF(C9="",0,C9*J$12)</f>
        <v>2364</v>
      </c>
      <c r="E9" s="29">
        <f>IF(DigitaNICA!F16&lt;&gt;"",DigitaNICA!F16,"")</f>
        <v>250</v>
      </c>
      <c r="F9" s="133">
        <f>IF(E9="",0,E9*PREMIOS!E9)</f>
        <v>20000</v>
      </c>
      <c r="G9" s="30">
        <f t="shared" si="0"/>
        <v>-2664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IF(DigitaTICA!E16&lt;&gt;"",DigitaTICA!E16,"")</f>
        <v>17750</v>
      </c>
      <c r="D11" s="42">
        <f>IF(C11="",0,C11*J$11)</f>
        <v>2130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15620</v>
      </c>
      <c r="I11" s="76" t="s">
        <v>36</v>
      </c>
      <c r="J11" s="77">
        <v>0.12</v>
      </c>
      <c r="K11" s="78">
        <f>MROUND(D7+D11+D15,50)</f>
        <v>8100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4900</v>
      </c>
    </row>
    <row r="13" spans="1:12" x14ac:dyDescent="0.35">
      <c r="A13" s="28" t="s">
        <v>50</v>
      </c>
      <c r="B13" s="132">
        <f>IF(DigitaNICA!G2&lt;&gt;"",DigitaNICA!G2,"")</f>
        <v>13</v>
      </c>
      <c r="C13" s="29">
        <f>IF(DigitaNICA!G16&lt;&gt;"",DigitaNICA!G16,"")</f>
        <v>6000</v>
      </c>
      <c r="D13" s="42">
        <f>IF(C13="",0,C13*J$12)</f>
        <v>720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5280</v>
      </c>
      <c r="I13" s="63" t="s">
        <v>38</v>
      </c>
      <c r="J13" s="64">
        <v>0.1</v>
      </c>
      <c r="K13" s="30">
        <f>MROUND(D6+D8+D10+D12+D14+D16+D18,50)</f>
        <v>1000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80</v>
      </c>
      <c r="C15" s="29">
        <f>IF(DigitaTICA!G16&lt;&gt;"",DigitaTICA!G16,"")</f>
        <v>31850</v>
      </c>
      <c r="D15" s="42">
        <f>IF(C15="",0,C15*J$11)</f>
        <v>3822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28028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6000</v>
      </c>
      <c r="D16" s="42">
        <f>IF(C16="",0,C16*J$13)</f>
        <v>600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5400</v>
      </c>
    </row>
    <row r="17" spans="1:7" x14ac:dyDescent="0.35">
      <c r="A17" s="28" t="s">
        <v>52</v>
      </c>
      <c r="B17" s="132">
        <f>IF(DigitaNICA!I2&lt;&gt;"",DigitaNICA!I2,"")</f>
        <v>93</v>
      </c>
      <c r="C17" s="29">
        <f>IF(DigitaNICA!I16&lt;&gt;"",DigitaNICA!I16,"")</f>
        <v>10800</v>
      </c>
      <c r="D17" s="42">
        <f>IF(C17="",0,C17*J$12)</f>
        <v>1296</v>
      </c>
      <c r="E17" s="29">
        <f>IF(DigitaNICA!J16&lt;&gt;"",DigitaNICA!J16,"")</f>
        <v>200</v>
      </c>
      <c r="F17" s="42">
        <f>IF(E17="",0,E17*PREMIOS!E17)</f>
        <v>16000</v>
      </c>
      <c r="G17" s="30">
        <f t="shared" si="3"/>
        <v>-6496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50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118150</v>
      </c>
      <c r="D24" s="122">
        <f t="shared" ref="D24:G24" si="5">SUM(D5:D23)</f>
        <v>13978</v>
      </c>
      <c r="E24" s="122">
        <f t="shared" si="5"/>
        <v>550</v>
      </c>
      <c r="F24" s="122">
        <f t="shared" si="5"/>
        <v>44500</v>
      </c>
      <c r="G24" s="123">
        <f t="shared" si="5"/>
        <v>59672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70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91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43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83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13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80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93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50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 t="str">
        <f>IF(DigitaPRIMERA!E2&lt;&gt;"",DigitaPRIMERA!E2,"")</f>
        <v>04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50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00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98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52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70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91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43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83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13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80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93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50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 t="str">
        <f>IF(DigitaPRIMERA!E2&lt;&gt;"",DigitaPRIMERA!E2,"")</f>
        <v>04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50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00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98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52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70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91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43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13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80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93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91</v>
      </c>
      <c r="D2" s="268"/>
      <c r="E2" s="267">
        <f>IF(PREMIOS!$B11="","",PREMIOS!$B11)</f>
        <v>83</v>
      </c>
      <c r="F2" s="268"/>
      <c r="G2" s="267">
        <f>IF(PREMIOS!$B15="","",PREMIOS!$B15)</f>
        <v>80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59550</v>
      </c>
      <c r="D4" s="78">
        <f t="shared" ref="D4:H27" si="0">IF(C4="","",0)</f>
        <v>0</v>
      </c>
      <c r="E4" s="189">
        <v>33350</v>
      </c>
      <c r="F4" s="78">
        <f t="shared" si="0"/>
        <v>0</v>
      </c>
      <c r="G4" s="189">
        <v>82800</v>
      </c>
      <c r="H4" s="78">
        <v>2000</v>
      </c>
      <c r="J4" s="42">
        <f t="shared" ref="J4:J8" si="1">+C4+E4+G4</f>
        <v>175700</v>
      </c>
      <c r="K4" s="42">
        <f>IF(D4="",0,IF(F4="",D4,IF(H4="",D4+F4,D4+F4+H4)))</f>
        <v>2000</v>
      </c>
    </row>
    <row r="5" spans="1:11" x14ac:dyDescent="0.35">
      <c r="A5" s="47">
        <v>2</v>
      </c>
      <c r="B5" s="178" t="str">
        <f>Vendedor2!$B$2</f>
        <v>PUESTO 2</v>
      </c>
      <c r="C5" s="180">
        <v>52300</v>
      </c>
      <c r="D5" s="30">
        <v>1000</v>
      </c>
      <c r="E5" s="180">
        <v>28850</v>
      </c>
      <c r="F5" s="30">
        <f t="shared" si="0"/>
        <v>0</v>
      </c>
      <c r="G5" s="180">
        <v>111800</v>
      </c>
      <c r="H5" s="30">
        <v>3200</v>
      </c>
      <c r="J5" s="42">
        <f t="shared" si="1"/>
        <v>192950</v>
      </c>
      <c r="K5" s="42">
        <f t="shared" ref="K5:K27" si="2">IF(D5="",0,IF(F5="",D5,IF(H5="",D5+F5,D5+F5+H5)))</f>
        <v>4200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62100</v>
      </c>
      <c r="D8" s="30">
        <f t="shared" si="0"/>
        <v>0</v>
      </c>
      <c r="E8" s="180">
        <v>28550</v>
      </c>
      <c r="F8" s="30">
        <f t="shared" si="0"/>
        <v>0</v>
      </c>
      <c r="G8" s="180">
        <v>43550</v>
      </c>
      <c r="H8" s="30">
        <v>1700</v>
      </c>
      <c r="J8" s="42">
        <f t="shared" si="1"/>
        <v>134200</v>
      </c>
      <c r="K8" s="42">
        <f t="shared" si="2"/>
        <v>1700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8000+82550</f>
        <v>90550</v>
      </c>
      <c r="D10" s="30">
        <v>300</v>
      </c>
      <c r="E10" s="180">
        <f>8500+72200</f>
        <v>80700</v>
      </c>
      <c r="F10" s="30">
        <f>300+100</f>
        <v>400</v>
      </c>
      <c r="G10" s="180">
        <f>15000+78200</f>
        <v>93200</v>
      </c>
      <c r="H10" s="30">
        <f>250+250</f>
        <v>500</v>
      </c>
      <c r="J10" s="42">
        <f t="shared" si="3"/>
        <v>264450</v>
      </c>
      <c r="K10" s="42">
        <f t="shared" si="2"/>
        <v>1200</v>
      </c>
    </row>
    <row r="11" spans="1:11" x14ac:dyDescent="0.35">
      <c r="A11" s="47">
        <v>8</v>
      </c>
      <c r="B11" s="178" t="str">
        <f>Vendedor8!$B$2</f>
        <v>ISA</v>
      </c>
      <c r="C11" s="180">
        <v>6000</v>
      </c>
      <c r="D11" s="30">
        <f t="shared" si="0"/>
        <v>0</v>
      </c>
      <c r="E11" s="180"/>
      <c r="F11" s="30" t="str">
        <f t="shared" si="0"/>
        <v/>
      </c>
      <c r="G11" s="180">
        <v>15900</v>
      </c>
      <c r="H11" s="30">
        <f t="shared" si="0"/>
        <v>0</v>
      </c>
      <c r="J11" s="42">
        <f t="shared" si="3"/>
        <v>21900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20300</v>
      </c>
      <c r="D12" s="30">
        <f t="shared" si="0"/>
        <v>0</v>
      </c>
      <c r="E12" s="180">
        <v>5300</v>
      </c>
      <c r="F12" s="30">
        <f t="shared" si="0"/>
        <v>0</v>
      </c>
      <c r="G12" s="180">
        <v>24000</v>
      </c>
      <c r="H12" s="30">
        <f t="shared" si="0"/>
        <v>0</v>
      </c>
      <c r="J12" s="42">
        <f t="shared" si="3"/>
        <v>49600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37450</v>
      </c>
      <c r="D13" s="30">
        <f t="shared" si="0"/>
        <v>0</v>
      </c>
      <c r="E13" s="180"/>
      <c r="F13" s="30" t="str">
        <f t="shared" si="0"/>
        <v/>
      </c>
      <c r="G13" s="180"/>
      <c r="H13" s="30" t="str">
        <f t="shared" si="0"/>
        <v/>
      </c>
      <c r="J13" s="42">
        <f t="shared" si="3"/>
        <v>37450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30250</v>
      </c>
      <c r="D14" s="30">
        <v>1000</v>
      </c>
      <c r="E14" s="180">
        <v>12400</v>
      </c>
      <c r="F14" s="30">
        <f t="shared" si="0"/>
        <v>0</v>
      </c>
      <c r="G14" s="180">
        <v>26450</v>
      </c>
      <c r="H14" s="30">
        <f t="shared" si="0"/>
        <v>0</v>
      </c>
      <c r="J14" s="42">
        <f t="shared" si="3"/>
        <v>69100</v>
      </c>
      <c r="K14" s="42">
        <f t="shared" si="2"/>
        <v>1000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17750</v>
      </c>
      <c r="D16" s="30">
        <v>100</v>
      </c>
      <c r="E16" s="180">
        <v>17750</v>
      </c>
      <c r="F16" s="30">
        <f t="shared" si="0"/>
        <v>0</v>
      </c>
      <c r="G16" s="180">
        <v>31850</v>
      </c>
      <c r="H16" s="30">
        <f t="shared" si="0"/>
        <v>0</v>
      </c>
      <c r="J16" s="42">
        <f t="shared" si="3"/>
        <v>67350</v>
      </c>
      <c r="K16" s="42">
        <f t="shared" si="2"/>
        <v>100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376250</v>
      </c>
      <c r="D32" s="44">
        <f t="shared" si="6"/>
        <v>2400</v>
      </c>
      <c r="E32" s="43">
        <f t="shared" si="6"/>
        <v>206900</v>
      </c>
      <c r="F32" s="44">
        <f t="shared" si="6"/>
        <v>400</v>
      </c>
      <c r="G32" s="43">
        <f t="shared" si="6"/>
        <v>429550</v>
      </c>
      <c r="H32" s="44">
        <f t="shared" si="6"/>
        <v>7400</v>
      </c>
      <c r="J32" s="95">
        <f>SUM(J4:J31)</f>
        <v>1012700</v>
      </c>
      <c r="K32" s="95"/>
    </row>
    <row r="33" spans="2:8" x14ac:dyDescent="0.35">
      <c r="D33" s="99">
        <f>+D32*85</f>
        <v>204000</v>
      </c>
      <c r="F33" s="99">
        <f>+F32*85</f>
        <v>34000</v>
      </c>
      <c r="H33" s="99">
        <f>+H32*85</f>
        <v>629000</v>
      </c>
    </row>
    <row r="34" spans="2:8" x14ac:dyDescent="0.35">
      <c r="B34" s="247" t="s">
        <v>149</v>
      </c>
      <c r="C34" s="43">
        <f t="shared" ref="C34:H34" si="7">+C4+C5+C6+C8+C13</f>
        <v>211400</v>
      </c>
      <c r="D34" s="43" t="e">
        <f t="shared" si="7"/>
        <v>#VALUE!</v>
      </c>
      <c r="E34" s="43">
        <f t="shared" si="7"/>
        <v>90750</v>
      </c>
      <c r="F34" s="43" t="e">
        <f t="shared" si="7"/>
        <v>#VALUE!</v>
      </c>
      <c r="G34" s="43">
        <f t="shared" si="7"/>
        <v>238150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36250</v>
      </c>
      <c r="D35" s="43" t="e">
        <f t="shared" ref="D35:H35" si="8">+D11+D14+D15+D17+D18</f>
        <v>#VALUE!</v>
      </c>
      <c r="E35" s="43">
        <f t="shared" si="8"/>
        <v>12400</v>
      </c>
      <c r="F35" s="43" t="e">
        <f t="shared" si="8"/>
        <v>#VALUE!</v>
      </c>
      <c r="G35" s="43">
        <f t="shared" si="8"/>
        <v>42350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110850</v>
      </c>
      <c r="D36" s="43" t="e">
        <f t="shared" ref="D36:H36" si="9">+D10+D12+D27</f>
        <v>#VALUE!</v>
      </c>
      <c r="E36" s="43">
        <f t="shared" si="9"/>
        <v>86000</v>
      </c>
      <c r="F36" s="43" t="e">
        <f t="shared" si="9"/>
        <v>#VALUE!</v>
      </c>
      <c r="G36" s="43">
        <f t="shared" si="9"/>
        <v>117200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J10" sqref="J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70</v>
      </c>
      <c r="D2" s="268"/>
      <c r="E2" s="267">
        <f>IF(PREMIOS!$B9="","",PREMIOS!$B9)</f>
        <v>43</v>
      </c>
      <c r="F2" s="268"/>
      <c r="G2" s="267">
        <f>IF(PREMIOS!$B13="","",PREMIOS!$B13)</f>
        <v>13</v>
      </c>
      <c r="H2" s="268"/>
      <c r="I2" s="267">
        <f>IF(PREMIOS!$B17="","",PREMIOS!$B17)</f>
        <v>93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13500</v>
      </c>
      <c r="D4" s="78">
        <f t="shared" ref="D4:J27" si="0">IF(C4="","",0)</f>
        <v>0</v>
      </c>
      <c r="E4" s="206">
        <v>9850</v>
      </c>
      <c r="F4" s="78">
        <f t="shared" si="0"/>
        <v>0</v>
      </c>
      <c r="G4" s="189">
        <v>1500</v>
      </c>
      <c r="H4" s="78">
        <f t="shared" ref="H4:H27" si="1">IF(G4="","",0)</f>
        <v>0</v>
      </c>
      <c r="I4" s="189">
        <v>1000</v>
      </c>
      <c r="J4" s="78">
        <f t="shared" si="0"/>
        <v>0</v>
      </c>
      <c r="L4" s="42">
        <f t="shared" ref="L4:L8" si="2">+C4+E4+G4+I4</f>
        <v>25850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12300</v>
      </c>
      <c r="D5" s="30">
        <f t="shared" si="0"/>
        <v>0</v>
      </c>
      <c r="E5" s="207">
        <v>5000</v>
      </c>
      <c r="F5" s="30">
        <f t="shared" si="0"/>
        <v>0</v>
      </c>
      <c r="G5" s="180">
        <v>4700</v>
      </c>
      <c r="H5" s="30">
        <f t="shared" si="1"/>
        <v>0</v>
      </c>
      <c r="I5" s="180">
        <v>3500</v>
      </c>
      <c r="J5" s="30">
        <f t="shared" ref="J5:J27" si="3">IF(I5="","",0)</f>
        <v>0</v>
      </c>
      <c r="L5" s="42">
        <f t="shared" si="2"/>
        <v>25500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51650</v>
      </c>
      <c r="D8" s="30">
        <f t="shared" si="0"/>
        <v>0</v>
      </c>
      <c r="E8" s="207">
        <v>36250</v>
      </c>
      <c r="F8" s="30">
        <f t="shared" si="0"/>
        <v>0</v>
      </c>
      <c r="G8" s="180">
        <v>7750</v>
      </c>
      <c r="H8" s="30">
        <f t="shared" si="1"/>
        <v>0</v>
      </c>
      <c r="I8" s="180">
        <v>33300</v>
      </c>
      <c r="J8" s="30">
        <f t="shared" si="0"/>
        <v>0</v>
      </c>
      <c r="L8" s="42">
        <f t="shared" si="2"/>
        <v>128950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6500+33950</f>
        <v>40450</v>
      </c>
      <c r="D10" s="30">
        <f t="shared" si="0"/>
        <v>0</v>
      </c>
      <c r="E10" s="207">
        <f>10500+20350</f>
        <v>30850</v>
      </c>
      <c r="F10" s="30">
        <v>250</v>
      </c>
      <c r="G10" s="180">
        <f>10000+7450</f>
        <v>17450</v>
      </c>
      <c r="H10" s="30">
        <f t="shared" si="0"/>
        <v>0</v>
      </c>
      <c r="I10" s="180">
        <f>17300+32600</f>
        <v>49900</v>
      </c>
      <c r="J10" s="30">
        <f t="shared" si="0"/>
        <v>0</v>
      </c>
      <c r="L10" s="42">
        <f t="shared" si="5"/>
        <v>138650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10000</v>
      </c>
      <c r="D12" s="30">
        <f t="shared" si="0"/>
        <v>0</v>
      </c>
      <c r="E12" s="207">
        <v>11050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21050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29750</v>
      </c>
      <c r="D13" s="30">
        <v>950</v>
      </c>
      <c r="E13" s="207"/>
      <c r="F13" s="30" t="str">
        <f t="shared" si="0"/>
        <v/>
      </c>
      <c r="G13" s="180"/>
      <c r="H13" s="30" t="str">
        <f t="shared" si="0"/>
        <v/>
      </c>
      <c r="I13" s="180"/>
      <c r="J13" s="30" t="str">
        <f t="shared" si="0"/>
        <v/>
      </c>
      <c r="L13" s="42">
        <f t="shared" si="5"/>
        <v>29750</v>
      </c>
      <c r="M13" s="42">
        <f t="shared" si="4"/>
        <v>950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4300</v>
      </c>
      <c r="D16" s="30">
        <f t="shared" si="0"/>
        <v>0</v>
      </c>
      <c r="E16" s="207">
        <v>19700</v>
      </c>
      <c r="F16" s="30">
        <v>250</v>
      </c>
      <c r="G16" s="180">
        <v>6000</v>
      </c>
      <c r="H16" s="30">
        <f t="shared" si="0"/>
        <v>0</v>
      </c>
      <c r="I16" s="180">
        <v>10800</v>
      </c>
      <c r="J16" s="30">
        <v>200</v>
      </c>
      <c r="L16" s="42">
        <f t="shared" si="5"/>
        <v>40800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161950</v>
      </c>
      <c r="D32" s="44">
        <f t="shared" si="7"/>
        <v>950</v>
      </c>
      <c r="E32" s="43">
        <f t="shared" si="7"/>
        <v>112700</v>
      </c>
      <c r="F32" s="44">
        <f t="shared" si="7"/>
        <v>500</v>
      </c>
      <c r="G32" s="43">
        <f t="shared" si="7"/>
        <v>37400</v>
      </c>
      <c r="H32" s="44">
        <f t="shared" si="7"/>
        <v>0</v>
      </c>
      <c r="I32" s="43">
        <f t="shared" si="7"/>
        <v>98500</v>
      </c>
      <c r="J32" s="44">
        <f t="shared" si="7"/>
        <v>200</v>
      </c>
      <c r="L32" s="95">
        <f>SUM(L9:L31)</f>
        <v>230250</v>
      </c>
      <c r="M32" s="95">
        <f>SUM(M9:M31)</f>
        <v>950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91 Roja</v>
      </c>
      <c r="D2" s="268"/>
      <c r="E2" s="267" t="str">
        <f>IF(E33=0,"",CONCATENATE(PREMIOS!$B11," ",PREMIOS!$B12))</f>
        <v>83 Blanca</v>
      </c>
      <c r="F2" s="268"/>
      <c r="G2" s="267" t="str">
        <f>IF(G33=0,"",CONCATENATE(PREMIOS!$B15," ",PREMIOS!$B16))</f>
        <v>80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6250+6250</f>
        <v>12500</v>
      </c>
      <c r="D10" s="30">
        <f t="shared" si="0"/>
        <v>0</v>
      </c>
      <c r="E10" s="180">
        <f>4000+8450</f>
        <v>12450</v>
      </c>
      <c r="F10" s="30">
        <f t="shared" si="0"/>
        <v>0</v>
      </c>
      <c r="G10" s="180">
        <v>12250</v>
      </c>
      <c r="H10" s="30">
        <f t="shared" si="0"/>
        <v>0</v>
      </c>
      <c r="J10" s="42">
        <f t="shared" si="3"/>
        <v>37200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500</v>
      </c>
      <c r="D12" s="30">
        <f t="shared" si="0"/>
        <v>0</v>
      </c>
      <c r="E12" s="180"/>
      <c r="F12" s="30" t="str">
        <f t="shared" si="1"/>
        <v/>
      </c>
      <c r="G12" s="180">
        <v>500</v>
      </c>
      <c r="H12" s="30">
        <f t="shared" si="0"/>
        <v>0</v>
      </c>
      <c r="J12" s="42">
        <f t="shared" si="3"/>
        <v>1000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4000</v>
      </c>
      <c r="D16" s="195">
        <f t="shared" si="0"/>
        <v>0</v>
      </c>
      <c r="E16" s="194"/>
      <c r="F16" s="195" t="str">
        <f t="shared" si="1"/>
        <v/>
      </c>
      <c r="G16" s="194">
        <v>6000</v>
      </c>
      <c r="H16" s="195">
        <f t="shared" si="0"/>
        <v>0</v>
      </c>
      <c r="J16" s="42">
        <f t="shared" si="3"/>
        <v>10000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17000</v>
      </c>
      <c r="D33" s="44">
        <f t="shared" si="7"/>
        <v>0</v>
      </c>
      <c r="E33" s="43">
        <f t="shared" si="7"/>
        <v>12450</v>
      </c>
      <c r="F33" s="44">
        <f t="shared" si="7"/>
        <v>0</v>
      </c>
      <c r="G33" s="43">
        <f t="shared" si="7"/>
        <v>18750</v>
      </c>
      <c r="H33" s="44">
        <f t="shared" si="7"/>
        <v>0</v>
      </c>
      <c r="J33" s="45">
        <f>SUM(J4:J32)</f>
        <v>48200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50</v>
      </c>
      <c r="D2" s="268"/>
      <c r="E2" s="267" t="str">
        <f>IF(PREMIOS!$C19="","",PREMIOS!$C19)</f>
        <v>04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2800</v>
      </c>
      <c r="D4" s="78">
        <f t="shared" ref="D4:F27" si="0">IF(C4="","",0)</f>
        <v>0</v>
      </c>
      <c r="E4" s="189">
        <v>700</v>
      </c>
      <c r="F4" s="78">
        <f t="shared" si="0"/>
        <v>0</v>
      </c>
      <c r="H4" s="42">
        <f>+C4+E4</f>
        <v>3500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6000</v>
      </c>
      <c r="D5" s="30">
        <f t="shared" si="0"/>
        <v>0</v>
      </c>
      <c r="E5" s="180">
        <v>200</v>
      </c>
      <c r="F5" s="30">
        <f t="shared" ref="F5:F27" si="1">IF(E5="","",0)</f>
        <v>0</v>
      </c>
      <c r="H5" s="42">
        <f t="shared" ref="H5:H32" si="2">+C5+E5</f>
        <v>6200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12900</v>
      </c>
      <c r="D8" s="30">
        <v>100</v>
      </c>
      <c r="E8" s="194">
        <v>12250</v>
      </c>
      <c r="F8" s="195">
        <f t="shared" si="1"/>
        <v>0</v>
      </c>
      <c r="H8" s="42">
        <f t="shared" si="2"/>
        <v>25150</v>
      </c>
      <c r="I8" s="42">
        <f t="shared" si="3"/>
        <v>100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7200+9300</f>
        <v>16500</v>
      </c>
      <c r="D10" s="30">
        <f>2000+1000</f>
        <v>3000</v>
      </c>
      <c r="E10" s="180">
        <v>7150</v>
      </c>
      <c r="F10" s="195">
        <f t="shared" si="1"/>
        <v>0</v>
      </c>
      <c r="H10" s="42">
        <f t="shared" si="2"/>
        <v>23650</v>
      </c>
      <c r="I10" s="42">
        <f t="shared" si="3"/>
        <v>3000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17700</v>
      </c>
      <c r="D12" s="30">
        <v>300</v>
      </c>
      <c r="E12" s="194"/>
      <c r="F12" s="30" t="str">
        <f t="shared" si="0"/>
        <v/>
      </c>
      <c r="H12" s="42">
        <f t="shared" si="2"/>
        <v>17700</v>
      </c>
      <c r="I12" s="42">
        <f t="shared" si="3"/>
        <v>300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55900</v>
      </c>
      <c r="D33" s="44">
        <f>SUM(D4:D32)</f>
        <v>3400</v>
      </c>
      <c r="E33" s="43">
        <f>SUM(E4:E32)</f>
        <v>20300</v>
      </c>
      <c r="F33" s="44">
        <f>SUM(F4:F32)</f>
        <v>0</v>
      </c>
      <c r="H33" s="95">
        <f>SUM(H4:H32)</f>
        <v>76200</v>
      </c>
      <c r="I33" s="95">
        <f>SUM(I4:I32)</f>
        <v>3400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50</v>
      </c>
      <c r="D2" s="268"/>
      <c r="E2" s="267" t="str">
        <f>IF(PREMIOS!$C20="","",PREMIOS!$C20)</f>
        <v>00</v>
      </c>
      <c r="F2" s="268"/>
      <c r="G2" s="267">
        <f>IF(PREMIOS!$D20="","",PREMIOS!$D20)</f>
        <v>98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3900</v>
      </c>
      <c r="D10" s="195">
        <v>500</v>
      </c>
      <c r="E10" s="180">
        <v>1000</v>
      </c>
      <c r="F10" s="30">
        <f t="shared" si="0"/>
        <v>0</v>
      </c>
      <c r="G10" s="180">
        <v>5350</v>
      </c>
      <c r="H10" s="195">
        <f t="shared" si="0"/>
        <v>0</v>
      </c>
      <c r="J10" s="42">
        <f t="shared" si="3"/>
        <v>10250</v>
      </c>
      <c r="K10" s="42">
        <f t="shared" si="4"/>
        <v>500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1200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1200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5100</v>
      </c>
      <c r="D33" s="44">
        <f t="shared" si="6"/>
        <v>500</v>
      </c>
      <c r="E33" s="43">
        <f t="shared" si="6"/>
        <v>1000</v>
      </c>
      <c r="F33" s="44">
        <f t="shared" si="6"/>
        <v>0</v>
      </c>
      <c r="G33" s="43">
        <f t="shared" si="6"/>
        <v>5350</v>
      </c>
      <c r="H33" s="44">
        <f t="shared" si="6"/>
        <v>0</v>
      </c>
      <c r="J33" s="45">
        <f>SUM(J4:J32)</f>
        <v>11450</v>
      </c>
      <c r="K33" s="95">
        <f>SUM(K4:K32)</f>
        <v>500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86</v>
      </c>
      <c r="D2" s="268"/>
      <c r="E2" s="267">
        <f>IF(PREMIOS!$C21="","",PREMIOS!$C21)</f>
        <v>59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46500</v>
      </c>
      <c r="D10" s="30">
        <f t="shared" si="0"/>
        <v>0</v>
      </c>
      <c r="E10" s="180">
        <v>47200</v>
      </c>
      <c r="F10" s="30">
        <f t="shared" si="0"/>
        <v>0</v>
      </c>
      <c r="H10" s="42">
        <f t="shared" si="2"/>
        <v>93700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46500</v>
      </c>
      <c r="D33" s="44">
        <f>SUM(D4:D32)</f>
        <v>0</v>
      </c>
      <c r="E33" s="43">
        <f>SUM(E4:E32)</f>
        <v>47200</v>
      </c>
      <c r="F33" s="44">
        <f>SUM(F4:F32)</f>
        <v>0</v>
      </c>
      <c r="H33" s="45">
        <f>SUM(H4:H32)</f>
        <v>93700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52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2026-07-14T17:23:25Z</dcterms:modified>
  <dc:language>es-CR</dc:language>
</cp:coreProperties>
</file>
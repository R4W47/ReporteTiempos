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pivotTables/pivotTable1.xml" ContentType="application/vnd.openxmlformats-officedocument.spreadsheetml.pivotTable+xml"/>
  <Override PartName="/xl/drawings/drawing4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ReporteTiempos\07- CUENTAS DIARIAS JULIO\"/>
    </mc:Choice>
  </mc:AlternateContent>
  <xr:revisionPtr revIDLastSave="0" documentId="13_ncr:1_{D00E7FEA-B955-458E-8EBF-10EFE9BFEF6E}" xr6:coauthVersionLast="47" xr6:coauthVersionMax="47" xr10:uidLastSave="{00000000-0000-0000-0000-000000000000}"/>
  <bookViews>
    <workbookView xWindow="-110" yWindow="-110" windowWidth="19420" windowHeight="10300" tabRatio="581" firstSheet="1" activeTab="1" xr2:uid="{00000000-000D-0000-FFFF-FFFF00000000}"/>
  </bookViews>
  <sheets>
    <sheet name="Vendedor13 (2)" sheetId="56" r:id="rId1"/>
    <sheet name="Resumen" sheetId="2" r:id="rId2"/>
    <sheet name="PuestosALI" sheetId="45" r:id="rId3"/>
    <sheet name="Gráfico Ventas" sheetId="49" r:id="rId4"/>
    <sheet name="Vendedor1" sheetId="5" r:id="rId5"/>
    <sheet name="Vendedor2" sheetId="6" r:id="rId6"/>
    <sheet name="Vendedor3" sheetId="7" r:id="rId7"/>
    <sheet name="Vendedor4" sheetId="8" r:id="rId8"/>
    <sheet name="Vendedor5" sheetId="9" r:id="rId9"/>
    <sheet name="Vendedor6" sheetId="10" r:id="rId10"/>
    <sheet name="Vendedor7" sheetId="11" r:id="rId11"/>
    <sheet name="Vendedor8" sheetId="12" r:id="rId12"/>
    <sheet name="Vendedor9" sheetId="13" r:id="rId13"/>
    <sheet name="Vendedor10" sheetId="14" r:id="rId14"/>
    <sheet name="Vendedor11" sheetId="15" r:id="rId15"/>
    <sheet name="Vendedor12" sheetId="16" r:id="rId16"/>
    <sheet name="Vendedor13" sheetId="51" r:id="rId17"/>
    <sheet name="Vendedor14" sheetId="18" r:id="rId18"/>
    <sheet name="Vendedor15" sheetId="19" r:id="rId19"/>
    <sheet name="Vendedor16" sheetId="20" r:id="rId20"/>
    <sheet name="Vendedor17" sheetId="21" r:id="rId21"/>
    <sheet name="Vendedor18" sheetId="22" r:id="rId22"/>
    <sheet name="Vendedor19" sheetId="23" r:id="rId23"/>
    <sheet name="Vendedor20" sheetId="24" r:id="rId24"/>
    <sheet name="Vendedor21" sheetId="25" r:id="rId25"/>
    <sheet name="Vendedor22" sheetId="26" r:id="rId26"/>
    <sheet name="Vendedor23" sheetId="27" r:id="rId27"/>
    <sheet name="Vendedor24" sheetId="28" r:id="rId28"/>
    <sheet name="Vendedor25" sheetId="29" r:id="rId29"/>
    <sheet name="Vendedor26" sheetId="30" r:id="rId30"/>
    <sheet name="Vendedor27" sheetId="31" r:id="rId31"/>
    <sheet name="Vendedor28" sheetId="32" r:id="rId32"/>
    <sheet name="Vendedor29" sheetId="33" r:id="rId33"/>
    <sheet name="Vendedor30" sheetId="34" r:id="rId34"/>
    <sheet name="Vendedor31" sheetId="35" r:id="rId35"/>
    <sheet name="Vendedor32" sheetId="36" r:id="rId36"/>
    <sheet name="Vendedor33" sheetId="37" r:id="rId37"/>
    <sheet name="Vendedor34" sheetId="38" r:id="rId38"/>
    <sheet name="Vendedor35" sheetId="39" r:id="rId39"/>
    <sheet name="Vendedor36" sheetId="40" r:id="rId40"/>
    <sheet name="Vendedor37" sheetId="41" r:id="rId41"/>
    <sheet name="Vendedor38" sheetId="42" r:id="rId42"/>
    <sheet name="Vendedor39" sheetId="43" r:id="rId43"/>
    <sheet name="Vendedor40" sheetId="44" r:id="rId44"/>
    <sheet name="Grafico Dinámico" sheetId="55" r:id="rId45"/>
    <sheet name="PuestosALI RESUMEN" sheetId="48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calcPr calcId="191029"/>
  <pivotCaches>
    <pivotCache cacheId="0" r:id="rId7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15" i="56" l="1"/>
  <c r="P14" i="56"/>
  <c r="O14" i="56"/>
  <c r="N14" i="56"/>
  <c r="M14" i="56"/>
  <c r="L14" i="56"/>
  <c r="K14" i="56"/>
  <c r="K15" i="56" s="1"/>
  <c r="J14" i="56"/>
  <c r="I14" i="56"/>
  <c r="H14" i="56"/>
  <c r="G14" i="56"/>
  <c r="F14" i="56"/>
  <c r="E14" i="56"/>
  <c r="D14" i="56"/>
  <c r="C14" i="56"/>
  <c r="R14" i="56" s="1"/>
  <c r="B14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Q13" i="56" s="1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C12" i="56"/>
  <c r="B12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B11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C9" i="56"/>
  <c r="B9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C8" i="56"/>
  <c r="B8" i="56"/>
  <c r="P7" i="56"/>
  <c r="O7" i="56"/>
  <c r="N7" i="56"/>
  <c r="M7" i="56"/>
  <c r="L7" i="56"/>
  <c r="L15" i="56" s="1"/>
  <c r="K7" i="56"/>
  <c r="J7" i="56"/>
  <c r="I7" i="56"/>
  <c r="H7" i="56"/>
  <c r="G7" i="56"/>
  <c r="F7" i="56"/>
  <c r="E7" i="56"/>
  <c r="D7" i="56"/>
  <c r="C7" i="56"/>
  <c r="B7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C6" i="56"/>
  <c r="B6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D15" i="56" s="1"/>
  <c r="C5" i="56"/>
  <c r="B5" i="56"/>
  <c r="M15" i="56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R5" i="56" l="1"/>
  <c r="S6" i="56"/>
  <c r="I15" i="56"/>
  <c r="Q12" i="56"/>
  <c r="J15" i="56"/>
  <c r="S14" i="56"/>
  <c r="G15" i="56"/>
  <c r="O15" i="56"/>
  <c r="H15" i="56"/>
  <c r="P15" i="56"/>
  <c r="E15" i="56"/>
  <c r="F15" i="56"/>
  <c r="N15" i="56"/>
  <c r="R9" i="56"/>
  <c r="Q11" i="56"/>
  <c r="R12" i="56"/>
  <c r="U12" i="56" s="1"/>
  <c r="R13" i="56"/>
  <c r="Q9" i="56"/>
  <c r="Q10" i="56"/>
  <c r="R11" i="56"/>
  <c r="S12" i="56"/>
  <c r="S13" i="56"/>
  <c r="U13" i="56" s="1"/>
  <c r="Q8" i="56"/>
  <c r="R10" i="56"/>
  <c r="S11" i="56"/>
  <c r="Q6" i="56"/>
  <c r="Q7" i="56"/>
  <c r="R8" i="56"/>
  <c r="U8" i="56" s="1"/>
  <c r="S9" i="56"/>
  <c r="S10" i="56"/>
  <c r="Q5" i="56"/>
  <c r="Q15" i="56" s="1"/>
  <c r="R6" i="56"/>
  <c r="R7" i="56"/>
  <c r="S8" i="56"/>
  <c r="S7" i="56"/>
  <c r="S5" i="56"/>
  <c r="S15" i="56" s="1"/>
  <c r="Q14" i="56"/>
  <c r="U14" i="56" s="1"/>
  <c r="U7" i="56"/>
  <c r="B15" i="56"/>
  <c r="C15" i="56"/>
  <c r="P37" i="51"/>
  <c r="O37" i="51"/>
  <c r="N37" i="51"/>
  <c r="U5" i="56" l="1"/>
  <c r="U6" i="56"/>
  <c r="U10" i="56"/>
  <c r="U9" i="56"/>
  <c r="R15" i="56"/>
  <c r="U11" i="56"/>
  <c r="U15" i="56"/>
  <c r="G8" i="48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21" i="51" l="1"/>
  <c r="S6" i="51"/>
  <c r="S14" i="51"/>
  <c r="R15" i="51"/>
  <c r="Q16" i="51"/>
  <c r="S10" i="51"/>
  <c r="R11" i="51"/>
  <c r="Q12" i="51"/>
  <c r="S18" i="51"/>
  <c r="R19" i="51"/>
  <c r="Q20" i="51"/>
  <c r="S26" i="51"/>
  <c r="S9" i="51"/>
  <c r="R10" i="51"/>
  <c r="Q11" i="51"/>
  <c r="S17" i="51"/>
  <c r="R18" i="51"/>
  <c r="Q19" i="51"/>
  <c r="R27" i="51"/>
  <c r="Q28" i="51"/>
  <c r="S34" i="51"/>
  <c r="R35" i="51"/>
  <c r="Q36" i="51"/>
  <c r="R7" i="51"/>
  <c r="Q8" i="51"/>
  <c r="S22" i="51"/>
  <c r="R23" i="51"/>
  <c r="Q24" i="51"/>
  <c r="S30" i="51"/>
  <c r="R31" i="51"/>
  <c r="Q32" i="51"/>
  <c r="S7" i="51"/>
  <c r="R8" i="51"/>
  <c r="Q9" i="51"/>
  <c r="S15" i="51"/>
  <c r="R16" i="51"/>
  <c r="Q17" i="51"/>
  <c r="S23" i="51"/>
  <c r="R24" i="51"/>
  <c r="Q25" i="51"/>
  <c r="S31" i="51"/>
  <c r="R32" i="51"/>
  <c r="Q33" i="51"/>
  <c r="S8" i="51"/>
  <c r="R9" i="51"/>
  <c r="Q10" i="51"/>
  <c r="S16" i="51"/>
  <c r="R17" i="51"/>
  <c r="Q18" i="51"/>
  <c r="S24" i="51"/>
  <c r="R25" i="51"/>
  <c r="Q26" i="51"/>
  <c r="S32" i="51"/>
  <c r="R33" i="51"/>
  <c r="Q34" i="51"/>
  <c r="S25" i="51"/>
  <c r="R26" i="51"/>
  <c r="Q27" i="51"/>
  <c r="S33" i="51"/>
  <c r="R34" i="51"/>
  <c r="Q35" i="51"/>
  <c r="S11" i="51"/>
  <c r="S19" i="51"/>
  <c r="R20" i="51"/>
  <c r="Q21" i="51"/>
  <c r="S27" i="51"/>
  <c r="R28" i="51"/>
  <c r="Q29" i="51"/>
  <c r="S35" i="51"/>
  <c r="R36" i="51"/>
  <c r="Q13" i="51"/>
  <c r="Q6" i="51"/>
  <c r="S12" i="51"/>
  <c r="R13" i="51"/>
  <c r="Q14" i="51"/>
  <c r="S20" i="51"/>
  <c r="R21" i="51"/>
  <c r="Q22" i="51"/>
  <c r="S28" i="51"/>
  <c r="R29" i="51"/>
  <c r="Q30" i="51"/>
  <c r="S36" i="51"/>
  <c r="R12" i="51"/>
  <c r="R6" i="51"/>
  <c r="Q7" i="51"/>
  <c r="S13" i="51"/>
  <c r="R14" i="51"/>
  <c r="Q15" i="51"/>
  <c r="R22" i="51"/>
  <c r="Q23" i="51"/>
  <c r="S29" i="51"/>
  <c r="R30" i="51"/>
  <c r="Q31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6" i="28"/>
  <c r="I36" i="28"/>
  <c r="H36" i="28"/>
  <c r="G36" i="28"/>
  <c r="F36" i="28"/>
  <c r="E36" i="28"/>
  <c r="D36" i="28"/>
  <c r="C36" i="28"/>
  <c r="B36" i="28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L18" i="28" l="1"/>
  <c r="L10" i="28"/>
  <c r="L12" i="28"/>
  <c r="L20" i="28"/>
  <c r="L28" i="28"/>
  <c r="L36" i="28"/>
  <c r="L13" i="28"/>
  <c r="L29" i="28"/>
  <c r="L6" i="28"/>
  <c r="L14" i="28"/>
  <c r="L22" i="28"/>
  <c r="L30" i="28"/>
  <c r="L7" i="28"/>
  <c r="L15" i="28"/>
  <c r="L9" i="28"/>
  <c r="L21" i="28"/>
  <c r="L23" i="28"/>
  <c r="L31" i="28"/>
  <c r="L8" i="28"/>
  <c r="L16" i="28"/>
  <c r="L24" i="28"/>
  <c r="L32" i="28"/>
  <c r="L17" i="28"/>
  <c r="L25" i="28"/>
  <c r="L33" i="28"/>
  <c r="L26" i="28"/>
  <c r="L34" i="28"/>
  <c r="L11" i="28"/>
  <c r="L19" i="28"/>
  <c r="L27" i="28"/>
  <c r="L35" i="28"/>
  <c r="K35" i="45"/>
  <c r="K36" i="45"/>
  <c r="M35" i="45"/>
  <c r="L36" i="45"/>
  <c r="M36" i="45"/>
  <c r="L35" i="45"/>
  <c r="M28" i="28"/>
  <c r="K23" i="28"/>
  <c r="K15" i="28"/>
  <c r="K31" i="28"/>
  <c r="M6" i="28"/>
  <c r="K8" i="28"/>
  <c r="M9" i="28"/>
  <c r="K11" i="28"/>
  <c r="K6" i="28"/>
  <c r="M7" i="28"/>
  <c r="K9" i="28"/>
  <c r="M10" i="28"/>
  <c r="K12" i="28"/>
  <c r="M12" i="28"/>
  <c r="K14" i="28"/>
  <c r="M15" i="28"/>
  <c r="K17" i="28"/>
  <c r="M18" i="28"/>
  <c r="K20" i="28"/>
  <c r="M20" i="28"/>
  <c r="K22" i="28"/>
  <c r="M23" i="28"/>
  <c r="K25" i="28"/>
  <c r="M26" i="28"/>
  <c r="K28" i="28"/>
  <c r="K30" i="28"/>
  <c r="M31" i="28"/>
  <c r="K33" i="28"/>
  <c r="M34" i="28"/>
  <c r="M36" i="28"/>
  <c r="K36" i="28"/>
  <c r="M13" i="28"/>
  <c r="M14" i="28"/>
  <c r="K16" i="28"/>
  <c r="M17" i="28"/>
  <c r="K19" i="28"/>
  <c r="M22" i="28"/>
  <c r="K24" i="28"/>
  <c r="M25" i="28"/>
  <c r="K27" i="28"/>
  <c r="M30" i="28"/>
  <c r="K32" i="28"/>
  <c r="M33" i="28"/>
  <c r="K35" i="28"/>
  <c r="M24" i="28"/>
  <c r="K7" i="28"/>
  <c r="M8" i="28"/>
  <c r="K10" i="28"/>
  <c r="M11" i="28"/>
  <c r="K13" i="28"/>
  <c r="M19" i="28"/>
  <c r="K21" i="28"/>
  <c r="M27" i="28"/>
  <c r="K29" i="28"/>
  <c r="M35" i="28"/>
  <c r="M16" i="28"/>
  <c r="K18" i="28"/>
  <c r="M21" i="28"/>
  <c r="K26" i="28"/>
  <c r="M29" i="28"/>
  <c r="M32" i="28"/>
  <c r="K34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6" i="25"/>
  <c r="I36" i="25"/>
  <c r="H36" i="25"/>
  <c r="G36" i="25"/>
  <c r="F36" i="25"/>
  <c r="E36" i="25"/>
  <c r="D36" i="25"/>
  <c r="C36" i="25"/>
  <c r="B36" i="25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6" i="28"/>
  <c r="O35" i="45"/>
  <c r="O36" i="45"/>
  <c r="O7" i="28"/>
  <c r="O30" i="28"/>
  <c r="L31" i="30"/>
  <c r="O22" i="28"/>
  <c r="O31" i="28"/>
  <c r="L13" i="25"/>
  <c r="O9" i="28"/>
  <c r="O8" i="28"/>
  <c r="M14" i="6"/>
  <c r="M53" i="6" s="1"/>
  <c r="O15" i="28"/>
  <c r="L9" i="30"/>
  <c r="L14" i="30"/>
  <c r="M16" i="30"/>
  <c r="L17" i="30"/>
  <c r="K18" i="30"/>
  <c r="K26" i="30"/>
  <c r="M22" i="30"/>
  <c r="K6" i="25"/>
  <c r="L18" i="6"/>
  <c r="L57" i="6" s="1"/>
  <c r="K19" i="6"/>
  <c r="K58" i="6" s="1"/>
  <c r="M17" i="6"/>
  <c r="M56" i="6" s="1"/>
  <c r="O13" i="28"/>
  <c r="M28" i="25"/>
  <c r="L29" i="25"/>
  <c r="K30" i="25"/>
  <c r="M36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4" i="25"/>
  <c r="M11" i="30"/>
  <c r="L20" i="30"/>
  <c r="O20" i="28"/>
  <c r="O26" i="28"/>
  <c r="M11" i="6"/>
  <c r="M50" i="6" s="1"/>
  <c r="M17" i="25"/>
  <c r="O28" i="28"/>
  <c r="O33" i="28"/>
  <c r="O23" i="28"/>
  <c r="L28" i="30"/>
  <c r="M30" i="30"/>
  <c r="O19" i="28"/>
  <c r="O36" i="28"/>
  <c r="O11" i="28"/>
  <c r="L11" i="6"/>
  <c r="L50" i="6" s="1"/>
  <c r="L19" i="6"/>
  <c r="L58" i="6" s="1"/>
  <c r="K20" i="6"/>
  <c r="K59" i="6" s="1"/>
  <c r="L35" i="30"/>
  <c r="K34" i="25"/>
  <c r="O12" i="28"/>
  <c r="O32" i="28"/>
  <c r="O14" i="28"/>
  <c r="O17" i="28"/>
  <c r="K16" i="30"/>
  <c r="K24" i="30"/>
  <c r="K32" i="30"/>
  <c r="O27" i="28"/>
  <c r="M12" i="25"/>
  <c r="M20" i="25"/>
  <c r="L21" i="25"/>
  <c r="M5" i="30"/>
  <c r="L6" i="30"/>
  <c r="M13" i="30"/>
  <c r="M21" i="30"/>
  <c r="L22" i="30"/>
  <c r="O16" i="28"/>
  <c r="K26" i="25"/>
  <c r="O10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9" i="25"/>
  <c r="L10" i="25"/>
  <c r="K11" i="25"/>
  <c r="K16" i="25"/>
  <c r="L18" i="25"/>
  <c r="K19" i="25"/>
  <c r="M22" i="25"/>
  <c r="M25" i="25"/>
  <c r="L26" i="25"/>
  <c r="K27" i="25"/>
  <c r="M30" i="25"/>
  <c r="L31" i="25"/>
  <c r="K32" i="25"/>
  <c r="M33" i="25"/>
  <c r="K35" i="25"/>
  <c r="M10" i="30"/>
  <c r="L11" i="30"/>
  <c r="K12" i="30"/>
  <c r="M18" i="30"/>
  <c r="L19" i="30"/>
  <c r="K20" i="30"/>
  <c r="M26" i="30"/>
  <c r="K10" i="6"/>
  <c r="K49" i="6" s="1"/>
  <c r="K14" i="25"/>
  <c r="K22" i="25"/>
  <c r="M7" i="6"/>
  <c r="M46" i="6" s="1"/>
  <c r="M15" i="6"/>
  <c r="M54" i="6" s="1"/>
  <c r="K17" i="6"/>
  <c r="L27" i="30"/>
  <c r="K28" i="30"/>
  <c r="O25" i="28"/>
  <c r="O35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6" i="25"/>
  <c r="L7" i="25"/>
  <c r="K8" i="25"/>
  <c r="M14" i="25"/>
  <c r="L15" i="25"/>
  <c r="K18" i="25"/>
  <c r="L23" i="25"/>
  <c r="K24" i="25"/>
  <c r="M6" i="30"/>
  <c r="L7" i="30"/>
  <c r="O34" i="28"/>
  <c r="O18" i="28"/>
  <c r="O24" i="28"/>
  <c r="M8" i="6"/>
  <c r="M47" i="6" s="1"/>
  <c r="L17" i="6"/>
  <c r="L56" i="6" s="1"/>
  <c r="M8" i="25"/>
  <c r="L9" i="25"/>
  <c r="M11" i="25"/>
  <c r="L12" i="25"/>
  <c r="K13" i="25"/>
  <c r="M16" i="25"/>
  <c r="L17" i="25"/>
  <c r="M19" i="25"/>
  <c r="L20" i="25"/>
  <c r="K21" i="25"/>
  <c r="M24" i="25"/>
  <c r="L25" i="25"/>
  <c r="M27" i="25"/>
  <c r="L28" i="25"/>
  <c r="K29" i="25"/>
  <c r="M32" i="25"/>
  <c r="L33" i="25"/>
  <c r="M35" i="25"/>
  <c r="L36" i="25"/>
  <c r="L7" i="6"/>
  <c r="L46" i="6" s="1"/>
  <c r="K8" i="6"/>
  <c r="L15" i="6"/>
  <c r="L54" i="6" s="1"/>
  <c r="M7" i="25"/>
  <c r="L8" i="25"/>
  <c r="K9" i="25"/>
  <c r="M10" i="25"/>
  <c r="L11" i="25"/>
  <c r="K12" i="25"/>
  <c r="M15" i="25"/>
  <c r="L16" i="25"/>
  <c r="K17" i="25"/>
  <c r="M18" i="25"/>
  <c r="L19" i="25"/>
  <c r="K20" i="25"/>
  <c r="M23" i="25"/>
  <c r="L24" i="25"/>
  <c r="K25" i="25"/>
  <c r="M26" i="25"/>
  <c r="L27" i="25"/>
  <c r="K28" i="25"/>
  <c r="M31" i="25"/>
  <c r="L32" i="25"/>
  <c r="K33" i="25"/>
  <c r="M34" i="25"/>
  <c r="L35" i="25"/>
  <c r="K36" i="25"/>
  <c r="L12" i="6"/>
  <c r="L51" i="6" s="1"/>
  <c r="K15" i="6"/>
  <c r="K54" i="6" s="1"/>
  <c r="M8" i="30"/>
  <c r="K10" i="30"/>
  <c r="O29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10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1" i="28"/>
  <c r="M6" i="6"/>
  <c r="M45" i="6" s="1"/>
  <c r="M12" i="6"/>
  <c r="M51" i="6" s="1"/>
  <c r="K14" i="6"/>
  <c r="K16" i="6"/>
  <c r="K55" i="6" s="1"/>
  <c r="M20" i="6"/>
  <c r="M59" i="6" s="1"/>
  <c r="K9" i="30"/>
  <c r="K12" i="6"/>
  <c r="L6" i="25"/>
  <c r="K7" i="25"/>
  <c r="M13" i="25"/>
  <c r="L14" i="25"/>
  <c r="K15" i="25"/>
  <c r="M21" i="25"/>
  <c r="L22" i="25"/>
  <c r="K23" i="25"/>
  <c r="M29" i="25"/>
  <c r="L30" i="25"/>
  <c r="K31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6" i="25"/>
  <c r="O18" i="30"/>
  <c r="O15" i="30"/>
  <c r="O31" i="30"/>
  <c r="O32" i="25"/>
  <c r="O8" i="25"/>
  <c r="O27" i="30"/>
  <c r="O9" i="6"/>
  <c r="O17" i="30"/>
  <c r="O11" i="6"/>
  <c r="O32" i="30"/>
  <c r="O21" i="30"/>
  <c r="O18" i="6"/>
  <c r="O10" i="30"/>
  <c r="O16" i="30"/>
  <c r="O19" i="6"/>
  <c r="O34" i="25"/>
  <c r="O28" i="30"/>
  <c r="O22" i="25"/>
  <c r="O24" i="30"/>
  <c r="O33" i="30"/>
  <c r="O11" i="30"/>
  <c r="O35" i="30"/>
  <c r="O10" i="6"/>
  <c r="O26" i="25"/>
  <c r="O30" i="25"/>
  <c r="O6" i="6"/>
  <c r="O25" i="25"/>
  <c r="O20" i="25"/>
  <c r="O25" i="30"/>
  <c r="O19" i="30"/>
  <c r="O7" i="25"/>
  <c r="O30" i="30"/>
  <c r="O24" i="25"/>
  <c r="O5" i="30"/>
  <c r="O17" i="6"/>
  <c r="O26" i="30"/>
  <c r="O18" i="25"/>
  <c r="O12" i="30"/>
  <c r="O12" i="25"/>
  <c r="O20" i="6"/>
  <c r="O60" i="6" s="1"/>
  <c r="O6" i="30"/>
  <c r="O34" i="30"/>
  <c r="O23" i="30"/>
  <c r="O19" i="25"/>
  <c r="O15" i="25"/>
  <c r="O16" i="25"/>
  <c r="O10" i="25"/>
  <c r="O8" i="30"/>
  <c r="O13" i="25"/>
  <c r="O13" i="6"/>
  <c r="O14" i="25"/>
  <c r="O31" i="25"/>
  <c r="O27" i="25"/>
  <c r="O29" i="30"/>
  <c r="O35" i="25"/>
  <c r="O21" i="25"/>
  <c r="O9" i="25"/>
  <c r="O7" i="6"/>
  <c r="O33" i="25"/>
  <c r="O11" i="25"/>
  <c r="O8" i="6"/>
  <c r="O23" i="25"/>
  <c r="O29" i="25"/>
  <c r="O13" i="30"/>
  <c r="O15" i="6"/>
  <c r="O28" i="25"/>
  <c r="O16" i="6"/>
  <c r="O7" i="30"/>
  <c r="O12" i="6"/>
  <c r="O17" i="25"/>
  <c r="O36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6" i="29"/>
  <c r="I36" i="29"/>
  <c r="H36" i="29"/>
  <c r="G36" i="29"/>
  <c r="F36" i="29"/>
  <c r="E36" i="29"/>
  <c r="D36" i="29"/>
  <c r="C36" i="29"/>
  <c r="B36" i="29"/>
  <c r="J36" i="27"/>
  <c r="I36" i="27"/>
  <c r="H36" i="27"/>
  <c r="G36" i="27"/>
  <c r="F36" i="27"/>
  <c r="E36" i="27"/>
  <c r="D36" i="27"/>
  <c r="C36" i="27"/>
  <c r="B36" i="27"/>
  <c r="J36" i="26"/>
  <c r="I36" i="26"/>
  <c r="H36" i="26"/>
  <c r="G36" i="26"/>
  <c r="F36" i="26"/>
  <c r="E36" i="26"/>
  <c r="D36" i="26"/>
  <c r="C36" i="26"/>
  <c r="B36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7" i="29"/>
  <c r="N37" i="28"/>
  <c r="N37" i="27"/>
  <c r="E25" i="2" s="1"/>
  <c r="N37" i="26"/>
  <c r="E24" i="2" s="1"/>
  <c r="N37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2" i="29"/>
  <c r="L26" i="29"/>
  <c r="L32" i="29"/>
  <c r="L35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6" i="29"/>
  <c r="M34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8" i="29"/>
  <c r="K24" i="40"/>
  <c r="K8" i="16"/>
  <c r="K7" i="33"/>
  <c r="L9" i="35"/>
  <c r="M9" i="44"/>
  <c r="K10" i="34"/>
  <c r="K11" i="32"/>
  <c r="M12" i="27"/>
  <c r="L11" i="39"/>
  <c r="L11" i="41"/>
  <c r="L12" i="37"/>
  <c r="K13" i="37"/>
  <c r="K14" i="41"/>
  <c r="K6" i="23"/>
  <c r="K27" i="23"/>
  <c r="K30" i="23"/>
  <c r="K9" i="33"/>
  <c r="L27" i="41"/>
  <c r="L34" i="44"/>
  <c r="M10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9" i="26"/>
  <c r="M25" i="26"/>
  <c r="K27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5" i="29"/>
  <c r="K16" i="29"/>
  <c r="L23" i="29"/>
  <c r="K24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1" i="29"/>
  <c r="K29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2" i="29"/>
  <c r="M10" i="35"/>
  <c r="M10" i="36"/>
  <c r="K20" i="36"/>
  <c r="K11" i="39"/>
  <c r="L19" i="41"/>
  <c r="M29" i="44"/>
  <c r="K31" i="44"/>
  <c r="M34" i="44"/>
  <c r="L33" i="22"/>
  <c r="M31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8" i="27"/>
  <c r="K21" i="6"/>
  <c r="K60" i="6" s="1"/>
  <c r="M35" i="6"/>
  <c r="M74" i="6" s="1"/>
  <c r="M25" i="31"/>
  <c r="K22" i="34"/>
  <c r="M9" i="41"/>
  <c r="K13" i="42"/>
  <c r="M27" i="42"/>
  <c r="K29" i="42"/>
  <c r="K27" i="21"/>
  <c r="K26" i="27"/>
  <c r="M22" i="6"/>
  <c r="M61" i="6" s="1"/>
  <c r="M26" i="26"/>
  <c r="L27" i="26"/>
  <c r="K28" i="26"/>
  <c r="M25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3" i="26"/>
  <c r="L25" i="27"/>
  <c r="M28" i="20"/>
  <c r="L13" i="21"/>
  <c r="M11" i="26"/>
  <c r="L12" i="26"/>
  <c r="K13" i="26"/>
  <c r="M27" i="26"/>
  <c r="K18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10" i="27"/>
  <c r="K34" i="27"/>
  <c r="K9" i="35"/>
  <c r="K16" i="35"/>
  <c r="K15" i="37"/>
  <c r="M21" i="37"/>
  <c r="M25" i="22"/>
  <c r="L33" i="27"/>
  <c r="M6" i="20"/>
  <c r="L7" i="20"/>
  <c r="K8" i="20"/>
  <c r="K21" i="20"/>
  <c r="M22" i="20"/>
  <c r="M14" i="21"/>
  <c r="K36" i="23"/>
  <c r="L6" i="24"/>
  <c r="L6" i="26"/>
  <c r="K7" i="26"/>
  <c r="K15" i="26"/>
  <c r="M21" i="26"/>
  <c r="L22" i="26"/>
  <c r="M20" i="29"/>
  <c r="L21" i="29"/>
  <c r="K22" i="29"/>
  <c r="M28" i="29"/>
  <c r="M36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3" i="27"/>
  <c r="K24" i="27"/>
  <c r="L31" i="27"/>
  <c r="K32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7" i="26"/>
  <c r="M17" i="27"/>
  <c r="L18" i="27"/>
  <c r="M25" i="27"/>
  <c r="L26" i="27"/>
  <c r="M13" i="29"/>
  <c r="M29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1" i="29"/>
  <c r="K32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9" i="29"/>
  <c r="L10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7" i="26"/>
  <c r="K23" i="26"/>
  <c r="K31" i="26"/>
  <c r="L6" i="27"/>
  <c r="K7" i="27"/>
  <c r="M10" i="27"/>
  <c r="M19" i="27"/>
  <c r="L20" i="27"/>
  <c r="L28" i="27"/>
  <c r="I37" i="28"/>
  <c r="M14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6" i="26"/>
  <c r="M22" i="26"/>
  <c r="L23" i="26"/>
  <c r="L7" i="27"/>
  <c r="K8" i="27"/>
  <c r="K15" i="27"/>
  <c r="K30" i="27"/>
  <c r="M17" i="29"/>
  <c r="L18" i="29"/>
  <c r="I36" i="34"/>
  <c r="L17" i="26"/>
  <c r="K19" i="26"/>
  <c r="L32" i="26"/>
  <c r="K33" i="26"/>
  <c r="K35" i="26"/>
  <c r="K6" i="27"/>
  <c r="M14" i="27"/>
  <c r="M16" i="27"/>
  <c r="K23" i="27"/>
  <c r="K31" i="27"/>
  <c r="K13" i="29"/>
  <c r="K27" i="29"/>
  <c r="M30" i="29"/>
  <c r="L34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2" i="27"/>
  <c r="M12" i="29"/>
  <c r="M17" i="31"/>
  <c r="M26" i="35"/>
  <c r="K19" i="41"/>
  <c r="M10" i="26"/>
  <c r="L11" i="26"/>
  <c r="K12" i="26"/>
  <c r="M33" i="26"/>
  <c r="L17" i="27"/>
  <c r="M20" i="27"/>
  <c r="L7" i="29"/>
  <c r="K8" i="29"/>
  <c r="K11" i="26"/>
  <c r="K29" i="26"/>
  <c r="L12" i="27"/>
  <c r="F37" i="29"/>
  <c r="M15" i="29"/>
  <c r="L16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3" i="26"/>
  <c r="L28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7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7" i="25"/>
  <c r="M29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7" i="25"/>
  <c r="M28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8" i="26"/>
  <c r="M8" i="26"/>
  <c r="M12" i="26"/>
  <c r="L13" i="26"/>
  <c r="L18" i="26"/>
  <c r="K22" i="26"/>
  <c r="M23" i="26"/>
  <c r="K24" i="26"/>
  <c r="M24" i="26"/>
  <c r="M28" i="26"/>
  <c r="L29" i="26"/>
  <c r="L34" i="26"/>
  <c r="M7" i="27"/>
  <c r="L8" i="27"/>
  <c r="K12" i="27"/>
  <c r="L13" i="27"/>
  <c r="K14" i="27"/>
  <c r="D37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7" i="25"/>
  <c r="L8" i="26"/>
  <c r="K10" i="26"/>
  <c r="K14" i="26"/>
  <c r="M18" i="26"/>
  <c r="L19" i="26"/>
  <c r="L24" i="26"/>
  <c r="K26" i="26"/>
  <c r="K30" i="26"/>
  <c r="M34" i="26"/>
  <c r="L35" i="26"/>
  <c r="K9" i="27"/>
  <c r="I37" i="29"/>
  <c r="K12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7" i="26"/>
  <c r="L9" i="26"/>
  <c r="L14" i="26"/>
  <c r="M19" i="26"/>
  <c r="K20" i="26"/>
  <c r="L25" i="26"/>
  <c r="L30" i="26"/>
  <c r="M35" i="26"/>
  <c r="K36" i="26"/>
  <c r="H37" i="27"/>
  <c r="L9" i="27"/>
  <c r="L15" i="27"/>
  <c r="K16" i="27"/>
  <c r="M18" i="27"/>
  <c r="K21" i="27"/>
  <c r="M24" i="27"/>
  <c r="M33" i="27"/>
  <c r="L34" i="27"/>
  <c r="B37" i="29"/>
  <c r="J37" i="29"/>
  <c r="M6" i="29"/>
  <c r="K20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7" i="25"/>
  <c r="M14" i="26"/>
  <c r="L15" i="26"/>
  <c r="L20" i="26"/>
  <c r="K21" i="26"/>
  <c r="M30" i="26"/>
  <c r="L31" i="26"/>
  <c r="L36" i="26"/>
  <c r="M9" i="27"/>
  <c r="L10" i="27"/>
  <c r="M15" i="27"/>
  <c r="L16" i="27"/>
  <c r="K20" i="27"/>
  <c r="L21" i="27"/>
  <c r="K22" i="27"/>
  <c r="K28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6" i="26"/>
  <c r="J37" i="26"/>
  <c r="L10" i="26"/>
  <c r="M15" i="26"/>
  <c r="K16" i="26"/>
  <c r="M16" i="26"/>
  <c r="M20" i="26"/>
  <c r="L21" i="26"/>
  <c r="L26" i="26"/>
  <c r="M31" i="26"/>
  <c r="K32" i="26"/>
  <c r="M32" i="26"/>
  <c r="M36" i="26"/>
  <c r="K11" i="27"/>
  <c r="M11" i="27"/>
  <c r="K36" i="29"/>
  <c r="C37" i="18"/>
  <c r="D37" i="21"/>
  <c r="M7" i="21"/>
  <c r="D37" i="22"/>
  <c r="D37" i="23"/>
  <c r="J37" i="24"/>
  <c r="K18" i="26"/>
  <c r="K34" i="26"/>
  <c r="M13" i="27"/>
  <c r="L14" i="27"/>
  <c r="L19" i="27"/>
  <c r="M29" i="27"/>
  <c r="L30" i="27"/>
  <c r="L35" i="27"/>
  <c r="L9" i="29"/>
  <c r="K10" i="29"/>
  <c r="M19" i="29"/>
  <c r="L20" i="29"/>
  <c r="L25" i="29"/>
  <c r="M35" i="29"/>
  <c r="L36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7" i="27"/>
  <c r="L32" i="27"/>
  <c r="K36" i="27"/>
  <c r="J37" i="28"/>
  <c r="L6" i="29"/>
  <c r="L11" i="29"/>
  <c r="K15" i="29"/>
  <c r="K17" i="29"/>
  <c r="L22" i="29"/>
  <c r="L27" i="29"/>
  <c r="K31" i="29"/>
  <c r="M32" i="29"/>
  <c r="K33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1" i="27"/>
  <c r="K13" i="27"/>
  <c r="K17" i="27"/>
  <c r="M21" i="27"/>
  <c r="L22" i="27"/>
  <c r="L27" i="27"/>
  <c r="K28" i="27"/>
  <c r="G37" i="28"/>
  <c r="M11" i="29"/>
  <c r="L17" i="29"/>
  <c r="M27" i="29"/>
  <c r="L28" i="29"/>
  <c r="L33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7" i="28"/>
  <c r="M7" i="29"/>
  <c r="L8" i="29"/>
  <c r="L13" i="29"/>
  <c r="K14" i="29"/>
  <c r="K19" i="29"/>
  <c r="M21" i="29"/>
  <c r="M23" i="29"/>
  <c r="L24" i="29"/>
  <c r="L29" i="29"/>
  <c r="K30" i="29"/>
  <c r="K35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9" i="27"/>
  <c r="L24" i="27"/>
  <c r="L29" i="27"/>
  <c r="K35" i="27"/>
  <c r="K7" i="29"/>
  <c r="M8" i="29"/>
  <c r="K9" i="29"/>
  <c r="L14" i="29"/>
  <c r="L19" i="29"/>
  <c r="K23" i="29"/>
  <c r="K25" i="29"/>
  <c r="L30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7" i="26"/>
  <c r="C37" i="21"/>
  <c r="M6" i="22"/>
  <c r="B37" i="22"/>
  <c r="B37" i="24"/>
  <c r="K6" i="24"/>
  <c r="D37" i="26"/>
  <c r="M6" i="26"/>
  <c r="I37" i="26"/>
  <c r="E37" i="23"/>
  <c r="M6" i="23"/>
  <c r="K25" i="26"/>
  <c r="C37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7" i="25"/>
  <c r="F37" i="26"/>
  <c r="M7" i="26"/>
  <c r="K17" i="26"/>
  <c r="G37" i="23"/>
  <c r="E37" i="24"/>
  <c r="E37" i="25"/>
  <c r="B37" i="25"/>
  <c r="G37" i="26"/>
  <c r="K9" i="26"/>
  <c r="K33" i="23"/>
  <c r="K8" i="24"/>
  <c r="K12" i="24"/>
  <c r="K16" i="24"/>
  <c r="K20" i="24"/>
  <c r="K24" i="24"/>
  <c r="K28" i="24"/>
  <c r="I37" i="23"/>
  <c r="B37" i="23"/>
  <c r="J37" i="23"/>
  <c r="H37" i="25"/>
  <c r="D37" i="24"/>
  <c r="C37" i="25"/>
  <c r="B37" i="26"/>
  <c r="M22" i="27"/>
  <c r="M26" i="27"/>
  <c r="M30" i="27"/>
  <c r="M34" i="27"/>
  <c r="B37" i="28"/>
  <c r="E37" i="27"/>
  <c r="M6" i="27"/>
  <c r="C37" i="29"/>
  <c r="K11" i="29"/>
  <c r="G36" i="30"/>
  <c r="M23" i="27"/>
  <c r="M27" i="27"/>
  <c r="M31" i="27"/>
  <c r="M35" i="27"/>
  <c r="D37" i="29"/>
  <c r="E37" i="29"/>
  <c r="K25" i="27"/>
  <c r="K29" i="27"/>
  <c r="K33" i="27"/>
  <c r="F37" i="28"/>
  <c r="M24" i="29"/>
  <c r="K34" i="29"/>
  <c r="G37" i="29"/>
  <c r="M16" i="29"/>
  <c r="K26" i="29"/>
  <c r="M33" i="29"/>
  <c r="B36" i="31"/>
  <c r="K5" i="31"/>
  <c r="J36" i="31"/>
  <c r="B37" i="27"/>
  <c r="H37" i="28"/>
  <c r="H37" i="29"/>
  <c r="K18" i="29"/>
  <c r="I36" i="30"/>
  <c r="H36" i="32"/>
  <c r="M11" i="32"/>
  <c r="K21" i="32"/>
  <c r="K6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6" i="29"/>
  <c r="AA33" i="11"/>
  <c r="O29" i="31"/>
  <c r="X18" i="18"/>
  <c r="O22" i="20"/>
  <c r="O18" i="36"/>
  <c r="O35" i="33"/>
  <c r="O31" i="38"/>
  <c r="O21" i="29"/>
  <c r="O29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2" i="26"/>
  <c r="O13" i="14"/>
  <c r="O8" i="40"/>
  <c r="AA32" i="11"/>
  <c r="O27" i="22"/>
  <c r="O35" i="27"/>
  <c r="O15" i="15"/>
  <c r="O18" i="21"/>
  <c r="O21" i="34"/>
  <c r="O33" i="27"/>
  <c r="O9" i="42"/>
  <c r="O24" i="36"/>
  <c r="O25" i="31"/>
  <c r="O14" i="44"/>
  <c r="O24" i="38"/>
  <c r="X20" i="19"/>
  <c r="O26" i="15"/>
  <c r="O21" i="39"/>
  <c r="O28" i="29"/>
  <c r="O28" i="32"/>
  <c r="O32" i="15"/>
  <c r="O27" i="5"/>
  <c r="O67" i="5" s="1"/>
  <c r="O11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1" i="29"/>
  <c r="O24" i="12"/>
  <c r="O6" i="41"/>
  <c r="O11" i="36"/>
  <c r="O12" i="27"/>
  <c r="O20" i="43"/>
  <c r="O25" i="40"/>
  <c r="O17" i="29"/>
  <c r="O32" i="20"/>
  <c r="O18" i="16"/>
  <c r="O23" i="6"/>
  <c r="O63" i="6" s="1"/>
  <c r="O8" i="15"/>
  <c r="O13" i="12"/>
  <c r="O21" i="21"/>
  <c r="O32" i="35"/>
  <c r="O30" i="35"/>
  <c r="O18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9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6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7" i="27"/>
  <c r="O24" i="6"/>
  <c r="O64" i="6" s="1"/>
  <c r="O27" i="39"/>
  <c r="O34" i="44"/>
  <c r="O15" i="42"/>
  <c r="O22" i="41"/>
  <c r="O18" i="29"/>
  <c r="O24" i="29"/>
  <c r="U25" i="13"/>
  <c r="O10" i="36"/>
  <c r="X19" i="18"/>
  <c r="O16" i="32"/>
  <c r="O8" i="33"/>
  <c r="O10" i="39"/>
  <c r="X11" i="18"/>
  <c r="O10" i="14"/>
  <c r="O10" i="29"/>
  <c r="O10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6" i="27"/>
  <c r="O20" i="24"/>
  <c r="X12" i="18"/>
  <c r="O12" i="37"/>
  <c r="O21" i="24"/>
  <c r="O10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3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2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7" i="26"/>
  <c r="O21" i="6"/>
  <c r="O61" i="6" s="1"/>
  <c r="O20" i="44"/>
  <c r="O29" i="42"/>
  <c r="O22" i="31"/>
  <c r="O36" i="24"/>
  <c r="O29" i="34"/>
  <c r="O24" i="37"/>
  <c r="O21" i="32"/>
  <c r="O30" i="43"/>
  <c r="O17" i="44"/>
  <c r="O9" i="29"/>
  <c r="O8" i="31"/>
  <c r="O9" i="16"/>
  <c r="O20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4" i="26"/>
  <c r="O28" i="20"/>
  <c r="X30" i="18"/>
  <c r="O29" i="14"/>
  <c r="O13" i="29"/>
  <c r="O12" i="32"/>
  <c r="O32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9" i="29"/>
  <c r="O14" i="35"/>
  <c r="O23" i="35"/>
  <c r="O19" i="22"/>
  <c r="O24" i="27"/>
  <c r="O36" i="26"/>
  <c r="O36" i="20"/>
  <c r="O16" i="23"/>
  <c r="O35" i="21"/>
  <c r="U10" i="13"/>
  <c r="O16" i="39"/>
  <c r="O16" i="35"/>
  <c r="O16" i="26"/>
  <c r="O23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2" i="27"/>
  <c r="O21" i="20"/>
  <c r="O20" i="37"/>
  <c r="O16" i="31"/>
  <c r="O8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7" i="27"/>
  <c r="O14" i="15"/>
  <c r="O20" i="41"/>
  <c r="O14" i="36"/>
  <c r="O25" i="38"/>
  <c r="O7" i="35"/>
  <c r="O18" i="31"/>
  <c r="O22" i="29"/>
  <c r="O11" i="35"/>
  <c r="O26" i="26"/>
  <c r="O19" i="23"/>
  <c r="O14" i="16"/>
  <c r="O11" i="21"/>
  <c r="O26" i="5"/>
  <c r="O66" i="5" s="1"/>
  <c r="O20" i="5"/>
  <c r="O60" i="5" s="1"/>
  <c r="O12" i="14"/>
  <c r="O32" i="12"/>
  <c r="R32" i="10"/>
  <c r="U11" i="13"/>
  <c r="O7" i="29"/>
  <c r="O15" i="5"/>
  <c r="O23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5" i="27"/>
  <c r="O30" i="27"/>
  <c r="X30" i="19"/>
  <c r="O15" i="43"/>
  <c r="O19" i="32"/>
  <c r="O28" i="37"/>
  <c r="O16" i="29"/>
  <c r="X15" i="18"/>
  <c r="O19" i="16"/>
  <c r="X23" i="19"/>
  <c r="O8" i="16"/>
  <c r="O21" i="43"/>
  <c r="O22" i="36"/>
  <c r="O25" i="27"/>
  <c r="O14" i="29"/>
  <c r="O24" i="21"/>
  <c r="X22" i="18"/>
  <c r="O10" i="21"/>
  <c r="O30" i="26"/>
  <c r="O17" i="21"/>
  <c r="O19" i="26"/>
  <c r="O35" i="24"/>
  <c r="O12" i="21"/>
  <c r="O28" i="15"/>
  <c r="O19" i="5"/>
  <c r="O13" i="26"/>
  <c r="O11" i="14"/>
  <c r="AA20" i="11"/>
  <c r="O13" i="5"/>
  <c r="O12" i="26"/>
  <c r="O27" i="29"/>
  <c r="O28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9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7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7" i="29"/>
  <c r="L37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4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5" i="29"/>
  <c r="O19" i="27"/>
  <c r="O30" i="22"/>
  <c r="O20" i="29"/>
  <c r="O35" i="26"/>
  <c r="O18" i="22"/>
  <c r="O30" i="20"/>
  <c r="O29" i="22"/>
  <c r="O23" i="21"/>
  <c r="O8" i="26"/>
  <c r="O23" i="22"/>
  <c r="O34" i="21"/>
  <c r="O13" i="20"/>
  <c r="O12" i="16"/>
  <c r="O7" i="26"/>
  <c r="X17" i="19"/>
  <c r="O24" i="15"/>
  <c r="O12" i="43"/>
  <c r="O6" i="44"/>
  <c r="O15" i="41"/>
  <c r="O9" i="36"/>
  <c r="O23" i="43"/>
  <c r="O29" i="39"/>
  <c r="O28" i="35"/>
  <c r="O27" i="33"/>
  <c r="O9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1" i="27"/>
  <c r="O11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6" i="26"/>
  <c r="O31" i="24"/>
  <c r="O29" i="20"/>
  <c r="X23" i="18"/>
  <c r="O8" i="29"/>
  <c r="O17" i="27"/>
  <c r="O32" i="37"/>
  <c r="O9" i="32"/>
  <c r="O22" i="26"/>
  <c r="O31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3" i="27"/>
  <c r="O34" i="36"/>
  <c r="O11" i="31"/>
  <c r="O15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30" i="29"/>
  <c r="O35" i="29"/>
  <c r="M37" i="21"/>
  <c r="D19" i="2" s="1"/>
  <c r="X10" i="18"/>
  <c r="O11" i="27"/>
  <c r="K37" i="22"/>
  <c r="B20" i="2" s="1"/>
  <c r="O21" i="26"/>
  <c r="O30" i="23"/>
  <c r="O24" i="22"/>
  <c r="O31" i="20"/>
  <c r="O16" i="27"/>
  <c r="O36" i="21"/>
  <c r="O30" i="24"/>
  <c r="O26" i="22"/>
  <c r="O24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4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20" i="26"/>
  <c r="O30" i="12"/>
  <c r="O15" i="12"/>
  <c r="O28" i="26"/>
  <c r="B17" i="2"/>
  <c r="M36" i="41"/>
  <c r="O22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5" i="26"/>
  <c r="O25" i="23"/>
  <c r="O23" i="23"/>
  <c r="O14" i="26"/>
  <c r="O18" i="23"/>
  <c r="L37" i="26"/>
  <c r="C24" i="2" s="1"/>
  <c r="L37" i="21"/>
  <c r="C19" i="2" s="1"/>
  <c r="L37" i="20"/>
  <c r="C18" i="2" s="1"/>
  <c r="O18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3" i="27"/>
  <c r="M36" i="38"/>
  <c r="O17" i="20"/>
  <c r="X28" i="19"/>
  <c r="X31" i="18"/>
  <c r="O21" i="27"/>
  <c r="L36" i="37"/>
  <c r="O21" i="33"/>
  <c r="O35" i="31"/>
  <c r="O33" i="36"/>
  <c r="L36" i="35"/>
  <c r="O31" i="32"/>
  <c r="O21" i="31"/>
  <c r="L37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3" i="29"/>
  <c r="O9" i="24"/>
  <c r="O15" i="21"/>
  <c r="O18" i="20"/>
  <c r="X18" i="19"/>
  <c r="L36" i="32"/>
  <c r="O18" i="44"/>
  <c r="L36" i="39"/>
  <c r="K37" i="26"/>
  <c r="B24" i="2" s="1"/>
  <c r="O25" i="26"/>
  <c r="O7" i="22"/>
  <c r="X33" i="19"/>
  <c r="O11" i="42"/>
  <c r="K36" i="39"/>
  <c r="O34" i="37"/>
  <c r="O30" i="36"/>
  <c r="O29" i="27"/>
  <c r="O34" i="27"/>
  <c r="O7" i="21"/>
  <c r="O7" i="14"/>
  <c r="L37" i="14"/>
  <c r="C12" i="2" s="1"/>
  <c r="O35" i="12"/>
  <c r="O22" i="39"/>
  <c r="M36" i="42"/>
  <c r="M36" i="44"/>
  <c r="M36" i="37"/>
  <c r="L37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6" i="27"/>
  <c r="O11" i="24"/>
  <c r="O6" i="23"/>
  <c r="X6" i="19"/>
  <c r="M36" i="43"/>
  <c r="O15" i="37"/>
  <c r="M36" i="36"/>
  <c r="O27" i="32"/>
  <c r="K37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7" i="28"/>
  <c r="K36" i="33"/>
  <c r="K37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7" i="28"/>
  <c r="M37" i="24"/>
  <c r="D22" i="2" s="1"/>
  <c r="M37" i="26"/>
  <c r="D24" i="2" s="1"/>
  <c r="K37" i="20"/>
  <c r="B18" i="2" s="1"/>
  <c r="O6" i="20"/>
  <c r="B7" i="2"/>
  <c r="B5" i="2"/>
  <c r="K36" i="43"/>
  <c r="L36" i="44"/>
  <c r="O5" i="44"/>
  <c r="K37" i="29"/>
  <c r="O6" i="29"/>
  <c r="O19" i="24"/>
  <c r="O6" i="22"/>
  <c r="O6" i="12"/>
  <c r="M37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7" i="28"/>
  <c r="O36" i="31"/>
  <c r="O37" i="26"/>
  <c r="F24" i="2" s="1"/>
  <c r="O37" i="25"/>
  <c r="F23" i="2" s="1"/>
  <c r="O37" i="29"/>
  <c r="O36" i="32"/>
  <c r="O36" i="36"/>
  <c r="O36" i="34"/>
  <c r="O36" i="40"/>
  <c r="F14" i="2" l="1"/>
  <c r="F26" i="2"/>
  <c r="F5" i="2"/>
  <c r="G37" i="27" l="1"/>
  <c r="F37" i="27"/>
  <c r="I37" i="27"/>
  <c r="D37" i="27" l="1"/>
  <c r="F37" i="6"/>
  <c r="I37" i="6"/>
  <c r="L36" i="6" l="1"/>
  <c r="L75" i="6" s="1"/>
  <c r="L76" i="6" s="1"/>
  <c r="C37" i="6"/>
  <c r="C37" i="27" l="1"/>
  <c r="L36" i="27"/>
  <c r="L37" i="27" s="1"/>
  <c r="C25" i="2" s="1"/>
  <c r="O36" i="6"/>
  <c r="L37" i="6"/>
  <c r="C4" i="2" s="1"/>
  <c r="O37" i="6" l="1"/>
  <c r="F4" i="2" s="1"/>
  <c r="J37" i="27"/>
  <c r="M36" i="27"/>
  <c r="O36" i="27" l="1"/>
  <c r="O37" i="27" s="1"/>
  <c r="F25" i="2" s="1"/>
  <c r="M37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<sst xmlns="http://schemas.openxmlformats.org/spreadsheetml/2006/main" count="2540" uniqueCount="140">
  <si>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</si>
  <si>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</si>
  <si>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</si>
  <si>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</si>
  <si>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</si>
  <si>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</si>
  <si>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</si>
  <si>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</si>
  <si>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</si>
  <si>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</si>
  <si>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</si>
  <si>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</si>
  <si>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</si>
  <si>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</si>
  <si>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</si>
  <si>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</si>
  <si>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</si>
  <si>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</si>
  <si>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</si>
  <si>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</si>
  <si>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</si>
  <si>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</si>
  <si>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</si>
  <si>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</si>
  <si>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</si>
  <si>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</si>
  <si>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</si>
  <si>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</si>
  <si>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</si>
  <si>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</si>
  <si>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</si>
  <si>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</si>
  <si>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</si>
  <si>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</si>
  <si>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</si>
  <si>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</si>
  <si>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</si>
  <si>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</si>
  <si>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</si>
  <si>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</si>
  <si>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</si>
  <si>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</si>
  <si>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</si>
  <si>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</si>
  <si>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</si>
  <si>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</si>
  <si>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</si>
  <si>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</si>
  <si>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</si>
  <si>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</si>
  <si>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</si>
  <si>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</si>
  <si>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</si>
  <si>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</si>
  <si>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</si>
  <si>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</si>
  <si>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</si>
  <si>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</si>
  <si>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</si>
  <si>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</si>
  <si>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</si>
  <si>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</si>
  <si>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</si>
  <si>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</si>
  <si>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</si>
  <si>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</si>
  <si>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</si>
  <si>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</si>
  <si>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</si>
  <si>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</si>
  <si>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</si>
  <si>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</si>
  <si>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</si>
  <si>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</si>
  <si>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</si>
  <si>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</si>
  <si>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</si>
  <si>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</si>
  <si>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</si>
  <si>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</si>
  <si>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</si>
  <si>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</si>
  <si>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</si>
  <si>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</si>
  <si>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</si>
  <si>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</si>
  <si>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</si>
  <si>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</si>
  <si>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</si>
  <si>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</si>
  <si>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</si>
  <si>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</si>
  <si>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</si>
  <si>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</si>
  <si>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</si>
  <si>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</si>
  <si>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</si>
  <si>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</si>
  <si>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</si>
  <si>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</si>
  <si>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</si>
  <si>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</si>
  <si>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</si>
  <si>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</si>
  <si>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</si>
  <si>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</si>
  <si>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</si>
  <si>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</si>
  <si>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</si>
  <si>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</si>
  <si>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</si>
  <si>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</si>
  <si>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</si>
  <si>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</si>
  <si>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</si>
  <si>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</si>
  <si>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</si>
  <si>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</si>
  <si>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</si>
  <si>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</si>
  <si>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</si>
  <si>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</si>
  <si>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</si>
  <si>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</si>
  <si>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</si>
  <si>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</si>
  <si>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</si>
  <si>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</si>
  <si>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</si>
  <si>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</si>
  <si>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</si>
  <si>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</si>
  <si>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</si>
  <si>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</si>
  <si>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</si>
  <si>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Premios Total</t>
  </si>
  <si>
    <t>PIKIS MAYO</t>
  </si>
  <si>
    <t>MINERO JUNIO</t>
  </si>
  <si>
    <t>ISA JUNIO</t>
  </si>
  <si>
    <t>CHARLY 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</si>
</sst>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50" xfId="0" applyFont="1" applyFill="1" applyBorder="1" applyAlignment="1">
      <alignment horizontal="center" wrapText="1"/>
    </xf>
    <xf numFmtId="0" fontId="1" fillId="3" borderId="51" xfId="0" applyFont="1" applyFill="1" applyBorder="1" applyAlignment="1">
      <alignment horizontal="center" wrapText="1"/>
    </xf>
    <xf numFmtId="0" fontId="1" fillId="3" borderId="52" xfId="0" applyFont="1" applyFill="1" applyBorder="1" applyAlignment="1">
      <alignment horizontal="center" wrapText="1"/>
    </xf>
    <xf numFmtId="0" fontId="1" fillId="3" borderId="53" xfId="0" applyFont="1" applyFill="1" applyBorder="1" applyAlignment="1">
      <alignment horizontal="center" wrapText="1"/>
    </xf>
    <xf numFmtId="0" fontId="1" fillId="3" borderId="54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theme" Target="theme/theme1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pivotCacheDefinition" Target="pivotCache/pivotCacheDefinition1.xml"/><Relationship Id="rId81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272600</c:v>
                </c:pt>
                <c:pt idx="1">
                  <c:v>197750</c:v>
                </c:pt>
                <c:pt idx="2">
                  <c:v>211700</c:v>
                </c:pt>
                <c:pt idx="3">
                  <c:v>213750</c:v>
                </c:pt>
                <c:pt idx="4">
                  <c:v>319400</c:v>
                </c:pt>
                <c:pt idx="5">
                  <c:v>223850</c:v>
                </c:pt>
                <c:pt idx="6">
                  <c:v>202350</c:v>
                </c:pt>
                <c:pt idx="7">
                  <c:v>222700</c:v>
                </c:pt>
                <c:pt idx="8">
                  <c:v>217225</c:v>
                </c:pt>
                <c:pt idx="9">
                  <c:v>283200</c:v>
                </c:pt>
                <c:pt idx="10">
                  <c:v>279400</c:v>
                </c:pt>
                <c:pt idx="11">
                  <c:v>205050</c:v>
                </c:pt>
                <c:pt idx="12">
                  <c:v>167750</c:v>
                </c:pt>
                <c:pt idx="13">
                  <c:v>209600</c:v>
                </c:pt>
                <c:pt idx="14">
                  <c:v>214550</c:v>
                </c:pt>
                <c:pt idx="15">
                  <c:v>205450</c:v>
                </c:pt>
                <c:pt idx="16">
                  <c:v>251100</c:v>
                </c:pt>
                <c:pt idx="17">
                  <c:v>380400</c:v>
                </c:pt>
                <c:pt idx="18">
                  <c:v>296000</c:v>
                </c:pt>
                <c:pt idx="19">
                  <c:v>215300</c:v>
                </c:pt>
                <c:pt idx="20">
                  <c:v>208650</c:v>
                </c:pt>
                <c:pt idx="21">
                  <c:v>251550</c:v>
                </c:pt>
                <c:pt idx="22">
                  <c:v>153900</c:v>
                </c:pt>
                <c:pt idx="23">
                  <c:v>223050</c:v>
                </c:pt>
                <c:pt idx="24">
                  <c:v>375150</c:v>
                </c:pt>
                <c:pt idx="25">
                  <c:v>305450</c:v>
                </c:pt>
                <c:pt idx="26">
                  <c:v>299150</c:v>
                </c:pt>
                <c:pt idx="27">
                  <c:v>241750</c:v>
                </c:pt>
                <c:pt idx="28">
                  <c:v>215750</c:v>
                </c:pt>
                <c:pt idx="29">
                  <c:v>215000</c:v>
                </c:pt>
                <c:pt idx="30">
                  <c:v>315850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217150</c:v>
                </c:pt>
                <c:pt idx="1">
                  <c:v>219350</c:v>
                </c:pt>
                <c:pt idx="2">
                  <c:v>176900</c:v>
                </c:pt>
                <c:pt idx="3">
                  <c:v>229550</c:v>
                </c:pt>
                <c:pt idx="4">
                  <c:v>208450</c:v>
                </c:pt>
                <c:pt idx="5">
                  <c:v>208050</c:v>
                </c:pt>
                <c:pt idx="6">
                  <c:v>170350</c:v>
                </c:pt>
                <c:pt idx="7">
                  <c:v>192550</c:v>
                </c:pt>
                <c:pt idx="8">
                  <c:v>159650</c:v>
                </c:pt>
                <c:pt idx="9">
                  <c:v>236400</c:v>
                </c:pt>
                <c:pt idx="10">
                  <c:v>293150</c:v>
                </c:pt>
                <c:pt idx="11">
                  <c:v>224650</c:v>
                </c:pt>
                <c:pt idx="12">
                  <c:v>225900</c:v>
                </c:pt>
                <c:pt idx="13">
                  <c:v>220750</c:v>
                </c:pt>
                <c:pt idx="14">
                  <c:v>189450</c:v>
                </c:pt>
                <c:pt idx="15">
                  <c:v>167800</c:v>
                </c:pt>
                <c:pt idx="16">
                  <c:v>197750</c:v>
                </c:pt>
                <c:pt idx="17">
                  <c:v>256200</c:v>
                </c:pt>
                <c:pt idx="18">
                  <c:v>216550</c:v>
                </c:pt>
                <c:pt idx="19">
                  <c:v>188900</c:v>
                </c:pt>
                <c:pt idx="20">
                  <c:v>152900</c:v>
                </c:pt>
                <c:pt idx="21">
                  <c:v>149250</c:v>
                </c:pt>
                <c:pt idx="22">
                  <c:v>191800</c:v>
                </c:pt>
                <c:pt idx="23">
                  <c:v>177300</c:v>
                </c:pt>
                <c:pt idx="24">
                  <c:v>152200</c:v>
                </c:pt>
                <c:pt idx="25">
                  <c:v>186250</c:v>
                </c:pt>
                <c:pt idx="26">
                  <c:v>135300</c:v>
                </c:pt>
                <c:pt idx="27">
                  <c:v>190550</c:v>
                </c:pt>
                <c:pt idx="28">
                  <c:v>149450</c:v>
                </c:pt>
                <c:pt idx="29">
                  <c:v>160200</c:v>
                </c:pt>
                <c:pt idx="30">
                  <c:v>189800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[JULIO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CFD0B-B0F2-420D-9C56-3A517B925905}"/>
            </a:ext>
          </a:extLst>
        </xdr:cNvPr>
        <xdr:cNvSpPr/>
      </xdr:nvSpPr>
      <xdr:spPr>
        <a:xfrm>
          <a:off x="4281030" y="71640"/>
          <a:ext cx="24358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9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28067</v>
          </cell>
        </row>
        <row r="12">
          <cell r="G12">
            <v>35000</v>
          </cell>
        </row>
        <row r="19">
          <cell r="D19">
            <v>400800</v>
          </cell>
          <cell r="E19">
            <v>52104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206600</v>
          </cell>
          <cell r="K4">
            <v>26858</v>
          </cell>
          <cell r="L4">
            <v>140250</v>
          </cell>
        </row>
        <row r="5">
          <cell r="J5">
            <v>37550</v>
          </cell>
          <cell r="K5">
            <v>4881.5</v>
          </cell>
          <cell r="L5">
            <v>24000</v>
          </cell>
        </row>
        <row r="6">
          <cell r="J6">
            <v>7400</v>
          </cell>
          <cell r="K6">
            <v>962</v>
          </cell>
          <cell r="L6">
            <v>8000</v>
          </cell>
        </row>
      </sheetData>
      <sheetData sheetId="12">
        <row r="4">
          <cell r="J4">
            <v>122500</v>
          </cell>
          <cell r="K4">
            <v>15925</v>
          </cell>
          <cell r="L4">
            <v>123250</v>
          </cell>
        </row>
        <row r="5">
          <cell r="J5">
            <v>21350</v>
          </cell>
          <cell r="K5">
            <v>2775.5</v>
          </cell>
          <cell r="L5">
            <v>8000</v>
          </cell>
        </row>
        <row r="6">
          <cell r="J6">
            <v>5400</v>
          </cell>
          <cell r="K6">
            <v>702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201900</v>
          </cell>
          <cell r="K4">
            <v>24228</v>
          </cell>
          <cell r="L4">
            <v>144500</v>
          </cell>
        </row>
        <row r="5">
          <cell r="J5">
            <v>213650</v>
          </cell>
          <cell r="K5">
            <v>25638</v>
          </cell>
          <cell r="L5">
            <v>140000</v>
          </cell>
        </row>
        <row r="7">
          <cell r="J7">
            <v>76550</v>
          </cell>
          <cell r="K7">
            <v>9186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361600</v>
          </cell>
          <cell r="K4">
            <v>43392</v>
          </cell>
          <cell r="L4">
            <v>318750</v>
          </cell>
        </row>
        <row r="5">
          <cell r="J5">
            <v>162500</v>
          </cell>
          <cell r="K5">
            <v>19500</v>
          </cell>
          <cell r="L5">
            <v>68000</v>
          </cell>
        </row>
        <row r="6">
          <cell r="J6">
            <v>23350</v>
          </cell>
          <cell r="K6">
            <v>2335</v>
          </cell>
          <cell r="L6">
            <v>0</v>
          </cell>
        </row>
        <row r="7">
          <cell r="J7">
            <v>27600</v>
          </cell>
          <cell r="K7">
            <v>3312</v>
          </cell>
          <cell r="L7">
            <v>0</v>
          </cell>
        </row>
        <row r="8">
          <cell r="J8">
            <v>31700</v>
          </cell>
          <cell r="K8">
            <v>3804</v>
          </cell>
          <cell r="L8">
            <v>0</v>
          </cell>
        </row>
        <row r="9">
          <cell r="J9">
            <v>98750</v>
          </cell>
          <cell r="K9">
            <v>11850</v>
          </cell>
          <cell r="L9">
            <v>680000</v>
          </cell>
        </row>
        <row r="10">
          <cell r="J10">
            <v>300</v>
          </cell>
          <cell r="K10">
            <v>36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58350</v>
          </cell>
          <cell r="K4">
            <v>7002</v>
          </cell>
          <cell r="L4">
            <v>42500</v>
          </cell>
        </row>
        <row r="5">
          <cell r="J5">
            <v>47450</v>
          </cell>
          <cell r="K5">
            <v>5694</v>
          </cell>
          <cell r="L5">
            <v>8500</v>
          </cell>
        </row>
        <row r="6">
          <cell r="J6">
            <v>3150</v>
          </cell>
          <cell r="K6">
            <v>315</v>
          </cell>
          <cell r="L6">
            <v>0</v>
          </cell>
        </row>
        <row r="7">
          <cell r="J7">
            <v>43200</v>
          </cell>
          <cell r="K7">
            <v>5184</v>
          </cell>
          <cell r="L7">
            <v>21250</v>
          </cell>
        </row>
        <row r="8">
          <cell r="J8">
            <v>4250</v>
          </cell>
          <cell r="K8">
            <v>510</v>
          </cell>
          <cell r="L8">
            <v>0</v>
          </cell>
        </row>
      </sheetData>
      <sheetData sheetId="20">
        <row r="4">
          <cell r="J4">
            <v>87650</v>
          </cell>
          <cell r="K4">
            <v>10518</v>
          </cell>
          <cell r="L4">
            <v>12750</v>
          </cell>
        </row>
        <row r="5">
          <cell r="J5">
            <v>20900</v>
          </cell>
          <cell r="K5">
            <v>2508</v>
          </cell>
          <cell r="L5">
            <v>0</v>
          </cell>
        </row>
      </sheetData>
      <sheetData sheetId="21">
        <row r="4">
          <cell r="J4">
            <v>73700</v>
          </cell>
          <cell r="K4">
            <v>11055</v>
          </cell>
          <cell r="L4">
            <v>32000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59300</v>
          </cell>
          <cell r="K4">
            <v>7116</v>
          </cell>
          <cell r="L4">
            <v>21250</v>
          </cell>
        </row>
        <row r="5">
          <cell r="J5">
            <v>16150</v>
          </cell>
          <cell r="K5">
            <v>1938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31356.5</v>
          </cell>
        </row>
        <row r="12">
          <cell r="G12">
            <v>35000</v>
          </cell>
        </row>
        <row r="19">
          <cell r="D19">
            <v>345700</v>
          </cell>
          <cell r="E19">
            <v>44941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121300</v>
          </cell>
          <cell r="K4">
            <v>15769</v>
          </cell>
          <cell r="L4">
            <v>34000</v>
          </cell>
        </row>
        <row r="5">
          <cell r="J5">
            <v>27450</v>
          </cell>
          <cell r="K5">
            <v>3568.5</v>
          </cell>
          <cell r="L5">
            <v>16000</v>
          </cell>
        </row>
        <row r="6">
          <cell r="J6">
            <v>5150</v>
          </cell>
          <cell r="K6">
            <v>669.5</v>
          </cell>
          <cell r="L6">
            <v>8000</v>
          </cell>
        </row>
      </sheetData>
      <sheetData sheetId="12">
        <row r="4">
          <cell r="J4">
            <v>173800</v>
          </cell>
          <cell r="K4">
            <v>22594</v>
          </cell>
          <cell r="L4">
            <v>21250</v>
          </cell>
        </row>
        <row r="5">
          <cell r="J5">
            <v>16000</v>
          </cell>
          <cell r="K5">
            <v>2080</v>
          </cell>
          <cell r="L5">
            <v>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186750</v>
          </cell>
          <cell r="K4">
            <v>22410</v>
          </cell>
          <cell r="L4">
            <v>267750</v>
          </cell>
        </row>
        <row r="5">
          <cell r="J5">
            <v>148250</v>
          </cell>
          <cell r="K5">
            <v>17790</v>
          </cell>
          <cell r="L5">
            <v>132000</v>
          </cell>
        </row>
        <row r="7">
          <cell r="J7">
            <v>44750</v>
          </cell>
          <cell r="K7">
            <v>5370</v>
          </cell>
          <cell r="L7">
            <v>48000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306300</v>
          </cell>
          <cell r="K4">
            <v>36756</v>
          </cell>
          <cell r="L4">
            <v>586500</v>
          </cell>
        </row>
        <row r="5">
          <cell r="J5">
            <v>159200</v>
          </cell>
          <cell r="K5">
            <v>19104</v>
          </cell>
          <cell r="L5">
            <v>85000</v>
          </cell>
        </row>
        <row r="6">
          <cell r="J6">
            <v>41300</v>
          </cell>
          <cell r="K6">
            <v>4130</v>
          </cell>
          <cell r="L6">
            <v>50000</v>
          </cell>
        </row>
        <row r="7">
          <cell r="J7">
            <v>18050</v>
          </cell>
          <cell r="K7">
            <v>2166</v>
          </cell>
          <cell r="L7">
            <v>80750</v>
          </cell>
        </row>
        <row r="8">
          <cell r="J8">
            <v>38000</v>
          </cell>
          <cell r="K8">
            <v>4560</v>
          </cell>
          <cell r="L8">
            <v>0</v>
          </cell>
        </row>
        <row r="9">
          <cell r="J9">
            <v>54500</v>
          </cell>
          <cell r="K9">
            <v>6540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99300</v>
          </cell>
          <cell r="K4">
            <v>11916</v>
          </cell>
          <cell r="L4">
            <v>136000</v>
          </cell>
        </row>
        <row r="5">
          <cell r="J5">
            <v>75100</v>
          </cell>
          <cell r="K5">
            <v>9012</v>
          </cell>
          <cell r="L5">
            <v>29750</v>
          </cell>
        </row>
        <row r="6">
          <cell r="J6">
            <v>4700</v>
          </cell>
          <cell r="K6">
            <v>470</v>
          </cell>
          <cell r="L6">
            <v>0</v>
          </cell>
        </row>
        <row r="7">
          <cell r="J7">
            <v>29200</v>
          </cell>
          <cell r="K7">
            <v>3504</v>
          </cell>
          <cell r="L7">
            <v>17000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53200</v>
          </cell>
          <cell r="K4">
            <v>6384</v>
          </cell>
          <cell r="L4">
            <v>25500</v>
          </cell>
        </row>
        <row r="5">
          <cell r="J5">
            <v>46350</v>
          </cell>
          <cell r="K5">
            <v>5562</v>
          </cell>
          <cell r="L5">
            <v>0</v>
          </cell>
        </row>
      </sheetData>
      <sheetData sheetId="21">
        <row r="4">
          <cell r="J4">
            <v>78400</v>
          </cell>
          <cell r="K4">
            <v>11760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63200</v>
          </cell>
          <cell r="K4">
            <v>7584</v>
          </cell>
          <cell r="L4">
            <v>106250</v>
          </cell>
        </row>
        <row r="5">
          <cell r="J5">
            <v>33200</v>
          </cell>
          <cell r="K5">
            <v>3984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3600</v>
          </cell>
          <cell r="K7">
            <v>432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51315</v>
          </cell>
        </row>
        <row r="12">
          <cell r="G12">
            <v>35000</v>
          </cell>
        </row>
        <row r="19">
          <cell r="D19">
            <v>400350</v>
          </cell>
          <cell r="E19">
            <v>52045.5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182700</v>
          </cell>
          <cell r="K4">
            <v>23751</v>
          </cell>
          <cell r="L4">
            <v>484500</v>
          </cell>
        </row>
        <row r="5">
          <cell r="J5">
            <v>31400</v>
          </cell>
          <cell r="K5">
            <v>4082</v>
          </cell>
          <cell r="L5">
            <v>40000</v>
          </cell>
        </row>
        <row r="6">
          <cell r="J6">
            <v>8950</v>
          </cell>
          <cell r="K6">
            <v>1163.5</v>
          </cell>
          <cell r="L6">
            <v>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76500</v>
          </cell>
        </row>
        <row r="5">
          <cell r="J5">
            <v>28700</v>
          </cell>
          <cell r="K5">
            <v>3731</v>
          </cell>
          <cell r="L5">
            <v>160000</v>
          </cell>
        </row>
        <row r="6">
          <cell r="J6">
            <v>4000</v>
          </cell>
          <cell r="K6">
            <v>520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155950</v>
          </cell>
          <cell r="K4">
            <v>18714</v>
          </cell>
          <cell r="L4">
            <v>42500</v>
          </cell>
        </row>
        <row r="5">
          <cell r="J5">
            <v>129450</v>
          </cell>
          <cell r="K5">
            <v>15534</v>
          </cell>
          <cell r="L5">
            <v>80000</v>
          </cell>
        </row>
        <row r="7">
          <cell r="J7">
            <v>42050</v>
          </cell>
          <cell r="K7">
            <v>5046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412400</v>
          </cell>
          <cell r="K4">
            <v>49488</v>
          </cell>
          <cell r="L4">
            <v>391000</v>
          </cell>
        </row>
        <row r="5">
          <cell r="J5">
            <v>135350</v>
          </cell>
          <cell r="K5">
            <v>16242</v>
          </cell>
          <cell r="L5">
            <v>229500</v>
          </cell>
        </row>
        <row r="6">
          <cell r="J6">
            <v>41600</v>
          </cell>
          <cell r="K6">
            <v>4160</v>
          </cell>
          <cell r="L6">
            <v>0</v>
          </cell>
        </row>
        <row r="7">
          <cell r="J7">
            <v>28700</v>
          </cell>
          <cell r="K7">
            <v>3444</v>
          </cell>
          <cell r="L7">
            <v>0</v>
          </cell>
        </row>
        <row r="8">
          <cell r="J8">
            <v>16300</v>
          </cell>
          <cell r="K8">
            <v>1956</v>
          </cell>
          <cell r="L8">
            <v>0</v>
          </cell>
        </row>
        <row r="9">
          <cell r="J9">
            <v>68500</v>
          </cell>
          <cell r="K9">
            <v>8220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10800</v>
          </cell>
          <cell r="K4">
            <v>1296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125900</v>
          </cell>
          <cell r="K4">
            <v>15108</v>
          </cell>
          <cell r="L4">
            <v>106250</v>
          </cell>
        </row>
        <row r="5">
          <cell r="J5">
            <v>65250</v>
          </cell>
          <cell r="K5">
            <v>7830</v>
          </cell>
          <cell r="L5">
            <v>85000</v>
          </cell>
        </row>
        <row r="6">
          <cell r="J6">
            <v>3550</v>
          </cell>
          <cell r="K6">
            <v>355</v>
          </cell>
          <cell r="L6">
            <v>0</v>
          </cell>
        </row>
        <row r="7">
          <cell r="J7">
            <v>28050</v>
          </cell>
          <cell r="K7">
            <v>3366</v>
          </cell>
          <cell r="L7">
            <v>0</v>
          </cell>
        </row>
        <row r="8">
          <cell r="J8">
            <v>4900</v>
          </cell>
          <cell r="K8">
            <v>588</v>
          </cell>
          <cell r="L8">
            <v>0</v>
          </cell>
        </row>
      </sheetData>
      <sheetData sheetId="20">
        <row r="4">
          <cell r="J4">
            <v>83900</v>
          </cell>
          <cell r="K4">
            <v>10068</v>
          </cell>
          <cell r="L4">
            <v>140250</v>
          </cell>
        </row>
        <row r="5">
          <cell r="J5">
            <v>30650</v>
          </cell>
          <cell r="K5">
            <v>3678</v>
          </cell>
          <cell r="L5">
            <v>80000</v>
          </cell>
        </row>
      </sheetData>
      <sheetData sheetId="21">
        <row r="4">
          <cell r="J4">
            <v>95000</v>
          </cell>
          <cell r="K4">
            <v>14250</v>
          </cell>
          <cell r="L4">
            <v>264000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47650</v>
          </cell>
          <cell r="K4">
            <v>5718</v>
          </cell>
          <cell r="L4">
            <v>63750</v>
          </cell>
        </row>
        <row r="5">
          <cell r="J5">
            <v>28100</v>
          </cell>
          <cell r="K5">
            <v>3372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6250</v>
          </cell>
          <cell r="K7">
            <v>750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33560.5</v>
          </cell>
        </row>
        <row r="12">
          <cell r="G12">
            <v>20000</v>
          </cell>
        </row>
        <row r="19">
          <cell r="D19">
            <v>527350</v>
          </cell>
          <cell r="E19">
            <v>68555.5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291550</v>
          </cell>
          <cell r="K4">
            <v>37901.5</v>
          </cell>
          <cell r="L4">
            <v>114750</v>
          </cell>
        </row>
        <row r="5">
          <cell r="J5">
            <v>67000</v>
          </cell>
          <cell r="K5">
            <v>8710</v>
          </cell>
          <cell r="L5">
            <v>0</v>
          </cell>
        </row>
        <row r="6">
          <cell r="J6">
            <v>16600</v>
          </cell>
          <cell r="K6">
            <v>2158</v>
          </cell>
          <cell r="L6">
            <v>0</v>
          </cell>
        </row>
      </sheetData>
      <sheetData sheetId="12">
        <row r="4">
          <cell r="J4">
            <v>144300</v>
          </cell>
          <cell r="K4">
            <v>18759</v>
          </cell>
          <cell r="L4">
            <v>114750</v>
          </cell>
        </row>
        <row r="5">
          <cell r="J5">
            <v>7900</v>
          </cell>
          <cell r="K5">
            <v>1027</v>
          </cell>
          <cell r="L5">
            <v>8000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195650</v>
          </cell>
          <cell r="K4">
            <v>23478</v>
          </cell>
          <cell r="L4">
            <v>72250</v>
          </cell>
        </row>
        <row r="5">
          <cell r="J5">
            <v>201150</v>
          </cell>
          <cell r="K5">
            <v>24138</v>
          </cell>
          <cell r="L5">
            <v>224000</v>
          </cell>
        </row>
        <row r="7">
          <cell r="J7">
            <v>39100</v>
          </cell>
          <cell r="K7">
            <v>4692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399850</v>
          </cell>
          <cell r="K4">
            <v>47982</v>
          </cell>
          <cell r="L4">
            <v>301750</v>
          </cell>
        </row>
        <row r="5">
          <cell r="J5">
            <v>190950</v>
          </cell>
          <cell r="K5">
            <v>22914</v>
          </cell>
          <cell r="L5">
            <v>157250</v>
          </cell>
        </row>
        <row r="6">
          <cell r="J6">
            <v>36600</v>
          </cell>
          <cell r="K6">
            <v>3660</v>
          </cell>
          <cell r="L6">
            <v>0</v>
          </cell>
        </row>
        <row r="7">
          <cell r="J7">
            <v>30850</v>
          </cell>
          <cell r="K7">
            <v>3702</v>
          </cell>
          <cell r="L7">
            <v>0</v>
          </cell>
        </row>
        <row r="8">
          <cell r="J8">
            <v>29100</v>
          </cell>
          <cell r="K8">
            <v>3492</v>
          </cell>
          <cell r="L8">
            <v>0</v>
          </cell>
        </row>
        <row r="9">
          <cell r="J9">
            <v>51500</v>
          </cell>
          <cell r="K9">
            <v>6180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21150</v>
          </cell>
          <cell r="K4">
            <v>2538</v>
          </cell>
          <cell r="L4">
            <v>0</v>
          </cell>
        </row>
        <row r="5">
          <cell r="J5">
            <v>29500</v>
          </cell>
          <cell r="K5">
            <v>3540</v>
          </cell>
          <cell r="L5">
            <v>42500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21100</v>
          </cell>
          <cell r="K7">
            <v>2532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75450</v>
          </cell>
          <cell r="K4">
            <v>9054</v>
          </cell>
          <cell r="L4">
            <v>0</v>
          </cell>
        </row>
        <row r="5">
          <cell r="J5">
            <v>25050</v>
          </cell>
          <cell r="K5">
            <v>3006</v>
          </cell>
          <cell r="L5">
            <v>80000</v>
          </cell>
        </row>
      </sheetData>
      <sheetData sheetId="21">
        <row r="4">
          <cell r="J4">
            <v>73400</v>
          </cell>
          <cell r="K4">
            <v>11010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73550</v>
          </cell>
          <cell r="K4">
            <v>8826</v>
          </cell>
          <cell r="L4">
            <v>21250</v>
          </cell>
        </row>
        <row r="5">
          <cell r="J5">
            <v>47650</v>
          </cell>
          <cell r="K5">
            <v>5718</v>
          </cell>
          <cell r="L5">
            <v>0</v>
          </cell>
        </row>
        <row r="6">
          <cell r="J6">
            <v>4500</v>
          </cell>
          <cell r="K6">
            <v>450</v>
          </cell>
          <cell r="L6">
            <v>0</v>
          </cell>
        </row>
        <row r="7">
          <cell r="J7">
            <v>3500</v>
          </cell>
          <cell r="K7">
            <v>420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44111.5</v>
          </cell>
        </row>
        <row r="12">
          <cell r="G12">
            <v>15000</v>
          </cell>
        </row>
        <row r="19">
          <cell r="D19">
            <v>491700</v>
          </cell>
          <cell r="E19">
            <v>63921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249700</v>
          </cell>
          <cell r="K4">
            <v>32461</v>
          </cell>
          <cell r="L4">
            <v>178500</v>
          </cell>
        </row>
        <row r="5">
          <cell r="J5">
            <v>46900</v>
          </cell>
          <cell r="K5">
            <v>6097</v>
          </cell>
          <cell r="L5">
            <v>200000</v>
          </cell>
        </row>
        <row r="6">
          <cell r="J6">
            <v>8850</v>
          </cell>
          <cell r="K6">
            <v>1150.5</v>
          </cell>
          <cell r="L6">
            <v>0</v>
          </cell>
        </row>
      </sheetData>
      <sheetData sheetId="12">
        <row r="4">
          <cell r="J4">
            <v>156050</v>
          </cell>
          <cell r="K4">
            <v>20286.5</v>
          </cell>
          <cell r="L4">
            <v>0</v>
          </cell>
        </row>
        <row r="5">
          <cell r="J5">
            <v>22400</v>
          </cell>
          <cell r="K5">
            <v>2912</v>
          </cell>
          <cell r="L5">
            <v>16000</v>
          </cell>
        </row>
        <row r="6">
          <cell r="J6">
            <v>7800</v>
          </cell>
          <cell r="K6">
            <v>1014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195100</v>
          </cell>
          <cell r="K4">
            <v>23412</v>
          </cell>
          <cell r="L4">
            <v>106250</v>
          </cell>
        </row>
        <row r="5">
          <cell r="J5">
            <v>169850</v>
          </cell>
          <cell r="K5">
            <v>20382</v>
          </cell>
          <cell r="L5">
            <v>64000</v>
          </cell>
        </row>
        <row r="7">
          <cell r="J7">
            <v>53300</v>
          </cell>
          <cell r="K7">
            <v>6396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300900</v>
          </cell>
          <cell r="K4">
            <v>36108</v>
          </cell>
          <cell r="L4">
            <v>361250</v>
          </cell>
        </row>
        <row r="5">
          <cell r="J5">
            <v>247750</v>
          </cell>
          <cell r="K5">
            <v>29730</v>
          </cell>
          <cell r="L5">
            <v>85000</v>
          </cell>
        </row>
        <row r="6">
          <cell r="J6">
            <v>33400</v>
          </cell>
          <cell r="K6">
            <v>3340</v>
          </cell>
          <cell r="L6">
            <v>60000</v>
          </cell>
        </row>
        <row r="7">
          <cell r="J7">
            <v>84300</v>
          </cell>
          <cell r="K7">
            <v>10116</v>
          </cell>
          <cell r="L7">
            <v>8500</v>
          </cell>
        </row>
        <row r="8">
          <cell r="J8">
            <v>61200</v>
          </cell>
          <cell r="K8">
            <v>7344</v>
          </cell>
          <cell r="L8">
            <v>0</v>
          </cell>
        </row>
        <row r="9">
          <cell r="J9">
            <v>96500</v>
          </cell>
          <cell r="K9">
            <v>11580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16000</v>
          </cell>
          <cell r="K4">
            <v>1920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31000</v>
          </cell>
          <cell r="K4">
            <v>3720</v>
          </cell>
          <cell r="L4">
            <v>0</v>
          </cell>
        </row>
        <row r="5">
          <cell r="J5">
            <v>10100</v>
          </cell>
          <cell r="K5">
            <v>1212</v>
          </cell>
          <cell r="L5">
            <v>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12100</v>
          </cell>
          <cell r="K7">
            <v>1452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113150</v>
          </cell>
          <cell r="K4">
            <v>13578</v>
          </cell>
          <cell r="L4">
            <v>68000</v>
          </cell>
        </row>
        <row r="5">
          <cell r="J5">
            <v>49000</v>
          </cell>
          <cell r="K5">
            <v>5880</v>
          </cell>
          <cell r="L5">
            <v>80000</v>
          </cell>
        </row>
      </sheetData>
      <sheetData sheetId="21">
        <row r="4">
          <cell r="J4">
            <v>61700</v>
          </cell>
          <cell r="K4">
            <v>9255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66900</v>
          </cell>
          <cell r="K4">
            <v>8028</v>
          </cell>
          <cell r="L4">
            <v>80750</v>
          </cell>
        </row>
        <row r="5">
          <cell r="J5">
            <v>27600</v>
          </cell>
          <cell r="K5">
            <v>3312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20062</v>
          </cell>
        </row>
        <row r="12">
          <cell r="G12">
            <v>35000</v>
          </cell>
        </row>
        <row r="19">
          <cell r="D19">
            <v>434450</v>
          </cell>
          <cell r="E19">
            <v>56478.5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197050</v>
          </cell>
          <cell r="K4">
            <v>25616.5</v>
          </cell>
          <cell r="L4">
            <v>284750</v>
          </cell>
        </row>
        <row r="5">
          <cell r="J5">
            <v>91300</v>
          </cell>
          <cell r="K5">
            <v>11869</v>
          </cell>
          <cell r="L5">
            <v>8000</v>
          </cell>
        </row>
        <row r="6">
          <cell r="J6">
            <v>10800</v>
          </cell>
          <cell r="K6">
            <v>1404</v>
          </cell>
          <cell r="L6">
            <v>16000</v>
          </cell>
        </row>
      </sheetData>
      <sheetData sheetId="12">
        <row r="4">
          <cell r="J4">
            <v>122500</v>
          </cell>
          <cell r="K4">
            <v>15925</v>
          </cell>
          <cell r="L4">
            <v>85000</v>
          </cell>
        </row>
        <row r="5">
          <cell r="J5">
            <v>9000</v>
          </cell>
          <cell r="K5">
            <v>1170</v>
          </cell>
          <cell r="L5">
            <v>40000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128950</v>
          </cell>
          <cell r="K4">
            <v>15474</v>
          </cell>
          <cell r="L4">
            <v>165750</v>
          </cell>
        </row>
        <row r="5">
          <cell r="J5">
            <v>114200</v>
          </cell>
          <cell r="K5">
            <v>13704</v>
          </cell>
          <cell r="L5">
            <v>12000</v>
          </cell>
        </row>
        <row r="7">
          <cell r="J7">
            <v>26850</v>
          </cell>
          <cell r="K7">
            <v>3222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322700</v>
          </cell>
          <cell r="K4">
            <v>38724</v>
          </cell>
          <cell r="L4">
            <v>289000</v>
          </cell>
        </row>
        <row r="5">
          <cell r="J5">
            <v>201850</v>
          </cell>
          <cell r="K5">
            <v>24222</v>
          </cell>
          <cell r="L5">
            <v>59500</v>
          </cell>
        </row>
        <row r="6">
          <cell r="J6">
            <v>35100</v>
          </cell>
          <cell r="K6">
            <v>3510</v>
          </cell>
          <cell r="L6">
            <v>0</v>
          </cell>
        </row>
        <row r="7">
          <cell r="J7">
            <v>41600</v>
          </cell>
          <cell r="K7">
            <v>4992</v>
          </cell>
          <cell r="L7">
            <v>68000</v>
          </cell>
        </row>
        <row r="8">
          <cell r="J8">
            <v>19100</v>
          </cell>
          <cell r="K8">
            <v>2292</v>
          </cell>
          <cell r="L8">
            <v>8500</v>
          </cell>
        </row>
        <row r="9">
          <cell r="J9">
            <v>104000</v>
          </cell>
          <cell r="K9">
            <v>12480</v>
          </cell>
          <cell r="L9">
            <v>127500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2600</v>
          </cell>
          <cell r="K4">
            <v>312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89450</v>
          </cell>
          <cell r="K4">
            <v>10734</v>
          </cell>
          <cell r="L4">
            <v>38250</v>
          </cell>
        </row>
        <row r="5">
          <cell r="J5">
            <v>60900</v>
          </cell>
          <cell r="K5">
            <v>7308</v>
          </cell>
          <cell r="L5">
            <v>38250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38200</v>
          </cell>
          <cell r="K7">
            <v>4584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86100</v>
          </cell>
          <cell r="K4">
            <v>10332</v>
          </cell>
          <cell r="L4">
            <v>59500</v>
          </cell>
        </row>
        <row r="5">
          <cell r="J5">
            <v>34700</v>
          </cell>
          <cell r="K5">
            <v>4164</v>
          </cell>
          <cell r="L5">
            <v>0</v>
          </cell>
        </row>
      </sheetData>
      <sheetData sheetId="21">
        <row r="4">
          <cell r="J4">
            <v>72150</v>
          </cell>
          <cell r="K4">
            <v>10822.5</v>
          </cell>
          <cell r="L4">
            <v>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67150</v>
          </cell>
          <cell r="K4">
            <v>8058</v>
          </cell>
          <cell r="L4">
            <v>51000</v>
          </cell>
        </row>
        <row r="5">
          <cell r="J5">
            <v>27450</v>
          </cell>
          <cell r="K5">
            <v>3294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32406</v>
          </cell>
        </row>
        <row r="12">
          <cell r="G12">
            <v>35000</v>
          </cell>
        </row>
        <row r="19">
          <cell r="D19">
            <v>432300</v>
          </cell>
          <cell r="E19">
            <v>56199</v>
          </cell>
          <cell r="F19">
            <v>30000</v>
          </cell>
        </row>
        <row r="22">
          <cell r="G22">
            <v>14330</v>
          </cell>
        </row>
      </sheetData>
      <sheetData sheetId="10"/>
      <sheetData sheetId="11">
        <row r="4">
          <cell r="J4">
            <v>190050</v>
          </cell>
          <cell r="K4">
            <v>24706.5</v>
          </cell>
          <cell r="L4">
            <v>72250</v>
          </cell>
        </row>
        <row r="5">
          <cell r="J5">
            <v>40900</v>
          </cell>
          <cell r="K5">
            <v>5317</v>
          </cell>
          <cell r="L5">
            <v>0</v>
          </cell>
        </row>
        <row r="6">
          <cell r="J6">
            <v>10800</v>
          </cell>
          <cell r="K6">
            <v>1404</v>
          </cell>
          <cell r="L6">
            <v>0</v>
          </cell>
        </row>
      </sheetData>
      <sheetData sheetId="12">
        <row r="4">
          <cell r="J4">
            <v>148200</v>
          </cell>
          <cell r="K4">
            <v>19266</v>
          </cell>
          <cell r="L4">
            <v>174250</v>
          </cell>
        </row>
        <row r="5">
          <cell r="J5">
            <v>34350</v>
          </cell>
          <cell r="K5">
            <v>4465.5</v>
          </cell>
          <cell r="L5">
            <v>80000</v>
          </cell>
        </row>
        <row r="6">
          <cell r="J6">
            <v>8000</v>
          </cell>
          <cell r="K6">
            <v>1040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151550</v>
          </cell>
          <cell r="K4">
            <v>18186</v>
          </cell>
          <cell r="L4">
            <v>212500</v>
          </cell>
        </row>
        <row r="5">
          <cell r="J5">
            <v>165650</v>
          </cell>
          <cell r="K5">
            <v>19878</v>
          </cell>
          <cell r="L5">
            <v>20000</v>
          </cell>
        </row>
        <row r="7">
          <cell r="J7">
            <v>57250</v>
          </cell>
          <cell r="K7">
            <v>6870</v>
          </cell>
          <cell r="L7">
            <v>80000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344550</v>
          </cell>
          <cell r="K4">
            <v>41346</v>
          </cell>
          <cell r="L4">
            <v>208250</v>
          </cell>
        </row>
        <row r="5">
          <cell r="J5">
            <v>191850</v>
          </cell>
          <cell r="K5">
            <v>23022</v>
          </cell>
          <cell r="L5">
            <v>148750</v>
          </cell>
        </row>
        <row r="6">
          <cell r="J6">
            <v>37000</v>
          </cell>
          <cell r="K6">
            <v>3700</v>
          </cell>
          <cell r="L6">
            <v>0</v>
          </cell>
        </row>
        <row r="7">
          <cell r="J7">
            <v>59100</v>
          </cell>
          <cell r="K7">
            <v>7092</v>
          </cell>
          <cell r="L7">
            <v>46750</v>
          </cell>
        </row>
        <row r="8">
          <cell r="J8">
            <v>44300</v>
          </cell>
          <cell r="K8">
            <v>5316</v>
          </cell>
          <cell r="L8">
            <v>21250</v>
          </cell>
        </row>
        <row r="9">
          <cell r="J9">
            <v>80750</v>
          </cell>
          <cell r="K9">
            <v>9690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9500</v>
          </cell>
          <cell r="K4">
            <v>1140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87500</v>
          </cell>
          <cell r="K4">
            <v>10500</v>
          </cell>
          <cell r="L4">
            <v>106250</v>
          </cell>
        </row>
        <row r="5">
          <cell r="J5">
            <v>56350</v>
          </cell>
          <cell r="K5">
            <v>6762</v>
          </cell>
          <cell r="L5">
            <v>0</v>
          </cell>
        </row>
        <row r="6">
          <cell r="J6">
            <v>2750</v>
          </cell>
          <cell r="K6">
            <v>275</v>
          </cell>
          <cell r="L6">
            <v>50000</v>
          </cell>
        </row>
        <row r="7">
          <cell r="J7">
            <v>45000</v>
          </cell>
          <cell r="K7">
            <v>5400</v>
          </cell>
          <cell r="L7">
            <v>17000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79600</v>
          </cell>
          <cell r="K4">
            <v>9552</v>
          </cell>
          <cell r="L4">
            <v>42500</v>
          </cell>
        </row>
        <row r="5">
          <cell r="J5">
            <v>21500</v>
          </cell>
          <cell r="K5">
            <v>2580</v>
          </cell>
          <cell r="L5">
            <v>0</v>
          </cell>
        </row>
      </sheetData>
      <sheetData sheetId="21">
        <row r="4">
          <cell r="J4">
            <v>82150</v>
          </cell>
          <cell r="K4">
            <v>12322.5</v>
          </cell>
          <cell r="L4">
            <v>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58650</v>
          </cell>
          <cell r="K4">
            <v>7038</v>
          </cell>
          <cell r="L4">
            <v>42500</v>
          </cell>
        </row>
        <row r="5">
          <cell r="J5">
            <v>35200</v>
          </cell>
          <cell r="K5">
            <v>4224</v>
          </cell>
          <cell r="L5">
            <v>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3200</v>
          </cell>
          <cell r="K7">
            <v>384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33441.5</v>
          </cell>
        </row>
        <row r="12">
          <cell r="G12">
            <v>35000</v>
          </cell>
        </row>
        <row r="19">
          <cell r="D19">
            <v>365200</v>
          </cell>
          <cell r="E19">
            <v>47476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188150</v>
          </cell>
          <cell r="K4">
            <v>24459.5</v>
          </cell>
          <cell r="L4">
            <v>76500</v>
          </cell>
        </row>
        <row r="5">
          <cell r="J5">
            <v>22600</v>
          </cell>
          <cell r="K5">
            <v>2938</v>
          </cell>
          <cell r="L5">
            <v>0</v>
          </cell>
        </row>
        <row r="6">
          <cell r="J6">
            <v>5000</v>
          </cell>
          <cell r="K6">
            <v>650</v>
          </cell>
          <cell r="L6">
            <v>0</v>
          </cell>
        </row>
      </sheetData>
      <sheetData sheetId="12">
        <row r="4">
          <cell r="J4">
            <v>138200</v>
          </cell>
          <cell r="K4">
            <v>17966</v>
          </cell>
          <cell r="L4">
            <v>85000</v>
          </cell>
        </row>
        <row r="5">
          <cell r="J5">
            <v>2250</v>
          </cell>
          <cell r="K5">
            <v>292.5</v>
          </cell>
          <cell r="L5">
            <v>0</v>
          </cell>
        </row>
        <row r="6">
          <cell r="J6">
            <v>9000</v>
          </cell>
          <cell r="K6">
            <v>1170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160850</v>
          </cell>
          <cell r="K4">
            <v>19302</v>
          </cell>
          <cell r="L4">
            <v>42500</v>
          </cell>
        </row>
        <row r="5">
          <cell r="J5">
            <v>132400</v>
          </cell>
          <cell r="K5">
            <v>15888</v>
          </cell>
          <cell r="L5">
            <v>52000</v>
          </cell>
        </row>
        <row r="7">
          <cell r="J7">
            <v>61500</v>
          </cell>
          <cell r="K7">
            <v>7380</v>
          </cell>
          <cell r="L7">
            <v>64000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213750</v>
          </cell>
          <cell r="K4">
            <v>25650</v>
          </cell>
          <cell r="L4">
            <v>106250</v>
          </cell>
        </row>
        <row r="5">
          <cell r="J5">
            <v>129150</v>
          </cell>
          <cell r="K5">
            <v>15498</v>
          </cell>
          <cell r="L5">
            <v>123250</v>
          </cell>
        </row>
        <row r="6">
          <cell r="J6">
            <v>32550</v>
          </cell>
          <cell r="K6">
            <v>3255</v>
          </cell>
          <cell r="L6">
            <v>150000</v>
          </cell>
        </row>
        <row r="7">
          <cell r="J7">
            <v>34500</v>
          </cell>
          <cell r="K7">
            <v>4140</v>
          </cell>
          <cell r="L7">
            <v>0</v>
          </cell>
        </row>
        <row r="8">
          <cell r="J8">
            <v>34500</v>
          </cell>
          <cell r="K8">
            <v>4140</v>
          </cell>
          <cell r="L8">
            <v>0</v>
          </cell>
        </row>
        <row r="9">
          <cell r="J9">
            <v>39650</v>
          </cell>
          <cell r="K9">
            <v>4758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2500</v>
          </cell>
          <cell r="K4">
            <v>300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86300</v>
          </cell>
          <cell r="K4">
            <v>10356</v>
          </cell>
          <cell r="L4">
            <v>51000</v>
          </cell>
        </row>
        <row r="5">
          <cell r="J5">
            <v>65500</v>
          </cell>
          <cell r="K5">
            <v>7860</v>
          </cell>
          <cell r="L5">
            <v>38250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41050</v>
          </cell>
          <cell r="K7">
            <v>4926</v>
          </cell>
          <cell r="L7">
            <v>8500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82250</v>
          </cell>
          <cell r="K4">
            <v>9870</v>
          </cell>
          <cell r="L4">
            <v>21250</v>
          </cell>
        </row>
        <row r="5">
          <cell r="J5">
            <v>34950</v>
          </cell>
          <cell r="K5">
            <v>4194</v>
          </cell>
          <cell r="L5">
            <v>0</v>
          </cell>
        </row>
      </sheetData>
      <sheetData sheetId="21">
        <row r="4">
          <cell r="J4">
            <v>44950</v>
          </cell>
          <cell r="K4">
            <v>6742.5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63000</v>
          </cell>
          <cell r="K4">
            <v>7560</v>
          </cell>
          <cell r="L4">
            <v>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1750</v>
          </cell>
          <cell r="K6">
            <v>175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34291</v>
          </cell>
        </row>
        <row r="12">
          <cell r="G12">
            <v>35000</v>
          </cell>
        </row>
        <row r="19">
          <cell r="D19">
            <v>375200</v>
          </cell>
          <cell r="E19">
            <v>48776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168750</v>
          </cell>
          <cell r="K4">
            <v>21937.5</v>
          </cell>
          <cell r="L4">
            <v>72250</v>
          </cell>
        </row>
        <row r="5">
          <cell r="J5">
            <v>39250</v>
          </cell>
          <cell r="K5">
            <v>5102.5</v>
          </cell>
          <cell r="L5">
            <v>24000</v>
          </cell>
        </row>
        <row r="6">
          <cell r="J6">
            <v>7000</v>
          </cell>
          <cell r="K6">
            <v>910</v>
          </cell>
          <cell r="L6">
            <v>0</v>
          </cell>
        </row>
      </sheetData>
      <sheetData sheetId="12">
        <row r="4">
          <cell r="J4">
            <v>147450</v>
          </cell>
          <cell r="K4">
            <v>19168.5</v>
          </cell>
          <cell r="L4">
            <v>127500</v>
          </cell>
        </row>
        <row r="5">
          <cell r="J5">
            <v>11250</v>
          </cell>
          <cell r="K5">
            <v>1462.5</v>
          </cell>
          <cell r="L5">
            <v>16000</v>
          </cell>
        </row>
        <row r="6">
          <cell r="J6">
            <v>1500</v>
          </cell>
          <cell r="K6">
            <v>195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210500</v>
          </cell>
          <cell r="K4">
            <v>25260</v>
          </cell>
          <cell r="L4">
            <v>267750</v>
          </cell>
        </row>
        <row r="5">
          <cell r="J5">
            <v>125150</v>
          </cell>
          <cell r="K5">
            <v>15018</v>
          </cell>
          <cell r="L5">
            <v>128000</v>
          </cell>
        </row>
        <row r="7">
          <cell r="J7">
            <v>71000</v>
          </cell>
          <cell r="K7">
            <v>8520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336350</v>
          </cell>
          <cell r="K4">
            <v>40362</v>
          </cell>
          <cell r="L4">
            <v>225250</v>
          </cell>
        </row>
        <row r="5">
          <cell r="J5">
            <v>146300</v>
          </cell>
          <cell r="K5">
            <v>17556</v>
          </cell>
          <cell r="L5">
            <v>204000</v>
          </cell>
        </row>
        <row r="6">
          <cell r="J6">
            <v>43400</v>
          </cell>
          <cell r="K6">
            <v>4340</v>
          </cell>
          <cell r="L6">
            <v>0</v>
          </cell>
        </row>
        <row r="7">
          <cell r="J7">
            <v>34650</v>
          </cell>
          <cell r="K7">
            <v>4158</v>
          </cell>
          <cell r="L7">
            <v>17000</v>
          </cell>
        </row>
        <row r="8">
          <cell r="J8">
            <v>22200</v>
          </cell>
          <cell r="K8">
            <v>2664</v>
          </cell>
          <cell r="L8">
            <v>29750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6750</v>
          </cell>
          <cell r="K4">
            <v>810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81150</v>
          </cell>
          <cell r="K4">
            <v>9738</v>
          </cell>
          <cell r="L4">
            <v>102000</v>
          </cell>
        </row>
        <row r="5">
          <cell r="J5">
            <v>63850</v>
          </cell>
          <cell r="K5">
            <v>7662</v>
          </cell>
          <cell r="L5">
            <v>102000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44150</v>
          </cell>
          <cell r="K7">
            <v>5298</v>
          </cell>
          <cell r="L7">
            <v>55250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66250</v>
          </cell>
          <cell r="K4">
            <v>7950</v>
          </cell>
          <cell r="L4">
            <v>0</v>
          </cell>
        </row>
        <row r="5">
          <cell r="J5">
            <v>31200</v>
          </cell>
          <cell r="K5">
            <v>3744</v>
          </cell>
          <cell r="L5">
            <v>40000</v>
          </cell>
        </row>
      </sheetData>
      <sheetData sheetId="21">
        <row r="4">
          <cell r="J4">
            <v>67450</v>
          </cell>
          <cell r="K4">
            <v>10117.5</v>
          </cell>
          <cell r="L4">
            <v>112000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66400</v>
          </cell>
          <cell r="K4">
            <v>7968</v>
          </cell>
          <cell r="L4">
            <v>0</v>
          </cell>
        </row>
        <row r="5">
          <cell r="J5">
            <v>21650</v>
          </cell>
          <cell r="K5">
            <v>2598</v>
          </cell>
          <cell r="L5">
            <v>20000</v>
          </cell>
        </row>
        <row r="6">
          <cell r="J6">
            <v>5600</v>
          </cell>
          <cell r="K6">
            <v>560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58444.359999999986</v>
          </cell>
        </row>
        <row r="12">
          <cell r="G12">
            <v>35000</v>
          </cell>
        </row>
        <row r="19">
          <cell r="D19">
            <v>505650</v>
          </cell>
          <cell r="E19">
            <v>65734.5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252300</v>
          </cell>
          <cell r="K4">
            <v>32799</v>
          </cell>
          <cell r="L4">
            <v>93500</v>
          </cell>
        </row>
        <row r="5">
          <cell r="J5">
            <v>56050</v>
          </cell>
          <cell r="K5">
            <v>7286.5</v>
          </cell>
          <cell r="L5">
            <v>16000</v>
          </cell>
        </row>
        <row r="6">
          <cell r="J6">
            <v>7500</v>
          </cell>
          <cell r="K6">
            <v>975</v>
          </cell>
          <cell r="L6">
            <v>0</v>
          </cell>
        </row>
      </sheetData>
      <sheetData sheetId="12">
        <row r="4">
          <cell r="J4">
            <v>149250</v>
          </cell>
          <cell r="K4">
            <v>19402.5</v>
          </cell>
          <cell r="L4">
            <v>0</v>
          </cell>
        </row>
        <row r="5">
          <cell r="J5">
            <v>39050</v>
          </cell>
          <cell r="K5">
            <v>5076.5</v>
          </cell>
          <cell r="L5">
            <v>16000</v>
          </cell>
        </row>
        <row r="6">
          <cell r="J6">
            <v>1500</v>
          </cell>
          <cell r="K6">
            <v>195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222000</v>
          </cell>
          <cell r="K4">
            <v>26640</v>
          </cell>
          <cell r="L4">
            <v>263500</v>
          </cell>
        </row>
        <row r="5">
          <cell r="J5">
            <v>159550</v>
          </cell>
          <cell r="K5">
            <v>19146</v>
          </cell>
          <cell r="L5">
            <v>112000</v>
          </cell>
        </row>
        <row r="7">
          <cell r="J7">
            <v>59500</v>
          </cell>
          <cell r="K7">
            <v>7140</v>
          </cell>
          <cell r="L7">
            <v>48000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380572</v>
          </cell>
          <cell r="K4">
            <v>45668.639999999999</v>
          </cell>
          <cell r="L4">
            <v>463250</v>
          </cell>
        </row>
        <row r="5">
          <cell r="J5">
            <v>199650</v>
          </cell>
          <cell r="K5">
            <v>23958</v>
          </cell>
          <cell r="L5">
            <v>208250</v>
          </cell>
        </row>
        <row r="6">
          <cell r="J6">
            <v>36150</v>
          </cell>
          <cell r="K6">
            <v>3615</v>
          </cell>
          <cell r="L6">
            <v>200000</v>
          </cell>
        </row>
        <row r="7">
          <cell r="J7">
            <v>87800</v>
          </cell>
          <cell r="K7">
            <v>10536</v>
          </cell>
          <cell r="L7">
            <v>0</v>
          </cell>
        </row>
        <row r="8">
          <cell r="J8">
            <v>18300</v>
          </cell>
          <cell r="K8">
            <v>2196</v>
          </cell>
          <cell r="L8">
            <v>0</v>
          </cell>
        </row>
        <row r="9">
          <cell r="J9">
            <v>59200</v>
          </cell>
          <cell r="K9">
            <v>7104</v>
          </cell>
          <cell r="L9">
            <v>425000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20100</v>
          </cell>
          <cell r="K4">
            <v>2412</v>
          </cell>
          <cell r="L4">
            <v>21250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129450</v>
          </cell>
          <cell r="K4">
            <v>15534</v>
          </cell>
          <cell r="L4">
            <v>97750</v>
          </cell>
        </row>
        <row r="5">
          <cell r="J5">
            <v>119750</v>
          </cell>
          <cell r="K5">
            <v>14370</v>
          </cell>
          <cell r="L5">
            <v>106250</v>
          </cell>
        </row>
        <row r="6">
          <cell r="J6">
            <v>6700</v>
          </cell>
          <cell r="K6">
            <v>670</v>
          </cell>
          <cell r="L6">
            <v>50000</v>
          </cell>
        </row>
        <row r="7">
          <cell r="J7">
            <v>54350</v>
          </cell>
          <cell r="K7">
            <v>6522</v>
          </cell>
          <cell r="L7">
            <v>21250</v>
          </cell>
        </row>
        <row r="8">
          <cell r="J8">
            <v>6600</v>
          </cell>
          <cell r="K8">
            <v>792</v>
          </cell>
          <cell r="L8">
            <v>17000</v>
          </cell>
        </row>
      </sheetData>
      <sheetData sheetId="20">
        <row r="4">
          <cell r="J4">
            <v>79800</v>
          </cell>
          <cell r="K4">
            <v>9576</v>
          </cell>
          <cell r="L4">
            <v>0</v>
          </cell>
        </row>
        <row r="5">
          <cell r="J5">
            <v>31050</v>
          </cell>
          <cell r="K5">
            <v>3726</v>
          </cell>
          <cell r="L5">
            <v>40000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44400</v>
          </cell>
          <cell r="K4">
            <v>5328</v>
          </cell>
          <cell r="L4">
            <v>0</v>
          </cell>
        </row>
        <row r="5">
          <cell r="J5">
            <v>23200</v>
          </cell>
          <cell r="K5">
            <v>2784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34023.5</v>
          </cell>
        </row>
        <row r="12">
          <cell r="G12">
            <v>35000</v>
          </cell>
        </row>
        <row r="19">
          <cell r="D19">
            <v>489750</v>
          </cell>
          <cell r="E19">
            <v>63667.5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190600</v>
          </cell>
          <cell r="K4">
            <v>24778</v>
          </cell>
          <cell r="L4">
            <v>59500</v>
          </cell>
        </row>
        <row r="5">
          <cell r="J5">
            <v>69600</v>
          </cell>
          <cell r="K5">
            <v>9048</v>
          </cell>
          <cell r="L5">
            <v>0</v>
          </cell>
        </row>
        <row r="6">
          <cell r="J6">
            <v>12400</v>
          </cell>
          <cell r="K6">
            <v>1612</v>
          </cell>
          <cell r="L6">
            <v>0</v>
          </cell>
        </row>
      </sheetData>
      <sheetData sheetId="12">
        <row r="4">
          <cell r="J4">
            <v>184300</v>
          </cell>
          <cell r="K4">
            <v>23959</v>
          </cell>
          <cell r="L4">
            <v>38250</v>
          </cell>
        </row>
        <row r="5">
          <cell r="J5">
            <v>30400</v>
          </cell>
          <cell r="K5">
            <v>3952</v>
          </cell>
          <cell r="L5">
            <v>0</v>
          </cell>
        </row>
        <row r="6">
          <cell r="J6">
            <v>2450</v>
          </cell>
          <cell r="K6">
            <v>318.5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223600</v>
          </cell>
          <cell r="K4">
            <v>26832</v>
          </cell>
          <cell r="L4">
            <v>263500</v>
          </cell>
        </row>
        <row r="5">
          <cell r="J5">
            <v>214100</v>
          </cell>
          <cell r="K5">
            <v>25692</v>
          </cell>
          <cell r="L5">
            <v>184000</v>
          </cell>
        </row>
        <row r="7">
          <cell r="J7">
            <v>97500</v>
          </cell>
          <cell r="K7">
            <v>11700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396350</v>
          </cell>
          <cell r="K4">
            <v>47562</v>
          </cell>
          <cell r="L4">
            <v>480250</v>
          </cell>
        </row>
        <row r="5">
          <cell r="J5">
            <v>195250</v>
          </cell>
          <cell r="K5">
            <v>23430</v>
          </cell>
          <cell r="L5">
            <v>782000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39750</v>
          </cell>
          <cell r="K7">
            <v>4770</v>
          </cell>
          <cell r="L7">
            <v>0</v>
          </cell>
        </row>
        <row r="8">
          <cell r="J8">
            <v>45650</v>
          </cell>
          <cell r="K8">
            <v>5478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425000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72650</v>
          </cell>
          <cell r="K4">
            <v>8718</v>
          </cell>
          <cell r="L4">
            <v>25500</v>
          </cell>
        </row>
        <row r="5">
          <cell r="J5">
            <v>37200</v>
          </cell>
          <cell r="K5">
            <v>4464</v>
          </cell>
          <cell r="L5">
            <v>0</v>
          </cell>
        </row>
        <row r="6">
          <cell r="J6">
            <v>6650</v>
          </cell>
          <cell r="K6">
            <v>665</v>
          </cell>
          <cell r="L6">
            <v>0</v>
          </cell>
        </row>
        <row r="7">
          <cell r="J7">
            <v>45900</v>
          </cell>
          <cell r="K7">
            <v>5508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121800</v>
          </cell>
          <cell r="K4">
            <v>14616</v>
          </cell>
          <cell r="L4">
            <v>119000</v>
          </cell>
        </row>
        <row r="5">
          <cell r="J5">
            <v>56200</v>
          </cell>
          <cell r="K5">
            <v>6744</v>
          </cell>
          <cell r="L5">
            <v>0</v>
          </cell>
        </row>
      </sheetData>
      <sheetData sheetId="21">
        <row r="4">
          <cell r="J4">
            <v>76850</v>
          </cell>
          <cell r="K4">
            <v>11527.5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68200</v>
          </cell>
          <cell r="K4">
            <v>8184</v>
          </cell>
          <cell r="L4">
            <v>46750</v>
          </cell>
        </row>
        <row r="5">
          <cell r="J5">
            <v>24200</v>
          </cell>
          <cell r="K5">
            <v>2904</v>
          </cell>
          <cell r="L5">
            <v>56000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41621</v>
          </cell>
        </row>
        <row r="12">
          <cell r="G12">
            <v>35000</v>
          </cell>
        </row>
        <row r="19">
          <cell r="D19">
            <v>417100</v>
          </cell>
          <cell r="E19">
            <v>54223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137000</v>
          </cell>
          <cell r="K4">
            <v>17810</v>
          </cell>
          <cell r="L4">
            <v>17000</v>
          </cell>
        </row>
        <row r="5">
          <cell r="J5">
            <v>44700</v>
          </cell>
          <cell r="K5">
            <v>5811</v>
          </cell>
          <cell r="L5">
            <v>60000</v>
          </cell>
        </row>
        <row r="6">
          <cell r="J6">
            <v>16050</v>
          </cell>
          <cell r="K6">
            <v>2086.5</v>
          </cell>
          <cell r="L6">
            <v>16000</v>
          </cell>
        </row>
      </sheetData>
      <sheetData sheetId="12">
        <row r="4">
          <cell r="J4">
            <v>195400</v>
          </cell>
          <cell r="K4">
            <v>25402</v>
          </cell>
          <cell r="L4">
            <v>110500</v>
          </cell>
        </row>
        <row r="5">
          <cell r="J5">
            <v>18650</v>
          </cell>
          <cell r="K5">
            <v>2424.5</v>
          </cell>
          <cell r="L5">
            <v>80000</v>
          </cell>
        </row>
        <row r="6">
          <cell r="J6">
            <v>5300</v>
          </cell>
          <cell r="K6">
            <v>689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175100</v>
          </cell>
          <cell r="K4">
            <v>21012</v>
          </cell>
          <cell r="L4">
            <v>114750</v>
          </cell>
        </row>
        <row r="5">
          <cell r="J5">
            <v>177200</v>
          </cell>
          <cell r="K5">
            <v>21264</v>
          </cell>
          <cell r="L5">
            <v>100000</v>
          </cell>
        </row>
        <row r="7">
          <cell r="J7">
            <v>65800</v>
          </cell>
          <cell r="K7">
            <v>7896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460100</v>
          </cell>
          <cell r="K4">
            <v>55212</v>
          </cell>
          <cell r="L4">
            <v>301750</v>
          </cell>
        </row>
        <row r="5">
          <cell r="J5">
            <v>194250</v>
          </cell>
          <cell r="K5">
            <v>23310</v>
          </cell>
          <cell r="L5">
            <v>51000</v>
          </cell>
        </row>
        <row r="6">
          <cell r="J6">
            <v>50450</v>
          </cell>
          <cell r="K6">
            <v>5045</v>
          </cell>
          <cell r="L6">
            <v>0</v>
          </cell>
        </row>
        <row r="7">
          <cell r="J7">
            <v>39400</v>
          </cell>
          <cell r="K7">
            <v>4728</v>
          </cell>
          <cell r="L7">
            <v>21250</v>
          </cell>
        </row>
        <row r="8">
          <cell r="J8">
            <v>28250</v>
          </cell>
          <cell r="K8">
            <v>3390</v>
          </cell>
          <cell r="L8">
            <v>21250</v>
          </cell>
        </row>
        <row r="9">
          <cell r="J9">
            <v>58700</v>
          </cell>
          <cell r="K9">
            <v>7044</v>
          </cell>
          <cell r="L9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38050</v>
          </cell>
          <cell r="K4">
            <v>4566</v>
          </cell>
          <cell r="L4">
            <v>42500</v>
          </cell>
        </row>
        <row r="5">
          <cell r="J5">
            <v>29900</v>
          </cell>
          <cell r="K5">
            <v>3588</v>
          </cell>
          <cell r="L5">
            <v>0</v>
          </cell>
        </row>
        <row r="6">
          <cell r="J6">
            <v>4200</v>
          </cell>
          <cell r="K6">
            <v>420</v>
          </cell>
          <cell r="L6">
            <v>0</v>
          </cell>
        </row>
        <row r="7">
          <cell r="J7">
            <v>27700</v>
          </cell>
          <cell r="K7">
            <v>3324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111450</v>
          </cell>
          <cell r="K4">
            <v>13374</v>
          </cell>
          <cell r="L4">
            <v>42500</v>
          </cell>
        </row>
        <row r="5">
          <cell r="J5">
            <v>57300</v>
          </cell>
          <cell r="K5">
            <v>6876</v>
          </cell>
          <cell r="L5">
            <v>0</v>
          </cell>
        </row>
      </sheetData>
      <sheetData sheetId="21">
        <row r="4">
          <cell r="J4">
            <v>81450</v>
          </cell>
          <cell r="K4">
            <v>12217.5</v>
          </cell>
          <cell r="L4">
            <v>176000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54700</v>
          </cell>
          <cell r="K4">
            <v>6564</v>
          </cell>
          <cell r="L4">
            <v>80750</v>
          </cell>
        </row>
        <row r="5">
          <cell r="J5">
            <v>20250</v>
          </cell>
          <cell r="K5">
            <v>2430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31301.5</v>
          </cell>
        </row>
        <row r="12">
          <cell r="G12">
            <v>35000</v>
          </cell>
        </row>
        <row r="19">
          <cell r="D19">
            <v>388600</v>
          </cell>
          <cell r="E19">
            <v>50518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170200</v>
          </cell>
          <cell r="K4">
            <v>22126</v>
          </cell>
          <cell r="L4">
            <v>272000</v>
          </cell>
        </row>
        <row r="5">
          <cell r="J5">
            <v>32450</v>
          </cell>
          <cell r="K5">
            <v>4218.5</v>
          </cell>
          <cell r="L5">
            <v>0</v>
          </cell>
        </row>
        <row r="6">
          <cell r="J6">
            <v>9050</v>
          </cell>
          <cell r="K6">
            <v>1176.5</v>
          </cell>
          <cell r="L6">
            <v>24000</v>
          </cell>
        </row>
      </sheetData>
      <sheetData sheetId="12">
        <row r="4">
          <cell r="J4">
            <v>163450</v>
          </cell>
          <cell r="K4">
            <v>21248.5</v>
          </cell>
          <cell r="L4">
            <v>178500</v>
          </cell>
        </row>
        <row r="5">
          <cell r="J5">
            <v>13450</v>
          </cell>
          <cell r="K5">
            <v>1748.5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226150</v>
          </cell>
          <cell r="K4">
            <v>27138</v>
          </cell>
          <cell r="L4">
            <v>395250</v>
          </cell>
        </row>
        <row r="5">
          <cell r="J5">
            <v>199500</v>
          </cell>
          <cell r="K5">
            <v>23940</v>
          </cell>
          <cell r="L5">
            <v>184000</v>
          </cell>
        </row>
        <row r="7">
          <cell r="J7">
            <v>75200</v>
          </cell>
          <cell r="K7">
            <v>9024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342200</v>
          </cell>
          <cell r="K4">
            <v>41064</v>
          </cell>
          <cell r="L4">
            <v>382500</v>
          </cell>
        </row>
        <row r="5">
          <cell r="J5">
            <v>211400</v>
          </cell>
          <cell r="K5">
            <v>25368</v>
          </cell>
          <cell r="L5">
            <v>106250</v>
          </cell>
        </row>
        <row r="6">
          <cell r="J6">
            <v>37050</v>
          </cell>
          <cell r="K6">
            <v>3705</v>
          </cell>
          <cell r="L6">
            <v>0</v>
          </cell>
        </row>
        <row r="7">
          <cell r="J7">
            <v>35350</v>
          </cell>
          <cell r="K7">
            <v>4242</v>
          </cell>
          <cell r="L7">
            <v>0</v>
          </cell>
        </row>
        <row r="8">
          <cell r="J8">
            <v>44400</v>
          </cell>
          <cell r="K8">
            <v>5328</v>
          </cell>
          <cell r="L8">
            <v>0</v>
          </cell>
        </row>
        <row r="9">
          <cell r="J9">
            <v>70600</v>
          </cell>
          <cell r="K9">
            <v>8472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13000</v>
          </cell>
          <cell r="K4">
            <v>1560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21250</v>
          </cell>
        </row>
        <row r="5">
          <cell r="J5">
            <v>57000</v>
          </cell>
          <cell r="K5">
            <v>6840</v>
          </cell>
          <cell r="L5">
            <v>59500</v>
          </cell>
        </row>
        <row r="6">
          <cell r="J6">
            <v>7000</v>
          </cell>
          <cell r="K6">
            <v>700</v>
          </cell>
          <cell r="L6">
            <v>0</v>
          </cell>
        </row>
        <row r="7">
          <cell r="J7">
            <v>34850</v>
          </cell>
          <cell r="K7">
            <v>4182</v>
          </cell>
          <cell r="L7">
            <v>42500</v>
          </cell>
        </row>
        <row r="8">
          <cell r="J8">
            <v>8250</v>
          </cell>
          <cell r="K8">
            <v>990</v>
          </cell>
          <cell r="L8">
            <v>0</v>
          </cell>
        </row>
      </sheetData>
      <sheetData sheetId="20">
        <row r="4">
          <cell r="J4">
            <v>91600</v>
          </cell>
          <cell r="K4">
            <v>10992</v>
          </cell>
          <cell r="L4">
            <v>42500</v>
          </cell>
        </row>
        <row r="5">
          <cell r="J5">
            <v>58150</v>
          </cell>
          <cell r="K5">
            <v>6978</v>
          </cell>
          <cell r="L5">
            <v>0</v>
          </cell>
        </row>
      </sheetData>
      <sheetData sheetId="21">
        <row r="4">
          <cell r="J4">
            <v>96950</v>
          </cell>
          <cell r="K4">
            <v>14542.5</v>
          </cell>
          <cell r="L4">
            <v>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50700</v>
          </cell>
          <cell r="K4">
            <v>6084</v>
          </cell>
          <cell r="L4">
            <v>59500</v>
          </cell>
        </row>
        <row r="5">
          <cell r="J5">
            <v>14350</v>
          </cell>
          <cell r="K5">
            <v>1722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45659.5</v>
          </cell>
        </row>
        <row r="12">
          <cell r="G12">
            <v>20000</v>
          </cell>
        </row>
        <row r="19">
          <cell r="D19">
            <v>443300</v>
          </cell>
          <cell r="E19">
            <v>57629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176500</v>
          </cell>
          <cell r="K4">
            <v>22945</v>
          </cell>
          <cell r="L4">
            <v>204000</v>
          </cell>
        </row>
        <row r="5">
          <cell r="J5">
            <v>32050</v>
          </cell>
          <cell r="K5">
            <v>4166.5</v>
          </cell>
          <cell r="L5">
            <v>32000</v>
          </cell>
        </row>
        <row r="6">
          <cell r="J6">
            <v>5200</v>
          </cell>
          <cell r="K6">
            <v>676</v>
          </cell>
          <cell r="L6">
            <v>0</v>
          </cell>
        </row>
      </sheetData>
      <sheetData sheetId="12">
        <row r="4">
          <cell r="J4">
            <v>197350</v>
          </cell>
          <cell r="K4">
            <v>25655.5</v>
          </cell>
          <cell r="L4">
            <v>165750</v>
          </cell>
        </row>
        <row r="5">
          <cell r="J5">
            <v>31100</v>
          </cell>
          <cell r="K5">
            <v>4043</v>
          </cell>
          <cell r="L5">
            <v>16000</v>
          </cell>
        </row>
        <row r="6">
          <cell r="J6">
            <v>1100</v>
          </cell>
          <cell r="K6">
            <v>143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208150</v>
          </cell>
          <cell r="K4">
            <v>24978</v>
          </cell>
          <cell r="L4">
            <v>212500</v>
          </cell>
        </row>
        <row r="5">
          <cell r="J5">
            <v>214650</v>
          </cell>
          <cell r="K5">
            <v>25758</v>
          </cell>
          <cell r="L5">
            <v>228000</v>
          </cell>
        </row>
        <row r="7">
          <cell r="J7">
            <v>59450</v>
          </cell>
          <cell r="K7">
            <v>7134</v>
          </cell>
          <cell r="L7">
            <v>88000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380550</v>
          </cell>
          <cell r="K4">
            <v>45666</v>
          </cell>
          <cell r="L4">
            <v>199750</v>
          </cell>
        </row>
        <row r="5">
          <cell r="J5">
            <v>188050</v>
          </cell>
          <cell r="K5">
            <v>22566</v>
          </cell>
          <cell r="L5">
            <v>174250</v>
          </cell>
        </row>
        <row r="6">
          <cell r="J6">
            <v>52050</v>
          </cell>
          <cell r="K6">
            <v>5205</v>
          </cell>
          <cell r="L6">
            <v>0</v>
          </cell>
        </row>
        <row r="7">
          <cell r="J7">
            <v>43650</v>
          </cell>
          <cell r="K7">
            <v>5238</v>
          </cell>
          <cell r="L7">
            <v>106250</v>
          </cell>
        </row>
        <row r="8">
          <cell r="J8">
            <v>28950</v>
          </cell>
          <cell r="K8">
            <v>3474</v>
          </cell>
          <cell r="L8">
            <v>0</v>
          </cell>
        </row>
        <row r="9">
          <cell r="J9">
            <v>65650</v>
          </cell>
          <cell r="K9">
            <v>7878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73800</v>
          </cell>
          <cell r="K4">
            <v>8856</v>
          </cell>
          <cell r="L4">
            <v>46750</v>
          </cell>
        </row>
        <row r="5">
          <cell r="J5">
            <v>67050</v>
          </cell>
          <cell r="K5">
            <v>8046</v>
          </cell>
          <cell r="L5">
            <v>80750</v>
          </cell>
        </row>
        <row r="6">
          <cell r="J6">
            <v>4350</v>
          </cell>
          <cell r="K6">
            <v>435</v>
          </cell>
          <cell r="L6">
            <v>0</v>
          </cell>
        </row>
        <row r="7">
          <cell r="J7">
            <v>30750</v>
          </cell>
          <cell r="K7">
            <v>3690</v>
          </cell>
          <cell r="L7">
            <v>34000</v>
          </cell>
        </row>
        <row r="8">
          <cell r="J8">
            <v>5250</v>
          </cell>
          <cell r="K8">
            <v>630</v>
          </cell>
          <cell r="L8">
            <v>0</v>
          </cell>
        </row>
      </sheetData>
      <sheetData sheetId="20">
        <row r="4">
          <cell r="J4">
            <v>130850</v>
          </cell>
          <cell r="K4">
            <v>15702</v>
          </cell>
          <cell r="L4">
            <v>68000</v>
          </cell>
        </row>
        <row r="5">
          <cell r="J5">
            <v>79300</v>
          </cell>
          <cell r="K5">
            <v>9516</v>
          </cell>
          <cell r="L5">
            <v>104000</v>
          </cell>
        </row>
      </sheetData>
      <sheetData sheetId="21">
        <row r="4">
          <cell r="J4">
            <v>103150</v>
          </cell>
          <cell r="K4">
            <v>15472.5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70850</v>
          </cell>
          <cell r="K4">
            <v>8502</v>
          </cell>
          <cell r="L4">
            <v>131750</v>
          </cell>
        </row>
        <row r="5">
          <cell r="J5">
            <v>43750</v>
          </cell>
          <cell r="K5">
            <v>5250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45106.5</v>
          </cell>
        </row>
        <row r="12">
          <cell r="G12">
            <v>20000</v>
          </cell>
        </row>
        <row r="19">
          <cell r="D19">
            <v>527850</v>
          </cell>
          <cell r="E19">
            <v>68620.5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267950</v>
          </cell>
          <cell r="K4">
            <v>34833.5</v>
          </cell>
          <cell r="L4">
            <v>114750</v>
          </cell>
        </row>
        <row r="5">
          <cell r="J5">
            <v>43800</v>
          </cell>
          <cell r="K5">
            <v>5694</v>
          </cell>
          <cell r="L5">
            <v>32000</v>
          </cell>
        </row>
        <row r="6">
          <cell r="J6">
            <v>7650</v>
          </cell>
          <cell r="K6">
            <v>994.5</v>
          </cell>
          <cell r="L6">
            <v>0</v>
          </cell>
        </row>
      </sheetData>
      <sheetData sheetId="12">
        <row r="4">
          <cell r="J4">
            <v>179250</v>
          </cell>
          <cell r="K4">
            <v>23302.5</v>
          </cell>
          <cell r="L4">
            <v>170000</v>
          </cell>
        </row>
        <row r="5">
          <cell r="J5">
            <v>20450</v>
          </cell>
          <cell r="K5">
            <v>2658.5</v>
          </cell>
          <cell r="L5">
            <v>0</v>
          </cell>
        </row>
        <row r="6">
          <cell r="J6">
            <v>8750</v>
          </cell>
          <cell r="K6">
            <v>1137.5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218950</v>
          </cell>
          <cell r="K4">
            <v>26274</v>
          </cell>
          <cell r="L4">
            <v>97750</v>
          </cell>
        </row>
        <row r="5">
          <cell r="J5">
            <v>171200</v>
          </cell>
          <cell r="K5">
            <v>20544</v>
          </cell>
          <cell r="L5">
            <v>280000</v>
          </cell>
        </row>
        <row r="7">
          <cell r="J7">
            <v>72600</v>
          </cell>
          <cell r="K7">
            <v>8712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504200</v>
          </cell>
          <cell r="K4">
            <v>60504</v>
          </cell>
          <cell r="L4">
            <v>612000</v>
          </cell>
        </row>
        <row r="5">
          <cell r="J5">
            <v>346000</v>
          </cell>
          <cell r="K5">
            <v>41520</v>
          </cell>
          <cell r="L5">
            <v>522750</v>
          </cell>
        </row>
        <row r="6">
          <cell r="J6">
            <v>47150</v>
          </cell>
          <cell r="K6">
            <v>4715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4250</v>
          </cell>
        </row>
        <row r="8">
          <cell r="J8">
            <v>69700</v>
          </cell>
          <cell r="K8">
            <v>8364</v>
          </cell>
          <cell r="L8">
            <v>21250</v>
          </cell>
        </row>
        <row r="9">
          <cell r="J9">
            <v>82750</v>
          </cell>
          <cell r="K9">
            <v>9930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26000</v>
          </cell>
          <cell r="K4">
            <v>3120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38350</v>
          </cell>
          <cell r="K4">
            <v>4602</v>
          </cell>
          <cell r="L4">
            <v>0</v>
          </cell>
        </row>
        <row r="5">
          <cell r="J5">
            <v>17700</v>
          </cell>
          <cell r="K5">
            <v>2124</v>
          </cell>
          <cell r="L5">
            <v>8500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25500</v>
          </cell>
          <cell r="K7">
            <v>3060</v>
          </cell>
          <cell r="L7">
            <v>0</v>
          </cell>
        </row>
        <row r="8">
          <cell r="J8">
            <v>800</v>
          </cell>
          <cell r="K8">
            <v>96</v>
          </cell>
          <cell r="L8">
            <v>0</v>
          </cell>
        </row>
      </sheetData>
      <sheetData sheetId="20">
        <row r="4">
          <cell r="J4">
            <v>95050</v>
          </cell>
          <cell r="K4">
            <v>11406</v>
          </cell>
          <cell r="L4">
            <v>153000</v>
          </cell>
        </row>
        <row r="5">
          <cell r="J5">
            <v>47500</v>
          </cell>
          <cell r="K5">
            <v>5700</v>
          </cell>
          <cell r="L5">
            <v>0</v>
          </cell>
        </row>
      </sheetData>
      <sheetData sheetId="21">
        <row r="4">
          <cell r="J4">
            <v>106000</v>
          </cell>
          <cell r="K4">
            <v>15900</v>
          </cell>
          <cell r="L4">
            <v>120000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68050</v>
          </cell>
          <cell r="K4">
            <v>8166</v>
          </cell>
          <cell r="L4">
            <v>80750</v>
          </cell>
        </row>
        <row r="5">
          <cell r="J5">
            <v>21500</v>
          </cell>
          <cell r="K5">
            <v>2580</v>
          </cell>
          <cell r="L5">
            <v>28000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3500</v>
          </cell>
          <cell r="K7">
            <v>420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44106.5</v>
          </cell>
        </row>
        <row r="12">
          <cell r="G12">
            <v>35000</v>
          </cell>
        </row>
        <row r="19">
          <cell r="D19">
            <v>431900</v>
          </cell>
          <cell r="E19">
            <v>56147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178400</v>
          </cell>
          <cell r="K4">
            <v>23192</v>
          </cell>
          <cell r="L4">
            <v>68000</v>
          </cell>
        </row>
        <row r="5">
          <cell r="J5">
            <v>35600</v>
          </cell>
          <cell r="K5">
            <v>4628</v>
          </cell>
          <cell r="L5">
            <v>16000</v>
          </cell>
        </row>
        <row r="6">
          <cell r="J6">
            <v>9850</v>
          </cell>
          <cell r="K6">
            <v>1280.5</v>
          </cell>
          <cell r="L6">
            <v>0</v>
          </cell>
        </row>
      </sheetData>
      <sheetData sheetId="12">
        <row r="4">
          <cell r="J4">
            <v>186450</v>
          </cell>
          <cell r="K4">
            <v>24238.5</v>
          </cell>
          <cell r="L4">
            <v>29750</v>
          </cell>
        </row>
        <row r="5">
          <cell r="J5">
            <v>21600</v>
          </cell>
          <cell r="K5">
            <v>2808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227400</v>
          </cell>
          <cell r="K4">
            <v>27288</v>
          </cell>
          <cell r="L4">
            <v>199750</v>
          </cell>
        </row>
        <row r="5">
          <cell r="J5">
            <v>185850</v>
          </cell>
          <cell r="K5">
            <v>22302</v>
          </cell>
          <cell r="L5">
            <v>152000</v>
          </cell>
        </row>
        <row r="7">
          <cell r="J7">
            <v>60750</v>
          </cell>
          <cell r="K7">
            <v>7290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385800</v>
          </cell>
          <cell r="K4">
            <v>46296</v>
          </cell>
          <cell r="L4">
            <v>119000</v>
          </cell>
        </row>
        <row r="5">
          <cell r="J5">
            <v>178300</v>
          </cell>
          <cell r="K5">
            <v>21396</v>
          </cell>
          <cell r="L5">
            <v>25500</v>
          </cell>
        </row>
        <row r="6">
          <cell r="J6">
            <v>23900</v>
          </cell>
          <cell r="K6">
            <v>2390</v>
          </cell>
          <cell r="L6">
            <v>0</v>
          </cell>
        </row>
        <row r="7">
          <cell r="J7">
            <v>43000</v>
          </cell>
          <cell r="K7">
            <v>5160</v>
          </cell>
          <cell r="L7">
            <v>0</v>
          </cell>
        </row>
        <row r="8">
          <cell r="J8">
            <v>93100</v>
          </cell>
          <cell r="K8">
            <v>11172</v>
          </cell>
          <cell r="L8">
            <v>0</v>
          </cell>
        </row>
        <row r="9">
          <cell r="J9">
            <v>112400</v>
          </cell>
          <cell r="K9">
            <v>13488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53300</v>
          </cell>
          <cell r="K4">
            <v>6396</v>
          </cell>
          <cell r="L4">
            <v>0</v>
          </cell>
        </row>
        <row r="5">
          <cell r="J5">
            <v>27300</v>
          </cell>
          <cell r="K5">
            <v>3276</v>
          </cell>
          <cell r="L5">
            <v>76500</v>
          </cell>
        </row>
        <row r="6">
          <cell r="J6">
            <v>9200</v>
          </cell>
          <cell r="K6">
            <v>920</v>
          </cell>
          <cell r="L6">
            <v>0</v>
          </cell>
        </row>
        <row r="7">
          <cell r="J7">
            <v>36050</v>
          </cell>
          <cell r="K7">
            <v>4326</v>
          </cell>
          <cell r="L7">
            <v>0</v>
          </cell>
        </row>
        <row r="8">
          <cell r="J8">
            <v>1400</v>
          </cell>
          <cell r="K8">
            <v>168</v>
          </cell>
          <cell r="L8">
            <v>0</v>
          </cell>
        </row>
      </sheetData>
      <sheetData sheetId="20">
        <row r="4">
          <cell r="J4">
            <v>129700</v>
          </cell>
          <cell r="K4">
            <v>15564</v>
          </cell>
          <cell r="L4">
            <v>59500</v>
          </cell>
        </row>
        <row r="5">
          <cell r="J5">
            <v>85950</v>
          </cell>
          <cell r="K5">
            <v>10314</v>
          </cell>
          <cell r="L5">
            <v>152000</v>
          </cell>
        </row>
      </sheetData>
      <sheetData sheetId="21">
        <row r="4">
          <cell r="J4">
            <v>70900</v>
          </cell>
          <cell r="K4">
            <v>10635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52100</v>
          </cell>
          <cell r="K4">
            <v>6252</v>
          </cell>
          <cell r="L4">
            <v>34000</v>
          </cell>
        </row>
        <row r="5">
          <cell r="J5">
            <v>31850</v>
          </cell>
          <cell r="K5">
            <v>3822</v>
          </cell>
          <cell r="L5">
            <v>16000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41819.5</v>
          </cell>
        </row>
        <row r="12">
          <cell r="G12">
            <v>35000</v>
          </cell>
        </row>
        <row r="19">
          <cell r="D19">
            <v>372700</v>
          </cell>
          <cell r="E19">
            <v>48451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166400</v>
          </cell>
          <cell r="K4">
            <v>21632</v>
          </cell>
          <cell r="L4">
            <v>85000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4700</v>
          </cell>
          <cell r="K6">
            <v>611</v>
          </cell>
          <cell r="L6">
            <v>0</v>
          </cell>
        </row>
      </sheetData>
      <sheetData sheetId="12">
        <row r="4">
          <cell r="J4">
            <v>148850</v>
          </cell>
          <cell r="K4">
            <v>19350.5</v>
          </cell>
          <cell r="L4">
            <v>191250</v>
          </cell>
        </row>
        <row r="5">
          <cell r="J5">
            <v>21250</v>
          </cell>
          <cell r="K5">
            <v>2762.5</v>
          </cell>
          <cell r="L5">
            <v>0</v>
          </cell>
        </row>
        <row r="6">
          <cell r="J6">
            <v>250</v>
          </cell>
          <cell r="K6">
            <v>32.5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177150</v>
          </cell>
          <cell r="K4">
            <v>21258</v>
          </cell>
          <cell r="L4">
            <v>51000</v>
          </cell>
        </row>
        <row r="5">
          <cell r="J5">
            <v>166250</v>
          </cell>
          <cell r="K5">
            <v>19950</v>
          </cell>
          <cell r="L5">
            <v>136000</v>
          </cell>
        </row>
        <row r="7">
          <cell r="J7">
            <v>66100</v>
          </cell>
          <cell r="K7">
            <v>7932</v>
          </cell>
          <cell r="L7">
            <v>48000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348750</v>
          </cell>
          <cell r="K4">
            <v>41850</v>
          </cell>
          <cell r="L4">
            <v>212500</v>
          </cell>
        </row>
        <row r="5">
          <cell r="J5">
            <v>164900</v>
          </cell>
          <cell r="K5">
            <v>19788</v>
          </cell>
          <cell r="L5">
            <v>72250</v>
          </cell>
        </row>
        <row r="6">
          <cell r="J6">
            <v>37700</v>
          </cell>
          <cell r="K6">
            <v>3770</v>
          </cell>
          <cell r="L6">
            <v>100000</v>
          </cell>
        </row>
        <row r="7">
          <cell r="J7">
            <v>69800</v>
          </cell>
          <cell r="K7">
            <v>8376</v>
          </cell>
          <cell r="L7">
            <v>255000</v>
          </cell>
        </row>
        <row r="8">
          <cell r="J8">
            <v>30950</v>
          </cell>
          <cell r="K8">
            <v>3714</v>
          </cell>
          <cell r="L8">
            <v>21250</v>
          </cell>
        </row>
        <row r="9">
          <cell r="J9">
            <v>93800</v>
          </cell>
          <cell r="K9">
            <v>11256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22500</v>
          </cell>
          <cell r="K4">
            <v>2700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91250</v>
          </cell>
          <cell r="K4">
            <v>10950</v>
          </cell>
          <cell r="L4">
            <v>119000</v>
          </cell>
        </row>
        <row r="5">
          <cell r="J5">
            <v>85400</v>
          </cell>
          <cell r="K5">
            <v>10248</v>
          </cell>
          <cell r="L5">
            <v>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36250</v>
          </cell>
          <cell r="K7">
            <v>4350</v>
          </cell>
          <cell r="L7">
            <v>38250</v>
          </cell>
        </row>
        <row r="8">
          <cell r="J8">
            <v>5000</v>
          </cell>
          <cell r="K8">
            <v>600</v>
          </cell>
          <cell r="L8">
            <v>0</v>
          </cell>
        </row>
      </sheetData>
      <sheetData sheetId="20">
        <row r="4">
          <cell r="J4">
            <v>120250</v>
          </cell>
          <cell r="K4">
            <v>14430</v>
          </cell>
          <cell r="L4">
            <v>195500</v>
          </cell>
        </row>
        <row r="5">
          <cell r="J5">
            <v>75500</v>
          </cell>
          <cell r="K5">
            <v>9060</v>
          </cell>
          <cell r="L5">
            <v>0</v>
          </cell>
        </row>
      </sheetData>
      <sheetData sheetId="21">
        <row r="4">
          <cell r="J4">
            <v>104450</v>
          </cell>
          <cell r="K4">
            <v>15667.5</v>
          </cell>
          <cell r="L4">
            <v>32000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67850</v>
          </cell>
          <cell r="K4">
            <v>8142</v>
          </cell>
          <cell r="L4">
            <v>38250</v>
          </cell>
        </row>
        <row r="5">
          <cell r="J5">
            <v>47300</v>
          </cell>
          <cell r="K5">
            <v>5676</v>
          </cell>
          <cell r="L5">
            <v>20000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4000</v>
          </cell>
          <cell r="K7">
            <v>480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37226.5</v>
          </cell>
        </row>
        <row r="12">
          <cell r="G12">
            <v>35000</v>
          </cell>
        </row>
        <row r="19">
          <cell r="D19">
            <v>415250</v>
          </cell>
          <cell r="E19">
            <v>53982.5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173650</v>
          </cell>
          <cell r="K4">
            <v>22574.5</v>
          </cell>
          <cell r="L4">
            <v>318750</v>
          </cell>
        </row>
        <row r="5">
          <cell r="J5">
            <v>37750</v>
          </cell>
          <cell r="K5">
            <v>4907.5</v>
          </cell>
          <cell r="L5">
            <v>40000</v>
          </cell>
        </row>
        <row r="6">
          <cell r="J6">
            <v>11300</v>
          </cell>
          <cell r="K6">
            <v>1469</v>
          </cell>
          <cell r="L6">
            <v>0</v>
          </cell>
        </row>
      </sheetData>
      <sheetData sheetId="12">
        <row r="4">
          <cell r="J4">
            <v>155950</v>
          </cell>
          <cell r="K4">
            <v>20273.5</v>
          </cell>
          <cell r="L4">
            <v>437750</v>
          </cell>
        </row>
        <row r="5">
          <cell r="J5">
            <v>34800</v>
          </cell>
          <cell r="K5">
            <v>4524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144350</v>
          </cell>
          <cell r="K4">
            <v>17322</v>
          </cell>
          <cell r="L4">
            <v>161500</v>
          </cell>
        </row>
        <row r="5">
          <cell r="J5">
            <v>95350</v>
          </cell>
          <cell r="K5">
            <v>11442</v>
          </cell>
          <cell r="L5">
            <v>28000</v>
          </cell>
        </row>
        <row r="7">
          <cell r="J7">
            <v>66250</v>
          </cell>
          <cell r="K7">
            <v>7950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482050</v>
          </cell>
          <cell r="K4">
            <v>57846</v>
          </cell>
          <cell r="L4">
            <v>616250</v>
          </cell>
        </row>
        <row r="5">
          <cell r="J5">
            <v>328800</v>
          </cell>
          <cell r="K5">
            <v>39456</v>
          </cell>
          <cell r="L5">
            <v>195500</v>
          </cell>
        </row>
        <row r="6">
          <cell r="J6">
            <v>43650</v>
          </cell>
          <cell r="K6">
            <v>4365</v>
          </cell>
          <cell r="L6">
            <v>100000</v>
          </cell>
        </row>
        <row r="7">
          <cell r="J7">
            <v>130850</v>
          </cell>
          <cell r="K7">
            <v>15702</v>
          </cell>
          <cell r="L7">
            <v>102000</v>
          </cell>
        </row>
        <row r="8">
          <cell r="J8">
            <v>183950</v>
          </cell>
          <cell r="K8">
            <v>22074</v>
          </cell>
          <cell r="L8">
            <v>242250</v>
          </cell>
        </row>
        <row r="9">
          <cell r="J9">
            <v>75500</v>
          </cell>
          <cell r="K9">
            <v>9060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33650</v>
          </cell>
          <cell r="K4">
            <v>4038</v>
          </cell>
          <cell r="L4">
            <v>0</v>
          </cell>
        </row>
        <row r="5">
          <cell r="J5">
            <v>29850</v>
          </cell>
          <cell r="K5">
            <v>3582</v>
          </cell>
          <cell r="L5">
            <v>0</v>
          </cell>
        </row>
        <row r="6">
          <cell r="J6">
            <v>3600</v>
          </cell>
          <cell r="K6">
            <v>360</v>
          </cell>
          <cell r="L6">
            <v>0</v>
          </cell>
        </row>
        <row r="7">
          <cell r="J7">
            <v>20650</v>
          </cell>
          <cell r="K7">
            <v>2478</v>
          </cell>
          <cell r="L7">
            <v>42500</v>
          </cell>
        </row>
        <row r="8">
          <cell r="J8">
            <v>1500</v>
          </cell>
          <cell r="K8">
            <v>180</v>
          </cell>
          <cell r="L8">
            <v>21250</v>
          </cell>
        </row>
      </sheetData>
      <sheetData sheetId="20">
        <row r="4">
          <cell r="J4">
            <v>77100</v>
          </cell>
          <cell r="K4">
            <v>9252</v>
          </cell>
          <cell r="L4">
            <v>0</v>
          </cell>
        </row>
        <row r="5">
          <cell r="J5">
            <v>34700</v>
          </cell>
          <cell r="K5">
            <v>4164</v>
          </cell>
          <cell r="L5">
            <v>0</v>
          </cell>
        </row>
      </sheetData>
      <sheetData sheetId="21">
        <row r="4">
          <cell r="J4">
            <v>69150</v>
          </cell>
          <cell r="K4">
            <v>10372.5</v>
          </cell>
          <cell r="L4">
            <v>60000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64300</v>
          </cell>
          <cell r="K4">
            <v>7716</v>
          </cell>
          <cell r="L4">
            <v>85000</v>
          </cell>
        </row>
        <row r="5">
          <cell r="J5">
            <v>24300</v>
          </cell>
          <cell r="K5">
            <v>2916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25511.75</v>
          </cell>
        </row>
        <row r="12">
          <cell r="G12">
            <v>35000</v>
          </cell>
        </row>
        <row r="19">
          <cell r="D19">
            <v>376875</v>
          </cell>
          <cell r="E19">
            <v>48993.75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169275</v>
          </cell>
          <cell r="K4">
            <v>22005.75</v>
          </cell>
          <cell r="L4">
            <v>344250</v>
          </cell>
        </row>
        <row r="5">
          <cell r="J5">
            <v>40150</v>
          </cell>
          <cell r="K5">
            <v>5219.5</v>
          </cell>
          <cell r="L5">
            <v>16000</v>
          </cell>
        </row>
        <row r="6">
          <cell r="J6">
            <v>7800</v>
          </cell>
          <cell r="K6">
            <v>1014</v>
          </cell>
          <cell r="L6">
            <v>0</v>
          </cell>
        </row>
      </sheetData>
      <sheetData sheetId="12">
        <row r="4">
          <cell r="J4">
            <v>129150</v>
          </cell>
          <cell r="K4">
            <v>16789.5</v>
          </cell>
          <cell r="L4">
            <v>161500</v>
          </cell>
        </row>
        <row r="5">
          <cell r="J5">
            <v>30500</v>
          </cell>
          <cell r="K5">
            <v>3965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114450</v>
          </cell>
          <cell r="K4">
            <v>13734</v>
          </cell>
          <cell r="L4">
            <v>97750</v>
          </cell>
        </row>
        <row r="5">
          <cell r="J5">
            <v>81600</v>
          </cell>
          <cell r="K5">
            <v>9792</v>
          </cell>
          <cell r="L5">
            <v>0</v>
          </cell>
        </row>
        <row r="7">
          <cell r="J7">
            <v>20350</v>
          </cell>
          <cell r="K7">
            <v>2442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343500</v>
          </cell>
          <cell r="K4">
            <v>41220</v>
          </cell>
          <cell r="L4">
            <v>637500</v>
          </cell>
        </row>
        <row r="5">
          <cell r="J5">
            <v>164700</v>
          </cell>
          <cell r="K5">
            <v>19764</v>
          </cell>
          <cell r="L5">
            <v>480250</v>
          </cell>
        </row>
        <row r="6">
          <cell r="J6">
            <v>50800</v>
          </cell>
          <cell r="K6">
            <v>5080</v>
          </cell>
          <cell r="L6">
            <v>0</v>
          </cell>
        </row>
        <row r="7">
          <cell r="J7">
            <v>47150</v>
          </cell>
          <cell r="K7">
            <v>5658</v>
          </cell>
          <cell r="L7">
            <v>0</v>
          </cell>
        </row>
        <row r="8">
          <cell r="J8">
            <v>78700</v>
          </cell>
          <cell r="K8">
            <v>9444</v>
          </cell>
          <cell r="L8">
            <v>0</v>
          </cell>
        </row>
        <row r="9">
          <cell r="J9">
            <v>107200</v>
          </cell>
          <cell r="K9">
            <v>12864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4200</v>
          </cell>
          <cell r="K4">
            <v>504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54550</v>
          </cell>
          <cell r="K4">
            <v>6546</v>
          </cell>
          <cell r="L4">
            <v>85000</v>
          </cell>
        </row>
        <row r="5">
          <cell r="J5">
            <v>34750</v>
          </cell>
          <cell r="K5">
            <v>4170</v>
          </cell>
          <cell r="L5">
            <v>0</v>
          </cell>
        </row>
        <row r="6">
          <cell r="J6">
            <v>2600</v>
          </cell>
          <cell r="K6">
            <v>260</v>
          </cell>
          <cell r="L6">
            <v>0</v>
          </cell>
        </row>
        <row r="7">
          <cell r="J7">
            <v>20050</v>
          </cell>
          <cell r="K7">
            <v>2406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103700</v>
          </cell>
          <cell r="K4">
            <v>12444</v>
          </cell>
          <cell r="L4">
            <v>272000</v>
          </cell>
        </row>
        <row r="5">
          <cell r="J5">
            <v>27700</v>
          </cell>
          <cell r="K5">
            <v>3324</v>
          </cell>
          <cell r="L5">
            <v>24000</v>
          </cell>
        </row>
      </sheetData>
      <sheetData sheetId="21">
        <row r="4">
          <cell r="J4">
            <v>68150</v>
          </cell>
          <cell r="K4">
            <v>10222.5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58250</v>
          </cell>
          <cell r="K4">
            <v>6990</v>
          </cell>
          <cell r="L4">
            <v>229500</v>
          </cell>
        </row>
        <row r="5">
          <cell r="J5">
            <v>39600</v>
          </cell>
          <cell r="K5">
            <v>4752</v>
          </cell>
          <cell r="L5">
            <v>140000</v>
          </cell>
        </row>
        <row r="6">
          <cell r="J6">
            <v>2400</v>
          </cell>
          <cell r="K6">
            <v>240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20055.5</v>
          </cell>
        </row>
        <row r="12">
          <cell r="G12">
            <v>35000</v>
          </cell>
        </row>
        <row r="19">
          <cell r="D19">
            <v>519600</v>
          </cell>
          <cell r="E19">
            <v>67548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229500</v>
          </cell>
          <cell r="K4">
            <v>29835</v>
          </cell>
          <cell r="L4">
            <v>123250</v>
          </cell>
        </row>
        <row r="5">
          <cell r="J5">
            <v>33300</v>
          </cell>
          <cell r="K5">
            <v>4329</v>
          </cell>
          <cell r="L5">
            <v>8000</v>
          </cell>
        </row>
        <row r="6">
          <cell r="J6">
            <v>20400</v>
          </cell>
          <cell r="K6">
            <v>2652</v>
          </cell>
          <cell r="L6">
            <v>16000</v>
          </cell>
        </row>
      </sheetData>
      <sheetData sheetId="12">
        <row r="4">
          <cell r="J4">
            <v>207000</v>
          </cell>
          <cell r="K4">
            <v>26910</v>
          </cell>
          <cell r="L4">
            <v>21250</v>
          </cell>
        </row>
        <row r="5">
          <cell r="J5">
            <v>26400</v>
          </cell>
          <cell r="K5">
            <v>3432</v>
          </cell>
          <cell r="L5">
            <v>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126500</v>
          </cell>
          <cell r="K4">
            <v>15180</v>
          </cell>
          <cell r="L4">
            <v>21250</v>
          </cell>
        </row>
        <row r="5">
          <cell r="J5">
            <v>114550</v>
          </cell>
          <cell r="K5">
            <v>13746</v>
          </cell>
          <cell r="L5">
            <v>80000</v>
          </cell>
        </row>
        <row r="7">
          <cell r="J7">
            <v>21250</v>
          </cell>
          <cell r="K7">
            <v>2550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418850</v>
          </cell>
          <cell r="K4">
            <v>50262</v>
          </cell>
          <cell r="L4">
            <v>51000</v>
          </cell>
        </row>
        <row r="5">
          <cell r="J5">
            <v>171700</v>
          </cell>
          <cell r="K5">
            <v>20604</v>
          </cell>
          <cell r="L5">
            <v>34000</v>
          </cell>
        </row>
        <row r="6">
          <cell r="J6">
            <v>38600</v>
          </cell>
          <cell r="K6">
            <v>3860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31700</v>
          </cell>
          <cell r="K8">
            <v>3804</v>
          </cell>
          <cell r="L8">
            <v>106250</v>
          </cell>
        </row>
        <row r="9">
          <cell r="J9">
            <v>78000</v>
          </cell>
          <cell r="K9">
            <v>9360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12000</v>
          </cell>
          <cell r="K4">
            <v>1440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62400</v>
          </cell>
          <cell r="K4">
            <v>7488</v>
          </cell>
          <cell r="L4">
            <v>170000</v>
          </cell>
        </row>
        <row r="5">
          <cell r="J5">
            <v>49100</v>
          </cell>
          <cell r="K5">
            <v>5892</v>
          </cell>
          <cell r="L5">
            <v>25500</v>
          </cell>
        </row>
        <row r="6">
          <cell r="J6">
            <v>4050</v>
          </cell>
          <cell r="K6">
            <v>405</v>
          </cell>
          <cell r="L6">
            <v>0</v>
          </cell>
        </row>
        <row r="7">
          <cell r="J7">
            <v>27700</v>
          </cell>
          <cell r="K7">
            <v>3324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80650</v>
          </cell>
          <cell r="K4">
            <v>9678</v>
          </cell>
          <cell r="L4">
            <v>170000</v>
          </cell>
        </row>
        <row r="5">
          <cell r="J5">
            <v>36650</v>
          </cell>
          <cell r="K5">
            <v>4398</v>
          </cell>
          <cell r="L5">
            <v>24000</v>
          </cell>
        </row>
      </sheetData>
      <sheetData sheetId="21">
        <row r="4">
          <cell r="J4">
            <v>66900</v>
          </cell>
          <cell r="K4">
            <v>10035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70400</v>
          </cell>
          <cell r="K4">
            <v>8448</v>
          </cell>
          <cell r="L4">
            <v>38250</v>
          </cell>
        </row>
        <row r="5">
          <cell r="J5">
            <v>18500</v>
          </cell>
          <cell r="K5">
            <v>2220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36925</v>
          </cell>
        </row>
        <row r="12">
          <cell r="G12">
            <v>20000</v>
          </cell>
        </row>
        <row r="19">
          <cell r="D19">
            <v>572550</v>
          </cell>
          <cell r="E19">
            <v>74431.5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222950</v>
          </cell>
          <cell r="K4">
            <v>28983.5</v>
          </cell>
          <cell r="L4">
            <v>0</v>
          </cell>
        </row>
        <row r="5">
          <cell r="J5">
            <v>47750</v>
          </cell>
          <cell r="K5">
            <v>6207.5</v>
          </cell>
          <cell r="L5">
            <v>80000</v>
          </cell>
        </row>
        <row r="6">
          <cell r="J6">
            <v>8700</v>
          </cell>
          <cell r="K6">
            <v>1131</v>
          </cell>
          <cell r="L6">
            <v>0</v>
          </cell>
        </row>
      </sheetData>
      <sheetData sheetId="12">
        <row r="4">
          <cell r="J4">
            <v>246600</v>
          </cell>
          <cell r="K4">
            <v>32058</v>
          </cell>
          <cell r="L4">
            <v>42500</v>
          </cell>
        </row>
        <row r="5">
          <cell r="J5">
            <v>45850</v>
          </cell>
          <cell r="K5">
            <v>5960.5</v>
          </cell>
          <cell r="L5">
            <v>160000</v>
          </cell>
        </row>
        <row r="6">
          <cell r="J6">
            <v>700</v>
          </cell>
          <cell r="K6">
            <v>91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136500</v>
          </cell>
          <cell r="K4">
            <v>16380</v>
          </cell>
          <cell r="L4">
            <v>89250</v>
          </cell>
        </row>
        <row r="5">
          <cell r="J5">
            <v>114150</v>
          </cell>
          <cell r="K5">
            <v>13698</v>
          </cell>
          <cell r="L5">
            <v>152000</v>
          </cell>
        </row>
        <row r="7">
          <cell r="J7">
            <v>44200</v>
          </cell>
          <cell r="K7">
            <v>5304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313050</v>
          </cell>
          <cell r="K4">
            <v>37566</v>
          </cell>
          <cell r="L4">
            <v>297500</v>
          </cell>
        </row>
        <row r="5">
          <cell r="J5">
            <v>126450</v>
          </cell>
          <cell r="K5">
            <v>15174</v>
          </cell>
          <cell r="L5">
            <v>144500</v>
          </cell>
        </row>
        <row r="6">
          <cell r="J6">
            <v>48550</v>
          </cell>
          <cell r="K6">
            <v>4855</v>
          </cell>
          <cell r="L6">
            <v>0</v>
          </cell>
        </row>
        <row r="7">
          <cell r="J7">
            <v>13700</v>
          </cell>
          <cell r="K7">
            <v>1644</v>
          </cell>
          <cell r="L7">
            <v>0</v>
          </cell>
        </row>
        <row r="8">
          <cell r="J8">
            <v>45450</v>
          </cell>
          <cell r="K8">
            <v>5454</v>
          </cell>
          <cell r="L8">
            <v>85000</v>
          </cell>
        </row>
        <row r="9">
          <cell r="J9">
            <v>83750</v>
          </cell>
          <cell r="K9">
            <v>10050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10500</v>
          </cell>
          <cell r="K4">
            <v>1260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43600</v>
          </cell>
          <cell r="K4">
            <v>5232</v>
          </cell>
          <cell r="L4">
            <v>17000</v>
          </cell>
        </row>
        <row r="5">
          <cell r="J5">
            <v>40150</v>
          </cell>
          <cell r="K5">
            <v>4818</v>
          </cell>
          <cell r="L5">
            <v>72250</v>
          </cell>
        </row>
        <row r="6">
          <cell r="J6">
            <v>3250</v>
          </cell>
          <cell r="K6">
            <v>325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79950</v>
          </cell>
          <cell r="K4">
            <v>9594</v>
          </cell>
          <cell r="L4">
            <v>34000</v>
          </cell>
        </row>
        <row r="5">
          <cell r="J5">
            <v>45400</v>
          </cell>
          <cell r="K5">
            <v>5448</v>
          </cell>
          <cell r="L5">
            <v>32000</v>
          </cell>
        </row>
      </sheetData>
      <sheetData sheetId="21">
        <row r="4">
          <cell r="J4">
            <v>91050</v>
          </cell>
          <cell r="K4">
            <v>13657.5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64750</v>
          </cell>
          <cell r="K4">
            <v>7770</v>
          </cell>
          <cell r="L4">
            <v>0</v>
          </cell>
        </row>
        <row r="5">
          <cell r="J5">
            <v>29850</v>
          </cell>
          <cell r="K5">
            <v>3582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4300</v>
          </cell>
          <cell r="K7">
            <v>516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22148</v>
          </cell>
        </row>
        <row r="12">
          <cell r="G12">
            <v>15000</v>
          </cell>
        </row>
        <row r="19">
          <cell r="D19">
            <v>429700</v>
          </cell>
          <cell r="E19">
            <v>55861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175700</v>
          </cell>
          <cell r="K4">
            <v>22841</v>
          </cell>
          <cell r="L4">
            <v>170000</v>
          </cell>
        </row>
        <row r="5">
          <cell r="J5">
            <v>25850</v>
          </cell>
          <cell r="K5">
            <v>3360.5</v>
          </cell>
          <cell r="L5">
            <v>0</v>
          </cell>
        </row>
        <row r="6">
          <cell r="J6">
            <v>3500</v>
          </cell>
          <cell r="K6">
            <v>455</v>
          </cell>
          <cell r="L6">
            <v>0</v>
          </cell>
        </row>
      </sheetData>
      <sheetData sheetId="12">
        <row r="4">
          <cell r="J4">
            <v>192950</v>
          </cell>
          <cell r="K4">
            <v>25083.5</v>
          </cell>
          <cell r="L4">
            <v>357000</v>
          </cell>
        </row>
        <row r="5">
          <cell r="J5">
            <v>25500</v>
          </cell>
          <cell r="K5">
            <v>3315</v>
          </cell>
          <cell r="L5">
            <v>0</v>
          </cell>
        </row>
        <row r="6">
          <cell r="J6">
            <v>6200</v>
          </cell>
          <cell r="K6">
            <v>806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134200</v>
          </cell>
          <cell r="K4">
            <v>16104</v>
          </cell>
          <cell r="L4">
            <v>144500</v>
          </cell>
        </row>
        <row r="5">
          <cell r="J5">
            <v>128950</v>
          </cell>
          <cell r="K5">
            <v>15474</v>
          </cell>
          <cell r="L5">
            <v>0</v>
          </cell>
        </row>
        <row r="7">
          <cell r="J7">
            <v>25150</v>
          </cell>
          <cell r="K7">
            <v>3018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264450</v>
          </cell>
          <cell r="K4">
            <v>31734</v>
          </cell>
          <cell r="L4">
            <v>102000</v>
          </cell>
        </row>
        <row r="5">
          <cell r="J5">
            <v>138650</v>
          </cell>
          <cell r="K5">
            <v>16638</v>
          </cell>
          <cell r="L5">
            <v>21250</v>
          </cell>
        </row>
        <row r="6">
          <cell r="J6">
            <v>37200</v>
          </cell>
          <cell r="K6">
            <v>3720</v>
          </cell>
          <cell r="L6">
            <v>0</v>
          </cell>
        </row>
        <row r="7">
          <cell r="J7">
            <v>23650</v>
          </cell>
          <cell r="K7">
            <v>2838</v>
          </cell>
          <cell r="L7">
            <v>255000</v>
          </cell>
        </row>
        <row r="8">
          <cell r="J8">
            <v>10250</v>
          </cell>
          <cell r="K8">
            <v>1230</v>
          </cell>
          <cell r="L8">
            <v>42500</v>
          </cell>
        </row>
        <row r="9">
          <cell r="J9">
            <v>93700</v>
          </cell>
          <cell r="K9">
            <v>11244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21900</v>
          </cell>
          <cell r="K4">
            <v>2628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49600</v>
          </cell>
          <cell r="K4">
            <v>5952</v>
          </cell>
          <cell r="L4">
            <v>0</v>
          </cell>
        </row>
        <row r="5">
          <cell r="J5">
            <v>21050</v>
          </cell>
          <cell r="K5">
            <v>2526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17700</v>
          </cell>
          <cell r="K7">
            <v>2124</v>
          </cell>
          <cell r="L7">
            <v>25500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0">
        <row r="4">
          <cell r="J4">
            <v>37450</v>
          </cell>
          <cell r="K4">
            <v>4494</v>
          </cell>
          <cell r="L4">
            <v>0</v>
          </cell>
        </row>
        <row r="5">
          <cell r="J5">
            <v>29750</v>
          </cell>
          <cell r="K5">
            <v>3570</v>
          </cell>
          <cell r="L5">
            <v>76000</v>
          </cell>
        </row>
      </sheetData>
      <sheetData sheetId="21">
        <row r="4">
          <cell r="J4">
            <v>69100</v>
          </cell>
          <cell r="K4">
            <v>10365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67350</v>
          </cell>
          <cell r="K4">
            <v>8082</v>
          </cell>
          <cell r="L4">
            <v>8500</v>
          </cell>
        </row>
        <row r="5">
          <cell r="J5">
            <v>40800</v>
          </cell>
          <cell r="K5">
            <v>4896</v>
          </cell>
          <cell r="L5">
            <v>36000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28481.5</v>
          </cell>
        </row>
        <row r="12">
          <cell r="G12">
            <v>35000</v>
          </cell>
        </row>
        <row r="19">
          <cell r="D19">
            <v>393650</v>
          </cell>
          <cell r="E19">
            <v>51174.5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127600</v>
          </cell>
          <cell r="K4">
            <v>16588</v>
          </cell>
          <cell r="L4">
            <v>17000</v>
          </cell>
        </row>
        <row r="5">
          <cell r="J5">
            <v>34450</v>
          </cell>
          <cell r="K5">
            <v>4478.5</v>
          </cell>
          <cell r="L5">
            <v>8000</v>
          </cell>
        </row>
        <row r="6">
          <cell r="J6">
            <v>5700</v>
          </cell>
          <cell r="K6">
            <v>741</v>
          </cell>
          <cell r="L6">
            <v>8000</v>
          </cell>
        </row>
      </sheetData>
      <sheetData sheetId="12">
        <row r="4">
          <cell r="J4">
            <v>200300</v>
          </cell>
          <cell r="K4">
            <v>26039</v>
          </cell>
          <cell r="L4">
            <v>72250</v>
          </cell>
        </row>
        <row r="5">
          <cell r="J5">
            <v>23200</v>
          </cell>
          <cell r="K5">
            <v>3016</v>
          </cell>
          <cell r="L5">
            <v>40000</v>
          </cell>
        </row>
        <row r="6">
          <cell r="J6">
            <v>2400</v>
          </cell>
          <cell r="K6">
            <v>312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130000</v>
          </cell>
          <cell r="K4">
            <v>15600</v>
          </cell>
          <cell r="L4">
            <v>93500</v>
          </cell>
        </row>
        <row r="5">
          <cell r="J5">
            <v>82000</v>
          </cell>
          <cell r="K5">
            <v>9840</v>
          </cell>
          <cell r="L5">
            <v>88000</v>
          </cell>
        </row>
        <row r="7">
          <cell r="J7">
            <v>35100</v>
          </cell>
          <cell r="K7">
            <v>4212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221500</v>
          </cell>
          <cell r="K4">
            <v>26580</v>
          </cell>
          <cell r="L4">
            <v>114750</v>
          </cell>
        </row>
        <row r="5">
          <cell r="J5">
            <v>127450</v>
          </cell>
          <cell r="K5">
            <v>15294</v>
          </cell>
          <cell r="L5">
            <v>102000</v>
          </cell>
        </row>
        <row r="6">
          <cell r="J6">
            <v>34500</v>
          </cell>
          <cell r="K6">
            <v>3450</v>
          </cell>
          <cell r="L6">
            <v>0</v>
          </cell>
        </row>
        <row r="7">
          <cell r="J7">
            <v>34950</v>
          </cell>
          <cell r="K7">
            <v>4194</v>
          </cell>
          <cell r="L7">
            <v>12750</v>
          </cell>
        </row>
        <row r="8">
          <cell r="J8">
            <v>16100</v>
          </cell>
          <cell r="K8">
            <v>1932</v>
          </cell>
          <cell r="L8">
            <v>85000</v>
          </cell>
        </row>
        <row r="9">
          <cell r="J9">
            <v>95700</v>
          </cell>
          <cell r="K9">
            <v>11484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58400</v>
          </cell>
          <cell r="K4">
            <v>7008</v>
          </cell>
          <cell r="L4">
            <v>34000</v>
          </cell>
        </row>
        <row r="5">
          <cell r="J5">
            <v>39400</v>
          </cell>
          <cell r="K5">
            <v>4728</v>
          </cell>
          <cell r="L5">
            <v>21250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21300</v>
          </cell>
          <cell r="K7">
            <v>2556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116500</v>
          </cell>
          <cell r="K4">
            <v>13980</v>
          </cell>
          <cell r="L4">
            <v>34000</v>
          </cell>
        </row>
        <row r="5">
          <cell r="J5">
            <v>40150</v>
          </cell>
          <cell r="K5">
            <v>4818</v>
          </cell>
          <cell r="L5">
            <v>48000</v>
          </cell>
        </row>
      </sheetData>
      <sheetData sheetId="21">
        <row r="4">
          <cell r="J4">
            <v>123150</v>
          </cell>
          <cell r="K4">
            <v>18472.5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55350</v>
          </cell>
          <cell r="K4">
            <v>6642</v>
          </cell>
          <cell r="L4">
            <v>38250</v>
          </cell>
        </row>
        <row r="5">
          <cell r="J5">
            <v>27850</v>
          </cell>
          <cell r="K5">
            <v>3342</v>
          </cell>
          <cell r="L5">
            <v>36000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16823</v>
          </cell>
        </row>
        <row r="12">
          <cell r="G12">
            <v>35000</v>
          </cell>
        </row>
        <row r="19">
          <cell r="D19">
            <v>430350</v>
          </cell>
          <cell r="E19">
            <v>55945.5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175550</v>
          </cell>
          <cell r="K4">
            <v>22821.5</v>
          </cell>
          <cell r="L4">
            <v>340000</v>
          </cell>
        </row>
        <row r="5">
          <cell r="J5">
            <v>27350</v>
          </cell>
          <cell r="K5">
            <v>3555.5</v>
          </cell>
          <cell r="L5">
            <v>0</v>
          </cell>
        </row>
        <row r="6">
          <cell r="J6">
            <v>6700</v>
          </cell>
          <cell r="K6">
            <v>871</v>
          </cell>
          <cell r="L6">
            <v>0</v>
          </cell>
        </row>
      </sheetData>
      <sheetData sheetId="12">
        <row r="4">
          <cell r="J4">
            <v>191650</v>
          </cell>
          <cell r="K4">
            <v>24914.5</v>
          </cell>
          <cell r="L4">
            <v>17000</v>
          </cell>
        </row>
        <row r="5">
          <cell r="J5">
            <v>20700</v>
          </cell>
          <cell r="K5">
            <v>2691</v>
          </cell>
          <cell r="L5">
            <v>0</v>
          </cell>
        </row>
        <row r="6">
          <cell r="J6">
            <v>8400</v>
          </cell>
          <cell r="K6">
            <v>1092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100950</v>
          </cell>
          <cell r="K4">
            <v>12114</v>
          </cell>
          <cell r="L4">
            <v>8500</v>
          </cell>
        </row>
        <row r="5">
          <cell r="J5">
            <v>67500</v>
          </cell>
          <cell r="K5">
            <v>8100</v>
          </cell>
          <cell r="L5">
            <v>40000</v>
          </cell>
        </row>
        <row r="7">
          <cell r="J7">
            <v>37750</v>
          </cell>
          <cell r="K7">
            <v>4530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242200</v>
          </cell>
          <cell r="K4">
            <v>29064</v>
          </cell>
          <cell r="L4">
            <v>153000</v>
          </cell>
        </row>
        <row r="5">
          <cell r="J5">
            <v>179350</v>
          </cell>
          <cell r="K5">
            <v>21522</v>
          </cell>
          <cell r="L5">
            <v>153000</v>
          </cell>
        </row>
        <row r="6">
          <cell r="J6">
            <v>48900</v>
          </cell>
          <cell r="K6">
            <v>4890</v>
          </cell>
          <cell r="L6">
            <v>0</v>
          </cell>
        </row>
        <row r="7">
          <cell r="J7">
            <v>31250</v>
          </cell>
          <cell r="K7">
            <v>3750</v>
          </cell>
          <cell r="L7">
            <v>85000</v>
          </cell>
        </row>
        <row r="8">
          <cell r="J8">
            <v>28550</v>
          </cell>
          <cell r="K8">
            <v>3426</v>
          </cell>
          <cell r="L8">
            <v>21250</v>
          </cell>
        </row>
        <row r="9">
          <cell r="J9">
            <v>84100</v>
          </cell>
          <cell r="K9">
            <v>10092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17000</v>
          </cell>
          <cell r="K4">
            <v>2040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95350</v>
          </cell>
          <cell r="K4">
            <v>11442</v>
          </cell>
          <cell r="L4">
            <v>17000</v>
          </cell>
        </row>
        <row r="5">
          <cell r="J5">
            <v>68700</v>
          </cell>
          <cell r="K5">
            <v>8244</v>
          </cell>
          <cell r="L5">
            <v>38250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29700</v>
          </cell>
          <cell r="K7">
            <v>3564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137500</v>
          </cell>
          <cell r="K4">
            <v>16500</v>
          </cell>
          <cell r="L4">
            <v>25500</v>
          </cell>
        </row>
        <row r="5">
          <cell r="J5">
            <v>42400</v>
          </cell>
          <cell r="K5">
            <v>5088</v>
          </cell>
          <cell r="L5">
            <v>0</v>
          </cell>
        </row>
      </sheetData>
      <sheetData sheetId="21">
        <row r="4">
          <cell r="J4">
            <v>125700</v>
          </cell>
          <cell r="K4">
            <v>18855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67050</v>
          </cell>
          <cell r="K4">
            <v>8046</v>
          </cell>
          <cell r="L4">
            <v>0</v>
          </cell>
        </row>
        <row r="5">
          <cell r="J5">
            <v>51700</v>
          </cell>
          <cell r="K5">
            <v>6204</v>
          </cell>
          <cell r="L5">
            <v>24000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7304</v>
          </cell>
        </row>
        <row r="12">
          <cell r="G12">
            <v>35000</v>
          </cell>
        </row>
        <row r="19">
          <cell r="D19">
            <v>404000</v>
          </cell>
          <cell r="E19">
            <v>52520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169150</v>
          </cell>
          <cell r="K4">
            <v>21989.5</v>
          </cell>
          <cell r="L4">
            <v>0</v>
          </cell>
        </row>
        <row r="5">
          <cell r="J5">
            <v>26400</v>
          </cell>
          <cell r="K5">
            <v>3432</v>
          </cell>
          <cell r="L5">
            <v>0</v>
          </cell>
        </row>
        <row r="6">
          <cell r="J6">
            <v>19000</v>
          </cell>
          <cell r="K6">
            <v>2470</v>
          </cell>
          <cell r="L6">
            <v>0</v>
          </cell>
        </row>
      </sheetData>
      <sheetData sheetId="12">
        <row r="4">
          <cell r="J4">
            <v>167650</v>
          </cell>
          <cell r="K4">
            <v>21794.5</v>
          </cell>
          <cell r="L4">
            <v>0</v>
          </cell>
        </row>
        <row r="5">
          <cell r="J5">
            <v>12900</v>
          </cell>
          <cell r="K5">
            <v>1677</v>
          </cell>
          <cell r="L5">
            <v>0</v>
          </cell>
        </row>
        <row r="6">
          <cell r="J6">
            <v>8900</v>
          </cell>
          <cell r="K6">
            <v>1157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295250</v>
          </cell>
          <cell r="K4">
            <v>35430</v>
          </cell>
          <cell r="L4">
            <v>174250</v>
          </cell>
        </row>
        <row r="5">
          <cell r="J5">
            <v>152450</v>
          </cell>
          <cell r="K5">
            <v>18294</v>
          </cell>
          <cell r="L5">
            <v>29750</v>
          </cell>
        </row>
        <row r="6">
          <cell r="J6">
            <v>43050</v>
          </cell>
          <cell r="K6">
            <v>4305</v>
          </cell>
          <cell r="L6">
            <v>0</v>
          </cell>
        </row>
        <row r="7">
          <cell r="J7">
            <v>40000</v>
          </cell>
          <cell r="K7">
            <v>4800</v>
          </cell>
          <cell r="L7">
            <v>0</v>
          </cell>
        </row>
        <row r="8">
          <cell r="J8">
            <v>35850</v>
          </cell>
          <cell r="K8">
            <v>4302</v>
          </cell>
          <cell r="L8">
            <v>0</v>
          </cell>
        </row>
        <row r="9">
          <cell r="J9">
            <v>3200</v>
          </cell>
          <cell r="K9">
            <v>384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79950</v>
          </cell>
          <cell r="K4">
            <v>9594</v>
          </cell>
          <cell r="L4">
            <v>21250</v>
          </cell>
        </row>
        <row r="5">
          <cell r="J5">
            <v>45000</v>
          </cell>
          <cell r="K5">
            <v>5400</v>
          </cell>
          <cell r="L5">
            <v>21250</v>
          </cell>
        </row>
        <row r="6">
          <cell r="J6">
            <v>7100</v>
          </cell>
          <cell r="K6">
            <v>710</v>
          </cell>
          <cell r="L6">
            <v>0</v>
          </cell>
        </row>
        <row r="7">
          <cell r="J7">
            <v>33600</v>
          </cell>
          <cell r="K7">
            <v>4032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78800</v>
          </cell>
          <cell r="K4">
            <v>9456</v>
          </cell>
          <cell r="L4">
            <v>0</v>
          </cell>
        </row>
        <row r="5">
          <cell r="J5">
            <v>50050</v>
          </cell>
          <cell r="K5">
            <v>6006</v>
          </cell>
          <cell r="L5">
            <v>0</v>
          </cell>
        </row>
      </sheetData>
      <sheetData sheetId="21">
        <row r="4">
          <cell r="J4">
            <v>97800</v>
          </cell>
          <cell r="K4">
            <v>14670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55950</v>
          </cell>
          <cell r="K4">
            <v>6714</v>
          </cell>
          <cell r="L4">
            <v>0</v>
          </cell>
        </row>
        <row r="5">
          <cell r="J5">
            <v>46650</v>
          </cell>
          <cell r="K5">
            <v>5598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13250</v>
          </cell>
          <cell r="K7">
            <v>1590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33062</v>
          </cell>
        </row>
        <row r="12">
          <cell r="G12">
            <v>35000</v>
          </cell>
        </row>
        <row r="19">
          <cell r="D19">
            <v>373250</v>
          </cell>
          <cell r="E19">
            <v>48522.5</v>
          </cell>
          <cell r="F19">
            <v>30000</v>
          </cell>
        </row>
        <row r="22">
          <cell r="G22">
            <v>-1760</v>
          </cell>
        </row>
      </sheetData>
      <sheetData sheetId="10"/>
      <sheetData sheetId="11">
        <row r="4">
          <cell r="J4">
            <v>166400</v>
          </cell>
          <cell r="K4">
            <v>21632</v>
          </cell>
          <cell r="L4">
            <v>25500</v>
          </cell>
        </row>
        <row r="5">
          <cell r="J5">
            <v>33800</v>
          </cell>
          <cell r="K5">
            <v>4394</v>
          </cell>
          <cell r="L5">
            <v>64000</v>
          </cell>
        </row>
        <row r="6">
          <cell r="J6">
            <v>5250</v>
          </cell>
          <cell r="K6">
            <v>682.5</v>
          </cell>
          <cell r="L6">
            <v>0</v>
          </cell>
        </row>
      </sheetData>
      <sheetData sheetId="12">
        <row r="4">
          <cell r="J4">
            <v>137400</v>
          </cell>
          <cell r="K4">
            <v>17862</v>
          </cell>
          <cell r="L4">
            <v>102000</v>
          </cell>
        </row>
        <row r="5">
          <cell r="J5">
            <v>19050</v>
          </cell>
          <cell r="K5">
            <v>2476.5</v>
          </cell>
          <cell r="L5">
            <v>0</v>
          </cell>
        </row>
        <row r="6">
          <cell r="J6">
            <v>11350</v>
          </cell>
          <cell r="K6">
            <v>1475.5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116200</v>
          </cell>
          <cell r="K4">
            <v>13944</v>
          </cell>
          <cell r="L4">
            <v>174250</v>
          </cell>
        </row>
        <row r="5">
          <cell r="J5">
            <v>95900</v>
          </cell>
          <cell r="K5">
            <v>11508</v>
          </cell>
          <cell r="L5">
            <v>40000</v>
          </cell>
        </row>
        <row r="7">
          <cell r="J7">
            <v>44850</v>
          </cell>
          <cell r="K7">
            <v>5382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340050</v>
          </cell>
          <cell r="K4">
            <v>40806</v>
          </cell>
          <cell r="L4">
            <v>454750</v>
          </cell>
        </row>
        <row r="5">
          <cell r="J5">
            <v>175300</v>
          </cell>
          <cell r="K5">
            <v>21036</v>
          </cell>
          <cell r="L5">
            <v>289000</v>
          </cell>
        </row>
        <row r="6">
          <cell r="J6">
            <v>49100</v>
          </cell>
          <cell r="K6">
            <v>4910</v>
          </cell>
          <cell r="L6">
            <v>0</v>
          </cell>
        </row>
        <row r="7">
          <cell r="J7">
            <v>40700</v>
          </cell>
          <cell r="K7">
            <v>4884</v>
          </cell>
          <cell r="L7">
            <v>4250</v>
          </cell>
        </row>
        <row r="8">
          <cell r="J8">
            <v>35750</v>
          </cell>
          <cell r="K8">
            <v>4290</v>
          </cell>
          <cell r="L8">
            <v>0</v>
          </cell>
        </row>
        <row r="9">
          <cell r="J9">
            <v>86500</v>
          </cell>
          <cell r="K9">
            <v>10380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7000</v>
          </cell>
          <cell r="K4">
            <v>840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67900</v>
          </cell>
          <cell r="K4">
            <v>8148</v>
          </cell>
          <cell r="L4">
            <v>187000</v>
          </cell>
        </row>
        <row r="5">
          <cell r="J5">
            <v>51050</v>
          </cell>
          <cell r="K5">
            <v>6126</v>
          </cell>
          <cell r="L5">
            <v>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34800</v>
          </cell>
          <cell r="K7">
            <v>4176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77600</v>
          </cell>
          <cell r="K4">
            <v>9312</v>
          </cell>
          <cell r="L4">
            <v>161500</v>
          </cell>
        </row>
        <row r="5">
          <cell r="J5">
            <v>37300</v>
          </cell>
          <cell r="K5">
            <v>4476</v>
          </cell>
          <cell r="L5">
            <v>96000</v>
          </cell>
        </row>
      </sheetData>
      <sheetData sheetId="21">
        <row r="4">
          <cell r="J4">
            <v>106200</v>
          </cell>
          <cell r="K4">
            <v>15930</v>
          </cell>
          <cell r="L4">
            <v>120000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53050</v>
          </cell>
          <cell r="K4">
            <v>6366</v>
          </cell>
          <cell r="L4">
            <v>0</v>
          </cell>
        </row>
        <row r="5">
          <cell r="J5">
            <v>27000</v>
          </cell>
          <cell r="K5">
            <v>3240</v>
          </cell>
          <cell r="L5">
            <v>8000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26740</v>
          </cell>
        </row>
        <row r="12">
          <cell r="G12">
            <v>35000</v>
          </cell>
        </row>
        <row r="19">
          <cell r="D19">
            <v>448850</v>
          </cell>
          <cell r="E19">
            <v>58350.5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225900</v>
          </cell>
          <cell r="K4">
            <v>29367</v>
          </cell>
          <cell r="L4">
            <v>238000</v>
          </cell>
        </row>
        <row r="5">
          <cell r="J5">
            <v>24700</v>
          </cell>
          <cell r="K5">
            <v>3211</v>
          </cell>
          <cell r="L5">
            <v>24000</v>
          </cell>
        </row>
        <row r="6">
          <cell r="J6">
            <v>500</v>
          </cell>
          <cell r="K6">
            <v>65</v>
          </cell>
          <cell r="L6">
            <v>0</v>
          </cell>
        </row>
      </sheetData>
      <sheetData sheetId="12">
        <row r="4">
          <cell r="J4">
            <v>161600</v>
          </cell>
          <cell r="K4">
            <v>21008</v>
          </cell>
          <cell r="L4">
            <v>55250</v>
          </cell>
        </row>
        <row r="5">
          <cell r="J5">
            <v>34700</v>
          </cell>
          <cell r="K5">
            <v>4511</v>
          </cell>
          <cell r="L5">
            <v>12000</v>
          </cell>
        </row>
        <row r="6">
          <cell r="J6">
            <v>1450</v>
          </cell>
          <cell r="K6">
            <v>188.5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7000</v>
          </cell>
          <cell r="K4">
            <v>840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134550</v>
          </cell>
          <cell r="K4">
            <v>16146</v>
          </cell>
          <cell r="L4">
            <v>131750</v>
          </cell>
        </row>
        <row r="5">
          <cell r="J5">
            <v>152700</v>
          </cell>
          <cell r="K5">
            <v>18324</v>
          </cell>
          <cell r="L5">
            <v>120000</v>
          </cell>
        </row>
        <row r="7">
          <cell r="J7">
            <v>65350</v>
          </cell>
          <cell r="K7">
            <v>7842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317900</v>
          </cell>
          <cell r="K4">
            <v>38148</v>
          </cell>
          <cell r="L4">
            <v>293250</v>
          </cell>
        </row>
        <row r="5">
          <cell r="J5">
            <v>204850</v>
          </cell>
          <cell r="K5">
            <v>24582</v>
          </cell>
          <cell r="L5">
            <v>233750</v>
          </cell>
        </row>
        <row r="6">
          <cell r="J6">
            <v>40750</v>
          </cell>
          <cell r="K6">
            <v>4075</v>
          </cell>
          <cell r="L6">
            <v>0</v>
          </cell>
        </row>
        <row r="7">
          <cell r="J7">
            <v>21250</v>
          </cell>
          <cell r="K7">
            <v>2550</v>
          </cell>
          <cell r="L7">
            <v>0</v>
          </cell>
        </row>
        <row r="8">
          <cell r="J8">
            <v>69500</v>
          </cell>
          <cell r="K8">
            <v>8340</v>
          </cell>
          <cell r="L8">
            <v>144500</v>
          </cell>
        </row>
        <row r="9">
          <cell r="J9">
            <v>90000</v>
          </cell>
          <cell r="K9">
            <v>10800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18300</v>
          </cell>
          <cell r="K4">
            <v>2196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102000</v>
          </cell>
          <cell r="K4">
            <v>12240</v>
          </cell>
          <cell r="L4">
            <v>17000</v>
          </cell>
        </row>
        <row r="5">
          <cell r="J5">
            <v>54750</v>
          </cell>
          <cell r="K5">
            <v>6570</v>
          </cell>
          <cell r="L5">
            <v>21250</v>
          </cell>
        </row>
        <row r="6">
          <cell r="J6">
            <v>2050</v>
          </cell>
          <cell r="K6">
            <v>205</v>
          </cell>
          <cell r="L6">
            <v>0</v>
          </cell>
        </row>
        <row r="7">
          <cell r="J7">
            <v>26150</v>
          </cell>
          <cell r="K7">
            <v>3138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98500</v>
          </cell>
          <cell r="K4">
            <v>11820</v>
          </cell>
          <cell r="L4">
            <v>12750</v>
          </cell>
        </row>
        <row r="5">
          <cell r="J5">
            <v>42650</v>
          </cell>
          <cell r="K5">
            <v>5118</v>
          </cell>
          <cell r="L5">
            <v>8000</v>
          </cell>
        </row>
      </sheetData>
      <sheetData sheetId="21">
        <row r="4">
          <cell r="J4">
            <v>142250</v>
          </cell>
          <cell r="K4">
            <v>21337.5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50750</v>
          </cell>
          <cell r="K4">
            <v>6090</v>
          </cell>
          <cell r="L4">
            <v>21250</v>
          </cell>
        </row>
        <row r="5">
          <cell r="J5">
            <v>25700</v>
          </cell>
          <cell r="K5">
            <v>3084</v>
          </cell>
          <cell r="L5">
            <v>0</v>
          </cell>
        </row>
        <row r="6">
          <cell r="J6">
            <v>4500</v>
          </cell>
          <cell r="K6">
            <v>450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30259.75</v>
          </cell>
        </row>
        <row r="12">
          <cell r="G12">
            <v>20000</v>
          </cell>
        </row>
        <row r="19">
          <cell r="D19">
            <v>636600</v>
          </cell>
          <cell r="E19">
            <v>82758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321550</v>
          </cell>
          <cell r="K4">
            <v>41801.5</v>
          </cell>
          <cell r="L4">
            <v>399500</v>
          </cell>
        </row>
        <row r="5">
          <cell r="J5">
            <v>49950</v>
          </cell>
          <cell r="K5">
            <v>6493.5</v>
          </cell>
          <cell r="L5">
            <v>24000</v>
          </cell>
        </row>
        <row r="6">
          <cell r="J6">
            <v>8900</v>
          </cell>
          <cell r="K6">
            <v>1157</v>
          </cell>
          <cell r="L6">
            <v>0</v>
          </cell>
        </row>
      </sheetData>
      <sheetData sheetId="12">
        <row r="4">
          <cell r="J4">
            <v>220550</v>
          </cell>
          <cell r="K4">
            <v>28671.5</v>
          </cell>
          <cell r="L4">
            <v>450500</v>
          </cell>
        </row>
        <row r="5">
          <cell r="J5">
            <v>31650</v>
          </cell>
          <cell r="K5">
            <v>4114.5</v>
          </cell>
          <cell r="L5">
            <v>36000</v>
          </cell>
        </row>
        <row r="6">
          <cell r="J6">
            <v>4000</v>
          </cell>
          <cell r="K6">
            <v>520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164500</v>
          </cell>
          <cell r="K4">
            <v>19740</v>
          </cell>
          <cell r="L4">
            <v>51000</v>
          </cell>
        </row>
        <row r="5">
          <cell r="J5">
            <v>153150</v>
          </cell>
          <cell r="K5">
            <v>18378</v>
          </cell>
          <cell r="L5">
            <v>8000</v>
          </cell>
        </row>
        <row r="7">
          <cell r="J7">
            <v>58200</v>
          </cell>
          <cell r="K7">
            <v>6984</v>
          </cell>
          <cell r="L7">
            <v>88000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348200</v>
          </cell>
          <cell r="K4">
            <v>41784</v>
          </cell>
          <cell r="L4">
            <v>497250</v>
          </cell>
        </row>
        <row r="5">
          <cell r="J5">
            <v>301000</v>
          </cell>
          <cell r="K5">
            <v>36120</v>
          </cell>
          <cell r="L5">
            <v>416500</v>
          </cell>
        </row>
        <row r="6">
          <cell r="J6">
            <v>36850</v>
          </cell>
          <cell r="K6">
            <v>3685</v>
          </cell>
          <cell r="L6">
            <v>0</v>
          </cell>
        </row>
        <row r="7">
          <cell r="J7">
            <v>68800</v>
          </cell>
          <cell r="K7">
            <v>8256</v>
          </cell>
          <cell r="L7">
            <v>8500</v>
          </cell>
        </row>
        <row r="8">
          <cell r="J8">
            <v>93800</v>
          </cell>
          <cell r="K8">
            <v>11256</v>
          </cell>
          <cell r="L8">
            <v>170000</v>
          </cell>
        </row>
        <row r="9">
          <cell r="J9">
            <v>120100</v>
          </cell>
          <cell r="K9">
            <v>14412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67050</v>
          </cell>
          <cell r="K4">
            <v>8046</v>
          </cell>
          <cell r="L4">
            <v>191250</v>
          </cell>
        </row>
        <row r="5">
          <cell r="J5">
            <v>51150</v>
          </cell>
          <cell r="K5">
            <v>6138</v>
          </cell>
          <cell r="L5">
            <v>63750</v>
          </cell>
        </row>
        <row r="6">
          <cell r="J6">
            <v>8000</v>
          </cell>
          <cell r="K6">
            <v>800</v>
          </cell>
          <cell r="L6">
            <v>0</v>
          </cell>
        </row>
        <row r="7">
          <cell r="J7">
            <v>31150</v>
          </cell>
          <cell r="K7">
            <v>3738</v>
          </cell>
          <cell r="L7">
            <v>0</v>
          </cell>
        </row>
        <row r="8">
          <cell r="J8">
            <v>7000</v>
          </cell>
          <cell r="K8">
            <v>840</v>
          </cell>
          <cell r="L8">
            <v>0</v>
          </cell>
        </row>
      </sheetData>
      <sheetData sheetId="20">
        <row r="4">
          <cell r="J4">
            <v>139950</v>
          </cell>
          <cell r="K4">
            <v>16794</v>
          </cell>
          <cell r="L4">
            <v>182750</v>
          </cell>
        </row>
        <row r="5">
          <cell r="J5">
            <v>29900</v>
          </cell>
          <cell r="K5">
            <v>3588</v>
          </cell>
          <cell r="L5">
            <v>20000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31900</v>
          </cell>
          <cell r="K4">
            <v>3828</v>
          </cell>
          <cell r="L4">
            <v>85000</v>
          </cell>
        </row>
        <row r="5">
          <cell r="J5">
            <v>13625</v>
          </cell>
          <cell r="K5">
            <v>1635</v>
          </cell>
          <cell r="L5">
            <v>40000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17814</v>
          </cell>
        </row>
        <row r="12">
          <cell r="G12">
            <v>15000</v>
          </cell>
        </row>
        <row r="19">
          <cell r="D19">
            <v>512550</v>
          </cell>
          <cell r="E19">
            <v>66631.5</v>
          </cell>
          <cell r="F19">
            <v>30000</v>
          </cell>
        </row>
        <row r="22">
          <cell r="G22">
            <v>1980</v>
          </cell>
        </row>
      </sheetData>
      <sheetData sheetId="10"/>
      <sheetData sheetId="11">
        <row r="4">
          <cell r="J4">
            <v>228950</v>
          </cell>
          <cell r="K4">
            <v>29763.5</v>
          </cell>
          <cell r="L4">
            <v>556750</v>
          </cell>
        </row>
        <row r="5">
          <cell r="J5">
            <v>61350</v>
          </cell>
          <cell r="K5">
            <v>7975.5</v>
          </cell>
          <cell r="L5">
            <v>0</v>
          </cell>
        </row>
        <row r="6">
          <cell r="J6">
            <v>5700</v>
          </cell>
          <cell r="K6">
            <v>741</v>
          </cell>
          <cell r="L6">
            <v>0</v>
          </cell>
        </row>
      </sheetData>
      <sheetData sheetId="12">
        <row r="4">
          <cell r="J4">
            <v>172750</v>
          </cell>
          <cell r="K4">
            <v>22457.5</v>
          </cell>
          <cell r="L4">
            <v>191250</v>
          </cell>
        </row>
        <row r="5">
          <cell r="J5">
            <v>31800</v>
          </cell>
          <cell r="K5">
            <v>4134</v>
          </cell>
          <cell r="L5">
            <v>0</v>
          </cell>
        </row>
        <row r="6">
          <cell r="J6">
            <v>12000</v>
          </cell>
          <cell r="K6">
            <v>1560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125500</v>
          </cell>
          <cell r="K4">
            <v>15060</v>
          </cell>
          <cell r="L4">
            <v>42500</v>
          </cell>
        </row>
        <row r="5">
          <cell r="J5">
            <v>124200</v>
          </cell>
          <cell r="K5">
            <v>14904</v>
          </cell>
          <cell r="L5">
            <v>48000</v>
          </cell>
        </row>
        <row r="7">
          <cell r="J7">
            <v>40600</v>
          </cell>
          <cell r="K7">
            <v>4872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315000</v>
          </cell>
          <cell r="K4">
            <v>37800</v>
          </cell>
          <cell r="L4">
            <v>0</v>
          </cell>
        </row>
        <row r="5">
          <cell r="J5">
            <v>220900</v>
          </cell>
          <cell r="K5">
            <v>26508</v>
          </cell>
          <cell r="L5">
            <v>25500</v>
          </cell>
        </row>
        <row r="6">
          <cell r="J6">
            <v>45700</v>
          </cell>
          <cell r="K6">
            <v>4570</v>
          </cell>
          <cell r="L6">
            <v>0</v>
          </cell>
        </row>
        <row r="7">
          <cell r="J7">
            <v>23400</v>
          </cell>
          <cell r="K7">
            <v>2808</v>
          </cell>
          <cell r="L7">
            <v>25500</v>
          </cell>
        </row>
        <row r="8">
          <cell r="J8">
            <v>61550</v>
          </cell>
          <cell r="K8">
            <v>7386</v>
          </cell>
          <cell r="L8">
            <v>0</v>
          </cell>
        </row>
        <row r="9">
          <cell r="J9">
            <v>86800</v>
          </cell>
          <cell r="K9">
            <v>10416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20000</v>
          </cell>
          <cell r="K4">
            <v>2400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49700</v>
          </cell>
          <cell r="K4">
            <v>5964</v>
          </cell>
          <cell r="L4">
            <v>8500</v>
          </cell>
        </row>
        <row r="5">
          <cell r="J5">
            <v>11500</v>
          </cell>
          <cell r="K5">
            <v>1380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16300</v>
          </cell>
          <cell r="K7">
            <v>1956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137300</v>
          </cell>
          <cell r="K4">
            <v>16476</v>
          </cell>
          <cell r="L4">
            <v>25500</v>
          </cell>
        </row>
        <row r="5">
          <cell r="J5">
            <v>58150</v>
          </cell>
          <cell r="K5">
            <v>6978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79800</v>
          </cell>
          <cell r="K4">
            <v>9576</v>
          </cell>
          <cell r="L4">
            <v>21250</v>
          </cell>
        </row>
        <row r="5">
          <cell r="J5">
            <v>16800</v>
          </cell>
          <cell r="K5">
            <v>2016</v>
          </cell>
          <cell r="L5">
            <v>16000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56540.5</v>
          </cell>
        </row>
        <row r="12">
          <cell r="G12">
            <v>20000</v>
          </cell>
        </row>
        <row r="19">
          <cell r="D19">
            <v>404200</v>
          </cell>
          <cell r="E19">
            <v>52546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170200</v>
          </cell>
          <cell r="K4">
            <v>22126</v>
          </cell>
          <cell r="L4">
            <v>301750</v>
          </cell>
        </row>
        <row r="5">
          <cell r="J5">
            <v>39350</v>
          </cell>
          <cell r="K5">
            <v>5115.5</v>
          </cell>
          <cell r="L5">
            <v>124000</v>
          </cell>
        </row>
        <row r="6">
          <cell r="J6">
            <v>5750</v>
          </cell>
          <cell r="K6">
            <v>747.5</v>
          </cell>
          <cell r="L6">
            <v>0</v>
          </cell>
        </row>
      </sheetData>
      <sheetData sheetId="12">
        <row r="4">
          <cell r="J4">
            <v>162550</v>
          </cell>
          <cell r="K4">
            <v>21131.5</v>
          </cell>
          <cell r="L4">
            <v>63750</v>
          </cell>
        </row>
        <row r="5">
          <cell r="J5">
            <v>20950</v>
          </cell>
          <cell r="K5">
            <v>2723.5</v>
          </cell>
          <cell r="L5">
            <v>120000</v>
          </cell>
        </row>
        <row r="6">
          <cell r="J6">
            <v>5400</v>
          </cell>
          <cell r="K6">
            <v>702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171800</v>
          </cell>
          <cell r="K4">
            <v>20616</v>
          </cell>
          <cell r="L4">
            <v>238000</v>
          </cell>
        </row>
        <row r="5">
          <cell r="J5">
            <v>134450</v>
          </cell>
          <cell r="K5">
            <v>16134</v>
          </cell>
          <cell r="L5">
            <v>380000</v>
          </cell>
        </row>
        <row r="7">
          <cell r="J7">
            <v>33600</v>
          </cell>
          <cell r="K7">
            <v>4032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266450</v>
          </cell>
          <cell r="K4">
            <v>31974</v>
          </cell>
          <cell r="L4">
            <v>340000</v>
          </cell>
        </row>
        <row r="5">
          <cell r="J5">
            <v>101050</v>
          </cell>
          <cell r="K5">
            <v>12126</v>
          </cell>
          <cell r="L5">
            <v>131750</v>
          </cell>
        </row>
        <row r="6">
          <cell r="J6">
            <v>28200</v>
          </cell>
          <cell r="K6">
            <v>2820</v>
          </cell>
          <cell r="L6">
            <v>0</v>
          </cell>
        </row>
        <row r="7">
          <cell r="J7">
            <v>54150</v>
          </cell>
          <cell r="K7">
            <v>6498</v>
          </cell>
          <cell r="L7">
            <v>114750</v>
          </cell>
        </row>
        <row r="8">
          <cell r="J8">
            <v>4150</v>
          </cell>
          <cell r="K8">
            <v>498</v>
          </cell>
          <cell r="L8">
            <v>0</v>
          </cell>
        </row>
        <row r="9">
          <cell r="J9">
            <v>80000</v>
          </cell>
          <cell r="K9">
            <v>9600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12000</v>
          </cell>
          <cell r="K4">
            <v>1440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56700</v>
          </cell>
          <cell r="K4">
            <v>6804</v>
          </cell>
          <cell r="L4">
            <v>106250</v>
          </cell>
        </row>
        <row r="5">
          <cell r="J5">
            <v>35550</v>
          </cell>
          <cell r="K5">
            <v>4266</v>
          </cell>
          <cell r="L5">
            <v>106250</v>
          </cell>
        </row>
        <row r="6">
          <cell r="J6">
            <v>1600</v>
          </cell>
          <cell r="K6">
            <v>160</v>
          </cell>
          <cell r="L6">
            <v>0</v>
          </cell>
        </row>
        <row r="7">
          <cell r="J7">
            <v>29950</v>
          </cell>
          <cell r="K7">
            <v>3594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91650</v>
          </cell>
          <cell r="K4">
            <v>10998</v>
          </cell>
          <cell r="L4">
            <v>8500</v>
          </cell>
        </row>
        <row r="5">
          <cell r="J5">
            <v>30600</v>
          </cell>
          <cell r="K5">
            <v>3672</v>
          </cell>
          <cell r="L5">
            <v>64000</v>
          </cell>
        </row>
      </sheetData>
      <sheetData sheetId="21">
        <row r="4">
          <cell r="J4">
            <v>65600</v>
          </cell>
          <cell r="K4">
            <v>9840</v>
          </cell>
          <cell r="L4">
            <v>52000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42750</v>
          </cell>
          <cell r="K4">
            <v>5130</v>
          </cell>
          <cell r="L4">
            <v>68000</v>
          </cell>
        </row>
        <row r="5">
          <cell r="J5">
            <v>17200</v>
          </cell>
          <cell r="K5">
            <v>2064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29094.5</v>
          </cell>
        </row>
        <row r="12">
          <cell r="G12">
            <v>35000</v>
          </cell>
        </row>
        <row r="19">
          <cell r="D19">
            <v>361550</v>
          </cell>
          <cell r="E19">
            <v>47001.5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173000</v>
          </cell>
          <cell r="K4">
            <v>22490</v>
          </cell>
          <cell r="L4">
            <v>306000</v>
          </cell>
        </row>
        <row r="5">
          <cell r="J5">
            <v>28900</v>
          </cell>
          <cell r="K5">
            <v>3757</v>
          </cell>
          <cell r="L5">
            <v>8000</v>
          </cell>
        </row>
        <row r="6">
          <cell r="J6">
            <v>6750</v>
          </cell>
          <cell r="K6">
            <v>877.5</v>
          </cell>
          <cell r="L6">
            <v>20000</v>
          </cell>
        </row>
      </sheetData>
      <sheetData sheetId="12">
        <row r="4">
          <cell r="J4">
            <v>130850</v>
          </cell>
          <cell r="K4">
            <v>17010.5</v>
          </cell>
          <cell r="L4">
            <v>85000</v>
          </cell>
        </row>
        <row r="5">
          <cell r="J5">
            <v>19800</v>
          </cell>
          <cell r="K5">
            <v>2574</v>
          </cell>
          <cell r="L5">
            <v>0</v>
          </cell>
        </row>
        <row r="6">
          <cell r="J6">
            <v>2250</v>
          </cell>
          <cell r="K6">
            <v>292.5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238550</v>
          </cell>
          <cell r="K4">
            <v>28626</v>
          </cell>
          <cell r="L4">
            <v>425000</v>
          </cell>
        </row>
        <row r="5">
          <cell r="J5">
            <v>225000</v>
          </cell>
          <cell r="K5">
            <v>27000</v>
          </cell>
          <cell r="L5">
            <v>128000</v>
          </cell>
        </row>
        <row r="7">
          <cell r="J7">
            <v>90250</v>
          </cell>
          <cell r="K7">
            <v>10830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229400</v>
          </cell>
          <cell r="K4">
            <v>27528</v>
          </cell>
          <cell r="L4">
            <v>106250</v>
          </cell>
        </row>
        <row r="5">
          <cell r="J5">
            <v>175100</v>
          </cell>
          <cell r="K5">
            <v>21012</v>
          </cell>
          <cell r="L5">
            <v>38250</v>
          </cell>
        </row>
        <row r="6">
          <cell r="J6">
            <v>33550</v>
          </cell>
          <cell r="K6">
            <v>3355</v>
          </cell>
          <cell r="L6">
            <v>0</v>
          </cell>
        </row>
        <row r="7">
          <cell r="J7">
            <v>17250</v>
          </cell>
          <cell r="K7">
            <v>2070</v>
          </cell>
          <cell r="L7">
            <v>0</v>
          </cell>
        </row>
        <row r="8">
          <cell r="J8">
            <v>7000</v>
          </cell>
          <cell r="K8">
            <v>840</v>
          </cell>
          <cell r="L8">
            <v>0</v>
          </cell>
        </row>
        <row r="9">
          <cell r="J9">
            <v>57300</v>
          </cell>
          <cell r="K9">
            <v>6876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17300</v>
          </cell>
          <cell r="K4">
            <v>2076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110450</v>
          </cell>
          <cell r="K4">
            <v>13254</v>
          </cell>
          <cell r="L4">
            <v>127500</v>
          </cell>
        </row>
        <row r="5">
          <cell r="J5">
            <v>73400</v>
          </cell>
          <cell r="K5">
            <v>8808</v>
          </cell>
          <cell r="L5">
            <v>85000</v>
          </cell>
        </row>
        <row r="6">
          <cell r="J6">
            <v>4200</v>
          </cell>
          <cell r="K6">
            <v>420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63750</v>
          </cell>
        </row>
        <row r="8">
          <cell r="J8">
            <v>6000</v>
          </cell>
          <cell r="K8">
            <v>720</v>
          </cell>
          <cell r="L8">
            <v>21250</v>
          </cell>
        </row>
      </sheetData>
      <sheetData sheetId="20">
        <row r="4">
          <cell r="J4">
            <v>73300</v>
          </cell>
          <cell r="K4">
            <v>8796</v>
          </cell>
          <cell r="L4">
            <v>259250</v>
          </cell>
        </row>
        <row r="5">
          <cell r="J5">
            <v>30850</v>
          </cell>
          <cell r="K5">
            <v>3702</v>
          </cell>
          <cell r="L5">
            <v>8000</v>
          </cell>
        </row>
      </sheetData>
      <sheetData sheetId="21">
        <row r="4">
          <cell r="J4">
            <v>61800</v>
          </cell>
          <cell r="K4">
            <v>9270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49850</v>
          </cell>
          <cell r="K4">
            <v>5982</v>
          </cell>
          <cell r="L4">
            <v>59500</v>
          </cell>
        </row>
        <row r="5">
          <cell r="J5">
            <v>24100</v>
          </cell>
          <cell r="K5">
            <v>2892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0345-CBA0-4D3B-B1ED-5D8204738892}">
  <dimension ref="A1:AMM15"/>
  <sheetViews>
    <sheetView showGridLines="0" topLeftCell="F1" zoomScale="80" zoomScaleNormal="80" workbookViewId="0">
      <selection sqref="A1:U15"/>
    </sheetView>
  </sheetViews>
  <sheetFormatPr baseColWidth="10" defaultColWidth="11.453125" defaultRowHeight="14.5" x14ac:dyDescent="0.35"/>
  <cols>
    <col min="1" max="1" width="11.26953125" style="1" bestFit="1" customWidth="1"/>
    <col min="2" max="2" width="11.453125" style="1" bestFit="1" customWidth="1"/>
    <col min="3" max="3" width="13.7265625" style="1" bestFit="1" customWidth="1"/>
    <col min="4" max="4" width="12" style="1" bestFit="1" customWidth="1"/>
    <col min="5" max="5" width="11.269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7" width="11.453125" style="1"/>
    <col min="18" max="18" width="10.26953125" style="1" bestFit="1" customWidth="1"/>
    <col min="19" max="19" width="14.54296875" style="1" bestFit="1" customWidth="1"/>
    <col min="20" max="20" width="10.7265625" style="1" bestFit="1" customWidth="1"/>
    <col min="21" max="21" width="11.7265625" style="1" bestFit="1" customWidth="1"/>
    <col min="22" max="1027" width="11.453125" style="1"/>
  </cols>
  <sheetData>
    <row r="1" spans="1:21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21" ht="19" thickBot="1" x14ac:dyDescent="0.5">
      <c r="A2" s="2" t="s">
        <v>1</v>
      </c>
      <c r="B2" s="142" t="s">
        <v>137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s="1" customFormat="1" x14ac:dyDescent="0.35">
      <c r="A5" s="20" t="s">
        <v>36</v>
      </c>
      <c r="B5" s="14">
        <f>[1]Vendedor13!$J$4</f>
        <v>59300</v>
      </c>
      <c r="C5" s="81">
        <f>[1]Vendedor13!$K$4</f>
        <v>7116</v>
      </c>
      <c r="D5" s="82">
        <f>[1]Vendedor13!$L$4</f>
        <v>21250</v>
      </c>
      <c r="E5" s="14">
        <f>[1]Vendedor13!$J$5</f>
        <v>16150</v>
      </c>
      <c r="F5" s="81">
        <f>[1]Vendedor13!$K$5</f>
        <v>1938</v>
      </c>
      <c r="G5" s="85">
        <f>[1]Vendedor13!$L$5</f>
        <v>0</v>
      </c>
      <c r="H5" s="19">
        <f>[1]Vendedor13!$J$6</f>
        <v>1000</v>
      </c>
      <c r="I5" s="15">
        <f>[1]Vendedor13!$K$6</f>
        <v>100</v>
      </c>
      <c r="J5" s="17">
        <f>[1]Vendedor13!$L$6</f>
        <v>0</v>
      </c>
      <c r="K5" s="18">
        <f>[1]Vendedor13!$J$7</f>
        <v>1500</v>
      </c>
      <c r="L5" s="15">
        <f>[1]Vendedor13!$K$7</f>
        <v>180</v>
      </c>
      <c r="M5" s="16">
        <f>[1]Vendedor13!$L$7</f>
        <v>0</v>
      </c>
      <c r="N5" s="19">
        <f>[1]Vendedor13!$J$8</f>
        <v>0</v>
      </c>
      <c r="O5" s="15">
        <f>[1]Vendedor13!$K$8</f>
        <v>0</v>
      </c>
      <c r="P5" s="17">
        <f>[1]Vendedor13!$L$8</f>
        <v>0</v>
      </c>
      <c r="Q5" s="19">
        <f t="shared" ref="Q5:Q14" si="0">+B5+E5+H5+K5+N5</f>
        <v>77950</v>
      </c>
      <c r="R5" s="15">
        <f t="shared" ref="R5:S14" si="1">+C5+F5+I5+L5+O5</f>
        <v>9334</v>
      </c>
      <c r="S5" s="17">
        <f t="shared" si="1"/>
        <v>21250</v>
      </c>
      <c r="T5" s="18">
        <v>0</v>
      </c>
      <c r="U5" s="17">
        <f t="shared" ref="U5:U14" si="2">+Q5-R5-S5+T5</f>
        <v>47366</v>
      </c>
    </row>
    <row r="6" spans="1:21" s="1" customFormat="1" x14ac:dyDescent="0.35">
      <c r="A6" s="13" t="s">
        <v>37</v>
      </c>
      <c r="B6" s="14">
        <f>[2]Vendedor13!$J$4</f>
        <v>63200</v>
      </c>
      <c r="C6" s="81">
        <f>[2]Vendedor13!$K$4</f>
        <v>7584</v>
      </c>
      <c r="D6" s="82">
        <f>[2]Vendedor13!$L$4</f>
        <v>106250</v>
      </c>
      <c r="E6" s="14">
        <f>[2]Vendedor13!$J$5</f>
        <v>33200</v>
      </c>
      <c r="F6" s="81">
        <f>[2]Vendedor13!$K$5</f>
        <v>3984</v>
      </c>
      <c r="G6" s="85">
        <f>[2]Vendedor13!$L$5</f>
        <v>0</v>
      </c>
      <c r="H6" s="19">
        <f>[2]Vendedor13!$J$6</f>
        <v>1000</v>
      </c>
      <c r="I6" s="15">
        <f>[2]Vendedor13!$K$6</f>
        <v>100</v>
      </c>
      <c r="J6" s="17">
        <f>[2]Vendedor13!$L$6</f>
        <v>0</v>
      </c>
      <c r="K6" s="18">
        <f>[2]Vendedor13!$J$7</f>
        <v>3600</v>
      </c>
      <c r="L6" s="15">
        <f>[2]Vendedor13!$K$7</f>
        <v>432</v>
      </c>
      <c r="M6" s="16">
        <f>[2]Vendedor13!$L$7</f>
        <v>0</v>
      </c>
      <c r="N6" s="19">
        <f>[2]Vendedor13!$J$8</f>
        <v>0</v>
      </c>
      <c r="O6" s="15">
        <f>[2]Vendedor13!$K$8</f>
        <v>0</v>
      </c>
      <c r="P6" s="17">
        <f>[2]Vendedor13!$L$8</f>
        <v>0</v>
      </c>
      <c r="Q6" s="19">
        <f t="shared" si="0"/>
        <v>101000</v>
      </c>
      <c r="R6" s="15">
        <f t="shared" si="1"/>
        <v>12100</v>
      </c>
      <c r="S6" s="17">
        <f t="shared" si="1"/>
        <v>106250</v>
      </c>
      <c r="T6" s="18">
        <v>0</v>
      </c>
      <c r="U6" s="17">
        <f t="shared" si="2"/>
        <v>-17350</v>
      </c>
    </row>
    <row r="7" spans="1:21" s="1" customFormat="1" x14ac:dyDescent="0.35">
      <c r="A7" s="20" t="s">
        <v>38</v>
      </c>
      <c r="B7" s="14">
        <f>[3]Vendedor13!$J$4</f>
        <v>47650</v>
      </c>
      <c r="C7" s="81">
        <f>[3]Vendedor13!$K$4</f>
        <v>5718</v>
      </c>
      <c r="D7" s="82">
        <f>[3]Vendedor13!$L$4</f>
        <v>63750</v>
      </c>
      <c r="E7" s="14">
        <f>[3]Vendedor13!$J$5</f>
        <v>28100</v>
      </c>
      <c r="F7" s="81">
        <f>[3]Vendedor13!$K$5</f>
        <v>3372</v>
      </c>
      <c r="G7" s="85">
        <f>[3]Vendedor13!$L$5</f>
        <v>0</v>
      </c>
      <c r="H7" s="19">
        <f>[3]Vendedor13!$J$6</f>
        <v>3000</v>
      </c>
      <c r="I7" s="15">
        <f>[3]Vendedor13!$K$6</f>
        <v>300</v>
      </c>
      <c r="J7" s="17">
        <f>[3]Vendedor13!$L$6</f>
        <v>0</v>
      </c>
      <c r="K7" s="18">
        <f>[3]Vendedor13!$J$7</f>
        <v>6250</v>
      </c>
      <c r="L7" s="15">
        <f>[3]Vendedor13!$K$7</f>
        <v>750</v>
      </c>
      <c r="M7" s="16">
        <f>[3]Vendedor13!$L$7</f>
        <v>0</v>
      </c>
      <c r="N7" s="19">
        <f>[3]Vendedor13!$J$8</f>
        <v>0</v>
      </c>
      <c r="O7" s="15">
        <f>[3]Vendedor13!$K$8</f>
        <v>0</v>
      </c>
      <c r="P7" s="17">
        <f>[3]Vendedor13!$L$8</f>
        <v>0</v>
      </c>
      <c r="Q7" s="19">
        <f t="shared" si="0"/>
        <v>85000</v>
      </c>
      <c r="R7" s="15">
        <f t="shared" si="1"/>
        <v>10140</v>
      </c>
      <c r="S7" s="17">
        <f t="shared" si="1"/>
        <v>63750</v>
      </c>
      <c r="T7" s="18">
        <v>0</v>
      </c>
      <c r="U7" s="17">
        <f t="shared" si="2"/>
        <v>11110</v>
      </c>
    </row>
    <row r="8" spans="1:21" s="1" customFormat="1" x14ac:dyDescent="0.35">
      <c r="A8" s="13" t="s">
        <v>39</v>
      </c>
      <c r="B8" s="14">
        <f>[4]Vendedor13!$J$4</f>
        <v>73550</v>
      </c>
      <c r="C8" s="81">
        <f>[4]Vendedor13!$K$4</f>
        <v>8826</v>
      </c>
      <c r="D8" s="82">
        <f>[4]Vendedor13!$L$4</f>
        <v>21250</v>
      </c>
      <c r="E8" s="14">
        <f>[4]Vendedor13!$J$5</f>
        <v>47650</v>
      </c>
      <c r="F8" s="81">
        <f>[4]Vendedor13!$K$5</f>
        <v>5718</v>
      </c>
      <c r="G8" s="85">
        <f>[4]Vendedor13!$L$5</f>
        <v>0</v>
      </c>
      <c r="H8" s="19">
        <f>[4]Vendedor13!$J$6</f>
        <v>4500</v>
      </c>
      <c r="I8" s="15">
        <f>[4]Vendedor13!$K$6</f>
        <v>450</v>
      </c>
      <c r="J8" s="17">
        <f>[4]Vendedor13!$L$6</f>
        <v>0</v>
      </c>
      <c r="K8" s="18">
        <f>[4]Vendedor13!$J$7</f>
        <v>3500</v>
      </c>
      <c r="L8" s="15">
        <f>[4]Vendedor13!$K$7</f>
        <v>420</v>
      </c>
      <c r="M8" s="16">
        <f>[4]Vendedor13!$L$7</f>
        <v>0</v>
      </c>
      <c r="N8" s="19">
        <f>[4]Vendedor13!$J$8</f>
        <v>0</v>
      </c>
      <c r="O8" s="15">
        <f>[4]Vendedor13!$K$8</f>
        <v>0</v>
      </c>
      <c r="P8" s="17">
        <f>[4]Vendedor13!$L$8</f>
        <v>0</v>
      </c>
      <c r="Q8" s="19">
        <f t="shared" si="0"/>
        <v>129200</v>
      </c>
      <c r="R8" s="15">
        <f t="shared" si="1"/>
        <v>15414</v>
      </c>
      <c r="S8" s="17">
        <f t="shared" si="1"/>
        <v>21250</v>
      </c>
      <c r="T8" s="18">
        <v>0</v>
      </c>
      <c r="U8" s="17">
        <f t="shared" si="2"/>
        <v>92536</v>
      </c>
    </row>
    <row r="9" spans="1:21" s="1" customFormat="1" x14ac:dyDescent="0.35">
      <c r="A9" s="20" t="s">
        <v>40</v>
      </c>
      <c r="B9" s="14">
        <f>[5]Vendedor13!$J$4</f>
        <v>66900</v>
      </c>
      <c r="C9" s="81">
        <f>[5]Vendedor13!$K$4</f>
        <v>8028</v>
      </c>
      <c r="D9" s="82">
        <f>[5]Vendedor13!$L$4</f>
        <v>80750</v>
      </c>
      <c r="E9" s="14">
        <f>[5]Vendedor13!$J$5</f>
        <v>27600</v>
      </c>
      <c r="F9" s="81">
        <f>[5]Vendedor13!$K$5</f>
        <v>3312</v>
      </c>
      <c r="G9" s="85">
        <f>[5]Vendedor13!$L$5</f>
        <v>0</v>
      </c>
      <c r="H9" s="19">
        <f>[5]Vendedor13!$J$6</f>
        <v>1000</v>
      </c>
      <c r="I9" s="15">
        <f>[5]Vendedor13!$K$6</f>
        <v>100</v>
      </c>
      <c r="J9" s="17">
        <f>[5]Vendedor13!$L$6</f>
        <v>0</v>
      </c>
      <c r="K9" s="18">
        <f>[5]Vendedor13!$J$7</f>
        <v>400</v>
      </c>
      <c r="L9" s="15">
        <f>[5]Vendedor13!$K$7</f>
        <v>48</v>
      </c>
      <c r="M9" s="16">
        <f>[5]Vendedor13!$L$7</f>
        <v>0</v>
      </c>
      <c r="N9" s="19">
        <f>[5]Vendedor13!$J$8</f>
        <v>0</v>
      </c>
      <c r="O9" s="15">
        <f>[5]Vendedor13!$K$8</f>
        <v>0</v>
      </c>
      <c r="P9" s="17">
        <f>[5]Vendedor13!$L$8</f>
        <v>0</v>
      </c>
      <c r="Q9" s="19">
        <f t="shared" si="0"/>
        <v>95900</v>
      </c>
      <c r="R9" s="15">
        <f t="shared" si="1"/>
        <v>11488</v>
      </c>
      <c r="S9" s="17">
        <f t="shared" si="1"/>
        <v>80750</v>
      </c>
      <c r="T9" s="18">
        <v>0</v>
      </c>
      <c r="U9" s="17">
        <f t="shared" si="2"/>
        <v>3662</v>
      </c>
    </row>
    <row r="10" spans="1:21" s="1" customFormat="1" x14ac:dyDescent="0.35">
      <c r="A10" s="20" t="s">
        <v>41</v>
      </c>
      <c r="B10" s="14">
        <f>[6]Vendedor13!$J$4</f>
        <v>67150</v>
      </c>
      <c r="C10" s="81">
        <f>[6]Vendedor13!$K$4</f>
        <v>8058</v>
      </c>
      <c r="D10" s="82">
        <f>[6]Vendedor13!$L$4</f>
        <v>51000</v>
      </c>
      <c r="E10" s="14">
        <f>[6]Vendedor13!$J$5</f>
        <v>27450</v>
      </c>
      <c r="F10" s="81">
        <f>[6]Vendedor13!$K$5</f>
        <v>3294</v>
      </c>
      <c r="G10" s="85">
        <f>[6]Vendedor13!$L$5</f>
        <v>0</v>
      </c>
      <c r="H10" s="19">
        <f>[6]Vendedor13!$J$6</f>
        <v>1000</v>
      </c>
      <c r="I10" s="15">
        <f>[6]Vendedor13!$K$6</f>
        <v>100</v>
      </c>
      <c r="J10" s="17">
        <f>[6]Vendedor13!$L$6</f>
        <v>0</v>
      </c>
      <c r="K10" s="18">
        <f>[6]Vendedor13!$J$7</f>
        <v>0</v>
      </c>
      <c r="L10" s="15">
        <f>[6]Vendedor13!$K$7</f>
        <v>0</v>
      </c>
      <c r="M10" s="16">
        <f>[6]Vendedor13!$L$7</f>
        <v>0</v>
      </c>
      <c r="N10" s="19">
        <f>[6]Vendedor13!$J$8</f>
        <v>0</v>
      </c>
      <c r="O10" s="15">
        <f>[6]Vendedor13!$K$8</f>
        <v>0</v>
      </c>
      <c r="P10" s="17">
        <f>[6]Vendedor13!$L$8</f>
        <v>0</v>
      </c>
      <c r="Q10" s="19">
        <f t="shared" si="0"/>
        <v>95600</v>
      </c>
      <c r="R10" s="15">
        <f t="shared" si="1"/>
        <v>11452</v>
      </c>
      <c r="S10" s="17">
        <f t="shared" si="1"/>
        <v>51000</v>
      </c>
      <c r="T10" s="18">
        <v>0</v>
      </c>
      <c r="U10" s="17">
        <f t="shared" si="2"/>
        <v>33148</v>
      </c>
    </row>
    <row r="11" spans="1:21" s="1" customFormat="1" x14ac:dyDescent="0.35">
      <c r="A11" s="13" t="s">
        <v>42</v>
      </c>
      <c r="B11" s="14">
        <f>[7]Vendedor13!$J$4</f>
        <v>58650</v>
      </c>
      <c r="C11" s="81">
        <f>[7]Vendedor13!$K$4</f>
        <v>7038</v>
      </c>
      <c r="D11" s="82">
        <f>[7]Vendedor13!$L$4</f>
        <v>42500</v>
      </c>
      <c r="E11" s="14">
        <f>[7]Vendedor13!$J$5</f>
        <v>35200</v>
      </c>
      <c r="F11" s="81">
        <f>[7]Vendedor13!$K$5</f>
        <v>4224</v>
      </c>
      <c r="G11" s="85">
        <f>[7]Vendedor13!$L$5</f>
        <v>0</v>
      </c>
      <c r="H11" s="19">
        <f>[7]Vendedor13!$J$6</f>
        <v>2500</v>
      </c>
      <c r="I11" s="15">
        <f>[7]Vendedor13!$K$6</f>
        <v>250</v>
      </c>
      <c r="J11" s="17">
        <f>[7]Vendedor13!$L$6</f>
        <v>0</v>
      </c>
      <c r="K11" s="18">
        <f>[7]Vendedor13!$J$7</f>
        <v>3200</v>
      </c>
      <c r="L11" s="15">
        <f>[7]Vendedor13!$K$7</f>
        <v>384</v>
      </c>
      <c r="M11" s="16">
        <f>[7]Vendedor13!$L$7</f>
        <v>0</v>
      </c>
      <c r="N11" s="19">
        <f>[7]Vendedor13!$J$8</f>
        <v>0</v>
      </c>
      <c r="O11" s="15">
        <f>[7]Vendedor13!$K$8</f>
        <v>0</v>
      </c>
      <c r="P11" s="17">
        <f>[7]Vendedor13!$L$8</f>
        <v>0</v>
      </c>
      <c r="Q11" s="19">
        <f t="shared" si="0"/>
        <v>99550</v>
      </c>
      <c r="R11" s="15">
        <f t="shared" si="1"/>
        <v>11896</v>
      </c>
      <c r="S11" s="17">
        <f t="shared" si="1"/>
        <v>42500</v>
      </c>
      <c r="T11" s="18">
        <v>0</v>
      </c>
      <c r="U11" s="17">
        <f t="shared" si="2"/>
        <v>45154</v>
      </c>
    </row>
    <row r="12" spans="1:21" s="1" customFormat="1" x14ac:dyDescent="0.35">
      <c r="A12" s="20" t="s">
        <v>43</v>
      </c>
      <c r="B12" s="14">
        <f>[8]Vendedor13!$J$4</f>
        <v>63000</v>
      </c>
      <c r="C12" s="81">
        <f>[8]Vendedor13!$K$4</f>
        <v>7560</v>
      </c>
      <c r="D12" s="82">
        <f>[8]Vendedor13!$L$4</f>
        <v>0</v>
      </c>
      <c r="E12" s="14">
        <f>[8]Vendedor13!$J$5</f>
        <v>26550</v>
      </c>
      <c r="F12" s="81">
        <f>[8]Vendedor13!$K$5</f>
        <v>3186</v>
      </c>
      <c r="G12" s="85">
        <f>[8]Vendedor13!$L$5</f>
        <v>0</v>
      </c>
      <c r="H12" s="19">
        <f>[8]Vendedor13!$J$6</f>
        <v>1750</v>
      </c>
      <c r="I12" s="15">
        <f>[8]Vendedor13!$K$6</f>
        <v>175</v>
      </c>
      <c r="J12" s="17">
        <f>[8]Vendedor13!$L$6</f>
        <v>0</v>
      </c>
      <c r="K12" s="18">
        <f>[8]Vendedor13!$J$7</f>
        <v>1000</v>
      </c>
      <c r="L12" s="15">
        <f>[8]Vendedor13!$K$7</f>
        <v>120</v>
      </c>
      <c r="M12" s="16">
        <f>[8]Vendedor13!$L$7</f>
        <v>0</v>
      </c>
      <c r="N12" s="19">
        <f>[8]Vendedor13!$J$8</f>
        <v>0</v>
      </c>
      <c r="O12" s="15">
        <f>[8]Vendedor13!$K$8</f>
        <v>0</v>
      </c>
      <c r="P12" s="17">
        <f>[8]Vendedor13!$L$8</f>
        <v>0</v>
      </c>
      <c r="Q12" s="19">
        <f t="shared" si="0"/>
        <v>92300</v>
      </c>
      <c r="R12" s="15">
        <f t="shared" si="1"/>
        <v>11041</v>
      </c>
      <c r="S12" s="17">
        <f t="shared" si="1"/>
        <v>0</v>
      </c>
      <c r="T12" s="18">
        <v>0</v>
      </c>
      <c r="U12" s="17">
        <f t="shared" si="2"/>
        <v>81259</v>
      </c>
    </row>
    <row r="13" spans="1:21" s="1" customFormat="1" ht="15" thickBot="1" x14ac:dyDescent="0.4">
      <c r="A13" s="13" t="s">
        <v>44</v>
      </c>
      <c r="B13" s="14">
        <f>[9]Vendedor13!$J$4</f>
        <v>66400</v>
      </c>
      <c r="C13" s="81">
        <f>[9]Vendedor13!$K$4</f>
        <v>7968</v>
      </c>
      <c r="D13" s="82">
        <f>[9]Vendedor13!$L$4</f>
        <v>0</v>
      </c>
      <c r="E13" s="14">
        <f>[9]Vendedor13!$J$5</f>
        <v>21650</v>
      </c>
      <c r="F13" s="81">
        <f>[9]Vendedor13!$K$5</f>
        <v>2598</v>
      </c>
      <c r="G13" s="85">
        <f>[9]Vendedor13!$L$5</f>
        <v>20000</v>
      </c>
      <c r="H13" s="19">
        <f>[9]Vendedor13!$J$6</f>
        <v>5600</v>
      </c>
      <c r="I13" s="15">
        <f>[9]Vendedor13!$K$6</f>
        <v>560</v>
      </c>
      <c r="J13" s="17">
        <f>[9]Vendedor13!$L$6</f>
        <v>0</v>
      </c>
      <c r="K13" s="18">
        <f>[9]Vendedor13!$J$7</f>
        <v>500</v>
      </c>
      <c r="L13" s="15">
        <f>[9]Vendedor13!$K$7</f>
        <v>60</v>
      </c>
      <c r="M13" s="16">
        <f>[9]Vendedor13!$L$7</f>
        <v>0</v>
      </c>
      <c r="N13" s="19">
        <f>[9]Vendedor13!$J$8</f>
        <v>0</v>
      </c>
      <c r="O13" s="15">
        <f>[9]Vendedor13!$K$8</f>
        <v>0</v>
      </c>
      <c r="P13" s="17">
        <f>[9]Vendedor13!$L$8</f>
        <v>0</v>
      </c>
      <c r="Q13" s="19">
        <f t="shared" si="0"/>
        <v>94150</v>
      </c>
      <c r="R13" s="15">
        <f t="shared" si="1"/>
        <v>11186</v>
      </c>
      <c r="S13" s="17">
        <f t="shared" si="1"/>
        <v>20000</v>
      </c>
      <c r="T13" s="18">
        <v>0</v>
      </c>
      <c r="U13" s="17">
        <f t="shared" si="2"/>
        <v>62964</v>
      </c>
    </row>
    <row r="14" spans="1:21" s="1" customFormat="1" ht="15" hidden="1" thickBot="1" x14ac:dyDescent="0.4">
      <c r="A14" s="20" t="s">
        <v>45</v>
      </c>
      <c r="B14" s="21">
        <f>[10]Vendedor13!$J$4</f>
        <v>44400</v>
      </c>
      <c r="C14" s="83">
        <f>[10]Vendedor13!$K$4</f>
        <v>5328</v>
      </c>
      <c r="D14" s="84">
        <f>[10]Vendedor13!$L$4</f>
        <v>0</v>
      </c>
      <c r="E14" s="21">
        <f>[10]Vendedor13!$J$5</f>
        <v>23200</v>
      </c>
      <c r="F14" s="83">
        <f>[10]Vendedor13!$K$5</f>
        <v>2784</v>
      </c>
      <c r="G14" s="86">
        <f>[10]Vendedor13!$L$5</f>
        <v>40000</v>
      </c>
      <c r="H14" s="26">
        <f>[10]Vendedor13!$J$6</f>
        <v>0</v>
      </c>
      <c r="I14" s="22">
        <f>[10]Vendedor13!$K$6</f>
        <v>0</v>
      </c>
      <c r="J14" s="24">
        <f>[10]Vendedor13!$L$6</f>
        <v>0</v>
      </c>
      <c r="K14" s="25">
        <f>[10]Vendedor13!$J$7</f>
        <v>0</v>
      </c>
      <c r="L14" s="22">
        <f>[10]Vendedor13!$K$7</f>
        <v>0</v>
      </c>
      <c r="M14" s="23">
        <f>[10]Vendedor13!$L$7</f>
        <v>0</v>
      </c>
      <c r="N14" s="26">
        <f>[10]Vendedor13!$J$8</f>
        <v>0</v>
      </c>
      <c r="O14" s="22">
        <f>[10]Vendedor13!$K$8</f>
        <v>0</v>
      </c>
      <c r="P14" s="24">
        <f>[10]Vendedor13!$L$8</f>
        <v>0</v>
      </c>
      <c r="Q14" s="26">
        <f t="shared" si="0"/>
        <v>67600</v>
      </c>
      <c r="R14" s="22">
        <f t="shared" si="1"/>
        <v>8112</v>
      </c>
      <c r="S14" s="24">
        <f t="shared" si="1"/>
        <v>40000</v>
      </c>
      <c r="T14" s="25">
        <v>0</v>
      </c>
      <c r="U14" s="24">
        <f t="shared" si="2"/>
        <v>19488</v>
      </c>
    </row>
    <row r="15" spans="1:21" s="1" customFormat="1" ht="16" thickBot="1" x14ac:dyDescent="0.4">
      <c r="A15" s="5" t="s">
        <v>46</v>
      </c>
      <c r="B15" s="27">
        <f t="shared" ref="B15:U15" si="3">SUM(B5:B14)</f>
        <v>610200</v>
      </c>
      <c r="C15" s="28">
        <f t="shared" si="3"/>
        <v>73224</v>
      </c>
      <c r="D15" s="29">
        <f t="shared" si="3"/>
        <v>386750</v>
      </c>
      <c r="E15" s="30">
        <f t="shared" si="3"/>
        <v>286750</v>
      </c>
      <c r="F15" s="28">
        <f t="shared" si="3"/>
        <v>34410</v>
      </c>
      <c r="G15" s="31">
        <f t="shared" si="3"/>
        <v>60000</v>
      </c>
      <c r="H15" s="27">
        <f t="shared" si="3"/>
        <v>21350</v>
      </c>
      <c r="I15" s="28">
        <f t="shared" si="3"/>
        <v>2135</v>
      </c>
      <c r="J15" s="29">
        <f t="shared" si="3"/>
        <v>0</v>
      </c>
      <c r="K15" s="60">
        <f t="shared" si="3"/>
        <v>19950</v>
      </c>
      <c r="L15" s="32">
        <f t="shared" si="3"/>
        <v>2394</v>
      </c>
      <c r="M15" s="78">
        <f t="shared" si="3"/>
        <v>0</v>
      </c>
      <c r="N15" s="60">
        <f t="shared" si="3"/>
        <v>0</v>
      </c>
      <c r="O15" s="32">
        <f t="shared" si="3"/>
        <v>0</v>
      </c>
      <c r="P15" s="73">
        <f t="shared" si="3"/>
        <v>0</v>
      </c>
      <c r="Q15" s="30">
        <f t="shared" si="3"/>
        <v>938250</v>
      </c>
      <c r="R15" s="28">
        <f t="shared" si="3"/>
        <v>112163</v>
      </c>
      <c r="S15" s="28">
        <f t="shared" si="3"/>
        <v>446750</v>
      </c>
      <c r="T15" s="32">
        <f t="shared" si="3"/>
        <v>0</v>
      </c>
      <c r="U15" s="33">
        <f t="shared" si="3"/>
        <v>379337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135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7594375</v>
      </c>
      <c r="C3" s="42">
        <f>Vendedor1!L$37</f>
        <v>987200</v>
      </c>
      <c r="D3" s="42">
        <f>Vendedor1!M$37</f>
        <v>6532250</v>
      </c>
      <c r="E3" s="43">
        <f>Vendedor1!N$37</f>
        <v>0</v>
      </c>
      <c r="F3" s="45">
        <f>Vendedor1!O$37</f>
        <v>74925</v>
      </c>
    </row>
    <row r="4" spans="1:6" ht="15.5" x14ac:dyDescent="0.35">
      <c r="A4" s="46" t="str">
        <f>+Vendedor2!B$2</f>
        <v>PANAS #2</v>
      </c>
      <c r="B4" s="44">
        <f>+Vendedor2!K$37</f>
        <v>6034500</v>
      </c>
      <c r="C4" s="42">
        <f>+Vendedor2!L$37</f>
        <v>784550</v>
      </c>
      <c r="D4" s="42">
        <f>+Vendedor2!M$37</f>
        <v>4636500</v>
      </c>
      <c r="E4" s="43">
        <f>Vendedor2!N$37</f>
        <v>0</v>
      </c>
      <c r="F4" s="45">
        <f>+Vendedor2!O$37</f>
        <v>613450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7000</v>
      </c>
      <c r="C6" s="42">
        <f>+Vendedor4!L$37</f>
        <v>840</v>
      </c>
      <c r="D6" s="42">
        <f>+Vendedor4!M$37</f>
        <v>0</v>
      </c>
      <c r="E6" s="43">
        <f>Vendedor4!N$37</f>
        <v>0</v>
      </c>
      <c r="F6" s="45">
        <f>+Vendedor4!O$37</f>
        <v>6160</v>
      </c>
    </row>
    <row r="7" spans="1:6" ht="15.5" x14ac:dyDescent="0.35">
      <c r="A7" s="46" t="str">
        <f>+Vendedor5!B$2</f>
        <v>YOYO</v>
      </c>
      <c r="B7" s="44">
        <f>+Vendedor5!K$37</f>
        <v>11173450</v>
      </c>
      <c r="C7" s="42">
        <f>+Vendedor5!L$37</f>
        <v>1340850</v>
      </c>
      <c r="D7" s="42">
        <f>+Vendedor5!M$37</f>
        <v>8678500</v>
      </c>
      <c r="E7" s="43">
        <f>Vendedor5!N$37</f>
        <v>0</v>
      </c>
      <c r="F7" s="45">
        <f>+Vendedor5!O$37</f>
        <v>1154100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 MAYO</v>
      </c>
      <c r="B9" s="44">
        <f>+Vendedor7!W$37</f>
        <v>22781822</v>
      </c>
      <c r="C9" s="42">
        <f>+Vendedor7!X$37</f>
        <v>2709085.64</v>
      </c>
      <c r="D9" s="42">
        <f>+Vendedor7!Y$37</f>
        <v>19963500</v>
      </c>
      <c r="E9" s="43">
        <f>Vendedor7!Z$37</f>
        <v>0</v>
      </c>
      <c r="F9" s="45">
        <f>+Vendedor7!AA$37</f>
        <v>109236.35999999999</v>
      </c>
    </row>
    <row r="10" spans="1:6" ht="15.5" x14ac:dyDescent="0.35">
      <c r="A10" s="46" t="str">
        <f>+Vendedor8!B$2</f>
        <v>ISA JUNIO</v>
      </c>
      <c r="B10" s="44">
        <f>+Vendedor8!K$37</f>
        <v>307450</v>
      </c>
      <c r="C10" s="42">
        <f>+Vendedor8!L$37</f>
        <v>36950</v>
      </c>
      <c r="D10" s="42">
        <f>+Vendedor8!M$37</f>
        <v>140250</v>
      </c>
      <c r="E10" s="43">
        <f>Vendedor8!N$37</f>
        <v>0</v>
      </c>
      <c r="F10" s="45">
        <f>+Vendedor8!O$37</f>
        <v>130250</v>
      </c>
    </row>
    <row r="11" spans="1:6" ht="15.5" x14ac:dyDescent="0.35">
      <c r="A11" s="46" t="str">
        <f>+Vendedor9!B$2</f>
        <v>JUAN FELIX</v>
      </c>
      <c r="B11" s="44">
        <f>+Vendedor9!Q$37</f>
        <v>4847900</v>
      </c>
      <c r="C11" s="42">
        <f>+Vendedor9!R$37</f>
        <v>579211</v>
      </c>
      <c r="D11" s="42">
        <f>+Vendedor9!S$37</f>
        <v>3733750</v>
      </c>
      <c r="E11" s="43">
        <f>Vendedor9!T$37</f>
        <v>0</v>
      </c>
      <c r="F11" s="45">
        <f>+Vendedor9!U$37</f>
        <v>534939</v>
      </c>
    </row>
    <row r="12" spans="1:6" ht="15.5" x14ac:dyDescent="0.35">
      <c r="A12" s="46" t="str">
        <f>+Vendedor10!B$2</f>
        <v>MARIALIZ</v>
      </c>
      <c r="B12" s="44">
        <f>+Vendedor10!K$37</f>
        <v>4259500</v>
      </c>
      <c r="C12" s="42">
        <f>+Vendedor10!L$37</f>
        <v>511150</v>
      </c>
      <c r="D12" s="42">
        <f>+Vendedor10!M$37</f>
        <v>3211500</v>
      </c>
      <c r="E12" s="43">
        <f>Vendedor10!N$37</f>
        <v>0</v>
      </c>
      <c r="F12" s="45">
        <f>+Vendedor10!O$37</f>
        <v>536850</v>
      </c>
    </row>
    <row r="13" spans="1:6" ht="15.5" x14ac:dyDescent="0.35">
      <c r="A13" s="46" t="str">
        <f>Vendedor11!B$2</f>
        <v>CHARLY JUNIO</v>
      </c>
      <c r="B13" s="44">
        <f>+Vendedor11!K$37</f>
        <v>2469150</v>
      </c>
      <c r="C13" s="42">
        <f>+Vendedor11!L$37</f>
        <v>370200</v>
      </c>
      <c r="D13" s="42">
        <f>+Vendedor11!M$37</f>
        <v>1580000</v>
      </c>
      <c r="E13" s="43">
        <f>Vendedor11!N$37</f>
        <v>0</v>
      </c>
      <c r="F13" s="45">
        <f>+Vendedor11!O$37</f>
        <v>518950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 JUNIO</v>
      </c>
      <c r="B15" s="44">
        <f>+Vendedor13!$Q$37</f>
        <v>2857025</v>
      </c>
      <c r="C15" s="42">
        <f>+Vendedor13!R$37</f>
        <v>341578</v>
      </c>
      <c r="D15" s="42">
        <f>+Vendedor13!S$37</f>
        <v>1993000</v>
      </c>
      <c r="E15" s="43">
        <f>Vendedor13!T$37</f>
        <v>0</v>
      </c>
      <c r="F15" s="45">
        <f>+Vendedor13!U$37</f>
        <v>522447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+Vendedor21!K$37</f>
        <v>0</v>
      </c>
      <c r="C23" s="42">
        <f>+Vendedor21!L$37</f>
        <v>0</v>
      </c>
      <c r="D23" s="42">
        <f>+Vendedor21!M$37</f>
        <v>0</v>
      </c>
      <c r="E23" s="43">
        <f>Vendedor21!N$37</f>
        <v>0</v>
      </c>
      <c r="F23" s="45">
        <f>+Vendedor21!O$37</f>
        <v>0</v>
      </c>
    </row>
    <row r="24" spans="1:8" ht="15.5" hidden="1" x14ac:dyDescent="0.35">
      <c r="A24" s="46" t="str">
        <f>Vendedor22!B$2</f>
        <v>Vendedor 22</v>
      </c>
      <c r="B24" s="44">
        <f>+Vendedor22!K$37</f>
        <v>0</v>
      </c>
      <c r="C24" s="42">
        <f>+Vendedor22!L$37</f>
        <v>0</v>
      </c>
      <c r="D24" s="42">
        <f>+Vendedor22!M$37</f>
        <v>0</v>
      </c>
      <c r="E24" s="43">
        <f>Vendedor22!N$37</f>
        <v>0</v>
      </c>
      <c r="F24" s="45">
        <f>+Vendedor22!O$37</f>
        <v>0</v>
      </c>
    </row>
    <row r="25" spans="1:8" ht="15.5" hidden="1" x14ac:dyDescent="0.35">
      <c r="A25" s="46" t="str">
        <f>Vendedor23!B$2</f>
        <v>Vendedor 23</v>
      </c>
      <c r="B25" s="44">
        <f>+Vendedor23!K$37</f>
        <v>0</v>
      </c>
      <c r="C25" s="42">
        <f>+Vendedor23!L$37</f>
        <v>0</v>
      </c>
      <c r="D25" s="42">
        <f>+Vendedor23!M$37</f>
        <v>0</v>
      </c>
      <c r="E25" s="43">
        <f>Vendedor23!N$37</f>
        <v>0</v>
      </c>
      <c r="F25" s="45">
        <f>+Vendedor23!O$37</f>
        <v>0</v>
      </c>
    </row>
    <row r="26" spans="1:8" ht="15.5" x14ac:dyDescent="0.35">
      <c r="A26" s="46" t="str">
        <f>Vendedor24!B$2</f>
        <v>Reposición</v>
      </c>
      <c r="B26" s="44">
        <f>+Vendedor24!K$37</f>
        <v>0</v>
      </c>
      <c r="C26" s="42">
        <f>+Vendedor24!L$37</f>
        <v>0</v>
      </c>
      <c r="D26" s="42">
        <f>+Vendedor24!M$37</f>
        <v>0</v>
      </c>
      <c r="E26" s="43">
        <f>Vendedor24!N$37</f>
        <v>0</v>
      </c>
      <c r="F26" s="45">
        <f>+Vendedor24!O$37</f>
        <v>0</v>
      </c>
    </row>
    <row r="27" spans="1:8" ht="16" thickBot="1" x14ac:dyDescent="0.4">
      <c r="A27" s="48" t="s">
        <v>48</v>
      </c>
      <c r="B27" s="49">
        <f>SUM(B3:B26)</f>
        <v>62332172</v>
      </c>
      <c r="C27" s="50">
        <f>SUM(C3:C26)</f>
        <v>7661614.6400000006</v>
      </c>
      <c r="D27" s="50">
        <f>SUM(D3:D26)</f>
        <v>50469250</v>
      </c>
      <c r="E27" s="51">
        <f>SUM(E3:E26)</f>
        <v>0</v>
      </c>
      <c r="F27" s="52">
        <f>SUM(F3:F26)</f>
        <v>4201307.3599999994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112</v>
      </c>
    </row>
    <row r="38" spans="1:1" x14ac:dyDescent="0.35">
      <c r="A38" s="34" t="s">
        <v>129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000-000000000000}"/>
    <hyperlink ref="A4" location="Vendedor2!B5" display="#Vendedor2.B5" xr:uid="{00000000-0004-0000-0000-000001000000}"/>
    <hyperlink ref="A5" location="Vendedor3!B5" display="#Vendedor3.B5" xr:uid="{00000000-0004-0000-0000-000002000000}"/>
    <hyperlink ref="A6" location="Vendedor4!B5" display="#Vendedor4.B5" xr:uid="{00000000-0004-0000-0000-000003000000}"/>
    <hyperlink ref="A7" location="Vendedor5!B5" display="#Vendedor5.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#Vendedor9.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37" location="'PuestosALI RESUMEN'!A1" display="Ir a resumen" xr:uid="{00000000-0004-0000-0000-000017000000}"/>
    <hyperlink ref="A15" location="Vendedor13!B5" display="Vendedor13!B5" xr:uid="{00000000-0004-0000-0000-000018000000}"/>
    <hyperlink ref="A38" location="'Grafico Dinámico'!A1" display="Grafico Dinamico" xr:uid="{00000000-0004-0000-00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43" t="s">
        <v>0</v>
      </c>
      <c r="J1" s="143"/>
      <c r="K1" s="143"/>
      <c r="L1" s="143"/>
      <c r="M1" s="143"/>
      <c r="N1" s="143"/>
    </row>
    <row r="2" spans="1:15" ht="19" thickBot="1" x14ac:dyDescent="0.5">
      <c r="A2" s="2" t="s">
        <v>1</v>
      </c>
      <c r="B2" s="142" t="s">
        <v>113</v>
      </c>
      <c r="C2" s="142"/>
      <c r="D2" s="142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374900</v>
      </c>
      <c r="C6" s="58">
        <f>+Vendedor1!C6+Vendedor2!C6+Vendedor3!C6</f>
        <v>48737</v>
      </c>
      <c r="D6" s="54">
        <f>+Vendedor1!D6+Vendedor2!D6+Vendedor3!D6</f>
        <v>97750</v>
      </c>
      <c r="E6" s="53">
        <f>+Vendedor1!E6+Vendedor2!E6+Vendedor3!E6</f>
        <v>100000</v>
      </c>
      <c r="F6" s="58">
        <f>+Vendedor1!F6+Vendedor2!F6+Vendedor3!F6</f>
        <v>13000</v>
      </c>
      <c r="G6" s="55">
        <f>+Vendedor1!G6+Vendedor2!G6+Vendedor3!G6</f>
        <v>0</v>
      </c>
      <c r="H6" s="61">
        <f>+Vendedor1!H6+Vendedor2!H6+Vendedor3!H6</f>
        <v>14850</v>
      </c>
      <c r="I6" s="58">
        <f>+Vendedor1!I6+Vendedor2!I6+Vendedor3!I6</f>
        <v>1930.5</v>
      </c>
      <c r="J6" s="54">
        <f>+Vendedor1!J6+Vendedor2!J6+Vendedor3!J6</f>
        <v>0</v>
      </c>
      <c r="K6" s="59">
        <f>+B6+E6+H6</f>
        <v>489750</v>
      </c>
      <c r="L6" s="58">
        <f>MROUND(C6+F6+I6,50)</f>
        <v>63650</v>
      </c>
      <c r="M6" s="58">
        <f t="shared" ref="M6:M36" si="1">+D6+G6+J6</f>
        <v>97750</v>
      </c>
      <c r="N6" s="58">
        <v>0</v>
      </c>
      <c r="O6" s="55">
        <f t="shared" si="0"/>
        <v>328350</v>
      </c>
    </row>
    <row r="7" spans="1:15" x14ac:dyDescent="0.35">
      <c r="A7" s="13" t="s">
        <v>50</v>
      </c>
      <c r="B7" s="14">
        <f>+Vendedor1!B7+Vendedor2!B7+Vendedor3!B7</f>
        <v>332400</v>
      </c>
      <c r="C7" s="15">
        <f>+Vendedor1!C7+Vendedor2!C7+Vendedor3!C7</f>
        <v>43212</v>
      </c>
      <c r="D7" s="16">
        <f>+Vendedor1!D7+Vendedor2!D7+Vendedor3!D7</f>
        <v>127500</v>
      </c>
      <c r="E7" s="14">
        <f>+Vendedor1!E7+Vendedor2!E7+Vendedor3!E7</f>
        <v>63350</v>
      </c>
      <c r="F7" s="15">
        <f>+Vendedor1!F7+Vendedor2!F7+Vendedor3!F7</f>
        <v>8235.5</v>
      </c>
      <c r="G7" s="17">
        <f>+Vendedor1!G7+Vendedor2!G7+Vendedor3!G7</f>
        <v>140000</v>
      </c>
      <c r="H7" s="18">
        <f>+Vendedor1!H7+Vendedor2!H7+Vendedor3!H7</f>
        <v>21350</v>
      </c>
      <c r="I7" s="15">
        <f>+Vendedor1!I7+Vendedor2!I7+Vendedor3!I7</f>
        <v>2775.5</v>
      </c>
      <c r="J7" s="16">
        <f>+Vendedor1!J7+Vendedor2!J7+Vendedor3!J7</f>
        <v>16000</v>
      </c>
      <c r="K7" s="19">
        <f>+B7+E7+H7</f>
        <v>417100</v>
      </c>
      <c r="L7" s="15">
        <f>MROUND(C7+F7+I7,50)</f>
        <v>54200</v>
      </c>
      <c r="M7" s="15">
        <f t="shared" si="1"/>
        <v>283500</v>
      </c>
      <c r="N7" s="15">
        <v>0</v>
      </c>
      <c r="O7" s="17">
        <f t="shared" si="0"/>
        <v>79400</v>
      </c>
    </row>
    <row r="8" spans="1:15" x14ac:dyDescent="0.35">
      <c r="A8" s="20" t="s">
        <v>51</v>
      </c>
      <c r="B8" s="14">
        <f>+Vendedor1!B8+Vendedor2!B8+Vendedor3!B8</f>
        <v>333650</v>
      </c>
      <c r="C8" s="15">
        <f>+Vendedor1!C8+Vendedor2!C8+Vendedor3!C8</f>
        <v>43374.5</v>
      </c>
      <c r="D8" s="16">
        <f>+Vendedor1!D8+Vendedor2!D8+Vendedor3!D8</f>
        <v>450500</v>
      </c>
      <c r="E8" s="14">
        <f>+Vendedor1!E8+Vendedor2!E8+Vendedor3!E8</f>
        <v>45900</v>
      </c>
      <c r="F8" s="15">
        <f>+Vendedor1!F8+Vendedor2!F8+Vendedor3!F8</f>
        <v>5967</v>
      </c>
      <c r="G8" s="17">
        <f>+Vendedor1!G8+Vendedor2!G8+Vendedor3!G8</f>
        <v>40000</v>
      </c>
      <c r="H8" s="18">
        <f>+Vendedor1!H8+Vendedor2!H8+Vendedor3!H8</f>
        <v>9050</v>
      </c>
      <c r="I8" s="15">
        <f>+Vendedor1!I8+Vendedor2!I8+Vendedor3!I8</f>
        <v>1176.5</v>
      </c>
      <c r="J8" s="16">
        <f>+Vendedor1!J8+Vendedor2!J8+Vendedor3!J8</f>
        <v>24000</v>
      </c>
      <c r="K8" s="19">
        <f>+B8+E8+H8</f>
        <v>388600</v>
      </c>
      <c r="L8" s="15">
        <f t="shared" ref="L8:L36" si="2">MROUND(C8+F8+I8,50)</f>
        <v>50500</v>
      </c>
      <c r="M8" s="15">
        <f t="shared" si="1"/>
        <v>514500</v>
      </c>
      <c r="N8" s="15">
        <v>0</v>
      </c>
      <c r="O8" s="17">
        <f t="shared" si="0"/>
        <v>-176400</v>
      </c>
    </row>
    <row r="9" spans="1:15" x14ac:dyDescent="0.35">
      <c r="A9" s="13" t="s">
        <v>52</v>
      </c>
      <c r="B9" s="14">
        <f>+Vendedor1!B9+Vendedor2!B9+Vendedor3!B9</f>
        <v>373850</v>
      </c>
      <c r="C9" s="15">
        <f>+Vendedor1!C9+Vendedor2!C9+Vendedor3!C9</f>
        <v>48600.5</v>
      </c>
      <c r="D9" s="16">
        <f>+Vendedor1!D9+Vendedor2!D9+Vendedor3!D9</f>
        <v>369750</v>
      </c>
      <c r="E9" s="14">
        <f>+Vendedor1!E9+Vendedor2!E9+Vendedor3!E9</f>
        <v>63150</v>
      </c>
      <c r="F9" s="15">
        <f>+Vendedor1!F9+Vendedor2!F9+Vendedor3!F9</f>
        <v>8209.5</v>
      </c>
      <c r="G9" s="17">
        <f>+Vendedor1!G9+Vendedor2!G9+Vendedor3!G9</f>
        <v>48000</v>
      </c>
      <c r="H9" s="18">
        <f>+Vendedor1!H9+Vendedor2!H9+Vendedor3!H9</f>
        <v>6300</v>
      </c>
      <c r="I9" s="15">
        <f>+Vendedor1!I9+Vendedor2!I9+Vendedor3!I9</f>
        <v>819</v>
      </c>
      <c r="J9" s="16">
        <f>+Vendedor1!J9+Vendedor2!J9+Vendedor3!J9</f>
        <v>0</v>
      </c>
      <c r="K9" s="19">
        <f>+B9+E9+H9</f>
        <v>443300</v>
      </c>
      <c r="L9" s="15">
        <f t="shared" si="2"/>
        <v>57650</v>
      </c>
      <c r="M9" s="15">
        <f t="shared" si="1"/>
        <v>417750</v>
      </c>
      <c r="N9" s="15">
        <v>0</v>
      </c>
      <c r="O9" s="17">
        <f t="shared" si="0"/>
        <v>-32100</v>
      </c>
    </row>
    <row r="10" spans="1:15" x14ac:dyDescent="0.35">
      <c r="A10" s="20" t="s">
        <v>53</v>
      </c>
      <c r="B10" s="14">
        <f>+Vendedor1!B10+Vendedor2!B10+Vendedor3!B10</f>
        <v>447200</v>
      </c>
      <c r="C10" s="15">
        <f>+Vendedor1!C10+Vendedor2!C10+Vendedor3!C10</f>
        <v>58136</v>
      </c>
      <c r="D10" s="16">
        <f>+Vendedor1!D10+Vendedor2!D10+Vendedor3!D10</f>
        <v>284750</v>
      </c>
      <c r="E10" s="14">
        <f>+Vendedor1!E10+Vendedor2!E10+Vendedor3!E10</f>
        <v>64250</v>
      </c>
      <c r="F10" s="15">
        <f>+Vendedor1!F10+Vendedor2!F10+Vendedor3!F10</f>
        <v>8352.5</v>
      </c>
      <c r="G10" s="17">
        <f>+Vendedor1!G10+Vendedor2!G10+Vendedor3!G10</f>
        <v>32000</v>
      </c>
      <c r="H10" s="18">
        <f>+Vendedor1!H10+Vendedor2!H10+Vendedor3!H10</f>
        <v>16400</v>
      </c>
      <c r="I10" s="15">
        <f>+Vendedor1!I10+Vendedor2!I10+Vendedor3!I10</f>
        <v>2132</v>
      </c>
      <c r="J10" s="16">
        <f>+Vendedor1!J10+Vendedor2!J10+Vendedor3!J10</f>
        <v>0</v>
      </c>
      <c r="K10" s="19">
        <f t="shared" ref="K10:K36" si="3">+B10+E10+H10</f>
        <v>527850</v>
      </c>
      <c r="L10" s="15">
        <f t="shared" si="2"/>
        <v>68600</v>
      </c>
      <c r="M10" s="15">
        <f t="shared" si="1"/>
        <v>316750</v>
      </c>
      <c r="N10" s="15">
        <v>0</v>
      </c>
      <c r="O10" s="17">
        <f t="shared" si="0"/>
        <v>142500</v>
      </c>
    </row>
    <row r="11" spans="1:15" x14ac:dyDescent="0.35">
      <c r="A11" s="13" t="s">
        <v>20</v>
      </c>
      <c r="B11" s="14">
        <f>+Vendedor1!B11+Vendedor2!B11+Vendedor3!B11</f>
        <v>364850</v>
      </c>
      <c r="C11" s="15">
        <f>+Vendedor1!C11+Vendedor2!C11+Vendedor3!C11</f>
        <v>47430.5</v>
      </c>
      <c r="D11" s="16">
        <f>+Vendedor1!D11+Vendedor2!D11+Vendedor3!D11</f>
        <v>97750</v>
      </c>
      <c r="E11" s="14">
        <f>+Vendedor1!E11+Vendedor2!E11+Vendedor3!E11</f>
        <v>57200</v>
      </c>
      <c r="F11" s="15">
        <f>+Vendedor1!F11+Vendedor2!F11+Vendedor3!F11</f>
        <v>7436</v>
      </c>
      <c r="G11" s="17">
        <f>+Vendedor1!G11+Vendedor2!G11+Vendedor3!G11</f>
        <v>16000</v>
      </c>
      <c r="H11" s="18">
        <f>+Vendedor1!H11+Vendedor2!H11+Vendedor3!H11</f>
        <v>9850</v>
      </c>
      <c r="I11" s="15">
        <f>+Vendedor1!I11+Vendedor2!I11+Vendedor3!I11</f>
        <v>1280.5</v>
      </c>
      <c r="J11" s="16">
        <f>+Vendedor1!J11+Vendedor2!J11+Vendedor3!J11</f>
        <v>0</v>
      </c>
      <c r="K11" s="19">
        <f t="shared" si="3"/>
        <v>431900</v>
      </c>
      <c r="L11" s="15">
        <f t="shared" si="2"/>
        <v>56150</v>
      </c>
      <c r="M11" s="15">
        <f t="shared" si="1"/>
        <v>113750</v>
      </c>
      <c r="N11" s="15">
        <v>0</v>
      </c>
      <c r="O11" s="17">
        <f t="shared" si="0"/>
        <v>262000</v>
      </c>
    </row>
    <row r="12" spans="1:15" x14ac:dyDescent="0.35">
      <c r="A12" s="20" t="s">
        <v>21</v>
      </c>
      <c r="B12" s="14">
        <f>+Vendedor1!B12+Vendedor2!B12+Vendedor3!B12</f>
        <v>315250</v>
      </c>
      <c r="C12" s="15">
        <f>+Vendedor1!C12+Vendedor2!C12+Vendedor3!C12</f>
        <v>40982.5</v>
      </c>
      <c r="D12" s="16">
        <f>+Vendedor1!D12+Vendedor2!D12+Vendedor3!D12</f>
        <v>276250</v>
      </c>
      <c r="E12" s="14">
        <f>+Vendedor1!E12+Vendedor2!E12+Vendedor3!E12</f>
        <v>52500</v>
      </c>
      <c r="F12" s="15">
        <f>+Vendedor1!F12+Vendedor2!F12+Vendedor3!F12</f>
        <v>6825</v>
      </c>
      <c r="G12" s="17">
        <f>+Vendedor1!G12+Vendedor2!G12+Vendedor3!G12</f>
        <v>40000</v>
      </c>
      <c r="H12" s="18">
        <f>+Vendedor1!H12+Vendedor2!H12+Vendedor3!H12</f>
        <v>4950</v>
      </c>
      <c r="I12" s="15">
        <f>+Vendedor1!I12+Vendedor2!I12+Vendedor3!I12</f>
        <v>643.5</v>
      </c>
      <c r="J12" s="16">
        <f>+Vendedor1!J12+Vendedor2!J12+Vendedor3!J12</f>
        <v>0</v>
      </c>
      <c r="K12" s="19">
        <f t="shared" si="3"/>
        <v>372700</v>
      </c>
      <c r="L12" s="15">
        <f t="shared" si="2"/>
        <v>48450</v>
      </c>
      <c r="M12" s="15">
        <f t="shared" si="1"/>
        <v>316250</v>
      </c>
      <c r="N12" s="15">
        <v>0</v>
      </c>
      <c r="O12" s="17">
        <f t="shared" si="0"/>
        <v>8000</v>
      </c>
    </row>
    <row r="13" spans="1:15" x14ac:dyDescent="0.35">
      <c r="A13" s="13" t="s">
        <v>22</v>
      </c>
      <c r="B13" s="14">
        <f>+Vendedor1!B13+Vendedor2!B13+Vendedor3!B13</f>
        <v>329600</v>
      </c>
      <c r="C13" s="15">
        <f>+Vendedor1!C13+Vendedor2!C13+Vendedor3!C13</f>
        <v>42848</v>
      </c>
      <c r="D13" s="16">
        <f>+Vendedor1!D13+Vendedor2!D13+Vendedor3!D13</f>
        <v>756500</v>
      </c>
      <c r="E13" s="14">
        <f>+Vendedor1!E13+Vendedor2!E13+Vendedor3!E13</f>
        <v>72550</v>
      </c>
      <c r="F13" s="15">
        <f>+Vendedor1!F13+Vendedor2!F13+Vendedor3!F13</f>
        <v>9431.5</v>
      </c>
      <c r="G13" s="17">
        <f>+Vendedor1!G13+Vendedor2!G13+Vendedor3!G13</f>
        <v>40000</v>
      </c>
      <c r="H13" s="18">
        <f>+Vendedor1!H13+Vendedor2!H13+Vendedor3!H13</f>
        <v>13100</v>
      </c>
      <c r="I13" s="15">
        <f>+Vendedor1!I13+Vendedor2!I13+Vendedor3!I13</f>
        <v>1703</v>
      </c>
      <c r="J13" s="16">
        <f>+Vendedor1!J13+Vendedor2!J13+Vendedor3!J13</f>
        <v>0</v>
      </c>
      <c r="K13" s="19">
        <f t="shared" si="3"/>
        <v>415250</v>
      </c>
      <c r="L13" s="15">
        <f t="shared" si="2"/>
        <v>54000</v>
      </c>
      <c r="M13" s="15">
        <f t="shared" si="1"/>
        <v>796500</v>
      </c>
      <c r="N13" s="15">
        <v>0</v>
      </c>
      <c r="O13" s="17">
        <f t="shared" si="0"/>
        <v>-435250</v>
      </c>
    </row>
    <row r="14" spans="1:15" x14ac:dyDescent="0.35">
      <c r="A14" s="20" t="s">
        <v>23</v>
      </c>
      <c r="B14" s="14">
        <f>+Vendedor1!B14+Vendedor2!B14+Vendedor3!B14</f>
        <v>298425</v>
      </c>
      <c r="C14" s="15">
        <f>+Vendedor1!C14+Vendedor2!C14+Vendedor3!C14</f>
        <v>38795.25</v>
      </c>
      <c r="D14" s="16">
        <f>+Vendedor1!D14+Vendedor2!D14+Vendedor3!D14</f>
        <v>505750</v>
      </c>
      <c r="E14" s="14">
        <f>+Vendedor1!E14+Vendedor2!E14+Vendedor3!E14</f>
        <v>70650</v>
      </c>
      <c r="F14" s="15">
        <f>+Vendedor1!F14+Vendedor2!F14+Vendedor3!F14</f>
        <v>9184.5</v>
      </c>
      <c r="G14" s="17">
        <f>+Vendedor1!G14+Vendedor2!G14+Vendedor3!G14</f>
        <v>56000</v>
      </c>
      <c r="H14" s="18">
        <f>+Vendedor1!H14+Vendedor2!H14+Vendedor3!H14</f>
        <v>7800</v>
      </c>
      <c r="I14" s="15">
        <f>+Vendedor1!I14+Vendedor2!I14+Vendedor3!I14</f>
        <v>1014</v>
      </c>
      <c r="J14" s="16">
        <f>+Vendedor1!J14+Vendedor2!J14+Vendedor3!J14</f>
        <v>0</v>
      </c>
      <c r="K14" s="19">
        <f t="shared" si="3"/>
        <v>376875</v>
      </c>
      <c r="L14" s="15">
        <f t="shared" si="2"/>
        <v>49000</v>
      </c>
      <c r="M14" s="15">
        <f t="shared" si="1"/>
        <v>561750</v>
      </c>
      <c r="N14" s="15">
        <v>0</v>
      </c>
      <c r="O14" s="17">
        <f t="shared" si="0"/>
        <v>-233875</v>
      </c>
    </row>
    <row r="15" spans="1:15" x14ac:dyDescent="0.35">
      <c r="A15" s="13" t="s">
        <v>24</v>
      </c>
      <c r="B15" s="14">
        <f>+Vendedor1!B15+Vendedor2!B15+Vendedor3!B15</f>
        <v>436500</v>
      </c>
      <c r="C15" s="15">
        <f>+Vendedor1!C15+Vendedor2!C15+Vendedor3!C15</f>
        <v>56745</v>
      </c>
      <c r="D15" s="16">
        <f>+Vendedor1!D15+Vendedor2!D15+Vendedor3!D15</f>
        <v>144500</v>
      </c>
      <c r="E15" s="14">
        <f>+Vendedor1!E15+Vendedor2!E15+Vendedor3!E15</f>
        <v>59700</v>
      </c>
      <c r="F15" s="15">
        <f>+Vendedor1!F15+Vendedor2!F15+Vendedor3!F15</f>
        <v>7761</v>
      </c>
      <c r="G15" s="17">
        <f>+Vendedor1!G15+Vendedor2!G15+Vendedor3!G15</f>
        <v>8000</v>
      </c>
      <c r="H15" s="18">
        <f>+Vendedor1!H15+Vendedor2!H15+Vendedor3!H15</f>
        <v>23400</v>
      </c>
      <c r="I15" s="15">
        <f>+Vendedor1!I15+Vendedor2!I15+Vendedor3!I15</f>
        <v>3042</v>
      </c>
      <c r="J15" s="16">
        <f>+Vendedor1!J15+Vendedor2!J15+Vendedor3!J15</f>
        <v>16000</v>
      </c>
      <c r="K15" s="19">
        <f t="shared" si="3"/>
        <v>519600</v>
      </c>
      <c r="L15" s="15">
        <f t="shared" si="2"/>
        <v>67550</v>
      </c>
      <c r="M15" s="15">
        <f t="shared" si="1"/>
        <v>168500</v>
      </c>
      <c r="N15" s="15">
        <v>0</v>
      </c>
      <c r="O15" s="17">
        <f t="shared" si="0"/>
        <v>283550</v>
      </c>
    </row>
    <row r="16" spans="1:15" x14ac:dyDescent="0.35">
      <c r="A16" s="20" t="s">
        <v>25</v>
      </c>
      <c r="B16" s="14">
        <f>+Vendedor1!B16+Vendedor2!B16+Vendedor3!B16</f>
        <v>469550</v>
      </c>
      <c r="C16" s="15">
        <f>+Vendedor1!C16+Vendedor2!C16+Vendedor3!C16</f>
        <v>61041.5</v>
      </c>
      <c r="D16" s="16">
        <f>+Vendedor1!D16+Vendedor2!D16+Vendedor3!D16</f>
        <v>42500</v>
      </c>
      <c r="E16" s="14">
        <f>+Vendedor1!E16+Vendedor2!E16+Vendedor3!E16</f>
        <v>93600</v>
      </c>
      <c r="F16" s="15">
        <f>+Vendedor1!F16+Vendedor2!F16+Vendedor3!F16</f>
        <v>12168</v>
      </c>
      <c r="G16" s="17">
        <f>+Vendedor1!G16+Vendedor2!G16+Vendedor3!G16</f>
        <v>240000</v>
      </c>
      <c r="H16" s="18">
        <f>+Vendedor1!H16+Vendedor2!H16+Vendedor3!H16</f>
        <v>9400</v>
      </c>
      <c r="I16" s="15">
        <f>+Vendedor1!I16+Vendedor2!I16+Vendedor3!I16</f>
        <v>1222</v>
      </c>
      <c r="J16" s="16">
        <f>+Vendedor1!J16+Vendedor2!J16+Vendedor3!J16</f>
        <v>0</v>
      </c>
      <c r="K16" s="19">
        <f t="shared" si="3"/>
        <v>572550</v>
      </c>
      <c r="L16" s="15">
        <f t="shared" si="2"/>
        <v>74450</v>
      </c>
      <c r="M16" s="15">
        <f t="shared" si="1"/>
        <v>282500</v>
      </c>
      <c r="N16" s="15">
        <v>0</v>
      </c>
      <c r="O16" s="17">
        <f t="shared" si="0"/>
        <v>215600</v>
      </c>
    </row>
    <row r="17" spans="1:15" x14ac:dyDescent="0.35">
      <c r="A17" s="13" t="s">
        <v>26</v>
      </c>
      <c r="B17" s="14">
        <f>+Vendedor1!B17+Vendedor2!B17+Vendedor3!B17</f>
        <v>368650</v>
      </c>
      <c r="C17" s="15">
        <f>+Vendedor1!C17+Vendedor2!C17+Vendedor3!C17</f>
        <v>47924.5</v>
      </c>
      <c r="D17" s="16">
        <f>+Vendedor1!D17+Vendedor2!D17+Vendedor3!D17</f>
        <v>527000</v>
      </c>
      <c r="E17" s="14">
        <f>+Vendedor1!E17+Vendedor2!E17+Vendedor3!E17</f>
        <v>51350</v>
      </c>
      <c r="F17" s="15">
        <f>+Vendedor1!F17+Vendedor2!F17+Vendedor3!F17</f>
        <v>6675.5</v>
      </c>
      <c r="G17" s="17">
        <f>+Vendedor1!G17+Vendedor2!G17+Vendedor3!G17</f>
        <v>0</v>
      </c>
      <c r="H17" s="18">
        <f>+Vendedor1!H17+Vendedor2!H17+Vendedor3!H17</f>
        <v>9700</v>
      </c>
      <c r="I17" s="15">
        <f>+Vendedor1!I17+Vendedor2!I17+Vendedor3!I17</f>
        <v>1261</v>
      </c>
      <c r="J17" s="16">
        <f>+Vendedor1!J17+Vendedor2!J17+Vendedor3!J17</f>
        <v>0</v>
      </c>
      <c r="K17" s="19">
        <f t="shared" si="3"/>
        <v>429700</v>
      </c>
      <c r="L17" s="15">
        <f t="shared" si="2"/>
        <v>55850</v>
      </c>
      <c r="M17" s="15">
        <f t="shared" si="1"/>
        <v>527000</v>
      </c>
      <c r="N17" s="15">
        <v>0</v>
      </c>
      <c r="O17" s="17">
        <f t="shared" si="0"/>
        <v>-153150</v>
      </c>
    </row>
    <row r="18" spans="1:15" x14ac:dyDescent="0.35">
      <c r="A18" s="20" t="s">
        <v>27</v>
      </c>
      <c r="B18" s="14">
        <f>+Vendedor1!B18+Vendedor2!B18+Vendedor3!B18</f>
        <v>327900</v>
      </c>
      <c r="C18" s="15">
        <f>+Vendedor1!C18+Vendedor2!C18+Vendedor3!C18</f>
        <v>42627</v>
      </c>
      <c r="D18" s="16">
        <f>+Vendedor1!D18+Vendedor2!D18+Vendedor3!D18</f>
        <v>89250</v>
      </c>
      <c r="E18" s="14">
        <f>+Vendedor1!E18+Vendedor2!E18+Vendedor3!E18</f>
        <v>57650</v>
      </c>
      <c r="F18" s="15">
        <f>+Vendedor1!F18+Vendedor2!F18+Vendedor3!F18</f>
        <v>7494.5</v>
      </c>
      <c r="G18" s="17">
        <f>+Vendedor1!G18+Vendedor2!G18+Vendedor3!G18</f>
        <v>48000</v>
      </c>
      <c r="H18" s="18">
        <f>+Vendedor1!H18+Vendedor2!H18+Vendedor3!H18</f>
        <v>8100</v>
      </c>
      <c r="I18" s="15">
        <f>+Vendedor1!I18+Vendedor2!I18+Vendedor3!I18</f>
        <v>1053</v>
      </c>
      <c r="J18" s="16">
        <f>+Vendedor1!J18+Vendedor2!J18+Vendedor3!J18</f>
        <v>8000</v>
      </c>
      <c r="K18" s="19">
        <f t="shared" si="3"/>
        <v>393650</v>
      </c>
      <c r="L18" s="15">
        <f t="shared" si="2"/>
        <v>51150</v>
      </c>
      <c r="M18" s="15">
        <f t="shared" si="1"/>
        <v>145250</v>
      </c>
      <c r="N18" s="15">
        <v>0</v>
      </c>
      <c r="O18" s="17">
        <f t="shared" si="0"/>
        <v>197250</v>
      </c>
    </row>
    <row r="19" spans="1:15" x14ac:dyDescent="0.35">
      <c r="A19" s="20" t="s">
        <v>28</v>
      </c>
      <c r="B19" s="14">
        <f>+Vendedor1!B19+Vendedor2!B19+Vendedor3!B19</f>
        <v>367200</v>
      </c>
      <c r="C19" s="15">
        <f>+Vendedor1!C19+Vendedor2!C19+Vendedor3!C19</f>
        <v>47736</v>
      </c>
      <c r="D19" s="16">
        <f>+Vendedor1!D19+Vendedor2!D19+Vendedor3!D19</f>
        <v>357000</v>
      </c>
      <c r="E19" s="14">
        <f>+Vendedor1!E19+Vendedor2!E19+Vendedor3!E19</f>
        <v>48050</v>
      </c>
      <c r="F19" s="15">
        <f>+Vendedor1!F19+Vendedor2!F19+Vendedor3!F19</f>
        <v>6246.5</v>
      </c>
      <c r="G19" s="17">
        <f>+Vendedor1!G19+Vendedor2!G19+Vendedor3!G19</f>
        <v>0</v>
      </c>
      <c r="H19" s="18">
        <f>+Vendedor1!H19+Vendedor2!H19+Vendedor3!H19</f>
        <v>15100</v>
      </c>
      <c r="I19" s="15">
        <f>+Vendedor1!I19+Vendedor2!I19+Vendedor3!I19</f>
        <v>1963</v>
      </c>
      <c r="J19" s="16">
        <f>+Vendedor1!J19+Vendedor2!J19+Vendedor3!J19</f>
        <v>0</v>
      </c>
      <c r="K19" s="19">
        <f t="shared" si="3"/>
        <v>430350</v>
      </c>
      <c r="L19" s="15">
        <f t="shared" si="2"/>
        <v>55950</v>
      </c>
      <c r="M19" s="15">
        <f t="shared" si="1"/>
        <v>357000</v>
      </c>
      <c r="N19" s="15">
        <v>0</v>
      </c>
      <c r="O19" s="17">
        <f t="shared" si="0"/>
        <v>17400</v>
      </c>
    </row>
    <row r="20" spans="1:15" x14ac:dyDescent="0.35">
      <c r="A20" s="13" t="s">
        <v>29</v>
      </c>
      <c r="B20" s="14">
        <f>+Vendedor1!B20+Vendedor2!B20+Vendedor3!B20</f>
        <v>336800</v>
      </c>
      <c r="C20" s="15">
        <f>+Vendedor1!C20+Vendedor2!C20+Vendedor3!C20</f>
        <v>43784</v>
      </c>
      <c r="D20" s="16">
        <f>+Vendedor1!D20+Vendedor2!D20+Vendedor3!D20</f>
        <v>0</v>
      </c>
      <c r="E20" s="14">
        <f>+Vendedor1!E20+Vendedor2!E20+Vendedor3!E20</f>
        <v>39300</v>
      </c>
      <c r="F20" s="15">
        <f>+Vendedor1!F20+Vendedor2!F20+Vendedor3!F20</f>
        <v>5109</v>
      </c>
      <c r="G20" s="17">
        <f>+Vendedor1!G20+Vendedor2!G20+Vendedor3!G20</f>
        <v>0</v>
      </c>
      <c r="H20" s="18">
        <f>+Vendedor1!H20+Vendedor2!H20+Vendedor3!H20</f>
        <v>27900</v>
      </c>
      <c r="I20" s="15">
        <f>+Vendedor1!I20+Vendedor2!I20+Vendedor3!I20</f>
        <v>3627</v>
      </c>
      <c r="J20" s="16">
        <f>+Vendedor1!J20+Vendedor2!J20+Vendedor3!J20</f>
        <v>0</v>
      </c>
      <c r="K20" s="19">
        <f t="shared" si="3"/>
        <v>404000</v>
      </c>
      <c r="L20" s="15">
        <f t="shared" si="2"/>
        <v>52500</v>
      </c>
      <c r="M20" s="15">
        <f t="shared" si="1"/>
        <v>0</v>
      </c>
      <c r="N20" s="15">
        <v>0</v>
      </c>
      <c r="O20" s="17">
        <f t="shared" si="0"/>
        <v>351500</v>
      </c>
    </row>
    <row r="21" spans="1:15" x14ac:dyDescent="0.35">
      <c r="A21" s="20" t="s">
        <v>30</v>
      </c>
      <c r="B21" s="14">
        <f>+Vendedor1!B21+Vendedor2!B21+Vendedor3!B21</f>
        <v>303800</v>
      </c>
      <c r="C21" s="81">
        <f>+Vendedor1!C21+Vendedor2!C21+Vendedor3!C21</f>
        <v>39494</v>
      </c>
      <c r="D21" s="82">
        <f>+Vendedor1!D21+Vendedor2!D21+Vendedor3!D21</f>
        <v>127500</v>
      </c>
      <c r="E21" s="14">
        <f>+Vendedor1!E21+Vendedor2!E21+Vendedor3!E21</f>
        <v>52850</v>
      </c>
      <c r="F21" s="81">
        <f>+Vendedor1!F21+Vendedor2!F21+Vendedor3!F21</f>
        <v>6870.5</v>
      </c>
      <c r="G21" s="85">
        <f>+Vendedor1!G21+Vendedor2!G21+Vendedor3!G21</f>
        <v>64000</v>
      </c>
      <c r="H21" s="19">
        <f>+Vendedor1!H21+Vendedor2!H21+Vendedor3!H21</f>
        <v>16600</v>
      </c>
      <c r="I21" s="15">
        <f>+Vendedor1!I21+Vendedor2!I21+Vendedor3!I21</f>
        <v>2158</v>
      </c>
      <c r="J21" s="17">
        <f>+Vendedor1!J21+Vendedor2!J21+Vendedor3!J21</f>
        <v>0</v>
      </c>
      <c r="K21" s="19">
        <f t="shared" si="3"/>
        <v>373250</v>
      </c>
      <c r="L21" s="15">
        <f t="shared" si="2"/>
        <v>48500</v>
      </c>
      <c r="M21" s="15">
        <f t="shared" si="1"/>
        <v>191500</v>
      </c>
      <c r="N21" s="15">
        <v>0</v>
      </c>
      <c r="O21" s="17">
        <f t="shared" si="0"/>
        <v>133250</v>
      </c>
    </row>
    <row r="22" spans="1:15" x14ac:dyDescent="0.35">
      <c r="A22" s="13" t="s">
        <v>31</v>
      </c>
      <c r="B22" s="14">
        <f>+Vendedor1!B22+Vendedor2!B22+Vendedor3!B22</f>
        <v>387500</v>
      </c>
      <c r="C22" s="81">
        <f>+Vendedor1!C22+Vendedor2!C22+Vendedor3!C22</f>
        <v>50375</v>
      </c>
      <c r="D22" s="82">
        <f>+Vendedor1!D22+Vendedor2!D22+Vendedor3!D22</f>
        <v>293250</v>
      </c>
      <c r="E22" s="14">
        <f>+Vendedor1!E22+Vendedor2!E22+Vendedor3!E22</f>
        <v>59400</v>
      </c>
      <c r="F22" s="81">
        <f>+Vendedor1!F22+Vendedor2!F22+Vendedor3!F22</f>
        <v>7722</v>
      </c>
      <c r="G22" s="85">
        <f>+Vendedor1!G22+Vendedor2!G22+Vendedor3!G22</f>
        <v>36000</v>
      </c>
      <c r="H22" s="19">
        <f>+Vendedor1!H22+Vendedor2!H22+Vendedor3!H22</f>
        <v>1950</v>
      </c>
      <c r="I22" s="15">
        <f>+Vendedor1!I22+Vendedor2!I22+Vendedor3!I22</f>
        <v>253.5</v>
      </c>
      <c r="J22" s="17">
        <f>+Vendedor1!J22+Vendedor2!J22+Vendedor3!J22</f>
        <v>0</v>
      </c>
      <c r="K22" s="19">
        <f t="shared" si="3"/>
        <v>448850</v>
      </c>
      <c r="L22" s="15">
        <f t="shared" si="2"/>
        <v>58350</v>
      </c>
      <c r="M22" s="15">
        <f t="shared" si="1"/>
        <v>329250</v>
      </c>
      <c r="N22" s="15">
        <v>0</v>
      </c>
      <c r="O22" s="17">
        <f t="shared" si="0"/>
        <v>61250</v>
      </c>
    </row>
    <row r="23" spans="1:15" x14ac:dyDescent="0.35">
      <c r="A23" s="20" t="s">
        <v>32</v>
      </c>
      <c r="B23" s="14">
        <f>+Vendedor1!B23+Vendedor2!B23+Vendedor3!B23</f>
        <v>542100</v>
      </c>
      <c r="C23" s="81">
        <f>+Vendedor1!C23+Vendedor2!C23+Vendedor3!C23</f>
        <v>70473</v>
      </c>
      <c r="D23" s="82">
        <f>+Vendedor1!D23+Vendedor2!D23+Vendedor3!D23</f>
        <v>850000</v>
      </c>
      <c r="E23" s="14">
        <f>+Vendedor1!E23+Vendedor2!E23+Vendedor3!E23</f>
        <v>81600</v>
      </c>
      <c r="F23" s="81">
        <f>+Vendedor1!F23+Vendedor2!F23+Vendedor3!F23</f>
        <v>10608</v>
      </c>
      <c r="G23" s="85">
        <f>+Vendedor1!G23+Vendedor2!G23+Vendedor3!G23</f>
        <v>60000</v>
      </c>
      <c r="H23" s="19">
        <f>+Vendedor1!H23+Vendedor2!H23+Vendedor3!H23</f>
        <v>12900</v>
      </c>
      <c r="I23" s="15">
        <f>+Vendedor1!I23+Vendedor2!I23+Vendedor3!I23</f>
        <v>1677</v>
      </c>
      <c r="J23" s="17">
        <f>+Vendedor1!J23+Vendedor2!J23+Vendedor3!J23</f>
        <v>0</v>
      </c>
      <c r="K23" s="19">
        <f t="shared" si="3"/>
        <v>636600</v>
      </c>
      <c r="L23" s="15">
        <f t="shared" si="2"/>
        <v>82750</v>
      </c>
      <c r="M23" s="15">
        <f t="shared" si="1"/>
        <v>910000</v>
      </c>
      <c r="N23" s="15">
        <v>0</v>
      </c>
      <c r="O23" s="17">
        <f t="shared" si="0"/>
        <v>-356150</v>
      </c>
    </row>
    <row r="24" spans="1:15" x14ac:dyDescent="0.35">
      <c r="A24" s="13" t="s">
        <v>33</v>
      </c>
      <c r="B24" s="14">
        <f>+Vendedor1!B24+Vendedor2!B24+Vendedor3!B24</f>
        <v>401700</v>
      </c>
      <c r="C24" s="81">
        <f>+Vendedor1!C24+Vendedor2!C24+Vendedor3!C24</f>
        <v>52221</v>
      </c>
      <c r="D24" s="82">
        <f>+Vendedor1!D24+Vendedor2!D24+Vendedor3!D24</f>
        <v>748000</v>
      </c>
      <c r="E24" s="14">
        <f>+Vendedor1!E24+Vendedor2!E24+Vendedor3!E24</f>
        <v>93150</v>
      </c>
      <c r="F24" s="81">
        <f>+Vendedor1!F24+Vendedor2!F24+Vendedor3!F24</f>
        <v>12109.5</v>
      </c>
      <c r="G24" s="85">
        <f>+Vendedor1!G24+Vendedor2!G24+Vendedor3!G24</f>
        <v>0</v>
      </c>
      <c r="H24" s="19">
        <f>+Vendedor1!H24+Vendedor2!H24+Vendedor3!H24</f>
        <v>17700</v>
      </c>
      <c r="I24" s="15">
        <f>+Vendedor1!I24+Vendedor2!I24+Vendedor3!I24</f>
        <v>2301</v>
      </c>
      <c r="J24" s="17">
        <f>+Vendedor1!J24+Vendedor2!J24+Vendedor3!J24</f>
        <v>0</v>
      </c>
      <c r="K24" s="19">
        <f t="shared" si="3"/>
        <v>512550</v>
      </c>
      <c r="L24" s="15">
        <f t="shared" si="2"/>
        <v>66650</v>
      </c>
      <c r="M24" s="15">
        <f t="shared" si="1"/>
        <v>748000</v>
      </c>
      <c r="N24" s="15">
        <v>0</v>
      </c>
      <c r="O24" s="17">
        <f t="shared" si="0"/>
        <v>-302100</v>
      </c>
    </row>
    <row r="25" spans="1:15" x14ac:dyDescent="0.35">
      <c r="A25" s="20" t="s">
        <v>34</v>
      </c>
      <c r="B25" s="14">
        <f>+Vendedor1!B25+Vendedor2!B25+Vendedor3!B25</f>
        <v>332750</v>
      </c>
      <c r="C25" s="81">
        <f>+Vendedor1!C25+Vendedor2!C25+Vendedor3!C25</f>
        <v>43257.5</v>
      </c>
      <c r="D25" s="82">
        <f>+Vendedor1!D25+Vendedor2!D25+Vendedor3!D25</f>
        <v>365500</v>
      </c>
      <c r="E25" s="14">
        <f>+Vendedor1!E25+Vendedor2!E25+Vendedor3!E25</f>
        <v>60300</v>
      </c>
      <c r="F25" s="81">
        <f>+Vendedor1!F25+Vendedor2!F25+Vendedor3!F25</f>
        <v>7839</v>
      </c>
      <c r="G25" s="85">
        <f>+Vendedor1!G25+Vendedor2!G25+Vendedor3!G25</f>
        <v>244000</v>
      </c>
      <c r="H25" s="19">
        <f>+Vendedor1!H25+Vendedor2!H25+Vendedor3!H25</f>
        <v>11150</v>
      </c>
      <c r="I25" s="15">
        <f>+Vendedor1!I25+Vendedor2!I25+Vendedor3!I25</f>
        <v>1449.5</v>
      </c>
      <c r="J25" s="17">
        <f>+Vendedor1!J25+Vendedor2!J25+Vendedor3!J25</f>
        <v>0</v>
      </c>
      <c r="K25" s="19">
        <f t="shared" si="3"/>
        <v>404200</v>
      </c>
      <c r="L25" s="15">
        <f t="shared" si="2"/>
        <v>52550</v>
      </c>
      <c r="M25" s="15">
        <f t="shared" si="1"/>
        <v>609500</v>
      </c>
      <c r="N25" s="15">
        <v>0</v>
      </c>
      <c r="O25" s="17">
        <f t="shared" si="0"/>
        <v>-257850</v>
      </c>
    </row>
    <row r="26" spans="1:15" x14ac:dyDescent="0.35">
      <c r="A26" s="13" t="s">
        <v>35</v>
      </c>
      <c r="B26" s="14">
        <f>+Vendedor1!B26+Vendedor2!B26+Vendedor3!B26</f>
        <v>303850</v>
      </c>
      <c r="C26" s="81">
        <f>+Vendedor1!C26+Vendedor2!C26+Vendedor3!C26</f>
        <v>39500.5</v>
      </c>
      <c r="D26" s="82">
        <f>+Vendedor1!D26+Vendedor2!D26+Vendedor3!D26</f>
        <v>391000</v>
      </c>
      <c r="E26" s="14">
        <f>+Vendedor1!E26+Vendedor2!E26+Vendedor3!E26</f>
        <v>48700</v>
      </c>
      <c r="F26" s="81">
        <f>+Vendedor1!F26+Vendedor2!F26+Vendedor3!F26</f>
        <v>6331</v>
      </c>
      <c r="G26" s="85">
        <f>+Vendedor1!G26+Vendedor2!G26+Vendedor3!G26</f>
        <v>8000</v>
      </c>
      <c r="H26" s="19">
        <f>+Vendedor1!H26+Vendedor2!H26+Vendedor3!H26</f>
        <v>9000</v>
      </c>
      <c r="I26" s="15">
        <f>+Vendedor1!I26+Vendedor2!I26+Vendedor3!I26</f>
        <v>1170</v>
      </c>
      <c r="J26" s="17">
        <f>+Vendedor1!J26+Vendedor2!J26+Vendedor3!J26</f>
        <v>20000</v>
      </c>
      <c r="K26" s="19">
        <f t="shared" si="3"/>
        <v>361550</v>
      </c>
      <c r="L26" s="15">
        <f t="shared" si="2"/>
        <v>47000</v>
      </c>
      <c r="M26" s="15">
        <f t="shared" si="1"/>
        <v>419000</v>
      </c>
      <c r="N26" s="15">
        <v>0</v>
      </c>
      <c r="O26" s="17">
        <f t="shared" si="0"/>
        <v>-104450</v>
      </c>
    </row>
    <row r="27" spans="1:15" x14ac:dyDescent="0.35">
      <c r="A27" s="20" t="s">
        <v>36</v>
      </c>
      <c r="B27" s="14">
        <f>+Vendedor1!B27+Vendedor2!B27+Vendedor3!B27</f>
        <v>329100</v>
      </c>
      <c r="C27" s="81">
        <f>+Vendedor1!C27+Vendedor2!C27+Vendedor3!C27</f>
        <v>42783</v>
      </c>
      <c r="D27" s="82">
        <f>+Vendedor1!D27+Vendedor2!D27+Vendedor3!D27</f>
        <v>263500</v>
      </c>
      <c r="E27" s="14">
        <f>+Vendedor1!E27+Vendedor2!E27+Vendedor3!E27</f>
        <v>58900</v>
      </c>
      <c r="F27" s="81">
        <f>+Vendedor1!F27+Vendedor2!F27+Vendedor3!F27</f>
        <v>7657</v>
      </c>
      <c r="G27" s="85">
        <f>+Vendedor1!G27+Vendedor2!G27+Vendedor3!G27</f>
        <v>32000</v>
      </c>
      <c r="H27" s="19">
        <f>+Vendedor1!H27+Vendedor2!H27+Vendedor3!H27</f>
        <v>12800</v>
      </c>
      <c r="I27" s="15">
        <f>+Vendedor1!I27+Vendedor2!I27+Vendedor3!I27</f>
        <v>1664</v>
      </c>
      <c r="J27" s="17">
        <f>+Vendedor1!J27+Vendedor2!J27+Vendedor3!J27</f>
        <v>8000</v>
      </c>
      <c r="K27" s="19">
        <f t="shared" si="3"/>
        <v>400800</v>
      </c>
      <c r="L27" s="15">
        <f t="shared" si="2"/>
        <v>52100</v>
      </c>
      <c r="M27" s="15">
        <f t="shared" si="1"/>
        <v>303500</v>
      </c>
      <c r="N27" s="15">
        <v>0</v>
      </c>
      <c r="O27" s="17">
        <f t="shared" si="0"/>
        <v>45200</v>
      </c>
    </row>
    <row r="28" spans="1:15" x14ac:dyDescent="0.35">
      <c r="A28" s="13" t="s">
        <v>37</v>
      </c>
      <c r="B28" s="14">
        <f>+Vendedor1!B28+Vendedor2!B28+Vendedor3!B28</f>
        <v>295100</v>
      </c>
      <c r="C28" s="81">
        <f>+Vendedor1!C28+Vendedor2!C28+Vendedor3!C28</f>
        <v>38363</v>
      </c>
      <c r="D28" s="82">
        <f>+Vendedor1!D28+Vendedor2!D28+Vendedor3!D28</f>
        <v>55250</v>
      </c>
      <c r="E28" s="14">
        <f>+Vendedor1!E28+Vendedor2!E28+Vendedor3!E28</f>
        <v>43450</v>
      </c>
      <c r="F28" s="81">
        <f>+Vendedor1!F28+Vendedor2!F28+Vendedor3!F28</f>
        <v>5648.5</v>
      </c>
      <c r="G28" s="85">
        <f>+Vendedor1!G28+Vendedor2!G28+Vendedor3!G28</f>
        <v>16000</v>
      </c>
      <c r="H28" s="19">
        <f>+Vendedor1!H28+Vendedor2!H28+Vendedor3!H28</f>
        <v>7150</v>
      </c>
      <c r="I28" s="15">
        <f>+Vendedor1!I28+Vendedor2!I28+Vendedor3!I28</f>
        <v>929.5</v>
      </c>
      <c r="J28" s="17">
        <f>+Vendedor1!J28+Vendedor2!J28+Vendedor3!J28</f>
        <v>8000</v>
      </c>
      <c r="K28" s="19">
        <f t="shared" si="3"/>
        <v>345700</v>
      </c>
      <c r="L28" s="15">
        <f t="shared" si="2"/>
        <v>44950</v>
      </c>
      <c r="M28" s="15">
        <f t="shared" si="1"/>
        <v>79250</v>
      </c>
      <c r="N28" s="15">
        <v>0</v>
      </c>
      <c r="O28" s="17">
        <f t="shared" si="0"/>
        <v>221500</v>
      </c>
    </row>
    <row r="29" spans="1:15" x14ac:dyDescent="0.35">
      <c r="A29" s="20" t="s">
        <v>38</v>
      </c>
      <c r="B29" s="14">
        <f>+Vendedor1!B29+Vendedor2!B29+Vendedor3!B29</f>
        <v>327300</v>
      </c>
      <c r="C29" s="81">
        <f>+Vendedor1!C29+Vendedor2!C29+Vendedor3!C29</f>
        <v>42549</v>
      </c>
      <c r="D29" s="82">
        <f>+Vendedor1!D29+Vendedor2!D29+Vendedor3!D29</f>
        <v>561000</v>
      </c>
      <c r="E29" s="14">
        <f>+Vendedor1!E29+Vendedor2!E29+Vendedor3!E29</f>
        <v>60100</v>
      </c>
      <c r="F29" s="81">
        <f>+Vendedor1!F29+Vendedor2!F29+Vendedor3!F29</f>
        <v>7813</v>
      </c>
      <c r="G29" s="85">
        <f>+Vendedor1!G29+Vendedor2!G29+Vendedor3!G29</f>
        <v>200000</v>
      </c>
      <c r="H29" s="19">
        <f>+Vendedor1!H29+Vendedor2!H29+Vendedor3!H29</f>
        <v>12950</v>
      </c>
      <c r="I29" s="15">
        <f>+Vendedor1!I29+Vendedor2!I29+Vendedor3!I29</f>
        <v>1683.5</v>
      </c>
      <c r="J29" s="17">
        <f>+Vendedor1!J29+Vendedor2!J29+Vendedor3!J29</f>
        <v>0</v>
      </c>
      <c r="K29" s="19">
        <f t="shared" si="3"/>
        <v>400350</v>
      </c>
      <c r="L29" s="15">
        <f t="shared" si="2"/>
        <v>52050</v>
      </c>
      <c r="M29" s="15">
        <f t="shared" si="1"/>
        <v>761000</v>
      </c>
      <c r="N29" s="15">
        <v>0</v>
      </c>
      <c r="O29" s="17">
        <f t="shared" si="0"/>
        <v>-412700</v>
      </c>
    </row>
    <row r="30" spans="1:15" x14ac:dyDescent="0.35">
      <c r="A30" s="13" t="s">
        <v>39</v>
      </c>
      <c r="B30" s="14">
        <f>+Vendedor1!B30+Vendedor2!B30+Vendedor3!B30</f>
        <v>435850</v>
      </c>
      <c r="C30" s="81">
        <f>+Vendedor1!C30+Vendedor2!C30+Vendedor3!C30</f>
        <v>56660.5</v>
      </c>
      <c r="D30" s="82">
        <f>+Vendedor1!D30+Vendedor2!D30+Vendedor3!D30</f>
        <v>229500</v>
      </c>
      <c r="E30" s="14">
        <f>+Vendedor1!E30+Vendedor2!E30+Vendedor3!E30</f>
        <v>74900</v>
      </c>
      <c r="F30" s="81">
        <f>+Vendedor1!F30+Vendedor2!F30+Vendedor3!F30</f>
        <v>9737</v>
      </c>
      <c r="G30" s="85">
        <f>+Vendedor1!G30+Vendedor2!G30+Vendedor3!G30</f>
        <v>8000</v>
      </c>
      <c r="H30" s="19">
        <f>+Vendedor1!H30+Vendedor2!H30+Vendedor3!H30</f>
        <v>16600</v>
      </c>
      <c r="I30" s="15">
        <f>+Vendedor1!I30+Vendedor2!I30+Vendedor3!I30</f>
        <v>2158</v>
      </c>
      <c r="J30" s="17">
        <f>+Vendedor1!J30+Vendedor2!J30+Vendedor3!J30</f>
        <v>0</v>
      </c>
      <c r="K30" s="19">
        <f t="shared" si="3"/>
        <v>527350</v>
      </c>
      <c r="L30" s="15">
        <f t="shared" si="2"/>
        <v>68550</v>
      </c>
      <c r="M30" s="15">
        <f t="shared" si="1"/>
        <v>237500</v>
      </c>
      <c r="N30" s="15">
        <v>0</v>
      </c>
      <c r="O30" s="17">
        <f t="shared" si="0"/>
        <v>221300</v>
      </c>
    </row>
    <row r="31" spans="1:15" x14ac:dyDescent="0.35">
      <c r="A31" s="20" t="s">
        <v>40</v>
      </c>
      <c r="B31" s="14">
        <f>+Vendedor1!B31+Vendedor2!B31+Vendedor3!B31</f>
        <v>405750</v>
      </c>
      <c r="C31" s="81">
        <f>+Vendedor1!C31+Vendedor2!C31+Vendedor3!C31</f>
        <v>52747.5</v>
      </c>
      <c r="D31" s="82">
        <f>+Vendedor1!D31+Vendedor2!D31+Vendedor3!D31</f>
        <v>178500</v>
      </c>
      <c r="E31" s="14">
        <f>+Vendedor1!E31+Vendedor2!E31+Vendedor3!E31</f>
        <v>69300</v>
      </c>
      <c r="F31" s="81">
        <f>+Vendedor1!F31+Vendedor2!F31+Vendedor3!F31</f>
        <v>9009</v>
      </c>
      <c r="G31" s="85">
        <f>+Vendedor1!G31+Vendedor2!G31+Vendedor3!G31</f>
        <v>216000</v>
      </c>
      <c r="H31" s="19">
        <f>+Vendedor1!H31+Vendedor2!H31+Vendedor3!H31</f>
        <v>16650</v>
      </c>
      <c r="I31" s="15">
        <f>+Vendedor1!I31+Vendedor2!I31+Vendedor3!I31</f>
        <v>2164.5</v>
      </c>
      <c r="J31" s="17">
        <f>+Vendedor1!J31+Vendedor2!J31+Vendedor3!J31</f>
        <v>0</v>
      </c>
      <c r="K31" s="19">
        <f t="shared" si="3"/>
        <v>491700</v>
      </c>
      <c r="L31" s="15">
        <f t="shared" si="2"/>
        <v>63900</v>
      </c>
      <c r="M31" s="15">
        <f t="shared" si="1"/>
        <v>394500</v>
      </c>
      <c r="N31" s="15">
        <v>0</v>
      </c>
      <c r="O31" s="17">
        <f t="shared" si="0"/>
        <v>33300</v>
      </c>
    </row>
    <row r="32" spans="1:15" x14ac:dyDescent="0.35">
      <c r="A32" s="20" t="s">
        <v>41</v>
      </c>
      <c r="B32" s="14">
        <f>+Vendedor1!B32+Vendedor2!B32+Vendedor3!B32</f>
        <v>319550</v>
      </c>
      <c r="C32" s="81">
        <f>+Vendedor1!C32+Vendedor2!C32+Vendedor3!C32</f>
        <v>41541.5</v>
      </c>
      <c r="D32" s="82">
        <f>+Vendedor1!D32+Vendedor2!D32+Vendedor3!D32</f>
        <v>369750</v>
      </c>
      <c r="E32" s="14">
        <f>+Vendedor1!E32+Vendedor2!E32+Vendedor3!E32</f>
        <v>100300</v>
      </c>
      <c r="F32" s="81">
        <f>+Vendedor1!F32+Vendedor2!F32+Vendedor3!F32</f>
        <v>13039</v>
      </c>
      <c r="G32" s="85">
        <f>+Vendedor1!G32+Vendedor2!G32+Vendedor3!G32</f>
        <v>48000</v>
      </c>
      <c r="H32" s="19">
        <f>+Vendedor1!H32+Vendedor2!H32+Vendedor3!H32</f>
        <v>14600</v>
      </c>
      <c r="I32" s="15">
        <f>+Vendedor1!I32+Vendedor2!I32+Vendedor3!I32</f>
        <v>1898</v>
      </c>
      <c r="J32" s="17">
        <f>+Vendedor1!J32+Vendedor2!J32+Vendedor3!J32</f>
        <v>16000</v>
      </c>
      <c r="K32" s="19">
        <f t="shared" si="3"/>
        <v>434450</v>
      </c>
      <c r="L32" s="15">
        <f t="shared" si="2"/>
        <v>56500</v>
      </c>
      <c r="M32" s="15">
        <f t="shared" si="1"/>
        <v>433750</v>
      </c>
      <c r="N32" s="15">
        <v>0</v>
      </c>
      <c r="O32" s="17">
        <f t="shared" si="0"/>
        <v>-55800</v>
      </c>
    </row>
    <row r="33" spans="1:15" x14ac:dyDescent="0.35">
      <c r="A33" s="13" t="s">
        <v>42</v>
      </c>
      <c r="B33" s="14">
        <f>+Vendedor1!B33+Vendedor2!B33+Vendedor3!B33</f>
        <v>338250</v>
      </c>
      <c r="C33" s="81">
        <f>+Vendedor1!C33+Vendedor2!C33+Vendedor3!C33</f>
        <v>43972.5</v>
      </c>
      <c r="D33" s="82">
        <f>+Vendedor1!D33+Vendedor2!D33+Vendedor3!D33</f>
        <v>246500</v>
      </c>
      <c r="E33" s="14">
        <f>+Vendedor1!E33+Vendedor2!E33+Vendedor3!E33</f>
        <v>75250</v>
      </c>
      <c r="F33" s="81">
        <f>+Vendedor1!F33+Vendedor2!F33+Vendedor3!F33</f>
        <v>9782.5</v>
      </c>
      <c r="G33" s="85">
        <f>+Vendedor1!G33+Vendedor2!G33+Vendedor3!G33</f>
        <v>80000</v>
      </c>
      <c r="H33" s="19">
        <f>+Vendedor1!H33+Vendedor2!H33+Vendedor3!H33</f>
        <v>18800</v>
      </c>
      <c r="I33" s="15">
        <f>+Vendedor1!I33+Vendedor2!I33+Vendedor3!I33</f>
        <v>2444</v>
      </c>
      <c r="J33" s="17">
        <f>+Vendedor1!J33+Vendedor2!J33+Vendedor3!J33</f>
        <v>0</v>
      </c>
      <c r="K33" s="19">
        <f t="shared" si="3"/>
        <v>432300</v>
      </c>
      <c r="L33" s="15">
        <f t="shared" si="2"/>
        <v>56200</v>
      </c>
      <c r="M33" s="15">
        <f t="shared" si="1"/>
        <v>326500</v>
      </c>
      <c r="N33" s="15">
        <v>0</v>
      </c>
      <c r="O33" s="17">
        <f t="shared" si="0"/>
        <v>49600</v>
      </c>
    </row>
    <row r="34" spans="1:15" ht="15" thickBot="1" x14ac:dyDescent="0.4">
      <c r="A34" s="20" t="s">
        <v>43</v>
      </c>
      <c r="B34" s="14">
        <f>+Vendedor1!B34+Vendedor2!B34+Vendedor3!B34</f>
        <v>326350</v>
      </c>
      <c r="C34" s="81">
        <f>+Vendedor1!C34+Vendedor2!C34+Vendedor3!C34</f>
        <v>42425.5</v>
      </c>
      <c r="D34" s="82">
        <f>+Vendedor1!D34+Vendedor2!D34+Vendedor3!D34</f>
        <v>161500</v>
      </c>
      <c r="E34" s="14">
        <f>+Vendedor1!E34+Vendedor2!E34+Vendedor3!E34</f>
        <v>24850</v>
      </c>
      <c r="F34" s="81">
        <f>+Vendedor1!F34+Vendedor2!F34+Vendedor3!F34</f>
        <v>3230.5</v>
      </c>
      <c r="G34" s="85">
        <f>+Vendedor1!G34+Vendedor2!G34+Vendedor3!G34</f>
        <v>0</v>
      </c>
      <c r="H34" s="19">
        <f>+Vendedor1!H34+Vendedor2!H34+Vendedor3!H34</f>
        <v>14000</v>
      </c>
      <c r="I34" s="15">
        <f>+Vendedor1!I34+Vendedor2!I34+Vendedor3!I34</f>
        <v>1820</v>
      </c>
      <c r="J34" s="17">
        <f>+Vendedor1!J34+Vendedor2!J34+Vendedor3!J34</f>
        <v>0</v>
      </c>
      <c r="K34" s="19">
        <f t="shared" si="3"/>
        <v>365200</v>
      </c>
      <c r="L34" s="15">
        <f t="shared" si="2"/>
        <v>47500</v>
      </c>
      <c r="M34" s="15">
        <f t="shared" si="1"/>
        <v>161500</v>
      </c>
      <c r="N34" s="15">
        <v>0</v>
      </c>
      <c r="O34" s="17">
        <f t="shared" si="0"/>
        <v>156200</v>
      </c>
    </row>
    <row r="35" spans="1:15" ht="15" hidden="1" thickBot="1" x14ac:dyDescent="0.4">
      <c r="A35" s="13" t="s">
        <v>44</v>
      </c>
      <c r="B35" s="14">
        <f>[9]Vendedor1!$J$4</f>
        <v>168750</v>
      </c>
      <c r="C35" s="81">
        <f>[9]Vendedor1!$K$4</f>
        <v>21937.5</v>
      </c>
      <c r="D35" s="82">
        <f>[9]Vendedor1!$L$4</f>
        <v>72250</v>
      </c>
      <c r="E35" s="14">
        <f>[9]Vendedor1!$J$5</f>
        <v>39250</v>
      </c>
      <c r="F35" s="81">
        <f>[9]Vendedor1!$K$5</f>
        <v>5102.5</v>
      </c>
      <c r="G35" s="85">
        <f>[9]Vendedor1!$L$5</f>
        <v>24000</v>
      </c>
      <c r="H35" s="19">
        <f>[9]Vendedor1!$J$6</f>
        <v>7000</v>
      </c>
      <c r="I35" s="15">
        <f>[9]Vendedor1!$K$6</f>
        <v>910</v>
      </c>
      <c r="J35" s="17">
        <f>[9]Vendedor1!$L$6</f>
        <v>0</v>
      </c>
      <c r="K35" s="19">
        <f t="shared" si="3"/>
        <v>215000</v>
      </c>
      <c r="L35" s="15">
        <f t="shared" si="2"/>
        <v>27950</v>
      </c>
      <c r="M35" s="15">
        <f t="shared" si="1"/>
        <v>96250</v>
      </c>
      <c r="N35" s="15">
        <v>0</v>
      </c>
      <c r="O35" s="17">
        <f t="shared" si="0"/>
        <v>90800</v>
      </c>
    </row>
    <row r="36" spans="1:15" ht="15" hidden="1" thickBot="1" x14ac:dyDescent="0.4">
      <c r="A36" s="20" t="s">
        <v>45</v>
      </c>
      <c r="B36" s="21">
        <f>[10]Vendedor1!$J$4</f>
        <v>252300</v>
      </c>
      <c r="C36" s="83">
        <f>[10]Vendedor1!$K$4</f>
        <v>32799</v>
      </c>
      <c r="D36" s="84">
        <f>[10]Vendedor1!$L$4</f>
        <v>93500</v>
      </c>
      <c r="E36" s="21">
        <f>[10]Vendedor1!$J$5</f>
        <v>56050</v>
      </c>
      <c r="F36" s="83">
        <f>[10]Vendedor1!$K$5</f>
        <v>7286.5</v>
      </c>
      <c r="G36" s="86">
        <f>[10]Vendedor1!$L$5</f>
        <v>16000</v>
      </c>
      <c r="H36" s="26">
        <f>[10]Vendedor1!$J$6</f>
        <v>7500</v>
      </c>
      <c r="I36" s="22">
        <f>[10]Vendedor1!$K$6</f>
        <v>975</v>
      </c>
      <c r="J36" s="24">
        <f>[10]Vendedor1!$L$6</f>
        <v>0</v>
      </c>
      <c r="K36" s="26">
        <f t="shared" si="3"/>
        <v>315850</v>
      </c>
      <c r="L36" s="22">
        <f t="shared" si="2"/>
        <v>41050</v>
      </c>
      <c r="M36" s="22">
        <f t="shared" si="1"/>
        <v>109500</v>
      </c>
      <c r="N36" s="22">
        <v>0</v>
      </c>
      <c r="O36" s="24">
        <f t="shared" si="0"/>
        <v>165300</v>
      </c>
    </row>
    <row r="37" spans="1:15" ht="16" thickBot="1" x14ac:dyDescent="0.4">
      <c r="A37" s="5" t="s">
        <v>46</v>
      </c>
      <c r="B37" s="27">
        <f t="shared" ref="B37:M37" si="4">SUM(B6:B36)</f>
        <v>10946725</v>
      </c>
      <c r="C37" s="28">
        <f t="shared" si="4"/>
        <v>1423074.25</v>
      </c>
      <c r="D37" s="29">
        <f t="shared" si="4"/>
        <v>9133250</v>
      </c>
      <c r="E37" s="30">
        <f t="shared" si="4"/>
        <v>1937550</v>
      </c>
      <c r="F37" s="28">
        <f t="shared" si="4"/>
        <v>251881.5</v>
      </c>
      <c r="G37" s="31">
        <f t="shared" si="4"/>
        <v>1760000</v>
      </c>
      <c r="H37" s="27">
        <f t="shared" si="4"/>
        <v>394600</v>
      </c>
      <c r="I37" s="28">
        <f t="shared" si="4"/>
        <v>51298</v>
      </c>
      <c r="J37" s="29">
        <f t="shared" si="4"/>
        <v>116000</v>
      </c>
      <c r="K37" s="60">
        <f t="shared" si="4"/>
        <v>13278875</v>
      </c>
      <c r="L37" s="32">
        <f t="shared" si="4"/>
        <v>1726200</v>
      </c>
      <c r="M37" s="32">
        <f t="shared" si="4"/>
        <v>11009250</v>
      </c>
      <c r="N37" s="32">
        <f>SUM(N5:N36)</f>
        <v>0</v>
      </c>
      <c r="O37" s="33">
        <f>SUM(O5:O36)</f>
        <v>543425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76"/>
  <sheetViews>
    <sheetView showGridLines="0" topLeftCell="A16" zoomScale="80" zoomScaleNormal="80" workbookViewId="0">
      <selection activeCell="I37" activeCellId="2" sqref="C37 F37 I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bestFit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9" t="s">
        <v>0</v>
      </c>
      <c r="I1" s="140"/>
      <c r="J1" s="140"/>
      <c r="K1" s="140"/>
      <c r="L1" s="140"/>
      <c r="M1" s="140"/>
      <c r="N1" s="140"/>
      <c r="O1" s="141"/>
    </row>
    <row r="2" spans="1:15" ht="19" thickBot="1" x14ac:dyDescent="0.5">
      <c r="A2" s="2" t="s">
        <v>1</v>
      </c>
      <c r="B2" s="142" t="s">
        <v>56</v>
      </c>
      <c r="C2" s="142"/>
      <c r="D2" s="142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[11]Vendedor1!$J$4</f>
        <v>190600</v>
      </c>
      <c r="C6" s="58">
        <f>[11]Vendedor1!$K$4</f>
        <v>24778</v>
      </c>
      <c r="D6" s="54">
        <f>[11]Vendedor1!$L$4</f>
        <v>59500</v>
      </c>
      <c r="E6" s="53">
        <f>[11]Vendedor1!$J$5</f>
        <v>69600</v>
      </c>
      <c r="F6" s="58">
        <f>[11]Vendedor1!$K$5</f>
        <v>9048</v>
      </c>
      <c r="G6" s="55">
        <f>[11]Vendedor1!$L$5</f>
        <v>0</v>
      </c>
      <c r="H6" s="61">
        <f>[11]Vendedor1!$J$6</f>
        <v>12400</v>
      </c>
      <c r="I6" s="58">
        <f>[11]Vendedor1!$K$6</f>
        <v>1612</v>
      </c>
      <c r="J6" s="54">
        <f>[11]Vendedor1!$L$6</f>
        <v>0</v>
      </c>
      <c r="K6" s="59">
        <f>+B6+E6+H6</f>
        <v>272600</v>
      </c>
      <c r="L6" s="58">
        <f>MROUND(C6+F6+I6,50)</f>
        <v>35450</v>
      </c>
      <c r="M6" s="58">
        <f t="shared" ref="M6:M36" si="1">+D6+G6+J6</f>
        <v>59500</v>
      </c>
      <c r="N6" s="58">
        <v>0</v>
      </c>
      <c r="O6" s="55">
        <f t="shared" ref="O6:O36" si="2">+K6-L6-M6+N6</f>
        <v>177650</v>
      </c>
    </row>
    <row r="7" spans="1:15" x14ac:dyDescent="0.35">
      <c r="A7" s="13" t="s">
        <v>50</v>
      </c>
      <c r="B7" s="14">
        <f>[12]Vendedor1!$J$4</f>
        <v>137000</v>
      </c>
      <c r="C7" s="15">
        <f>[12]Vendedor1!$K$4</f>
        <v>17810</v>
      </c>
      <c r="D7" s="16">
        <f>[12]Vendedor1!$L$4</f>
        <v>17000</v>
      </c>
      <c r="E7" s="14">
        <f>[12]Vendedor1!$J$5</f>
        <v>44700</v>
      </c>
      <c r="F7" s="15">
        <f>[12]Vendedor1!$K$5</f>
        <v>5811</v>
      </c>
      <c r="G7" s="17">
        <f>[12]Vendedor1!$L$5</f>
        <v>60000</v>
      </c>
      <c r="H7" s="18">
        <f>[12]Vendedor1!$J$6</f>
        <v>16050</v>
      </c>
      <c r="I7" s="15">
        <f>[12]Vendedor1!$K$6</f>
        <v>2086.5</v>
      </c>
      <c r="J7" s="16">
        <f>[12]Vendedor1!$L$6</f>
        <v>16000</v>
      </c>
      <c r="K7" s="19">
        <f>+B7+E7+H7</f>
        <v>197750</v>
      </c>
      <c r="L7" s="15">
        <f>MROUND(C7+F7+I7,50)</f>
        <v>25700</v>
      </c>
      <c r="M7" s="15">
        <f t="shared" si="1"/>
        <v>93000</v>
      </c>
      <c r="N7" s="15">
        <v>0</v>
      </c>
      <c r="O7" s="17">
        <f t="shared" si="2"/>
        <v>79050</v>
      </c>
    </row>
    <row r="8" spans="1:15" x14ac:dyDescent="0.35">
      <c r="A8" s="20" t="s">
        <v>51</v>
      </c>
      <c r="B8" s="14">
        <f>[13]Vendedor1!$J$4</f>
        <v>170200</v>
      </c>
      <c r="C8" s="15">
        <f>[13]Vendedor1!$K$4</f>
        <v>22126</v>
      </c>
      <c r="D8" s="16">
        <f>[13]Vendedor1!$L$4</f>
        <v>272000</v>
      </c>
      <c r="E8" s="14">
        <f>[13]Vendedor1!$J$5</f>
        <v>32450</v>
      </c>
      <c r="F8" s="15">
        <f>[13]Vendedor1!$K$5</f>
        <v>4218.5</v>
      </c>
      <c r="G8" s="17">
        <f>[13]Vendedor1!$L$5</f>
        <v>0</v>
      </c>
      <c r="H8" s="18">
        <f>[13]Vendedor1!$J$6</f>
        <v>9050</v>
      </c>
      <c r="I8" s="15">
        <f>[13]Vendedor1!$K$6</f>
        <v>1176.5</v>
      </c>
      <c r="J8" s="16">
        <f>[13]Vendedor1!$L$6</f>
        <v>24000</v>
      </c>
      <c r="K8" s="19">
        <f>+B8+E8+H8</f>
        <v>211700</v>
      </c>
      <c r="L8" s="15">
        <f t="shared" ref="L8:L36" si="3">MROUND(C8+F8+I8,50)</f>
        <v>27500</v>
      </c>
      <c r="M8" s="15">
        <f t="shared" si="1"/>
        <v>296000</v>
      </c>
      <c r="N8" s="15">
        <v>0</v>
      </c>
      <c r="O8" s="17">
        <f t="shared" si="2"/>
        <v>-111800</v>
      </c>
    </row>
    <row r="9" spans="1:15" x14ac:dyDescent="0.35">
      <c r="A9" s="13" t="s">
        <v>52</v>
      </c>
      <c r="B9" s="14">
        <f>[14]Vendedor1!$J$4</f>
        <v>176500</v>
      </c>
      <c r="C9" s="15">
        <f>[14]Vendedor1!$K$4</f>
        <v>22945</v>
      </c>
      <c r="D9" s="16">
        <f>[14]Vendedor1!$L$4</f>
        <v>204000</v>
      </c>
      <c r="E9" s="14">
        <f>[14]Vendedor1!$J$5</f>
        <v>32050</v>
      </c>
      <c r="F9" s="15">
        <f>[14]Vendedor1!$K$5</f>
        <v>4166.5</v>
      </c>
      <c r="G9" s="17">
        <f>[14]Vendedor1!$L$5</f>
        <v>32000</v>
      </c>
      <c r="H9" s="18">
        <f>[14]Vendedor1!$J$6</f>
        <v>5200</v>
      </c>
      <c r="I9" s="15">
        <f>[14]Vendedor1!$K$6</f>
        <v>676</v>
      </c>
      <c r="J9" s="16">
        <f>[14]Vendedor1!$L$6</f>
        <v>0</v>
      </c>
      <c r="K9" s="19">
        <f>+B9+E9+H9</f>
        <v>213750</v>
      </c>
      <c r="L9" s="15">
        <f t="shared" si="3"/>
        <v>27800</v>
      </c>
      <c r="M9" s="15">
        <f t="shared" si="1"/>
        <v>236000</v>
      </c>
      <c r="N9" s="15">
        <v>0</v>
      </c>
      <c r="O9" s="17">
        <f t="shared" si="2"/>
        <v>-50050</v>
      </c>
    </row>
    <row r="10" spans="1:15" x14ac:dyDescent="0.35">
      <c r="A10" s="20" t="s">
        <v>53</v>
      </c>
      <c r="B10" s="14">
        <f>[15]Vendedor1!$J$4</f>
        <v>267950</v>
      </c>
      <c r="C10" s="15">
        <f>[15]Vendedor1!$K$4</f>
        <v>34833.5</v>
      </c>
      <c r="D10" s="16">
        <f>[15]Vendedor1!$L$4</f>
        <v>114750</v>
      </c>
      <c r="E10" s="14">
        <f>[15]Vendedor1!$J$5</f>
        <v>43800</v>
      </c>
      <c r="F10" s="15">
        <f>[15]Vendedor1!$K$5</f>
        <v>5694</v>
      </c>
      <c r="G10" s="17">
        <f>[15]Vendedor1!$L$5</f>
        <v>32000</v>
      </c>
      <c r="H10" s="18">
        <f>[15]Vendedor1!$J$6</f>
        <v>7650</v>
      </c>
      <c r="I10" s="15">
        <f>[15]Vendedor1!$K$6</f>
        <v>994.5</v>
      </c>
      <c r="J10" s="16">
        <f>[15]Vendedor1!$L$6</f>
        <v>0</v>
      </c>
      <c r="K10" s="19">
        <f t="shared" ref="K10:K36" si="4">+B10+E10+H10</f>
        <v>319400</v>
      </c>
      <c r="L10" s="15">
        <f t="shared" si="3"/>
        <v>41500</v>
      </c>
      <c r="M10" s="15">
        <f t="shared" si="1"/>
        <v>146750</v>
      </c>
      <c r="N10" s="15">
        <v>0</v>
      </c>
      <c r="O10" s="17">
        <f t="shared" si="2"/>
        <v>131150</v>
      </c>
    </row>
    <row r="11" spans="1:15" x14ac:dyDescent="0.35">
      <c r="A11" s="13" t="s">
        <v>20</v>
      </c>
      <c r="B11" s="14">
        <f>[16]Vendedor1!$J$4</f>
        <v>178400</v>
      </c>
      <c r="C11" s="15">
        <f>[16]Vendedor1!$K$4</f>
        <v>23192</v>
      </c>
      <c r="D11" s="16">
        <f>[16]Vendedor1!$L$4</f>
        <v>68000</v>
      </c>
      <c r="E11" s="14">
        <f>[16]Vendedor1!$J$5</f>
        <v>35600</v>
      </c>
      <c r="F11" s="15">
        <f>[16]Vendedor1!$K$5</f>
        <v>4628</v>
      </c>
      <c r="G11" s="17">
        <f>[16]Vendedor1!$L$5</f>
        <v>16000</v>
      </c>
      <c r="H11" s="18">
        <f>[16]Vendedor1!$J$6</f>
        <v>9850</v>
      </c>
      <c r="I11" s="15">
        <f>[16]Vendedor1!$K$6</f>
        <v>1280.5</v>
      </c>
      <c r="J11" s="16">
        <f>[16]Vendedor1!$L$6</f>
        <v>0</v>
      </c>
      <c r="K11" s="19">
        <f t="shared" si="4"/>
        <v>223850</v>
      </c>
      <c r="L11" s="15">
        <f t="shared" si="3"/>
        <v>29100</v>
      </c>
      <c r="M11" s="15">
        <f t="shared" si="1"/>
        <v>84000</v>
      </c>
      <c r="N11" s="15">
        <v>0</v>
      </c>
      <c r="O11" s="17">
        <f t="shared" si="2"/>
        <v>110750</v>
      </c>
    </row>
    <row r="12" spans="1:15" x14ac:dyDescent="0.35">
      <c r="A12" s="20" t="s">
        <v>21</v>
      </c>
      <c r="B12" s="14">
        <f>[17]Vendedor1!$J$4</f>
        <v>166400</v>
      </c>
      <c r="C12" s="15">
        <f>[17]Vendedor1!$K$4</f>
        <v>21632</v>
      </c>
      <c r="D12" s="16">
        <f>[17]Vendedor1!$L$4</f>
        <v>85000</v>
      </c>
      <c r="E12" s="14">
        <f>[17]Vendedor1!$J$5</f>
        <v>31250</v>
      </c>
      <c r="F12" s="15">
        <f>[17]Vendedor1!$K$5</f>
        <v>4062.5</v>
      </c>
      <c r="G12" s="17">
        <f>[17]Vendedor1!$L$5</f>
        <v>40000</v>
      </c>
      <c r="H12" s="18">
        <f>[17]Vendedor1!$J$6</f>
        <v>4700</v>
      </c>
      <c r="I12" s="15">
        <f>[17]Vendedor1!$K$6</f>
        <v>611</v>
      </c>
      <c r="J12" s="16">
        <f>[17]Vendedor1!$L$6</f>
        <v>0</v>
      </c>
      <c r="K12" s="19">
        <f t="shared" si="4"/>
        <v>202350</v>
      </c>
      <c r="L12" s="15">
        <f t="shared" si="3"/>
        <v>26300</v>
      </c>
      <c r="M12" s="15">
        <f t="shared" si="1"/>
        <v>125000</v>
      </c>
      <c r="N12" s="15">
        <v>0</v>
      </c>
      <c r="O12" s="17">
        <f t="shared" si="2"/>
        <v>51050</v>
      </c>
    </row>
    <row r="13" spans="1:15" x14ac:dyDescent="0.35">
      <c r="A13" s="13" t="s">
        <v>22</v>
      </c>
      <c r="B13" s="14">
        <f>[18]Vendedor1!$J$4</f>
        <v>173650</v>
      </c>
      <c r="C13" s="15">
        <f>[18]Vendedor1!$K$4</f>
        <v>22574.5</v>
      </c>
      <c r="D13" s="16">
        <f>[18]Vendedor1!$L$4</f>
        <v>318750</v>
      </c>
      <c r="E13" s="14">
        <f>[18]Vendedor1!$J$5</f>
        <v>37750</v>
      </c>
      <c r="F13" s="15">
        <f>[18]Vendedor1!$K$5</f>
        <v>4907.5</v>
      </c>
      <c r="G13" s="17">
        <f>[18]Vendedor1!$L$5</f>
        <v>40000</v>
      </c>
      <c r="H13" s="18">
        <f>[18]Vendedor1!$J$6</f>
        <v>11300</v>
      </c>
      <c r="I13" s="15">
        <f>[18]Vendedor1!$K$6</f>
        <v>1469</v>
      </c>
      <c r="J13" s="16">
        <f>[18]Vendedor1!$L$6</f>
        <v>0</v>
      </c>
      <c r="K13" s="19">
        <f t="shared" si="4"/>
        <v>222700</v>
      </c>
      <c r="L13" s="15">
        <f t="shared" si="3"/>
        <v>28950</v>
      </c>
      <c r="M13" s="15">
        <f t="shared" si="1"/>
        <v>358750</v>
      </c>
      <c r="N13" s="15">
        <v>0</v>
      </c>
      <c r="O13" s="17">
        <f t="shared" si="2"/>
        <v>-165000</v>
      </c>
    </row>
    <row r="14" spans="1:15" x14ac:dyDescent="0.35">
      <c r="A14" s="20" t="s">
        <v>23</v>
      </c>
      <c r="B14" s="14">
        <f>[19]Vendedor1!$J$4</f>
        <v>169275</v>
      </c>
      <c r="C14" s="15">
        <f>[19]Vendedor1!$K$4</f>
        <v>22005.75</v>
      </c>
      <c r="D14" s="16">
        <f>[19]Vendedor1!$L$4</f>
        <v>344250</v>
      </c>
      <c r="E14" s="14">
        <f>[19]Vendedor1!$J$5</f>
        <v>40150</v>
      </c>
      <c r="F14" s="15">
        <f>[19]Vendedor1!$K$5</f>
        <v>5219.5</v>
      </c>
      <c r="G14" s="17">
        <f>[19]Vendedor1!$L$5</f>
        <v>16000</v>
      </c>
      <c r="H14" s="18">
        <f>[19]Vendedor1!$J$6</f>
        <v>7800</v>
      </c>
      <c r="I14" s="15">
        <f>[19]Vendedor1!$K$6</f>
        <v>1014</v>
      </c>
      <c r="J14" s="16">
        <f>[19]Vendedor1!$L$6</f>
        <v>0</v>
      </c>
      <c r="K14" s="19">
        <f t="shared" si="4"/>
        <v>217225</v>
      </c>
      <c r="L14" s="15">
        <f t="shared" si="3"/>
        <v>28250</v>
      </c>
      <c r="M14" s="15">
        <f t="shared" si="1"/>
        <v>360250</v>
      </c>
      <c r="N14" s="15">
        <v>0</v>
      </c>
      <c r="O14" s="17">
        <f t="shared" si="2"/>
        <v>-171275</v>
      </c>
    </row>
    <row r="15" spans="1:15" x14ac:dyDescent="0.35">
      <c r="A15" s="13" t="s">
        <v>24</v>
      </c>
      <c r="B15" s="14">
        <f>[20]Vendedor1!$J$4</f>
        <v>229500</v>
      </c>
      <c r="C15" s="15">
        <f>[20]Vendedor1!$K$4</f>
        <v>29835</v>
      </c>
      <c r="D15" s="16">
        <f>[20]Vendedor1!$L$4</f>
        <v>123250</v>
      </c>
      <c r="E15" s="14">
        <f>[20]Vendedor1!$J$5</f>
        <v>33300</v>
      </c>
      <c r="F15" s="15">
        <f>[20]Vendedor1!$K$5</f>
        <v>4329</v>
      </c>
      <c r="G15" s="17">
        <f>[20]Vendedor1!$L$5</f>
        <v>8000</v>
      </c>
      <c r="H15" s="18">
        <f>[20]Vendedor1!$J$6</f>
        <v>20400</v>
      </c>
      <c r="I15" s="15">
        <f>[20]Vendedor1!$K$6</f>
        <v>2652</v>
      </c>
      <c r="J15" s="16">
        <f>[20]Vendedor1!$L$6</f>
        <v>16000</v>
      </c>
      <c r="K15" s="19">
        <f t="shared" si="4"/>
        <v>283200</v>
      </c>
      <c r="L15" s="15">
        <f t="shared" si="3"/>
        <v>36800</v>
      </c>
      <c r="M15" s="15">
        <f t="shared" si="1"/>
        <v>147250</v>
      </c>
      <c r="N15" s="15">
        <v>0</v>
      </c>
      <c r="O15" s="17">
        <f t="shared" si="2"/>
        <v>99150</v>
      </c>
    </row>
    <row r="16" spans="1:15" x14ac:dyDescent="0.35">
      <c r="A16" s="20" t="s">
        <v>25</v>
      </c>
      <c r="B16" s="14">
        <f>[21]Vendedor1!$J$4</f>
        <v>222950</v>
      </c>
      <c r="C16" s="15">
        <f>[21]Vendedor1!$K$4</f>
        <v>28983.5</v>
      </c>
      <c r="D16" s="16">
        <f>[21]Vendedor1!$L$4</f>
        <v>0</v>
      </c>
      <c r="E16" s="14">
        <f>[21]Vendedor1!$J$5</f>
        <v>47750</v>
      </c>
      <c r="F16" s="15">
        <f>[21]Vendedor1!$K$5</f>
        <v>6207.5</v>
      </c>
      <c r="G16" s="17">
        <f>[21]Vendedor1!$L$5</f>
        <v>80000</v>
      </c>
      <c r="H16" s="18">
        <f>[21]Vendedor1!$J$6</f>
        <v>8700</v>
      </c>
      <c r="I16" s="15">
        <f>[21]Vendedor1!$K$6</f>
        <v>1131</v>
      </c>
      <c r="J16" s="16">
        <f>[21]Vendedor1!$L$6</f>
        <v>0</v>
      </c>
      <c r="K16" s="19">
        <f t="shared" si="4"/>
        <v>279400</v>
      </c>
      <c r="L16" s="15">
        <f t="shared" si="3"/>
        <v>36300</v>
      </c>
      <c r="M16" s="15">
        <f t="shared" si="1"/>
        <v>80000</v>
      </c>
      <c r="N16" s="15">
        <v>0</v>
      </c>
      <c r="O16" s="17">
        <f t="shared" si="2"/>
        <v>163100</v>
      </c>
    </row>
    <row r="17" spans="1:15" x14ac:dyDescent="0.35">
      <c r="A17" s="13" t="s">
        <v>26</v>
      </c>
      <c r="B17" s="14">
        <f>[22]Vendedor1!$J$4</f>
        <v>175700</v>
      </c>
      <c r="C17" s="15">
        <f>[22]Vendedor1!$K$4</f>
        <v>22841</v>
      </c>
      <c r="D17" s="16">
        <f>[22]Vendedor1!$L$4</f>
        <v>170000</v>
      </c>
      <c r="E17" s="14">
        <f>[22]Vendedor1!$J$5</f>
        <v>25850</v>
      </c>
      <c r="F17" s="15">
        <f>[22]Vendedor1!$K$5</f>
        <v>3360.5</v>
      </c>
      <c r="G17" s="17">
        <f>[22]Vendedor1!$L$5</f>
        <v>0</v>
      </c>
      <c r="H17" s="18">
        <f>[22]Vendedor1!$J$6</f>
        <v>3500</v>
      </c>
      <c r="I17" s="15">
        <f>[22]Vendedor1!$K$6</f>
        <v>455</v>
      </c>
      <c r="J17" s="16">
        <f>[22]Vendedor1!$L$6</f>
        <v>0</v>
      </c>
      <c r="K17" s="19">
        <f t="shared" si="4"/>
        <v>205050</v>
      </c>
      <c r="L17" s="15">
        <f t="shared" si="3"/>
        <v>26650</v>
      </c>
      <c r="M17" s="15">
        <f t="shared" si="1"/>
        <v>170000</v>
      </c>
      <c r="N17" s="15">
        <v>0</v>
      </c>
      <c r="O17" s="17">
        <f t="shared" si="2"/>
        <v>8400</v>
      </c>
    </row>
    <row r="18" spans="1:15" x14ac:dyDescent="0.35">
      <c r="A18" s="20" t="s">
        <v>27</v>
      </c>
      <c r="B18" s="14">
        <f>[23]Vendedor1!$J$4</f>
        <v>127600</v>
      </c>
      <c r="C18" s="15">
        <f>[23]Vendedor1!$K$4</f>
        <v>16588</v>
      </c>
      <c r="D18" s="16">
        <f>[23]Vendedor1!$L$4</f>
        <v>17000</v>
      </c>
      <c r="E18" s="14">
        <f>[23]Vendedor1!$J$5</f>
        <v>34450</v>
      </c>
      <c r="F18" s="15">
        <f>[23]Vendedor1!$K$5</f>
        <v>4478.5</v>
      </c>
      <c r="G18" s="17">
        <f>[23]Vendedor1!$L$5</f>
        <v>8000</v>
      </c>
      <c r="H18" s="18">
        <f>[23]Vendedor1!$J$6</f>
        <v>5700</v>
      </c>
      <c r="I18" s="15">
        <f>[23]Vendedor1!$K$6</f>
        <v>741</v>
      </c>
      <c r="J18" s="16">
        <f>[23]Vendedor1!$L$6</f>
        <v>8000</v>
      </c>
      <c r="K18" s="19">
        <f t="shared" si="4"/>
        <v>167750</v>
      </c>
      <c r="L18" s="15">
        <f t="shared" si="3"/>
        <v>21800</v>
      </c>
      <c r="M18" s="15">
        <f t="shared" si="1"/>
        <v>33000</v>
      </c>
      <c r="N18" s="15">
        <v>0</v>
      </c>
      <c r="O18" s="17">
        <f t="shared" si="2"/>
        <v>112950</v>
      </c>
    </row>
    <row r="19" spans="1:15" x14ac:dyDescent="0.35">
      <c r="A19" s="20" t="s">
        <v>28</v>
      </c>
      <c r="B19" s="14">
        <f>[24]Vendedor1!$J$4</f>
        <v>175550</v>
      </c>
      <c r="C19" s="15">
        <f>[24]Vendedor1!$K$4</f>
        <v>22821.5</v>
      </c>
      <c r="D19" s="16">
        <f>[24]Vendedor1!$L$4</f>
        <v>340000</v>
      </c>
      <c r="E19" s="14">
        <f>[24]Vendedor1!$J$5</f>
        <v>27350</v>
      </c>
      <c r="F19" s="15">
        <f>[24]Vendedor1!$K$5</f>
        <v>3555.5</v>
      </c>
      <c r="G19" s="17">
        <f>[24]Vendedor1!$L$5</f>
        <v>0</v>
      </c>
      <c r="H19" s="18">
        <f>[24]Vendedor1!$J$6</f>
        <v>6700</v>
      </c>
      <c r="I19" s="15">
        <f>[24]Vendedor1!$K$6</f>
        <v>871</v>
      </c>
      <c r="J19" s="16">
        <f>[24]Vendedor1!$L$6</f>
        <v>0</v>
      </c>
      <c r="K19" s="19">
        <f t="shared" si="4"/>
        <v>209600</v>
      </c>
      <c r="L19" s="15">
        <f t="shared" si="3"/>
        <v>27250</v>
      </c>
      <c r="M19" s="15">
        <f t="shared" si="1"/>
        <v>340000</v>
      </c>
      <c r="N19" s="15">
        <v>0</v>
      </c>
      <c r="O19" s="17">
        <f t="shared" si="2"/>
        <v>-157650</v>
      </c>
    </row>
    <row r="20" spans="1:15" x14ac:dyDescent="0.35">
      <c r="A20" s="13" t="s">
        <v>29</v>
      </c>
      <c r="B20" s="14">
        <f>[25]Vendedor1!$J$4</f>
        <v>169150</v>
      </c>
      <c r="C20" s="15">
        <f>[25]Vendedor1!$K$4</f>
        <v>21989.5</v>
      </c>
      <c r="D20" s="16">
        <f>[25]Vendedor1!$L$4</f>
        <v>0</v>
      </c>
      <c r="E20" s="14">
        <f>[25]Vendedor1!$J$5</f>
        <v>26400</v>
      </c>
      <c r="F20" s="15">
        <f>[25]Vendedor1!$K$5</f>
        <v>3432</v>
      </c>
      <c r="G20" s="17">
        <f>[25]Vendedor1!$L$5</f>
        <v>0</v>
      </c>
      <c r="H20" s="18">
        <f>[25]Vendedor1!$J$6</f>
        <v>19000</v>
      </c>
      <c r="I20" s="15">
        <f>[25]Vendedor1!$K$6</f>
        <v>2470</v>
      </c>
      <c r="J20" s="16">
        <f>[25]Vendedor1!$L$6</f>
        <v>0</v>
      </c>
      <c r="K20" s="19">
        <f t="shared" si="4"/>
        <v>214550</v>
      </c>
      <c r="L20" s="15">
        <f t="shared" si="3"/>
        <v>27900</v>
      </c>
      <c r="M20" s="15">
        <f t="shared" si="1"/>
        <v>0</v>
      </c>
      <c r="N20" s="15">
        <v>0</v>
      </c>
      <c r="O20" s="17">
        <f t="shared" si="2"/>
        <v>186650</v>
      </c>
    </row>
    <row r="21" spans="1:15" x14ac:dyDescent="0.35">
      <c r="A21" s="20" t="s">
        <v>30</v>
      </c>
      <c r="B21" s="14">
        <f>[26]Vendedor1!$J$4</f>
        <v>166400</v>
      </c>
      <c r="C21" s="81">
        <f>[26]Vendedor1!$K$4</f>
        <v>21632</v>
      </c>
      <c r="D21" s="82">
        <f>[26]Vendedor1!$L$4</f>
        <v>25500</v>
      </c>
      <c r="E21" s="14">
        <f>[26]Vendedor1!$J$5</f>
        <v>33800</v>
      </c>
      <c r="F21" s="81">
        <f>[26]Vendedor1!$K$5</f>
        <v>4394</v>
      </c>
      <c r="G21" s="85">
        <f>[26]Vendedor1!$L$5</f>
        <v>64000</v>
      </c>
      <c r="H21" s="19">
        <f>[26]Vendedor1!$J$6</f>
        <v>5250</v>
      </c>
      <c r="I21" s="15">
        <f>[26]Vendedor1!$K$6</f>
        <v>682.5</v>
      </c>
      <c r="J21" s="17">
        <f>[26]Vendedor1!$L$6</f>
        <v>0</v>
      </c>
      <c r="K21" s="19">
        <f t="shared" si="4"/>
        <v>205450</v>
      </c>
      <c r="L21" s="15">
        <f t="shared" si="3"/>
        <v>26700</v>
      </c>
      <c r="M21" s="15">
        <f t="shared" si="1"/>
        <v>89500</v>
      </c>
      <c r="N21" s="15">
        <v>0</v>
      </c>
      <c r="O21" s="17">
        <f t="shared" si="2"/>
        <v>89250</v>
      </c>
    </row>
    <row r="22" spans="1:15" x14ac:dyDescent="0.35">
      <c r="A22" s="13" t="s">
        <v>31</v>
      </c>
      <c r="B22" s="14">
        <f>[27]Vendedor1!$J$4</f>
        <v>225900</v>
      </c>
      <c r="C22" s="81">
        <f>[27]Vendedor1!$K$4</f>
        <v>29367</v>
      </c>
      <c r="D22" s="82">
        <f>[27]Vendedor1!$L$4</f>
        <v>238000</v>
      </c>
      <c r="E22" s="14">
        <f>[27]Vendedor1!$J$5</f>
        <v>24700</v>
      </c>
      <c r="F22" s="81">
        <f>[27]Vendedor1!$K$5</f>
        <v>3211</v>
      </c>
      <c r="G22" s="85">
        <f>[27]Vendedor1!$L$5</f>
        <v>24000</v>
      </c>
      <c r="H22" s="19">
        <f>[27]Vendedor1!$J$6</f>
        <v>500</v>
      </c>
      <c r="I22" s="15">
        <f>[27]Vendedor1!$K$6</f>
        <v>65</v>
      </c>
      <c r="J22" s="17">
        <f>[27]Vendedor1!$L$6</f>
        <v>0</v>
      </c>
      <c r="K22" s="19">
        <f t="shared" si="4"/>
        <v>251100</v>
      </c>
      <c r="L22" s="15">
        <f t="shared" si="3"/>
        <v>32650</v>
      </c>
      <c r="M22" s="15">
        <f t="shared" si="1"/>
        <v>262000</v>
      </c>
      <c r="N22" s="15">
        <v>0</v>
      </c>
      <c r="O22" s="17">
        <f t="shared" si="2"/>
        <v>-43550</v>
      </c>
    </row>
    <row r="23" spans="1:15" x14ac:dyDescent="0.35">
      <c r="A23" s="20" t="s">
        <v>32</v>
      </c>
      <c r="B23" s="14">
        <f>[28]Vendedor1!$J$4</f>
        <v>321550</v>
      </c>
      <c r="C23" s="81">
        <f>[28]Vendedor1!$K$4</f>
        <v>41801.5</v>
      </c>
      <c r="D23" s="82">
        <f>[28]Vendedor1!$L$4</f>
        <v>399500</v>
      </c>
      <c r="E23" s="14">
        <f>[28]Vendedor1!$J$5</f>
        <v>49950</v>
      </c>
      <c r="F23" s="81">
        <f>[28]Vendedor1!$K$5</f>
        <v>6493.5</v>
      </c>
      <c r="G23" s="85">
        <f>[28]Vendedor1!$L$5</f>
        <v>24000</v>
      </c>
      <c r="H23" s="19">
        <f>[28]Vendedor1!$J$6</f>
        <v>8900</v>
      </c>
      <c r="I23" s="15">
        <f>[28]Vendedor1!$K$6</f>
        <v>1157</v>
      </c>
      <c r="J23" s="17">
        <f>[28]Vendedor1!$L$6</f>
        <v>0</v>
      </c>
      <c r="K23" s="19">
        <f t="shared" si="4"/>
        <v>380400</v>
      </c>
      <c r="L23" s="15">
        <f t="shared" si="3"/>
        <v>49450</v>
      </c>
      <c r="M23" s="15">
        <f t="shared" si="1"/>
        <v>423500</v>
      </c>
      <c r="N23" s="15">
        <v>0</v>
      </c>
      <c r="O23" s="17">
        <f t="shared" si="2"/>
        <v>-92550</v>
      </c>
    </row>
    <row r="24" spans="1:15" x14ac:dyDescent="0.35">
      <c r="A24" s="13" t="s">
        <v>33</v>
      </c>
      <c r="B24" s="14">
        <f>[29]Vendedor1!$J$4</f>
        <v>228950</v>
      </c>
      <c r="C24" s="81">
        <f>[29]Vendedor1!$K$4</f>
        <v>29763.5</v>
      </c>
      <c r="D24" s="82">
        <f>[29]Vendedor1!$L$4</f>
        <v>556750</v>
      </c>
      <c r="E24" s="14">
        <f>[29]Vendedor1!$J$5</f>
        <v>61350</v>
      </c>
      <c r="F24" s="81">
        <f>[29]Vendedor1!$K$5</f>
        <v>7975.5</v>
      </c>
      <c r="G24" s="85">
        <f>[29]Vendedor1!$L$5</f>
        <v>0</v>
      </c>
      <c r="H24" s="19">
        <f>[29]Vendedor1!$J$6</f>
        <v>5700</v>
      </c>
      <c r="I24" s="15">
        <f>[29]Vendedor1!$K$6</f>
        <v>741</v>
      </c>
      <c r="J24" s="17">
        <f>[29]Vendedor1!$L$6</f>
        <v>0</v>
      </c>
      <c r="K24" s="19">
        <f t="shared" si="4"/>
        <v>296000</v>
      </c>
      <c r="L24" s="15">
        <f t="shared" si="3"/>
        <v>38500</v>
      </c>
      <c r="M24" s="15">
        <f t="shared" si="1"/>
        <v>556750</v>
      </c>
      <c r="N24" s="15">
        <v>0</v>
      </c>
      <c r="O24" s="17">
        <f t="shared" si="2"/>
        <v>-299250</v>
      </c>
    </row>
    <row r="25" spans="1:15" x14ac:dyDescent="0.35">
      <c r="A25" s="20" t="s">
        <v>34</v>
      </c>
      <c r="B25" s="14">
        <f>[30]Vendedor1!$J$4</f>
        <v>170200</v>
      </c>
      <c r="C25" s="81">
        <f>[30]Vendedor1!$K$4</f>
        <v>22126</v>
      </c>
      <c r="D25" s="82">
        <f>[30]Vendedor1!$L$4</f>
        <v>301750</v>
      </c>
      <c r="E25" s="14">
        <f>[30]Vendedor1!$J$5</f>
        <v>39350</v>
      </c>
      <c r="F25" s="81">
        <f>[30]Vendedor1!$K$5</f>
        <v>5115.5</v>
      </c>
      <c r="G25" s="85">
        <f>[30]Vendedor1!$L$5</f>
        <v>124000</v>
      </c>
      <c r="H25" s="19">
        <f>[30]Vendedor1!$J$6</f>
        <v>5750</v>
      </c>
      <c r="I25" s="15">
        <f>[30]Vendedor1!$K$6</f>
        <v>747.5</v>
      </c>
      <c r="J25" s="17">
        <f>[30]Vendedor1!$L$6</f>
        <v>0</v>
      </c>
      <c r="K25" s="19">
        <f t="shared" si="4"/>
        <v>215300</v>
      </c>
      <c r="L25" s="15">
        <f t="shared" si="3"/>
        <v>28000</v>
      </c>
      <c r="M25" s="15">
        <f t="shared" si="1"/>
        <v>425750</v>
      </c>
      <c r="N25" s="15">
        <v>0</v>
      </c>
      <c r="O25" s="17">
        <f t="shared" si="2"/>
        <v>-238450</v>
      </c>
    </row>
    <row r="26" spans="1:15" x14ac:dyDescent="0.35">
      <c r="A26" s="13" t="s">
        <v>35</v>
      </c>
      <c r="B26" s="14">
        <f>[31]Vendedor1!$J$4</f>
        <v>173000</v>
      </c>
      <c r="C26" s="81">
        <f>[31]Vendedor1!$K$4</f>
        <v>22490</v>
      </c>
      <c r="D26" s="82">
        <f>[31]Vendedor1!$L$4</f>
        <v>306000</v>
      </c>
      <c r="E26" s="14">
        <f>[31]Vendedor1!$J$5</f>
        <v>28900</v>
      </c>
      <c r="F26" s="81">
        <f>[31]Vendedor1!$K$5</f>
        <v>3757</v>
      </c>
      <c r="G26" s="85">
        <f>[31]Vendedor1!$L$5</f>
        <v>8000</v>
      </c>
      <c r="H26" s="19">
        <f>[31]Vendedor1!$J$6</f>
        <v>6750</v>
      </c>
      <c r="I26" s="15">
        <f>[31]Vendedor1!$K$6</f>
        <v>877.5</v>
      </c>
      <c r="J26" s="17">
        <f>[31]Vendedor1!$L$6</f>
        <v>20000</v>
      </c>
      <c r="K26" s="19">
        <f t="shared" si="4"/>
        <v>208650</v>
      </c>
      <c r="L26" s="15">
        <f t="shared" si="3"/>
        <v>27100</v>
      </c>
      <c r="M26" s="15">
        <f t="shared" si="1"/>
        <v>334000</v>
      </c>
      <c r="N26" s="15">
        <v>0</v>
      </c>
      <c r="O26" s="17">
        <f t="shared" si="2"/>
        <v>-152450</v>
      </c>
    </row>
    <row r="27" spans="1:15" x14ac:dyDescent="0.35">
      <c r="A27" s="20" t="s">
        <v>36</v>
      </c>
      <c r="B27" s="14">
        <f>[1]Vendedor1!$J$4</f>
        <v>206600</v>
      </c>
      <c r="C27" s="81">
        <f>[1]Vendedor1!$K$4</f>
        <v>26858</v>
      </c>
      <c r="D27" s="82">
        <f>[1]Vendedor1!$L$4</f>
        <v>140250</v>
      </c>
      <c r="E27" s="14">
        <f>[1]Vendedor1!$J$5</f>
        <v>37550</v>
      </c>
      <c r="F27" s="81">
        <f>[1]Vendedor1!$K$5</f>
        <v>4881.5</v>
      </c>
      <c r="G27" s="85">
        <f>[1]Vendedor1!$L$5</f>
        <v>24000</v>
      </c>
      <c r="H27" s="19">
        <f>[1]Vendedor1!$J$6</f>
        <v>7400</v>
      </c>
      <c r="I27" s="15">
        <f>[1]Vendedor1!$K$6</f>
        <v>962</v>
      </c>
      <c r="J27" s="17">
        <f>[1]Vendedor1!$L$6</f>
        <v>8000</v>
      </c>
      <c r="K27" s="19">
        <f t="shared" si="4"/>
        <v>251550</v>
      </c>
      <c r="L27" s="15">
        <f t="shared" si="3"/>
        <v>32700</v>
      </c>
      <c r="M27" s="15">
        <f t="shared" si="1"/>
        <v>172250</v>
      </c>
      <c r="N27" s="15">
        <v>0</v>
      </c>
      <c r="O27" s="17">
        <f t="shared" si="2"/>
        <v>46600</v>
      </c>
    </row>
    <row r="28" spans="1:15" x14ac:dyDescent="0.35">
      <c r="A28" s="13" t="s">
        <v>37</v>
      </c>
      <c r="B28" s="14">
        <f>[2]Vendedor1!$J$4</f>
        <v>121300</v>
      </c>
      <c r="C28" s="81">
        <f>[2]Vendedor1!$K$4</f>
        <v>15769</v>
      </c>
      <c r="D28" s="82">
        <f>[2]Vendedor1!$L$4</f>
        <v>34000</v>
      </c>
      <c r="E28" s="14">
        <f>[2]Vendedor1!$J$5</f>
        <v>27450</v>
      </c>
      <c r="F28" s="81">
        <f>[2]Vendedor1!$K$5</f>
        <v>3568.5</v>
      </c>
      <c r="G28" s="85">
        <f>[2]Vendedor1!$L$5</f>
        <v>16000</v>
      </c>
      <c r="H28" s="19">
        <f>[2]Vendedor1!$J$6</f>
        <v>5150</v>
      </c>
      <c r="I28" s="15">
        <f>[2]Vendedor1!$K$6</f>
        <v>669.5</v>
      </c>
      <c r="J28" s="17">
        <f>[2]Vendedor1!$L$6</f>
        <v>8000</v>
      </c>
      <c r="K28" s="19">
        <f t="shared" si="4"/>
        <v>153900</v>
      </c>
      <c r="L28" s="15">
        <f t="shared" si="3"/>
        <v>20000</v>
      </c>
      <c r="M28" s="15">
        <f t="shared" si="1"/>
        <v>58000</v>
      </c>
      <c r="N28" s="15">
        <v>0</v>
      </c>
      <c r="O28" s="17">
        <f t="shared" si="2"/>
        <v>75900</v>
      </c>
    </row>
    <row r="29" spans="1:15" x14ac:dyDescent="0.35">
      <c r="A29" s="20" t="s">
        <v>38</v>
      </c>
      <c r="B29" s="14">
        <f>[3]Vendedor1!$J$4</f>
        <v>182700</v>
      </c>
      <c r="C29" s="81">
        <f>[3]Vendedor1!$K$4</f>
        <v>23751</v>
      </c>
      <c r="D29" s="82">
        <f>[3]Vendedor1!$L$4</f>
        <v>484500</v>
      </c>
      <c r="E29" s="14">
        <f>[3]Vendedor1!$J$5</f>
        <v>31400</v>
      </c>
      <c r="F29" s="81">
        <f>[3]Vendedor1!$K$5</f>
        <v>4082</v>
      </c>
      <c r="G29" s="85">
        <f>[3]Vendedor1!$L$5</f>
        <v>40000</v>
      </c>
      <c r="H29" s="19">
        <f>[3]Vendedor1!$J$6</f>
        <v>8950</v>
      </c>
      <c r="I29" s="15">
        <f>[3]Vendedor1!$K$6</f>
        <v>1163.5</v>
      </c>
      <c r="J29" s="17">
        <f>[3]Vendedor1!$L$6</f>
        <v>0</v>
      </c>
      <c r="K29" s="19">
        <f t="shared" si="4"/>
        <v>223050</v>
      </c>
      <c r="L29" s="15">
        <f t="shared" si="3"/>
        <v>29000</v>
      </c>
      <c r="M29" s="15">
        <f t="shared" si="1"/>
        <v>524500</v>
      </c>
      <c r="N29" s="15">
        <v>0</v>
      </c>
      <c r="O29" s="17">
        <f t="shared" si="2"/>
        <v>-330450</v>
      </c>
    </row>
    <row r="30" spans="1:15" x14ac:dyDescent="0.35">
      <c r="A30" s="13" t="s">
        <v>39</v>
      </c>
      <c r="B30" s="14">
        <f>[4]Vendedor1!$J$4</f>
        <v>291550</v>
      </c>
      <c r="C30" s="81">
        <f>[4]Vendedor1!$K$4</f>
        <v>37901.5</v>
      </c>
      <c r="D30" s="82">
        <f>[4]Vendedor1!$L$4</f>
        <v>114750</v>
      </c>
      <c r="E30" s="14">
        <f>[4]Vendedor1!$J$5</f>
        <v>67000</v>
      </c>
      <c r="F30" s="81">
        <f>[4]Vendedor1!$K$5</f>
        <v>8710</v>
      </c>
      <c r="G30" s="85">
        <f>[4]Vendedor1!$L$5</f>
        <v>0</v>
      </c>
      <c r="H30" s="19">
        <f>[4]Vendedor1!$J$6</f>
        <v>16600</v>
      </c>
      <c r="I30" s="15">
        <f>[4]Vendedor1!$K$6</f>
        <v>2158</v>
      </c>
      <c r="J30" s="17">
        <f>[4]Vendedor1!$L$6</f>
        <v>0</v>
      </c>
      <c r="K30" s="19">
        <f t="shared" si="4"/>
        <v>375150</v>
      </c>
      <c r="L30" s="15">
        <f t="shared" si="3"/>
        <v>48750</v>
      </c>
      <c r="M30" s="15">
        <f t="shared" si="1"/>
        <v>114750</v>
      </c>
      <c r="N30" s="15">
        <v>0</v>
      </c>
      <c r="O30" s="17">
        <f t="shared" si="2"/>
        <v>211650</v>
      </c>
    </row>
    <row r="31" spans="1:15" x14ac:dyDescent="0.35">
      <c r="A31" s="20" t="s">
        <v>40</v>
      </c>
      <c r="B31" s="14">
        <f>[5]Vendedor1!$J$4</f>
        <v>249700</v>
      </c>
      <c r="C31" s="81">
        <f>[5]Vendedor1!$K$4</f>
        <v>32461</v>
      </c>
      <c r="D31" s="82">
        <f>[5]Vendedor1!$L$4</f>
        <v>178500</v>
      </c>
      <c r="E31" s="14">
        <f>[5]Vendedor1!$J$5</f>
        <v>46900</v>
      </c>
      <c r="F31" s="81">
        <f>[5]Vendedor1!$K$5</f>
        <v>6097</v>
      </c>
      <c r="G31" s="85">
        <f>[5]Vendedor1!$L$5</f>
        <v>200000</v>
      </c>
      <c r="H31" s="19">
        <f>[5]Vendedor1!$J$6</f>
        <v>8850</v>
      </c>
      <c r="I31" s="15">
        <f>[5]Vendedor1!$K$6</f>
        <v>1150.5</v>
      </c>
      <c r="J31" s="17">
        <f>[5]Vendedor1!$L$6</f>
        <v>0</v>
      </c>
      <c r="K31" s="19">
        <f t="shared" si="4"/>
        <v>305450</v>
      </c>
      <c r="L31" s="15">
        <f t="shared" si="3"/>
        <v>39700</v>
      </c>
      <c r="M31" s="15">
        <f t="shared" si="1"/>
        <v>378500</v>
      </c>
      <c r="N31" s="15">
        <v>0</v>
      </c>
      <c r="O31" s="17">
        <f t="shared" si="2"/>
        <v>-112750</v>
      </c>
    </row>
    <row r="32" spans="1:15" x14ac:dyDescent="0.35">
      <c r="A32" s="20" t="s">
        <v>41</v>
      </c>
      <c r="B32" s="14">
        <f>[6]Vendedor1!$J$4</f>
        <v>197050</v>
      </c>
      <c r="C32" s="81">
        <f>[6]Vendedor1!$K$4</f>
        <v>25616.5</v>
      </c>
      <c r="D32" s="82">
        <f>[6]Vendedor1!$L$4</f>
        <v>284750</v>
      </c>
      <c r="E32" s="14">
        <f>[6]Vendedor1!$J$5</f>
        <v>91300</v>
      </c>
      <c r="F32" s="81">
        <f>[6]Vendedor1!$K$5</f>
        <v>11869</v>
      </c>
      <c r="G32" s="85">
        <f>[6]Vendedor1!$L$5</f>
        <v>8000</v>
      </c>
      <c r="H32" s="19">
        <f>[6]Vendedor1!$J$6</f>
        <v>10800</v>
      </c>
      <c r="I32" s="15">
        <f>[6]Vendedor1!$K$6</f>
        <v>1404</v>
      </c>
      <c r="J32" s="17">
        <f>[6]Vendedor1!$L$6</f>
        <v>16000</v>
      </c>
      <c r="K32" s="19">
        <f t="shared" si="4"/>
        <v>299150</v>
      </c>
      <c r="L32" s="15">
        <f t="shared" si="3"/>
        <v>38900</v>
      </c>
      <c r="M32" s="15">
        <f t="shared" si="1"/>
        <v>308750</v>
      </c>
      <c r="N32" s="15">
        <v>0</v>
      </c>
      <c r="O32" s="17">
        <f t="shared" si="2"/>
        <v>-48500</v>
      </c>
    </row>
    <row r="33" spans="1:15" x14ac:dyDescent="0.35">
      <c r="A33" s="13" t="s">
        <v>42</v>
      </c>
      <c r="B33" s="14">
        <f>[7]Vendedor1!$J$4</f>
        <v>190050</v>
      </c>
      <c r="C33" s="81">
        <f>[7]Vendedor1!$K$4</f>
        <v>24706.5</v>
      </c>
      <c r="D33" s="82">
        <f>[7]Vendedor1!$L$4</f>
        <v>72250</v>
      </c>
      <c r="E33" s="14">
        <f>[7]Vendedor1!$J$5</f>
        <v>40900</v>
      </c>
      <c r="F33" s="81">
        <f>[7]Vendedor1!$K$5</f>
        <v>5317</v>
      </c>
      <c r="G33" s="85">
        <f>[7]Vendedor1!$L$5</f>
        <v>0</v>
      </c>
      <c r="H33" s="19">
        <f>[7]Vendedor1!$J$6</f>
        <v>10800</v>
      </c>
      <c r="I33" s="15">
        <f>[7]Vendedor1!$K$6</f>
        <v>1404</v>
      </c>
      <c r="J33" s="17">
        <f>[7]Vendedor1!$L$6</f>
        <v>0</v>
      </c>
      <c r="K33" s="19">
        <f t="shared" si="4"/>
        <v>241750</v>
      </c>
      <c r="L33" s="15">
        <f t="shared" si="3"/>
        <v>31450</v>
      </c>
      <c r="M33" s="15">
        <f t="shared" si="1"/>
        <v>72250</v>
      </c>
      <c r="N33" s="15">
        <v>0</v>
      </c>
      <c r="O33" s="17">
        <f t="shared" si="2"/>
        <v>138050</v>
      </c>
    </row>
    <row r="34" spans="1:15" x14ac:dyDescent="0.35">
      <c r="A34" s="20" t="s">
        <v>43</v>
      </c>
      <c r="B34" s="14">
        <f>[8]Vendedor1!$J$4</f>
        <v>188150</v>
      </c>
      <c r="C34" s="81">
        <f>[8]Vendedor1!$K$4</f>
        <v>24459.5</v>
      </c>
      <c r="D34" s="82">
        <f>[8]Vendedor1!$L$4</f>
        <v>76500</v>
      </c>
      <c r="E34" s="14">
        <f>[8]Vendedor1!$J$5</f>
        <v>22600</v>
      </c>
      <c r="F34" s="81">
        <f>[8]Vendedor1!$K$5</f>
        <v>2938</v>
      </c>
      <c r="G34" s="85">
        <f>[8]Vendedor1!$L$5</f>
        <v>0</v>
      </c>
      <c r="H34" s="19">
        <f>[8]Vendedor1!$J$6</f>
        <v>5000</v>
      </c>
      <c r="I34" s="15">
        <f>[8]Vendedor1!$K$6</f>
        <v>650</v>
      </c>
      <c r="J34" s="17">
        <f>[8]Vendedor1!$L$6</f>
        <v>0</v>
      </c>
      <c r="K34" s="19">
        <f t="shared" si="4"/>
        <v>215750</v>
      </c>
      <c r="L34" s="15">
        <f t="shared" si="3"/>
        <v>28050</v>
      </c>
      <c r="M34" s="15">
        <f t="shared" si="1"/>
        <v>76500</v>
      </c>
      <c r="N34" s="15">
        <v>0</v>
      </c>
      <c r="O34" s="17">
        <f t="shared" si="2"/>
        <v>111200</v>
      </c>
    </row>
    <row r="35" spans="1:15" x14ac:dyDescent="0.35">
      <c r="A35" s="13" t="s">
        <v>44</v>
      </c>
      <c r="B35" s="14">
        <f>[9]Vendedor1!$J$4</f>
        <v>168750</v>
      </c>
      <c r="C35" s="81">
        <f>[9]Vendedor1!$K$4</f>
        <v>21937.5</v>
      </c>
      <c r="D35" s="82">
        <f>[9]Vendedor1!$L$4</f>
        <v>72250</v>
      </c>
      <c r="E35" s="14">
        <f>[9]Vendedor1!$J$5</f>
        <v>39250</v>
      </c>
      <c r="F35" s="81">
        <f>[9]Vendedor1!$K$5</f>
        <v>5102.5</v>
      </c>
      <c r="G35" s="85">
        <f>[9]Vendedor1!$L$5</f>
        <v>24000</v>
      </c>
      <c r="H35" s="19">
        <f>[9]Vendedor1!$J$6</f>
        <v>7000</v>
      </c>
      <c r="I35" s="15">
        <f>[9]Vendedor1!$K$6</f>
        <v>910</v>
      </c>
      <c r="J35" s="17">
        <f>[9]Vendedor1!$L$6</f>
        <v>0</v>
      </c>
      <c r="K35" s="19">
        <f t="shared" si="4"/>
        <v>215000</v>
      </c>
      <c r="L35" s="15">
        <f t="shared" si="3"/>
        <v>27950</v>
      </c>
      <c r="M35" s="15">
        <f t="shared" si="1"/>
        <v>96250</v>
      </c>
      <c r="N35" s="15">
        <v>0</v>
      </c>
      <c r="O35" s="17">
        <f t="shared" si="2"/>
        <v>90800</v>
      </c>
    </row>
    <row r="36" spans="1:15" ht="15" thickBot="1" x14ac:dyDescent="0.4">
      <c r="A36" s="20" t="s">
        <v>45</v>
      </c>
      <c r="B36" s="21">
        <f>[10]Vendedor1!$J$4</f>
        <v>252300</v>
      </c>
      <c r="C36" s="83">
        <f>[10]Vendedor1!$K$4</f>
        <v>32799</v>
      </c>
      <c r="D36" s="84">
        <f>[10]Vendedor1!$L$4</f>
        <v>93500</v>
      </c>
      <c r="E36" s="21">
        <f>[10]Vendedor1!$J$5</f>
        <v>56050</v>
      </c>
      <c r="F36" s="83">
        <f>[10]Vendedor1!$K$5</f>
        <v>7286.5</v>
      </c>
      <c r="G36" s="86">
        <f>[10]Vendedor1!$L$5</f>
        <v>16000</v>
      </c>
      <c r="H36" s="26">
        <f>[10]Vendedor1!$J$6</f>
        <v>7500</v>
      </c>
      <c r="I36" s="22">
        <f>[10]Vendedor1!$K$6</f>
        <v>975</v>
      </c>
      <c r="J36" s="24">
        <f>[10]Vendedor1!$L$6</f>
        <v>0</v>
      </c>
      <c r="K36" s="26">
        <f t="shared" si="4"/>
        <v>315850</v>
      </c>
      <c r="L36" s="22">
        <f t="shared" si="3"/>
        <v>41050</v>
      </c>
      <c r="M36" s="22">
        <f t="shared" si="1"/>
        <v>109500</v>
      </c>
      <c r="N36" s="22">
        <v>0</v>
      </c>
      <c r="O36" s="24">
        <f t="shared" si="2"/>
        <v>165300</v>
      </c>
    </row>
    <row r="37" spans="1:15" ht="16" thickBot="1" x14ac:dyDescent="0.4">
      <c r="A37" s="5" t="s">
        <v>46</v>
      </c>
      <c r="B37" s="27">
        <f t="shared" ref="B37:M37" si="5">SUM(B6:B36)</f>
        <v>6064575</v>
      </c>
      <c r="C37" s="28">
        <f t="shared" si="5"/>
        <v>788394.75</v>
      </c>
      <c r="D37" s="29">
        <f t="shared" si="5"/>
        <v>5512250</v>
      </c>
      <c r="E37" s="30">
        <f t="shared" si="5"/>
        <v>1260900</v>
      </c>
      <c r="F37" s="28">
        <f t="shared" si="5"/>
        <v>163917</v>
      </c>
      <c r="G37" s="31">
        <f t="shared" si="5"/>
        <v>904000</v>
      </c>
      <c r="H37" s="27">
        <f t="shared" si="5"/>
        <v>268900</v>
      </c>
      <c r="I37" s="28">
        <f t="shared" si="5"/>
        <v>34957</v>
      </c>
      <c r="J37" s="29">
        <f t="shared" si="5"/>
        <v>116000</v>
      </c>
      <c r="K37" s="60">
        <f t="shared" si="5"/>
        <v>7594375</v>
      </c>
      <c r="L37" s="32">
        <f t="shared" si="5"/>
        <v>987200</v>
      </c>
      <c r="M37" s="32">
        <f t="shared" si="5"/>
        <v>6532250</v>
      </c>
      <c r="N37" s="32">
        <f>SUM(N5:N36)</f>
        <v>0</v>
      </c>
      <c r="O37" s="33">
        <f>SUM(O5:O36)</f>
        <v>74925</v>
      </c>
    </row>
    <row r="40" spans="1:15" ht="15" thickBot="1" x14ac:dyDescent="0.4"/>
    <row r="41" spans="1:15" ht="19" thickBot="1" x14ac:dyDescent="0.5">
      <c r="A41" s="2" t="s">
        <v>1</v>
      </c>
      <c r="B41" s="142" t="s">
        <v>130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190600</v>
      </c>
      <c r="C45" s="58">
        <f t="shared" si="8"/>
        <v>24778</v>
      </c>
      <c r="D45" s="54">
        <f t="shared" si="8"/>
        <v>59500</v>
      </c>
      <c r="E45" s="53">
        <f t="shared" si="8"/>
        <v>69600</v>
      </c>
      <c r="F45" s="58">
        <f t="shared" si="8"/>
        <v>9048</v>
      </c>
      <c r="G45" s="55">
        <f t="shared" si="8"/>
        <v>0</v>
      </c>
      <c r="H45" s="61">
        <f t="shared" si="8"/>
        <v>12400</v>
      </c>
      <c r="I45" s="58">
        <f t="shared" si="8"/>
        <v>1612</v>
      </c>
      <c r="J45" s="54">
        <f t="shared" si="8"/>
        <v>0</v>
      </c>
      <c r="K45" s="59">
        <f t="shared" si="8"/>
        <v>272600</v>
      </c>
      <c r="L45" s="58">
        <f>IF(K45&gt;0,15000,0)</f>
        <v>15000</v>
      </c>
      <c r="M45" s="58">
        <f t="shared" si="8"/>
        <v>59500</v>
      </c>
      <c r="N45" s="58">
        <f t="shared" si="8"/>
        <v>0</v>
      </c>
      <c r="O45" s="55">
        <f>+K45-L45-M45+N45</f>
        <v>198100</v>
      </c>
    </row>
    <row r="46" spans="1:15" x14ac:dyDescent="0.35">
      <c r="A46" s="13" t="s">
        <v>50</v>
      </c>
      <c r="B46" s="14">
        <f t="shared" ref="B46:N46" si="9">B7</f>
        <v>137000</v>
      </c>
      <c r="C46" s="15">
        <f t="shared" si="9"/>
        <v>17810</v>
      </c>
      <c r="D46" s="16">
        <f t="shared" si="9"/>
        <v>17000</v>
      </c>
      <c r="E46" s="14">
        <f t="shared" si="9"/>
        <v>44700</v>
      </c>
      <c r="F46" s="15">
        <f t="shared" si="9"/>
        <v>5811</v>
      </c>
      <c r="G46" s="17">
        <f t="shared" si="9"/>
        <v>60000</v>
      </c>
      <c r="H46" s="18">
        <f t="shared" si="9"/>
        <v>16050</v>
      </c>
      <c r="I46" s="15">
        <f t="shared" si="9"/>
        <v>2086.5</v>
      </c>
      <c r="J46" s="16">
        <f t="shared" si="9"/>
        <v>16000</v>
      </c>
      <c r="K46" s="19">
        <f t="shared" si="9"/>
        <v>197750</v>
      </c>
      <c r="L46" s="15">
        <f t="shared" ref="L46:L75" si="10">IF(K46&gt;0,15000,0)</f>
        <v>15000</v>
      </c>
      <c r="M46" s="15">
        <f t="shared" si="9"/>
        <v>93000</v>
      </c>
      <c r="N46" s="15">
        <f t="shared" si="9"/>
        <v>0</v>
      </c>
      <c r="O46" s="17">
        <f t="shared" ref="O46:O59" si="11">+K46-L46-M46+N46</f>
        <v>89750</v>
      </c>
    </row>
    <row r="47" spans="1:15" x14ac:dyDescent="0.35">
      <c r="A47" s="20" t="s">
        <v>51</v>
      </c>
      <c r="B47" s="14">
        <f t="shared" ref="B47:N47" si="12">B8</f>
        <v>170200</v>
      </c>
      <c r="C47" s="15">
        <f t="shared" si="12"/>
        <v>22126</v>
      </c>
      <c r="D47" s="16">
        <f t="shared" si="12"/>
        <v>272000</v>
      </c>
      <c r="E47" s="14">
        <f t="shared" si="12"/>
        <v>32450</v>
      </c>
      <c r="F47" s="15">
        <f t="shared" si="12"/>
        <v>4218.5</v>
      </c>
      <c r="G47" s="17">
        <f t="shared" si="12"/>
        <v>0</v>
      </c>
      <c r="H47" s="18">
        <f t="shared" si="12"/>
        <v>9050</v>
      </c>
      <c r="I47" s="15">
        <f t="shared" si="12"/>
        <v>1176.5</v>
      </c>
      <c r="J47" s="16">
        <f t="shared" si="12"/>
        <v>24000</v>
      </c>
      <c r="K47" s="19">
        <f t="shared" si="12"/>
        <v>211700</v>
      </c>
      <c r="L47" s="15">
        <f t="shared" si="10"/>
        <v>15000</v>
      </c>
      <c r="M47" s="15">
        <f t="shared" si="12"/>
        <v>296000</v>
      </c>
      <c r="N47" s="15">
        <f t="shared" si="12"/>
        <v>0</v>
      </c>
      <c r="O47" s="17">
        <f t="shared" si="11"/>
        <v>-99300</v>
      </c>
    </row>
    <row r="48" spans="1:15" x14ac:dyDescent="0.35">
      <c r="A48" s="13" t="s">
        <v>52</v>
      </c>
      <c r="B48" s="14">
        <f t="shared" ref="B48:N48" si="13">B9</f>
        <v>176500</v>
      </c>
      <c r="C48" s="15">
        <f t="shared" si="13"/>
        <v>22945</v>
      </c>
      <c r="D48" s="16">
        <f t="shared" si="13"/>
        <v>204000</v>
      </c>
      <c r="E48" s="14">
        <f t="shared" si="13"/>
        <v>32050</v>
      </c>
      <c r="F48" s="15">
        <f t="shared" si="13"/>
        <v>4166.5</v>
      </c>
      <c r="G48" s="17">
        <f t="shared" si="13"/>
        <v>32000</v>
      </c>
      <c r="H48" s="18">
        <f t="shared" si="13"/>
        <v>5200</v>
      </c>
      <c r="I48" s="15">
        <f t="shared" si="13"/>
        <v>676</v>
      </c>
      <c r="J48" s="16">
        <f t="shared" si="13"/>
        <v>0</v>
      </c>
      <c r="K48" s="19">
        <f t="shared" si="13"/>
        <v>213750</v>
      </c>
      <c r="L48" s="15">
        <f t="shared" si="10"/>
        <v>15000</v>
      </c>
      <c r="M48" s="15">
        <f t="shared" si="13"/>
        <v>236000</v>
      </c>
      <c r="N48" s="15">
        <f t="shared" si="13"/>
        <v>0</v>
      </c>
      <c r="O48" s="17">
        <f t="shared" si="11"/>
        <v>-37250</v>
      </c>
    </row>
    <row r="49" spans="1:15" x14ac:dyDescent="0.35">
      <c r="A49" s="20" t="s">
        <v>53</v>
      </c>
      <c r="B49" s="14">
        <f t="shared" ref="B49:N49" si="14">B10</f>
        <v>267950</v>
      </c>
      <c r="C49" s="15">
        <f t="shared" si="14"/>
        <v>34833.5</v>
      </c>
      <c r="D49" s="16">
        <f t="shared" si="14"/>
        <v>114750</v>
      </c>
      <c r="E49" s="14">
        <f t="shared" si="14"/>
        <v>43800</v>
      </c>
      <c r="F49" s="15">
        <f t="shared" si="14"/>
        <v>5694</v>
      </c>
      <c r="G49" s="17">
        <f t="shared" si="14"/>
        <v>32000</v>
      </c>
      <c r="H49" s="18">
        <f t="shared" si="14"/>
        <v>7650</v>
      </c>
      <c r="I49" s="15">
        <f t="shared" si="14"/>
        <v>994.5</v>
      </c>
      <c r="J49" s="16">
        <f t="shared" si="14"/>
        <v>0</v>
      </c>
      <c r="K49" s="19">
        <f t="shared" si="14"/>
        <v>319400</v>
      </c>
      <c r="L49" s="15">
        <f t="shared" si="10"/>
        <v>15000</v>
      </c>
      <c r="M49" s="15">
        <f t="shared" si="14"/>
        <v>146750</v>
      </c>
      <c r="N49" s="15">
        <f t="shared" si="14"/>
        <v>0</v>
      </c>
      <c r="O49" s="17">
        <f t="shared" si="11"/>
        <v>157650</v>
      </c>
    </row>
    <row r="50" spans="1:15" x14ac:dyDescent="0.35">
      <c r="A50" s="13" t="s">
        <v>20</v>
      </c>
      <c r="B50" s="14">
        <f t="shared" ref="B50:N50" si="15">B11</f>
        <v>178400</v>
      </c>
      <c r="C50" s="15">
        <f t="shared" si="15"/>
        <v>23192</v>
      </c>
      <c r="D50" s="16">
        <f t="shared" si="15"/>
        <v>68000</v>
      </c>
      <c r="E50" s="14">
        <f t="shared" si="15"/>
        <v>35600</v>
      </c>
      <c r="F50" s="15">
        <f t="shared" si="15"/>
        <v>4628</v>
      </c>
      <c r="G50" s="17">
        <f t="shared" si="15"/>
        <v>16000</v>
      </c>
      <c r="H50" s="18">
        <f t="shared" si="15"/>
        <v>9850</v>
      </c>
      <c r="I50" s="15">
        <f t="shared" si="15"/>
        <v>1280.5</v>
      </c>
      <c r="J50" s="16">
        <f t="shared" si="15"/>
        <v>0</v>
      </c>
      <c r="K50" s="19">
        <f t="shared" si="15"/>
        <v>223850</v>
      </c>
      <c r="L50" s="15">
        <f t="shared" si="10"/>
        <v>15000</v>
      </c>
      <c r="M50" s="15">
        <f t="shared" si="15"/>
        <v>84000</v>
      </c>
      <c r="N50" s="15">
        <f t="shared" si="15"/>
        <v>0</v>
      </c>
      <c r="O50" s="17">
        <f t="shared" si="11"/>
        <v>124850</v>
      </c>
    </row>
    <row r="51" spans="1:15" x14ac:dyDescent="0.35">
      <c r="A51" s="20" t="s">
        <v>21</v>
      </c>
      <c r="B51" s="14">
        <f t="shared" ref="B51:N51" si="16">B12</f>
        <v>166400</v>
      </c>
      <c r="C51" s="15">
        <f t="shared" si="16"/>
        <v>21632</v>
      </c>
      <c r="D51" s="16">
        <f t="shared" si="16"/>
        <v>85000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4700</v>
      </c>
      <c r="I51" s="15">
        <f t="shared" si="16"/>
        <v>611</v>
      </c>
      <c r="J51" s="16">
        <f t="shared" si="16"/>
        <v>0</v>
      </c>
      <c r="K51" s="19">
        <f t="shared" si="16"/>
        <v>202350</v>
      </c>
      <c r="L51" s="15">
        <f t="shared" si="10"/>
        <v>15000</v>
      </c>
      <c r="M51" s="15">
        <f t="shared" si="16"/>
        <v>125000</v>
      </c>
      <c r="N51" s="15">
        <f t="shared" si="16"/>
        <v>0</v>
      </c>
      <c r="O51" s="17">
        <f t="shared" si="11"/>
        <v>62350</v>
      </c>
    </row>
    <row r="52" spans="1:15" x14ac:dyDescent="0.35">
      <c r="A52" s="13" t="s">
        <v>22</v>
      </c>
      <c r="B52" s="14">
        <f t="shared" ref="B52:N52" si="17">B13</f>
        <v>173650</v>
      </c>
      <c r="C52" s="15">
        <f t="shared" si="17"/>
        <v>22574.5</v>
      </c>
      <c r="D52" s="16">
        <f t="shared" si="17"/>
        <v>318750</v>
      </c>
      <c r="E52" s="14">
        <f t="shared" si="17"/>
        <v>37750</v>
      </c>
      <c r="F52" s="15">
        <f t="shared" si="17"/>
        <v>4907.5</v>
      </c>
      <c r="G52" s="17">
        <f t="shared" si="17"/>
        <v>40000</v>
      </c>
      <c r="H52" s="18">
        <f t="shared" si="17"/>
        <v>11300</v>
      </c>
      <c r="I52" s="15">
        <f t="shared" si="17"/>
        <v>1469</v>
      </c>
      <c r="J52" s="16">
        <f t="shared" si="17"/>
        <v>0</v>
      </c>
      <c r="K52" s="19">
        <f t="shared" si="17"/>
        <v>222700</v>
      </c>
      <c r="L52" s="15">
        <f t="shared" si="10"/>
        <v>15000</v>
      </c>
      <c r="M52" s="15">
        <f t="shared" si="17"/>
        <v>358750</v>
      </c>
      <c r="N52" s="15">
        <f t="shared" si="17"/>
        <v>0</v>
      </c>
      <c r="O52" s="17">
        <f t="shared" si="11"/>
        <v>-151050</v>
      </c>
    </row>
    <row r="53" spans="1:15" x14ac:dyDescent="0.35">
      <c r="A53" s="20" t="s">
        <v>23</v>
      </c>
      <c r="B53" s="14">
        <f t="shared" ref="B53:N53" si="18">B14</f>
        <v>169275</v>
      </c>
      <c r="C53" s="15">
        <f t="shared" si="18"/>
        <v>22005.75</v>
      </c>
      <c r="D53" s="16">
        <f t="shared" si="18"/>
        <v>344250</v>
      </c>
      <c r="E53" s="14">
        <f t="shared" si="18"/>
        <v>40150</v>
      </c>
      <c r="F53" s="15">
        <f t="shared" si="18"/>
        <v>5219.5</v>
      </c>
      <c r="G53" s="17">
        <f t="shared" si="18"/>
        <v>16000</v>
      </c>
      <c r="H53" s="18">
        <f t="shared" si="18"/>
        <v>7800</v>
      </c>
      <c r="I53" s="15">
        <f t="shared" si="18"/>
        <v>1014</v>
      </c>
      <c r="J53" s="16">
        <f t="shared" si="18"/>
        <v>0</v>
      </c>
      <c r="K53" s="19">
        <f t="shared" si="18"/>
        <v>217225</v>
      </c>
      <c r="L53" s="15">
        <f t="shared" si="10"/>
        <v>15000</v>
      </c>
      <c r="M53" s="15">
        <f t="shared" si="18"/>
        <v>360250</v>
      </c>
      <c r="N53" s="15">
        <f t="shared" si="18"/>
        <v>0</v>
      </c>
      <c r="O53" s="17">
        <f t="shared" si="11"/>
        <v>-158025</v>
      </c>
    </row>
    <row r="54" spans="1:15" x14ac:dyDescent="0.35">
      <c r="A54" s="13" t="s">
        <v>24</v>
      </c>
      <c r="B54" s="14">
        <f t="shared" ref="B54:N54" si="19">B15</f>
        <v>229500</v>
      </c>
      <c r="C54" s="15">
        <f t="shared" si="19"/>
        <v>29835</v>
      </c>
      <c r="D54" s="16">
        <f t="shared" si="19"/>
        <v>123250</v>
      </c>
      <c r="E54" s="14">
        <f t="shared" si="19"/>
        <v>33300</v>
      </c>
      <c r="F54" s="15">
        <f t="shared" si="19"/>
        <v>4329</v>
      </c>
      <c r="G54" s="17">
        <f t="shared" si="19"/>
        <v>8000</v>
      </c>
      <c r="H54" s="18">
        <f t="shared" si="19"/>
        <v>20400</v>
      </c>
      <c r="I54" s="15">
        <f t="shared" si="19"/>
        <v>2652</v>
      </c>
      <c r="J54" s="16">
        <f t="shared" si="19"/>
        <v>16000</v>
      </c>
      <c r="K54" s="19">
        <f t="shared" si="19"/>
        <v>283200</v>
      </c>
      <c r="L54" s="15">
        <f t="shared" si="10"/>
        <v>15000</v>
      </c>
      <c r="M54" s="15">
        <f t="shared" si="19"/>
        <v>147250</v>
      </c>
      <c r="N54" s="15">
        <f t="shared" si="19"/>
        <v>0</v>
      </c>
      <c r="O54" s="17">
        <f t="shared" si="11"/>
        <v>120950</v>
      </c>
    </row>
    <row r="55" spans="1:15" x14ac:dyDescent="0.35">
      <c r="A55" s="20" t="s">
        <v>25</v>
      </c>
      <c r="B55" s="14">
        <f t="shared" ref="B55:N55" si="20">B16</f>
        <v>222950</v>
      </c>
      <c r="C55" s="15">
        <f t="shared" si="20"/>
        <v>28983.5</v>
      </c>
      <c r="D55" s="16">
        <f t="shared" si="20"/>
        <v>0</v>
      </c>
      <c r="E55" s="14">
        <f t="shared" si="20"/>
        <v>47750</v>
      </c>
      <c r="F55" s="15">
        <f t="shared" si="20"/>
        <v>6207.5</v>
      </c>
      <c r="G55" s="17">
        <f t="shared" si="20"/>
        <v>80000</v>
      </c>
      <c r="H55" s="18">
        <f t="shared" si="20"/>
        <v>8700</v>
      </c>
      <c r="I55" s="15">
        <f t="shared" si="20"/>
        <v>1131</v>
      </c>
      <c r="J55" s="16">
        <f t="shared" si="20"/>
        <v>0</v>
      </c>
      <c r="K55" s="19">
        <f t="shared" si="20"/>
        <v>279400</v>
      </c>
      <c r="L55" s="15">
        <f t="shared" si="10"/>
        <v>15000</v>
      </c>
      <c r="M55" s="15">
        <f t="shared" si="20"/>
        <v>80000</v>
      </c>
      <c r="N55" s="15">
        <f t="shared" si="20"/>
        <v>0</v>
      </c>
      <c r="O55" s="17">
        <f t="shared" si="11"/>
        <v>184400</v>
      </c>
    </row>
    <row r="56" spans="1:15" x14ac:dyDescent="0.35">
      <c r="A56" s="13" t="s">
        <v>26</v>
      </c>
      <c r="B56" s="14">
        <f t="shared" ref="B56:N56" si="21">B17</f>
        <v>175700</v>
      </c>
      <c r="C56" s="15">
        <f t="shared" si="21"/>
        <v>22841</v>
      </c>
      <c r="D56" s="16">
        <f t="shared" si="21"/>
        <v>170000</v>
      </c>
      <c r="E56" s="14">
        <f t="shared" si="21"/>
        <v>25850</v>
      </c>
      <c r="F56" s="15">
        <f t="shared" si="21"/>
        <v>3360.5</v>
      </c>
      <c r="G56" s="17">
        <f t="shared" si="21"/>
        <v>0</v>
      </c>
      <c r="H56" s="18">
        <f t="shared" si="21"/>
        <v>3500</v>
      </c>
      <c r="I56" s="15">
        <f t="shared" si="21"/>
        <v>455</v>
      </c>
      <c r="J56" s="16">
        <f t="shared" si="21"/>
        <v>0</v>
      </c>
      <c r="K56" s="19">
        <f t="shared" si="21"/>
        <v>205050</v>
      </c>
      <c r="L56" s="15">
        <f t="shared" si="10"/>
        <v>15000</v>
      </c>
      <c r="M56" s="15">
        <f t="shared" si="21"/>
        <v>170000</v>
      </c>
      <c r="N56" s="15">
        <f t="shared" si="21"/>
        <v>0</v>
      </c>
      <c r="O56" s="17">
        <f t="shared" si="11"/>
        <v>20050</v>
      </c>
    </row>
    <row r="57" spans="1:15" x14ac:dyDescent="0.35">
      <c r="A57" s="20" t="s">
        <v>27</v>
      </c>
      <c r="B57" s="14">
        <f t="shared" ref="B57:N57" si="22">B18</f>
        <v>127600</v>
      </c>
      <c r="C57" s="15">
        <f t="shared" si="22"/>
        <v>16588</v>
      </c>
      <c r="D57" s="16">
        <f t="shared" si="22"/>
        <v>17000</v>
      </c>
      <c r="E57" s="14">
        <f t="shared" si="22"/>
        <v>34450</v>
      </c>
      <c r="F57" s="15">
        <f t="shared" si="22"/>
        <v>4478.5</v>
      </c>
      <c r="G57" s="17">
        <f t="shared" si="22"/>
        <v>8000</v>
      </c>
      <c r="H57" s="18">
        <f t="shared" si="22"/>
        <v>5700</v>
      </c>
      <c r="I57" s="15">
        <f t="shared" si="22"/>
        <v>741</v>
      </c>
      <c r="J57" s="16">
        <f t="shared" si="22"/>
        <v>8000</v>
      </c>
      <c r="K57" s="19">
        <f t="shared" si="22"/>
        <v>167750</v>
      </c>
      <c r="L57" s="15">
        <f t="shared" si="10"/>
        <v>15000</v>
      </c>
      <c r="M57" s="15">
        <f t="shared" si="22"/>
        <v>33000</v>
      </c>
      <c r="N57" s="15">
        <f t="shared" si="22"/>
        <v>0</v>
      </c>
      <c r="O57" s="17">
        <f t="shared" si="11"/>
        <v>119750</v>
      </c>
    </row>
    <row r="58" spans="1:15" x14ac:dyDescent="0.35">
      <c r="A58" s="20" t="s">
        <v>28</v>
      </c>
      <c r="B58" s="14">
        <f t="shared" ref="B58:N58" si="23">B19</f>
        <v>175550</v>
      </c>
      <c r="C58" s="15">
        <f t="shared" si="23"/>
        <v>22821.5</v>
      </c>
      <c r="D58" s="16">
        <f t="shared" si="23"/>
        <v>340000</v>
      </c>
      <c r="E58" s="14">
        <f t="shared" si="23"/>
        <v>27350</v>
      </c>
      <c r="F58" s="15">
        <f t="shared" si="23"/>
        <v>3555.5</v>
      </c>
      <c r="G58" s="17">
        <f t="shared" si="23"/>
        <v>0</v>
      </c>
      <c r="H58" s="18">
        <f t="shared" si="23"/>
        <v>6700</v>
      </c>
      <c r="I58" s="15">
        <f t="shared" si="23"/>
        <v>871</v>
      </c>
      <c r="J58" s="16">
        <f t="shared" si="23"/>
        <v>0</v>
      </c>
      <c r="K58" s="19">
        <f t="shared" si="23"/>
        <v>209600</v>
      </c>
      <c r="L58" s="15">
        <f t="shared" si="10"/>
        <v>15000</v>
      </c>
      <c r="M58" s="15">
        <f t="shared" si="23"/>
        <v>340000</v>
      </c>
      <c r="N58" s="15">
        <f t="shared" si="23"/>
        <v>0</v>
      </c>
      <c r="O58" s="17">
        <f t="shared" si="11"/>
        <v>-145400</v>
      </c>
    </row>
    <row r="59" spans="1:15" x14ac:dyDescent="0.35">
      <c r="A59" s="13" t="s">
        <v>29</v>
      </c>
      <c r="B59" s="14">
        <f t="shared" ref="B59:N59" si="24">B20</f>
        <v>169150</v>
      </c>
      <c r="C59" s="15">
        <f t="shared" si="24"/>
        <v>21989.5</v>
      </c>
      <c r="D59" s="16">
        <f t="shared" si="24"/>
        <v>0</v>
      </c>
      <c r="E59" s="14">
        <f t="shared" si="24"/>
        <v>26400</v>
      </c>
      <c r="F59" s="15">
        <f t="shared" si="24"/>
        <v>3432</v>
      </c>
      <c r="G59" s="17">
        <f t="shared" si="24"/>
        <v>0</v>
      </c>
      <c r="H59" s="18">
        <f t="shared" si="24"/>
        <v>19000</v>
      </c>
      <c r="I59" s="15">
        <f t="shared" si="24"/>
        <v>2470</v>
      </c>
      <c r="J59" s="16">
        <f t="shared" si="24"/>
        <v>0</v>
      </c>
      <c r="K59" s="19">
        <f t="shared" si="24"/>
        <v>214550</v>
      </c>
      <c r="L59" s="15">
        <f t="shared" si="10"/>
        <v>15000</v>
      </c>
      <c r="M59" s="15">
        <f t="shared" si="24"/>
        <v>0</v>
      </c>
      <c r="N59" s="15">
        <f t="shared" si="24"/>
        <v>0</v>
      </c>
      <c r="O59" s="17">
        <f t="shared" si="11"/>
        <v>199550</v>
      </c>
    </row>
    <row r="60" spans="1:15" x14ac:dyDescent="0.35">
      <c r="A60" s="20" t="s">
        <v>30</v>
      </c>
      <c r="B60" s="14">
        <f t="shared" ref="B60:N60" si="25">B21</f>
        <v>166400</v>
      </c>
      <c r="C60" s="81">
        <f t="shared" si="25"/>
        <v>21632</v>
      </c>
      <c r="D60" s="82">
        <f t="shared" si="25"/>
        <v>25500</v>
      </c>
      <c r="E60" s="14">
        <f t="shared" si="25"/>
        <v>33800</v>
      </c>
      <c r="F60" s="81">
        <f t="shared" si="25"/>
        <v>4394</v>
      </c>
      <c r="G60" s="85">
        <f t="shared" si="25"/>
        <v>64000</v>
      </c>
      <c r="H60" s="19">
        <f t="shared" si="25"/>
        <v>5250</v>
      </c>
      <c r="I60" s="15">
        <f t="shared" si="25"/>
        <v>682.5</v>
      </c>
      <c r="J60" s="17">
        <f t="shared" si="25"/>
        <v>0</v>
      </c>
      <c r="K60" s="19">
        <f t="shared" si="25"/>
        <v>205450</v>
      </c>
      <c r="L60" s="15">
        <f t="shared" si="10"/>
        <v>15000</v>
      </c>
      <c r="M60" s="15">
        <f t="shared" si="25"/>
        <v>89500</v>
      </c>
      <c r="N60" s="15">
        <f t="shared" si="25"/>
        <v>0</v>
      </c>
      <c r="O60" s="17">
        <f t="shared" ref="O60:O61" si="26">+O20</f>
        <v>186650</v>
      </c>
    </row>
    <row r="61" spans="1:15" x14ac:dyDescent="0.35">
      <c r="A61" s="13" t="s">
        <v>31</v>
      </c>
      <c r="B61" s="14">
        <f t="shared" ref="B61:N61" si="27">B22</f>
        <v>225900</v>
      </c>
      <c r="C61" s="81">
        <f t="shared" si="27"/>
        <v>29367</v>
      </c>
      <c r="D61" s="82">
        <f t="shared" si="27"/>
        <v>238000</v>
      </c>
      <c r="E61" s="14">
        <f t="shared" si="27"/>
        <v>24700</v>
      </c>
      <c r="F61" s="81">
        <f t="shared" si="27"/>
        <v>3211</v>
      </c>
      <c r="G61" s="85">
        <f t="shared" si="27"/>
        <v>24000</v>
      </c>
      <c r="H61" s="19">
        <f t="shared" si="27"/>
        <v>500</v>
      </c>
      <c r="I61" s="15">
        <f t="shared" si="27"/>
        <v>65</v>
      </c>
      <c r="J61" s="17">
        <f t="shared" si="27"/>
        <v>0</v>
      </c>
      <c r="K61" s="19">
        <f t="shared" si="27"/>
        <v>251100</v>
      </c>
      <c r="L61" s="15">
        <f t="shared" si="10"/>
        <v>15000</v>
      </c>
      <c r="M61" s="15">
        <f t="shared" si="27"/>
        <v>262000</v>
      </c>
      <c r="N61" s="15">
        <f t="shared" si="27"/>
        <v>0</v>
      </c>
      <c r="O61" s="17">
        <f t="shared" si="26"/>
        <v>89250</v>
      </c>
    </row>
    <row r="62" spans="1:15" x14ac:dyDescent="0.35">
      <c r="A62" s="20" t="s">
        <v>32</v>
      </c>
      <c r="B62" s="14">
        <f t="shared" ref="B62:N62" si="28">B23</f>
        <v>321550</v>
      </c>
      <c r="C62" s="81">
        <f t="shared" si="28"/>
        <v>41801.5</v>
      </c>
      <c r="D62" s="82">
        <f t="shared" si="28"/>
        <v>399500</v>
      </c>
      <c r="E62" s="14">
        <f t="shared" si="28"/>
        <v>49950</v>
      </c>
      <c r="F62" s="81">
        <f t="shared" si="28"/>
        <v>6493.5</v>
      </c>
      <c r="G62" s="85">
        <f t="shared" si="28"/>
        <v>24000</v>
      </c>
      <c r="H62" s="19">
        <f t="shared" si="28"/>
        <v>8900</v>
      </c>
      <c r="I62" s="15">
        <f t="shared" si="28"/>
        <v>1157</v>
      </c>
      <c r="J62" s="17">
        <f t="shared" si="28"/>
        <v>0</v>
      </c>
      <c r="K62" s="19">
        <f t="shared" si="28"/>
        <v>380400</v>
      </c>
      <c r="L62" s="15">
        <f t="shared" si="10"/>
        <v>15000</v>
      </c>
      <c r="M62" s="15">
        <f t="shared" si="28"/>
        <v>423500</v>
      </c>
      <c r="N62" s="15">
        <f t="shared" si="28"/>
        <v>0</v>
      </c>
      <c r="O62" s="17">
        <f t="shared" ref="O62:O75" si="29">+O22</f>
        <v>-43550</v>
      </c>
    </row>
    <row r="63" spans="1:15" x14ac:dyDescent="0.35">
      <c r="A63" s="13" t="s">
        <v>33</v>
      </c>
      <c r="B63" s="14">
        <f t="shared" ref="B63:N63" si="30">B24</f>
        <v>228950</v>
      </c>
      <c r="C63" s="81">
        <f t="shared" si="30"/>
        <v>29763.5</v>
      </c>
      <c r="D63" s="82">
        <f t="shared" si="30"/>
        <v>556750</v>
      </c>
      <c r="E63" s="14">
        <f t="shared" si="30"/>
        <v>61350</v>
      </c>
      <c r="F63" s="81">
        <f t="shared" si="30"/>
        <v>7975.5</v>
      </c>
      <c r="G63" s="85">
        <f t="shared" si="30"/>
        <v>0</v>
      </c>
      <c r="H63" s="19">
        <f t="shared" si="30"/>
        <v>5700</v>
      </c>
      <c r="I63" s="15">
        <f t="shared" si="30"/>
        <v>741</v>
      </c>
      <c r="J63" s="17">
        <f t="shared" si="30"/>
        <v>0</v>
      </c>
      <c r="K63" s="19">
        <f t="shared" si="30"/>
        <v>296000</v>
      </c>
      <c r="L63" s="15">
        <f t="shared" si="10"/>
        <v>15000</v>
      </c>
      <c r="M63" s="15">
        <f t="shared" si="30"/>
        <v>556750</v>
      </c>
      <c r="N63" s="15">
        <f t="shared" si="30"/>
        <v>0</v>
      </c>
      <c r="O63" s="17">
        <f t="shared" si="29"/>
        <v>-92550</v>
      </c>
    </row>
    <row r="64" spans="1:15" x14ac:dyDescent="0.35">
      <c r="A64" s="20" t="s">
        <v>34</v>
      </c>
      <c r="B64" s="14">
        <f t="shared" ref="B64:N64" si="31">B25</f>
        <v>170200</v>
      </c>
      <c r="C64" s="81">
        <f t="shared" si="31"/>
        <v>22126</v>
      </c>
      <c r="D64" s="82">
        <f t="shared" si="31"/>
        <v>301750</v>
      </c>
      <c r="E64" s="14">
        <f t="shared" si="31"/>
        <v>39350</v>
      </c>
      <c r="F64" s="81">
        <f t="shared" si="31"/>
        <v>5115.5</v>
      </c>
      <c r="G64" s="85">
        <f t="shared" si="31"/>
        <v>124000</v>
      </c>
      <c r="H64" s="19">
        <f t="shared" si="31"/>
        <v>5750</v>
      </c>
      <c r="I64" s="15">
        <f t="shared" si="31"/>
        <v>747.5</v>
      </c>
      <c r="J64" s="17">
        <f t="shared" si="31"/>
        <v>0</v>
      </c>
      <c r="K64" s="19">
        <f t="shared" si="31"/>
        <v>215300</v>
      </c>
      <c r="L64" s="15">
        <f t="shared" si="10"/>
        <v>15000</v>
      </c>
      <c r="M64" s="15">
        <f t="shared" si="31"/>
        <v>425750</v>
      </c>
      <c r="N64" s="15">
        <f t="shared" si="31"/>
        <v>0</v>
      </c>
      <c r="O64" s="17">
        <f t="shared" si="29"/>
        <v>-299250</v>
      </c>
    </row>
    <row r="65" spans="1:15" x14ac:dyDescent="0.35">
      <c r="A65" s="13" t="s">
        <v>35</v>
      </c>
      <c r="B65" s="14">
        <f t="shared" ref="B65:N65" si="32">B26</f>
        <v>173000</v>
      </c>
      <c r="C65" s="81">
        <f t="shared" si="32"/>
        <v>22490</v>
      </c>
      <c r="D65" s="82">
        <f t="shared" si="32"/>
        <v>306000</v>
      </c>
      <c r="E65" s="14">
        <f t="shared" si="32"/>
        <v>28900</v>
      </c>
      <c r="F65" s="81">
        <f t="shared" si="32"/>
        <v>3757</v>
      </c>
      <c r="G65" s="85">
        <f t="shared" si="32"/>
        <v>8000</v>
      </c>
      <c r="H65" s="19">
        <f t="shared" si="32"/>
        <v>6750</v>
      </c>
      <c r="I65" s="15">
        <f t="shared" si="32"/>
        <v>877.5</v>
      </c>
      <c r="J65" s="17">
        <f t="shared" si="32"/>
        <v>20000</v>
      </c>
      <c r="K65" s="19">
        <f t="shared" si="32"/>
        <v>208650</v>
      </c>
      <c r="L65" s="15">
        <f t="shared" si="10"/>
        <v>15000</v>
      </c>
      <c r="M65" s="15">
        <f t="shared" si="32"/>
        <v>334000</v>
      </c>
      <c r="N65" s="15">
        <f t="shared" si="32"/>
        <v>0</v>
      </c>
      <c r="O65" s="17">
        <f t="shared" si="29"/>
        <v>-238450</v>
      </c>
    </row>
    <row r="66" spans="1:15" x14ac:dyDescent="0.35">
      <c r="A66" s="20" t="s">
        <v>36</v>
      </c>
      <c r="B66" s="14">
        <f t="shared" ref="B66:N66" si="33">B27</f>
        <v>206600</v>
      </c>
      <c r="C66" s="81">
        <f t="shared" si="33"/>
        <v>26858</v>
      </c>
      <c r="D66" s="82">
        <f t="shared" si="33"/>
        <v>140250</v>
      </c>
      <c r="E66" s="14">
        <f t="shared" si="33"/>
        <v>37550</v>
      </c>
      <c r="F66" s="81">
        <f t="shared" si="33"/>
        <v>4881.5</v>
      </c>
      <c r="G66" s="85">
        <f t="shared" si="33"/>
        <v>24000</v>
      </c>
      <c r="H66" s="19">
        <f t="shared" si="33"/>
        <v>7400</v>
      </c>
      <c r="I66" s="15">
        <f t="shared" si="33"/>
        <v>962</v>
      </c>
      <c r="J66" s="17">
        <f t="shared" si="33"/>
        <v>8000</v>
      </c>
      <c r="K66" s="19">
        <f t="shared" si="33"/>
        <v>251550</v>
      </c>
      <c r="L66" s="15">
        <f t="shared" si="10"/>
        <v>15000</v>
      </c>
      <c r="M66" s="15">
        <f t="shared" si="33"/>
        <v>172250</v>
      </c>
      <c r="N66" s="15">
        <f t="shared" si="33"/>
        <v>0</v>
      </c>
      <c r="O66" s="17">
        <f t="shared" si="29"/>
        <v>-152450</v>
      </c>
    </row>
    <row r="67" spans="1:15" x14ac:dyDescent="0.35">
      <c r="A67" s="13" t="s">
        <v>37</v>
      </c>
      <c r="B67" s="14">
        <f t="shared" ref="B67:N67" si="34">B28</f>
        <v>121300</v>
      </c>
      <c r="C67" s="81">
        <f t="shared" si="34"/>
        <v>15769</v>
      </c>
      <c r="D67" s="82">
        <f t="shared" si="34"/>
        <v>34000</v>
      </c>
      <c r="E67" s="14">
        <f t="shared" si="34"/>
        <v>27450</v>
      </c>
      <c r="F67" s="81">
        <f t="shared" si="34"/>
        <v>3568.5</v>
      </c>
      <c r="G67" s="85">
        <f t="shared" si="34"/>
        <v>16000</v>
      </c>
      <c r="H67" s="19">
        <f t="shared" si="34"/>
        <v>5150</v>
      </c>
      <c r="I67" s="15">
        <f t="shared" si="34"/>
        <v>669.5</v>
      </c>
      <c r="J67" s="17">
        <f t="shared" si="34"/>
        <v>8000</v>
      </c>
      <c r="K67" s="19">
        <f t="shared" si="34"/>
        <v>153900</v>
      </c>
      <c r="L67" s="15">
        <f t="shared" si="10"/>
        <v>15000</v>
      </c>
      <c r="M67" s="15">
        <f t="shared" si="34"/>
        <v>58000</v>
      </c>
      <c r="N67" s="15">
        <f t="shared" si="34"/>
        <v>0</v>
      </c>
      <c r="O67" s="17">
        <f t="shared" si="29"/>
        <v>46600</v>
      </c>
    </row>
    <row r="68" spans="1:15" x14ac:dyDescent="0.35">
      <c r="A68" s="20" t="s">
        <v>38</v>
      </c>
      <c r="B68" s="14">
        <f t="shared" ref="B68:N68" si="35">B29</f>
        <v>182700</v>
      </c>
      <c r="C68" s="81">
        <f t="shared" si="35"/>
        <v>23751</v>
      </c>
      <c r="D68" s="82">
        <f t="shared" si="35"/>
        <v>484500</v>
      </c>
      <c r="E68" s="14">
        <f t="shared" si="35"/>
        <v>31400</v>
      </c>
      <c r="F68" s="81">
        <f t="shared" si="35"/>
        <v>4082</v>
      </c>
      <c r="G68" s="85">
        <f t="shared" si="35"/>
        <v>40000</v>
      </c>
      <c r="H68" s="19">
        <f t="shared" si="35"/>
        <v>8950</v>
      </c>
      <c r="I68" s="15">
        <f t="shared" si="35"/>
        <v>1163.5</v>
      </c>
      <c r="J68" s="17">
        <f t="shared" si="35"/>
        <v>0</v>
      </c>
      <c r="K68" s="19">
        <f t="shared" si="35"/>
        <v>223050</v>
      </c>
      <c r="L68" s="15">
        <f t="shared" si="10"/>
        <v>15000</v>
      </c>
      <c r="M68" s="15">
        <f t="shared" si="35"/>
        <v>524500</v>
      </c>
      <c r="N68" s="15">
        <f t="shared" si="35"/>
        <v>0</v>
      </c>
      <c r="O68" s="17">
        <f t="shared" si="29"/>
        <v>75900</v>
      </c>
    </row>
    <row r="69" spans="1:15" x14ac:dyDescent="0.35">
      <c r="A69" s="13" t="s">
        <v>39</v>
      </c>
      <c r="B69" s="14">
        <f t="shared" ref="B69:N69" si="36">B30</f>
        <v>291550</v>
      </c>
      <c r="C69" s="81">
        <f t="shared" si="36"/>
        <v>37901.5</v>
      </c>
      <c r="D69" s="82">
        <f t="shared" si="36"/>
        <v>114750</v>
      </c>
      <c r="E69" s="14">
        <f t="shared" si="36"/>
        <v>67000</v>
      </c>
      <c r="F69" s="81">
        <f t="shared" si="36"/>
        <v>8710</v>
      </c>
      <c r="G69" s="85">
        <f t="shared" si="36"/>
        <v>0</v>
      </c>
      <c r="H69" s="19">
        <f t="shared" si="36"/>
        <v>16600</v>
      </c>
      <c r="I69" s="15">
        <f t="shared" si="36"/>
        <v>2158</v>
      </c>
      <c r="J69" s="17">
        <f t="shared" si="36"/>
        <v>0</v>
      </c>
      <c r="K69" s="19">
        <f t="shared" si="36"/>
        <v>375150</v>
      </c>
      <c r="L69" s="15">
        <f t="shared" si="10"/>
        <v>15000</v>
      </c>
      <c r="M69" s="15">
        <f t="shared" si="36"/>
        <v>114750</v>
      </c>
      <c r="N69" s="15">
        <f t="shared" si="36"/>
        <v>0</v>
      </c>
      <c r="O69" s="17">
        <f t="shared" si="29"/>
        <v>-330450</v>
      </c>
    </row>
    <row r="70" spans="1:15" x14ac:dyDescent="0.35">
      <c r="A70" s="20" t="s">
        <v>40</v>
      </c>
      <c r="B70" s="14">
        <f t="shared" ref="B70:N70" si="37">B31</f>
        <v>249700</v>
      </c>
      <c r="C70" s="81">
        <f t="shared" si="37"/>
        <v>32461</v>
      </c>
      <c r="D70" s="82">
        <f t="shared" si="37"/>
        <v>178500</v>
      </c>
      <c r="E70" s="14">
        <f t="shared" si="37"/>
        <v>46900</v>
      </c>
      <c r="F70" s="81">
        <f t="shared" si="37"/>
        <v>6097</v>
      </c>
      <c r="G70" s="85">
        <f t="shared" si="37"/>
        <v>200000</v>
      </c>
      <c r="H70" s="19">
        <f t="shared" si="37"/>
        <v>8850</v>
      </c>
      <c r="I70" s="15">
        <f t="shared" si="37"/>
        <v>1150.5</v>
      </c>
      <c r="J70" s="17">
        <f t="shared" si="37"/>
        <v>0</v>
      </c>
      <c r="K70" s="19">
        <f t="shared" si="37"/>
        <v>305450</v>
      </c>
      <c r="L70" s="15">
        <f t="shared" si="10"/>
        <v>15000</v>
      </c>
      <c r="M70" s="15">
        <f t="shared" si="37"/>
        <v>378500</v>
      </c>
      <c r="N70" s="15">
        <f t="shared" si="37"/>
        <v>0</v>
      </c>
      <c r="O70" s="17">
        <f t="shared" si="29"/>
        <v>211650</v>
      </c>
    </row>
    <row r="71" spans="1:15" x14ac:dyDescent="0.35">
      <c r="A71" s="20" t="s">
        <v>41</v>
      </c>
      <c r="B71" s="14">
        <f t="shared" ref="B71:N71" si="38">B32</f>
        <v>197050</v>
      </c>
      <c r="C71" s="81">
        <f t="shared" si="38"/>
        <v>25616.5</v>
      </c>
      <c r="D71" s="82">
        <f t="shared" si="38"/>
        <v>284750</v>
      </c>
      <c r="E71" s="14">
        <f t="shared" si="38"/>
        <v>91300</v>
      </c>
      <c r="F71" s="81">
        <f t="shared" si="38"/>
        <v>11869</v>
      </c>
      <c r="G71" s="85">
        <f t="shared" si="38"/>
        <v>8000</v>
      </c>
      <c r="H71" s="19">
        <f t="shared" si="38"/>
        <v>10800</v>
      </c>
      <c r="I71" s="15">
        <f t="shared" si="38"/>
        <v>1404</v>
      </c>
      <c r="J71" s="17">
        <f t="shared" si="38"/>
        <v>16000</v>
      </c>
      <c r="K71" s="19">
        <f t="shared" si="38"/>
        <v>299150</v>
      </c>
      <c r="L71" s="15">
        <f t="shared" si="10"/>
        <v>15000</v>
      </c>
      <c r="M71" s="15">
        <f t="shared" si="38"/>
        <v>308750</v>
      </c>
      <c r="N71" s="15">
        <f t="shared" si="38"/>
        <v>0</v>
      </c>
      <c r="O71" s="17">
        <f t="shared" si="29"/>
        <v>-112750</v>
      </c>
    </row>
    <row r="72" spans="1:15" x14ac:dyDescent="0.35">
      <c r="A72" s="13" t="s">
        <v>42</v>
      </c>
      <c r="B72" s="14">
        <f t="shared" ref="B72:N72" si="39">B33</f>
        <v>190050</v>
      </c>
      <c r="C72" s="81">
        <f t="shared" si="39"/>
        <v>24706.5</v>
      </c>
      <c r="D72" s="82">
        <f t="shared" si="39"/>
        <v>72250</v>
      </c>
      <c r="E72" s="14">
        <f t="shared" si="39"/>
        <v>40900</v>
      </c>
      <c r="F72" s="81">
        <f t="shared" si="39"/>
        <v>5317</v>
      </c>
      <c r="G72" s="85">
        <f t="shared" si="39"/>
        <v>0</v>
      </c>
      <c r="H72" s="19">
        <f t="shared" si="39"/>
        <v>10800</v>
      </c>
      <c r="I72" s="15">
        <f t="shared" si="39"/>
        <v>1404</v>
      </c>
      <c r="J72" s="17">
        <f t="shared" si="39"/>
        <v>0</v>
      </c>
      <c r="K72" s="19">
        <f t="shared" si="39"/>
        <v>241750</v>
      </c>
      <c r="L72" s="15">
        <f t="shared" si="10"/>
        <v>15000</v>
      </c>
      <c r="M72" s="15">
        <f t="shared" si="39"/>
        <v>72250</v>
      </c>
      <c r="N72" s="15">
        <f t="shared" si="39"/>
        <v>0</v>
      </c>
      <c r="O72" s="17">
        <f t="shared" si="29"/>
        <v>-48500</v>
      </c>
    </row>
    <row r="73" spans="1:15" x14ac:dyDescent="0.35">
      <c r="A73" s="20" t="s">
        <v>43</v>
      </c>
      <c r="B73" s="14">
        <f t="shared" ref="B73:N73" si="40">B34</f>
        <v>188150</v>
      </c>
      <c r="C73" s="81">
        <f t="shared" si="40"/>
        <v>24459.5</v>
      </c>
      <c r="D73" s="82">
        <f t="shared" si="40"/>
        <v>76500</v>
      </c>
      <c r="E73" s="14">
        <f t="shared" si="40"/>
        <v>22600</v>
      </c>
      <c r="F73" s="81">
        <f t="shared" si="40"/>
        <v>2938</v>
      </c>
      <c r="G73" s="85">
        <f t="shared" si="40"/>
        <v>0</v>
      </c>
      <c r="H73" s="19">
        <f t="shared" si="40"/>
        <v>5000</v>
      </c>
      <c r="I73" s="15">
        <f t="shared" si="40"/>
        <v>650</v>
      </c>
      <c r="J73" s="17">
        <f t="shared" si="40"/>
        <v>0</v>
      </c>
      <c r="K73" s="19">
        <f t="shared" si="40"/>
        <v>215750</v>
      </c>
      <c r="L73" s="15">
        <f t="shared" si="10"/>
        <v>15000</v>
      </c>
      <c r="M73" s="15">
        <f t="shared" si="40"/>
        <v>76500</v>
      </c>
      <c r="N73" s="15">
        <f t="shared" si="40"/>
        <v>0</v>
      </c>
      <c r="O73" s="17">
        <f t="shared" si="29"/>
        <v>138050</v>
      </c>
    </row>
    <row r="74" spans="1:15" x14ac:dyDescent="0.35">
      <c r="A74" s="13" t="s">
        <v>44</v>
      </c>
      <c r="B74" s="14">
        <f t="shared" ref="B74:N74" si="41">B35</f>
        <v>168750</v>
      </c>
      <c r="C74" s="81">
        <f t="shared" si="41"/>
        <v>21937.5</v>
      </c>
      <c r="D74" s="82">
        <f t="shared" si="41"/>
        <v>72250</v>
      </c>
      <c r="E74" s="14">
        <f t="shared" si="41"/>
        <v>39250</v>
      </c>
      <c r="F74" s="81">
        <f t="shared" si="41"/>
        <v>5102.5</v>
      </c>
      <c r="G74" s="85">
        <f t="shared" si="41"/>
        <v>24000</v>
      </c>
      <c r="H74" s="19">
        <f t="shared" si="41"/>
        <v>7000</v>
      </c>
      <c r="I74" s="15">
        <f t="shared" si="41"/>
        <v>910</v>
      </c>
      <c r="J74" s="17">
        <f t="shared" si="41"/>
        <v>0</v>
      </c>
      <c r="K74" s="19">
        <f t="shared" si="41"/>
        <v>215000</v>
      </c>
      <c r="L74" s="15">
        <f t="shared" si="10"/>
        <v>15000</v>
      </c>
      <c r="M74" s="15">
        <f t="shared" si="41"/>
        <v>96250</v>
      </c>
      <c r="N74" s="15">
        <f t="shared" si="41"/>
        <v>0</v>
      </c>
      <c r="O74" s="17">
        <f t="shared" si="29"/>
        <v>111200</v>
      </c>
    </row>
    <row r="75" spans="1:15" ht="15" thickBot="1" x14ac:dyDescent="0.4">
      <c r="A75" s="20" t="s">
        <v>45</v>
      </c>
      <c r="B75" s="21">
        <f t="shared" ref="B75:N75" si="42">B36</f>
        <v>252300</v>
      </c>
      <c r="C75" s="83">
        <f t="shared" si="42"/>
        <v>32799</v>
      </c>
      <c r="D75" s="84">
        <f t="shared" si="42"/>
        <v>93500</v>
      </c>
      <c r="E75" s="21">
        <f t="shared" si="42"/>
        <v>56050</v>
      </c>
      <c r="F75" s="83">
        <f t="shared" si="42"/>
        <v>7286.5</v>
      </c>
      <c r="G75" s="86">
        <f t="shared" si="42"/>
        <v>16000</v>
      </c>
      <c r="H75" s="26">
        <f t="shared" si="42"/>
        <v>7500</v>
      </c>
      <c r="I75" s="22">
        <f t="shared" si="42"/>
        <v>975</v>
      </c>
      <c r="J75" s="24">
        <f t="shared" si="42"/>
        <v>0</v>
      </c>
      <c r="K75" s="26">
        <f t="shared" si="42"/>
        <v>315850</v>
      </c>
      <c r="L75" s="22">
        <f t="shared" si="10"/>
        <v>15000</v>
      </c>
      <c r="M75" s="22">
        <f t="shared" si="42"/>
        <v>109500</v>
      </c>
      <c r="N75" s="22">
        <f t="shared" si="42"/>
        <v>0</v>
      </c>
      <c r="O75" s="24">
        <f t="shared" si="29"/>
        <v>90800</v>
      </c>
    </row>
    <row r="76" spans="1:15" ht="16" thickBot="1" x14ac:dyDescent="0.4">
      <c r="A76" s="5" t="s">
        <v>46</v>
      </c>
      <c r="B76" s="27">
        <f t="shared" ref="B76:N76" si="43">SUM(B44:B75)</f>
        <v>6064575</v>
      </c>
      <c r="C76" s="28">
        <f t="shared" si="43"/>
        <v>788394.75</v>
      </c>
      <c r="D76" s="29">
        <f t="shared" si="43"/>
        <v>5512250</v>
      </c>
      <c r="E76" s="30">
        <f t="shared" si="43"/>
        <v>1260900</v>
      </c>
      <c r="F76" s="28">
        <f t="shared" si="43"/>
        <v>163917</v>
      </c>
      <c r="G76" s="31">
        <f t="shared" si="43"/>
        <v>904000</v>
      </c>
      <c r="H76" s="27">
        <f t="shared" si="43"/>
        <v>268900</v>
      </c>
      <c r="I76" s="28">
        <f t="shared" si="43"/>
        <v>34957</v>
      </c>
      <c r="J76" s="29">
        <f t="shared" si="43"/>
        <v>116000</v>
      </c>
      <c r="K76" s="60">
        <f t="shared" si="43"/>
        <v>7594375</v>
      </c>
      <c r="L76" s="32">
        <f t="shared" si="43"/>
        <v>465000</v>
      </c>
      <c r="M76" s="32">
        <f t="shared" si="43"/>
        <v>6532250</v>
      </c>
      <c r="N76" s="32">
        <f t="shared" si="43"/>
        <v>0</v>
      </c>
      <c r="O76" s="33">
        <f>SUM(O44:O75)</f>
        <v>318525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3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54</v>
      </c>
      <c r="C2" s="142"/>
      <c r="D2" s="142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[11]Vendedor2!$J$4</f>
        <v>184300</v>
      </c>
      <c r="C6" s="81">
        <f>[11]Vendedor2!$K$4</f>
        <v>23959</v>
      </c>
      <c r="D6" s="82">
        <f>[11]Vendedor2!$L$4</f>
        <v>38250</v>
      </c>
      <c r="E6" s="14">
        <f>[11]Vendedor2!$J$5</f>
        <v>30400</v>
      </c>
      <c r="F6" s="81">
        <f>[11]Vendedor2!$K$5</f>
        <v>3952</v>
      </c>
      <c r="G6" s="85">
        <f>[11]Vendedor2!$L$5</f>
        <v>0</v>
      </c>
      <c r="H6" s="19">
        <f>[11]Vendedor2!$J$6</f>
        <v>2450</v>
      </c>
      <c r="I6" s="15">
        <f>[11]Vendedor2!$K$6</f>
        <v>318.5</v>
      </c>
      <c r="J6" s="17">
        <f>[11]Vendedor2!$L$6</f>
        <v>0</v>
      </c>
      <c r="K6" s="19">
        <f t="shared" ref="K6:K20" si="1">+B6+E6+H6</f>
        <v>217150</v>
      </c>
      <c r="L6" s="15">
        <f t="shared" ref="L6:L20" si="2">MROUND(C6+F6+I6,50)</f>
        <v>28250</v>
      </c>
      <c r="M6" s="15">
        <f t="shared" ref="M6:M20" si="3">+D6+G6+J6</f>
        <v>38250</v>
      </c>
      <c r="N6" s="15">
        <v>0</v>
      </c>
      <c r="O6" s="17">
        <f t="shared" si="0"/>
        <v>150650</v>
      </c>
    </row>
    <row r="7" spans="1:15" x14ac:dyDescent="0.35">
      <c r="A7" s="20" t="s">
        <v>50</v>
      </c>
      <c r="B7" s="14">
        <f>[12]Vendedor2!$J$4</f>
        <v>195400</v>
      </c>
      <c r="C7" s="81">
        <f>[12]Vendedor2!$K$4</f>
        <v>25402</v>
      </c>
      <c r="D7" s="82">
        <f>[12]Vendedor2!$L$4</f>
        <v>110500</v>
      </c>
      <c r="E7" s="14">
        <f>[12]Vendedor2!$J$5</f>
        <v>18650</v>
      </c>
      <c r="F7" s="81">
        <f>[12]Vendedor2!$K$5</f>
        <v>2424.5</v>
      </c>
      <c r="G7" s="85">
        <f>[12]Vendedor2!$L$5</f>
        <v>80000</v>
      </c>
      <c r="H7" s="19">
        <f>[12]Vendedor2!$J$6</f>
        <v>5300</v>
      </c>
      <c r="I7" s="15">
        <f>[12]Vendedor2!$K$6</f>
        <v>689</v>
      </c>
      <c r="J7" s="17">
        <f>[12]Vendedor2!$L$6</f>
        <v>0</v>
      </c>
      <c r="K7" s="19">
        <f t="shared" si="1"/>
        <v>219350</v>
      </c>
      <c r="L7" s="15">
        <f t="shared" si="2"/>
        <v>28500</v>
      </c>
      <c r="M7" s="15">
        <f t="shared" si="3"/>
        <v>190500</v>
      </c>
      <c r="N7" s="15">
        <v>0</v>
      </c>
      <c r="O7" s="17">
        <f t="shared" si="0"/>
        <v>350</v>
      </c>
    </row>
    <row r="8" spans="1:15" x14ac:dyDescent="0.35">
      <c r="A8" s="20" t="s">
        <v>51</v>
      </c>
      <c r="B8" s="14">
        <f>[13]Vendedor2!$J$4</f>
        <v>163450</v>
      </c>
      <c r="C8" s="81">
        <f>[13]Vendedor2!$K$4</f>
        <v>21248.5</v>
      </c>
      <c r="D8" s="82">
        <f>[13]Vendedor2!$L$4</f>
        <v>178500</v>
      </c>
      <c r="E8" s="14">
        <f>[13]Vendedor2!$J$5</f>
        <v>13450</v>
      </c>
      <c r="F8" s="81">
        <f>[13]Vendedor2!$K$5</f>
        <v>1748.5</v>
      </c>
      <c r="G8" s="85">
        <f>[13]Vendedor2!$L$5</f>
        <v>40000</v>
      </c>
      <c r="H8" s="19">
        <f>[13]Vendedor2!$J$6</f>
        <v>0</v>
      </c>
      <c r="I8" s="15">
        <f>[13]Vendedor2!$K$6</f>
        <v>0</v>
      </c>
      <c r="J8" s="17">
        <f>[13]Vendedor2!$L$6</f>
        <v>0</v>
      </c>
      <c r="K8" s="19">
        <f t="shared" si="1"/>
        <v>176900</v>
      </c>
      <c r="L8" s="15">
        <f t="shared" si="2"/>
        <v>23000</v>
      </c>
      <c r="M8" s="15">
        <f t="shared" si="3"/>
        <v>218500</v>
      </c>
      <c r="N8" s="15">
        <v>0</v>
      </c>
      <c r="O8" s="17">
        <f t="shared" si="0"/>
        <v>-64600</v>
      </c>
    </row>
    <row r="9" spans="1:15" x14ac:dyDescent="0.35">
      <c r="A9" s="20" t="s">
        <v>52</v>
      </c>
      <c r="B9" s="14">
        <f>[14]Vendedor2!$J$4</f>
        <v>197350</v>
      </c>
      <c r="C9" s="81">
        <f>[14]Vendedor2!$K$4</f>
        <v>25655.5</v>
      </c>
      <c r="D9" s="82">
        <f>[14]Vendedor2!$L$4</f>
        <v>165750</v>
      </c>
      <c r="E9" s="14">
        <f>[14]Vendedor2!$J$5</f>
        <v>31100</v>
      </c>
      <c r="F9" s="81">
        <f>[14]Vendedor2!$K$5</f>
        <v>4043</v>
      </c>
      <c r="G9" s="85">
        <f>[14]Vendedor2!$L$5</f>
        <v>16000</v>
      </c>
      <c r="H9" s="19">
        <f>[14]Vendedor2!$J$6</f>
        <v>1100</v>
      </c>
      <c r="I9" s="15">
        <f>[14]Vendedor2!$K$6</f>
        <v>143</v>
      </c>
      <c r="J9" s="17">
        <f>[14]Vendedor2!$L$6</f>
        <v>0</v>
      </c>
      <c r="K9" s="19">
        <f t="shared" si="1"/>
        <v>229550</v>
      </c>
      <c r="L9" s="15">
        <f t="shared" si="2"/>
        <v>29850</v>
      </c>
      <c r="M9" s="15">
        <f t="shared" si="3"/>
        <v>181750</v>
      </c>
      <c r="N9" s="15">
        <v>0</v>
      </c>
      <c r="O9" s="17">
        <f t="shared" si="0"/>
        <v>17950</v>
      </c>
    </row>
    <row r="10" spans="1:15" x14ac:dyDescent="0.35">
      <c r="A10" s="20" t="s">
        <v>53</v>
      </c>
      <c r="B10" s="14">
        <f>[15]Vendedor2!$J$4</f>
        <v>179250</v>
      </c>
      <c r="C10" s="81">
        <f>[15]Vendedor2!$K$4</f>
        <v>23302.5</v>
      </c>
      <c r="D10" s="82">
        <f>[15]Vendedor2!$L$4</f>
        <v>170000</v>
      </c>
      <c r="E10" s="14">
        <f>[15]Vendedor2!$J$5</f>
        <v>20450</v>
      </c>
      <c r="F10" s="81">
        <f>[15]Vendedor2!$K$5</f>
        <v>2658.5</v>
      </c>
      <c r="G10" s="85">
        <f>[15]Vendedor2!$L$5</f>
        <v>0</v>
      </c>
      <c r="H10" s="19">
        <f>[15]Vendedor2!$J$6</f>
        <v>8750</v>
      </c>
      <c r="I10" s="15">
        <f>[15]Vendedor2!$K$6</f>
        <v>1137.5</v>
      </c>
      <c r="J10" s="17">
        <f>[15]Vendedor2!$L$6</f>
        <v>0</v>
      </c>
      <c r="K10" s="19">
        <f t="shared" si="1"/>
        <v>208450</v>
      </c>
      <c r="L10" s="15">
        <f t="shared" si="2"/>
        <v>27100</v>
      </c>
      <c r="M10" s="15">
        <f t="shared" si="3"/>
        <v>170000</v>
      </c>
      <c r="N10" s="15">
        <v>0</v>
      </c>
      <c r="O10" s="17">
        <f t="shared" si="0"/>
        <v>11350</v>
      </c>
    </row>
    <row r="11" spans="1:15" x14ac:dyDescent="0.35">
      <c r="A11" s="20" t="s">
        <v>20</v>
      </c>
      <c r="B11" s="14">
        <f>[16]Vendedor2!$J$4</f>
        <v>186450</v>
      </c>
      <c r="C11" s="81">
        <f>[16]Vendedor2!$K$4</f>
        <v>24238.5</v>
      </c>
      <c r="D11" s="82">
        <f>[16]Vendedor2!$L$4</f>
        <v>29750</v>
      </c>
      <c r="E11" s="14">
        <f>[16]Vendedor2!$J$5</f>
        <v>21600</v>
      </c>
      <c r="F11" s="81">
        <f>[16]Vendedor2!$K$5</f>
        <v>2808</v>
      </c>
      <c r="G11" s="85">
        <f>[16]Vendedor2!$L$5</f>
        <v>0</v>
      </c>
      <c r="H11" s="19">
        <f>[16]Vendedor2!$J$6</f>
        <v>0</v>
      </c>
      <c r="I11" s="15">
        <f>[16]Vendedor2!$K$6</f>
        <v>0</v>
      </c>
      <c r="J11" s="17">
        <f>[16]Vendedor2!$L$6</f>
        <v>0</v>
      </c>
      <c r="K11" s="19">
        <f t="shared" si="1"/>
        <v>208050</v>
      </c>
      <c r="L11" s="15">
        <f t="shared" si="2"/>
        <v>27050</v>
      </c>
      <c r="M11" s="15">
        <f t="shared" si="3"/>
        <v>29750</v>
      </c>
      <c r="N11" s="15">
        <v>0</v>
      </c>
      <c r="O11" s="17">
        <f t="shared" si="0"/>
        <v>151250</v>
      </c>
    </row>
    <row r="12" spans="1:15" x14ac:dyDescent="0.35">
      <c r="A12" s="20" t="s">
        <v>21</v>
      </c>
      <c r="B12" s="14">
        <f>[17]Vendedor2!$J$4</f>
        <v>148850</v>
      </c>
      <c r="C12" s="81">
        <f>[17]Vendedor2!$K$4</f>
        <v>19350.5</v>
      </c>
      <c r="D12" s="82">
        <f>[17]Vendedor2!$L$4</f>
        <v>191250</v>
      </c>
      <c r="E12" s="14">
        <f>[17]Vendedor2!$J$5</f>
        <v>21250</v>
      </c>
      <c r="F12" s="81">
        <f>[17]Vendedor2!$K$5</f>
        <v>2762.5</v>
      </c>
      <c r="G12" s="85">
        <f>[17]Vendedor2!$L$5</f>
        <v>0</v>
      </c>
      <c r="H12" s="19">
        <f>[17]Vendedor2!$J$6</f>
        <v>250</v>
      </c>
      <c r="I12" s="15">
        <f>[17]Vendedor2!$K$6</f>
        <v>32.5</v>
      </c>
      <c r="J12" s="17">
        <f>[17]Vendedor2!$L$6</f>
        <v>0</v>
      </c>
      <c r="K12" s="19">
        <f t="shared" si="1"/>
        <v>170350</v>
      </c>
      <c r="L12" s="15">
        <f t="shared" si="2"/>
        <v>22150</v>
      </c>
      <c r="M12" s="15">
        <f t="shared" si="3"/>
        <v>191250</v>
      </c>
      <c r="N12" s="15">
        <v>0</v>
      </c>
      <c r="O12" s="17">
        <f t="shared" si="0"/>
        <v>-43050</v>
      </c>
    </row>
    <row r="13" spans="1:15" x14ac:dyDescent="0.35">
      <c r="A13" s="20" t="s">
        <v>22</v>
      </c>
      <c r="B13" s="14">
        <f>[18]Vendedor2!$J$4</f>
        <v>155950</v>
      </c>
      <c r="C13" s="81">
        <f>[18]Vendedor2!$K$4</f>
        <v>20273.5</v>
      </c>
      <c r="D13" s="82">
        <f>[18]Vendedor2!$L$4</f>
        <v>437750</v>
      </c>
      <c r="E13" s="14">
        <f>[18]Vendedor2!$J$5</f>
        <v>34800</v>
      </c>
      <c r="F13" s="81">
        <f>[18]Vendedor2!$K$5</f>
        <v>4524</v>
      </c>
      <c r="G13" s="85">
        <f>[18]Vendedor2!$L$5</f>
        <v>0</v>
      </c>
      <c r="H13" s="19">
        <f>[18]Vendedor2!$J$6</f>
        <v>1800</v>
      </c>
      <c r="I13" s="15">
        <f>[18]Vendedor2!$K$6</f>
        <v>234</v>
      </c>
      <c r="J13" s="17">
        <f>[18]Vendedor2!$L$6</f>
        <v>0</v>
      </c>
      <c r="K13" s="19">
        <f t="shared" si="1"/>
        <v>192550</v>
      </c>
      <c r="L13" s="15">
        <f t="shared" si="2"/>
        <v>25050</v>
      </c>
      <c r="M13" s="15">
        <f t="shared" si="3"/>
        <v>437750</v>
      </c>
      <c r="N13" s="15">
        <v>0</v>
      </c>
      <c r="O13" s="17">
        <f t="shared" si="0"/>
        <v>-270250</v>
      </c>
    </row>
    <row r="14" spans="1:15" x14ac:dyDescent="0.35">
      <c r="A14" s="20" t="s">
        <v>23</v>
      </c>
      <c r="B14" s="14">
        <f>[19]Vendedor2!$J$4</f>
        <v>129150</v>
      </c>
      <c r="C14" s="81">
        <f>[19]Vendedor2!$K$4</f>
        <v>16789.5</v>
      </c>
      <c r="D14" s="82">
        <f>[19]Vendedor2!$L$4</f>
        <v>161500</v>
      </c>
      <c r="E14" s="14">
        <f>[19]Vendedor2!$J$5</f>
        <v>30500</v>
      </c>
      <c r="F14" s="81">
        <f>[19]Vendedor2!$K$5</f>
        <v>3965</v>
      </c>
      <c r="G14" s="85">
        <f>[19]Vendedor2!$L$5</f>
        <v>40000</v>
      </c>
      <c r="H14" s="19">
        <f>[19]Vendedor2!$J$6</f>
        <v>0</v>
      </c>
      <c r="I14" s="15">
        <f>[19]Vendedor2!$K$6</f>
        <v>0</v>
      </c>
      <c r="J14" s="17">
        <f>[19]Vendedor2!$L$6</f>
        <v>0</v>
      </c>
      <c r="K14" s="19">
        <f t="shared" si="1"/>
        <v>159650</v>
      </c>
      <c r="L14" s="15">
        <f t="shared" si="2"/>
        <v>20750</v>
      </c>
      <c r="M14" s="15">
        <f t="shared" si="3"/>
        <v>201500</v>
      </c>
      <c r="N14" s="15">
        <v>0</v>
      </c>
      <c r="O14" s="17">
        <f t="shared" si="0"/>
        <v>-62600</v>
      </c>
    </row>
    <row r="15" spans="1:15" x14ac:dyDescent="0.35">
      <c r="A15" s="20" t="s">
        <v>24</v>
      </c>
      <c r="B15" s="14">
        <f>[20]Vendedor2!$J$4</f>
        <v>207000</v>
      </c>
      <c r="C15" s="81">
        <f>[20]Vendedor2!$K$4</f>
        <v>26910</v>
      </c>
      <c r="D15" s="82">
        <f>[20]Vendedor2!$L$4</f>
        <v>21250</v>
      </c>
      <c r="E15" s="14">
        <f>[20]Vendedor2!$J$5</f>
        <v>26400</v>
      </c>
      <c r="F15" s="81">
        <f>[20]Vendedor2!$K$5</f>
        <v>3432</v>
      </c>
      <c r="G15" s="85">
        <f>[20]Vendedor2!$L$5</f>
        <v>0</v>
      </c>
      <c r="H15" s="19">
        <f>[20]Vendedor2!$J$6</f>
        <v>3000</v>
      </c>
      <c r="I15" s="15">
        <f>[20]Vendedor2!$K$6</f>
        <v>390</v>
      </c>
      <c r="J15" s="17">
        <f>[20]Vendedor2!$L$6</f>
        <v>0</v>
      </c>
      <c r="K15" s="19">
        <f t="shared" si="1"/>
        <v>236400</v>
      </c>
      <c r="L15" s="15">
        <f t="shared" si="2"/>
        <v>30750</v>
      </c>
      <c r="M15" s="15">
        <f t="shared" si="3"/>
        <v>21250</v>
      </c>
      <c r="N15" s="15">
        <v>0</v>
      </c>
      <c r="O15" s="17">
        <f t="shared" si="0"/>
        <v>184400</v>
      </c>
    </row>
    <row r="16" spans="1:15" x14ac:dyDescent="0.35">
      <c r="A16" s="20" t="s">
        <v>25</v>
      </c>
      <c r="B16" s="14">
        <f>[21]Vendedor2!$J$4</f>
        <v>246600</v>
      </c>
      <c r="C16" s="81">
        <f>[21]Vendedor2!$K$4</f>
        <v>32058</v>
      </c>
      <c r="D16" s="82">
        <f>[21]Vendedor2!$L$4</f>
        <v>42500</v>
      </c>
      <c r="E16" s="14">
        <f>[21]Vendedor2!$J$5</f>
        <v>45850</v>
      </c>
      <c r="F16" s="81">
        <f>[21]Vendedor2!$K$5</f>
        <v>5960.5</v>
      </c>
      <c r="G16" s="85">
        <f>[21]Vendedor2!$L$5</f>
        <v>160000</v>
      </c>
      <c r="H16" s="19">
        <f>[21]Vendedor2!$J$6</f>
        <v>700</v>
      </c>
      <c r="I16" s="15">
        <f>[21]Vendedor2!$K$6</f>
        <v>91</v>
      </c>
      <c r="J16" s="17">
        <f>[21]Vendedor2!$L$6</f>
        <v>0</v>
      </c>
      <c r="K16" s="19">
        <f t="shared" si="1"/>
        <v>293150</v>
      </c>
      <c r="L16" s="15">
        <f t="shared" si="2"/>
        <v>38100</v>
      </c>
      <c r="M16" s="15">
        <f t="shared" si="3"/>
        <v>202500</v>
      </c>
      <c r="N16" s="15">
        <v>0</v>
      </c>
      <c r="O16" s="17">
        <f t="shared" si="0"/>
        <v>52550</v>
      </c>
    </row>
    <row r="17" spans="1:15" x14ac:dyDescent="0.35">
      <c r="A17" s="20" t="s">
        <v>26</v>
      </c>
      <c r="B17" s="14">
        <f>[22]Vendedor2!$J$4</f>
        <v>192950</v>
      </c>
      <c r="C17" s="81">
        <f>[22]Vendedor2!$K$4</f>
        <v>25083.5</v>
      </c>
      <c r="D17" s="82">
        <f>[22]Vendedor2!$L$4</f>
        <v>357000</v>
      </c>
      <c r="E17" s="14">
        <f>[22]Vendedor2!$J$5</f>
        <v>25500</v>
      </c>
      <c r="F17" s="81">
        <f>[22]Vendedor2!$K$5</f>
        <v>3315</v>
      </c>
      <c r="G17" s="85">
        <f>[22]Vendedor2!$L$5</f>
        <v>0</v>
      </c>
      <c r="H17" s="19">
        <f>[22]Vendedor2!$J$6</f>
        <v>6200</v>
      </c>
      <c r="I17" s="15">
        <f>[22]Vendedor2!$K$6</f>
        <v>806</v>
      </c>
      <c r="J17" s="17">
        <f>[22]Vendedor2!$L$6</f>
        <v>0</v>
      </c>
      <c r="K17" s="19">
        <f t="shared" si="1"/>
        <v>224650</v>
      </c>
      <c r="L17" s="15">
        <f t="shared" si="2"/>
        <v>29200</v>
      </c>
      <c r="M17" s="15">
        <f t="shared" si="3"/>
        <v>357000</v>
      </c>
      <c r="N17" s="15">
        <v>0</v>
      </c>
      <c r="O17" s="17">
        <f t="shared" si="0"/>
        <v>-161550</v>
      </c>
    </row>
    <row r="18" spans="1:15" x14ac:dyDescent="0.35">
      <c r="A18" s="20" t="s">
        <v>27</v>
      </c>
      <c r="B18" s="14">
        <f>[23]Vendedor2!$J$4</f>
        <v>200300</v>
      </c>
      <c r="C18" s="81">
        <f>[23]Vendedor2!$K$4</f>
        <v>26039</v>
      </c>
      <c r="D18" s="82">
        <f>[23]Vendedor2!$L$4</f>
        <v>72250</v>
      </c>
      <c r="E18" s="14">
        <f>[23]Vendedor2!$J$5</f>
        <v>23200</v>
      </c>
      <c r="F18" s="81">
        <f>[23]Vendedor2!$K$5</f>
        <v>3016</v>
      </c>
      <c r="G18" s="85">
        <f>[23]Vendedor2!$L$5</f>
        <v>40000</v>
      </c>
      <c r="H18" s="19">
        <f>[23]Vendedor2!$J$6</f>
        <v>2400</v>
      </c>
      <c r="I18" s="15">
        <f>[23]Vendedor2!$K$6</f>
        <v>312</v>
      </c>
      <c r="J18" s="17">
        <f>[23]Vendedor2!$L$6</f>
        <v>0</v>
      </c>
      <c r="K18" s="19">
        <f t="shared" si="1"/>
        <v>225900</v>
      </c>
      <c r="L18" s="15">
        <f t="shared" si="2"/>
        <v>29350</v>
      </c>
      <c r="M18" s="15">
        <f t="shared" si="3"/>
        <v>112250</v>
      </c>
      <c r="N18" s="15">
        <v>0</v>
      </c>
      <c r="O18" s="17">
        <f t="shared" si="0"/>
        <v>84300</v>
      </c>
    </row>
    <row r="19" spans="1:15" x14ac:dyDescent="0.35">
      <c r="A19" s="20" t="s">
        <v>28</v>
      </c>
      <c r="B19" s="14">
        <f>[24]Vendedor2!$J$4</f>
        <v>191650</v>
      </c>
      <c r="C19" s="81">
        <f>[24]Vendedor2!$K$4</f>
        <v>24914.5</v>
      </c>
      <c r="D19" s="82">
        <f>[24]Vendedor2!$L$4</f>
        <v>17000</v>
      </c>
      <c r="E19" s="14">
        <f>[24]Vendedor2!$J$5</f>
        <v>20700</v>
      </c>
      <c r="F19" s="81">
        <f>[24]Vendedor2!$K$5</f>
        <v>2691</v>
      </c>
      <c r="G19" s="85">
        <f>[24]Vendedor2!$L$5</f>
        <v>0</v>
      </c>
      <c r="H19" s="19">
        <f>[24]Vendedor2!$J$6</f>
        <v>8400</v>
      </c>
      <c r="I19" s="15">
        <f>[24]Vendedor2!$K$6</f>
        <v>1092</v>
      </c>
      <c r="J19" s="17">
        <f>[24]Vendedor2!$L$6</f>
        <v>0</v>
      </c>
      <c r="K19" s="19">
        <f t="shared" si="1"/>
        <v>220750</v>
      </c>
      <c r="L19" s="15">
        <f t="shared" si="2"/>
        <v>28700</v>
      </c>
      <c r="M19" s="15">
        <f t="shared" si="3"/>
        <v>17000</v>
      </c>
      <c r="N19" s="15">
        <v>0</v>
      </c>
      <c r="O19" s="17">
        <f t="shared" si="0"/>
        <v>175050</v>
      </c>
    </row>
    <row r="20" spans="1:15" x14ac:dyDescent="0.35">
      <c r="A20" s="20" t="s">
        <v>29</v>
      </c>
      <c r="B20" s="14">
        <f>[25]Vendedor2!$J$4</f>
        <v>167650</v>
      </c>
      <c r="C20" s="81">
        <f>[25]Vendedor2!$K$4</f>
        <v>21794.5</v>
      </c>
      <c r="D20" s="82">
        <f>[25]Vendedor2!$L$4</f>
        <v>0</v>
      </c>
      <c r="E20" s="14">
        <f>[25]Vendedor2!$J$5</f>
        <v>12900</v>
      </c>
      <c r="F20" s="81">
        <f>[25]Vendedor2!$K$5</f>
        <v>1677</v>
      </c>
      <c r="G20" s="85">
        <f>[25]Vendedor2!$L$5</f>
        <v>0</v>
      </c>
      <c r="H20" s="19">
        <f>[25]Vendedor2!$J$6</f>
        <v>8900</v>
      </c>
      <c r="I20" s="15">
        <f>[25]Vendedor2!$K$6</f>
        <v>1157</v>
      </c>
      <c r="J20" s="17">
        <f>[25]Vendedor2!$L$6</f>
        <v>0</v>
      </c>
      <c r="K20" s="19">
        <f t="shared" si="1"/>
        <v>189450</v>
      </c>
      <c r="L20" s="15">
        <f t="shared" si="2"/>
        <v>24650</v>
      </c>
      <c r="M20" s="15">
        <f t="shared" si="3"/>
        <v>0</v>
      </c>
      <c r="N20" s="15">
        <v>0</v>
      </c>
      <c r="O20" s="17">
        <f t="shared" si="0"/>
        <v>164800</v>
      </c>
    </row>
    <row r="21" spans="1:15" x14ac:dyDescent="0.35">
      <c r="A21" s="20" t="s">
        <v>30</v>
      </c>
      <c r="B21" s="14">
        <f>[26]Vendedor2!$J$4</f>
        <v>137400</v>
      </c>
      <c r="C21" s="81">
        <f>[26]Vendedor2!$K$4</f>
        <v>17862</v>
      </c>
      <c r="D21" s="82">
        <f>[26]Vendedor2!$L$4</f>
        <v>102000</v>
      </c>
      <c r="E21" s="14">
        <f>[26]Vendedor2!$J$5</f>
        <v>19050</v>
      </c>
      <c r="F21" s="81">
        <f>[26]Vendedor2!$K$5</f>
        <v>2476.5</v>
      </c>
      <c r="G21" s="85">
        <f>[26]Vendedor2!$L$5</f>
        <v>0</v>
      </c>
      <c r="H21" s="19">
        <f>[26]Vendedor2!$J$6</f>
        <v>11350</v>
      </c>
      <c r="I21" s="15">
        <f>[26]Vendedor2!$K$6</f>
        <v>1475.5</v>
      </c>
      <c r="J21" s="17">
        <f>[26]Vendedor2!$L$6</f>
        <v>0</v>
      </c>
      <c r="K21" s="19">
        <f t="shared" ref="K21:K36" si="4">+B21+E21+H21</f>
        <v>167800</v>
      </c>
      <c r="L21" s="15">
        <f t="shared" ref="L21:L36" si="5">MROUND(C21+F21+I21,50)</f>
        <v>21800</v>
      </c>
      <c r="M21" s="15">
        <f t="shared" ref="M21:M36" si="6">+D21+G21+J21</f>
        <v>102000</v>
      </c>
      <c r="N21" s="15">
        <v>0</v>
      </c>
      <c r="O21" s="17">
        <f t="shared" ref="O21:O36" si="7">+K21-L21-M21+N21</f>
        <v>44000</v>
      </c>
    </row>
    <row r="22" spans="1:15" x14ac:dyDescent="0.35">
      <c r="A22" s="13" t="s">
        <v>31</v>
      </c>
      <c r="B22" s="14">
        <f>[27]Vendedor2!$J$4</f>
        <v>161600</v>
      </c>
      <c r="C22" s="81">
        <f>[27]Vendedor2!$K$4</f>
        <v>21008</v>
      </c>
      <c r="D22" s="82">
        <f>[27]Vendedor2!$L$4</f>
        <v>55250</v>
      </c>
      <c r="E22" s="14">
        <f>[27]Vendedor2!$J$5</f>
        <v>34700</v>
      </c>
      <c r="F22" s="81">
        <f>[27]Vendedor2!$K$5</f>
        <v>4511</v>
      </c>
      <c r="G22" s="85">
        <f>[27]Vendedor2!$L$5</f>
        <v>12000</v>
      </c>
      <c r="H22" s="19">
        <f>[27]Vendedor2!$J$6</f>
        <v>1450</v>
      </c>
      <c r="I22" s="15">
        <f>[27]Vendedor2!$K$6</f>
        <v>188.5</v>
      </c>
      <c r="J22" s="17">
        <f>[27]Vendedor2!$L$6</f>
        <v>0</v>
      </c>
      <c r="K22" s="19">
        <f t="shared" si="4"/>
        <v>197750</v>
      </c>
      <c r="L22" s="15">
        <f t="shared" si="5"/>
        <v>25700</v>
      </c>
      <c r="M22" s="15">
        <f t="shared" si="6"/>
        <v>67250</v>
      </c>
      <c r="N22" s="15">
        <v>0</v>
      </c>
      <c r="O22" s="17">
        <f t="shared" si="7"/>
        <v>104800</v>
      </c>
    </row>
    <row r="23" spans="1:15" x14ac:dyDescent="0.35">
      <c r="A23" s="20" t="s">
        <v>32</v>
      </c>
      <c r="B23" s="14">
        <f>[28]Vendedor2!$J$4</f>
        <v>220550</v>
      </c>
      <c r="C23" s="81">
        <f>[28]Vendedor2!$K$4</f>
        <v>28671.5</v>
      </c>
      <c r="D23" s="82">
        <f>[28]Vendedor2!$L$4</f>
        <v>450500</v>
      </c>
      <c r="E23" s="14">
        <f>[28]Vendedor2!$J$5</f>
        <v>31650</v>
      </c>
      <c r="F23" s="81">
        <f>[28]Vendedor2!$K$5</f>
        <v>4114.5</v>
      </c>
      <c r="G23" s="85">
        <f>[28]Vendedor2!$L$5</f>
        <v>36000</v>
      </c>
      <c r="H23" s="19">
        <f>[28]Vendedor2!$J$6</f>
        <v>4000</v>
      </c>
      <c r="I23" s="15">
        <f>[28]Vendedor2!$K$6</f>
        <v>520</v>
      </c>
      <c r="J23" s="17">
        <f>[28]Vendedor2!$L$6</f>
        <v>0</v>
      </c>
      <c r="K23" s="19">
        <f t="shared" si="4"/>
        <v>256200</v>
      </c>
      <c r="L23" s="15">
        <f t="shared" si="5"/>
        <v>33300</v>
      </c>
      <c r="M23" s="15">
        <f t="shared" si="6"/>
        <v>486500</v>
      </c>
      <c r="N23" s="15">
        <v>0</v>
      </c>
      <c r="O23" s="17">
        <f t="shared" si="7"/>
        <v>-263600</v>
      </c>
    </row>
    <row r="24" spans="1:15" x14ac:dyDescent="0.35">
      <c r="A24" s="13" t="s">
        <v>33</v>
      </c>
      <c r="B24" s="14">
        <f>[29]Vendedor2!$J$4</f>
        <v>172750</v>
      </c>
      <c r="C24" s="81">
        <f>[29]Vendedor2!$K$4</f>
        <v>22457.5</v>
      </c>
      <c r="D24" s="82">
        <f>[29]Vendedor2!$L$4</f>
        <v>191250</v>
      </c>
      <c r="E24" s="14">
        <f>[29]Vendedor2!$J$5</f>
        <v>31800</v>
      </c>
      <c r="F24" s="81">
        <f>[29]Vendedor2!$K$5</f>
        <v>4134</v>
      </c>
      <c r="G24" s="85">
        <f>[29]Vendedor2!$L$5</f>
        <v>0</v>
      </c>
      <c r="H24" s="19">
        <f>[29]Vendedor2!$J$6</f>
        <v>12000</v>
      </c>
      <c r="I24" s="15">
        <f>[29]Vendedor2!$K$6</f>
        <v>1560</v>
      </c>
      <c r="J24" s="17">
        <f>[29]Vendedor2!$L$6</f>
        <v>0</v>
      </c>
      <c r="K24" s="19">
        <f t="shared" si="4"/>
        <v>216550</v>
      </c>
      <c r="L24" s="15">
        <f t="shared" si="5"/>
        <v>28150</v>
      </c>
      <c r="M24" s="15">
        <f t="shared" si="6"/>
        <v>191250</v>
      </c>
      <c r="N24" s="15">
        <v>0</v>
      </c>
      <c r="O24" s="17">
        <f t="shared" si="7"/>
        <v>-2850</v>
      </c>
    </row>
    <row r="25" spans="1:15" x14ac:dyDescent="0.35">
      <c r="A25" s="20" t="s">
        <v>34</v>
      </c>
      <c r="B25" s="14">
        <f>[30]Vendedor2!$J$4</f>
        <v>162550</v>
      </c>
      <c r="C25" s="81">
        <f>[30]Vendedor2!$K$4</f>
        <v>21131.5</v>
      </c>
      <c r="D25" s="82">
        <f>[30]Vendedor2!$L$4</f>
        <v>63750</v>
      </c>
      <c r="E25" s="14">
        <f>[30]Vendedor2!$J$5</f>
        <v>20950</v>
      </c>
      <c r="F25" s="81">
        <f>[30]Vendedor2!$K$5</f>
        <v>2723.5</v>
      </c>
      <c r="G25" s="85">
        <f>[30]Vendedor2!$L$5</f>
        <v>120000</v>
      </c>
      <c r="H25" s="19">
        <f>[30]Vendedor2!$J$6</f>
        <v>5400</v>
      </c>
      <c r="I25" s="15">
        <f>[30]Vendedor2!$K$6</f>
        <v>702</v>
      </c>
      <c r="J25" s="17">
        <f>[30]Vendedor2!$L$6</f>
        <v>0</v>
      </c>
      <c r="K25" s="19">
        <f t="shared" si="4"/>
        <v>188900</v>
      </c>
      <c r="L25" s="15">
        <f t="shared" si="5"/>
        <v>24550</v>
      </c>
      <c r="M25" s="15">
        <f t="shared" si="6"/>
        <v>183750</v>
      </c>
      <c r="N25" s="15">
        <v>0</v>
      </c>
      <c r="O25" s="17">
        <f t="shared" si="7"/>
        <v>-19400</v>
      </c>
    </row>
    <row r="26" spans="1:15" x14ac:dyDescent="0.35">
      <c r="A26" s="13" t="s">
        <v>35</v>
      </c>
      <c r="B26" s="14">
        <f>[31]Vendedor2!$J$4</f>
        <v>130850</v>
      </c>
      <c r="C26" s="81">
        <f>[31]Vendedor2!$K$4</f>
        <v>17010.5</v>
      </c>
      <c r="D26" s="82">
        <f>[31]Vendedor2!$L$4</f>
        <v>85000</v>
      </c>
      <c r="E26" s="14">
        <f>[31]Vendedor2!$J$5</f>
        <v>19800</v>
      </c>
      <c r="F26" s="81">
        <f>[31]Vendedor2!$K$5</f>
        <v>2574</v>
      </c>
      <c r="G26" s="85">
        <f>[31]Vendedor2!$L$5</f>
        <v>0</v>
      </c>
      <c r="H26" s="19">
        <f>[31]Vendedor2!$J$6</f>
        <v>2250</v>
      </c>
      <c r="I26" s="15">
        <f>[31]Vendedor2!$K$6</f>
        <v>292.5</v>
      </c>
      <c r="J26" s="17">
        <f>[31]Vendedor2!$L$6</f>
        <v>0</v>
      </c>
      <c r="K26" s="19">
        <f t="shared" si="4"/>
        <v>152900</v>
      </c>
      <c r="L26" s="15">
        <f t="shared" si="5"/>
        <v>19900</v>
      </c>
      <c r="M26" s="15">
        <f t="shared" si="6"/>
        <v>85000</v>
      </c>
      <c r="N26" s="15">
        <v>0</v>
      </c>
      <c r="O26" s="17">
        <f t="shared" si="7"/>
        <v>48000</v>
      </c>
    </row>
    <row r="27" spans="1:15" x14ac:dyDescent="0.35">
      <c r="A27" s="20" t="s">
        <v>36</v>
      </c>
      <c r="B27" s="14">
        <f>[1]Vendedor2!$J$4</f>
        <v>122500</v>
      </c>
      <c r="C27" s="81">
        <f>[1]Vendedor2!$K$4</f>
        <v>15925</v>
      </c>
      <c r="D27" s="82">
        <f>[1]Vendedor2!$L$4</f>
        <v>123250</v>
      </c>
      <c r="E27" s="14">
        <f>[1]Vendedor2!$J$5</f>
        <v>21350</v>
      </c>
      <c r="F27" s="81">
        <f>[1]Vendedor2!$K$5</f>
        <v>2775.5</v>
      </c>
      <c r="G27" s="85">
        <f>[1]Vendedor2!$L$5</f>
        <v>8000</v>
      </c>
      <c r="H27" s="19">
        <f>[1]Vendedor2!$J$6</f>
        <v>5400</v>
      </c>
      <c r="I27" s="15">
        <f>[1]Vendedor2!$K$6</f>
        <v>702</v>
      </c>
      <c r="J27" s="17">
        <f>[1]Vendedor2!$L$6</f>
        <v>0</v>
      </c>
      <c r="K27" s="19">
        <f t="shared" si="4"/>
        <v>149250</v>
      </c>
      <c r="L27" s="15">
        <f t="shared" si="5"/>
        <v>19400</v>
      </c>
      <c r="M27" s="15">
        <f t="shared" si="6"/>
        <v>131250</v>
      </c>
      <c r="N27" s="15">
        <v>0</v>
      </c>
      <c r="O27" s="17">
        <f t="shared" si="7"/>
        <v>-1400</v>
      </c>
    </row>
    <row r="28" spans="1:15" x14ac:dyDescent="0.35">
      <c r="A28" s="13" t="s">
        <v>37</v>
      </c>
      <c r="B28" s="14">
        <f>[2]Vendedor2!$J$4</f>
        <v>173800</v>
      </c>
      <c r="C28" s="81">
        <f>[2]Vendedor2!$K$4</f>
        <v>22594</v>
      </c>
      <c r="D28" s="82">
        <f>[2]Vendedor2!$L$4</f>
        <v>21250</v>
      </c>
      <c r="E28" s="14">
        <f>[2]Vendedor2!$J$5</f>
        <v>16000</v>
      </c>
      <c r="F28" s="81">
        <f>[2]Vendedor2!$K$5</f>
        <v>2080</v>
      </c>
      <c r="G28" s="85">
        <f>[2]Vendedor2!$L$5</f>
        <v>0</v>
      </c>
      <c r="H28" s="19">
        <f>[2]Vendedor2!$J$6</f>
        <v>2000</v>
      </c>
      <c r="I28" s="15">
        <f>[2]Vendedor2!$K$6</f>
        <v>260</v>
      </c>
      <c r="J28" s="17">
        <f>[2]Vendedor2!$L$6</f>
        <v>0</v>
      </c>
      <c r="K28" s="19">
        <f t="shared" si="4"/>
        <v>191800</v>
      </c>
      <c r="L28" s="15">
        <f t="shared" si="5"/>
        <v>24950</v>
      </c>
      <c r="M28" s="15">
        <f t="shared" si="6"/>
        <v>21250</v>
      </c>
      <c r="N28" s="15">
        <v>0</v>
      </c>
      <c r="O28" s="17">
        <f t="shared" si="7"/>
        <v>145600</v>
      </c>
    </row>
    <row r="29" spans="1:15" x14ac:dyDescent="0.35">
      <c r="A29" s="20" t="s">
        <v>38</v>
      </c>
      <c r="B29" s="14">
        <f>[3]Vendedor2!$J$4</f>
        <v>144600</v>
      </c>
      <c r="C29" s="81">
        <f>[3]Vendedor2!$K$4</f>
        <v>18798</v>
      </c>
      <c r="D29" s="82">
        <f>[3]Vendedor2!$L$4</f>
        <v>76500</v>
      </c>
      <c r="E29" s="14">
        <f>[3]Vendedor2!$J$5</f>
        <v>28700</v>
      </c>
      <c r="F29" s="81">
        <f>[3]Vendedor2!$K$5</f>
        <v>3731</v>
      </c>
      <c r="G29" s="85">
        <f>[3]Vendedor2!$L$5</f>
        <v>160000</v>
      </c>
      <c r="H29" s="19">
        <f>[3]Vendedor2!$J$6</f>
        <v>4000</v>
      </c>
      <c r="I29" s="15">
        <f>[3]Vendedor2!$K$6</f>
        <v>520</v>
      </c>
      <c r="J29" s="17">
        <f>[3]Vendedor2!$L$6</f>
        <v>0</v>
      </c>
      <c r="K29" s="19">
        <f t="shared" si="4"/>
        <v>177300</v>
      </c>
      <c r="L29" s="15">
        <f t="shared" si="5"/>
        <v>23050</v>
      </c>
      <c r="M29" s="15">
        <f t="shared" si="6"/>
        <v>236500</v>
      </c>
      <c r="N29" s="15">
        <v>0</v>
      </c>
      <c r="O29" s="17">
        <f t="shared" si="7"/>
        <v>-82250</v>
      </c>
    </row>
    <row r="30" spans="1:15" x14ac:dyDescent="0.35">
      <c r="A30" s="13" t="s">
        <v>39</v>
      </c>
      <c r="B30" s="14">
        <f>[4]Vendedor2!$J$4</f>
        <v>144300</v>
      </c>
      <c r="C30" s="81">
        <f>[4]Vendedor2!$K$4</f>
        <v>18759</v>
      </c>
      <c r="D30" s="82">
        <f>[4]Vendedor2!$L$4</f>
        <v>114750</v>
      </c>
      <c r="E30" s="14">
        <f>[4]Vendedor2!$J$5</f>
        <v>7900</v>
      </c>
      <c r="F30" s="81">
        <f>[4]Vendedor2!$K$5</f>
        <v>1027</v>
      </c>
      <c r="G30" s="85">
        <f>[4]Vendedor2!$L$5</f>
        <v>8000</v>
      </c>
      <c r="H30" s="19">
        <f>[4]Vendedor2!$J$6</f>
        <v>0</v>
      </c>
      <c r="I30" s="15">
        <f>[4]Vendedor2!$K$6</f>
        <v>0</v>
      </c>
      <c r="J30" s="17">
        <f>[4]Vendedor2!$L$6</f>
        <v>0</v>
      </c>
      <c r="K30" s="19">
        <f t="shared" si="4"/>
        <v>152200</v>
      </c>
      <c r="L30" s="15">
        <f t="shared" si="5"/>
        <v>19800</v>
      </c>
      <c r="M30" s="15">
        <f t="shared" si="6"/>
        <v>122750</v>
      </c>
      <c r="N30" s="15">
        <v>0</v>
      </c>
      <c r="O30" s="17">
        <f t="shared" si="7"/>
        <v>9650</v>
      </c>
    </row>
    <row r="31" spans="1:15" x14ac:dyDescent="0.35">
      <c r="A31" s="20" t="s">
        <v>40</v>
      </c>
      <c r="B31" s="14">
        <f>[5]Vendedor2!$J$4</f>
        <v>156050</v>
      </c>
      <c r="C31" s="81">
        <f>[5]Vendedor2!$K$4</f>
        <v>20286.5</v>
      </c>
      <c r="D31" s="82">
        <f>[5]Vendedor2!$L$4</f>
        <v>0</v>
      </c>
      <c r="E31" s="14">
        <f>[5]Vendedor2!$J$5</f>
        <v>22400</v>
      </c>
      <c r="F31" s="81">
        <f>[5]Vendedor2!$K$5</f>
        <v>2912</v>
      </c>
      <c r="G31" s="85">
        <f>[5]Vendedor2!$L$5</f>
        <v>16000</v>
      </c>
      <c r="H31" s="19">
        <f>[5]Vendedor2!$J$6</f>
        <v>7800</v>
      </c>
      <c r="I31" s="15">
        <f>[5]Vendedor2!$K$6</f>
        <v>1014</v>
      </c>
      <c r="J31" s="17">
        <f>[5]Vendedor2!$L$6</f>
        <v>0</v>
      </c>
      <c r="K31" s="19">
        <f t="shared" si="4"/>
        <v>186250</v>
      </c>
      <c r="L31" s="15">
        <f t="shared" si="5"/>
        <v>24200</v>
      </c>
      <c r="M31" s="15">
        <f t="shared" si="6"/>
        <v>16000</v>
      </c>
      <c r="N31" s="15">
        <v>0</v>
      </c>
      <c r="O31" s="17">
        <f t="shared" si="7"/>
        <v>146050</v>
      </c>
    </row>
    <row r="32" spans="1:15" x14ac:dyDescent="0.35">
      <c r="A32" s="20" t="s">
        <v>41</v>
      </c>
      <c r="B32" s="14">
        <f>[6]Vendedor2!$J$4</f>
        <v>122500</v>
      </c>
      <c r="C32" s="81">
        <f>[6]Vendedor2!$K$4</f>
        <v>15925</v>
      </c>
      <c r="D32" s="82">
        <f>[6]Vendedor2!$L$4</f>
        <v>85000</v>
      </c>
      <c r="E32" s="14">
        <f>[6]Vendedor2!$J$5</f>
        <v>9000</v>
      </c>
      <c r="F32" s="81">
        <f>[6]Vendedor2!$K$5</f>
        <v>1170</v>
      </c>
      <c r="G32" s="85">
        <f>[6]Vendedor2!$L$5</f>
        <v>40000</v>
      </c>
      <c r="H32" s="19">
        <f>[6]Vendedor2!$J$6</f>
        <v>3800</v>
      </c>
      <c r="I32" s="15">
        <f>[6]Vendedor2!$K$6</f>
        <v>494</v>
      </c>
      <c r="J32" s="17">
        <f>[6]Vendedor2!$L$6</f>
        <v>0</v>
      </c>
      <c r="K32" s="19">
        <f t="shared" si="4"/>
        <v>135300</v>
      </c>
      <c r="L32" s="15">
        <f t="shared" si="5"/>
        <v>17600</v>
      </c>
      <c r="M32" s="15">
        <f t="shared" si="6"/>
        <v>125000</v>
      </c>
      <c r="N32" s="15">
        <v>0</v>
      </c>
      <c r="O32" s="17">
        <f t="shared" si="7"/>
        <v>-7300</v>
      </c>
    </row>
    <row r="33" spans="1:15" x14ac:dyDescent="0.35">
      <c r="A33" s="13" t="s">
        <v>42</v>
      </c>
      <c r="B33" s="14">
        <f>[7]Vendedor2!$J$4</f>
        <v>148200</v>
      </c>
      <c r="C33" s="81">
        <f>[7]Vendedor2!$K$4</f>
        <v>19266</v>
      </c>
      <c r="D33" s="82">
        <f>[7]Vendedor2!$L$4</f>
        <v>174250</v>
      </c>
      <c r="E33" s="14">
        <f>[7]Vendedor2!$J$5</f>
        <v>34350</v>
      </c>
      <c r="F33" s="81">
        <f>[7]Vendedor2!$K$5</f>
        <v>4465.5</v>
      </c>
      <c r="G33" s="85">
        <f>[7]Vendedor2!$L$5</f>
        <v>80000</v>
      </c>
      <c r="H33" s="19">
        <f>[7]Vendedor2!$J$6</f>
        <v>8000</v>
      </c>
      <c r="I33" s="15">
        <f>[7]Vendedor2!$K$6</f>
        <v>1040</v>
      </c>
      <c r="J33" s="17">
        <f>[7]Vendedor2!$L$6</f>
        <v>0</v>
      </c>
      <c r="K33" s="19">
        <f t="shared" si="4"/>
        <v>190550</v>
      </c>
      <c r="L33" s="15">
        <f t="shared" si="5"/>
        <v>24750</v>
      </c>
      <c r="M33" s="15">
        <f t="shared" si="6"/>
        <v>254250</v>
      </c>
      <c r="N33" s="15">
        <v>0</v>
      </c>
      <c r="O33" s="17">
        <f t="shared" si="7"/>
        <v>-88450</v>
      </c>
    </row>
    <row r="34" spans="1:15" x14ac:dyDescent="0.35">
      <c r="A34" s="20" t="s">
        <v>43</v>
      </c>
      <c r="B34" s="14">
        <f>[8]Vendedor2!$J$4</f>
        <v>138200</v>
      </c>
      <c r="C34" s="81">
        <f>[8]Vendedor2!$K$4</f>
        <v>17966</v>
      </c>
      <c r="D34" s="82">
        <f>[8]Vendedor2!$L$4</f>
        <v>85000</v>
      </c>
      <c r="E34" s="14">
        <f>[8]Vendedor2!$J$5</f>
        <v>2250</v>
      </c>
      <c r="F34" s="81">
        <f>[8]Vendedor2!$K$5</f>
        <v>292.5</v>
      </c>
      <c r="G34" s="85">
        <f>[8]Vendedor2!$L$5</f>
        <v>0</v>
      </c>
      <c r="H34" s="19">
        <f>[8]Vendedor2!$J$6</f>
        <v>9000</v>
      </c>
      <c r="I34" s="15">
        <f>[8]Vendedor2!$K$6</f>
        <v>1170</v>
      </c>
      <c r="J34" s="17">
        <f>[8]Vendedor2!$L$6</f>
        <v>0</v>
      </c>
      <c r="K34" s="19">
        <f t="shared" si="4"/>
        <v>149450</v>
      </c>
      <c r="L34" s="15">
        <f t="shared" si="5"/>
        <v>19450</v>
      </c>
      <c r="M34" s="15">
        <f t="shared" si="6"/>
        <v>85000</v>
      </c>
      <c r="N34" s="15">
        <v>0</v>
      </c>
      <c r="O34" s="17">
        <f t="shared" si="7"/>
        <v>45000</v>
      </c>
    </row>
    <row r="35" spans="1:15" x14ac:dyDescent="0.35">
      <c r="A35" s="13" t="s">
        <v>44</v>
      </c>
      <c r="B35" s="14">
        <f>[9]Vendedor2!$J$4</f>
        <v>147450</v>
      </c>
      <c r="C35" s="81">
        <f>[9]Vendedor2!$K$4</f>
        <v>19168.5</v>
      </c>
      <c r="D35" s="82">
        <f>[9]Vendedor2!$L$4</f>
        <v>127500</v>
      </c>
      <c r="E35" s="14">
        <f>[9]Vendedor2!$J$5</f>
        <v>11250</v>
      </c>
      <c r="F35" s="81">
        <f>[9]Vendedor2!$K$5</f>
        <v>1462.5</v>
      </c>
      <c r="G35" s="85">
        <f>[9]Vendedor2!$L$5</f>
        <v>16000</v>
      </c>
      <c r="H35" s="19">
        <f>[9]Vendedor2!$J$6</f>
        <v>1500</v>
      </c>
      <c r="I35" s="15">
        <f>[9]Vendedor2!$K$6</f>
        <v>195</v>
      </c>
      <c r="J35" s="17">
        <f>[9]Vendedor2!$L$6</f>
        <v>0</v>
      </c>
      <c r="K35" s="19">
        <f t="shared" si="4"/>
        <v>160200</v>
      </c>
      <c r="L35" s="15">
        <f t="shared" si="5"/>
        <v>20850</v>
      </c>
      <c r="M35" s="15">
        <f t="shared" si="6"/>
        <v>143500</v>
      </c>
      <c r="N35" s="15">
        <v>0</v>
      </c>
      <c r="O35" s="17">
        <f t="shared" si="7"/>
        <v>-4150</v>
      </c>
    </row>
    <row r="36" spans="1:15" x14ac:dyDescent="0.35">
      <c r="A36" s="20" t="s">
        <v>45</v>
      </c>
      <c r="B36" s="21">
        <f>[10]Vendedor2!$J$4</f>
        <v>149250</v>
      </c>
      <c r="C36" s="83">
        <f>[10]Vendedor2!$K$4</f>
        <v>19402.5</v>
      </c>
      <c r="D36" s="84">
        <f>[10]Vendedor2!$L$4</f>
        <v>0</v>
      </c>
      <c r="E36" s="21">
        <f>[10]Vendedor2!$J$5</f>
        <v>39050</v>
      </c>
      <c r="F36" s="83">
        <f>[10]Vendedor2!$K$5</f>
        <v>5076.5</v>
      </c>
      <c r="G36" s="86">
        <f>[10]Vendedor2!$L$5</f>
        <v>16000</v>
      </c>
      <c r="H36" s="26">
        <f>[10]Vendedor2!$J$6</f>
        <v>1500</v>
      </c>
      <c r="I36" s="22">
        <f>[10]Vendedor2!$K$6</f>
        <v>195</v>
      </c>
      <c r="J36" s="24">
        <f>[10]Vendedor2!$L$6</f>
        <v>0</v>
      </c>
      <c r="K36" s="26">
        <f t="shared" si="4"/>
        <v>189800</v>
      </c>
      <c r="L36" s="22">
        <f t="shared" si="5"/>
        <v>24650</v>
      </c>
      <c r="M36" s="22">
        <f t="shared" si="6"/>
        <v>16000</v>
      </c>
      <c r="N36" s="22">
        <v>0</v>
      </c>
      <c r="O36" s="24">
        <f t="shared" si="7"/>
        <v>149150</v>
      </c>
    </row>
    <row r="37" spans="1:15" ht="15.5" x14ac:dyDescent="0.35">
      <c r="A37" s="5" t="s">
        <v>46</v>
      </c>
      <c r="B37" s="27">
        <f t="shared" ref="B37:M37" si="8">SUM(B6:B36)</f>
        <v>5178850</v>
      </c>
      <c r="C37" s="28">
        <f t="shared" si="8"/>
        <v>673250.5</v>
      </c>
      <c r="D37" s="29">
        <f t="shared" si="8"/>
        <v>3748500</v>
      </c>
      <c r="E37" s="30">
        <f t="shared" si="8"/>
        <v>726950</v>
      </c>
      <c r="F37" s="28">
        <f t="shared" si="8"/>
        <v>94503.5</v>
      </c>
      <c r="G37" s="31">
        <f t="shared" si="8"/>
        <v>888000</v>
      </c>
      <c r="H37" s="30">
        <f t="shared" si="8"/>
        <v>128700</v>
      </c>
      <c r="I37" s="28">
        <f t="shared" si="8"/>
        <v>16731</v>
      </c>
      <c r="J37" s="31">
        <f t="shared" si="8"/>
        <v>0</v>
      </c>
      <c r="K37" s="60">
        <f t="shared" si="8"/>
        <v>6034500</v>
      </c>
      <c r="L37" s="32">
        <f t="shared" si="8"/>
        <v>784550</v>
      </c>
      <c r="M37" s="32">
        <f t="shared" si="8"/>
        <v>4636500</v>
      </c>
      <c r="N37" s="32">
        <f>SUM(N5:N36)</f>
        <v>0</v>
      </c>
      <c r="O37" s="33">
        <f>SUM(O5:O36)</f>
        <v>613450</v>
      </c>
    </row>
    <row r="40" spans="1:15" ht="15" thickBot="1" x14ac:dyDescent="0.4"/>
    <row r="41" spans="1:15" ht="19" thickBot="1" x14ac:dyDescent="0.5">
      <c r="A41" s="2" t="s">
        <v>1</v>
      </c>
      <c r="B41" s="142" t="s">
        <v>131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184300</v>
      </c>
      <c r="C45" s="58">
        <f t="shared" si="11"/>
        <v>23959</v>
      </c>
      <c r="D45" s="54">
        <f t="shared" si="11"/>
        <v>38250</v>
      </c>
      <c r="E45" s="53">
        <f t="shared" si="11"/>
        <v>30400</v>
      </c>
      <c r="F45" s="58">
        <f t="shared" si="11"/>
        <v>3952</v>
      </c>
      <c r="G45" s="55">
        <f t="shared" si="11"/>
        <v>0</v>
      </c>
      <c r="H45" s="61">
        <f t="shared" si="11"/>
        <v>2450</v>
      </c>
      <c r="I45" s="58">
        <f t="shared" si="11"/>
        <v>318.5</v>
      </c>
      <c r="J45" s="54">
        <f t="shared" si="11"/>
        <v>0</v>
      </c>
      <c r="K45" s="59">
        <f t="shared" si="11"/>
        <v>217150</v>
      </c>
      <c r="L45" s="58">
        <f t="shared" si="11"/>
        <v>28250</v>
      </c>
      <c r="M45" s="58">
        <f t="shared" si="11"/>
        <v>38250</v>
      </c>
      <c r="N45" s="58">
        <f t="shared" si="11"/>
        <v>0</v>
      </c>
      <c r="O45" s="55">
        <f>+K45-L45-M45+N45</f>
        <v>150650</v>
      </c>
    </row>
    <row r="46" spans="1:15" x14ac:dyDescent="0.35">
      <c r="A46" s="13" t="s">
        <v>50</v>
      </c>
      <c r="B46" s="14">
        <f t="shared" ref="B46:N46" si="12">B7</f>
        <v>195400</v>
      </c>
      <c r="C46" s="15">
        <f t="shared" si="12"/>
        <v>25402</v>
      </c>
      <c r="D46" s="16">
        <f t="shared" si="12"/>
        <v>110500</v>
      </c>
      <c r="E46" s="14">
        <f t="shared" si="12"/>
        <v>18650</v>
      </c>
      <c r="F46" s="15">
        <f t="shared" si="12"/>
        <v>2424.5</v>
      </c>
      <c r="G46" s="17">
        <f t="shared" si="12"/>
        <v>80000</v>
      </c>
      <c r="H46" s="18">
        <f t="shared" si="12"/>
        <v>5300</v>
      </c>
      <c r="I46" s="15">
        <f t="shared" si="12"/>
        <v>689</v>
      </c>
      <c r="J46" s="16">
        <f t="shared" si="12"/>
        <v>0</v>
      </c>
      <c r="K46" s="19">
        <f t="shared" si="12"/>
        <v>219350</v>
      </c>
      <c r="L46" s="15">
        <f t="shared" si="12"/>
        <v>28500</v>
      </c>
      <c r="M46" s="15">
        <f t="shared" si="12"/>
        <v>190500</v>
      </c>
      <c r="N46" s="15">
        <f t="shared" si="12"/>
        <v>0</v>
      </c>
      <c r="O46" s="17">
        <f t="shared" ref="O46:O59" si="13">+K46-L46-M46+N46</f>
        <v>350</v>
      </c>
    </row>
    <row r="47" spans="1:15" x14ac:dyDescent="0.35">
      <c r="A47" s="20" t="s">
        <v>51</v>
      </c>
      <c r="B47" s="14">
        <f t="shared" ref="B47:N47" si="14">B8</f>
        <v>163450</v>
      </c>
      <c r="C47" s="15">
        <f t="shared" si="14"/>
        <v>21248.5</v>
      </c>
      <c r="D47" s="16">
        <f t="shared" si="14"/>
        <v>178500</v>
      </c>
      <c r="E47" s="14">
        <f t="shared" si="14"/>
        <v>13450</v>
      </c>
      <c r="F47" s="15">
        <f t="shared" si="14"/>
        <v>1748.5</v>
      </c>
      <c r="G47" s="17">
        <f t="shared" si="14"/>
        <v>40000</v>
      </c>
      <c r="H47" s="18">
        <f t="shared" si="14"/>
        <v>0</v>
      </c>
      <c r="I47" s="15">
        <f t="shared" si="14"/>
        <v>0</v>
      </c>
      <c r="J47" s="16">
        <f t="shared" si="14"/>
        <v>0</v>
      </c>
      <c r="K47" s="19">
        <f t="shared" si="14"/>
        <v>176900</v>
      </c>
      <c r="L47" s="15">
        <f t="shared" si="14"/>
        <v>23000</v>
      </c>
      <c r="M47" s="15">
        <f t="shared" si="14"/>
        <v>218500</v>
      </c>
      <c r="N47" s="15">
        <f t="shared" si="14"/>
        <v>0</v>
      </c>
      <c r="O47" s="17">
        <f t="shared" si="13"/>
        <v>-64600</v>
      </c>
    </row>
    <row r="48" spans="1:15" x14ac:dyDescent="0.35">
      <c r="A48" s="13" t="s">
        <v>52</v>
      </c>
      <c r="B48" s="14">
        <f t="shared" ref="B48:N48" si="15">B9</f>
        <v>197350</v>
      </c>
      <c r="C48" s="15">
        <f t="shared" si="15"/>
        <v>25655.5</v>
      </c>
      <c r="D48" s="16">
        <f t="shared" si="15"/>
        <v>165750</v>
      </c>
      <c r="E48" s="14">
        <f t="shared" si="15"/>
        <v>31100</v>
      </c>
      <c r="F48" s="15">
        <f t="shared" si="15"/>
        <v>4043</v>
      </c>
      <c r="G48" s="17">
        <f t="shared" si="15"/>
        <v>16000</v>
      </c>
      <c r="H48" s="18">
        <f t="shared" si="15"/>
        <v>1100</v>
      </c>
      <c r="I48" s="15">
        <f t="shared" si="15"/>
        <v>143</v>
      </c>
      <c r="J48" s="16">
        <f t="shared" si="15"/>
        <v>0</v>
      </c>
      <c r="K48" s="19">
        <f t="shared" si="15"/>
        <v>229550</v>
      </c>
      <c r="L48" s="15">
        <f t="shared" si="15"/>
        <v>29850</v>
      </c>
      <c r="M48" s="15">
        <f t="shared" si="15"/>
        <v>181750</v>
      </c>
      <c r="N48" s="15">
        <f t="shared" si="15"/>
        <v>0</v>
      </c>
      <c r="O48" s="17">
        <f t="shared" si="13"/>
        <v>17950</v>
      </c>
    </row>
    <row r="49" spans="1:15" x14ac:dyDescent="0.35">
      <c r="A49" s="20" t="s">
        <v>53</v>
      </c>
      <c r="B49" s="14">
        <f t="shared" ref="B49:N49" si="16">B10</f>
        <v>179250</v>
      </c>
      <c r="C49" s="15">
        <f t="shared" si="16"/>
        <v>23302.5</v>
      </c>
      <c r="D49" s="16">
        <f t="shared" si="16"/>
        <v>170000</v>
      </c>
      <c r="E49" s="14">
        <f t="shared" si="16"/>
        <v>20450</v>
      </c>
      <c r="F49" s="15">
        <f t="shared" si="16"/>
        <v>2658.5</v>
      </c>
      <c r="G49" s="17">
        <f t="shared" si="16"/>
        <v>0</v>
      </c>
      <c r="H49" s="18">
        <f t="shared" si="16"/>
        <v>8750</v>
      </c>
      <c r="I49" s="15">
        <f t="shared" si="16"/>
        <v>1137.5</v>
      </c>
      <c r="J49" s="16">
        <f t="shared" si="16"/>
        <v>0</v>
      </c>
      <c r="K49" s="19">
        <f t="shared" si="16"/>
        <v>208450</v>
      </c>
      <c r="L49" s="15">
        <f t="shared" si="16"/>
        <v>27100</v>
      </c>
      <c r="M49" s="15">
        <f t="shared" si="16"/>
        <v>170000</v>
      </c>
      <c r="N49" s="15">
        <f t="shared" si="16"/>
        <v>0</v>
      </c>
      <c r="O49" s="17">
        <f t="shared" si="13"/>
        <v>11350</v>
      </c>
    </row>
    <row r="50" spans="1:15" x14ac:dyDescent="0.35">
      <c r="A50" s="13" t="s">
        <v>20</v>
      </c>
      <c r="B50" s="14">
        <f t="shared" ref="B50:N50" si="17">B11</f>
        <v>186450</v>
      </c>
      <c r="C50" s="15">
        <f t="shared" si="17"/>
        <v>24238.5</v>
      </c>
      <c r="D50" s="16">
        <f t="shared" si="17"/>
        <v>29750</v>
      </c>
      <c r="E50" s="14">
        <f t="shared" si="17"/>
        <v>21600</v>
      </c>
      <c r="F50" s="15">
        <f t="shared" si="17"/>
        <v>2808</v>
      </c>
      <c r="G50" s="17">
        <f t="shared" si="17"/>
        <v>0</v>
      </c>
      <c r="H50" s="18">
        <f t="shared" si="17"/>
        <v>0</v>
      </c>
      <c r="I50" s="15">
        <f t="shared" si="17"/>
        <v>0</v>
      </c>
      <c r="J50" s="16">
        <f t="shared" si="17"/>
        <v>0</v>
      </c>
      <c r="K50" s="19">
        <f t="shared" si="17"/>
        <v>208050</v>
      </c>
      <c r="L50" s="15">
        <f t="shared" si="17"/>
        <v>27050</v>
      </c>
      <c r="M50" s="15">
        <f t="shared" si="17"/>
        <v>29750</v>
      </c>
      <c r="N50" s="15">
        <f t="shared" si="17"/>
        <v>0</v>
      </c>
      <c r="O50" s="17">
        <f t="shared" si="13"/>
        <v>151250</v>
      </c>
    </row>
    <row r="51" spans="1:15" x14ac:dyDescent="0.35">
      <c r="A51" s="20" t="s">
        <v>21</v>
      </c>
      <c r="B51" s="14">
        <f t="shared" ref="B51:N51" si="18">B12</f>
        <v>148850</v>
      </c>
      <c r="C51" s="15">
        <f t="shared" si="18"/>
        <v>19350.5</v>
      </c>
      <c r="D51" s="16">
        <f t="shared" si="18"/>
        <v>191250</v>
      </c>
      <c r="E51" s="14">
        <f t="shared" si="18"/>
        <v>21250</v>
      </c>
      <c r="F51" s="15">
        <f t="shared" si="18"/>
        <v>2762.5</v>
      </c>
      <c r="G51" s="17">
        <f t="shared" si="18"/>
        <v>0</v>
      </c>
      <c r="H51" s="18">
        <f t="shared" si="18"/>
        <v>250</v>
      </c>
      <c r="I51" s="15">
        <f t="shared" si="18"/>
        <v>32.5</v>
      </c>
      <c r="J51" s="16">
        <f t="shared" si="18"/>
        <v>0</v>
      </c>
      <c r="K51" s="19">
        <f t="shared" si="18"/>
        <v>170350</v>
      </c>
      <c r="L51" s="15">
        <f t="shared" si="18"/>
        <v>22150</v>
      </c>
      <c r="M51" s="15">
        <f t="shared" si="18"/>
        <v>191250</v>
      </c>
      <c r="N51" s="15">
        <f t="shared" si="18"/>
        <v>0</v>
      </c>
      <c r="O51" s="17">
        <f t="shared" si="13"/>
        <v>-43050</v>
      </c>
    </row>
    <row r="52" spans="1:15" x14ac:dyDescent="0.35">
      <c r="A52" s="13" t="s">
        <v>22</v>
      </c>
      <c r="B52" s="14">
        <f t="shared" ref="B52:N52" si="19">B13</f>
        <v>155950</v>
      </c>
      <c r="C52" s="15">
        <f t="shared" si="19"/>
        <v>20273.5</v>
      </c>
      <c r="D52" s="16">
        <f t="shared" si="19"/>
        <v>437750</v>
      </c>
      <c r="E52" s="14">
        <f t="shared" si="19"/>
        <v>34800</v>
      </c>
      <c r="F52" s="15">
        <f t="shared" si="19"/>
        <v>4524</v>
      </c>
      <c r="G52" s="17">
        <f t="shared" si="19"/>
        <v>0</v>
      </c>
      <c r="H52" s="18">
        <f t="shared" si="19"/>
        <v>1800</v>
      </c>
      <c r="I52" s="15">
        <f t="shared" si="19"/>
        <v>234</v>
      </c>
      <c r="J52" s="16">
        <f t="shared" si="19"/>
        <v>0</v>
      </c>
      <c r="K52" s="19">
        <f t="shared" si="19"/>
        <v>192550</v>
      </c>
      <c r="L52" s="15">
        <f t="shared" si="19"/>
        <v>25050</v>
      </c>
      <c r="M52" s="15">
        <f t="shared" si="19"/>
        <v>437750</v>
      </c>
      <c r="N52" s="15">
        <f t="shared" si="19"/>
        <v>0</v>
      </c>
      <c r="O52" s="17">
        <f t="shared" si="13"/>
        <v>-270250</v>
      </c>
    </row>
    <row r="53" spans="1:15" x14ac:dyDescent="0.35">
      <c r="A53" s="20" t="s">
        <v>23</v>
      </c>
      <c r="B53" s="14">
        <f t="shared" ref="B53:N53" si="20">B14</f>
        <v>129150</v>
      </c>
      <c r="C53" s="15">
        <f t="shared" si="20"/>
        <v>16789.5</v>
      </c>
      <c r="D53" s="16">
        <f t="shared" si="20"/>
        <v>161500</v>
      </c>
      <c r="E53" s="14">
        <f t="shared" si="20"/>
        <v>30500</v>
      </c>
      <c r="F53" s="15">
        <f t="shared" si="20"/>
        <v>3965</v>
      </c>
      <c r="G53" s="17">
        <f t="shared" si="20"/>
        <v>40000</v>
      </c>
      <c r="H53" s="18">
        <f t="shared" si="20"/>
        <v>0</v>
      </c>
      <c r="I53" s="15">
        <f t="shared" si="20"/>
        <v>0</v>
      </c>
      <c r="J53" s="16">
        <f t="shared" si="20"/>
        <v>0</v>
      </c>
      <c r="K53" s="19">
        <f t="shared" si="20"/>
        <v>159650</v>
      </c>
      <c r="L53" s="15">
        <f t="shared" si="20"/>
        <v>20750</v>
      </c>
      <c r="M53" s="15">
        <f t="shared" si="20"/>
        <v>201500</v>
      </c>
      <c r="N53" s="15">
        <f t="shared" si="20"/>
        <v>0</v>
      </c>
      <c r="O53" s="17">
        <f t="shared" si="13"/>
        <v>-62600</v>
      </c>
    </row>
    <row r="54" spans="1:15" x14ac:dyDescent="0.35">
      <c r="A54" s="13" t="s">
        <v>24</v>
      </c>
      <c r="B54" s="14">
        <f t="shared" ref="B54:N54" si="21">B15</f>
        <v>207000</v>
      </c>
      <c r="C54" s="15">
        <f t="shared" si="21"/>
        <v>26910</v>
      </c>
      <c r="D54" s="16">
        <f t="shared" si="21"/>
        <v>21250</v>
      </c>
      <c r="E54" s="14">
        <f t="shared" si="21"/>
        <v>26400</v>
      </c>
      <c r="F54" s="15">
        <f t="shared" si="21"/>
        <v>3432</v>
      </c>
      <c r="G54" s="17">
        <f t="shared" si="21"/>
        <v>0</v>
      </c>
      <c r="H54" s="18">
        <f t="shared" si="21"/>
        <v>3000</v>
      </c>
      <c r="I54" s="15">
        <f t="shared" si="21"/>
        <v>390</v>
      </c>
      <c r="J54" s="16">
        <f t="shared" si="21"/>
        <v>0</v>
      </c>
      <c r="K54" s="19">
        <f t="shared" si="21"/>
        <v>236400</v>
      </c>
      <c r="L54" s="15">
        <f t="shared" si="21"/>
        <v>30750</v>
      </c>
      <c r="M54" s="15">
        <f t="shared" si="21"/>
        <v>21250</v>
      </c>
      <c r="N54" s="15">
        <f t="shared" si="21"/>
        <v>0</v>
      </c>
      <c r="O54" s="17">
        <f t="shared" si="13"/>
        <v>184400</v>
      </c>
    </row>
    <row r="55" spans="1:15" x14ac:dyDescent="0.35">
      <c r="A55" s="20" t="s">
        <v>25</v>
      </c>
      <c r="B55" s="14">
        <f t="shared" ref="B55:N55" si="22">B16</f>
        <v>246600</v>
      </c>
      <c r="C55" s="15">
        <f t="shared" si="22"/>
        <v>32058</v>
      </c>
      <c r="D55" s="16">
        <f t="shared" si="22"/>
        <v>42500</v>
      </c>
      <c r="E55" s="14">
        <f t="shared" si="22"/>
        <v>45850</v>
      </c>
      <c r="F55" s="15">
        <f t="shared" si="22"/>
        <v>5960.5</v>
      </c>
      <c r="G55" s="17">
        <f t="shared" si="22"/>
        <v>160000</v>
      </c>
      <c r="H55" s="18">
        <f t="shared" si="22"/>
        <v>700</v>
      </c>
      <c r="I55" s="15">
        <f t="shared" si="22"/>
        <v>91</v>
      </c>
      <c r="J55" s="16">
        <f t="shared" si="22"/>
        <v>0</v>
      </c>
      <c r="K55" s="19">
        <f t="shared" si="22"/>
        <v>293150</v>
      </c>
      <c r="L55" s="15">
        <f t="shared" si="22"/>
        <v>38100</v>
      </c>
      <c r="M55" s="15">
        <f t="shared" si="22"/>
        <v>202500</v>
      </c>
      <c r="N55" s="15">
        <f t="shared" si="22"/>
        <v>0</v>
      </c>
      <c r="O55" s="17">
        <f t="shared" si="13"/>
        <v>52550</v>
      </c>
    </row>
    <row r="56" spans="1:15" x14ac:dyDescent="0.35">
      <c r="A56" s="13" t="s">
        <v>26</v>
      </c>
      <c r="B56" s="14">
        <f t="shared" ref="B56:N56" si="23">B17</f>
        <v>192950</v>
      </c>
      <c r="C56" s="15">
        <f t="shared" si="23"/>
        <v>25083.5</v>
      </c>
      <c r="D56" s="16">
        <f t="shared" si="23"/>
        <v>357000</v>
      </c>
      <c r="E56" s="14">
        <f t="shared" si="23"/>
        <v>25500</v>
      </c>
      <c r="F56" s="15">
        <f t="shared" si="23"/>
        <v>3315</v>
      </c>
      <c r="G56" s="17">
        <f t="shared" si="23"/>
        <v>0</v>
      </c>
      <c r="H56" s="18">
        <f t="shared" si="23"/>
        <v>6200</v>
      </c>
      <c r="I56" s="15">
        <f t="shared" si="23"/>
        <v>806</v>
      </c>
      <c r="J56" s="16">
        <f t="shared" si="23"/>
        <v>0</v>
      </c>
      <c r="K56" s="19">
        <f t="shared" si="23"/>
        <v>224650</v>
      </c>
      <c r="L56" s="15">
        <f t="shared" si="23"/>
        <v>29200</v>
      </c>
      <c r="M56" s="15">
        <f t="shared" si="23"/>
        <v>357000</v>
      </c>
      <c r="N56" s="15">
        <f t="shared" si="23"/>
        <v>0</v>
      </c>
      <c r="O56" s="17">
        <f t="shared" si="13"/>
        <v>-161550</v>
      </c>
    </row>
    <row r="57" spans="1:15" x14ac:dyDescent="0.35">
      <c r="A57" s="20" t="s">
        <v>27</v>
      </c>
      <c r="B57" s="14">
        <f t="shared" ref="B57:N57" si="24">B18</f>
        <v>200300</v>
      </c>
      <c r="C57" s="15">
        <f t="shared" si="24"/>
        <v>26039</v>
      </c>
      <c r="D57" s="16">
        <f t="shared" si="24"/>
        <v>72250</v>
      </c>
      <c r="E57" s="14">
        <f t="shared" si="24"/>
        <v>23200</v>
      </c>
      <c r="F57" s="15">
        <f t="shared" si="24"/>
        <v>3016</v>
      </c>
      <c r="G57" s="17">
        <f t="shared" si="24"/>
        <v>40000</v>
      </c>
      <c r="H57" s="18">
        <f t="shared" si="24"/>
        <v>2400</v>
      </c>
      <c r="I57" s="15">
        <f t="shared" si="24"/>
        <v>312</v>
      </c>
      <c r="J57" s="16">
        <f t="shared" si="24"/>
        <v>0</v>
      </c>
      <c r="K57" s="19">
        <f t="shared" si="24"/>
        <v>225900</v>
      </c>
      <c r="L57" s="15">
        <f t="shared" si="24"/>
        <v>29350</v>
      </c>
      <c r="M57" s="15">
        <f t="shared" si="24"/>
        <v>112250</v>
      </c>
      <c r="N57" s="15">
        <f t="shared" si="24"/>
        <v>0</v>
      </c>
      <c r="O57" s="17">
        <f t="shared" si="13"/>
        <v>84300</v>
      </c>
    </row>
    <row r="58" spans="1:15" x14ac:dyDescent="0.35">
      <c r="A58" s="20" t="s">
        <v>28</v>
      </c>
      <c r="B58" s="14">
        <f t="shared" ref="B58:N58" si="25">B19</f>
        <v>191650</v>
      </c>
      <c r="C58" s="15">
        <f t="shared" si="25"/>
        <v>24914.5</v>
      </c>
      <c r="D58" s="16">
        <f t="shared" si="25"/>
        <v>17000</v>
      </c>
      <c r="E58" s="14">
        <f t="shared" si="25"/>
        <v>20700</v>
      </c>
      <c r="F58" s="15">
        <f t="shared" si="25"/>
        <v>2691</v>
      </c>
      <c r="G58" s="17">
        <f t="shared" si="25"/>
        <v>0</v>
      </c>
      <c r="H58" s="18">
        <f t="shared" si="25"/>
        <v>8400</v>
      </c>
      <c r="I58" s="15">
        <f t="shared" si="25"/>
        <v>1092</v>
      </c>
      <c r="J58" s="16">
        <f t="shared" si="25"/>
        <v>0</v>
      </c>
      <c r="K58" s="19">
        <f t="shared" si="25"/>
        <v>220750</v>
      </c>
      <c r="L58" s="15">
        <f t="shared" si="25"/>
        <v>28700</v>
      </c>
      <c r="M58" s="15">
        <f t="shared" si="25"/>
        <v>17000</v>
      </c>
      <c r="N58" s="15">
        <f t="shared" si="25"/>
        <v>0</v>
      </c>
      <c r="O58" s="17">
        <f t="shared" si="13"/>
        <v>175050</v>
      </c>
    </row>
    <row r="59" spans="1:15" x14ac:dyDescent="0.35">
      <c r="A59" s="13" t="s">
        <v>29</v>
      </c>
      <c r="B59" s="14">
        <f t="shared" ref="B59:N59" si="26">B20</f>
        <v>167650</v>
      </c>
      <c r="C59" s="15">
        <f t="shared" si="26"/>
        <v>21794.5</v>
      </c>
      <c r="D59" s="16">
        <f t="shared" si="26"/>
        <v>0</v>
      </c>
      <c r="E59" s="14">
        <f t="shared" si="26"/>
        <v>12900</v>
      </c>
      <c r="F59" s="15">
        <f t="shared" si="26"/>
        <v>1677</v>
      </c>
      <c r="G59" s="17">
        <f t="shared" si="26"/>
        <v>0</v>
      </c>
      <c r="H59" s="18">
        <f t="shared" si="26"/>
        <v>8900</v>
      </c>
      <c r="I59" s="15">
        <f t="shared" si="26"/>
        <v>1157</v>
      </c>
      <c r="J59" s="16">
        <f t="shared" si="26"/>
        <v>0</v>
      </c>
      <c r="K59" s="19">
        <f t="shared" si="26"/>
        <v>189450</v>
      </c>
      <c r="L59" s="15">
        <f t="shared" si="26"/>
        <v>24650</v>
      </c>
      <c r="M59" s="15">
        <f t="shared" si="26"/>
        <v>0</v>
      </c>
      <c r="N59" s="15">
        <f t="shared" si="26"/>
        <v>0</v>
      </c>
      <c r="O59" s="17">
        <f t="shared" si="13"/>
        <v>164800</v>
      </c>
    </row>
    <row r="60" spans="1:15" x14ac:dyDescent="0.35">
      <c r="A60" s="20" t="s">
        <v>30</v>
      </c>
      <c r="B60" s="14">
        <f t="shared" ref="B60:N60" si="27">B21</f>
        <v>137400</v>
      </c>
      <c r="C60" s="81">
        <f t="shared" si="27"/>
        <v>17862</v>
      </c>
      <c r="D60" s="82">
        <f t="shared" si="27"/>
        <v>102000</v>
      </c>
      <c r="E60" s="14">
        <f t="shared" si="27"/>
        <v>19050</v>
      </c>
      <c r="F60" s="81">
        <f t="shared" si="27"/>
        <v>2476.5</v>
      </c>
      <c r="G60" s="85">
        <f t="shared" si="27"/>
        <v>0</v>
      </c>
      <c r="H60" s="19">
        <f t="shared" si="27"/>
        <v>11350</v>
      </c>
      <c r="I60" s="15">
        <f t="shared" si="27"/>
        <v>1475.5</v>
      </c>
      <c r="J60" s="17">
        <f t="shared" si="27"/>
        <v>0</v>
      </c>
      <c r="K60" s="19">
        <f t="shared" si="27"/>
        <v>167800</v>
      </c>
      <c r="L60" s="15">
        <f t="shared" si="27"/>
        <v>21800</v>
      </c>
      <c r="M60" s="15">
        <f t="shared" si="27"/>
        <v>102000</v>
      </c>
      <c r="N60" s="15">
        <f t="shared" si="27"/>
        <v>0</v>
      </c>
      <c r="O60" s="17">
        <f t="shared" ref="O60:O61" si="28">+O20</f>
        <v>164800</v>
      </c>
    </row>
    <row r="61" spans="1:15" x14ac:dyDescent="0.35">
      <c r="A61" s="13" t="s">
        <v>31</v>
      </c>
      <c r="B61" s="14">
        <f t="shared" ref="B61:N61" si="29">B22</f>
        <v>161600</v>
      </c>
      <c r="C61" s="81">
        <f t="shared" si="29"/>
        <v>21008</v>
      </c>
      <c r="D61" s="82">
        <f t="shared" si="29"/>
        <v>55250</v>
      </c>
      <c r="E61" s="14">
        <f t="shared" si="29"/>
        <v>34700</v>
      </c>
      <c r="F61" s="81">
        <f t="shared" si="29"/>
        <v>4511</v>
      </c>
      <c r="G61" s="85">
        <f t="shared" si="29"/>
        <v>12000</v>
      </c>
      <c r="H61" s="19">
        <f t="shared" si="29"/>
        <v>1450</v>
      </c>
      <c r="I61" s="15">
        <f t="shared" si="29"/>
        <v>188.5</v>
      </c>
      <c r="J61" s="17">
        <f t="shared" si="29"/>
        <v>0</v>
      </c>
      <c r="K61" s="19">
        <f t="shared" si="29"/>
        <v>197750</v>
      </c>
      <c r="L61" s="15">
        <f t="shared" si="29"/>
        <v>25700</v>
      </c>
      <c r="M61" s="15">
        <f t="shared" si="29"/>
        <v>67250</v>
      </c>
      <c r="N61" s="15">
        <f t="shared" si="29"/>
        <v>0</v>
      </c>
      <c r="O61" s="17">
        <f t="shared" si="28"/>
        <v>44000</v>
      </c>
    </row>
    <row r="62" spans="1:15" x14ac:dyDescent="0.35">
      <c r="A62" s="20" t="s">
        <v>32</v>
      </c>
      <c r="B62" s="14">
        <f t="shared" ref="B62:N62" si="30">B23</f>
        <v>220550</v>
      </c>
      <c r="C62" s="81">
        <f t="shared" si="30"/>
        <v>28671.5</v>
      </c>
      <c r="D62" s="82">
        <f t="shared" si="30"/>
        <v>450500</v>
      </c>
      <c r="E62" s="14">
        <f t="shared" si="30"/>
        <v>31650</v>
      </c>
      <c r="F62" s="81">
        <f t="shared" si="30"/>
        <v>4114.5</v>
      </c>
      <c r="G62" s="85">
        <f t="shared" si="30"/>
        <v>36000</v>
      </c>
      <c r="H62" s="19">
        <f t="shared" si="30"/>
        <v>4000</v>
      </c>
      <c r="I62" s="15">
        <f t="shared" si="30"/>
        <v>520</v>
      </c>
      <c r="J62" s="17">
        <f t="shared" si="30"/>
        <v>0</v>
      </c>
      <c r="K62" s="19">
        <f t="shared" si="30"/>
        <v>256200</v>
      </c>
      <c r="L62" s="15">
        <f t="shared" si="30"/>
        <v>33300</v>
      </c>
      <c r="M62" s="15">
        <f t="shared" si="30"/>
        <v>486500</v>
      </c>
      <c r="N62" s="15">
        <f t="shared" si="30"/>
        <v>0</v>
      </c>
      <c r="O62" s="17">
        <f t="shared" ref="O62:O75" si="31">+O22</f>
        <v>104800</v>
      </c>
    </row>
    <row r="63" spans="1:15" x14ac:dyDescent="0.35">
      <c r="A63" s="13" t="s">
        <v>33</v>
      </c>
      <c r="B63" s="14">
        <f t="shared" ref="B63:N63" si="32">B24</f>
        <v>172750</v>
      </c>
      <c r="C63" s="81">
        <f t="shared" si="32"/>
        <v>22457.5</v>
      </c>
      <c r="D63" s="82">
        <f t="shared" si="32"/>
        <v>191250</v>
      </c>
      <c r="E63" s="14">
        <f t="shared" si="32"/>
        <v>31800</v>
      </c>
      <c r="F63" s="81">
        <f t="shared" si="32"/>
        <v>4134</v>
      </c>
      <c r="G63" s="85">
        <f t="shared" si="32"/>
        <v>0</v>
      </c>
      <c r="H63" s="19">
        <f t="shared" si="32"/>
        <v>12000</v>
      </c>
      <c r="I63" s="15">
        <f t="shared" si="32"/>
        <v>1560</v>
      </c>
      <c r="J63" s="17">
        <f t="shared" si="32"/>
        <v>0</v>
      </c>
      <c r="K63" s="19">
        <f t="shared" si="32"/>
        <v>216550</v>
      </c>
      <c r="L63" s="15">
        <f t="shared" si="32"/>
        <v>28150</v>
      </c>
      <c r="M63" s="15">
        <f t="shared" si="32"/>
        <v>191250</v>
      </c>
      <c r="N63" s="15">
        <f t="shared" si="32"/>
        <v>0</v>
      </c>
      <c r="O63" s="17">
        <f t="shared" si="31"/>
        <v>-263600</v>
      </c>
    </row>
    <row r="64" spans="1:15" x14ac:dyDescent="0.35">
      <c r="A64" s="20" t="s">
        <v>34</v>
      </c>
      <c r="B64" s="14">
        <f t="shared" ref="B64:N64" si="33">B25</f>
        <v>162550</v>
      </c>
      <c r="C64" s="81">
        <f t="shared" si="33"/>
        <v>21131.5</v>
      </c>
      <c r="D64" s="82">
        <f t="shared" si="33"/>
        <v>63750</v>
      </c>
      <c r="E64" s="14">
        <f t="shared" si="33"/>
        <v>20950</v>
      </c>
      <c r="F64" s="81">
        <f t="shared" si="33"/>
        <v>2723.5</v>
      </c>
      <c r="G64" s="85">
        <f t="shared" si="33"/>
        <v>120000</v>
      </c>
      <c r="H64" s="19">
        <f t="shared" si="33"/>
        <v>5400</v>
      </c>
      <c r="I64" s="15">
        <f t="shared" si="33"/>
        <v>702</v>
      </c>
      <c r="J64" s="17">
        <f t="shared" si="33"/>
        <v>0</v>
      </c>
      <c r="K64" s="19">
        <f t="shared" si="33"/>
        <v>188900</v>
      </c>
      <c r="L64" s="15">
        <f t="shared" si="33"/>
        <v>24550</v>
      </c>
      <c r="M64" s="15">
        <f t="shared" si="33"/>
        <v>183750</v>
      </c>
      <c r="N64" s="15">
        <f t="shared" si="33"/>
        <v>0</v>
      </c>
      <c r="O64" s="17">
        <f t="shared" si="31"/>
        <v>-2850</v>
      </c>
    </row>
    <row r="65" spans="1:15" x14ac:dyDescent="0.35">
      <c r="A65" s="13" t="s">
        <v>35</v>
      </c>
      <c r="B65" s="14">
        <f t="shared" ref="B65:N65" si="34">B26</f>
        <v>130850</v>
      </c>
      <c r="C65" s="81">
        <f t="shared" si="34"/>
        <v>17010.5</v>
      </c>
      <c r="D65" s="82">
        <f t="shared" si="34"/>
        <v>85000</v>
      </c>
      <c r="E65" s="14">
        <f t="shared" si="34"/>
        <v>19800</v>
      </c>
      <c r="F65" s="81">
        <f t="shared" si="34"/>
        <v>2574</v>
      </c>
      <c r="G65" s="85">
        <f t="shared" si="34"/>
        <v>0</v>
      </c>
      <c r="H65" s="19">
        <f t="shared" si="34"/>
        <v>2250</v>
      </c>
      <c r="I65" s="15">
        <f t="shared" si="34"/>
        <v>292.5</v>
      </c>
      <c r="J65" s="17">
        <f t="shared" si="34"/>
        <v>0</v>
      </c>
      <c r="K65" s="19">
        <f t="shared" si="34"/>
        <v>152900</v>
      </c>
      <c r="L65" s="15">
        <f t="shared" si="34"/>
        <v>19900</v>
      </c>
      <c r="M65" s="15">
        <f t="shared" si="34"/>
        <v>85000</v>
      </c>
      <c r="N65" s="15">
        <f t="shared" si="34"/>
        <v>0</v>
      </c>
      <c r="O65" s="17">
        <f t="shared" si="31"/>
        <v>-19400</v>
      </c>
    </row>
    <row r="66" spans="1:15" x14ac:dyDescent="0.35">
      <c r="A66" s="20" t="s">
        <v>36</v>
      </c>
      <c r="B66" s="14">
        <f t="shared" ref="B66:N66" si="35">B27</f>
        <v>122500</v>
      </c>
      <c r="C66" s="81">
        <f t="shared" si="35"/>
        <v>15925</v>
      </c>
      <c r="D66" s="82">
        <f t="shared" si="35"/>
        <v>123250</v>
      </c>
      <c r="E66" s="14">
        <f t="shared" si="35"/>
        <v>21350</v>
      </c>
      <c r="F66" s="81">
        <f t="shared" si="35"/>
        <v>2775.5</v>
      </c>
      <c r="G66" s="85">
        <f t="shared" si="35"/>
        <v>8000</v>
      </c>
      <c r="H66" s="19">
        <f t="shared" si="35"/>
        <v>5400</v>
      </c>
      <c r="I66" s="15">
        <f t="shared" si="35"/>
        <v>702</v>
      </c>
      <c r="J66" s="17">
        <f t="shared" si="35"/>
        <v>0</v>
      </c>
      <c r="K66" s="19">
        <f t="shared" si="35"/>
        <v>149250</v>
      </c>
      <c r="L66" s="15">
        <f t="shared" si="35"/>
        <v>19400</v>
      </c>
      <c r="M66" s="15">
        <f t="shared" si="35"/>
        <v>131250</v>
      </c>
      <c r="N66" s="15">
        <f t="shared" si="35"/>
        <v>0</v>
      </c>
      <c r="O66" s="17">
        <f t="shared" si="31"/>
        <v>48000</v>
      </c>
    </row>
    <row r="67" spans="1:15" x14ac:dyDescent="0.35">
      <c r="A67" s="13" t="s">
        <v>37</v>
      </c>
      <c r="B67" s="14">
        <f t="shared" ref="B67:N67" si="36">B28</f>
        <v>173800</v>
      </c>
      <c r="C67" s="81">
        <f t="shared" si="36"/>
        <v>22594</v>
      </c>
      <c r="D67" s="82">
        <f t="shared" si="36"/>
        <v>21250</v>
      </c>
      <c r="E67" s="14">
        <f t="shared" si="36"/>
        <v>16000</v>
      </c>
      <c r="F67" s="81">
        <f t="shared" si="36"/>
        <v>2080</v>
      </c>
      <c r="G67" s="85">
        <f t="shared" si="36"/>
        <v>0</v>
      </c>
      <c r="H67" s="19">
        <f t="shared" si="36"/>
        <v>2000</v>
      </c>
      <c r="I67" s="15">
        <f t="shared" si="36"/>
        <v>260</v>
      </c>
      <c r="J67" s="17">
        <f t="shared" si="36"/>
        <v>0</v>
      </c>
      <c r="K67" s="19">
        <f t="shared" si="36"/>
        <v>191800</v>
      </c>
      <c r="L67" s="15">
        <f t="shared" si="36"/>
        <v>24950</v>
      </c>
      <c r="M67" s="15">
        <f t="shared" si="36"/>
        <v>21250</v>
      </c>
      <c r="N67" s="15">
        <f t="shared" si="36"/>
        <v>0</v>
      </c>
      <c r="O67" s="17">
        <f t="shared" si="31"/>
        <v>-1400</v>
      </c>
    </row>
    <row r="68" spans="1:15" x14ac:dyDescent="0.35">
      <c r="A68" s="20" t="s">
        <v>38</v>
      </c>
      <c r="B68" s="14">
        <f t="shared" ref="B68:N68" si="37">B29</f>
        <v>144600</v>
      </c>
      <c r="C68" s="81">
        <f t="shared" si="37"/>
        <v>18798</v>
      </c>
      <c r="D68" s="82">
        <f t="shared" si="37"/>
        <v>76500</v>
      </c>
      <c r="E68" s="14">
        <f t="shared" si="37"/>
        <v>28700</v>
      </c>
      <c r="F68" s="81">
        <f t="shared" si="37"/>
        <v>3731</v>
      </c>
      <c r="G68" s="85">
        <f t="shared" si="37"/>
        <v>160000</v>
      </c>
      <c r="H68" s="19">
        <f t="shared" si="37"/>
        <v>4000</v>
      </c>
      <c r="I68" s="15">
        <f t="shared" si="37"/>
        <v>520</v>
      </c>
      <c r="J68" s="17">
        <f t="shared" si="37"/>
        <v>0</v>
      </c>
      <c r="K68" s="19">
        <f t="shared" si="37"/>
        <v>177300</v>
      </c>
      <c r="L68" s="15">
        <f t="shared" si="37"/>
        <v>23050</v>
      </c>
      <c r="M68" s="15">
        <f t="shared" si="37"/>
        <v>236500</v>
      </c>
      <c r="N68" s="15">
        <f t="shared" si="37"/>
        <v>0</v>
      </c>
      <c r="O68" s="17">
        <f t="shared" si="31"/>
        <v>145600</v>
      </c>
    </row>
    <row r="69" spans="1:15" x14ac:dyDescent="0.35">
      <c r="A69" s="13" t="s">
        <v>39</v>
      </c>
      <c r="B69" s="14">
        <f t="shared" ref="B69:N69" si="38">B30</f>
        <v>144300</v>
      </c>
      <c r="C69" s="81">
        <f t="shared" si="38"/>
        <v>18759</v>
      </c>
      <c r="D69" s="82">
        <f t="shared" si="38"/>
        <v>114750</v>
      </c>
      <c r="E69" s="14">
        <f t="shared" si="38"/>
        <v>7900</v>
      </c>
      <c r="F69" s="81">
        <f t="shared" si="38"/>
        <v>1027</v>
      </c>
      <c r="G69" s="85">
        <f t="shared" si="38"/>
        <v>8000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152200</v>
      </c>
      <c r="L69" s="15">
        <f t="shared" si="38"/>
        <v>19800</v>
      </c>
      <c r="M69" s="15">
        <f t="shared" si="38"/>
        <v>122750</v>
      </c>
      <c r="N69" s="15">
        <f t="shared" si="38"/>
        <v>0</v>
      </c>
      <c r="O69" s="17">
        <f t="shared" si="31"/>
        <v>-82250</v>
      </c>
    </row>
    <row r="70" spans="1:15" x14ac:dyDescent="0.35">
      <c r="A70" s="20" t="s">
        <v>40</v>
      </c>
      <c r="B70" s="14">
        <f t="shared" ref="B70:N70" si="39">B31</f>
        <v>156050</v>
      </c>
      <c r="C70" s="81">
        <f t="shared" si="39"/>
        <v>20286.5</v>
      </c>
      <c r="D70" s="82">
        <f t="shared" si="39"/>
        <v>0</v>
      </c>
      <c r="E70" s="14">
        <f t="shared" si="39"/>
        <v>22400</v>
      </c>
      <c r="F70" s="81">
        <f t="shared" si="39"/>
        <v>2912</v>
      </c>
      <c r="G70" s="85">
        <f t="shared" si="39"/>
        <v>16000</v>
      </c>
      <c r="H70" s="19">
        <f t="shared" si="39"/>
        <v>7800</v>
      </c>
      <c r="I70" s="15">
        <f t="shared" si="39"/>
        <v>1014</v>
      </c>
      <c r="J70" s="17">
        <f t="shared" si="39"/>
        <v>0</v>
      </c>
      <c r="K70" s="19">
        <f t="shared" si="39"/>
        <v>186250</v>
      </c>
      <c r="L70" s="15">
        <f t="shared" si="39"/>
        <v>24200</v>
      </c>
      <c r="M70" s="15">
        <f t="shared" si="39"/>
        <v>16000</v>
      </c>
      <c r="N70" s="15">
        <f t="shared" si="39"/>
        <v>0</v>
      </c>
      <c r="O70" s="17">
        <f t="shared" si="31"/>
        <v>9650</v>
      </c>
    </row>
    <row r="71" spans="1:15" x14ac:dyDescent="0.35">
      <c r="A71" s="20" t="s">
        <v>41</v>
      </c>
      <c r="B71" s="14">
        <f t="shared" ref="B71:N71" si="40">B32</f>
        <v>122500</v>
      </c>
      <c r="C71" s="81">
        <f t="shared" si="40"/>
        <v>15925</v>
      </c>
      <c r="D71" s="82">
        <f t="shared" si="40"/>
        <v>85000</v>
      </c>
      <c r="E71" s="14">
        <f t="shared" si="40"/>
        <v>9000</v>
      </c>
      <c r="F71" s="81">
        <f t="shared" si="40"/>
        <v>1170</v>
      </c>
      <c r="G71" s="85">
        <f t="shared" si="40"/>
        <v>40000</v>
      </c>
      <c r="H71" s="19">
        <f t="shared" si="40"/>
        <v>3800</v>
      </c>
      <c r="I71" s="15">
        <f t="shared" si="40"/>
        <v>494</v>
      </c>
      <c r="J71" s="17">
        <f t="shared" si="40"/>
        <v>0</v>
      </c>
      <c r="K71" s="19">
        <f t="shared" si="40"/>
        <v>135300</v>
      </c>
      <c r="L71" s="15">
        <f t="shared" si="40"/>
        <v>17600</v>
      </c>
      <c r="M71" s="15">
        <f t="shared" si="40"/>
        <v>125000</v>
      </c>
      <c r="N71" s="15">
        <f t="shared" si="40"/>
        <v>0</v>
      </c>
      <c r="O71" s="17">
        <f t="shared" si="31"/>
        <v>146050</v>
      </c>
    </row>
    <row r="72" spans="1:15" x14ac:dyDescent="0.35">
      <c r="A72" s="13" t="s">
        <v>42</v>
      </c>
      <c r="B72" s="14">
        <f t="shared" ref="B72:N72" si="41">B33</f>
        <v>148200</v>
      </c>
      <c r="C72" s="81">
        <f t="shared" si="41"/>
        <v>19266</v>
      </c>
      <c r="D72" s="82">
        <f t="shared" si="41"/>
        <v>174250</v>
      </c>
      <c r="E72" s="14">
        <f t="shared" si="41"/>
        <v>34350</v>
      </c>
      <c r="F72" s="81">
        <f t="shared" si="41"/>
        <v>4465.5</v>
      </c>
      <c r="G72" s="85">
        <f t="shared" si="41"/>
        <v>80000</v>
      </c>
      <c r="H72" s="19">
        <f t="shared" si="41"/>
        <v>8000</v>
      </c>
      <c r="I72" s="15">
        <f t="shared" si="41"/>
        <v>1040</v>
      </c>
      <c r="J72" s="17">
        <f t="shared" si="41"/>
        <v>0</v>
      </c>
      <c r="K72" s="19">
        <f t="shared" si="41"/>
        <v>190550</v>
      </c>
      <c r="L72" s="15">
        <f t="shared" si="41"/>
        <v>24750</v>
      </c>
      <c r="M72" s="15">
        <f t="shared" si="41"/>
        <v>254250</v>
      </c>
      <c r="N72" s="15">
        <f t="shared" si="41"/>
        <v>0</v>
      </c>
      <c r="O72" s="17">
        <f t="shared" si="31"/>
        <v>-7300</v>
      </c>
    </row>
    <row r="73" spans="1:15" x14ac:dyDescent="0.35">
      <c r="A73" s="20" t="s">
        <v>43</v>
      </c>
      <c r="B73" s="14">
        <f t="shared" ref="B73:N73" si="42">B34</f>
        <v>138200</v>
      </c>
      <c r="C73" s="81">
        <f t="shared" si="42"/>
        <v>17966</v>
      </c>
      <c r="D73" s="82">
        <f t="shared" si="42"/>
        <v>85000</v>
      </c>
      <c r="E73" s="14">
        <f t="shared" si="42"/>
        <v>2250</v>
      </c>
      <c r="F73" s="81">
        <f t="shared" si="42"/>
        <v>292.5</v>
      </c>
      <c r="G73" s="85">
        <f t="shared" si="42"/>
        <v>0</v>
      </c>
      <c r="H73" s="19">
        <f t="shared" si="42"/>
        <v>9000</v>
      </c>
      <c r="I73" s="15">
        <f t="shared" si="42"/>
        <v>1170</v>
      </c>
      <c r="J73" s="17">
        <f t="shared" si="42"/>
        <v>0</v>
      </c>
      <c r="K73" s="19">
        <f t="shared" si="42"/>
        <v>149450</v>
      </c>
      <c r="L73" s="15">
        <f t="shared" si="42"/>
        <v>19450</v>
      </c>
      <c r="M73" s="15">
        <f t="shared" si="42"/>
        <v>85000</v>
      </c>
      <c r="N73" s="15">
        <f t="shared" si="42"/>
        <v>0</v>
      </c>
      <c r="O73" s="17">
        <f t="shared" si="31"/>
        <v>-88450</v>
      </c>
    </row>
    <row r="74" spans="1:15" x14ac:dyDescent="0.35">
      <c r="A74" s="13" t="s">
        <v>44</v>
      </c>
      <c r="B74" s="14">
        <f t="shared" ref="B74:N74" si="43">B35</f>
        <v>147450</v>
      </c>
      <c r="C74" s="81">
        <f t="shared" si="43"/>
        <v>19168.5</v>
      </c>
      <c r="D74" s="82">
        <f t="shared" si="43"/>
        <v>127500</v>
      </c>
      <c r="E74" s="14">
        <f t="shared" si="43"/>
        <v>11250</v>
      </c>
      <c r="F74" s="81">
        <f t="shared" si="43"/>
        <v>1462.5</v>
      </c>
      <c r="G74" s="85">
        <f t="shared" si="43"/>
        <v>16000</v>
      </c>
      <c r="H74" s="19">
        <f t="shared" si="43"/>
        <v>1500</v>
      </c>
      <c r="I74" s="15">
        <f t="shared" si="43"/>
        <v>195</v>
      </c>
      <c r="J74" s="17">
        <f t="shared" si="43"/>
        <v>0</v>
      </c>
      <c r="K74" s="19">
        <f t="shared" si="43"/>
        <v>160200</v>
      </c>
      <c r="L74" s="15">
        <f t="shared" si="43"/>
        <v>20850</v>
      </c>
      <c r="M74" s="15">
        <f t="shared" si="43"/>
        <v>143500</v>
      </c>
      <c r="N74" s="15">
        <f t="shared" si="43"/>
        <v>0</v>
      </c>
      <c r="O74" s="17">
        <f t="shared" si="31"/>
        <v>45000</v>
      </c>
    </row>
    <row r="75" spans="1:15" ht="15" thickBot="1" x14ac:dyDescent="0.4">
      <c r="A75" s="20" t="s">
        <v>45</v>
      </c>
      <c r="B75" s="21">
        <f t="shared" ref="B75:N75" si="44">B36</f>
        <v>149250</v>
      </c>
      <c r="C75" s="83">
        <f t="shared" si="44"/>
        <v>19402.5</v>
      </c>
      <c r="D75" s="84">
        <f t="shared" si="44"/>
        <v>0</v>
      </c>
      <c r="E75" s="21">
        <f t="shared" si="44"/>
        <v>39050</v>
      </c>
      <c r="F75" s="83">
        <f t="shared" si="44"/>
        <v>5076.5</v>
      </c>
      <c r="G75" s="86">
        <f t="shared" si="44"/>
        <v>16000</v>
      </c>
      <c r="H75" s="26">
        <f t="shared" si="44"/>
        <v>1500</v>
      </c>
      <c r="I75" s="22">
        <f t="shared" si="44"/>
        <v>195</v>
      </c>
      <c r="J75" s="24">
        <f t="shared" si="44"/>
        <v>0</v>
      </c>
      <c r="K75" s="26">
        <f t="shared" si="44"/>
        <v>189800</v>
      </c>
      <c r="L75" s="22">
        <f t="shared" si="44"/>
        <v>24650</v>
      </c>
      <c r="M75" s="22">
        <f t="shared" si="44"/>
        <v>16000</v>
      </c>
      <c r="N75" s="22">
        <f t="shared" si="44"/>
        <v>0</v>
      </c>
      <c r="O75" s="24">
        <f t="shared" si="31"/>
        <v>-4150</v>
      </c>
    </row>
    <row r="76" spans="1:15" ht="16" thickBot="1" x14ac:dyDescent="0.4">
      <c r="A76" s="5" t="s">
        <v>46</v>
      </c>
      <c r="B76" s="27">
        <f t="shared" ref="B76:N76" si="45">SUM(B44:B75)</f>
        <v>5178850</v>
      </c>
      <c r="C76" s="28">
        <f t="shared" si="45"/>
        <v>673250.5</v>
      </c>
      <c r="D76" s="29">
        <f t="shared" si="45"/>
        <v>3748500</v>
      </c>
      <c r="E76" s="30">
        <f t="shared" si="45"/>
        <v>726950</v>
      </c>
      <c r="F76" s="28">
        <f t="shared" si="45"/>
        <v>94503.5</v>
      </c>
      <c r="G76" s="31">
        <f t="shared" si="45"/>
        <v>888000</v>
      </c>
      <c r="H76" s="27">
        <f t="shared" si="45"/>
        <v>128700</v>
      </c>
      <c r="I76" s="28">
        <f t="shared" si="45"/>
        <v>16731</v>
      </c>
      <c r="J76" s="29">
        <f t="shared" si="45"/>
        <v>0</v>
      </c>
      <c r="K76" s="60">
        <f t="shared" si="45"/>
        <v>6034500</v>
      </c>
      <c r="L76" s="32">
        <f t="shared" si="45"/>
        <v>784550</v>
      </c>
      <c r="M76" s="32">
        <f t="shared" si="45"/>
        <v>4636500</v>
      </c>
      <c r="N76" s="32">
        <f t="shared" si="45"/>
        <v>0</v>
      </c>
      <c r="O76" s="33">
        <f>SUM(O44:O75)</f>
        <v>629100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9" t="s">
        <v>0</v>
      </c>
      <c r="I1" s="140"/>
      <c r="J1" s="140"/>
      <c r="K1" s="140"/>
      <c r="L1" s="140"/>
      <c r="M1" s="140"/>
      <c r="N1" s="140"/>
      <c r="O1" s="141"/>
    </row>
    <row r="2" spans="1:15" ht="19" thickBot="1" x14ac:dyDescent="0.5">
      <c r="A2" s="2" t="s">
        <v>1</v>
      </c>
      <c r="B2" s="142" t="s">
        <v>114</v>
      </c>
      <c r="C2" s="142"/>
      <c r="D2" s="142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[11]Vendedor3!$J$4</f>
        <v>0</v>
      </c>
      <c r="C6" s="58">
        <f>[11]Vendedor3!$K$4</f>
        <v>0</v>
      </c>
      <c r="D6" s="54">
        <f>[11]Vendedor3!$L$4</f>
        <v>0</v>
      </c>
      <c r="E6" s="53">
        <f>[11]Vendedor3!$J$5</f>
        <v>0</v>
      </c>
      <c r="F6" s="58">
        <f>[11]Vendedor3!$K$5</f>
        <v>0</v>
      </c>
      <c r="G6" s="55">
        <f>[11]Vendedor3!$L$5</f>
        <v>0</v>
      </c>
      <c r="H6" s="61">
        <f>[11]Vendedor3!$J$6</f>
        <v>0</v>
      </c>
      <c r="I6" s="58">
        <f>[11]Vendedor3!$K$6</f>
        <v>0</v>
      </c>
      <c r="J6" s="54">
        <f>[11]Vendedor3!$L$6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[12]Vendedor3!$J$4</f>
        <v>0</v>
      </c>
      <c r="C7" s="15">
        <f>[12]Vendedor3!$K$4</f>
        <v>0</v>
      </c>
      <c r="D7" s="16">
        <f>[12]Vendedor3!$L$4</f>
        <v>0</v>
      </c>
      <c r="E7" s="14">
        <f>[12]Vendedor3!$J$5</f>
        <v>0</v>
      </c>
      <c r="F7" s="15">
        <f>[12]Vendedor3!$K$5</f>
        <v>0</v>
      </c>
      <c r="G7" s="17">
        <f>[12]Vendedor3!$L$5</f>
        <v>0</v>
      </c>
      <c r="H7" s="18">
        <f>[12]Vendedor3!$J$6</f>
        <v>0</v>
      </c>
      <c r="I7" s="15">
        <f>[12]Vendedor3!$K$6</f>
        <v>0</v>
      </c>
      <c r="J7" s="16">
        <f>[12]Vendedor3!$L$6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[13]Vendedor3!$J$4</f>
        <v>0</v>
      </c>
      <c r="C8" s="15">
        <f>[13]Vendedor3!$K$4</f>
        <v>0</v>
      </c>
      <c r="D8" s="16">
        <f>[13]Vendedor3!$L$4</f>
        <v>0</v>
      </c>
      <c r="E8" s="14">
        <f>[13]Vendedor3!$J$5</f>
        <v>0</v>
      </c>
      <c r="F8" s="15">
        <f>[13]Vendedor3!$K$5</f>
        <v>0</v>
      </c>
      <c r="G8" s="17">
        <f>[13]Vendedor3!$L$5</f>
        <v>0</v>
      </c>
      <c r="H8" s="18">
        <f>[13]Vendedor3!$J$6</f>
        <v>0</v>
      </c>
      <c r="I8" s="15">
        <f>[13]Vendedor3!$K$6</f>
        <v>0</v>
      </c>
      <c r="J8" s="16">
        <f>[13]Vendedor3!$L$6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[14]Vendedor3!$J$4</f>
        <v>0</v>
      </c>
      <c r="C9" s="15">
        <f>[14]Vendedor3!$K$4</f>
        <v>0</v>
      </c>
      <c r="D9" s="16">
        <f>[14]Vendedor3!$L$4</f>
        <v>0</v>
      </c>
      <c r="E9" s="14">
        <f>[14]Vendedor3!$J$5</f>
        <v>0</v>
      </c>
      <c r="F9" s="15">
        <f>[14]Vendedor3!$K$5</f>
        <v>0</v>
      </c>
      <c r="G9" s="17">
        <f>[14]Vendedor3!$L$5</f>
        <v>0</v>
      </c>
      <c r="H9" s="18">
        <f>[14]Vendedor3!$J$6</f>
        <v>0</v>
      </c>
      <c r="I9" s="15">
        <f>[14]Vendedor3!$K$6</f>
        <v>0</v>
      </c>
      <c r="J9" s="16">
        <f>[14]Vendedor3!$L$6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[15]Vendedor3!$J$4</f>
        <v>0</v>
      </c>
      <c r="C10" s="15">
        <f>[15]Vendedor3!$K$4</f>
        <v>0</v>
      </c>
      <c r="D10" s="16">
        <f>[15]Vendedor3!$L$4</f>
        <v>0</v>
      </c>
      <c r="E10" s="14">
        <f>[15]Vendedor3!$J$5</f>
        <v>0</v>
      </c>
      <c r="F10" s="15">
        <f>[15]Vendedor3!$K$5</f>
        <v>0</v>
      </c>
      <c r="G10" s="17">
        <f>[15]Vendedor3!$L$5</f>
        <v>0</v>
      </c>
      <c r="H10" s="18">
        <f>[15]Vendedor3!$J$6</f>
        <v>0</v>
      </c>
      <c r="I10" s="15">
        <f>[15]Vendedor3!$K$6</f>
        <v>0</v>
      </c>
      <c r="J10" s="16">
        <f>[15]Vendedor3!$L$6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[16]Vendedor3!$J$4</f>
        <v>0</v>
      </c>
      <c r="C11" s="15">
        <f>[16]Vendedor3!$K$4</f>
        <v>0</v>
      </c>
      <c r="D11" s="16">
        <f>[16]Vendedor3!$L$4</f>
        <v>0</v>
      </c>
      <c r="E11" s="14">
        <f>[16]Vendedor3!$J$5</f>
        <v>0</v>
      </c>
      <c r="F11" s="15">
        <f>[16]Vendedor3!$K$5</f>
        <v>0</v>
      </c>
      <c r="G11" s="17">
        <f>[16]Vendedor3!$L$5</f>
        <v>0</v>
      </c>
      <c r="H11" s="18">
        <f>[16]Vendedor3!$J$6</f>
        <v>0</v>
      </c>
      <c r="I11" s="15">
        <f>[16]Vendedor3!$K$6</f>
        <v>0</v>
      </c>
      <c r="J11" s="16">
        <f>[16]Vendedor3!$L$6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[17]Vendedor3!$J$4</f>
        <v>0</v>
      </c>
      <c r="C12" s="15">
        <f>[17]Vendedor3!$K$4</f>
        <v>0</v>
      </c>
      <c r="D12" s="16">
        <f>[17]Vendedor3!$L$4</f>
        <v>0</v>
      </c>
      <c r="E12" s="14">
        <f>[17]Vendedor3!$J$5</f>
        <v>0</v>
      </c>
      <c r="F12" s="15">
        <f>[17]Vendedor3!$K$5</f>
        <v>0</v>
      </c>
      <c r="G12" s="17">
        <f>[17]Vendedor3!$L$5</f>
        <v>0</v>
      </c>
      <c r="H12" s="18">
        <f>[17]Vendedor3!$J$6</f>
        <v>0</v>
      </c>
      <c r="I12" s="15">
        <f>[17]Vendedor3!$K$6</f>
        <v>0</v>
      </c>
      <c r="J12" s="16">
        <f>[17]Vendedor3!$L$6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[18]Vendedor3!$J$4</f>
        <v>0</v>
      </c>
      <c r="C13" s="15">
        <f>[18]Vendedor3!$K$4</f>
        <v>0</v>
      </c>
      <c r="D13" s="16">
        <f>[18]Vendedor3!$L$4</f>
        <v>0</v>
      </c>
      <c r="E13" s="14">
        <f>[18]Vendedor3!$J$5</f>
        <v>0</v>
      </c>
      <c r="F13" s="15">
        <f>[18]Vendedor3!$K$5</f>
        <v>0</v>
      </c>
      <c r="G13" s="17">
        <f>[18]Vendedor3!$L$5</f>
        <v>0</v>
      </c>
      <c r="H13" s="18">
        <f>[18]Vendedor3!$J$6</f>
        <v>0</v>
      </c>
      <c r="I13" s="15">
        <f>[18]Vendedor3!$K$6</f>
        <v>0</v>
      </c>
      <c r="J13" s="16">
        <f>[18]Vendedor3!$L$6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[19]Vendedor3!$J$4</f>
        <v>0</v>
      </c>
      <c r="C14" s="15">
        <f>[19]Vendedor3!$K$4</f>
        <v>0</v>
      </c>
      <c r="D14" s="16">
        <f>[19]Vendedor3!$L$4</f>
        <v>0</v>
      </c>
      <c r="E14" s="14">
        <f>[19]Vendedor3!$J$5</f>
        <v>0</v>
      </c>
      <c r="F14" s="15">
        <f>[19]Vendedor3!$K$5</f>
        <v>0</v>
      </c>
      <c r="G14" s="17">
        <f>[19]Vendedor3!$L$5</f>
        <v>0</v>
      </c>
      <c r="H14" s="18">
        <f>[19]Vendedor3!$J$6</f>
        <v>0</v>
      </c>
      <c r="I14" s="15">
        <f>[19]Vendedor3!$K$6</f>
        <v>0</v>
      </c>
      <c r="J14" s="16">
        <f>[19]Vendedor3!$L$6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[20]Vendedor3!$J$4</f>
        <v>0</v>
      </c>
      <c r="C15" s="15">
        <f>[20]Vendedor3!$K$4</f>
        <v>0</v>
      </c>
      <c r="D15" s="16">
        <f>[20]Vendedor3!$L$4</f>
        <v>0</v>
      </c>
      <c r="E15" s="14">
        <f>[20]Vendedor3!$J$5</f>
        <v>0</v>
      </c>
      <c r="F15" s="15">
        <f>[20]Vendedor3!$K$5</f>
        <v>0</v>
      </c>
      <c r="G15" s="17">
        <f>[20]Vendedor3!$L$5</f>
        <v>0</v>
      </c>
      <c r="H15" s="18">
        <f>[20]Vendedor3!$J$6</f>
        <v>0</v>
      </c>
      <c r="I15" s="15">
        <f>[20]Vendedor3!$K$6</f>
        <v>0</v>
      </c>
      <c r="J15" s="16">
        <f>[20]Vendedor3!$L$6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[21]Vendedor3!$J$4</f>
        <v>0</v>
      </c>
      <c r="C16" s="15">
        <f>[21]Vendedor3!$K$4</f>
        <v>0</v>
      </c>
      <c r="D16" s="16">
        <f>[21]Vendedor3!$L$4</f>
        <v>0</v>
      </c>
      <c r="E16" s="14">
        <f>[21]Vendedor3!$J$5</f>
        <v>0</v>
      </c>
      <c r="F16" s="15">
        <f>[21]Vendedor3!$K$5</f>
        <v>0</v>
      </c>
      <c r="G16" s="17">
        <f>[21]Vendedor3!$L$5</f>
        <v>0</v>
      </c>
      <c r="H16" s="18">
        <f>[21]Vendedor3!$J$6</f>
        <v>0</v>
      </c>
      <c r="I16" s="15">
        <f>[21]Vendedor3!$K$6</f>
        <v>0</v>
      </c>
      <c r="J16" s="16">
        <f>[21]Vendedor3!$L$6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[22]Vendedor3!$J$4</f>
        <v>0</v>
      </c>
      <c r="C17" s="15">
        <f>[22]Vendedor3!$K$4</f>
        <v>0</v>
      </c>
      <c r="D17" s="16">
        <f>[22]Vendedor3!$L$4</f>
        <v>0</v>
      </c>
      <c r="E17" s="14">
        <f>[22]Vendedor3!$J$5</f>
        <v>0</v>
      </c>
      <c r="F17" s="15">
        <f>[22]Vendedor3!$K$5</f>
        <v>0</v>
      </c>
      <c r="G17" s="17">
        <f>[22]Vendedor3!$L$5</f>
        <v>0</v>
      </c>
      <c r="H17" s="18">
        <f>[22]Vendedor3!$J$6</f>
        <v>0</v>
      </c>
      <c r="I17" s="15">
        <f>[22]Vendedor3!$K$6</f>
        <v>0</v>
      </c>
      <c r="J17" s="16">
        <f>[22]Vendedor3!$L$6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[23]Vendedor3!$J$4</f>
        <v>0</v>
      </c>
      <c r="C18" s="15">
        <f>[23]Vendedor3!$K$4</f>
        <v>0</v>
      </c>
      <c r="D18" s="16">
        <f>[23]Vendedor3!$L$4</f>
        <v>0</v>
      </c>
      <c r="E18" s="14">
        <f>[23]Vendedor3!$J$5</f>
        <v>0</v>
      </c>
      <c r="F18" s="15">
        <f>[23]Vendedor3!$K$5</f>
        <v>0</v>
      </c>
      <c r="G18" s="17">
        <f>[23]Vendedor3!$L$5</f>
        <v>0</v>
      </c>
      <c r="H18" s="18">
        <f>[23]Vendedor3!$J$6</f>
        <v>0</v>
      </c>
      <c r="I18" s="15">
        <f>[23]Vendedor3!$K$6</f>
        <v>0</v>
      </c>
      <c r="J18" s="16">
        <f>[23]Vendedor3!$L$6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[24]Vendedor3!$J$4</f>
        <v>0</v>
      </c>
      <c r="C19" s="15">
        <f>[24]Vendedor3!$K$4</f>
        <v>0</v>
      </c>
      <c r="D19" s="16">
        <f>[24]Vendedor3!$L$4</f>
        <v>0</v>
      </c>
      <c r="E19" s="14">
        <f>[24]Vendedor3!$J$5</f>
        <v>0</v>
      </c>
      <c r="F19" s="15">
        <f>[24]Vendedor3!$K$5</f>
        <v>0</v>
      </c>
      <c r="G19" s="17">
        <f>[24]Vendedor3!$L$5</f>
        <v>0</v>
      </c>
      <c r="H19" s="18">
        <f>[24]Vendedor3!$J$6</f>
        <v>0</v>
      </c>
      <c r="I19" s="15">
        <f>[24]Vendedor3!$K$6</f>
        <v>0</v>
      </c>
      <c r="J19" s="16">
        <f>[24]Vendedor3!$L$6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[25]Vendedor3!$J$4</f>
        <v>0</v>
      </c>
      <c r="C20" s="15">
        <f>[25]Vendedor3!$K$4</f>
        <v>0</v>
      </c>
      <c r="D20" s="16">
        <f>[25]Vendedor3!$L$4</f>
        <v>0</v>
      </c>
      <c r="E20" s="14">
        <f>[25]Vendedor3!$J$5</f>
        <v>0</v>
      </c>
      <c r="F20" s="15">
        <f>[25]Vendedor3!$K$5</f>
        <v>0</v>
      </c>
      <c r="G20" s="17">
        <f>[25]Vendedor3!$L$5</f>
        <v>0</v>
      </c>
      <c r="H20" s="18">
        <f>[25]Vendedor3!$J$6</f>
        <v>0</v>
      </c>
      <c r="I20" s="15">
        <f>[25]Vendedor3!$K$6</f>
        <v>0</v>
      </c>
      <c r="J20" s="16">
        <f>[25]Vendedor3!$L$6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[26]Vendedor3!$J$4</f>
        <v>0</v>
      </c>
      <c r="C21" s="81">
        <f>[26]Vendedor3!$K$4</f>
        <v>0</v>
      </c>
      <c r="D21" s="82">
        <f>[26]Vendedor3!$L$4</f>
        <v>0</v>
      </c>
      <c r="E21" s="14">
        <f>[26]Vendedor3!$J$5</f>
        <v>0</v>
      </c>
      <c r="F21" s="81">
        <f>[26]Vendedor3!$K$5</f>
        <v>0</v>
      </c>
      <c r="G21" s="85">
        <f>[26]Vendedor3!$L$5</f>
        <v>0</v>
      </c>
      <c r="H21" s="19">
        <f>[26]Vendedor3!$J$6</f>
        <v>0</v>
      </c>
      <c r="I21" s="15">
        <f>[26]Vendedor3!$K$6</f>
        <v>0</v>
      </c>
      <c r="J21" s="17">
        <f>[26]Vendedor3!$L$6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[27]Vendedor3!$J$4</f>
        <v>0</v>
      </c>
      <c r="C22" s="81">
        <f>[27]Vendedor3!$K$4</f>
        <v>0</v>
      </c>
      <c r="D22" s="82">
        <f>[27]Vendedor3!$L$4</f>
        <v>0</v>
      </c>
      <c r="E22" s="14">
        <f>[27]Vendedor3!$J$5</f>
        <v>0</v>
      </c>
      <c r="F22" s="81">
        <f>[27]Vendedor3!$K$5</f>
        <v>0</v>
      </c>
      <c r="G22" s="85">
        <f>[27]Vendedor3!$L$5</f>
        <v>0</v>
      </c>
      <c r="H22" s="19">
        <f>[27]Vendedor3!$J$6</f>
        <v>0</v>
      </c>
      <c r="I22" s="15">
        <f>[27]Vendedor3!$K$6</f>
        <v>0</v>
      </c>
      <c r="J22" s="17">
        <f>[27]Vendedor3!$L$6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[28]Vendedor3!$J$4</f>
        <v>0</v>
      </c>
      <c r="C23" s="81">
        <f>[28]Vendedor3!$K$4</f>
        <v>0</v>
      </c>
      <c r="D23" s="82">
        <f>[28]Vendedor3!$L$4</f>
        <v>0</v>
      </c>
      <c r="E23" s="14">
        <f>[28]Vendedor3!$J$5</f>
        <v>0</v>
      </c>
      <c r="F23" s="81">
        <f>[28]Vendedor3!$K$5</f>
        <v>0</v>
      </c>
      <c r="G23" s="85">
        <f>[28]Vendedor3!$L$5</f>
        <v>0</v>
      </c>
      <c r="H23" s="19">
        <f>[28]Vendedor3!$J$6</f>
        <v>0</v>
      </c>
      <c r="I23" s="15">
        <f>[28]Vendedor3!$K$6</f>
        <v>0</v>
      </c>
      <c r="J23" s="17">
        <f>[28]Vendedor3!$L$6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[29]Vendedor3!$J$4</f>
        <v>0</v>
      </c>
      <c r="C24" s="81">
        <f>[29]Vendedor3!$K$4</f>
        <v>0</v>
      </c>
      <c r="D24" s="82">
        <f>[29]Vendedor3!$L$4</f>
        <v>0</v>
      </c>
      <c r="E24" s="14">
        <f>[29]Vendedor3!$J$5</f>
        <v>0</v>
      </c>
      <c r="F24" s="81">
        <f>[29]Vendedor3!$K$5</f>
        <v>0</v>
      </c>
      <c r="G24" s="85">
        <f>[29]Vendedor3!$L$5</f>
        <v>0</v>
      </c>
      <c r="H24" s="19">
        <f>[29]Vendedor3!$J$6</f>
        <v>0</v>
      </c>
      <c r="I24" s="15">
        <f>[29]Vendedor3!$K$6</f>
        <v>0</v>
      </c>
      <c r="J24" s="17">
        <f>[29]Vendedor3!$L$6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[30]Vendedor3!$J$4</f>
        <v>0</v>
      </c>
      <c r="C25" s="81">
        <f>[30]Vendedor3!$K$4</f>
        <v>0</v>
      </c>
      <c r="D25" s="82">
        <f>[30]Vendedor3!$L$4</f>
        <v>0</v>
      </c>
      <c r="E25" s="14">
        <f>[30]Vendedor3!$J$5</f>
        <v>0</v>
      </c>
      <c r="F25" s="81">
        <f>[30]Vendedor3!$K$5</f>
        <v>0</v>
      </c>
      <c r="G25" s="85">
        <f>[30]Vendedor3!$L$5</f>
        <v>0</v>
      </c>
      <c r="H25" s="19">
        <f>[30]Vendedor3!$J$6</f>
        <v>0</v>
      </c>
      <c r="I25" s="15">
        <f>[30]Vendedor3!$K$6</f>
        <v>0</v>
      </c>
      <c r="J25" s="17">
        <f>[30]Vendedor3!$L$6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[31]Vendedor3!$J$4</f>
        <v>0</v>
      </c>
      <c r="C26" s="81">
        <f>[31]Vendedor3!$K$4</f>
        <v>0</v>
      </c>
      <c r="D26" s="82">
        <f>[31]Vendedor3!$L$4</f>
        <v>0</v>
      </c>
      <c r="E26" s="14">
        <f>[31]Vendedor3!$J$5</f>
        <v>0</v>
      </c>
      <c r="F26" s="81">
        <f>[31]Vendedor3!$K$5</f>
        <v>0</v>
      </c>
      <c r="G26" s="85">
        <f>[31]Vendedor3!$L$5</f>
        <v>0</v>
      </c>
      <c r="H26" s="19">
        <f>[31]Vendedor3!$J$6</f>
        <v>0</v>
      </c>
      <c r="I26" s="15">
        <f>[31]Vendedor3!$K$6</f>
        <v>0</v>
      </c>
      <c r="J26" s="17">
        <f>[31]Vendedor3!$L$6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[1]Vendedor3!$J$4</f>
        <v>0</v>
      </c>
      <c r="C27" s="81">
        <f>[1]Vendedor3!$K$4</f>
        <v>0</v>
      </c>
      <c r="D27" s="82">
        <f>[1]Vendedor3!$L$4</f>
        <v>0</v>
      </c>
      <c r="E27" s="14">
        <f>[1]Vendedor3!$J$5</f>
        <v>0</v>
      </c>
      <c r="F27" s="81">
        <f>[1]Vendedor3!$K$5</f>
        <v>0</v>
      </c>
      <c r="G27" s="85">
        <f>[1]Vendedor3!$L$5</f>
        <v>0</v>
      </c>
      <c r="H27" s="19">
        <f>[1]Vendedor3!$J$6</f>
        <v>0</v>
      </c>
      <c r="I27" s="15">
        <f>[1]Vendedor3!$K$6</f>
        <v>0</v>
      </c>
      <c r="J27" s="17">
        <f>[1]Vendedor3!$L$6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[2]Vendedor3!$J$4</f>
        <v>0</v>
      </c>
      <c r="C28" s="81">
        <f>[2]Vendedor3!$K$4</f>
        <v>0</v>
      </c>
      <c r="D28" s="82">
        <f>[2]Vendedor3!$L$4</f>
        <v>0</v>
      </c>
      <c r="E28" s="14">
        <f>[2]Vendedor3!$J$5</f>
        <v>0</v>
      </c>
      <c r="F28" s="81">
        <f>[2]Vendedor3!$K$5</f>
        <v>0</v>
      </c>
      <c r="G28" s="85">
        <f>[2]Vendedor3!$L$5</f>
        <v>0</v>
      </c>
      <c r="H28" s="19">
        <f>[2]Vendedor3!$J$6</f>
        <v>0</v>
      </c>
      <c r="I28" s="15">
        <f>[2]Vendedor3!$K$6</f>
        <v>0</v>
      </c>
      <c r="J28" s="17">
        <f>[2]Vendedor3!$L$6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[3]Vendedor3!$J$4</f>
        <v>0</v>
      </c>
      <c r="C29" s="81">
        <f>[3]Vendedor3!$K$4</f>
        <v>0</v>
      </c>
      <c r="D29" s="82">
        <f>[3]Vendedor3!$L$4</f>
        <v>0</v>
      </c>
      <c r="E29" s="14">
        <f>[3]Vendedor3!$J$5</f>
        <v>0</v>
      </c>
      <c r="F29" s="81">
        <f>[3]Vendedor3!$K$5</f>
        <v>0</v>
      </c>
      <c r="G29" s="85">
        <f>[3]Vendedor3!$L$5</f>
        <v>0</v>
      </c>
      <c r="H29" s="19">
        <f>[3]Vendedor3!$J$6</f>
        <v>0</v>
      </c>
      <c r="I29" s="15">
        <f>[3]Vendedor3!$K$6</f>
        <v>0</v>
      </c>
      <c r="J29" s="17">
        <f>[3]Vendedor3!$L$6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[4]Vendedor3!$J$4</f>
        <v>0</v>
      </c>
      <c r="C30" s="81">
        <f>[4]Vendedor3!$K$4</f>
        <v>0</v>
      </c>
      <c r="D30" s="82">
        <f>[4]Vendedor3!$L$4</f>
        <v>0</v>
      </c>
      <c r="E30" s="14">
        <f>[4]Vendedor3!$J$5</f>
        <v>0</v>
      </c>
      <c r="F30" s="81">
        <f>[4]Vendedor3!$K$5</f>
        <v>0</v>
      </c>
      <c r="G30" s="85">
        <f>[4]Vendedor3!$L$5</f>
        <v>0</v>
      </c>
      <c r="H30" s="19">
        <f>[4]Vendedor3!$J$6</f>
        <v>0</v>
      </c>
      <c r="I30" s="15">
        <f>[4]Vendedor3!$K$6</f>
        <v>0</v>
      </c>
      <c r="J30" s="17">
        <f>[4]Vendedor3!$L$6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[5]Vendedor3!$J$4</f>
        <v>0</v>
      </c>
      <c r="C31" s="81">
        <f>[5]Vendedor3!$K$4</f>
        <v>0</v>
      </c>
      <c r="D31" s="82">
        <f>[5]Vendedor3!$L$4</f>
        <v>0</v>
      </c>
      <c r="E31" s="14">
        <f>[5]Vendedor3!$J$5</f>
        <v>0</v>
      </c>
      <c r="F31" s="81">
        <f>[5]Vendedor3!$K$5</f>
        <v>0</v>
      </c>
      <c r="G31" s="85">
        <f>[5]Vendedor3!$L$5</f>
        <v>0</v>
      </c>
      <c r="H31" s="19">
        <f>[5]Vendedor3!$J$6</f>
        <v>0</v>
      </c>
      <c r="I31" s="15">
        <f>[5]Vendedor3!$K$6</f>
        <v>0</v>
      </c>
      <c r="J31" s="17">
        <f>[5]Vendedor3!$L$6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[6]Vendedor3!$J$4</f>
        <v>0</v>
      </c>
      <c r="C32" s="81">
        <f>[6]Vendedor3!$K$4</f>
        <v>0</v>
      </c>
      <c r="D32" s="82">
        <f>[6]Vendedor3!$L$4</f>
        <v>0</v>
      </c>
      <c r="E32" s="14">
        <f>[6]Vendedor3!$J$5</f>
        <v>0</v>
      </c>
      <c r="F32" s="81">
        <f>[6]Vendedor3!$K$5</f>
        <v>0</v>
      </c>
      <c r="G32" s="85">
        <f>[6]Vendedor3!$L$5</f>
        <v>0</v>
      </c>
      <c r="H32" s="19">
        <f>[6]Vendedor3!$J$6</f>
        <v>0</v>
      </c>
      <c r="I32" s="15">
        <f>[6]Vendedor3!$K$6</f>
        <v>0</v>
      </c>
      <c r="J32" s="17">
        <f>[6]Vendedor3!$L$6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[7]Vendedor3!$J$4</f>
        <v>0</v>
      </c>
      <c r="C33" s="81">
        <f>[7]Vendedor3!$K$4</f>
        <v>0</v>
      </c>
      <c r="D33" s="82">
        <f>[7]Vendedor3!$L$4</f>
        <v>0</v>
      </c>
      <c r="E33" s="14">
        <f>[7]Vendedor3!$J$5</f>
        <v>0</v>
      </c>
      <c r="F33" s="81">
        <f>[7]Vendedor3!$K$5</f>
        <v>0</v>
      </c>
      <c r="G33" s="85">
        <f>[7]Vendedor3!$L$5</f>
        <v>0</v>
      </c>
      <c r="H33" s="19">
        <f>[7]Vendedor3!$J$6</f>
        <v>0</v>
      </c>
      <c r="I33" s="15">
        <f>[7]Vendedor3!$K$6</f>
        <v>0</v>
      </c>
      <c r="J33" s="17">
        <f>[7]Vendedor3!$L$6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[8]Vendedor3!$J$4</f>
        <v>0</v>
      </c>
      <c r="C34" s="81">
        <f>[8]Vendedor3!$K$4</f>
        <v>0</v>
      </c>
      <c r="D34" s="82">
        <f>[8]Vendedor3!$L$4</f>
        <v>0</v>
      </c>
      <c r="E34" s="14">
        <f>[8]Vendedor3!$J$5</f>
        <v>0</v>
      </c>
      <c r="F34" s="81">
        <f>[8]Vendedor3!$K$5</f>
        <v>0</v>
      </c>
      <c r="G34" s="85">
        <f>[8]Vendedor3!$L$5</f>
        <v>0</v>
      </c>
      <c r="H34" s="19">
        <f>[8]Vendedor3!$J$6</f>
        <v>0</v>
      </c>
      <c r="I34" s="15">
        <f>[8]Vendedor3!$K$6</f>
        <v>0</v>
      </c>
      <c r="J34" s="17">
        <f>[8]Vendedor3!$L$6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[9]Vendedor3!$J$4</f>
        <v>0</v>
      </c>
      <c r="C35" s="81">
        <f>[9]Vendedor3!$K$4</f>
        <v>0</v>
      </c>
      <c r="D35" s="82">
        <f>[9]Vendedor3!$L$4</f>
        <v>0</v>
      </c>
      <c r="E35" s="14">
        <f>[9]Vendedor3!$J$5</f>
        <v>0</v>
      </c>
      <c r="F35" s="81">
        <f>[9]Vendedor3!$K$5</f>
        <v>0</v>
      </c>
      <c r="G35" s="85">
        <f>[9]Vendedor3!$L$5</f>
        <v>0</v>
      </c>
      <c r="H35" s="19">
        <f>[9]Vendedor3!$J$6</f>
        <v>0</v>
      </c>
      <c r="I35" s="15">
        <f>[9]Vendedor3!$K$6</f>
        <v>0</v>
      </c>
      <c r="J35" s="17">
        <f>[9]Vendedor3!$L$6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[10]Vendedor3!$J$4</f>
        <v>0</v>
      </c>
      <c r="C36" s="83">
        <f>[10]Vendedor3!$K$4</f>
        <v>0</v>
      </c>
      <c r="D36" s="84">
        <f>[10]Vendedor3!$L$4</f>
        <v>0</v>
      </c>
      <c r="E36" s="21">
        <f>[10]Vendedor3!$J$5</f>
        <v>0</v>
      </c>
      <c r="F36" s="83">
        <f>[10]Vendedor3!$K$5</f>
        <v>0</v>
      </c>
      <c r="G36" s="86">
        <f>[10]Vendedor3!$L$5</f>
        <v>0</v>
      </c>
      <c r="H36" s="26">
        <f>[10]Vendedor3!$J$6</f>
        <v>0</v>
      </c>
      <c r="I36" s="22">
        <f>[10]Vendedor3!$K$6</f>
        <v>0</v>
      </c>
      <c r="J36" s="24">
        <f>[10]Vendedor3!$L$6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42" t="s">
        <v>114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9" t="s">
        <v>0</v>
      </c>
      <c r="J1" s="140"/>
      <c r="K1" s="140"/>
      <c r="L1" s="140"/>
      <c r="M1" s="140"/>
      <c r="N1" s="141"/>
    </row>
    <row r="2" spans="1:15" ht="19" thickBot="1" x14ac:dyDescent="0.5">
      <c r="A2" s="2" t="s">
        <v>1</v>
      </c>
      <c r="B2" s="144" t="s">
        <v>86</v>
      </c>
      <c r="C2" s="144"/>
      <c r="D2" s="142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[11]Resumen!$B$6</f>
        <v>0</v>
      </c>
      <c r="C6" s="58">
        <f>[11]Resumen!$C$6</f>
        <v>0</v>
      </c>
      <c r="D6" s="54">
        <f>[11]Resumen!$D$6</f>
        <v>0</v>
      </c>
      <c r="E6" s="53">
        <f>[11]Resumen!$E$6</f>
        <v>0</v>
      </c>
      <c r="F6" s="58">
        <f>[11]Resumen!$F$6</f>
        <v>0</v>
      </c>
      <c r="G6" s="55">
        <f>[11]Resumen!$G$6</f>
        <v>0</v>
      </c>
      <c r="H6" s="61">
        <f>[11]Resumen!$H$6</f>
        <v>0</v>
      </c>
      <c r="I6" s="58">
        <f>[11]Resumen!$I$6</f>
        <v>0</v>
      </c>
      <c r="J6" s="54">
        <f>[11]Resumen!$J$6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[12]Resumen!$B$6</f>
        <v>0</v>
      </c>
      <c r="C7" s="15">
        <f>[12]Resumen!$C$6</f>
        <v>0</v>
      </c>
      <c r="D7" s="16">
        <f>[12]Resumen!$D$6</f>
        <v>0</v>
      </c>
      <c r="E7" s="14">
        <f>[12]Resumen!$E$6</f>
        <v>0</v>
      </c>
      <c r="F7" s="15">
        <f>[12]Resumen!$F$6</f>
        <v>0</v>
      </c>
      <c r="G7" s="17">
        <f>[12]Resumen!$G$6</f>
        <v>0</v>
      </c>
      <c r="H7" s="18">
        <f>[12]Resumen!$H$6</f>
        <v>0</v>
      </c>
      <c r="I7" s="15">
        <f>[12]Resumen!$I$6</f>
        <v>0</v>
      </c>
      <c r="J7" s="16">
        <f>[12]Resumen!$J$6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[13]Resumen!$B$6</f>
        <v>0</v>
      </c>
      <c r="C8" s="15">
        <f>[13]Resumen!$C$6</f>
        <v>0</v>
      </c>
      <c r="D8" s="16">
        <f>[13]Resumen!$D$6</f>
        <v>0</v>
      </c>
      <c r="E8" s="14">
        <f>[13]Resumen!$E$6</f>
        <v>0</v>
      </c>
      <c r="F8" s="15">
        <f>[13]Resumen!$F$6</f>
        <v>0</v>
      </c>
      <c r="G8" s="17">
        <f>[13]Resumen!$G$6</f>
        <v>0</v>
      </c>
      <c r="H8" s="18">
        <f>[13]Resumen!$H$6</f>
        <v>0</v>
      </c>
      <c r="I8" s="15">
        <f>[13]Resumen!$I$6</f>
        <v>0</v>
      </c>
      <c r="J8" s="16">
        <f>[13]Resumen!$J$6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[14]Resumen!$B$6</f>
        <v>0</v>
      </c>
      <c r="C9" s="15">
        <f>[14]Resumen!$C$6</f>
        <v>0</v>
      </c>
      <c r="D9" s="16">
        <f>[14]Resumen!$D$6</f>
        <v>0</v>
      </c>
      <c r="E9" s="14">
        <f>[14]Resumen!$E$6</f>
        <v>0</v>
      </c>
      <c r="F9" s="15">
        <f>[14]Resumen!$F$6</f>
        <v>0</v>
      </c>
      <c r="G9" s="17">
        <f>[14]Resumen!$G$6</f>
        <v>0</v>
      </c>
      <c r="H9" s="18">
        <f>[14]Resumen!$H$6</f>
        <v>0</v>
      </c>
      <c r="I9" s="15">
        <f>[14]Resumen!$I$6</f>
        <v>0</v>
      </c>
      <c r="J9" s="16">
        <f>[14]Resumen!$J$6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[15]Resumen!$B$6</f>
        <v>0</v>
      </c>
      <c r="C10" s="15">
        <f>[15]Resumen!$C$6</f>
        <v>0</v>
      </c>
      <c r="D10" s="16">
        <f>[15]Resumen!$D$6</f>
        <v>0</v>
      </c>
      <c r="E10" s="14">
        <f>[15]Resumen!$E$6</f>
        <v>0</v>
      </c>
      <c r="F10" s="15">
        <f>[15]Resumen!$F$6</f>
        <v>0</v>
      </c>
      <c r="G10" s="17">
        <f>[15]Resumen!$G$6</f>
        <v>0</v>
      </c>
      <c r="H10" s="18">
        <f>[15]Resumen!$H$6</f>
        <v>0</v>
      </c>
      <c r="I10" s="15">
        <f>[15]Resumen!$I$6</f>
        <v>0</v>
      </c>
      <c r="J10" s="16">
        <f>[15]Resumen!$J$6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[16]Resumen!$B$6</f>
        <v>0</v>
      </c>
      <c r="C11" s="15">
        <f>[16]Resumen!$C$6</f>
        <v>0</v>
      </c>
      <c r="D11" s="16">
        <f>[16]Resumen!$D$6</f>
        <v>0</v>
      </c>
      <c r="E11" s="14">
        <f>[16]Resumen!$E$6</f>
        <v>0</v>
      </c>
      <c r="F11" s="15">
        <f>[16]Resumen!$F$6</f>
        <v>0</v>
      </c>
      <c r="G11" s="17">
        <f>[16]Resumen!$G$6</f>
        <v>0</v>
      </c>
      <c r="H11" s="18">
        <f>[16]Resumen!$H$6</f>
        <v>0</v>
      </c>
      <c r="I11" s="15">
        <f>[16]Resumen!$I$6</f>
        <v>0</v>
      </c>
      <c r="J11" s="16">
        <f>[16]Resumen!$J$6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[17]Resumen!$B$6</f>
        <v>0</v>
      </c>
      <c r="C12" s="15">
        <f>[17]Resumen!$C$6</f>
        <v>0</v>
      </c>
      <c r="D12" s="16">
        <f>[17]Resumen!$D$6</f>
        <v>0</v>
      </c>
      <c r="E12" s="14">
        <f>[17]Resumen!$E$6</f>
        <v>0</v>
      </c>
      <c r="F12" s="15">
        <f>[17]Resumen!$F$6</f>
        <v>0</v>
      </c>
      <c r="G12" s="17">
        <f>[17]Resumen!$G$6</f>
        <v>0</v>
      </c>
      <c r="H12" s="18">
        <f>[17]Resumen!$H$6</f>
        <v>0</v>
      </c>
      <c r="I12" s="15">
        <f>[17]Resumen!$I$6</f>
        <v>0</v>
      </c>
      <c r="J12" s="16">
        <f>[17]Resumen!$J$6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[18]Resumen!$B$6</f>
        <v>0</v>
      </c>
      <c r="C13" s="15">
        <f>[18]Resumen!$C$6</f>
        <v>0</v>
      </c>
      <c r="D13" s="16">
        <f>[18]Resumen!$D$6</f>
        <v>0</v>
      </c>
      <c r="E13" s="14">
        <f>[18]Resumen!$E$6</f>
        <v>0</v>
      </c>
      <c r="F13" s="15">
        <f>[18]Resumen!$F$6</f>
        <v>0</v>
      </c>
      <c r="G13" s="17">
        <f>[18]Resumen!$G$6</f>
        <v>0</v>
      </c>
      <c r="H13" s="18">
        <f>[18]Resumen!$H$6</f>
        <v>0</v>
      </c>
      <c r="I13" s="15">
        <f>[18]Resumen!$I$6</f>
        <v>0</v>
      </c>
      <c r="J13" s="16">
        <f>[18]Resumen!$J$6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[19]Resumen!$B$6</f>
        <v>0</v>
      </c>
      <c r="C14" s="15">
        <f>[19]Resumen!$C$6</f>
        <v>0</v>
      </c>
      <c r="D14" s="16">
        <f>[19]Resumen!$D$6</f>
        <v>0</v>
      </c>
      <c r="E14" s="14">
        <f>[19]Resumen!$E$6</f>
        <v>0</v>
      </c>
      <c r="F14" s="15">
        <f>[19]Resumen!$F$6</f>
        <v>0</v>
      </c>
      <c r="G14" s="17">
        <f>[19]Resumen!$G$6</f>
        <v>0</v>
      </c>
      <c r="H14" s="18">
        <f>[19]Resumen!$H$6</f>
        <v>0</v>
      </c>
      <c r="I14" s="15">
        <f>[19]Resumen!$I$6</f>
        <v>0</v>
      </c>
      <c r="J14" s="16">
        <f>[19]Resumen!$J$6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[20]Resumen!$B$6</f>
        <v>0</v>
      </c>
      <c r="C15" s="15">
        <f>[20]Resumen!$C$6</f>
        <v>0</v>
      </c>
      <c r="D15" s="16">
        <f>[20]Resumen!$D$6</f>
        <v>0</v>
      </c>
      <c r="E15" s="14">
        <f>[20]Resumen!$E$6</f>
        <v>0</v>
      </c>
      <c r="F15" s="15">
        <f>[20]Resumen!$F$6</f>
        <v>0</v>
      </c>
      <c r="G15" s="17">
        <f>[20]Resumen!$G$6</f>
        <v>0</v>
      </c>
      <c r="H15" s="18">
        <f>[20]Resumen!$H$6</f>
        <v>0</v>
      </c>
      <c r="I15" s="15">
        <f>[20]Resumen!$I$6</f>
        <v>0</v>
      </c>
      <c r="J15" s="16">
        <f>[20]Resumen!$J$6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[21]Resumen!$B$6</f>
        <v>0</v>
      </c>
      <c r="C16" s="15">
        <f>[21]Resumen!$C$6</f>
        <v>0</v>
      </c>
      <c r="D16" s="16">
        <f>[21]Resumen!$D$6</f>
        <v>0</v>
      </c>
      <c r="E16" s="14">
        <f>[21]Resumen!$E$6</f>
        <v>0</v>
      </c>
      <c r="F16" s="15">
        <f>[21]Resumen!$F$6</f>
        <v>0</v>
      </c>
      <c r="G16" s="17">
        <f>[21]Resumen!$G$6</f>
        <v>0</v>
      </c>
      <c r="H16" s="18">
        <f>[21]Resumen!$H$6</f>
        <v>0</v>
      </c>
      <c r="I16" s="15">
        <f>[21]Resumen!$I$6</f>
        <v>0</v>
      </c>
      <c r="J16" s="16">
        <f>[21]Resumen!$J$6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[22]Resumen!$B$6</f>
        <v>0</v>
      </c>
      <c r="C17" s="15">
        <f>[22]Resumen!$C$6</f>
        <v>0</v>
      </c>
      <c r="D17" s="16">
        <f>[22]Resumen!$D$6</f>
        <v>0</v>
      </c>
      <c r="E17" s="14">
        <f>[22]Resumen!$E$6</f>
        <v>0</v>
      </c>
      <c r="F17" s="15">
        <f>[22]Resumen!$F$6</f>
        <v>0</v>
      </c>
      <c r="G17" s="17">
        <f>[22]Resumen!$G$6</f>
        <v>0</v>
      </c>
      <c r="H17" s="18">
        <f>[22]Resumen!$H$6</f>
        <v>0</v>
      </c>
      <c r="I17" s="15">
        <f>[22]Resumen!$I$6</f>
        <v>0</v>
      </c>
      <c r="J17" s="16">
        <f>[22]Resumen!$J$6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[23]Resumen!$B$6</f>
        <v>0</v>
      </c>
      <c r="C18" s="15">
        <f>[23]Resumen!$C$6</f>
        <v>0</v>
      </c>
      <c r="D18" s="16">
        <f>[23]Resumen!$D$6</f>
        <v>0</v>
      </c>
      <c r="E18" s="14">
        <f>[23]Resumen!$E$6</f>
        <v>0</v>
      </c>
      <c r="F18" s="15">
        <f>[23]Resumen!$F$6</f>
        <v>0</v>
      </c>
      <c r="G18" s="17">
        <f>[23]Resumen!$G$6</f>
        <v>0</v>
      </c>
      <c r="H18" s="18">
        <f>[23]Resumen!$H$6</f>
        <v>0</v>
      </c>
      <c r="I18" s="15">
        <f>[23]Resumen!$I$6</f>
        <v>0</v>
      </c>
      <c r="J18" s="16">
        <f>[23]Resumen!$J$6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[24]Resumen!$B$6</f>
        <v>0</v>
      </c>
      <c r="C19" s="15">
        <f>[24]Resumen!$C$6</f>
        <v>0</v>
      </c>
      <c r="D19" s="16">
        <f>[24]Resumen!$D$6</f>
        <v>0</v>
      </c>
      <c r="E19" s="14">
        <f>[24]Resumen!$E$6</f>
        <v>0</v>
      </c>
      <c r="F19" s="15">
        <f>[24]Resumen!$F$6</f>
        <v>0</v>
      </c>
      <c r="G19" s="17">
        <f>[24]Resumen!$G$6</f>
        <v>0</v>
      </c>
      <c r="H19" s="18">
        <f>[24]Resumen!$H$6</f>
        <v>0</v>
      </c>
      <c r="I19" s="15">
        <f>[24]Resumen!$I$6</f>
        <v>0</v>
      </c>
      <c r="J19" s="16">
        <f>[24]Resumen!$J$6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[25]Resumen!$B$6</f>
        <v>0</v>
      </c>
      <c r="C20" s="15">
        <f>[25]Resumen!$C$6</f>
        <v>0</v>
      </c>
      <c r="D20" s="16">
        <f>[25]Resumen!$D$6</f>
        <v>0</v>
      </c>
      <c r="E20" s="14">
        <f>[25]Resumen!$E$6</f>
        <v>0</v>
      </c>
      <c r="F20" s="15">
        <f>[25]Resumen!$F$6</f>
        <v>0</v>
      </c>
      <c r="G20" s="17">
        <f>[25]Resumen!$G$6</f>
        <v>0</v>
      </c>
      <c r="H20" s="18">
        <f>[25]Resumen!$H$6</f>
        <v>0</v>
      </c>
      <c r="I20" s="15">
        <f>[25]Resumen!$I$6</f>
        <v>0</v>
      </c>
      <c r="J20" s="16">
        <f>[25]Resumen!$J$6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[26]Vendedor4!$J$4</f>
        <v>0</v>
      </c>
      <c r="C21" s="81">
        <f>[26]Vendedor4!$K$4</f>
        <v>0</v>
      </c>
      <c r="D21" s="82">
        <f>[26]Vendedor4!$L$4</f>
        <v>0</v>
      </c>
      <c r="E21" s="14">
        <f>[26]Vendedor4!$J$5</f>
        <v>0</v>
      </c>
      <c r="F21" s="81">
        <f>[26]Vendedor4!$K$5</f>
        <v>0</v>
      </c>
      <c r="G21" s="85">
        <f>[26]Vendedor4!$L$5</f>
        <v>0</v>
      </c>
      <c r="H21" s="19">
        <f>[26]Vendedor4!$J$6</f>
        <v>0</v>
      </c>
      <c r="I21" s="15">
        <f>[26]Vendedor4!$K$6</f>
        <v>0</v>
      </c>
      <c r="J21" s="17">
        <f>[26]Vendedor4!$L$6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[27]Vendedor4!$J$4</f>
        <v>7000</v>
      </c>
      <c r="C22" s="81">
        <f>[27]Vendedor4!$K$4</f>
        <v>840</v>
      </c>
      <c r="D22" s="82">
        <f>[27]Vendedor4!$L$4</f>
        <v>0</v>
      </c>
      <c r="E22" s="14">
        <f>[27]Vendedor4!$J$5</f>
        <v>0</v>
      </c>
      <c r="F22" s="81">
        <f>[27]Vendedor4!$K$5</f>
        <v>0</v>
      </c>
      <c r="G22" s="85">
        <f>[27]Vendedor4!$L$5</f>
        <v>0</v>
      </c>
      <c r="H22" s="19">
        <f>[27]Vendedor4!$J$6</f>
        <v>0</v>
      </c>
      <c r="I22" s="15">
        <f>[27]Vendedor4!$K$6</f>
        <v>0</v>
      </c>
      <c r="J22" s="17">
        <f>[27]Vendedor4!$L$6</f>
        <v>0</v>
      </c>
      <c r="K22" s="19">
        <f t="shared" si="1"/>
        <v>7000</v>
      </c>
      <c r="L22" s="15">
        <f t="shared" si="4"/>
        <v>840</v>
      </c>
      <c r="M22" s="15">
        <f t="shared" si="2"/>
        <v>0</v>
      </c>
      <c r="N22" s="15">
        <v>0</v>
      </c>
      <c r="O22" s="17">
        <f t="shared" si="3"/>
        <v>6160</v>
      </c>
    </row>
    <row r="23" spans="1:15" x14ac:dyDescent="0.35">
      <c r="A23" s="20" t="s">
        <v>32</v>
      </c>
      <c r="B23" s="14">
        <f>[28]Vendedor4!$J$4</f>
        <v>0</v>
      </c>
      <c r="C23" s="81">
        <f>[28]Vendedor4!$K$4</f>
        <v>0</v>
      </c>
      <c r="D23" s="82">
        <f>[28]Vendedor4!$L$4</f>
        <v>0</v>
      </c>
      <c r="E23" s="14">
        <f>[28]Vendedor4!$J$5</f>
        <v>0</v>
      </c>
      <c r="F23" s="81">
        <f>[28]Vendedor4!$K$5</f>
        <v>0</v>
      </c>
      <c r="G23" s="85">
        <f>[28]Vendedor4!$L$5</f>
        <v>0</v>
      </c>
      <c r="H23" s="19">
        <f>[28]Vendedor4!$J$6</f>
        <v>0</v>
      </c>
      <c r="I23" s="15">
        <f>[28]Vendedor4!$K$6</f>
        <v>0</v>
      </c>
      <c r="J23" s="17">
        <f>[28]Vendedor4!$L$6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[29]Vendedor4!$J$4</f>
        <v>0</v>
      </c>
      <c r="C24" s="81">
        <f>[29]Vendedor4!$K$4</f>
        <v>0</v>
      </c>
      <c r="D24" s="82">
        <f>[29]Vendedor4!$L$4</f>
        <v>0</v>
      </c>
      <c r="E24" s="14">
        <f>[29]Vendedor4!$J$5</f>
        <v>0</v>
      </c>
      <c r="F24" s="81">
        <f>[29]Vendedor4!$K$5</f>
        <v>0</v>
      </c>
      <c r="G24" s="85">
        <f>[29]Vendedor4!$L$5</f>
        <v>0</v>
      </c>
      <c r="H24" s="19">
        <f>[29]Vendedor4!$J$6</f>
        <v>0</v>
      </c>
      <c r="I24" s="15">
        <f>[29]Vendedor4!$K$6</f>
        <v>0</v>
      </c>
      <c r="J24" s="17">
        <f>[29]Vendedor4!$L$6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[30]Vendedor4!$J$4</f>
        <v>0</v>
      </c>
      <c r="C25" s="81">
        <f>[30]Vendedor4!$K$4</f>
        <v>0</v>
      </c>
      <c r="D25" s="82">
        <f>[30]Vendedor4!$L$4</f>
        <v>0</v>
      </c>
      <c r="E25" s="14">
        <f>[30]Vendedor4!$J$5</f>
        <v>0</v>
      </c>
      <c r="F25" s="81">
        <f>[30]Vendedor4!$K$5</f>
        <v>0</v>
      </c>
      <c r="G25" s="85">
        <f>[30]Vendedor4!$L$5</f>
        <v>0</v>
      </c>
      <c r="H25" s="19">
        <f>[30]Vendedor4!$J$6</f>
        <v>0</v>
      </c>
      <c r="I25" s="15">
        <f>[30]Vendedor4!$K$6</f>
        <v>0</v>
      </c>
      <c r="J25" s="17">
        <f>[30]Vendedor4!$L$6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[31]Vendedor4!$J$4</f>
        <v>0</v>
      </c>
      <c r="C26" s="81">
        <f>[31]Vendedor4!$K$4</f>
        <v>0</v>
      </c>
      <c r="D26" s="82">
        <f>[31]Vendedor4!$L$4</f>
        <v>0</v>
      </c>
      <c r="E26" s="14">
        <f>[31]Vendedor4!$J$5</f>
        <v>0</v>
      </c>
      <c r="F26" s="81">
        <f>[31]Vendedor4!$K$5</f>
        <v>0</v>
      </c>
      <c r="G26" s="85">
        <f>[31]Vendedor4!$L$5</f>
        <v>0</v>
      </c>
      <c r="H26" s="19">
        <f>[31]Vendedor4!$J$6</f>
        <v>0</v>
      </c>
      <c r="I26" s="15">
        <f>[31]Vendedor4!$K$6</f>
        <v>0</v>
      </c>
      <c r="J26" s="17">
        <f>[31]Vendedor4!$L$6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[1]Vendedor4!$J$4</f>
        <v>0</v>
      </c>
      <c r="C27" s="81">
        <f>[1]Vendedor4!$K$4</f>
        <v>0</v>
      </c>
      <c r="D27" s="82">
        <f>[1]Vendedor4!$L$4</f>
        <v>0</v>
      </c>
      <c r="E27" s="14">
        <f>[1]Vendedor4!$J$5</f>
        <v>0</v>
      </c>
      <c r="F27" s="81">
        <f>[1]Vendedor4!$K$5</f>
        <v>0</v>
      </c>
      <c r="G27" s="85">
        <f>[1]Vendedor4!$L$5</f>
        <v>0</v>
      </c>
      <c r="H27" s="19">
        <f>[1]Vendedor4!$J$6</f>
        <v>0</v>
      </c>
      <c r="I27" s="15">
        <f>[1]Vendedor4!$K$6</f>
        <v>0</v>
      </c>
      <c r="J27" s="17">
        <f>[1]Vendedor4!$L$6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[2]Vendedor4!$J$4</f>
        <v>0</v>
      </c>
      <c r="C28" s="81">
        <f>[2]Vendedor4!$K$4</f>
        <v>0</v>
      </c>
      <c r="D28" s="82">
        <f>[2]Vendedor4!$L$4</f>
        <v>0</v>
      </c>
      <c r="E28" s="14">
        <f>[2]Vendedor4!$J$5</f>
        <v>0</v>
      </c>
      <c r="F28" s="81">
        <f>[2]Vendedor4!$K$5</f>
        <v>0</v>
      </c>
      <c r="G28" s="85">
        <f>[2]Vendedor4!$L$5</f>
        <v>0</v>
      </c>
      <c r="H28" s="19">
        <f>[2]Vendedor4!$J$6</f>
        <v>0</v>
      </c>
      <c r="I28" s="15">
        <f>[2]Vendedor4!$K$6</f>
        <v>0</v>
      </c>
      <c r="J28" s="17">
        <f>[2]Vendedor4!$L$6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[3]Vendedor4!$J$4</f>
        <v>0</v>
      </c>
      <c r="C29" s="81">
        <f>[3]Vendedor4!$K$4</f>
        <v>0</v>
      </c>
      <c r="D29" s="82">
        <f>[3]Vendedor4!$L$4</f>
        <v>0</v>
      </c>
      <c r="E29" s="14">
        <f>[3]Vendedor4!$J$5</f>
        <v>0</v>
      </c>
      <c r="F29" s="81">
        <f>[3]Vendedor4!$K$5</f>
        <v>0</v>
      </c>
      <c r="G29" s="85">
        <f>[3]Vendedor4!$L$5</f>
        <v>0</v>
      </c>
      <c r="H29" s="19">
        <f>[3]Vendedor4!$J$6</f>
        <v>0</v>
      </c>
      <c r="I29" s="15">
        <f>[3]Vendedor4!$K$6</f>
        <v>0</v>
      </c>
      <c r="J29" s="17">
        <f>[3]Vendedor4!$L$6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[4]Vendedor4!$J$4</f>
        <v>0</v>
      </c>
      <c r="C30" s="81">
        <f>[4]Vendedor4!$K$4</f>
        <v>0</v>
      </c>
      <c r="D30" s="82">
        <f>[4]Vendedor4!$L$4</f>
        <v>0</v>
      </c>
      <c r="E30" s="14">
        <f>[4]Vendedor4!$J$5</f>
        <v>0</v>
      </c>
      <c r="F30" s="81">
        <f>[4]Vendedor4!$K$5</f>
        <v>0</v>
      </c>
      <c r="G30" s="85">
        <f>[4]Vendedor4!$L$5</f>
        <v>0</v>
      </c>
      <c r="H30" s="19">
        <f>[4]Vendedor4!$J$6</f>
        <v>0</v>
      </c>
      <c r="I30" s="15">
        <f>[4]Vendedor4!$K$6</f>
        <v>0</v>
      </c>
      <c r="J30" s="17">
        <f>[4]Vendedor4!$L$6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[5]Vendedor4!$J$4</f>
        <v>0</v>
      </c>
      <c r="C31" s="81">
        <f>[5]Vendedor4!$K$4</f>
        <v>0</v>
      </c>
      <c r="D31" s="82">
        <f>[5]Vendedor4!$L$4</f>
        <v>0</v>
      </c>
      <c r="E31" s="14">
        <f>[5]Vendedor4!$J$5</f>
        <v>0</v>
      </c>
      <c r="F31" s="81">
        <f>[5]Vendedor4!$K$5</f>
        <v>0</v>
      </c>
      <c r="G31" s="85">
        <f>[5]Vendedor4!$L$5</f>
        <v>0</v>
      </c>
      <c r="H31" s="19">
        <f>[5]Vendedor4!$J$6</f>
        <v>0</v>
      </c>
      <c r="I31" s="15">
        <f>[5]Vendedor4!$K$6</f>
        <v>0</v>
      </c>
      <c r="J31" s="17">
        <f>[5]Vendedor4!$L$6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[6]Vendedor4!$J$4</f>
        <v>0</v>
      </c>
      <c r="C32" s="81">
        <f>[6]Vendedor4!$K$4</f>
        <v>0</v>
      </c>
      <c r="D32" s="82">
        <f>[6]Vendedor4!$L$4</f>
        <v>0</v>
      </c>
      <c r="E32" s="14">
        <f>[6]Vendedor4!$J$5</f>
        <v>0</v>
      </c>
      <c r="F32" s="81">
        <f>[6]Vendedor4!$K$5</f>
        <v>0</v>
      </c>
      <c r="G32" s="85">
        <f>[6]Vendedor4!$L$5</f>
        <v>0</v>
      </c>
      <c r="H32" s="19">
        <f>[6]Vendedor4!$J$6</f>
        <v>0</v>
      </c>
      <c r="I32" s="15">
        <f>[6]Vendedor4!$K$6</f>
        <v>0</v>
      </c>
      <c r="J32" s="17">
        <f>[6]Vendedor4!$L$6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[7]Vendedor4!$J$4</f>
        <v>0</v>
      </c>
      <c r="C33" s="81">
        <f>[7]Vendedor4!$K$4</f>
        <v>0</v>
      </c>
      <c r="D33" s="82">
        <f>[7]Vendedor4!$L$4</f>
        <v>0</v>
      </c>
      <c r="E33" s="14">
        <f>[7]Vendedor4!$J$5</f>
        <v>0</v>
      </c>
      <c r="F33" s="81">
        <f>[7]Vendedor4!$K$5</f>
        <v>0</v>
      </c>
      <c r="G33" s="85">
        <f>[7]Vendedor4!$L$5</f>
        <v>0</v>
      </c>
      <c r="H33" s="19">
        <f>[7]Vendedor4!$J$6</f>
        <v>0</v>
      </c>
      <c r="I33" s="15">
        <f>[7]Vendedor4!$K$6</f>
        <v>0</v>
      </c>
      <c r="J33" s="17">
        <f>[7]Vendedor4!$L$6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[8]Vendedor4!$J$4</f>
        <v>0</v>
      </c>
      <c r="C34" s="81">
        <f>[8]Vendedor4!$K$4</f>
        <v>0</v>
      </c>
      <c r="D34" s="82">
        <f>[8]Vendedor4!$L$4</f>
        <v>0</v>
      </c>
      <c r="E34" s="14">
        <f>[8]Vendedor4!$J$5</f>
        <v>0</v>
      </c>
      <c r="F34" s="81">
        <f>[8]Vendedor4!$K$5</f>
        <v>0</v>
      </c>
      <c r="G34" s="85">
        <f>[8]Vendedor4!$L$5</f>
        <v>0</v>
      </c>
      <c r="H34" s="19">
        <f>[8]Vendedor4!$J$6</f>
        <v>0</v>
      </c>
      <c r="I34" s="15">
        <f>[8]Vendedor4!$K$6</f>
        <v>0</v>
      </c>
      <c r="J34" s="17">
        <f>[8]Vendedor4!$L$6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[9]Vendedor4!$J$4</f>
        <v>0</v>
      </c>
      <c r="C35" s="81">
        <f>[9]Vendedor4!$K$4</f>
        <v>0</v>
      </c>
      <c r="D35" s="82">
        <f>[9]Vendedor4!$L$4</f>
        <v>0</v>
      </c>
      <c r="E35" s="14">
        <f>[9]Vendedor4!$J$5</f>
        <v>0</v>
      </c>
      <c r="F35" s="81">
        <f>[9]Vendedor4!$K$5</f>
        <v>0</v>
      </c>
      <c r="G35" s="85">
        <f>[9]Vendedor4!$L$5</f>
        <v>0</v>
      </c>
      <c r="H35" s="19">
        <f>[9]Vendedor4!$J$6</f>
        <v>0</v>
      </c>
      <c r="I35" s="15">
        <f>[9]Vendedor4!$K$6</f>
        <v>0</v>
      </c>
      <c r="J35" s="17">
        <f>[9]Vendedor4!$L$6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[10]Vendedor4!$J$4</f>
        <v>0</v>
      </c>
      <c r="C36" s="83">
        <f>[10]Vendedor4!$K$4</f>
        <v>0</v>
      </c>
      <c r="D36" s="84">
        <f>[10]Vendedor4!$L$4</f>
        <v>0</v>
      </c>
      <c r="E36" s="21">
        <f>[10]Vendedor4!$J$5</f>
        <v>0</v>
      </c>
      <c r="F36" s="83">
        <f>[10]Vendedor4!$K$5</f>
        <v>0</v>
      </c>
      <c r="G36" s="86">
        <f>[10]Vendedor4!$L$5</f>
        <v>0</v>
      </c>
      <c r="H36" s="26">
        <f>[10]Vendedor4!$J$6</f>
        <v>0</v>
      </c>
      <c r="I36" s="22">
        <f>[10]Vendedor4!$K$6</f>
        <v>0</v>
      </c>
      <c r="J36" s="24">
        <f>[10]Vendedor4!$L$6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7000</v>
      </c>
      <c r="C37" s="28">
        <f t="shared" si="5"/>
        <v>840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7000</v>
      </c>
      <c r="L37" s="28">
        <f t="shared" si="5"/>
        <v>840</v>
      </c>
      <c r="M37" s="28">
        <f t="shared" si="5"/>
        <v>0</v>
      </c>
      <c r="N37" s="32">
        <f>SUM(N5:N36)</f>
        <v>0</v>
      </c>
      <c r="O37" s="33">
        <f>SUM(O5:O36)</f>
        <v>6160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55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[11]Vendedor5!$J$4</f>
        <v>223600</v>
      </c>
      <c r="C6" s="58">
        <f>[11]Vendedor5!$K$4</f>
        <v>26832</v>
      </c>
      <c r="D6" s="54">
        <f>[11]Vendedor5!$L$4</f>
        <v>263500</v>
      </c>
      <c r="E6" s="53">
        <f>[11]Vendedor5!$J$5</f>
        <v>214100</v>
      </c>
      <c r="F6" s="58">
        <f>[11]Vendedor5!$K$5</f>
        <v>25692</v>
      </c>
      <c r="G6" s="55">
        <f>[11]Vendedor5!$L$5</f>
        <v>184000</v>
      </c>
      <c r="H6" s="61">
        <f>[11]Vendedor5!$J$7</f>
        <v>97500</v>
      </c>
      <c r="I6" s="58">
        <f>[11]Vendedor5!$K$7</f>
        <v>11700</v>
      </c>
      <c r="J6" s="54">
        <f>[11]Vendedor5!$L$7</f>
        <v>12000</v>
      </c>
      <c r="K6" s="59">
        <f>+B6+E6+H6</f>
        <v>535200</v>
      </c>
      <c r="L6" s="58">
        <f>MROUND(C6+F6+I6,50)</f>
        <v>64200</v>
      </c>
      <c r="M6" s="58">
        <f t="shared" ref="M6:M36" si="1">+D6+G6+J6</f>
        <v>459500</v>
      </c>
      <c r="N6" s="58">
        <v>0</v>
      </c>
      <c r="O6" s="55">
        <f t="shared" si="0"/>
        <v>11500</v>
      </c>
    </row>
    <row r="7" spans="1:15" x14ac:dyDescent="0.35">
      <c r="A7" s="13" t="s">
        <v>50</v>
      </c>
      <c r="B7" s="14">
        <f>[12]Vendedor5!$J$4</f>
        <v>175100</v>
      </c>
      <c r="C7" s="15">
        <f>[12]Vendedor5!$K$4</f>
        <v>21012</v>
      </c>
      <c r="D7" s="16">
        <f>[12]Vendedor5!$L$4</f>
        <v>114750</v>
      </c>
      <c r="E7" s="14">
        <f>[12]Vendedor5!$J$5</f>
        <v>177200</v>
      </c>
      <c r="F7" s="15">
        <f>[12]Vendedor5!$K$5</f>
        <v>21264</v>
      </c>
      <c r="G7" s="17">
        <f>[12]Vendedor5!$L$5</f>
        <v>100000</v>
      </c>
      <c r="H7" s="18">
        <f>[12]Vendedor5!$J$7</f>
        <v>65800</v>
      </c>
      <c r="I7" s="15">
        <f>[12]Vendedor5!$K$7</f>
        <v>7896</v>
      </c>
      <c r="J7" s="16">
        <f>[12]Vendedor5!$L$7</f>
        <v>12000</v>
      </c>
      <c r="K7" s="19">
        <f>+B7+E7+H7</f>
        <v>418100</v>
      </c>
      <c r="L7" s="15">
        <f>MROUND(C7+F7+I7,50)</f>
        <v>50150</v>
      </c>
      <c r="M7" s="15">
        <f t="shared" si="1"/>
        <v>226750</v>
      </c>
      <c r="N7" s="15">
        <v>0</v>
      </c>
      <c r="O7" s="17">
        <f t="shared" si="0"/>
        <v>141200</v>
      </c>
    </row>
    <row r="8" spans="1:15" x14ac:dyDescent="0.35">
      <c r="A8" s="20" t="s">
        <v>51</v>
      </c>
      <c r="B8" s="14">
        <f>[13]Vendedor5!$J$4</f>
        <v>226150</v>
      </c>
      <c r="C8" s="15">
        <f>[13]Vendedor5!$K$4</f>
        <v>27138</v>
      </c>
      <c r="D8" s="16">
        <f>[13]Vendedor5!$L$4</f>
        <v>395250</v>
      </c>
      <c r="E8" s="14">
        <f>[13]Vendedor5!$J$5</f>
        <v>199500</v>
      </c>
      <c r="F8" s="15">
        <f>[13]Vendedor5!$K$5</f>
        <v>23940</v>
      </c>
      <c r="G8" s="17">
        <f>[13]Vendedor5!$L$5</f>
        <v>184000</v>
      </c>
      <c r="H8" s="18">
        <f>[13]Vendedor5!$J$7</f>
        <v>75200</v>
      </c>
      <c r="I8" s="15">
        <f>[13]Vendedor5!$K$7</f>
        <v>9024</v>
      </c>
      <c r="J8" s="16">
        <f>[13]Vendedor5!$L$7</f>
        <v>0</v>
      </c>
      <c r="K8" s="19">
        <f>+B8+E8+H8</f>
        <v>500850</v>
      </c>
      <c r="L8" s="15">
        <f t="shared" ref="L8:L36" si="2">MROUND(C8+F8+I8,50)</f>
        <v>60100</v>
      </c>
      <c r="M8" s="15">
        <f t="shared" si="1"/>
        <v>579250</v>
      </c>
      <c r="N8" s="15">
        <v>0</v>
      </c>
      <c r="O8" s="17">
        <f t="shared" si="0"/>
        <v>-138500</v>
      </c>
    </row>
    <row r="9" spans="1:15" x14ac:dyDescent="0.35">
      <c r="A9" s="13" t="s">
        <v>52</v>
      </c>
      <c r="B9" s="14">
        <f>[14]Vendedor5!$J$4</f>
        <v>208150</v>
      </c>
      <c r="C9" s="15">
        <f>[14]Vendedor5!$K$4</f>
        <v>24978</v>
      </c>
      <c r="D9" s="16">
        <f>[14]Vendedor5!$L$4</f>
        <v>212500</v>
      </c>
      <c r="E9" s="14">
        <f>[14]Vendedor5!$J$5</f>
        <v>214650</v>
      </c>
      <c r="F9" s="15">
        <f>[14]Vendedor5!$K$5</f>
        <v>25758</v>
      </c>
      <c r="G9" s="17">
        <f>[14]Vendedor5!$L$5</f>
        <v>228000</v>
      </c>
      <c r="H9" s="18">
        <f>[14]Vendedor5!$J$7</f>
        <v>59450</v>
      </c>
      <c r="I9" s="15">
        <f>[14]Vendedor5!$K$7</f>
        <v>7134</v>
      </c>
      <c r="J9" s="16">
        <f>[14]Vendedor5!$L$7</f>
        <v>88000</v>
      </c>
      <c r="K9" s="19">
        <f>+B9+E9+H9</f>
        <v>482250</v>
      </c>
      <c r="L9" s="15">
        <f t="shared" si="2"/>
        <v>57850</v>
      </c>
      <c r="M9" s="15">
        <f t="shared" si="1"/>
        <v>528500</v>
      </c>
      <c r="N9" s="15">
        <v>0</v>
      </c>
      <c r="O9" s="17">
        <f t="shared" si="0"/>
        <v>-104100</v>
      </c>
    </row>
    <row r="10" spans="1:15" x14ac:dyDescent="0.35">
      <c r="A10" s="20" t="s">
        <v>53</v>
      </c>
      <c r="B10" s="14">
        <f>[15]Vendedor5!$J$4</f>
        <v>218950</v>
      </c>
      <c r="C10" s="15">
        <f>[15]Vendedor5!$K$4</f>
        <v>26274</v>
      </c>
      <c r="D10" s="16">
        <f>[15]Vendedor5!$L$4</f>
        <v>97750</v>
      </c>
      <c r="E10" s="14">
        <f>[15]Vendedor5!$J$5</f>
        <v>171200</v>
      </c>
      <c r="F10" s="15">
        <f>[15]Vendedor5!$K$5</f>
        <v>20544</v>
      </c>
      <c r="G10" s="17">
        <f>[15]Vendedor5!$L$5</f>
        <v>280000</v>
      </c>
      <c r="H10" s="18">
        <f>[15]Vendedor5!$J$7</f>
        <v>72600</v>
      </c>
      <c r="I10" s="15">
        <f>[15]Vendedor5!$K$7</f>
        <v>8712</v>
      </c>
      <c r="J10" s="16">
        <f>[15]Vendedor5!$L$7</f>
        <v>0</v>
      </c>
      <c r="K10" s="19">
        <f t="shared" ref="K10:K36" si="3">+B10+E10+H10</f>
        <v>462750</v>
      </c>
      <c r="L10" s="15">
        <f t="shared" si="2"/>
        <v>55550</v>
      </c>
      <c r="M10" s="15">
        <f t="shared" si="1"/>
        <v>377750</v>
      </c>
      <c r="N10" s="15">
        <v>0</v>
      </c>
      <c r="O10" s="17">
        <f t="shared" si="0"/>
        <v>29450</v>
      </c>
    </row>
    <row r="11" spans="1:15" x14ac:dyDescent="0.35">
      <c r="A11" s="13" t="s">
        <v>20</v>
      </c>
      <c r="B11" s="14">
        <f>[16]Vendedor5!$J$4</f>
        <v>227400</v>
      </c>
      <c r="C11" s="15">
        <f>[16]Vendedor5!$K$4</f>
        <v>27288</v>
      </c>
      <c r="D11" s="16">
        <f>[16]Vendedor5!$L$4</f>
        <v>199750</v>
      </c>
      <c r="E11" s="14">
        <f>[16]Vendedor5!$J$5</f>
        <v>185850</v>
      </c>
      <c r="F11" s="15">
        <f>[16]Vendedor5!$K$5</f>
        <v>22302</v>
      </c>
      <c r="G11" s="17">
        <f>[16]Vendedor5!$L$5</f>
        <v>152000</v>
      </c>
      <c r="H11" s="18">
        <f>[16]Vendedor5!$J$7</f>
        <v>60750</v>
      </c>
      <c r="I11" s="15">
        <f>[16]Vendedor5!$K$7</f>
        <v>7290</v>
      </c>
      <c r="J11" s="16">
        <f>[16]Vendedor5!$L$7</f>
        <v>40000</v>
      </c>
      <c r="K11" s="19">
        <f t="shared" si="3"/>
        <v>474000</v>
      </c>
      <c r="L11" s="15">
        <f t="shared" si="2"/>
        <v>56900</v>
      </c>
      <c r="M11" s="15">
        <f t="shared" si="1"/>
        <v>391750</v>
      </c>
      <c r="N11" s="15">
        <v>0</v>
      </c>
      <c r="O11" s="17">
        <f t="shared" si="0"/>
        <v>25350</v>
      </c>
    </row>
    <row r="12" spans="1:15" x14ac:dyDescent="0.35">
      <c r="A12" s="20" t="s">
        <v>21</v>
      </c>
      <c r="B12" s="14">
        <f>[17]Vendedor5!$J$4</f>
        <v>177150</v>
      </c>
      <c r="C12" s="15">
        <f>[17]Vendedor5!$K$4</f>
        <v>21258</v>
      </c>
      <c r="D12" s="16">
        <f>[17]Vendedor5!$L$4</f>
        <v>51000</v>
      </c>
      <c r="E12" s="14">
        <f>[17]Vendedor5!$J$5</f>
        <v>166250</v>
      </c>
      <c r="F12" s="15">
        <f>[17]Vendedor5!$K$5</f>
        <v>19950</v>
      </c>
      <c r="G12" s="17">
        <f>[17]Vendedor5!$L$5</f>
        <v>136000</v>
      </c>
      <c r="H12" s="18">
        <f>[17]Vendedor5!$J$7</f>
        <v>66100</v>
      </c>
      <c r="I12" s="15">
        <f>[17]Vendedor5!$K$7</f>
        <v>7932</v>
      </c>
      <c r="J12" s="16">
        <f>[17]Vendedor5!$L$7</f>
        <v>48000</v>
      </c>
      <c r="K12" s="19">
        <f t="shared" si="3"/>
        <v>409500</v>
      </c>
      <c r="L12" s="15">
        <f t="shared" si="2"/>
        <v>49150</v>
      </c>
      <c r="M12" s="15">
        <f t="shared" si="1"/>
        <v>235000</v>
      </c>
      <c r="N12" s="15">
        <v>0</v>
      </c>
      <c r="O12" s="17">
        <f t="shared" si="0"/>
        <v>125350</v>
      </c>
    </row>
    <row r="13" spans="1:15" x14ac:dyDescent="0.35">
      <c r="A13" s="13" t="s">
        <v>22</v>
      </c>
      <c r="B13" s="14">
        <f>[18]Vendedor5!$J$4</f>
        <v>144350</v>
      </c>
      <c r="C13" s="15">
        <f>[18]Vendedor5!$K$4</f>
        <v>17322</v>
      </c>
      <c r="D13" s="16">
        <f>[18]Vendedor5!$L$4</f>
        <v>161500</v>
      </c>
      <c r="E13" s="14">
        <f>[18]Vendedor5!$J$5</f>
        <v>95350</v>
      </c>
      <c r="F13" s="15">
        <f>[18]Vendedor5!$K$5</f>
        <v>11442</v>
      </c>
      <c r="G13" s="17">
        <f>[18]Vendedor5!$L$5</f>
        <v>28000</v>
      </c>
      <c r="H13" s="18">
        <f>[18]Vendedor5!$J$7</f>
        <v>66250</v>
      </c>
      <c r="I13" s="15">
        <f>[18]Vendedor5!$K$7</f>
        <v>7950</v>
      </c>
      <c r="J13" s="16">
        <f>[18]Vendedor5!$L$7</f>
        <v>40000</v>
      </c>
      <c r="K13" s="19">
        <f t="shared" si="3"/>
        <v>305950</v>
      </c>
      <c r="L13" s="15">
        <f t="shared" si="2"/>
        <v>36700</v>
      </c>
      <c r="M13" s="15">
        <f t="shared" si="1"/>
        <v>229500</v>
      </c>
      <c r="N13" s="15">
        <v>0</v>
      </c>
      <c r="O13" s="17">
        <f t="shared" si="0"/>
        <v>39750</v>
      </c>
    </row>
    <row r="14" spans="1:15" x14ac:dyDescent="0.35">
      <c r="A14" s="20" t="s">
        <v>23</v>
      </c>
      <c r="B14" s="14">
        <f>[19]Vendedor5!$J$4</f>
        <v>114450</v>
      </c>
      <c r="C14" s="15">
        <f>[19]Vendedor5!$K$4</f>
        <v>13734</v>
      </c>
      <c r="D14" s="16">
        <f>[19]Vendedor5!$L$4</f>
        <v>97750</v>
      </c>
      <c r="E14" s="14">
        <f>[19]Vendedor5!$J$5</f>
        <v>81600</v>
      </c>
      <c r="F14" s="15">
        <f>[19]Vendedor5!$K$5</f>
        <v>9792</v>
      </c>
      <c r="G14" s="17">
        <f>[19]Vendedor5!$L$5</f>
        <v>0</v>
      </c>
      <c r="H14" s="18">
        <f>[19]Vendedor5!$J$7</f>
        <v>20350</v>
      </c>
      <c r="I14" s="15">
        <f>[19]Vendedor5!$K$7</f>
        <v>2442</v>
      </c>
      <c r="J14" s="16">
        <f>[19]Vendedor5!$L$7</f>
        <v>0</v>
      </c>
      <c r="K14" s="19">
        <f t="shared" si="3"/>
        <v>216400</v>
      </c>
      <c r="L14" s="15">
        <f t="shared" si="2"/>
        <v>25950</v>
      </c>
      <c r="M14" s="15">
        <f t="shared" si="1"/>
        <v>97750</v>
      </c>
      <c r="N14" s="15">
        <v>0</v>
      </c>
      <c r="O14" s="17">
        <f t="shared" si="0"/>
        <v>92700</v>
      </c>
    </row>
    <row r="15" spans="1:15" x14ac:dyDescent="0.35">
      <c r="A15" s="13" t="s">
        <v>24</v>
      </c>
      <c r="B15" s="14">
        <f>[20]Vendedor5!$J$4</f>
        <v>126500</v>
      </c>
      <c r="C15" s="15">
        <f>[20]Vendedor5!$K$4</f>
        <v>15180</v>
      </c>
      <c r="D15" s="16">
        <f>[20]Vendedor5!$L$4</f>
        <v>21250</v>
      </c>
      <c r="E15" s="14">
        <f>[20]Vendedor5!$J$5</f>
        <v>114550</v>
      </c>
      <c r="F15" s="15">
        <f>[20]Vendedor5!$K$5</f>
        <v>13746</v>
      </c>
      <c r="G15" s="17">
        <f>[20]Vendedor5!$L$5</f>
        <v>80000</v>
      </c>
      <c r="H15" s="18">
        <f>[20]Vendedor5!$J$7</f>
        <v>21250</v>
      </c>
      <c r="I15" s="15">
        <f>[20]Vendedor5!$K$7</f>
        <v>2550</v>
      </c>
      <c r="J15" s="16">
        <f>[20]Vendedor5!$L$7</f>
        <v>0</v>
      </c>
      <c r="K15" s="19">
        <f t="shared" si="3"/>
        <v>262300</v>
      </c>
      <c r="L15" s="15">
        <f t="shared" si="2"/>
        <v>31500</v>
      </c>
      <c r="M15" s="15">
        <f t="shared" si="1"/>
        <v>101250</v>
      </c>
      <c r="N15" s="15">
        <v>0</v>
      </c>
      <c r="O15" s="17">
        <f t="shared" si="0"/>
        <v>129550</v>
      </c>
    </row>
    <row r="16" spans="1:15" x14ac:dyDescent="0.35">
      <c r="A16" s="20" t="s">
        <v>25</v>
      </c>
      <c r="B16" s="14">
        <f>[21]Vendedor5!$J$4</f>
        <v>136500</v>
      </c>
      <c r="C16" s="15">
        <f>[21]Vendedor5!$K$4</f>
        <v>16380</v>
      </c>
      <c r="D16" s="16">
        <f>[21]Vendedor5!$L$4</f>
        <v>89250</v>
      </c>
      <c r="E16" s="14">
        <f>[21]Vendedor5!$J$5</f>
        <v>114150</v>
      </c>
      <c r="F16" s="15">
        <f>[21]Vendedor5!$K$5</f>
        <v>13698</v>
      </c>
      <c r="G16" s="17">
        <f>[21]Vendedor5!$L$5</f>
        <v>152000</v>
      </c>
      <c r="H16" s="18">
        <f>[21]Vendedor5!$J$7</f>
        <v>44200</v>
      </c>
      <c r="I16" s="15">
        <f>[21]Vendedor5!$K$7</f>
        <v>5304</v>
      </c>
      <c r="J16" s="16">
        <f>[21]Vendedor5!$L$7</f>
        <v>0</v>
      </c>
      <c r="K16" s="19">
        <f t="shared" si="3"/>
        <v>294850</v>
      </c>
      <c r="L16" s="15">
        <f t="shared" si="2"/>
        <v>35400</v>
      </c>
      <c r="M16" s="15">
        <f t="shared" si="1"/>
        <v>241250</v>
      </c>
      <c r="N16" s="15">
        <v>0</v>
      </c>
      <c r="O16" s="17">
        <f t="shared" si="0"/>
        <v>18200</v>
      </c>
    </row>
    <row r="17" spans="1:15" x14ac:dyDescent="0.35">
      <c r="A17" s="13" t="s">
        <v>26</v>
      </c>
      <c r="B17" s="14">
        <f>[22]Vendedor5!$J$4</f>
        <v>134200</v>
      </c>
      <c r="C17" s="15">
        <f>[22]Vendedor5!$K$4</f>
        <v>16104</v>
      </c>
      <c r="D17" s="16">
        <f>[22]Vendedor5!$L$4</f>
        <v>144500</v>
      </c>
      <c r="E17" s="14">
        <f>[22]Vendedor5!$J$5</f>
        <v>128950</v>
      </c>
      <c r="F17" s="15">
        <f>[22]Vendedor5!$K$5</f>
        <v>15474</v>
      </c>
      <c r="G17" s="17">
        <f>[22]Vendedor5!$L$5</f>
        <v>0</v>
      </c>
      <c r="H17" s="18">
        <f>[22]Vendedor5!$J$7</f>
        <v>25150</v>
      </c>
      <c r="I17" s="15">
        <f>[22]Vendedor5!$K$7</f>
        <v>3018</v>
      </c>
      <c r="J17" s="16">
        <f>[22]Vendedor5!$L$7</f>
        <v>8000</v>
      </c>
      <c r="K17" s="19">
        <f t="shared" si="3"/>
        <v>288300</v>
      </c>
      <c r="L17" s="15">
        <f t="shared" si="2"/>
        <v>34600</v>
      </c>
      <c r="M17" s="15">
        <f t="shared" si="1"/>
        <v>152500</v>
      </c>
      <c r="N17" s="15">
        <v>0</v>
      </c>
      <c r="O17" s="17">
        <f t="shared" si="0"/>
        <v>101200</v>
      </c>
    </row>
    <row r="18" spans="1:15" x14ac:dyDescent="0.35">
      <c r="A18" s="20" t="s">
        <v>27</v>
      </c>
      <c r="B18" s="14">
        <f>[23]Vendedor5!$J$4</f>
        <v>130000</v>
      </c>
      <c r="C18" s="15">
        <f>[23]Vendedor5!$K$4</f>
        <v>15600</v>
      </c>
      <c r="D18" s="16">
        <f>[23]Vendedor5!$L$4</f>
        <v>93500</v>
      </c>
      <c r="E18" s="14">
        <f>[23]Vendedor5!$J$5</f>
        <v>82000</v>
      </c>
      <c r="F18" s="15">
        <f>[23]Vendedor5!$K$5</f>
        <v>9840</v>
      </c>
      <c r="G18" s="17">
        <f>[23]Vendedor5!$L$5</f>
        <v>88000</v>
      </c>
      <c r="H18" s="18">
        <f>[23]Vendedor5!$J$7</f>
        <v>35100</v>
      </c>
      <c r="I18" s="15">
        <f>[23]Vendedor5!$K$7</f>
        <v>4212</v>
      </c>
      <c r="J18" s="16">
        <f>[23]Vendedor5!$L$7</f>
        <v>12000</v>
      </c>
      <c r="K18" s="19">
        <f t="shared" si="3"/>
        <v>247100</v>
      </c>
      <c r="L18" s="15">
        <f t="shared" si="2"/>
        <v>29650</v>
      </c>
      <c r="M18" s="15">
        <f t="shared" si="1"/>
        <v>193500</v>
      </c>
      <c r="N18" s="15">
        <v>0</v>
      </c>
      <c r="O18" s="17">
        <f t="shared" si="0"/>
        <v>23950</v>
      </c>
    </row>
    <row r="19" spans="1:15" x14ac:dyDescent="0.35">
      <c r="A19" s="20" t="s">
        <v>28</v>
      </c>
      <c r="B19" s="14">
        <f>[24]Vendedor5!$J$4</f>
        <v>100950</v>
      </c>
      <c r="C19" s="15">
        <f>[24]Vendedor5!$K$4</f>
        <v>12114</v>
      </c>
      <c r="D19" s="16">
        <f>[24]Vendedor5!$L$4</f>
        <v>8500</v>
      </c>
      <c r="E19" s="14">
        <f>[24]Vendedor5!$J$5</f>
        <v>67500</v>
      </c>
      <c r="F19" s="15">
        <f>[24]Vendedor5!$K$5</f>
        <v>8100</v>
      </c>
      <c r="G19" s="17">
        <f>[24]Vendedor5!$L$5</f>
        <v>40000</v>
      </c>
      <c r="H19" s="18">
        <f>[24]Vendedor5!$J$7</f>
        <v>37750</v>
      </c>
      <c r="I19" s="15">
        <f>[24]Vendedor5!$K$7</f>
        <v>4530</v>
      </c>
      <c r="J19" s="16">
        <f>[24]Vendedor5!$L$7</f>
        <v>40000</v>
      </c>
      <c r="K19" s="19">
        <f t="shared" si="3"/>
        <v>206200</v>
      </c>
      <c r="L19" s="15">
        <f t="shared" si="2"/>
        <v>24750</v>
      </c>
      <c r="M19" s="15">
        <f t="shared" si="1"/>
        <v>88500</v>
      </c>
      <c r="N19" s="15">
        <v>0</v>
      </c>
      <c r="O19" s="17">
        <f t="shared" si="0"/>
        <v>92950</v>
      </c>
    </row>
    <row r="20" spans="1:15" x14ac:dyDescent="0.35">
      <c r="A20" s="13" t="s">
        <v>29</v>
      </c>
      <c r="B20" s="14">
        <f>[25]Vendedor5!$J$4</f>
        <v>0</v>
      </c>
      <c r="C20" s="15">
        <f>[25]Vendedor5!$K$4</f>
        <v>0</v>
      </c>
      <c r="D20" s="16">
        <f>[25]Vendedor5!$L$4</f>
        <v>0</v>
      </c>
      <c r="E20" s="14">
        <f>[25]Vendedor5!$J$5</f>
        <v>0</v>
      </c>
      <c r="F20" s="15">
        <f>[25]Vendedor5!$K$5</f>
        <v>0</v>
      </c>
      <c r="G20" s="17">
        <f>[25]Vendedor5!$L$5</f>
        <v>0</v>
      </c>
      <c r="H20" s="18">
        <f>[25]Vendedor5!$J$7</f>
        <v>0</v>
      </c>
      <c r="I20" s="15">
        <f>[25]Vendedor5!$K$7</f>
        <v>0</v>
      </c>
      <c r="J20" s="16">
        <f>[25]Vendedor5!$L$7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[26]Vendedor5!$J$4</f>
        <v>116200</v>
      </c>
      <c r="C21" s="81">
        <f>[26]Vendedor5!$K$4</f>
        <v>13944</v>
      </c>
      <c r="D21" s="82">
        <f>[26]Vendedor5!$L$4</f>
        <v>174250</v>
      </c>
      <c r="E21" s="14">
        <f>[26]Vendedor5!$J$5</f>
        <v>95900</v>
      </c>
      <c r="F21" s="81">
        <f>[26]Vendedor5!$K$5</f>
        <v>11508</v>
      </c>
      <c r="G21" s="85">
        <f>[26]Vendedor5!$L$5</f>
        <v>40000</v>
      </c>
      <c r="H21" s="19">
        <f>[26]Vendedor5!$J$7</f>
        <v>44850</v>
      </c>
      <c r="I21" s="15">
        <f>[26]Vendedor5!$K$7</f>
        <v>5382</v>
      </c>
      <c r="J21" s="17">
        <f>[26]Vendedor5!$L$7</f>
        <v>32000</v>
      </c>
      <c r="K21" s="19">
        <f t="shared" si="3"/>
        <v>256950</v>
      </c>
      <c r="L21" s="15">
        <f t="shared" si="2"/>
        <v>30850</v>
      </c>
      <c r="M21" s="15">
        <f t="shared" si="1"/>
        <v>246250</v>
      </c>
      <c r="N21" s="15">
        <v>0</v>
      </c>
      <c r="O21" s="17">
        <f t="shared" si="0"/>
        <v>-20150</v>
      </c>
    </row>
    <row r="22" spans="1:15" x14ac:dyDescent="0.35">
      <c r="A22" s="13" t="s">
        <v>31</v>
      </c>
      <c r="B22" s="14">
        <f>[27]Vendedor5!$J$4</f>
        <v>134550</v>
      </c>
      <c r="C22" s="81">
        <f>[27]Vendedor5!$K$4</f>
        <v>16146</v>
      </c>
      <c r="D22" s="82">
        <f>[27]Vendedor5!$L$4</f>
        <v>131750</v>
      </c>
      <c r="E22" s="14">
        <f>[27]Vendedor5!$J$5</f>
        <v>152700</v>
      </c>
      <c r="F22" s="81">
        <f>[27]Vendedor5!$K$5</f>
        <v>18324</v>
      </c>
      <c r="G22" s="85">
        <f>[27]Vendedor5!$L$5</f>
        <v>120000</v>
      </c>
      <c r="H22" s="19">
        <f>[27]Vendedor5!$J$7</f>
        <v>65350</v>
      </c>
      <c r="I22" s="15">
        <f>[27]Vendedor5!$K$7</f>
        <v>7842</v>
      </c>
      <c r="J22" s="17">
        <f>[27]Vendedor5!$L$7</f>
        <v>32000</v>
      </c>
      <c r="K22" s="19">
        <f t="shared" si="3"/>
        <v>352600</v>
      </c>
      <c r="L22" s="15">
        <f t="shared" si="2"/>
        <v>42300</v>
      </c>
      <c r="M22" s="15">
        <f t="shared" si="1"/>
        <v>283750</v>
      </c>
      <c r="N22" s="15">
        <v>0</v>
      </c>
      <c r="O22" s="17">
        <f t="shared" si="0"/>
        <v>26550</v>
      </c>
    </row>
    <row r="23" spans="1:15" x14ac:dyDescent="0.35">
      <c r="A23" s="20" t="s">
        <v>32</v>
      </c>
      <c r="B23" s="14">
        <f>[28]Vendedor5!$J$4</f>
        <v>164500</v>
      </c>
      <c r="C23" s="81">
        <f>[28]Vendedor5!$K$4</f>
        <v>19740</v>
      </c>
      <c r="D23" s="82">
        <f>[28]Vendedor5!$L$4</f>
        <v>51000</v>
      </c>
      <c r="E23" s="14">
        <f>[28]Vendedor5!$J$5</f>
        <v>153150</v>
      </c>
      <c r="F23" s="81">
        <f>[28]Vendedor5!$K$5</f>
        <v>18378</v>
      </c>
      <c r="G23" s="85">
        <f>[28]Vendedor5!$L$5</f>
        <v>8000</v>
      </c>
      <c r="H23" s="19">
        <f>[28]Vendedor5!$J$7</f>
        <v>58200</v>
      </c>
      <c r="I23" s="15">
        <f>[28]Vendedor5!$K$7</f>
        <v>6984</v>
      </c>
      <c r="J23" s="17">
        <f>[28]Vendedor5!$L$7</f>
        <v>88000</v>
      </c>
      <c r="K23" s="19">
        <f t="shared" si="3"/>
        <v>375850</v>
      </c>
      <c r="L23" s="15">
        <f t="shared" si="2"/>
        <v>45100</v>
      </c>
      <c r="M23" s="15">
        <f t="shared" si="1"/>
        <v>147000</v>
      </c>
      <c r="N23" s="15">
        <v>0</v>
      </c>
      <c r="O23" s="17">
        <f t="shared" si="0"/>
        <v>183750</v>
      </c>
    </row>
    <row r="24" spans="1:15" x14ac:dyDescent="0.35">
      <c r="A24" s="13" t="s">
        <v>33</v>
      </c>
      <c r="B24" s="14">
        <f>[29]Vendedor5!$J$4</f>
        <v>125500</v>
      </c>
      <c r="C24" s="81">
        <f>[29]Vendedor5!$K$4</f>
        <v>15060</v>
      </c>
      <c r="D24" s="82">
        <f>[29]Vendedor5!$L$4</f>
        <v>42500</v>
      </c>
      <c r="E24" s="14">
        <f>[29]Vendedor5!$J$5</f>
        <v>124200</v>
      </c>
      <c r="F24" s="81">
        <f>[29]Vendedor5!$K$5</f>
        <v>14904</v>
      </c>
      <c r="G24" s="85">
        <f>[29]Vendedor5!$L$5</f>
        <v>48000</v>
      </c>
      <c r="H24" s="19">
        <f>[29]Vendedor5!$J$7</f>
        <v>40600</v>
      </c>
      <c r="I24" s="15">
        <f>[29]Vendedor5!$K$7</f>
        <v>4872</v>
      </c>
      <c r="J24" s="17">
        <f>[29]Vendedor5!$L$7</f>
        <v>0</v>
      </c>
      <c r="K24" s="19">
        <f t="shared" si="3"/>
        <v>290300</v>
      </c>
      <c r="L24" s="15">
        <f t="shared" si="2"/>
        <v>34850</v>
      </c>
      <c r="M24" s="15">
        <f t="shared" si="1"/>
        <v>90500</v>
      </c>
      <c r="N24" s="15">
        <v>0</v>
      </c>
      <c r="O24" s="17">
        <f t="shared" si="0"/>
        <v>164950</v>
      </c>
    </row>
    <row r="25" spans="1:15" x14ac:dyDescent="0.35">
      <c r="A25" s="20" t="s">
        <v>34</v>
      </c>
      <c r="B25" s="14">
        <f>[30]Vendedor5!$J$4</f>
        <v>171800</v>
      </c>
      <c r="C25" s="81">
        <f>[30]Vendedor5!$K$4</f>
        <v>20616</v>
      </c>
      <c r="D25" s="82">
        <f>[30]Vendedor5!$L$4</f>
        <v>238000</v>
      </c>
      <c r="E25" s="14">
        <f>[30]Vendedor5!$J$5</f>
        <v>134450</v>
      </c>
      <c r="F25" s="81">
        <f>[30]Vendedor5!$K$5</f>
        <v>16134</v>
      </c>
      <c r="G25" s="85">
        <f>[30]Vendedor5!$L$5</f>
        <v>380000</v>
      </c>
      <c r="H25" s="19">
        <f>[30]Vendedor5!$J$7</f>
        <v>33600</v>
      </c>
      <c r="I25" s="15">
        <f>[30]Vendedor5!$K$7</f>
        <v>4032</v>
      </c>
      <c r="J25" s="17">
        <f>[30]Vendedor5!$L$7</f>
        <v>0</v>
      </c>
      <c r="K25" s="19">
        <f t="shared" si="3"/>
        <v>339850</v>
      </c>
      <c r="L25" s="15">
        <f t="shared" si="2"/>
        <v>40800</v>
      </c>
      <c r="M25" s="15">
        <f t="shared" si="1"/>
        <v>618000</v>
      </c>
      <c r="N25" s="15">
        <v>0</v>
      </c>
      <c r="O25" s="17">
        <f t="shared" si="0"/>
        <v>-318950</v>
      </c>
    </row>
    <row r="26" spans="1:15" x14ac:dyDescent="0.35">
      <c r="A26" s="13" t="s">
        <v>35</v>
      </c>
      <c r="B26" s="14">
        <f>[31]Vendedor5!$J$4</f>
        <v>238550</v>
      </c>
      <c r="C26" s="81">
        <f>[31]Vendedor5!$K$4</f>
        <v>28626</v>
      </c>
      <c r="D26" s="82">
        <f>[31]Vendedor5!$L$4</f>
        <v>425000</v>
      </c>
      <c r="E26" s="14">
        <f>[31]Vendedor5!$J$5</f>
        <v>225000</v>
      </c>
      <c r="F26" s="81">
        <f>[31]Vendedor5!$K$5</f>
        <v>27000</v>
      </c>
      <c r="G26" s="85">
        <f>[31]Vendedor5!$L$5</f>
        <v>128000</v>
      </c>
      <c r="H26" s="19">
        <f>[31]Vendedor5!$J$7</f>
        <v>90250</v>
      </c>
      <c r="I26" s="15">
        <f>[31]Vendedor5!$K$7</f>
        <v>10830</v>
      </c>
      <c r="J26" s="17">
        <f>[31]Vendedor5!$L$7</f>
        <v>8000</v>
      </c>
      <c r="K26" s="19">
        <f t="shared" si="3"/>
        <v>553800</v>
      </c>
      <c r="L26" s="15">
        <f t="shared" si="2"/>
        <v>66450</v>
      </c>
      <c r="M26" s="15">
        <f t="shared" si="1"/>
        <v>561000</v>
      </c>
      <c r="N26" s="15">
        <v>0</v>
      </c>
      <c r="O26" s="17">
        <f t="shared" si="0"/>
        <v>-73650</v>
      </c>
    </row>
    <row r="27" spans="1:15" x14ac:dyDescent="0.35">
      <c r="A27" s="20" t="s">
        <v>36</v>
      </c>
      <c r="B27" s="14">
        <f>[1]Vendedor5!$J$4</f>
        <v>201900</v>
      </c>
      <c r="C27" s="81">
        <f>[1]Vendedor5!$K$4</f>
        <v>24228</v>
      </c>
      <c r="D27" s="82">
        <f>[1]Vendedor5!$L$4</f>
        <v>144500</v>
      </c>
      <c r="E27" s="14">
        <f>[1]Vendedor5!$J$5</f>
        <v>213650</v>
      </c>
      <c r="F27" s="81">
        <f>[1]Vendedor5!$K$5</f>
        <v>25638</v>
      </c>
      <c r="G27" s="85">
        <f>[1]Vendedor5!$L$5</f>
        <v>140000</v>
      </c>
      <c r="H27" s="19">
        <f>[1]Vendedor5!$J$7</f>
        <v>76550</v>
      </c>
      <c r="I27" s="15">
        <f>[1]Vendedor5!$K$7</f>
        <v>9186</v>
      </c>
      <c r="J27" s="17">
        <f>[1]Vendedor5!$L$7</f>
        <v>20000</v>
      </c>
      <c r="K27" s="19">
        <f t="shared" si="3"/>
        <v>492100</v>
      </c>
      <c r="L27" s="15">
        <f t="shared" si="2"/>
        <v>59050</v>
      </c>
      <c r="M27" s="15">
        <f t="shared" si="1"/>
        <v>304500</v>
      </c>
      <c r="N27" s="15">
        <v>0</v>
      </c>
      <c r="O27" s="17">
        <f t="shared" si="0"/>
        <v>128550</v>
      </c>
    </row>
    <row r="28" spans="1:15" x14ac:dyDescent="0.35">
      <c r="A28" s="13" t="s">
        <v>37</v>
      </c>
      <c r="B28" s="14">
        <f>[2]Vendedor5!$J$4</f>
        <v>186750</v>
      </c>
      <c r="C28" s="81">
        <f>[2]Vendedor5!$K$4</f>
        <v>22410</v>
      </c>
      <c r="D28" s="82">
        <f>[2]Vendedor5!$L$4</f>
        <v>267750</v>
      </c>
      <c r="E28" s="14">
        <f>[2]Vendedor5!$J$5</f>
        <v>148250</v>
      </c>
      <c r="F28" s="81">
        <f>[2]Vendedor5!$K$5</f>
        <v>17790</v>
      </c>
      <c r="G28" s="85">
        <f>[2]Vendedor5!$L$5</f>
        <v>132000</v>
      </c>
      <c r="H28" s="19">
        <f>[2]Vendedor5!$J$7</f>
        <v>44750</v>
      </c>
      <c r="I28" s="15">
        <f>[2]Vendedor5!$K$7</f>
        <v>5370</v>
      </c>
      <c r="J28" s="17">
        <f>[2]Vendedor5!$L$7</f>
        <v>48000</v>
      </c>
      <c r="K28" s="19">
        <f t="shared" si="3"/>
        <v>379750</v>
      </c>
      <c r="L28" s="15">
        <f t="shared" si="2"/>
        <v>45550</v>
      </c>
      <c r="M28" s="15">
        <f t="shared" si="1"/>
        <v>447750</v>
      </c>
      <c r="N28" s="15">
        <v>0</v>
      </c>
      <c r="O28" s="17">
        <f t="shared" si="0"/>
        <v>-113550</v>
      </c>
    </row>
    <row r="29" spans="1:15" x14ac:dyDescent="0.35">
      <c r="A29" s="20" t="s">
        <v>38</v>
      </c>
      <c r="B29" s="14">
        <f>[3]Vendedor5!$J$4</f>
        <v>155950</v>
      </c>
      <c r="C29" s="81">
        <f>[3]Vendedor5!$K$4</f>
        <v>18714</v>
      </c>
      <c r="D29" s="82">
        <f>[3]Vendedor5!$L$4</f>
        <v>42500</v>
      </c>
      <c r="E29" s="14">
        <f>[3]Vendedor5!$J$5</f>
        <v>129450</v>
      </c>
      <c r="F29" s="81">
        <f>[3]Vendedor5!$K$5</f>
        <v>15534</v>
      </c>
      <c r="G29" s="85">
        <f>[3]Vendedor5!$L$5</f>
        <v>80000</v>
      </c>
      <c r="H29" s="19">
        <f>[3]Vendedor5!$J$7</f>
        <v>42050</v>
      </c>
      <c r="I29" s="15">
        <f>[3]Vendedor5!$K$7</f>
        <v>5046</v>
      </c>
      <c r="J29" s="17">
        <f>[3]Vendedor5!$L$7</f>
        <v>0</v>
      </c>
      <c r="K29" s="19">
        <f t="shared" si="3"/>
        <v>327450</v>
      </c>
      <c r="L29" s="15">
        <f t="shared" si="2"/>
        <v>39300</v>
      </c>
      <c r="M29" s="15">
        <f t="shared" si="1"/>
        <v>122500</v>
      </c>
      <c r="N29" s="15">
        <v>0</v>
      </c>
      <c r="O29" s="17">
        <f t="shared" si="0"/>
        <v>165650</v>
      </c>
    </row>
    <row r="30" spans="1:15" x14ac:dyDescent="0.35">
      <c r="A30" s="13" t="s">
        <v>39</v>
      </c>
      <c r="B30" s="14">
        <f>[4]Vendedor5!$J$4</f>
        <v>195650</v>
      </c>
      <c r="C30" s="81">
        <f>[4]Vendedor5!$K$4</f>
        <v>23478</v>
      </c>
      <c r="D30" s="82">
        <f>[4]Vendedor5!$L$4</f>
        <v>72250</v>
      </c>
      <c r="E30" s="14">
        <f>[4]Vendedor5!$J$5</f>
        <v>201150</v>
      </c>
      <c r="F30" s="81">
        <f>[4]Vendedor5!$K$5</f>
        <v>24138</v>
      </c>
      <c r="G30" s="85">
        <f>[4]Vendedor5!$L$5</f>
        <v>224000</v>
      </c>
      <c r="H30" s="19">
        <f>[4]Vendedor5!$J$7</f>
        <v>39100</v>
      </c>
      <c r="I30" s="15">
        <f>[4]Vendedor5!$K$7</f>
        <v>4692</v>
      </c>
      <c r="J30" s="17">
        <f>[4]Vendedor5!$L$7</f>
        <v>20000</v>
      </c>
      <c r="K30" s="19">
        <f t="shared" si="3"/>
        <v>435900</v>
      </c>
      <c r="L30" s="15">
        <f t="shared" si="2"/>
        <v>52300</v>
      </c>
      <c r="M30" s="15">
        <f t="shared" si="1"/>
        <v>316250</v>
      </c>
      <c r="N30" s="15">
        <v>0</v>
      </c>
      <c r="O30" s="17">
        <f t="shared" si="0"/>
        <v>67350</v>
      </c>
    </row>
    <row r="31" spans="1:15" x14ac:dyDescent="0.35">
      <c r="A31" s="20" t="s">
        <v>40</v>
      </c>
      <c r="B31" s="14">
        <f>[5]Vendedor5!$J$4</f>
        <v>195100</v>
      </c>
      <c r="C31" s="81">
        <f>[5]Vendedor5!$K$4</f>
        <v>23412</v>
      </c>
      <c r="D31" s="82">
        <f>[5]Vendedor5!$L$4</f>
        <v>106250</v>
      </c>
      <c r="E31" s="14">
        <f>[5]Vendedor5!$J$5</f>
        <v>169850</v>
      </c>
      <c r="F31" s="81">
        <f>[5]Vendedor5!$K$5</f>
        <v>20382</v>
      </c>
      <c r="G31" s="85">
        <f>[5]Vendedor5!$L$5</f>
        <v>64000</v>
      </c>
      <c r="H31" s="19">
        <f>[5]Vendedor5!$J$7</f>
        <v>53300</v>
      </c>
      <c r="I31" s="15">
        <f>[5]Vendedor5!$K$7</f>
        <v>6396</v>
      </c>
      <c r="J31" s="17">
        <f>[5]Vendedor5!$L$7</f>
        <v>0</v>
      </c>
      <c r="K31" s="19">
        <f t="shared" si="3"/>
        <v>418250</v>
      </c>
      <c r="L31" s="15">
        <f t="shared" si="2"/>
        <v>50200</v>
      </c>
      <c r="M31" s="15">
        <f t="shared" si="1"/>
        <v>170250</v>
      </c>
      <c r="N31" s="15">
        <v>0</v>
      </c>
      <c r="O31" s="17">
        <f t="shared" si="0"/>
        <v>197800</v>
      </c>
    </row>
    <row r="32" spans="1:15" x14ac:dyDescent="0.35">
      <c r="A32" s="20" t="s">
        <v>41</v>
      </c>
      <c r="B32" s="14">
        <f>[6]Vendedor5!$J$4</f>
        <v>128950</v>
      </c>
      <c r="C32" s="81">
        <f>[6]Vendedor5!$K$4</f>
        <v>15474</v>
      </c>
      <c r="D32" s="82">
        <f>[6]Vendedor5!$L$4</f>
        <v>165750</v>
      </c>
      <c r="E32" s="14">
        <f>[6]Vendedor5!$J$5</f>
        <v>114200</v>
      </c>
      <c r="F32" s="81">
        <f>[6]Vendedor5!$K$5</f>
        <v>13704</v>
      </c>
      <c r="G32" s="85">
        <f>[6]Vendedor5!$L$5</f>
        <v>12000</v>
      </c>
      <c r="H32" s="19">
        <f>[6]Vendedor5!$J$7</f>
        <v>26850</v>
      </c>
      <c r="I32" s="15">
        <f>[6]Vendedor5!$K$7</f>
        <v>3222</v>
      </c>
      <c r="J32" s="17">
        <f>[6]Vendedor5!$L$7</f>
        <v>0</v>
      </c>
      <c r="K32" s="19">
        <f t="shared" si="3"/>
        <v>270000</v>
      </c>
      <c r="L32" s="15">
        <f t="shared" si="2"/>
        <v>32400</v>
      </c>
      <c r="M32" s="15">
        <f t="shared" si="1"/>
        <v>177750</v>
      </c>
      <c r="N32" s="15">
        <v>0</v>
      </c>
      <c r="O32" s="17">
        <f t="shared" si="0"/>
        <v>59850</v>
      </c>
    </row>
    <row r="33" spans="1:15" x14ac:dyDescent="0.35">
      <c r="A33" s="13" t="s">
        <v>42</v>
      </c>
      <c r="B33" s="14">
        <f>[7]Vendedor5!$J$4</f>
        <v>151550</v>
      </c>
      <c r="C33" s="81">
        <f>[7]Vendedor5!$K$4</f>
        <v>18186</v>
      </c>
      <c r="D33" s="82">
        <f>[7]Vendedor5!$L$4</f>
        <v>212500</v>
      </c>
      <c r="E33" s="14">
        <f>[7]Vendedor5!$J$5</f>
        <v>165650</v>
      </c>
      <c r="F33" s="81">
        <f>[7]Vendedor5!$K$5</f>
        <v>19878</v>
      </c>
      <c r="G33" s="85">
        <f>[7]Vendedor5!$L$5</f>
        <v>20000</v>
      </c>
      <c r="H33" s="19">
        <f>[7]Vendedor5!$J$7</f>
        <v>57250</v>
      </c>
      <c r="I33" s="15">
        <f>[7]Vendedor5!$K$7</f>
        <v>6870</v>
      </c>
      <c r="J33" s="17">
        <f>[7]Vendedor5!$L$7</f>
        <v>80000</v>
      </c>
      <c r="K33" s="19">
        <f t="shared" si="3"/>
        <v>374450</v>
      </c>
      <c r="L33" s="15">
        <f t="shared" si="2"/>
        <v>44950</v>
      </c>
      <c r="M33" s="15">
        <f t="shared" si="1"/>
        <v>312500</v>
      </c>
      <c r="N33" s="15">
        <v>0</v>
      </c>
      <c r="O33" s="17">
        <f t="shared" si="0"/>
        <v>17000</v>
      </c>
    </row>
    <row r="34" spans="1:15" x14ac:dyDescent="0.35">
      <c r="A34" s="20" t="s">
        <v>43</v>
      </c>
      <c r="B34" s="14">
        <f>[8]Vendedor5!$J$4</f>
        <v>160850</v>
      </c>
      <c r="C34" s="81">
        <f>[8]Vendedor5!$K$4</f>
        <v>19302</v>
      </c>
      <c r="D34" s="82">
        <f>[8]Vendedor5!$L$4</f>
        <v>42500</v>
      </c>
      <c r="E34" s="14">
        <f>[8]Vendedor5!$J$5</f>
        <v>132400</v>
      </c>
      <c r="F34" s="81">
        <f>[8]Vendedor5!$K$5</f>
        <v>15888</v>
      </c>
      <c r="G34" s="85">
        <f>[8]Vendedor5!$L$5</f>
        <v>52000</v>
      </c>
      <c r="H34" s="19">
        <f>[8]Vendedor5!$J$7</f>
        <v>61500</v>
      </c>
      <c r="I34" s="15">
        <f>[8]Vendedor5!$K$7</f>
        <v>7380</v>
      </c>
      <c r="J34" s="17">
        <f>[8]Vendedor5!$L$7</f>
        <v>64000</v>
      </c>
      <c r="K34" s="19">
        <f t="shared" si="3"/>
        <v>354750</v>
      </c>
      <c r="L34" s="15">
        <f t="shared" si="2"/>
        <v>42550</v>
      </c>
      <c r="M34" s="15">
        <f t="shared" si="1"/>
        <v>158500</v>
      </c>
      <c r="N34" s="15">
        <v>0</v>
      </c>
      <c r="O34" s="17">
        <f t="shared" si="0"/>
        <v>153700</v>
      </c>
    </row>
    <row r="35" spans="1:15" x14ac:dyDescent="0.35">
      <c r="A35" s="13" t="s">
        <v>44</v>
      </c>
      <c r="B35" s="14">
        <f>[9]Vendedor5!$J$4</f>
        <v>210500</v>
      </c>
      <c r="C35" s="81">
        <f>[9]Vendedor5!$K$4</f>
        <v>25260</v>
      </c>
      <c r="D35" s="82">
        <f>[9]Vendedor5!$L$4</f>
        <v>267750</v>
      </c>
      <c r="E35" s="14">
        <f>[9]Vendedor5!$J$5</f>
        <v>125150</v>
      </c>
      <c r="F35" s="81">
        <f>[9]Vendedor5!$K$5</f>
        <v>15018</v>
      </c>
      <c r="G35" s="85">
        <f>[9]Vendedor5!$L$5</f>
        <v>128000</v>
      </c>
      <c r="H35" s="19">
        <f>[9]Vendedor5!$J$7</f>
        <v>71000</v>
      </c>
      <c r="I35" s="15">
        <f>[9]Vendedor5!$K$7</f>
        <v>8520</v>
      </c>
      <c r="J35" s="17">
        <f>[9]Vendedor5!$L$7</f>
        <v>0</v>
      </c>
      <c r="K35" s="19">
        <f t="shared" si="3"/>
        <v>406650</v>
      </c>
      <c r="L35" s="15">
        <f t="shared" si="2"/>
        <v>48800</v>
      </c>
      <c r="M35" s="15">
        <f t="shared" si="1"/>
        <v>395750</v>
      </c>
      <c r="N35" s="15">
        <v>0</v>
      </c>
      <c r="O35" s="17">
        <f t="shared" si="0"/>
        <v>-37900</v>
      </c>
    </row>
    <row r="36" spans="1:15" ht="15" thickBot="1" x14ac:dyDescent="0.4">
      <c r="A36" s="20" t="s">
        <v>45</v>
      </c>
      <c r="B36" s="21">
        <f>[10]Vendedor5!$J$4</f>
        <v>222000</v>
      </c>
      <c r="C36" s="83">
        <f>[10]Vendedor5!$K$4</f>
        <v>26640</v>
      </c>
      <c r="D36" s="84">
        <f>[10]Vendedor5!$L$4</f>
        <v>263500</v>
      </c>
      <c r="E36" s="21">
        <f>[10]Vendedor5!$J$5</f>
        <v>159550</v>
      </c>
      <c r="F36" s="83">
        <f>[10]Vendedor5!$K$5</f>
        <v>19146</v>
      </c>
      <c r="G36" s="86">
        <f>[10]Vendedor5!$L$5</f>
        <v>112000</v>
      </c>
      <c r="H36" s="26">
        <f>[10]Vendedor5!$J$7</f>
        <v>59500</v>
      </c>
      <c r="I36" s="22">
        <f>[10]Vendedor5!$K$7</f>
        <v>7140</v>
      </c>
      <c r="J36" s="24">
        <f>[10]Vendedor5!$L$7</f>
        <v>48000</v>
      </c>
      <c r="K36" s="26">
        <f t="shared" si="3"/>
        <v>441050</v>
      </c>
      <c r="L36" s="22">
        <f t="shared" si="2"/>
        <v>52950</v>
      </c>
      <c r="M36" s="22">
        <f t="shared" si="1"/>
        <v>423500</v>
      </c>
      <c r="N36" s="22">
        <v>0</v>
      </c>
      <c r="O36" s="24">
        <f t="shared" si="0"/>
        <v>-35400</v>
      </c>
    </row>
    <row r="37" spans="1:15" ht="16" thickBot="1" x14ac:dyDescent="0.4">
      <c r="A37" s="5" t="s">
        <v>46</v>
      </c>
      <c r="B37" s="27">
        <f t="shared" ref="B37:M37" si="4">SUM(B6:B36)</f>
        <v>5103750</v>
      </c>
      <c r="C37" s="28">
        <f t="shared" si="4"/>
        <v>612450</v>
      </c>
      <c r="D37" s="29">
        <f t="shared" si="4"/>
        <v>4598500</v>
      </c>
      <c r="E37" s="30">
        <f t="shared" si="4"/>
        <v>4457550</v>
      </c>
      <c r="F37" s="28">
        <f t="shared" si="4"/>
        <v>534906</v>
      </c>
      <c r="G37" s="31">
        <f t="shared" si="4"/>
        <v>3340000</v>
      </c>
      <c r="H37" s="27">
        <f t="shared" si="4"/>
        <v>1612150</v>
      </c>
      <c r="I37" s="28">
        <f t="shared" si="4"/>
        <v>193458</v>
      </c>
      <c r="J37" s="29">
        <f t="shared" si="4"/>
        <v>740000</v>
      </c>
      <c r="K37" s="60">
        <f t="shared" si="4"/>
        <v>11173450</v>
      </c>
      <c r="L37" s="32">
        <f t="shared" si="4"/>
        <v>1340850</v>
      </c>
      <c r="M37" s="32">
        <f t="shared" si="4"/>
        <v>8678500</v>
      </c>
      <c r="N37" s="32">
        <f>SUM(N5:N36)</f>
        <v>0</v>
      </c>
      <c r="O37" s="33">
        <f>SUM(O5:O36)</f>
        <v>1154100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60" ht="19" thickBot="1" x14ac:dyDescent="0.5">
      <c r="A2" s="2" t="s">
        <v>1</v>
      </c>
      <c r="B2" s="142" t="s">
        <v>132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[11]Vendedor6!$J$4</f>
        <v>0</v>
      </c>
      <c r="C6" s="87">
        <f>[11]Vendedor6!$K$4</f>
        <v>0</v>
      </c>
      <c r="D6" s="88">
        <f>[11]Vendedor6!$L$4</f>
        <v>0</v>
      </c>
      <c r="E6" s="53">
        <f>[11]Vendedor6!$J$5</f>
        <v>0</v>
      </c>
      <c r="F6" s="87">
        <f>[11]Vendedor6!$K$5</f>
        <v>0</v>
      </c>
      <c r="G6" s="89">
        <f>[11]Vendedor6!$L$5</f>
        <v>0</v>
      </c>
      <c r="H6" s="59">
        <f>[11]Vendedor6!$J$6</f>
        <v>0</v>
      </c>
      <c r="I6" s="58">
        <f>[11]Vendedor6!$K$6</f>
        <v>0</v>
      </c>
      <c r="J6" s="55">
        <f>[11]Vendedor6!$L$6</f>
        <v>0</v>
      </c>
      <c r="K6" s="61">
        <f>[11]Vendedor6!$J$7</f>
        <v>0</v>
      </c>
      <c r="L6" s="58">
        <f>[11]Vendedor6!$K$7</f>
        <v>0</v>
      </c>
      <c r="M6" s="54">
        <f>[11]Vendedor6!$L$7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[12]Vendedor6!$J$4</f>
        <v>0</v>
      </c>
      <c r="C7" s="81">
        <f>[12]Vendedor6!$K$4</f>
        <v>0</v>
      </c>
      <c r="D7" s="82">
        <f>[12]Vendedor6!$L$4</f>
        <v>0</v>
      </c>
      <c r="E7" s="14">
        <f>[12]Vendedor6!$J$5</f>
        <v>0</v>
      </c>
      <c r="F7" s="81">
        <f>[12]Vendedor6!$K$5</f>
        <v>0</v>
      </c>
      <c r="G7" s="85">
        <f>[12]Vendedor6!$L$5</f>
        <v>0</v>
      </c>
      <c r="H7" s="19">
        <f>[12]Vendedor6!$J$6</f>
        <v>0</v>
      </c>
      <c r="I7" s="15">
        <f>[12]Vendedor6!$K$6</f>
        <v>0</v>
      </c>
      <c r="J7" s="17">
        <f>[12]Vendedor6!$L$6</f>
        <v>0</v>
      </c>
      <c r="K7" s="18">
        <f>[12]Vendedor6!$J$7</f>
        <v>0</v>
      </c>
      <c r="L7" s="15">
        <f>[12]Vendedor6!$K$7</f>
        <v>0</v>
      </c>
      <c r="M7" s="16">
        <f>[12]Vendedor6!$L$7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[13]Vendedor6!$J$4</f>
        <v>0</v>
      </c>
      <c r="C8" s="81">
        <f>[13]Vendedor6!$K$4</f>
        <v>0</v>
      </c>
      <c r="D8" s="82">
        <f>[13]Vendedor6!$L$4</f>
        <v>0</v>
      </c>
      <c r="E8" s="14">
        <f>[13]Vendedor6!$J$5</f>
        <v>0</v>
      </c>
      <c r="F8" s="81">
        <f>[13]Vendedor6!$K$5</f>
        <v>0</v>
      </c>
      <c r="G8" s="85">
        <f>[13]Vendedor6!$L$5</f>
        <v>0</v>
      </c>
      <c r="H8" s="19">
        <f>[13]Vendedor6!$J$6</f>
        <v>0</v>
      </c>
      <c r="I8" s="15">
        <f>[13]Vendedor6!$K$6</f>
        <v>0</v>
      </c>
      <c r="J8" s="17">
        <f>[13]Vendedor6!$L$6</f>
        <v>0</v>
      </c>
      <c r="K8" s="18">
        <f>[13]Vendedor6!$J$7</f>
        <v>0</v>
      </c>
      <c r="L8" s="15">
        <f>[13]Vendedor6!$K$7</f>
        <v>0</v>
      </c>
      <c r="M8" s="16">
        <f>[13]Vendedor6!$L$7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[14]Vendedor6!$J$4</f>
        <v>0</v>
      </c>
      <c r="C9" s="81">
        <f>[14]Vendedor6!$K$4</f>
        <v>0</v>
      </c>
      <c r="D9" s="82">
        <f>[14]Vendedor6!$L$4</f>
        <v>0</v>
      </c>
      <c r="E9" s="14">
        <f>[14]Vendedor6!$J$5</f>
        <v>0</v>
      </c>
      <c r="F9" s="81">
        <f>[14]Vendedor6!$K$5</f>
        <v>0</v>
      </c>
      <c r="G9" s="85">
        <f>[14]Vendedor6!$L$5</f>
        <v>0</v>
      </c>
      <c r="H9" s="19">
        <f>[14]Vendedor6!$J$6</f>
        <v>0</v>
      </c>
      <c r="I9" s="15">
        <f>[14]Vendedor6!$K$6</f>
        <v>0</v>
      </c>
      <c r="J9" s="17">
        <f>[14]Vendedor6!$L$6</f>
        <v>0</v>
      </c>
      <c r="K9" s="18">
        <f>[14]Vendedor6!$J$7</f>
        <v>0</v>
      </c>
      <c r="L9" s="15">
        <f>[14]Vendedor6!$K$7</f>
        <v>0</v>
      </c>
      <c r="M9" s="16">
        <f>[14]Vendedor6!$L$7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[15]Vendedor6!$J$4</f>
        <v>0</v>
      </c>
      <c r="C10" s="81">
        <f>[15]Vendedor6!$K$4</f>
        <v>0</v>
      </c>
      <c r="D10" s="82">
        <f>[15]Vendedor6!$L$4</f>
        <v>0</v>
      </c>
      <c r="E10" s="14">
        <f>[15]Vendedor6!$J$5</f>
        <v>0</v>
      </c>
      <c r="F10" s="81">
        <f>[15]Vendedor6!$K$5</f>
        <v>0</v>
      </c>
      <c r="G10" s="85">
        <f>[15]Vendedor6!$L$5</f>
        <v>0</v>
      </c>
      <c r="H10" s="19">
        <f>[15]Vendedor6!$J$6</f>
        <v>0</v>
      </c>
      <c r="I10" s="15">
        <f>[15]Vendedor6!$K$6</f>
        <v>0</v>
      </c>
      <c r="J10" s="17">
        <f>[15]Vendedor6!$L$6</f>
        <v>0</v>
      </c>
      <c r="K10" s="18">
        <f>[15]Vendedor6!$J$7</f>
        <v>0</v>
      </c>
      <c r="L10" s="15">
        <f>[15]Vendedor6!$K$7</f>
        <v>0</v>
      </c>
      <c r="M10" s="16">
        <f>[15]Vendedor6!$L$7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[16]Vendedor6!$J$4</f>
        <v>0</v>
      </c>
      <c r="C11" s="81">
        <f>[16]Vendedor6!$K$4</f>
        <v>0</v>
      </c>
      <c r="D11" s="82">
        <f>[16]Vendedor6!$L$4</f>
        <v>0</v>
      </c>
      <c r="E11" s="14">
        <f>[16]Vendedor6!$J$5</f>
        <v>0</v>
      </c>
      <c r="F11" s="81">
        <f>[16]Vendedor6!$K$5</f>
        <v>0</v>
      </c>
      <c r="G11" s="85">
        <f>[16]Vendedor6!$L$5</f>
        <v>0</v>
      </c>
      <c r="H11" s="19">
        <f>[16]Vendedor6!$J$6</f>
        <v>0</v>
      </c>
      <c r="I11" s="15">
        <f>[16]Vendedor6!$K$6</f>
        <v>0</v>
      </c>
      <c r="J11" s="17">
        <f>[16]Vendedor6!$L$6</f>
        <v>0</v>
      </c>
      <c r="K11" s="18">
        <f>[16]Vendedor6!$J$7</f>
        <v>0</v>
      </c>
      <c r="L11" s="15">
        <f>[16]Vendedor6!$K$7</f>
        <v>0</v>
      </c>
      <c r="M11" s="16">
        <f>[16]Vendedor6!$L$7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[17]Vendedor6!$J$4</f>
        <v>0</v>
      </c>
      <c r="C12" s="81">
        <f>[17]Vendedor6!$K$4</f>
        <v>0</v>
      </c>
      <c r="D12" s="82">
        <f>[17]Vendedor6!$L$4</f>
        <v>0</v>
      </c>
      <c r="E12" s="14">
        <f>[17]Vendedor6!$J$5</f>
        <v>0</v>
      </c>
      <c r="F12" s="81">
        <f>[17]Vendedor6!$K$5</f>
        <v>0</v>
      </c>
      <c r="G12" s="85">
        <f>[17]Vendedor6!$L$5</f>
        <v>0</v>
      </c>
      <c r="H12" s="19">
        <f>[17]Vendedor6!$J$6</f>
        <v>0</v>
      </c>
      <c r="I12" s="15">
        <f>[17]Vendedor6!$K$6</f>
        <v>0</v>
      </c>
      <c r="J12" s="17">
        <f>[17]Vendedor6!$L$6</f>
        <v>0</v>
      </c>
      <c r="K12" s="18">
        <f>[17]Vendedor6!$J$7</f>
        <v>0</v>
      </c>
      <c r="L12" s="15">
        <f>[17]Vendedor6!$K$7</f>
        <v>0</v>
      </c>
      <c r="M12" s="16">
        <f>[17]Vendedor6!$L$7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[18]Vendedor6!$J$4</f>
        <v>0</v>
      </c>
      <c r="C13" s="81">
        <f>[18]Vendedor6!$K$4</f>
        <v>0</v>
      </c>
      <c r="D13" s="82">
        <f>[18]Vendedor6!$L$4</f>
        <v>0</v>
      </c>
      <c r="E13" s="14">
        <f>[18]Vendedor6!$J$5</f>
        <v>0</v>
      </c>
      <c r="F13" s="81">
        <f>[18]Vendedor6!$K$5</f>
        <v>0</v>
      </c>
      <c r="G13" s="85">
        <f>[18]Vendedor6!$L$5</f>
        <v>0</v>
      </c>
      <c r="H13" s="19">
        <f>[18]Vendedor6!$J$6</f>
        <v>0</v>
      </c>
      <c r="I13" s="15">
        <f>[18]Vendedor6!$K$6</f>
        <v>0</v>
      </c>
      <c r="J13" s="17">
        <f>[18]Vendedor6!$L$6</f>
        <v>0</v>
      </c>
      <c r="K13" s="18">
        <f>[18]Vendedor6!$J$7</f>
        <v>0</v>
      </c>
      <c r="L13" s="15">
        <f>[18]Vendedor6!$K$7</f>
        <v>0</v>
      </c>
      <c r="M13" s="16">
        <f>[18]Vendedor6!$L$7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[19]Vendedor6!$J$4</f>
        <v>0</v>
      </c>
      <c r="C14" s="81">
        <f>[19]Vendedor6!$K$4</f>
        <v>0</v>
      </c>
      <c r="D14" s="82">
        <f>[19]Vendedor6!$L$4</f>
        <v>0</v>
      </c>
      <c r="E14" s="14">
        <f>[19]Vendedor6!$J$5</f>
        <v>0</v>
      </c>
      <c r="F14" s="81">
        <f>[19]Vendedor6!$K$5</f>
        <v>0</v>
      </c>
      <c r="G14" s="85">
        <f>[19]Vendedor6!$L$5</f>
        <v>0</v>
      </c>
      <c r="H14" s="19">
        <f>[19]Vendedor6!$J$6</f>
        <v>0</v>
      </c>
      <c r="I14" s="15">
        <f>[19]Vendedor6!$K$6</f>
        <v>0</v>
      </c>
      <c r="J14" s="17">
        <f>[19]Vendedor6!$L$6</f>
        <v>0</v>
      </c>
      <c r="K14" s="18">
        <f>[19]Vendedor6!$J$7</f>
        <v>0</v>
      </c>
      <c r="L14" s="15">
        <f>[19]Vendedor6!$K$7</f>
        <v>0</v>
      </c>
      <c r="M14" s="16">
        <f>[19]Vendedor6!$L$7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[20]Vendedor6!$J$4</f>
        <v>0</v>
      </c>
      <c r="C15" s="81">
        <f>[20]Vendedor6!$K$4</f>
        <v>0</v>
      </c>
      <c r="D15" s="82">
        <f>[20]Vendedor6!$L$4</f>
        <v>0</v>
      </c>
      <c r="E15" s="14">
        <f>[20]Vendedor6!$J$5</f>
        <v>0</v>
      </c>
      <c r="F15" s="81">
        <f>[20]Vendedor6!$K$5</f>
        <v>0</v>
      </c>
      <c r="G15" s="85">
        <f>[20]Vendedor6!$L$5</f>
        <v>0</v>
      </c>
      <c r="H15" s="19">
        <f>[20]Vendedor6!$J$6</f>
        <v>0</v>
      </c>
      <c r="I15" s="15">
        <f>[20]Vendedor6!$K$6</f>
        <v>0</v>
      </c>
      <c r="J15" s="17">
        <f>[20]Vendedor6!$L$6</f>
        <v>0</v>
      </c>
      <c r="K15" s="18">
        <f>[20]Vendedor6!$J$7</f>
        <v>0</v>
      </c>
      <c r="L15" s="15">
        <f>[20]Vendedor6!$K$7</f>
        <v>0</v>
      </c>
      <c r="M15" s="16">
        <f>[20]Vendedor6!$L$7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[21]Vendedor6!$J$4</f>
        <v>0</v>
      </c>
      <c r="C16" s="81">
        <f>[21]Vendedor6!$K$4</f>
        <v>0</v>
      </c>
      <c r="D16" s="82">
        <f>[21]Vendedor6!$L$4</f>
        <v>0</v>
      </c>
      <c r="E16" s="14">
        <f>[21]Vendedor6!$J$5</f>
        <v>0</v>
      </c>
      <c r="F16" s="81">
        <f>[21]Vendedor6!$K$5</f>
        <v>0</v>
      </c>
      <c r="G16" s="85">
        <f>[21]Vendedor6!$L$5</f>
        <v>0</v>
      </c>
      <c r="H16" s="19">
        <f>[21]Vendedor6!$J$6</f>
        <v>0</v>
      </c>
      <c r="I16" s="15">
        <f>[21]Vendedor6!$K$6</f>
        <v>0</v>
      </c>
      <c r="J16" s="17">
        <f>[21]Vendedor6!$L$6</f>
        <v>0</v>
      </c>
      <c r="K16" s="18">
        <f>[21]Vendedor6!$J$7</f>
        <v>0</v>
      </c>
      <c r="L16" s="15">
        <f>[21]Vendedor6!$K$7</f>
        <v>0</v>
      </c>
      <c r="M16" s="16">
        <f>[21]Vendedor6!$L$7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[22]Vendedor6!$J$4</f>
        <v>0</v>
      </c>
      <c r="C17" s="81">
        <f>[22]Vendedor6!$K$4</f>
        <v>0</v>
      </c>
      <c r="D17" s="82">
        <f>[22]Vendedor6!$L$4</f>
        <v>0</v>
      </c>
      <c r="E17" s="14">
        <f>[22]Vendedor6!$J$5</f>
        <v>0</v>
      </c>
      <c r="F17" s="81">
        <f>[22]Vendedor6!$K$5</f>
        <v>0</v>
      </c>
      <c r="G17" s="85">
        <f>[22]Vendedor6!$L$5</f>
        <v>0</v>
      </c>
      <c r="H17" s="19">
        <f>[22]Vendedor6!$J$6</f>
        <v>0</v>
      </c>
      <c r="I17" s="15">
        <f>[22]Vendedor6!$K$6</f>
        <v>0</v>
      </c>
      <c r="J17" s="17">
        <f>[22]Vendedor6!$L$6</f>
        <v>0</v>
      </c>
      <c r="K17" s="18">
        <f>[22]Vendedor6!$J$7</f>
        <v>0</v>
      </c>
      <c r="L17" s="15">
        <f>[22]Vendedor6!$K$7</f>
        <v>0</v>
      </c>
      <c r="M17" s="16">
        <f>[22]Vendedor6!$L$7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[23]Vendedor6!$J$4</f>
        <v>0</v>
      </c>
      <c r="C18" s="81">
        <f>[23]Vendedor6!$K$4</f>
        <v>0</v>
      </c>
      <c r="D18" s="82">
        <f>[23]Vendedor6!$L$4</f>
        <v>0</v>
      </c>
      <c r="E18" s="14">
        <f>[23]Vendedor6!$J$5</f>
        <v>0</v>
      </c>
      <c r="F18" s="81">
        <f>[23]Vendedor6!$K$5</f>
        <v>0</v>
      </c>
      <c r="G18" s="85">
        <f>[23]Vendedor6!$L$5</f>
        <v>0</v>
      </c>
      <c r="H18" s="19">
        <f>[23]Vendedor6!$J$6</f>
        <v>0</v>
      </c>
      <c r="I18" s="15">
        <f>[23]Vendedor6!$K$6</f>
        <v>0</v>
      </c>
      <c r="J18" s="17">
        <f>[23]Vendedor6!$L$6</f>
        <v>0</v>
      </c>
      <c r="K18" s="18">
        <f>[23]Vendedor6!$J$7</f>
        <v>0</v>
      </c>
      <c r="L18" s="15">
        <f>[23]Vendedor6!$K$7</f>
        <v>0</v>
      </c>
      <c r="M18" s="16">
        <f>[23]Vendedor6!$L$7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[24]Vendedor6!$J$4</f>
        <v>0</v>
      </c>
      <c r="C19" s="81">
        <f>[24]Vendedor6!$K$4</f>
        <v>0</v>
      </c>
      <c r="D19" s="82">
        <f>[24]Vendedor6!$L$4</f>
        <v>0</v>
      </c>
      <c r="E19" s="14">
        <f>[24]Vendedor6!$J$5</f>
        <v>0</v>
      </c>
      <c r="F19" s="81">
        <f>[24]Vendedor6!$K$5</f>
        <v>0</v>
      </c>
      <c r="G19" s="85">
        <f>[24]Vendedor6!$L$5</f>
        <v>0</v>
      </c>
      <c r="H19" s="19">
        <f>[24]Vendedor6!$J$6</f>
        <v>0</v>
      </c>
      <c r="I19" s="15">
        <f>[24]Vendedor6!$K$6</f>
        <v>0</v>
      </c>
      <c r="J19" s="17">
        <f>[24]Vendedor6!$L$6</f>
        <v>0</v>
      </c>
      <c r="K19" s="18">
        <f>[24]Vendedor6!$J$7</f>
        <v>0</v>
      </c>
      <c r="L19" s="15">
        <f>[24]Vendedor6!$K$7</f>
        <v>0</v>
      </c>
      <c r="M19" s="16">
        <f>[24]Vendedor6!$L$7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[25]Vendedor6!$J$4</f>
        <v>0</v>
      </c>
      <c r="C20" s="81">
        <f>[25]Vendedor6!$K$4</f>
        <v>0</v>
      </c>
      <c r="D20" s="82">
        <f>[25]Vendedor6!$L$4</f>
        <v>0</v>
      </c>
      <c r="E20" s="14">
        <f>[25]Vendedor6!$J$5</f>
        <v>0</v>
      </c>
      <c r="F20" s="81">
        <f>[25]Vendedor6!$K$5</f>
        <v>0</v>
      </c>
      <c r="G20" s="85">
        <f>[25]Vendedor6!$L$5</f>
        <v>0</v>
      </c>
      <c r="H20" s="19">
        <f>[25]Vendedor6!$J$6</f>
        <v>0</v>
      </c>
      <c r="I20" s="15">
        <f>[25]Vendedor6!$K$6</f>
        <v>0</v>
      </c>
      <c r="J20" s="17">
        <f>[25]Vendedor6!$L$6</f>
        <v>0</v>
      </c>
      <c r="K20" s="18">
        <f>[25]Vendedor6!$J$7</f>
        <v>0</v>
      </c>
      <c r="L20" s="15">
        <f>[25]Vendedor6!$K$7</f>
        <v>0</v>
      </c>
      <c r="M20" s="16">
        <f>[25]Vendedor6!$L$7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[26]Vendedor6!$J$4</f>
        <v>0</v>
      </c>
      <c r="C21" s="81">
        <f>[26]Vendedor6!$K$4</f>
        <v>0</v>
      </c>
      <c r="D21" s="82">
        <f>[26]Vendedor6!$L$4</f>
        <v>0</v>
      </c>
      <c r="E21" s="14">
        <f>[26]Vendedor6!$J$5</f>
        <v>0</v>
      </c>
      <c r="F21" s="81">
        <f>[26]Vendedor6!$K$5</f>
        <v>0</v>
      </c>
      <c r="G21" s="85">
        <f>[26]Vendedor6!$L$5</f>
        <v>0</v>
      </c>
      <c r="H21" s="19">
        <f>[26]Vendedor6!$J$6</f>
        <v>0</v>
      </c>
      <c r="I21" s="15">
        <f>[26]Vendedor6!$K$6</f>
        <v>0</v>
      </c>
      <c r="J21" s="17">
        <f>[26]Vendedor6!$L$6</f>
        <v>0</v>
      </c>
      <c r="K21" s="18">
        <f>[26]Vendedor6!$J$7</f>
        <v>0</v>
      </c>
      <c r="L21" s="15">
        <f>[26]Vendedor6!$K$7</f>
        <v>0</v>
      </c>
      <c r="M21" s="16">
        <f>[26]Vendedor6!$L$7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[27]Vendedor6!$J$4</f>
        <v>0</v>
      </c>
      <c r="C22" s="81">
        <f>[27]Vendedor6!$K$4</f>
        <v>0</v>
      </c>
      <c r="D22" s="82">
        <f>[27]Vendedor6!$L$4</f>
        <v>0</v>
      </c>
      <c r="E22" s="14">
        <f>[27]Vendedor6!$J$5</f>
        <v>0</v>
      </c>
      <c r="F22" s="81">
        <f>[27]Vendedor6!$K$5</f>
        <v>0</v>
      </c>
      <c r="G22" s="85">
        <f>[27]Vendedor6!$L$5</f>
        <v>0</v>
      </c>
      <c r="H22" s="19">
        <f>[27]Vendedor6!$J$6</f>
        <v>0</v>
      </c>
      <c r="I22" s="15">
        <f>[27]Vendedor6!$K$6</f>
        <v>0</v>
      </c>
      <c r="J22" s="17">
        <f>[27]Vendedor6!$L$6</f>
        <v>0</v>
      </c>
      <c r="K22" s="18">
        <f>[27]Vendedor6!$J$7</f>
        <v>0</v>
      </c>
      <c r="L22" s="15">
        <f>[27]Vendedor6!$K$7</f>
        <v>0</v>
      </c>
      <c r="M22" s="16">
        <f>[27]Vendedor6!$L$7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[28]Vendedor6!$J$4</f>
        <v>0</v>
      </c>
      <c r="C23" s="81">
        <f>[28]Vendedor6!$K$4</f>
        <v>0</v>
      </c>
      <c r="D23" s="82">
        <f>[28]Vendedor6!$L$4</f>
        <v>0</v>
      </c>
      <c r="E23" s="14">
        <f>[28]Vendedor6!$J$5</f>
        <v>0</v>
      </c>
      <c r="F23" s="81">
        <f>[28]Vendedor6!$K$5</f>
        <v>0</v>
      </c>
      <c r="G23" s="85">
        <f>[28]Vendedor6!$L$5</f>
        <v>0</v>
      </c>
      <c r="H23" s="19">
        <f>[28]Vendedor6!$J$6</f>
        <v>0</v>
      </c>
      <c r="I23" s="15">
        <f>[28]Vendedor6!$K$6</f>
        <v>0</v>
      </c>
      <c r="J23" s="17">
        <f>[28]Vendedor6!$L$6</f>
        <v>0</v>
      </c>
      <c r="K23" s="18">
        <f>[28]Vendedor6!$J$7</f>
        <v>0</v>
      </c>
      <c r="L23" s="15">
        <f>[28]Vendedor6!$K$7</f>
        <v>0</v>
      </c>
      <c r="M23" s="16">
        <f>[28]Vendedor6!$L$7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[29]Vendedor6!$J$4</f>
        <v>0</v>
      </c>
      <c r="C24" s="81">
        <f>[29]Vendedor6!$K$4</f>
        <v>0</v>
      </c>
      <c r="D24" s="82">
        <f>[29]Vendedor6!$L$4</f>
        <v>0</v>
      </c>
      <c r="E24" s="14">
        <f>[29]Vendedor6!$J$5</f>
        <v>0</v>
      </c>
      <c r="F24" s="81">
        <f>[29]Vendedor6!$K$5</f>
        <v>0</v>
      </c>
      <c r="G24" s="85">
        <f>[29]Vendedor6!$L$5</f>
        <v>0</v>
      </c>
      <c r="H24" s="19">
        <f>[29]Vendedor6!$J$6</f>
        <v>0</v>
      </c>
      <c r="I24" s="15">
        <f>[29]Vendedor6!$K$6</f>
        <v>0</v>
      </c>
      <c r="J24" s="17">
        <f>[29]Vendedor6!$L$6</f>
        <v>0</v>
      </c>
      <c r="K24" s="18">
        <f>[29]Vendedor6!$J$7</f>
        <v>0</v>
      </c>
      <c r="L24" s="15">
        <f>[29]Vendedor6!$K$7</f>
        <v>0</v>
      </c>
      <c r="M24" s="16">
        <f>[29]Vendedor6!$L$7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[30]Vendedor6!$J$4</f>
        <v>0</v>
      </c>
      <c r="C25" s="81">
        <f>[30]Vendedor6!$K$4</f>
        <v>0</v>
      </c>
      <c r="D25" s="82">
        <f>[30]Vendedor6!$L$4</f>
        <v>0</v>
      </c>
      <c r="E25" s="14">
        <f>[30]Vendedor6!$J$5</f>
        <v>0</v>
      </c>
      <c r="F25" s="81">
        <f>[30]Vendedor6!$K$5</f>
        <v>0</v>
      </c>
      <c r="G25" s="85">
        <f>[30]Vendedor6!$L$5</f>
        <v>0</v>
      </c>
      <c r="H25" s="19">
        <f>[30]Vendedor6!$J$6</f>
        <v>0</v>
      </c>
      <c r="I25" s="15">
        <f>[30]Vendedor6!$K$6</f>
        <v>0</v>
      </c>
      <c r="J25" s="17">
        <f>[30]Vendedor6!$L$6</f>
        <v>0</v>
      </c>
      <c r="K25" s="18">
        <f>[30]Vendedor6!$J$7</f>
        <v>0</v>
      </c>
      <c r="L25" s="15">
        <f>[30]Vendedor6!$K$7</f>
        <v>0</v>
      </c>
      <c r="M25" s="16">
        <f>[30]Vendedor6!$L$7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[31]Vendedor6!$J$4</f>
        <v>0</v>
      </c>
      <c r="C26" s="81">
        <f>[31]Vendedor6!$K$4</f>
        <v>0</v>
      </c>
      <c r="D26" s="82">
        <f>[31]Vendedor6!$L$4</f>
        <v>0</v>
      </c>
      <c r="E26" s="14">
        <f>[31]Vendedor6!$J$5</f>
        <v>0</v>
      </c>
      <c r="F26" s="81">
        <f>[31]Vendedor6!$K$5</f>
        <v>0</v>
      </c>
      <c r="G26" s="85">
        <f>[31]Vendedor6!$L$5</f>
        <v>0</v>
      </c>
      <c r="H26" s="19">
        <f>[31]Vendedor6!$J$6</f>
        <v>0</v>
      </c>
      <c r="I26" s="15">
        <f>[31]Vendedor6!$K$6</f>
        <v>0</v>
      </c>
      <c r="J26" s="17">
        <f>[31]Vendedor6!$L$6</f>
        <v>0</v>
      </c>
      <c r="K26" s="18">
        <f>[31]Vendedor6!$J$7</f>
        <v>0</v>
      </c>
      <c r="L26" s="15">
        <f>[31]Vendedor6!$K$7</f>
        <v>0</v>
      </c>
      <c r="M26" s="16">
        <f>[31]Vendedor6!$L$7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[1]Vendedor6!$J$4</f>
        <v>0</v>
      </c>
      <c r="C27" s="81">
        <f>[1]Vendedor6!$K$4</f>
        <v>0</v>
      </c>
      <c r="D27" s="82">
        <f>[1]Vendedor6!$L$4</f>
        <v>0</v>
      </c>
      <c r="E27" s="14">
        <f>[1]Vendedor6!$J$5</f>
        <v>0</v>
      </c>
      <c r="F27" s="81">
        <f>[1]Vendedor6!$K$5</f>
        <v>0</v>
      </c>
      <c r="G27" s="85">
        <f>[1]Vendedor6!$L$5</f>
        <v>0</v>
      </c>
      <c r="H27" s="19">
        <f>[1]Vendedor6!$J$6</f>
        <v>0</v>
      </c>
      <c r="I27" s="15">
        <f>[1]Vendedor6!$K$6</f>
        <v>0</v>
      </c>
      <c r="J27" s="17">
        <f>[1]Vendedor6!$L$6</f>
        <v>0</v>
      </c>
      <c r="K27" s="18">
        <f>[1]Vendedor6!$J$7</f>
        <v>0</v>
      </c>
      <c r="L27" s="15">
        <f>[1]Vendedor6!$K$7</f>
        <v>0</v>
      </c>
      <c r="M27" s="16">
        <f>[1]Vendedor6!$L$7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[2]Vendedor6!$J$4</f>
        <v>0</v>
      </c>
      <c r="C28" s="81">
        <f>[2]Vendedor6!$K$4</f>
        <v>0</v>
      </c>
      <c r="D28" s="82">
        <f>[2]Vendedor6!$L$4</f>
        <v>0</v>
      </c>
      <c r="E28" s="14">
        <f>[2]Vendedor6!$J$5</f>
        <v>0</v>
      </c>
      <c r="F28" s="81">
        <f>[2]Vendedor6!$K$5</f>
        <v>0</v>
      </c>
      <c r="G28" s="85">
        <f>[2]Vendedor6!$L$5</f>
        <v>0</v>
      </c>
      <c r="H28" s="19">
        <f>[2]Vendedor6!$J$6</f>
        <v>0</v>
      </c>
      <c r="I28" s="15">
        <f>[2]Vendedor6!$K$6</f>
        <v>0</v>
      </c>
      <c r="J28" s="17">
        <f>[2]Vendedor6!$L$6</f>
        <v>0</v>
      </c>
      <c r="K28" s="18">
        <f>[2]Vendedor6!$J$7</f>
        <v>0</v>
      </c>
      <c r="L28" s="15">
        <f>[2]Vendedor6!$K$7</f>
        <v>0</v>
      </c>
      <c r="M28" s="16">
        <f>[2]Vendedor6!$L$7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[3]Vendedor6!$J$4</f>
        <v>0</v>
      </c>
      <c r="C29" s="81">
        <f>[3]Vendedor6!$K$4</f>
        <v>0</v>
      </c>
      <c r="D29" s="82">
        <f>[3]Vendedor6!$L$4</f>
        <v>0</v>
      </c>
      <c r="E29" s="14">
        <f>[3]Vendedor6!$J$5</f>
        <v>0</v>
      </c>
      <c r="F29" s="81">
        <f>[3]Vendedor6!$K$5</f>
        <v>0</v>
      </c>
      <c r="G29" s="85">
        <f>[3]Vendedor6!$L$5</f>
        <v>0</v>
      </c>
      <c r="H29" s="19">
        <f>[3]Vendedor6!$J$6</f>
        <v>0</v>
      </c>
      <c r="I29" s="15">
        <f>[3]Vendedor6!$K$6</f>
        <v>0</v>
      </c>
      <c r="J29" s="17">
        <f>[3]Vendedor6!$L$6</f>
        <v>0</v>
      </c>
      <c r="K29" s="18">
        <f>[3]Vendedor6!$J$7</f>
        <v>0</v>
      </c>
      <c r="L29" s="15">
        <f>[3]Vendedor6!$K$7</f>
        <v>0</v>
      </c>
      <c r="M29" s="16">
        <f>[3]Vendedor6!$L$7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[4]Vendedor6!$J$4</f>
        <v>0</v>
      </c>
      <c r="C30" s="81">
        <f>[4]Vendedor6!$K$4</f>
        <v>0</v>
      </c>
      <c r="D30" s="82">
        <f>[4]Vendedor6!$L$4</f>
        <v>0</v>
      </c>
      <c r="E30" s="14">
        <f>[4]Vendedor6!$J$5</f>
        <v>0</v>
      </c>
      <c r="F30" s="81">
        <f>[4]Vendedor6!$K$5</f>
        <v>0</v>
      </c>
      <c r="G30" s="85">
        <f>[4]Vendedor6!$L$5</f>
        <v>0</v>
      </c>
      <c r="H30" s="19">
        <f>[4]Vendedor6!$J$6</f>
        <v>0</v>
      </c>
      <c r="I30" s="15">
        <f>[4]Vendedor6!$K$6</f>
        <v>0</v>
      </c>
      <c r="J30" s="17">
        <f>[4]Vendedor6!$L$6</f>
        <v>0</v>
      </c>
      <c r="K30" s="18">
        <f>[4]Vendedor6!$J$7</f>
        <v>0</v>
      </c>
      <c r="L30" s="15">
        <f>[4]Vendedor6!$K$7</f>
        <v>0</v>
      </c>
      <c r="M30" s="16">
        <f>[4]Vendedor6!$L$7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[5]Vendedor6!$J$4</f>
        <v>0</v>
      </c>
      <c r="C31" s="81">
        <f>[5]Vendedor6!$K$4</f>
        <v>0</v>
      </c>
      <c r="D31" s="82">
        <f>[5]Vendedor6!$L$4</f>
        <v>0</v>
      </c>
      <c r="E31" s="14">
        <f>[5]Vendedor6!$J$5</f>
        <v>0</v>
      </c>
      <c r="F31" s="81">
        <f>[5]Vendedor6!$K$5</f>
        <v>0</v>
      </c>
      <c r="G31" s="85">
        <f>[5]Vendedor6!$L$5</f>
        <v>0</v>
      </c>
      <c r="H31" s="19">
        <f>[5]Vendedor6!$J$6</f>
        <v>0</v>
      </c>
      <c r="I31" s="15">
        <f>[5]Vendedor6!$K$6</f>
        <v>0</v>
      </c>
      <c r="J31" s="17">
        <f>[5]Vendedor6!$L$6</f>
        <v>0</v>
      </c>
      <c r="K31" s="18">
        <f>[5]Vendedor6!$J$7</f>
        <v>0</v>
      </c>
      <c r="L31" s="15">
        <f>[5]Vendedor6!$K$7</f>
        <v>0</v>
      </c>
      <c r="M31" s="16">
        <f>[5]Vendedor6!$L$7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[6]Vendedor6!$J$4</f>
        <v>0</v>
      </c>
      <c r="C32" s="81">
        <f>[6]Vendedor6!$K$4</f>
        <v>0</v>
      </c>
      <c r="D32" s="82">
        <f>[6]Vendedor6!$L$4</f>
        <v>0</v>
      </c>
      <c r="E32" s="14">
        <f>[6]Vendedor6!$J$5</f>
        <v>0</v>
      </c>
      <c r="F32" s="81">
        <f>[6]Vendedor6!$K$5</f>
        <v>0</v>
      </c>
      <c r="G32" s="85">
        <f>[6]Vendedor6!$L$5</f>
        <v>0</v>
      </c>
      <c r="H32" s="19">
        <f>[6]Vendedor6!$J$6</f>
        <v>0</v>
      </c>
      <c r="I32" s="15">
        <f>[6]Vendedor6!$K$6</f>
        <v>0</v>
      </c>
      <c r="J32" s="17">
        <f>[6]Vendedor6!$L$6</f>
        <v>0</v>
      </c>
      <c r="K32" s="18">
        <f>[6]Vendedor6!$J$7</f>
        <v>0</v>
      </c>
      <c r="L32" s="15">
        <f>[6]Vendedor6!$K$7</f>
        <v>0</v>
      </c>
      <c r="M32" s="16">
        <f>[6]Vendedor6!$L$7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[7]Vendedor6!$J$4</f>
        <v>0</v>
      </c>
      <c r="C33" s="81">
        <f>[7]Vendedor6!$K$4</f>
        <v>0</v>
      </c>
      <c r="D33" s="82">
        <f>[7]Vendedor6!$L$4</f>
        <v>0</v>
      </c>
      <c r="E33" s="14">
        <f>[7]Vendedor6!$J$5</f>
        <v>0</v>
      </c>
      <c r="F33" s="81">
        <f>[7]Vendedor6!$K$5</f>
        <v>0</v>
      </c>
      <c r="G33" s="85">
        <f>[7]Vendedor6!$L$5</f>
        <v>0</v>
      </c>
      <c r="H33" s="19">
        <f>[7]Vendedor6!$J$6</f>
        <v>0</v>
      </c>
      <c r="I33" s="15">
        <f>[7]Vendedor6!$K$6</f>
        <v>0</v>
      </c>
      <c r="J33" s="17">
        <f>[7]Vendedor6!$L$6</f>
        <v>0</v>
      </c>
      <c r="K33" s="18">
        <f>[7]Vendedor6!$J$7</f>
        <v>0</v>
      </c>
      <c r="L33" s="15">
        <f>[7]Vendedor6!$K$7</f>
        <v>0</v>
      </c>
      <c r="M33" s="16">
        <f>[7]Vendedor6!$L$7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[8]Vendedor6!$J$4</f>
        <v>0</v>
      </c>
      <c r="C34" s="81">
        <f>[8]Vendedor6!$K$4</f>
        <v>0</v>
      </c>
      <c r="D34" s="82">
        <f>[8]Vendedor6!$L$4</f>
        <v>0</v>
      </c>
      <c r="E34" s="14">
        <f>[8]Vendedor6!$J$5</f>
        <v>0</v>
      </c>
      <c r="F34" s="81">
        <f>[8]Vendedor6!$K$5</f>
        <v>0</v>
      </c>
      <c r="G34" s="85">
        <f>[8]Vendedor6!$L$5</f>
        <v>0</v>
      </c>
      <c r="H34" s="19">
        <f>[8]Vendedor6!$J$6</f>
        <v>0</v>
      </c>
      <c r="I34" s="15">
        <f>[8]Vendedor6!$K$6</f>
        <v>0</v>
      </c>
      <c r="J34" s="17">
        <f>[8]Vendedor6!$L$6</f>
        <v>0</v>
      </c>
      <c r="K34" s="18">
        <f>[8]Vendedor6!$J$7</f>
        <v>0</v>
      </c>
      <c r="L34" s="15">
        <f>[8]Vendedor6!$K$7</f>
        <v>0</v>
      </c>
      <c r="M34" s="16">
        <f>[8]Vendedor6!$L$7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[9]Vendedor6!$J$4</f>
        <v>0</v>
      </c>
      <c r="C35" s="81">
        <f>[9]Vendedor6!$K$4</f>
        <v>0</v>
      </c>
      <c r="D35" s="82">
        <f>[9]Vendedor6!$L$4</f>
        <v>0</v>
      </c>
      <c r="E35" s="14">
        <f>[9]Vendedor6!$J$5</f>
        <v>0</v>
      </c>
      <c r="F35" s="81">
        <f>[9]Vendedor6!$K$5</f>
        <v>0</v>
      </c>
      <c r="G35" s="85">
        <f>[9]Vendedor6!$L$5</f>
        <v>0</v>
      </c>
      <c r="H35" s="19">
        <f>[9]Vendedor6!$J$6</f>
        <v>0</v>
      </c>
      <c r="I35" s="15">
        <f>[9]Vendedor6!$K$6</f>
        <v>0</v>
      </c>
      <c r="J35" s="17">
        <f>[9]Vendedor6!$L$6</f>
        <v>0</v>
      </c>
      <c r="K35" s="18">
        <f>[9]Vendedor6!$J$7</f>
        <v>0</v>
      </c>
      <c r="L35" s="15">
        <f>[9]Vendedor6!$K$7</f>
        <v>0</v>
      </c>
      <c r="M35" s="16">
        <f>[9]Vendedor6!$L$7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[10]Vendedor6!$J$4</f>
        <v>0</v>
      </c>
      <c r="C36" s="83">
        <f>[10]Vendedor6!$K$4</f>
        <v>0</v>
      </c>
      <c r="D36" s="84">
        <f>[10]Vendedor6!$L$4</f>
        <v>0</v>
      </c>
      <c r="E36" s="21">
        <f>[10]Vendedor6!$J$5</f>
        <v>0</v>
      </c>
      <c r="F36" s="83">
        <f>[10]Vendedor6!$K$5</f>
        <v>0</v>
      </c>
      <c r="G36" s="86">
        <f>[10]Vendedor6!$L$5</f>
        <v>0</v>
      </c>
      <c r="H36" s="26">
        <f>[10]Vendedor6!$J$6</f>
        <v>0</v>
      </c>
      <c r="I36" s="22">
        <f>[10]Vendedor6!$K$6</f>
        <v>0</v>
      </c>
      <c r="J36" s="24">
        <f>[10]Vendedor6!$L$6</f>
        <v>0</v>
      </c>
      <c r="K36" s="25">
        <f>[10]Vendedor6!$J$7</f>
        <v>0</v>
      </c>
      <c r="L36" s="22">
        <f>[10]Vendedor6!$K$7</f>
        <v>0</v>
      </c>
      <c r="M36" s="23">
        <f>[10]Vendedor6!$L$7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V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1.26953125" style="1" bestFit="1" customWidth="1"/>
    <col min="2" max="2" width="11.453125" style="1"/>
    <col min="3" max="3" width="13.7265625" style="1" bestFit="1" customWidth="1"/>
    <col min="4" max="4" width="12" style="1" bestFit="1" customWidth="1"/>
    <col min="5" max="5" width="11.4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9" width="13.453125" style="1" bestFit="1" customWidth="1"/>
    <col min="20" max="22" width="11.7265625" style="1" bestFit="1" customWidth="1"/>
    <col min="23" max="23" width="11.453125" style="1"/>
    <col min="24" max="24" width="14.26953125" style="1" bestFit="1" customWidth="1"/>
    <col min="25" max="25" width="11.453125" style="1"/>
    <col min="26" max="26" width="10.7265625" style="1" bestFit="1" customWidth="1"/>
    <col min="27" max="27" width="12.453125" style="1" bestFit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1"/>
    </row>
    <row r="2" spans="1:27" ht="19" thickBot="1" x14ac:dyDescent="0.5">
      <c r="A2" s="2" t="s">
        <v>1</v>
      </c>
      <c r="B2" s="142" t="s">
        <v>136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101</v>
      </c>
      <c r="T2" s="4">
        <v>0.12</v>
      </c>
      <c r="U2" s="3" t="s">
        <v>102</v>
      </c>
      <c r="V2" s="4">
        <v>0.12</v>
      </c>
    </row>
    <row r="3" spans="1:27" ht="15" thickBot="1" x14ac:dyDescent="0.4">
      <c r="B3" s="62"/>
      <c r="C3" s="62"/>
      <c r="D3" s="62"/>
      <c r="E3" s="62"/>
    </row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56" t="s">
        <v>97</v>
      </c>
      <c r="R4" s="57" t="s">
        <v>98</v>
      </c>
      <c r="S4" s="12" t="s">
        <v>99</v>
      </c>
      <c r="T4" s="56" t="s">
        <v>91</v>
      </c>
      <c r="U4" s="57" t="s">
        <v>92</v>
      </c>
      <c r="V4" s="12" t="s">
        <v>93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[11]Vendedor7!$J$4</f>
        <v>396350</v>
      </c>
      <c r="C6" s="58">
        <f>[11]Vendedor7!$K$4</f>
        <v>47562</v>
      </c>
      <c r="D6" s="55">
        <f>[11]Vendedor7!$L$4</f>
        <v>480250</v>
      </c>
      <c r="E6" s="53">
        <f>[11]Vendedor7!$J$5</f>
        <v>195250</v>
      </c>
      <c r="F6" s="58">
        <f>[11]Vendedor7!$K$5</f>
        <v>23430</v>
      </c>
      <c r="G6" s="54">
        <f>[11]Vendedor7!$L$5</f>
        <v>782000</v>
      </c>
      <c r="H6" s="59">
        <f>[11]Vendedor7!$J$6</f>
        <v>48500</v>
      </c>
      <c r="I6" s="58">
        <f>[11]Vendedor7!$K$6</f>
        <v>4850</v>
      </c>
      <c r="J6" s="55">
        <f>[11]Vendedor7!$L$6</f>
        <v>0</v>
      </c>
      <c r="K6" s="61">
        <f>[11]Vendedor7!$J$7</f>
        <v>39750</v>
      </c>
      <c r="L6" s="58">
        <f>[11]Vendedor7!$K$7</f>
        <v>4770</v>
      </c>
      <c r="M6" s="54">
        <f>[11]Vendedor7!$L$7</f>
        <v>0</v>
      </c>
      <c r="N6" s="59">
        <f>[11]Vendedor7!$J$8</f>
        <v>45650</v>
      </c>
      <c r="O6" s="58">
        <f>[11]Vendedor7!$K$8</f>
        <v>5478</v>
      </c>
      <c r="P6" s="55">
        <f>[11]Vendedor7!$L$8</f>
        <v>0</v>
      </c>
      <c r="Q6" s="61">
        <f>[11]Vendedor7!$J$9</f>
        <v>88000</v>
      </c>
      <c r="R6" s="58">
        <f>[11]Vendedor7!$K$9</f>
        <v>10560</v>
      </c>
      <c r="S6" s="54">
        <f>[11]Vendedor7!$L$9</f>
        <v>425000</v>
      </c>
      <c r="T6" s="59">
        <f>[11]Vendedor7!$J$10</f>
        <v>0</v>
      </c>
      <c r="U6" s="58">
        <f>[11]Vendedor7!$K$10</f>
        <v>0</v>
      </c>
      <c r="V6" s="55">
        <f>[11]Vendedor7!$L$10</f>
        <v>0</v>
      </c>
      <c r="W6" s="61">
        <f>+B6+E6+H6+K6+N6+Q6+T6</f>
        <v>813500</v>
      </c>
      <c r="X6" s="58">
        <f t="shared" ref="X6:X36" si="1">+C6+F6+I6+L6+O6+R6+U6</f>
        <v>96650</v>
      </c>
      <c r="Y6" s="58">
        <f t="shared" ref="Y6:Y36" si="2">+D6+G6+J6+M6+P6+S6+V6</f>
        <v>1687250</v>
      </c>
      <c r="Z6" s="58">
        <v>0</v>
      </c>
      <c r="AA6" s="55">
        <f t="shared" ref="AA6:AA36" si="3">+W6-X6-Y6+Z6</f>
        <v>-970400</v>
      </c>
    </row>
    <row r="7" spans="1:27" x14ac:dyDescent="0.35">
      <c r="A7" s="80" t="s">
        <v>50</v>
      </c>
      <c r="B7" s="14">
        <f>[12]Vendedor7!$J$4</f>
        <v>460100</v>
      </c>
      <c r="C7" s="15">
        <f>[12]Vendedor7!$K$4</f>
        <v>55212</v>
      </c>
      <c r="D7" s="17">
        <f>[12]Vendedor7!$L$4</f>
        <v>301750</v>
      </c>
      <c r="E7" s="14">
        <f>[12]Vendedor7!$J$5</f>
        <v>194250</v>
      </c>
      <c r="F7" s="15">
        <f>[12]Vendedor7!$K$5</f>
        <v>23310</v>
      </c>
      <c r="G7" s="16">
        <f>[12]Vendedor7!$L$5</f>
        <v>51000</v>
      </c>
      <c r="H7" s="19">
        <f>[12]Vendedor7!$J$6</f>
        <v>50450</v>
      </c>
      <c r="I7" s="15">
        <f>[12]Vendedor7!$K$6</f>
        <v>5045</v>
      </c>
      <c r="J7" s="17">
        <f>[12]Vendedor7!$L$6</f>
        <v>0</v>
      </c>
      <c r="K7" s="18">
        <f>[12]Vendedor7!$J$7</f>
        <v>39400</v>
      </c>
      <c r="L7" s="15">
        <f>[12]Vendedor7!$K$7</f>
        <v>4728</v>
      </c>
      <c r="M7" s="16">
        <f>[12]Vendedor7!$L$7</f>
        <v>21250</v>
      </c>
      <c r="N7" s="19">
        <f>[12]Vendedor7!$J$8</f>
        <v>28250</v>
      </c>
      <c r="O7" s="15">
        <f>[12]Vendedor7!$K$8</f>
        <v>3390</v>
      </c>
      <c r="P7" s="17">
        <f>[12]Vendedor7!$L$8</f>
        <v>21250</v>
      </c>
      <c r="Q7" s="18">
        <f>[12]Vendedor7!$J$9</f>
        <v>58700</v>
      </c>
      <c r="R7" s="15">
        <f>[12]Vendedor7!$K$9</f>
        <v>7044</v>
      </c>
      <c r="S7" s="16">
        <f>[12]Vendedor7!$L$9</f>
        <v>21250</v>
      </c>
      <c r="T7" s="19">
        <f>[12]Vendedor7!$J$10</f>
        <v>0</v>
      </c>
      <c r="U7" s="15">
        <f>[12]Vendedor7!$K$10</f>
        <v>0</v>
      </c>
      <c r="V7" s="17">
        <f>[12]Vendedor7!$L$10</f>
        <v>0</v>
      </c>
      <c r="W7" s="18">
        <f t="shared" ref="W7:W36" si="4">+B7+E7+H7+K7+N7+Q7+T7</f>
        <v>831150</v>
      </c>
      <c r="X7" s="15">
        <f t="shared" si="1"/>
        <v>98729</v>
      </c>
      <c r="Y7" s="15">
        <f t="shared" si="2"/>
        <v>416500</v>
      </c>
      <c r="Z7" s="15">
        <v>0</v>
      </c>
      <c r="AA7" s="17">
        <f t="shared" si="3"/>
        <v>315921</v>
      </c>
    </row>
    <row r="8" spans="1:27" x14ac:dyDescent="0.35">
      <c r="A8" s="79" t="s">
        <v>51</v>
      </c>
      <c r="B8" s="14">
        <f>[13]Vendedor7!$J$4</f>
        <v>342200</v>
      </c>
      <c r="C8" s="15">
        <f>[13]Vendedor7!$K$4</f>
        <v>41064</v>
      </c>
      <c r="D8" s="17">
        <f>[13]Vendedor7!$L$4</f>
        <v>382500</v>
      </c>
      <c r="E8" s="14">
        <f>[13]Vendedor7!$J$5</f>
        <v>211400</v>
      </c>
      <c r="F8" s="15">
        <f>[13]Vendedor7!$K$5</f>
        <v>25368</v>
      </c>
      <c r="G8" s="16">
        <f>[13]Vendedor7!$L$5</f>
        <v>106250</v>
      </c>
      <c r="H8" s="19">
        <f>[13]Vendedor7!$J$6</f>
        <v>37050</v>
      </c>
      <c r="I8" s="15">
        <f>[13]Vendedor7!$K$6</f>
        <v>3705</v>
      </c>
      <c r="J8" s="17">
        <f>[13]Vendedor7!$L$6</f>
        <v>0</v>
      </c>
      <c r="K8" s="18">
        <f>[13]Vendedor7!$J$7</f>
        <v>35350</v>
      </c>
      <c r="L8" s="15">
        <f>[13]Vendedor7!$K$7</f>
        <v>4242</v>
      </c>
      <c r="M8" s="16">
        <f>[13]Vendedor7!$L$7</f>
        <v>0</v>
      </c>
      <c r="N8" s="19">
        <f>[13]Vendedor7!$J$8</f>
        <v>44400</v>
      </c>
      <c r="O8" s="15">
        <f>[13]Vendedor7!$K$8</f>
        <v>5328</v>
      </c>
      <c r="P8" s="17">
        <f>[13]Vendedor7!$L$8</f>
        <v>0</v>
      </c>
      <c r="Q8" s="18">
        <f>[13]Vendedor7!$J$9</f>
        <v>70600</v>
      </c>
      <c r="R8" s="15">
        <f>[13]Vendedor7!$K$9</f>
        <v>8472</v>
      </c>
      <c r="S8" s="16">
        <f>[13]Vendedor7!$L$9</f>
        <v>0</v>
      </c>
      <c r="T8" s="19">
        <f>[13]Vendedor7!$J$10</f>
        <v>0</v>
      </c>
      <c r="U8" s="15">
        <f>[13]Vendedor7!$K$10</f>
        <v>0</v>
      </c>
      <c r="V8" s="17">
        <f>[13]Vendedor7!$L$10</f>
        <v>0</v>
      </c>
      <c r="W8" s="18">
        <f t="shared" si="4"/>
        <v>741000</v>
      </c>
      <c r="X8" s="15">
        <f t="shared" si="1"/>
        <v>88179</v>
      </c>
      <c r="Y8" s="15">
        <f t="shared" si="2"/>
        <v>488750</v>
      </c>
      <c r="Z8" s="15">
        <v>0</v>
      </c>
      <c r="AA8" s="17">
        <f t="shared" si="3"/>
        <v>164071</v>
      </c>
    </row>
    <row r="9" spans="1:27" x14ac:dyDescent="0.35">
      <c r="A9" s="80" t="s">
        <v>52</v>
      </c>
      <c r="B9" s="14">
        <f>[14]Vendedor7!$J$4</f>
        <v>380550</v>
      </c>
      <c r="C9" s="15">
        <f>[14]Vendedor7!$K$4</f>
        <v>45666</v>
      </c>
      <c r="D9" s="17">
        <f>[14]Vendedor7!$L$4</f>
        <v>199750</v>
      </c>
      <c r="E9" s="14">
        <f>[14]Vendedor7!$J$5</f>
        <v>188050</v>
      </c>
      <c r="F9" s="15">
        <f>[14]Vendedor7!$K$5</f>
        <v>22566</v>
      </c>
      <c r="G9" s="16">
        <f>[14]Vendedor7!$L$5</f>
        <v>174250</v>
      </c>
      <c r="H9" s="19">
        <f>[14]Vendedor7!$J$6</f>
        <v>52050</v>
      </c>
      <c r="I9" s="15">
        <f>[14]Vendedor7!$K$6</f>
        <v>5205</v>
      </c>
      <c r="J9" s="17">
        <f>[14]Vendedor7!$L$6</f>
        <v>0</v>
      </c>
      <c r="K9" s="18">
        <f>[14]Vendedor7!$J$7</f>
        <v>43650</v>
      </c>
      <c r="L9" s="15">
        <f>[14]Vendedor7!$K$7</f>
        <v>5238</v>
      </c>
      <c r="M9" s="16">
        <f>[14]Vendedor7!$L$7</f>
        <v>106250</v>
      </c>
      <c r="N9" s="19">
        <f>[14]Vendedor7!$J$8</f>
        <v>28950</v>
      </c>
      <c r="O9" s="15">
        <f>[14]Vendedor7!$K$8</f>
        <v>3474</v>
      </c>
      <c r="P9" s="17">
        <f>[14]Vendedor7!$L$8</f>
        <v>0</v>
      </c>
      <c r="Q9" s="18">
        <f>[14]Vendedor7!$J$9</f>
        <v>65650</v>
      </c>
      <c r="R9" s="15">
        <f>[14]Vendedor7!$K$9</f>
        <v>7878</v>
      </c>
      <c r="S9" s="16">
        <f>[14]Vendedor7!$L$9</f>
        <v>85000</v>
      </c>
      <c r="T9" s="19">
        <f>[14]Vendedor7!$J$10</f>
        <v>0</v>
      </c>
      <c r="U9" s="15">
        <f>[14]Vendedor7!$K$10</f>
        <v>0</v>
      </c>
      <c r="V9" s="17">
        <f>[14]Vendedor7!$L$10</f>
        <v>0</v>
      </c>
      <c r="W9" s="18">
        <f t="shared" si="4"/>
        <v>758900</v>
      </c>
      <c r="X9" s="15">
        <f t="shared" si="1"/>
        <v>90027</v>
      </c>
      <c r="Y9" s="15">
        <f t="shared" si="2"/>
        <v>565250</v>
      </c>
      <c r="Z9" s="15">
        <v>0</v>
      </c>
      <c r="AA9" s="17">
        <f t="shared" si="3"/>
        <v>103623</v>
      </c>
    </row>
    <row r="10" spans="1:27" x14ac:dyDescent="0.35">
      <c r="A10" s="79" t="s">
        <v>53</v>
      </c>
      <c r="B10" s="14">
        <f>[15]Vendedor7!$J$4</f>
        <v>504200</v>
      </c>
      <c r="C10" s="15">
        <f>[15]Vendedor7!$K$4</f>
        <v>60504</v>
      </c>
      <c r="D10" s="17">
        <f>[15]Vendedor7!$L$4</f>
        <v>612000</v>
      </c>
      <c r="E10" s="14">
        <f>[15]Vendedor7!$J$5</f>
        <v>346000</v>
      </c>
      <c r="F10" s="15">
        <f>[15]Vendedor7!$K$5</f>
        <v>41520</v>
      </c>
      <c r="G10" s="16">
        <f>[15]Vendedor7!$L$5</f>
        <v>522750</v>
      </c>
      <c r="H10" s="19">
        <f>[15]Vendedor7!$J$6</f>
        <v>47150</v>
      </c>
      <c r="I10" s="15">
        <f>[15]Vendedor7!$K$6</f>
        <v>4715</v>
      </c>
      <c r="J10" s="17">
        <f>[15]Vendedor7!$L$6</f>
        <v>0</v>
      </c>
      <c r="K10" s="18">
        <f>[15]Vendedor7!$J$7</f>
        <v>28450</v>
      </c>
      <c r="L10" s="15">
        <f>[15]Vendedor7!$K$7</f>
        <v>3414</v>
      </c>
      <c r="M10" s="16">
        <f>[15]Vendedor7!$L$7</f>
        <v>4250</v>
      </c>
      <c r="N10" s="19">
        <f>[15]Vendedor7!$J$8</f>
        <v>69700</v>
      </c>
      <c r="O10" s="15">
        <f>[15]Vendedor7!$K$8</f>
        <v>8364</v>
      </c>
      <c r="P10" s="17">
        <f>[15]Vendedor7!$L$8</f>
        <v>21250</v>
      </c>
      <c r="Q10" s="18">
        <f>[15]Vendedor7!$J$9</f>
        <v>82750</v>
      </c>
      <c r="R10" s="15">
        <f>[15]Vendedor7!$K$9</f>
        <v>9930</v>
      </c>
      <c r="S10" s="16">
        <f>[15]Vendedor7!$L$9</f>
        <v>0</v>
      </c>
      <c r="T10" s="19">
        <f>[15]Vendedor7!$J$10</f>
        <v>0</v>
      </c>
      <c r="U10" s="15">
        <f>[15]Vendedor7!$K$10</f>
        <v>0</v>
      </c>
      <c r="V10" s="17">
        <f>[15]Vendedor7!$L$10</f>
        <v>0</v>
      </c>
      <c r="W10" s="18">
        <f t="shared" si="4"/>
        <v>1078250</v>
      </c>
      <c r="X10" s="15">
        <f t="shared" si="1"/>
        <v>128447</v>
      </c>
      <c r="Y10" s="15">
        <f t="shared" si="2"/>
        <v>1160250</v>
      </c>
      <c r="Z10" s="15">
        <v>0</v>
      </c>
      <c r="AA10" s="17">
        <f t="shared" si="3"/>
        <v>-210447</v>
      </c>
    </row>
    <row r="11" spans="1:27" x14ac:dyDescent="0.35">
      <c r="A11" s="80" t="s">
        <v>20</v>
      </c>
      <c r="B11" s="14">
        <f>[16]Vendedor7!$J$4</f>
        <v>385800</v>
      </c>
      <c r="C11" s="15">
        <f>[16]Vendedor7!$K$4</f>
        <v>46296</v>
      </c>
      <c r="D11" s="17">
        <f>[16]Vendedor7!$L$4</f>
        <v>119000</v>
      </c>
      <c r="E11" s="14">
        <f>[16]Vendedor7!$J$5</f>
        <v>178300</v>
      </c>
      <c r="F11" s="15">
        <f>[16]Vendedor7!$K$5</f>
        <v>21396</v>
      </c>
      <c r="G11" s="16">
        <f>[16]Vendedor7!$L$5</f>
        <v>25500</v>
      </c>
      <c r="H11" s="19">
        <f>[16]Vendedor7!$J$6</f>
        <v>23900</v>
      </c>
      <c r="I11" s="15">
        <f>[16]Vendedor7!$K$6</f>
        <v>2390</v>
      </c>
      <c r="J11" s="17">
        <f>[16]Vendedor7!$L$6</f>
        <v>0</v>
      </c>
      <c r="K11" s="18">
        <f>[16]Vendedor7!$J$7</f>
        <v>43000</v>
      </c>
      <c r="L11" s="15">
        <f>[16]Vendedor7!$K$7</f>
        <v>5160</v>
      </c>
      <c r="M11" s="16">
        <f>[16]Vendedor7!$L$7</f>
        <v>0</v>
      </c>
      <c r="N11" s="19">
        <f>[16]Vendedor7!$J$8</f>
        <v>93100</v>
      </c>
      <c r="O11" s="15">
        <f>[16]Vendedor7!$K$8</f>
        <v>11172</v>
      </c>
      <c r="P11" s="17">
        <f>[16]Vendedor7!$L$8</f>
        <v>0</v>
      </c>
      <c r="Q11" s="18">
        <f>[16]Vendedor7!$J$9</f>
        <v>112400</v>
      </c>
      <c r="R11" s="15">
        <f>[16]Vendedor7!$K$9</f>
        <v>13488</v>
      </c>
      <c r="S11" s="16">
        <f>[16]Vendedor7!$L$9</f>
        <v>170000</v>
      </c>
      <c r="T11" s="19">
        <f>[16]Vendedor7!$J$10</f>
        <v>0</v>
      </c>
      <c r="U11" s="15">
        <f>[16]Vendedor7!$K$10</f>
        <v>0</v>
      </c>
      <c r="V11" s="17">
        <f>[16]Vendedor7!$L$10</f>
        <v>0</v>
      </c>
      <c r="W11" s="18">
        <f t="shared" si="4"/>
        <v>836500</v>
      </c>
      <c r="X11" s="15">
        <f t="shared" si="1"/>
        <v>99902</v>
      </c>
      <c r="Y11" s="15">
        <f t="shared" si="2"/>
        <v>314500</v>
      </c>
      <c r="Z11" s="15">
        <v>0</v>
      </c>
      <c r="AA11" s="17">
        <f t="shared" si="3"/>
        <v>422098</v>
      </c>
    </row>
    <row r="12" spans="1:27" x14ac:dyDescent="0.35">
      <c r="A12" s="79" t="s">
        <v>21</v>
      </c>
      <c r="B12" s="14">
        <f>[17]Vendedor7!$J$4</f>
        <v>348750</v>
      </c>
      <c r="C12" s="15">
        <f>[17]Vendedor7!$K$4</f>
        <v>41850</v>
      </c>
      <c r="D12" s="17">
        <f>[17]Vendedor7!$L$4</f>
        <v>212500</v>
      </c>
      <c r="E12" s="14">
        <f>[17]Vendedor7!$J$5</f>
        <v>164900</v>
      </c>
      <c r="F12" s="15">
        <f>[17]Vendedor7!$K$5</f>
        <v>19788</v>
      </c>
      <c r="G12" s="16">
        <f>[17]Vendedor7!$L$5</f>
        <v>72250</v>
      </c>
      <c r="H12" s="19">
        <f>[17]Vendedor7!$J$6</f>
        <v>37700</v>
      </c>
      <c r="I12" s="15">
        <f>[17]Vendedor7!$K$6</f>
        <v>3770</v>
      </c>
      <c r="J12" s="17">
        <f>[17]Vendedor7!$L$6</f>
        <v>100000</v>
      </c>
      <c r="K12" s="18">
        <f>[17]Vendedor7!$J$7</f>
        <v>69800</v>
      </c>
      <c r="L12" s="15">
        <f>[17]Vendedor7!$K$7</f>
        <v>8376</v>
      </c>
      <c r="M12" s="16">
        <f>[17]Vendedor7!$L$7</f>
        <v>255000</v>
      </c>
      <c r="N12" s="19">
        <f>[17]Vendedor7!$J$8</f>
        <v>30950</v>
      </c>
      <c r="O12" s="15">
        <f>[17]Vendedor7!$K$8</f>
        <v>3714</v>
      </c>
      <c r="P12" s="17">
        <f>[17]Vendedor7!$L$8</f>
        <v>21250</v>
      </c>
      <c r="Q12" s="18">
        <f>[17]Vendedor7!$J$9</f>
        <v>93800</v>
      </c>
      <c r="R12" s="15">
        <f>[17]Vendedor7!$K$9</f>
        <v>11256</v>
      </c>
      <c r="S12" s="16">
        <f>[17]Vendedor7!$L$9</f>
        <v>0</v>
      </c>
      <c r="T12" s="19">
        <f>[17]Vendedor7!$J$10</f>
        <v>0</v>
      </c>
      <c r="U12" s="15">
        <f>[17]Vendedor7!$K$10</f>
        <v>0</v>
      </c>
      <c r="V12" s="17">
        <f>[17]Vendedor7!$L$10</f>
        <v>0</v>
      </c>
      <c r="W12" s="18">
        <f t="shared" si="4"/>
        <v>745900</v>
      </c>
      <c r="X12" s="15">
        <f t="shared" si="1"/>
        <v>88754</v>
      </c>
      <c r="Y12" s="15">
        <f t="shared" si="2"/>
        <v>661000</v>
      </c>
      <c r="Z12" s="15">
        <v>0</v>
      </c>
      <c r="AA12" s="17">
        <f t="shared" si="3"/>
        <v>-3854</v>
      </c>
    </row>
    <row r="13" spans="1:27" x14ac:dyDescent="0.35">
      <c r="A13" s="80" t="s">
        <v>22</v>
      </c>
      <c r="B13" s="14">
        <f>[18]Vendedor7!$J$4</f>
        <v>482050</v>
      </c>
      <c r="C13" s="15">
        <f>[18]Vendedor7!$K$4</f>
        <v>57846</v>
      </c>
      <c r="D13" s="17">
        <f>[18]Vendedor7!$L$4</f>
        <v>616250</v>
      </c>
      <c r="E13" s="14">
        <f>[18]Vendedor7!$J$5</f>
        <v>328800</v>
      </c>
      <c r="F13" s="15">
        <f>[18]Vendedor7!$K$5</f>
        <v>39456</v>
      </c>
      <c r="G13" s="16">
        <f>[18]Vendedor7!$L$5</f>
        <v>195500</v>
      </c>
      <c r="H13" s="19">
        <f>[18]Vendedor7!$J$6</f>
        <v>43650</v>
      </c>
      <c r="I13" s="15">
        <f>[18]Vendedor7!$K$6</f>
        <v>4365</v>
      </c>
      <c r="J13" s="17">
        <f>[18]Vendedor7!$L$6</f>
        <v>100000</v>
      </c>
      <c r="K13" s="18">
        <f>[18]Vendedor7!$J$7</f>
        <v>130850</v>
      </c>
      <c r="L13" s="15">
        <f>[18]Vendedor7!$K$7</f>
        <v>15702</v>
      </c>
      <c r="M13" s="16">
        <f>[18]Vendedor7!$L$7</f>
        <v>102000</v>
      </c>
      <c r="N13" s="19">
        <f>[18]Vendedor7!$J$8</f>
        <v>183950</v>
      </c>
      <c r="O13" s="15">
        <f>[18]Vendedor7!$K$8</f>
        <v>22074</v>
      </c>
      <c r="P13" s="17">
        <f>[18]Vendedor7!$L$8</f>
        <v>242250</v>
      </c>
      <c r="Q13" s="18">
        <f>[18]Vendedor7!$J$9</f>
        <v>75500</v>
      </c>
      <c r="R13" s="15">
        <f>[18]Vendedor7!$K$9</f>
        <v>9060</v>
      </c>
      <c r="S13" s="16">
        <f>[18]Vendedor7!$L$9</f>
        <v>0</v>
      </c>
      <c r="T13" s="19">
        <f>[18]Vendedor7!$J$10</f>
        <v>0</v>
      </c>
      <c r="U13" s="15">
        <f>[18]Vendedor7!$K$10</f>
        <v>0</v>
      </c>
      <c r="V13" s="17">
        <f>[18]Vendedor7!$L$10</f>
        <v>0</v>
      </c>
      <c r="W13" s="18">
        <f t="shared" si="4"/>
        <v>1244800</v>
      </c>
      <c r="X13" s="15">
        <f t="shared" si="1"/>
        <v>148503</v>
      </c>
      <c r="Y13" s="15">
        <f t="shared" si="2"/>
        <v>1256000</v>
      </c>
      <c r="Z13" s="15">
        <v>0</v>
      </c>
      <c r="AA13" s="17">
        <f t="shared" si="3"/>
        <v>-159703</v>
      </c>
    </row>
    <row r="14" spans="1:27" x14ac:dyDescent="0.35">
      <c r="A14" s="79" t="s">
        <v>23</v>
      </c>
      <c r="B14" s="14">
        <f>[19]Vendedor7!$J$4</f>
        <v>343500</v>
      </c>
      <c r="C14" s="15">
        <f>[19]Vendedor7!$K$4</f>
        <v>41220</v>
      </c>
      <c r="D14" s="17">
        <f>[19]Vendedor7!$L$4</f>
        <v>637500</v>
      </c>
      <c r="E14" s="14">
        <f>[19]Vendedor7!$J$5</f>
        <v>164700</v>
      </c>
      <c r="F14" s="15">
        <f>[19]Vendedor7!$K$5</f>
        <v>19764</v>
      </c>
      <c r="G14" s="16">
        <f>[19]Vendedor7!$L$5</f>
        <v>480250</v>
      </c>
      <c r="H14" s="19">
        <f>[19]Vendedor7!$J$6</f>
        <v>50800</v>
      </c>
      <c r="I14" s="15">
        <f>[19]Vendedor7!$K$6</f>
        <v>5080</v>
      </c>
      <c r="J14" s="17">
        <f>[19]Vendedor7!$L$6</f>
        <v>0</v>
      </c>
      <c r="K14" s="18">
        <f>[19]Vendedor7!$J$7</f>
        <v>47150</v>
      </c>
      <c r="L14" s="15">
        <f>[19]Vendedor7!$K$7</f>
        <v>5658</v>
      </c>
      <c r="M14" s="16">
        <f>[19]Vendedor7!$L$7</f>
        <v>0</v>
      </c>
      <c r="N14" s="19">
        <f>[19]Vendedor7!$J$8</f>
        <v>78700</v>
      </c>
      <c r="O14" s="15">
        <f>[19]Vendedor7!$K$8</f>
        <v>9444</v>
      </c>
      <c r="P14" s="17">
        <f>[19]Vendedor7!$L$8</f>
        <v>0</v>
      </c>
      <c r="Q14" s="18">
        <f>[19]Vendedor7!$J$9</f>
        <v>107200</v>
      </c>
      <c r="R14" s="15">
        <f>[19]Vendedor7!$K$9</f>
        <v>12864</v>
      </c>
      <c r="S14" s="16">
        <f>[19]Vendedor7!$L$9</f>
        <v>0</v>
      </c>
      <c r="T14" s="19">
        <f>[19]Vendedor7!$J$10</f>
        <v>0</v>
      </c>
      <c r="U14" s="15">
        <f>[19]Vendedor7!$K$10</f>
        <v>0</v>
      </c>
      <c r="V14" s="17">
        <f>[19]Vendedor7!$L$10</f>
        <v>0</v>
      </c>
      <c r="W14" s="18">
        <f t="shared" si="4"/>
        <v>792050</v>
      </c>
      <c r="X14" s="15">
        <f t="shared" si="1"/>
        <v>94030</v>
      </c>
      <c r="Y14" s="15">
        <f t="shared" si="2"/>
        <v>1117750</v>
      </c>
      <c r="Z14" s="15">
        <v>0</v>
      </c>
      <c r="AA14" s="17">
        <f t="shared" si="3"/>
        <v>-419730</v>
      </c>
    </row>
    <row r="15" spans="1:27" x14ac:dyDescent="0.35">
      <c r="A15" s="80" t="s">
        <v>24</v>
      </c>
      <c r="B15" s="14">
        <f>[20]Vendedor7!$J$4</f>
        <v>418850</v>
      </c>
      <c r="C15" s="15">
        <f>[20]Vendedor7!$K$4</f>
        <v>50262</v>
      </c>
      <c r="D15" s="17">
        <f>[20]Vendedor7!$L$4</f>
        <v>51000</v>
      </c>
      <c r="E15" s="14">
        <f>[20]Vendedor7!$J$5</f>
        <v>171700</v>
      </c>
      <c r="F15" s="15">
        <f>[20]Vendedor7!$K$5</f>
        <v>20604</v>
      </c>
      <c r="G15" s="16">
        <f>[20]Vendedor7!$L$5</f>
        <v>34000</v>
      </c>
      <c r="H15" s="19">
        <f>[20]Vendedor7!$J$6</f>
        <v>38600</v>
      </c>
      <c r="I15" s="15">
        <f>[20]Vendedor7!$K$6</f>
        <v>3860</v>
      </c>
      <c r="J15" s="17">
        <f>[20]Vendedor7!$L$6</f>
        <v>0</v>
      </c>
      <c r="K15" s="18">
        <f>[20]Vendedor7!$J$7</f>
        <v>25900</v>
      </c>
      <c r="L15" s="15">
        <f>[20]Vendedor7!$K$7</f>
        <v>3108</v>
      </c>
      <c r="M15" s="16">
        <f>[20]Vendedor7!$L$7</f>
        <v>0</v>
      </c>
      <c r="N15" s="19">
        <f>[20]Vendedor7!$J$8</f>
        <v>31700</v>
      </c>
      <c r="O15" s="15">
        <f>[20]Vendedor7!$K$8</f>
        <v>3804</v>
      </c>
      <c r="P15" s="17">
        <f>[20]Vendedor7!$L$8</f>
        <v>106250</v>
      </c>
      <c r="Q15" s="18">
        <f>[20]Vendedor7!$J$9</f>
        <v>78000</v>
      </c>
      <c r="R15" s="15">
        <f>[20]Vendedor7!$K$9</f>
        <v>9360</v>
      </c>
      <c r="S15" s="16">
        <f>[20]Vendedor7!$L$9</f>
        <v>0</v>
      </c>
      <c r="T15" s="19">
        <f>[20]Vendedor7!$J$10</f>
        <v>0</v>
      </c>
      <c r="U15" s="15">
        <f>[20]Vendedor7!$K$10</f>
        <v>0</v>
      </c>
      <c r="V15" s="17">
        <f>[20]Vendedor7!$L$10</f>
        <v>0</v>
      </c>
      <c r="W15" s="18">
        <f t="shared" si="4"/>
        <v>764750</v>
      </c>
      <c r="X15" s="15">
        <f t="shared" si="1"/>
        <v>90998</v>
      </c>
      <c r="Y15" s="15">
        <f t="shared" si="2"/>
        <v>191250</v>
      </c>
      <c r="Z15" s="15">
        <v>0</v>
      </c>
      <c r="AA15" s="17">
        <f t="shared" si="3"/>
        <v>482502</v>
      </c>
    </row>
    <row r="16" spans="1:27" x14ac:dyDescent="0.35">
      <c r="A16" s="79" t="s">
        <v>25</v>
      </c>
      <c r="B16" s="14">
        <f>[21]Vendedor7!$J$4</f>
        <v>313050</v>
      </c>
      <c r="C16" s="15">
        <f>[21]Vendedor7!$K$4</f>
        <v>37566</v>
      </c>
      <c r="D16" s="17">
        <f>[21]Vendedor7!$L$4</f>
        <v>297500</v>
      </c>
      <c r="E16" s="14">
        <f>[21]Vendedor7!$J$5</f>
        <v>126450</v>
      </c>
      <c r="F16" s="15">
        <f>[21]Vendedor7!$K$5</f>
        <v>15174</v>
      </c>
      <c r="G16" s="16">
        <f>[21]Vendedor7!$L$5</f>
        <v>144500</v>
      </c>
      <c r="H16" s="19">
        <f>[21]Vendedor7!$J$6</f>
        <v>48550</v>
      </c>
      <c r="I16" s="15">
        <f>[21]Vendedor7!$K$6</f>
        <v>4855</v>
      </c>
      <c r="J16" s="17">
        <f>[21]Vendedor7!$L$6</f>
        <v>0</v>
      </c>
      <c r="K16" s="18">
        <f>[21]Vendedor7!$J$7</f>
        <v>13700</v>
      </c>
      <c r="L16" s="15">
        <f>[21]Vendedor7!$K$7</f>
        <v>1644</v>
      </c>
      <c r="M16" s="16">
        <f>[21]Vendedor7!$L$7</f>
        <v>0</v>
      </c>
      <c r="N16" s="19">
        <f>[21]Vendedor7!$J$8</f>
        <v>45450</v>
      </c>
      <c r="O16" s="15">
        <f>[21]Vendedor7!$K$8</f>
        <v>5454</v>
      </c>
      <c r="P16" s="17">
        <f>[21]Vendedor7!$L$8</f>
        <v>85000</v>
      </c>
      <c r="Q16" s="18">
        <f>[21]Vendedor7!$J$9</f>
        <v>83750</v>
      </c>
      <c r="R16" s="15">
        <f>[21]Vendedor7!$K$9</f>
        <v>10050</v>
      </c>
      <c r="S16" s="16">
        <f>[21]Vendedor7!$L$9</f>
        <v>0</v>
      </c>
      <c r="T16" s="19">
        <f>[21]Vendedor7!$J$10</f>
        <v>0</v>
      </c>
      <c r="U16" s="15">
        <f>[21]Vendedor7!$K$10</f>
        <v>0</v>
      </c>
      <c r="V16" s="17">
        <f>[21]Vendedor7!$L$10</f>
        <v>0</v>
      </c>
      <c r="W16" s="18">
        <f t="shared" si="4"/>
        <v>630950</v>
      </c>
      <c r="X16" s="15">
        <f t="shared" si="1"/>
        <v>74743</v>
      </c>
      <c r="Y16" s="15">
        <f t="shared" si="2"/>
        <v>527000</v>
      </c>
      <c r="Z16" s="15">
        <v>0</v>
      </c>
      <c r="AA16" s="17">
        <f t="shared" si="3"/>
        <v>29207</v>
      </c>
    </row>
    <row r="17" spans="1:29" x14ac:dyDescent="0.35">
      <c r="A17" s="80" t="s">
        <v>26</v>
      </c>
      <c r="B17" s="14">
        <f>[22]Vendedor7!$J$4</f>
        <v>264450</v>
      </c>
      <c r="C17" s="15">
        <f>[22]Vendedor7!$K$4</f>
        <v>31734</v>
      </c>
      <c r="D17" s="17">
        <f>[22]Vendedor7!$L$4</f>
        <v>102000</v>
      </c>
      <c r="E17" s="14">
        <f>[22]Vendedor7!$J$5</f>
        <v>138650</v>
      </c>
      <c r="F17" s="15">
        <f>[22]Vendedor7!$K$5</f>
        <v>16638</v>
      </c>
      <c r="G17" s="16">
        <f>[22]Vendedor7!$L$5</f>
        <v>21250</v>
      </c>
      <c r="H17" s="19">
        <f>[22]Vendedor7!$J$6</f>
        <v>37200</v>
      </c>
      <c r="I17" s="15">
        <f>[22]Vendedor7!$K$6</f>
        <v>3720</v>
      </c>
      <c r="J17" s="17">
        <f>[22]Vendedor7!$L$6</f>
        <v>0</v>
      </c>
      <c r="K17" s="18">
        <f>[22]Vendedor7!$J$7</f>
        <v>23650</v>
      </c>
      <c r="L17" s="15">
        <f>[22]Vendedor7!$K$7</f>
        <v>2838</v>
      </c>
      <c r="M17" s="16">
        <f>[22]Vendedor7!$L$7</f>
        <v>255000</v>
      </c>
      <c r="N17" s="19">
        <f>[22]Vendedor7!$J$8</f>
        <v>10250</v>
      </c>
      <c r="O17" s="15">
        <f>[22]Vendedor7!$K$8</f>
        <v>1230</v>
      </c>
      <c r="P17" s="17">
        <f>[22]Vendedor7!$L$8</f>
        <v>42500</v>
      </c>
      <c r="Q17" s="18">
        <f>[22]Vendedor7!$J$9</f>
        <v>93700</v>
      </c>
      <c r="R17" s="15">
        <f>[22]Vendedor7!$K$9</f>
        <v>11244</v>
      </c>
      <c r="S17" s="16">
        <f>[22]Vendedor7!$L$9</f>
        <v>0</v>
      </c>
      <c r="T17" s="19">
        <f>[22]Vendedor7!$J$10</f>
        <v>0</v>
      </c>
      <c r="U17" s="15">
        <f>[22]Vendedor7!$K$10</f>
        <v>0</v>
      </c>
      <c r="V17" s="17">
        <f>[22]Vendedor7!$L$10</f>
        <v>0</v>
      </c>
      <c r="W17" s="18">
        <f t="shared" si="4"/>
        <v>567900</v>
      </c>
      <c r="X17" s="15">
        <f t="shared" si="1"/>
        <v>67404</v>
      </c>
      <c r="Y17" s="15">
        <f t="shared" si="2"/>
        <v>420750</v>
      </c>
      <c r="Z17" s="15">
        <v>0</v>
      </c>
      <c r="AA17" s="17">
        <f t="shared" si="3"/>
        <v>79746</v>
      </c>
    </row>
    <row r="18" spans="1:29" x14ac:dyDescent="0.35">
      <c r="A18" s="79" t="s">
        <v>27</v>
      </c>
      <c r="B18" s="14">
        <f>[23]Vendedor7!$J$4</f>
        <v>221500</v>
      </c>
      <c r="C18" s="15">
        <f>[23]Vendedor7!$K$4</f>
        <v>26580</v>
      </c>
      <c r="D18" s="17">
        <f>[23]Vendedor7!$L$4</f>
        <v>114750</v>
      </c>
      <c r="E18" s="14">
        <f>[23]Vendedor7!$J$5</f>
        <v>127450</v>
      </c>
      <c r="F18" s="15">
        <f>[23]Vendedor7!$K$5</f>
        <v>15294</v>
      </c>
      <c r="G18" s="16">
        <f>[23]Vendedor7!$L$5</f>
        <v>102000</v>
      </c>
      <c r="H18" s="19">
        <f>[23]Vendedor7!$J$6</f>
        <v>34500</v>
      </c>
      <c r="I18" s="15">
        <f>[23]Vendedor7!$K$6</f>
        <v>3450</v>
      </c>
      <c r="J18" s="17">
        <f>[23]Vendedor7!$L$6</f>
        <v>0</v>
      </c>
      <c r="K18" s="18">
        <f>[23]Vendedor7!$J$7</f>
        <v>34950</v>
      </c>
      <c r="L18" s="15">
        <f>[23]Vendedor7!$K$7</f>
        <v>4194</v>
      </c>
      <c r="M18" s="16">
        <f>[23]Vendedor7!$L$7</f>
        <v>12750</v>
      </c>
      <c r="N18" s="19">
        <f>[23]Vendedor7!$J$8</f>
        <v>16100</v>
      </c>
      <c r="O18" s="15">
        <f>[23]Vendedor7!$K$8</f>
        <v>1932</v>
      </c>
      <c r="P18" s="17">
        <f>[23]Vendedor7!$L$8</f>
        <v>85000</v>
      </c>
      <c r="Q18" s="18">
        <f>[23]Vendedor7!$J$9</f>
        <v>95700</v>
      </c>
      <c r="R18" s="15">
        <f>[23]Vendedor7!$K$9</f>
        <v>11484</v>
      </c>
      <c r="S18" s="16">
        <f>[23]Vendedor7!$L$9</f>
        <v>0</v>
      </c>
      <c r="T18" s="19">
        <f>[23]Vendedor7!$J$10</f>
        <v>0</v>
      </c>
      <c r="U18" s="15">
        <f>[23]Vendedor7!$K$10</f>
        <v>0</v>
      </c>
      <c r="V18" s="17">
        <f>[23]Vendedor7!$L$10</f>
        <v>0</v>
      </c>
      <c r="W18" s="18">
        <f t="shared" si="4"/>
        <v>530200</v>
      </c>
      <c r="X18" s="15">
        <f t="shared" si="1"/>
        <v>62934</v>
      </c>
      <c r="Y18" s="15">
        <f t="shared" si="2"/>
        <v>314500</v>
      </c>
      <c r="Z18" s="15">
        <v>0</v>
      </c>
      <c r="AA18" s="17">
        <f t="shared" si="3"/>
        <v>152766</v>
      </c>
      <c r="AC18" s="62"/>
    </row>
    <row r="19" spans="1:29" x14ac:dyDescent="0.35">
      <c r="A19" s="79" t="s">
        <v>28</v>
      </c>
      <c r="B19" s="14">
        <f>[24]Vendedor7!$J$4</f>
        <v>242200</v>
      </c>
      <c r="C19" s="15">
        <f>[24]Vendedor7!$K$4</f>
        <v>29064</v>
      </c>
      <c r="D19" s="17">
        <f>[24]Vendedor7!$L$4</f>
        <v>153000</v>
      </c>
      <c r="E19" s="14">
        <f>[24]Vendedor7!$J$5</f>
        <v>179350</v>
      </c>
      <c r="F19" s="15">
        <f>[24]Vendedor7!$K$5</f>
        <v>21522</v>
      </c>
      <c r="G19" s="16">
        <f>[24]Vendedor7!$L$5</f>
        <v>153000</v>
      </c>
      <c r="H19" s="19">
        <f>[24]Vendedor7!$J$6</f>
        <v>48900</v>
      </c>
      <c r="I19" s="15">
        <f>[24]Vendedor7!$K$6</f>
        <v>4890</v>
      </c>
      <c r="J19" s="17">
        <f>[24]Vendedor7!$L$6</f>
        <v>0</v>
      </c>
      <c r="K19" s="18">
        <f>[24]Vendedor7!$J$7</f>
        <v>31250</v>
      </c>
      <c r="L19" s="15">
        <f>[24]Vendedor7!$K$7</f>
        <v>3750</v>
      </c>
      <c r="M19" s="16">
        <f>[24]Vendedor7!$L$7</f>
        <v>85000</v>
      </c>
      <c r="N19" s="19">
        <f>[24]Vendedor7!$J$8</f>
        <v>28550</v>
      </c>
      <c r="O19" s="15">
        <f>[24]Vendedor7!$K$8</f>
        <v>3426</v>
      </c>
      <c r="P19" s="17">
        <f>[24]Vendedor7!$L$8</f>
        <v>21250</v>
      </c>
      <c r="Q19" s="18">
        <f>[24]Vendedor7!$J$9</f>
        <v>84100</v>
      </c>
      <c r="R19" s="15">
        <f>[24]Vendedor7!$K$9</f>
        <v>10092</v>
      </c>
      <c r="S19" s="16">
        <f>[24]Vendedor7!$L$9</f>
        <v>0</v>
      </c>
      <c r="T19" s="19">
        <f>[24]Vendedor7!$J$10</f>
        <v>0</v>
      </c>
      <c r="U19" s="15">
        <f>[24]Vendedor7!$K$10</f>
        <v>0</v>
      </c>
      <c r="V19" s="17">
        <f>[24]Vendedor7!$L$10</f>
        <v>0</v>
      </c>
      <c r="W19" s="18">
        <f t="shared" si="4"/>
        <v>614350</v>
      </c>
      <c r="X19" s="15">
        <f t="shared" si="1"/>
        <v>72744</v>
      </c>
      <c r="Y19" s="15">
        <f t="shared" si="2"/>
        <v>412250</v>
      </c>
      <c r="Z19" s="15">
        <v>0</v>
      </c>
      <c r="AA19" s="17">
        <f t="shared" si="3"/>
        <v>129356</v>
      </c>
      <c r="AC19" s="62"/>
    </row>
    <row r="20" spans="1:29" x14ac:dyDescent="0.35">
      <c r="A20" s="80" t="s">
        <v>29</v>
      </c>
      <c r="B20" s="14">
        <f>[25]Vendedor7!$J$4</f>
        <v>295250</v>
      </c>
      <c r="C20" s="15">
        <f>[25]Vendedor7!$K$4</f>
        <v>35430</v>
      </c>
      <c r="D20" s="17">
        <f>[25]Vendedor7!$L$4</f>
        <v>174250</v>
      </c>
      <c r="E20" s="14">
        <f>[25]Vendedor7!$J$5</f>
        <v>152450</v>
      </c>
      <c r="F20" s="15">
        <f>[25]Vendedor7!$K$5</f>
        <v>18294</v>
      </c>
      <c r="G20" s="16">
        <f>[25]Vendedor7!$L$5</f>
        <v>29750</v>
      </c>
      <c r="H20" s="19">
        <f>[25]Vendedor7!$J$6</f>
        <v>43050</v>
      </c>
      <c r="I20" s="15">
        <f>[25]Vendedor7!$K$6</f>
        <v>4305</v>
      </c>
      <c r="J20" s="17">
        <f>[25]Vendedor7!$L$6</f>
        <v>0</v>
      </c>
      <c r="K20" s="18">
        <f>[25]Vendedor7!$J$7</f>
        <v>40000</v>
      </c>
      <c r="L20" s="15">
        <f>[25]Vendedor7!$K$7</f>
        <v>4800</v>
      </c>
      <c r="M20" s="16">
        <f>[25]Vendedor7!$L$7</f>
        <v>0</v>
      </c>
      <c r="N20" s="19">
        <f>[25]Vendedor7!$J$8</f>
        <v>35850</v>
      </c>
      <c r="O20" s="15">
        <f>[25]Vendedor7!$K$8</f>
        <v>4302</v>
      </c>
      <c r="P20" s="17">
        <f>[25]Vendedor7!$L$8</f>
        <v>0</v>
      </c>
      <c r="Q20" s="18">
        <f>[25]Vendedor7!$J$9</f>
        <v>3200</v>
      </c>
      <c r="R20" s="15">
        <f>[25]Vendedor7!$K$9</f>
        <v>384</v>
      </c>
      <c r="S20" s="16">
        <f>[25]Vendedor7!$L$9</f>
        <v>0</v>
      </c>
      <c r="T20" s="19">
        <f>[25]Vendedor7!$J$10</f>
        <v>0</v>
      </c>
      <c r="U20" s="15">
        <f>[25]Vendedor7!$K$10</f>
        <v>0</v>
      </c>
      <c r="V20" s="17">
        <f>[25]Vendedor7!$L$10</f>
        <v>0</v>
      </c>
      <c r="W20" s="18">
        <f t="shared" si="4"/>
        <v>569800</v>
      </c>
      <c r="X20" s="15">
        <f t="shared" si="1"/>
        <v>67515</v>
      </c>
      <c r="Y20" s="15">
        <f t="shared" si="2"/>
        <v>204000</v>
      </c>
      <c r="Z20" s="15">
        <v>0</v>
      </c>
      <c r="AA20" s="17">
        <f t="shared" si="3"/>
        <v>298285</v>
      </c>
    </row>
    <row r="21" spans="1:29" x14ac:dyDescent="0.35">
      <c r="A21" s="79" t="s">
        <v>30</v>
      </c>
      <c r="B21" s="14">
        <f>[26]Vendedor7!$J$4</f>
        <v>340050</v>
      </c>
      <c r="C21" s="81">
        <f>[26]Vendedor7!$K$4</f>
        <v>40806</v>
      </c>
      <c r="D21" s="82">
        <f>[26]Vendedor7!$L$4</f>
        <v>454750</v>
      </c>
      <c r="E21" s="14">
        <f>[26]Vendedor7!$J$5</f>
        <v>175300</v>
      </c>
      <c r="F21" s="81">
        <f>[26]Vendedor7!$K$5</f>
        <v>21036</v>
      </c>
      <c r="G21" s="85">
        <f>[26]Vendedor7!$L$5</f>
        <v>289000</v>
      </c>
      <c r="H21" s="19">
        <f>[26]Vendedor7!$J$6</f>
        <v>49100</v>
      </c>
      <c r="I21" s="15">
        <f>[26]Vendedor7!$K$6</f>
        <v>4910</v>
      </c>
      <c r="J21" s="17">
        <f>[26]Vendedor7!$L$6</f>
        <v>0</v>
      </c>
      <c r="K21" s="18">
        <f>[26]Vendedor7!$J$7</f>
        <v>40700</v>
      </c>
      <c r="L21" s="15">
        <f>[26]Vendedor7!$K$7</f>
        <v>4884</v>
      </c>
      <c r="M21" s="16">
        <f>[26]Vendedor7!$L$7</f>
        <v>4250</v>
      </c>
      <c r="N21" s="19">
        <f>[26]Vendedor7!$J$8</f>
        <v>35750</v>
      </c>
      <c r="O21" s="15">
        <f>[26]Vendedor7!$K$8</f>
        <v>4290</v>
      </c>
      <c r="P21" s="17">
        <f>[26]Vendedor7!$L$8</f>
        <v>0</v>
      </c>
      <c r="Q21" s="18">
        <f>[26]Vendedor7!$J$9</f>
        <v>86500</v>
      </c>
      <c r="R21" s="15">
        <f>[26]Vendedor7!$K$9</f>
        <v>10380</v>
      </c>
      <c r="S21" s="16">
        <f>[26]Vendedor7!$L$9</f>
        <v>0</v>
      </c>
      <c r="T21" s="19">
        <f>[26]Vendedor7!$J$10</f>
        <v>0</v>
      </c>
      <c r="U21" s="15">
        <f>[26]Vendedor7!$K$10</f>
        <v>0</v>
      </c>
      <c r="V21" s="17">
        <f>[26]Vendedor7!$L$10</f>
        <v>0</v>
      </c>
      <c r="W21" s="18">
        <f t="shared" si="4"/>
        <v>727400</v>
      </c>
      <c r="X21" s="15">
        <f t="shared" si="1"/>
        <v>86306</v>
      </c>
      <c r="Y21" s="15">
        <f t="shared" si="2"/>
        <v>748000</v>
      </c>
      <c r="Z21" s="15">
        <v>0</v>
      </c>
      <c r="AA21" s="17">
        <f t="shared" si="3"/>
        <v>-106906</v>
      </c>
    </row>
    <row r="22" spans="1:29" x14ac:dyDescent="0.35">
      <c r="A22" s="80" t="s">
        <v>31</v>
      </c>
      <c r="B22" s="14">
        <f>[27]Vendedor7!$J$4</f>
        <v>317900</v>
      </c>
      <c r="C22" s="81">
        <f>[27]Vendedor7!$K$4</f>
        <v>38148</v>
      </c>
      <c r="D22" s="82">
        <f>[27]Vendedor7!$L$4</f>
        <v>293250</v>
      </c>
      <c r="E22" s="14">
        <f>[27]Vendedor7!$J$5</f>
        <v>204850</v>
      </c>
      <c r="F22" s="81">
        <f>[27]Vendedor7!$K$5</f>
        <v>24582</v>
      </c>
      <c r="G22" s="85">
        <f>[27]Vendedor7!$L$5</f>
        <v>233750</v>
      </c>
      <c r="H22" s="19">
        <f>[27]Vendedor7!$J$6</f>
        <v>40750</v>
      </c>
      <c r="I22" s="15">
        <f>[27]Vendedor7!$K$6</f>
        <v>4075</v>
      </c>
      <c r="J22" s="17">
        <f>[27]Vendedor7!$L$6</f>
        <v>0</v>
      </c>
      <c r="K22" s="18">
        <f>[27]Vendedor7!$J$7</f>
        <v>21250</v>
      </c>
      <c r="L22" s="15">
        <f>[27]Vendedor7!$K$7</f>
        <v>2550</v>
      </c>
      <c r="M22" s="16">
        <f>[27]Vendedor7!$L$7</f>
        <v>0</v>
      </c>
      <c r="N22" s="19">
        <f>[27]Vendedor7!$J$8</f>
        <v>69500</v>
      </c>
      <c r="O22" s="15">
        <f>[27]Vendedor7!$K$8</f>
        <v>8340</v>
      </c>
      <c r="P22" s="17">
        <f>[27]Vendedor7!$L$8</f>
        <v>144500</v>
      </c>
      <c r="Q22" s="18">
        <f>[27]Vendedor7!$J$9</f>
        <v>90000</v>
      </c>
      <c r="R22" s="15">
        <f>[27]Vendedor7!$K$9</f>
        <v>10800</v>
      </c>
      <c r="S22" s="16">
        <f>[27]Vendedor7!$L$9</f>
        <v>170000</v>
      </c>
      <c r="T22" s="19">
        <f>[27]Vendedor7!$J$10</f>
        <v>0</v>
      </c>
      <c r="U22" s="15">
        <f>[27]Vendedor7!$K$10</f>
        <v>0</v>
      </c>
      <c r="V22" s="17">
        <f>[27]Vendedor7!$L$10</f>
        <v>0</v>
      </c>
      <c r="W22" s="18">
        <f t="shared" si="4"/>
        <v>744250</v>
      </c>
      <c r="X22" s="15">
        <f t="shared" si="1"/>
        <v>88495</v>
      </c>
      <c r="Y22" s="15">
        <f t="shared" si="2"/>
        <v>841500</v>
      </c>
      <c r="Z22" s="15">
        <v>0</v>
      </c>
      <c r="AA22" s="17">
        <f t="shared" si="3"/>
        <v>-185745</v>
      </c>
    </row>
    <row r="23" spans="1:29" x14ac:dyDescent="0.35">
      <c r="A23" s="79" t="s">
        <v>32</v>
      </c>
      <c r="B23" s="14">
        <f>[28]Vendedor7!$J$4</f>
        <v>348200</v>
      </c>
      <c r="C23" s="81">
        <f>[28]Vendedor7!$K$4</f>
        <v>41784</v>
      </c>
      <c r="D23" s="82">
        <f>[28]Vendedor7!$L$4</f>
        <v>497250</v>
      </c>
      <c r="E23" s="14">
        <f>[28]Vendedor7!$J$5</f>
        <v>301000</v>
      </c>
      <c r="F23" s="81">
        <f>[28]Vendedor7!$K$5</f>
        <v>36120</v>
      </c>
      <c r="G23" s="85">
        <f>[28]Vendedor7!$L$5</f>
        <v>416500</v>
      </c>
      <c r="H23" s="19">
        <f>[28]Vendedor7!$J$6</f>
        <v>36850</v>
      </c>
      <c r="I23" s="15">
        <f>[28]Vendedor7!$K$6</f>
        <v>3685</v>
      </c>
      <c r="J23" s="17">
        <f>[28]Vendedor7!$L$6</f>
        <v>0</v>
      </c>
      <c r="K23" s="18">
        <f>[28]Vendedor7!$J$7</f>
        <v>68800</v>
      </c>
      <c r="L23" s="15">
        <f>[28]Vendedor7!$K$7</f>
        <v>8256</v>
      </c>
      <c r="M23" s="16">
        <f>[28]Vendedor7!$L$7</f>
        <v>8500</v>
      </c>
      <c r="N23" s="19">
        <f>[28]Vendedor7!$J$8</f>
        <v>93800</v>
      </c>
      <c r="O23" s="15">
        <f>[28]Vendedor7!$K$8</f>
        <v>11256</v>
      </c>
      <c r="P23" s="17">
        <f>[28]Vendedor7!$L$8</f>
        <v>170000</v>
      </c>
      <c r="Q23" s="18">
        <f>[28]Vendedor7!$J$9</f>
        <v>120100</v>
      </c>
      <c r="R23" s="15">
        <f>[28]Vendedor7!$K$9</f>
        <v>14412</v>
      </c>
      <c r="S23" s="16">
        <f>[28]Vendedor7!$L$9</f>
        <v>0</v>
      </c>
      <c r="T23" s="19">
        <f>[28]Vendedor7!$J$10</f>
        <v>0</v>
      </c>
      <c r="U23" s="15">
        <f>[28]Vendedor7!$K$10</f>
        <v>0</v>
      </c>
      <c r="V23" s="17">
        <f>[28]Vendedor7!$L$10</f>
        <v>0</v>
      </c>
      <c r="W23" s="18">
        <f t="shared" si="4"/>
        <v>968750</v>
      </c>
      <c r="X23" s="15">
        <f t="shared" si="1"/>
        <v>115513</v>
      </c>
      <c r="Y23" s="15">
        <f t="shared" si="2"/>
        <v>1092250</v>
      </c>
      <c r="Z23" s="15">
        <v>0</v>
      </c>
      <c r="AA23" s="17">
        <f t="shared" si="3"/>
        <v>-239013</v>
      </c>
    </row>
    <row r="24" spans="1:29" x14ac:dyDescent="0.35">
      <c r="A24" s="80" t="s">
        <v>33</v>
      </c>
      <c r="B24" s="14">
        <f>[29]Vendedor7!$J$4</f>
        <v>315000</v>
      </c>
      <c r="C24" s="81">
        <f>[29]Vendedor7!$K$4</f>
        <v>37800</v>
      </c>
      <c r="D24" s="82">
        <f>[29]Vendedor7!$L$4</f>
        <v>0</v>
      </c>
      <c r="E24" s="14">
        <f>[29]Vendedor7!$J$5</f>
        <v>220900</v>
      </c>
      <c r="F24" s="81">
        <f>[29]Vendedor7!$K$5</f>
        <v>26508</v>
      </c>
      <c r="G24" s="85">
        <f>[29]Vendedor7!$L$5</f>
        <v>25500</v>
      </c>
      <c r="H24" s="19">
        <f>[29]Vendedor7!$J$6</f>
        <v>45700</v>
      </c>
      <c r="I24" s="15">
        <f>[29]Vendedor7!$K$6</f>
        <v>4570</v>
      </c>
      <c r="J24" s="17">
        <f>[29]Vendedor7!$L$6</f>
        <v>0</v>
      </c>
      <c r="K24" s="18">
        <f>[29]Vendedor7!$J$7</f>
        <v>23400</v>
      </c>
      <c r="L24" s="15">
        <f>[29]Vendedor7!$K$7</f>
        <v>2808</v>
      </c>
      <c r="M24" s="16">
        <f>[29]Vendedor7!$L$7</f>
        <v>25500</v>
      </c>
      <c r="N24" s="19">
        <f>[29]Vendedor7!$J$8</f>
        <v>61550</v>
      </c>
      <c r="O24" s="15">
        <f>[29]Vendedor7!$K$8</f>
        <v>7386</v>
      </c>
      <c r="P24" s="17">
        <f>[29]Vendedor7!$L$8</f>
        <v>0</v>
      </c>
      <c r="Q24" s="18">
        <f>[29]Vendedor7!$J$9</f>
        <v>86800</v>
      </c>
      <c r="R24" s="15">
        <f>[29]Vendedor7!$K$9</f>
        <v>10416</v>
      </c>
      <c r="S24" s="16">
        <f>[29]Vendedor7!$L$9</f>
        <v>0</v>
      </c>
      <c r="T24" s="19">
        <f>[29]Vendedor7!$J$10</f>
        <v>0</v>
      </c>
      <c r="U24" s="15">
        <f>[29]Vendedor7!$K$10</f>
        <v>0</v>
      </c>
      <c r="V24" s="17">
        <f>[29]Vendedor7!$L$10</f>
        <v>0</v>
      </c>
      <c r="W24" s="18">
        <f t="shared" si="4"/>
        <v>753350</v>
      </c>
      <c r="X24" s="15">
        <f t="shared" si="1"/>
        <v>89488</v>
      </c>
      <c r="Y24" s="15">
        <f t="shared" si="2"/>
        <v>51000</v>
      </c>
      <c r="Z24" s="15">
        <v>0</v>
      </c>
      <c r="AA24" s="17">
        <f t="shared" si="3"/>
        <v>612862</v>
      </c>
    </row>
    <row r="25" spans="1:29" x14ac:dyDescent="0.35">
      <c r="A25" s="79" t="s">
        <v>34</v>
      </c>
      <c r="B25" s="14">
        <f>[30]Vendedor7!$J$4</f>
        <v>266450</v>
      </c>
      <c r="C25" s="81">
        <f>[30]Vendedor7!$K$4</f>
        <v>31974</v>
      </c>
      <c r="D25" s="82">
        <f>[30]Vendedor7!$L$4</f>
        <v>340000</v>
      </c>
      <c r="E25" s="14">
        <f>[30]Vendedor7!$J$5</f>
        <v>101050</v>
      </c>
      <c r="F25" s="81">
        <f>[30]Vendedor7!$K$5</f>
        <v>12126</v>
      </c>
      <c r="G25" s="85">
        <f>[30]Vendedor7!$L$5</f>
        <v>131750</v>
      </c>
      <c r="H25" s="19">
        <f>[30]Vendedor7!$J$6</f>
        <v>28200</v>
      </c>
      <c r="I25" s="15">
        <f>[30]Vendedor7!$K$6</f>
        <v>2820</v>
      </c>
      <c r="J25" s="17">
        <f>[30]Vendedor7!$L$6</f>
        <v>0</v>
      </c>
      <c r="K25" s="18">
        <f>[30]Vendedor7!$J$7</f>
        <v>54150</v>
      </c>
      <c r="L25" s="15">
        <f>[30]Vendedor7!$K$7</f>
        <v>6498</v>
      </c>
      <c r="M25" s="16">
        <f>[30]Vendedor7!$L$7</f>
        <v>114750</v>
      </c>
      <c r="N25" s="19">
        <f>[30]Vendedor7!$J$8</f>
        <v>4150</v>
      </c>
      <c r="O25" s="15">
        <f>[30]Vendedor7!$K$8</f>
        <v>498</v>
      </c>
      <c r="P25" s="17">
        <f>[30]Vendedor7!$L$8</f>
        <v>0</v>
      </c>
      <c r="Q25" s="18">
        <f>[30]Vendedor7!$J$9</f>
        <v>80000</v>
      </c>
      <c r="R25" s="15">
        <f>[30]Vendedor7!$K$9</f>
        <v>9600</v>
      </c>
      <c r="S25" s="16">
        <f>[30]Vendedor7!$L$9</f>
        <v>0</v>
      </c>
      <c r="T25" s="19">
        <f>[30]Vendedor7!$J$10</f>
        <v>0</v>
      </c>
      <c r="U25" s="15">
        <f>[30]Vendedor7!$K$10</f>
        <v>0</v>
      </c>
      <c r="V25" s="17">
        <f>[30]Vendedor7!$L$10</f>
        <v>0</v>
      </c>
      <c r="W25" s="18">
        <f t="shared" si="4"/>
        <v>534000</v>
      </c>
      <c r="X25" s="15">
        <f t="shared" si="1"/>
        <v>63516</v>
      </c>
      <c r="Y25" s="15">
        <f t="shared" si="2"/>
        <v>586500</v>
      </c>
      <c r="Z25" s="15">
        <v>0</v>
      </c>
      <c r="AA25" s="17">
        <f t="shared" si="3"/>
        <v>-116016</v>
      </c>
    </row>
    <row r="26" spans="1:29" x14ac:dyDescent="0.35">
      <c r="A26" s="80" t="s">
        <v>35</v>
      </c>
      <c r="B26" s="14">
        <f>[31]Vendedor7!$J$4</f>
        <v>229400</v>
      </c>
      <c r="C26" s="81">
        <f>[31]Vendedor7!$K$4</f>
        <v>27528</v>
      </c>
      <c r="D26" s="82">
        <f>[31]Vendedor7!$L$4</f>
        <v>106250</v>
      </c>
      <c r="E26" s="14">
        <f>[31]Vendedor7!$J$5</f>
        <v>175100</v>
      </c>
      <c r="F26" s="81">
        <f>[31]Vendedor7!$K$5</f>
        <v>21012</v>
      </c>
      <c r="G26" s="85">
        <f>[31]Vendedor7!$L$5</f>
        <v>38250</v>
      </c>
      <c r="H26" s="19">
        <f>[31]Vendedor7!$J$6</f>
        <v>33550</v>
      </c>
      <c r="I26" s="15">
        <f>[31]Vendedor7!$K$6</f>
        <v>3355</v>
      </c>
      <c r="J26" s="17">
        <f>[31]Vendedor7!$L$6</f>
        <v>0</v>
      </c>
      <c r="K26" s="18">
        <f>[31]Vendedor7!$J$7</f>
        <v>17250</v>
      </c>
      <c r="L26" s="15">
        <f>[31]Vendedor7!$K$7</f>
        <v>2070</v>
      </c>
      <c r="M26" s="16">
        <f>[31]Vendedor7!$L$7</f>
        <v>0</v>
      </c>
      <c r="N26" s="19">
        <f>[31]Vendedor7!$J$8</f>
        <v>7000</v>
      </c>
      <c r="O26" s="15">
        <f>[31]Vendedor7!$K$8</f>
        <v>840</v>
      </c>
      <c r="P26" s="17">
        <f>[31]Vendedor7!$L$8</f>
        <v>0</v>
      </c>
      <c r="Q26" s="18">
        <f>[31]Vendedor7!$J$9</f>
        <v>57300</v>
      </c>
      <c r="R26" s="15">
        <f>[31]Vendedor7!$K$9</f>
        <v>6876</v>
      </c>
      <c r="S26" s="16">
        <f>[31]Vendedor7!$L$9</f>
        <v>0</v>
      </c>
      <c r="T26" s="19">
        <f>[31]Vendedor7!$J$10</f>
        <v>0</v>
      </c>
      <c r="U26" s="15">
        <f>[31]Vendedor7!$K$10</f>
        <v>0</v>
      </c>
      <c r="V26" s="17">
        <f>[31]Vendedor7!$L$10</f>
        <v>0</v>
      </c>
      <c r="W26" s="18">
        <f t="shared" si="4"/>
        <v>519600</v>
      </c>
      <c r="X26" s="15">
        <f t="shared" si="1"/>
        <v>61681</v>
      </c>
      <c r="Y26" s="15">
        <f t="shared" si="2"/>
        <v>144500</v>
      </c>
      <c r="Z26" s="15">
        <v>0</v>
      </c>
      <c r="AA26" s="17">
        <f t="shared" si="3"/>
        <v>313419</v>
      </c>
    </row>
    <row r="27" spans="1:29" x14ac:dyDescent="0.35">
      <c r="A27" s="79" t="s">
        <v>36</v>
      </c>
      <c r="B27" s="14">
        <f>[1]Vendedor7!$J$4</f>
        <v>361600</v>
      </c>
      <c r="C27" s="81">
        <f>[1]Vendedor7!$K$4</f>
        <v>43392</v>
      </c>
      <c r="D27" s="82">
        <f>[1]Vendedor7!$L$4</f>
        <v>318750</v>
      </c>
      <c r="E27" s="14">
        <f>[1]Vendedor7!$J$5</f>
        <v>162500</v>
      </c>
      <c r="F27" s="81">
        <f>[1]Vendedor7!$K$5</f>
        <v>19500</v>
      </c>
      <c r="G27" s="85">
        <f>[1]Vendedor7!$L$5</f>
        <v>68000</v>
      </c>
      <c r="H27" s="19">
        <f>[1]Vendedor7!$J$6</f>
        <v>23350</v>
      </c>
      <c r="I27" s="15">
        <f>[1]Vendedor7!$K$6</f>
        <v>2335</v>
      </c>
      <c r="J27" s="17">
        <f>[1]Vendedor7!$L$6</f>
        <v>0</v>
      </c>
      <c r="K27" s="18">
        <f>[1]Vendedor7!$J$7</f>
        <v>27600</v>
      </c>
      <c r="L27" s="15">
        <f>[1]Vendedor7!$K$7</f>
        <v>3312</v>
      </c>
      <c r="M27" s="16">
        <f>[1]Vendedor7!$L$7</f>
        <v>0</v>
      </c>
      <c r="N27" s="19">
        <f>[1]Vendedor7!$J$8</f>
        <v>31700</v>
      </c>
      <c r="O27" s="15">
        <f>[1]Vendedor7!$K$8</f>
        <v>3804</v>
      </c>
      <c r="P27" s="17">
        <f>[1]Vendedor7!$L$8</f>
        <v>0</v>
      </c>
      <c r="Q27" s="18">
        <f>[1]Vendedor7!$J$9</f>
        <v>98750</v>
      </c>
      <c r="R27" s="15">
        <f>[1]Vendedor7!$K$9</f>
        <v>11850</v>
      </c>
      <c r="S27" s="16">
        <f>[1]Vendedor7!$L$9</f>
        <v>680000</v>
      </c>
      <c r="T27" s="19">
        <f>[1]Vendedor7!$J$10</f>
        <v>300</v>
      </c>
      <c r="U27" s="15">
        <f>[1]Vendedor7!$K$10</f>
        <v>36</v>
      </c>
      <c r="V27" s="17">
        <f>[1]Vendedor7!$L$10</f>
        <v>0</v>
      </c>
      <c r="W27" s="18">
        <f t="shared" si="4"/>
        <v>705800</v>
      </c>
      <c r="X27" s="15">
        <f t="shared" si="1"/>
        <v>84229</v>
      </c>
      <c r="Y27" s="15">
        <f t="shared" si="2"/>
        <v>1066750</v>
      </c>
      <c r="Z27" s="15">
        <v>0</v>
      </c>
      <c r="AA27" s="17">
        <f t="shared" si="3"/>
        <v>-445179</v>
      </c>
    </row>
    <row r="28" spans="1:29" x14ac:dyDescent="0.35">
      <c r="A28" s="80" t="s">
        <v>37</v>
      </c>
      <c r="B28" s="14">
        <f>[2]Vendedor7!$J$4</f>
        <v>306300</v>
      </c>
      <c r="C28" s="81">
        <f>[2]Vendedor7!$K$4</f>
        <v>36756</v>
      </c>
      <c r="D28" s="82">
        <f>[2]Vendedor7!$L$4</f>
        <v>586500</v>
      </c>
      <c r="E28" s="14">
        <f>[2]Vendedor7!$J$5</f>
        <v>159200</v>
      </c>
      <c r="F28" s="81">
        <f>[2]Vendedor7!$K$5</f>
        <v>19104</v>
      </c>
      <c r="G28" s="85">
        <f>[2]Vendedor7!$L$5</f>
        <v>85000</v>
      </c>
      <c r="H28" s="19">
        <f>[2]Vendedor7!$J$6</f>
        <v>41300</v>
      </c>
      <c r="I28" s="15">
        <f>[2]Vendedor7!$K$6</f>
        <v>4130</v>
      </c>
      <c r="J28" s="17">
        <f>[2]Vendedor7!$L$6</f>
        <v>50000</v>
      </c>
      <c r="K28" s="18">
        <f>[2]Vendedor7!$J$7</f>
        <v>18050</v>
      </c>
      <c r="L28" s="15">
        <f>[2]Vendedor7!$K$7</f>
        <v>2166</v>
      </c>
      <c r="M28" s="16">
        <f>[2]Vendedor7!$L$7</f>
        <v>80750</v>
      </c>
      <c r="N28" s="19">
        <f>[2]Vendedor7!$J$8</f>
        <v>38000</v>
      </c>
      <c r="O28" s="15">
        <f>[2]Vendedor7!$K$8</f>
        <v>4560</v>
      </c>
      <c r="P28" s="17">
        <f>[2]Vendedor7!$L$8</f>
        <v>0</v>
      </c>
      <c r="Q28" s="18">
        <f>[2]Vendedor7!$J$9</f>
        <v>54500</v>
      </c>
      <c r="R28" s="15">
        <f>[2]Vendedor7!$K$9</f>
        <v>6540</v>
      </c>
      <c r="S28" s="16">
        <f>[2]Vendedor7!$L$9</f>
        <v>0</v>
      </c>
      <c r="T28" s="19">
        <f>[2]Vendedor7!$J$10</f>
        <v>0</v>
      </c>
      <c r="U28" s="15">
        <f>[2]Vendedor7!$K$10</f>
        <v>0</v>
      </c>
      <c r="V28" s="17">
        <f>[2]Vendedor7!$L$10</f>
        <v>0</v>
      </c>
      <c r="W28" s="18">
        <f t="shared" si="4"/>
        <v>617350</v>
      </c>
      <c r="X28" s="15">
        <f t="shared" si="1"/>
        <v>73256</v>
      </c>
      <c r="Y28" s="15">
        <f t="shared" si="2"/>
        <v>802250</v>
      </c>
      <c r="Z28" s="15">
        <v>0</v>
      </c>
      <c r="AA28" s="17">
        <f t="shared" si="3"/>
        <v>-258156</v>
      </c>
    </row>
    <row r="29" spans="1:29" x14ac:dyDescent="0.35">
      <c r="A29" s="79" t="s">
        <v>38</v>
      </c>
      <c r="B29" s="14">
        <f>[3]Vendedor7!$J$4</f>
        <v>412400</v>
      </c>
      <c r="C29" s="81">
        <f>[3]Vendedor7!$K$4</f>
        <v>49488</v>
      </c>
      <c r="D29" s="82">
        <f>[3]Vendedor7!$L$4</f>
        <v>391000</v>
      </c>
      <c r="E29" s="14">
        <f>[3]Vendedor7!$J$5</f>
        <v>135350</v>
      </c>
      <c r="F29" s="81">
        <f>[3]Vendedor7!$K$5</f>
        <v>16242</v>
      </c>
      <c r="G29" s="85">
        <f>[3]Vendedor7!$L$5</f>
        <v>229500</v>
      </c>
      <c r="H29" s="19">
        <f>[3]Vendedor7!$J$6</f>
        <v>41600</v>
      </c>
      <c r="I29" s="15">
        <f>[3]Vendedor7!$K$6</f>
        <v>4160</v>
      </c>
      <c r="J29" s="17">
        <f>[3]Vendedor7!$L$6</f>
        <v>0</v>
      </c>
      <c r="K29" s="18">
        <f>[3]Vendedor7!$J$7</f>
        <v>28700</v>
      </c>
      <c r="L29" s="15">
        <f>[3]Vendedor7!$K$7</f>
        <v>3444</v>
      </c>
      <c r="M29" s="16">
        <f>[3]Vendedor7!$L$7</f>
        <v>0</v>
      </c>
      <c r="N29" s="19">
        <f>[3]Vendedor7!$J$8</f>
        <v>16300</v>
      </c>
      <c r="O29" s="15">
        <f>[3]Vendedor7!$K$8</f>
        <v>1956</v>
      </c>
      <c r="P29" s="17">
        <f>[3]Vendedor7!$L$8</f>
        <v>0</v>
      </c>
      <c r="Q29" s="18">
        <f>[3]Vendedor7!$J$9</f>
        <v>68500</v>
      </c>
      <c r="R29" s="15">
        <f>[3]Vendedor7!$K$9</f>
        <v>8220</v>
      </c>
      <c r="S29" s="16">
        <f>[3]Vendedor7!$L$9</f>
        <v>85000</v>
      </c>
      <c r="T29" s="19">
        <f>[3]Vendedor7!$J$10</f>
        <v>0</v>
      </c>
      <c r="U29" s="15">
        <f>[3]Vendedor7!$K$10</f>
        <v>0</v>
      </c>
      <c r="V29" s="17">
        <f>[3]Vendedor7!$L$10</f>
        <v>0</v>
      </c>
      <c r="W29" s="18">
        <f t="shared" si="4"/>
        <v>702850</v>
      </c>
      <c r="X29" s="15">
        <f t="shared" si="1"/>
        <v>83510</v>
      </c>
      <c r="Y29" s="15">
        <f t="shared" si="2"/>
        <v>705500</v>
      </c>
      <c r="Z29" s="15">
        <v>0</v>
      </c>
      <c r="AA29" s="17">
        <f t="shared" si="3"/>
        <v>-86160</v>
      </c>
    </row>
    <row r="30" spans="1:29" x14ac:dyDescent="0.35">
      <c r="A30" s="80" t="s">
        <v>39</v>
      </c>
      <c r="B30" s="14">
        <f>[4]Vendedor7!$J$4</f>
        <v>399850</v>
      </c>
      <c r="C30" s="81">
        <f>[4]Vendedor7!$K$4</f>
        <v>47982</v>
      </c>
      <c r="D30" s="82">
        <f>[4]Vendedor7!$L$4</f>
        <v>301750</v>
      </c>
      <c r="E30" s="14">
        <f>[4]Vendedor7!$J$5</f>
        <v>190950</v>
      </c>
      <c r="F30" s="81">
        <f>[4]Vendedor7!$K$5</f>
        <v>22914</v>
      </c>
      <c r="G30" s="85">
        <f>[4]Vendedor7!$L$5</f>
        <v>157250</v>
      </c>
      <c r="H30" s="19">
        <f>[4]Vendedor7!$J$6</f>
        <v>36600</v>
      </c>
      <c r="I30" s="15">
        <f>[4]Vendedor7!$K$6</f>
        <v>3660</v>
      </c>
      <c r="J30" s="17">
        <f>[4]Vendedor7!$L$6</f>
        <v>0</v>
      </c>
      <c r="K30" s="18">
        <f>[4]Vendedor7!$J$7</f>
        <v>30850</v>
      </c>
      <c r="L30" s="15">
        <f>[4]Vendedor7!$K$7</f>
        <v>3702</v>
      </c>
      <c r="M30" s="16">
        <f>[4]Vendedor7!$L$7</f>
        <v>0</v>
      </c>
      <c r="N30" s="19">
        <f>[4]Vendedor7!$J$8</f>
        <v>29100</v>
      </c>
      <c r="O30" s="15">
        <f>[4]Vendedor7!$K$8</f>
        <v>3492</v>
      </c>
      <c r="P30" s="17">
        <f>[4]Vendedor7!$L$8</f>
        <v>0</v>
      </c>
      <c r="Q30" s="18">
        <f>[4]Vendedor7!$J$9</f>
        <v>51500</v>
      </c>
      <c r="R30" s="15">
        <f>[4]Vendedor7!$K$9</f>
        <v>6180</v>
      </c>
      <c r="S30" s="16">
        <f>[4]Vendedor7!$L$9</f>
        <v>85000</v>
      </c>
      <c r="T30" s="19">
        <f>[4]Vendedor7!$J$10</f>
        <v>0</v>
      </c>
      <c r="U30" s="15">
        <f>[4]Vendedor7!$K$10</f>
        <v>0</v>
      </c>
      <c r="V30" s="17">
        <f>[4]Vendedor7!$L$10</f>
        <v>0</v>
      </c>
      <c r="W30" s="18">
        <f t="shared" si="4"/>
        <v>738850</v>
      </c>
      <c r="X30" s="15">
        <f t="shared" si="1"/>
        <v>87930</v>
      </c>
      <c r="Y30" s="15">
        <f t="shared" si="2"/>
        <v>544000</v>
      </c>
      <c r="Z30" s="15">
        <v>0</v>
      </c>
      <c r="AA30" s="17">
        <f t="shared" si="3"/>
        <v>106920</v>
      </c>
    </row>
    <row r="31" spans="1:29" x14ac:dyDescent="0.35">
      <c r="A31" s="79" t="s">
        <v>40</v>
      </c>
      <c r="B31" s="14">
        <f>[5]Vendedor7!$J$4</f>
        <v>300900</v>
      </c>
      <c r="C31" s="81">
        <f>[5]Vendedor7!$K$4</f>
        <v>36108</v>
      </c>
      <c r="D31" s="82">
        <f>[5]Vendedor7!$L$4</f>
        <v>361250</v>
      </c>
      <c r="E31" s="14">
        <f>[5]Vendedor7!$J$5</f>
        <v>247750</v>
      </c>
      <c r="F31" s="81">
        <f>[5]Vendedor7!$K$5</f>
        <v>29730</v>
      </c>
      <c r="G31" s="85">
        <f>[5]Vendedor7!$L$5</f>
        <v>85000</v>
      </c>
      <c r="H31" s="19">
        <f>[5]Vendedor7!$J$6</f>
        <v>33400</v>
      </c>
      <c r="I31" s="15">
        <f>[5]Vendedor7!$K$6</f>
        <v>3340</v>
      </c>
      <c r="J31" s="17">
        <f>[5]Vendedor7!$L$6</f>
        <v>60000</v>
      </c>
      <c r="K31" s="18">
        <f>[5]Vendedor7!$J$7</f>
        <v>84300</v>
      </c>
      <c r="L31" s="15">
        <f>[5]Vendedor7!$K$7</f>
        <v>10116</v>
      </c>
      <c r="M31" s="16">
        <f>[5]Vendedor7!$L$7</f>
        <v>8500</v>
      </c>
      <c r="N31" s="19">
        <f>[5]Vendedor7!$J$8</f>
        <v>61200</v>
      </c>
      <c r="O31" s="15">
        <f>[5]Vendedor7!$K$8</f>
        <v>7344</v>
      </c>
      <c r="P31" s="17">
        <f>[5]Vendedor7!$L$8</f>
        <v>0</v>
      </c>
      <c r="Q31" s="18">
        <f>[5]Vendedor7!$J$9</f>
        <v>96500</v>
      </c>
      <c r="R31" s="15">
        <f>[5]Vendedor7!$K$9</f>
        <v>11580</v>
      </c>
      <c r="S31" s="16">
        <f>[5]Vendedor7!$L$9</f>
        <v>0</v>
      </c>
      <c r="T31" s="19">
        <f>[5]Vendedor7!$J$10</f>
        <v>0</v>
      </c>
      <c r="U31" s="15">
        <f>[5]Vendedor7!$K$10</f>
        <v>0</v>
      </c>
      <c r="V31" s="17">
        <f>[5]Vendedor7!$L$10</f>
        <v>0</v>
      </c>
      <c r="W31" s="18">
        <f t="shared" si="4"/>
        <v>824050</v>
      </c>
      <c r="X31" s="15">
        <f t="shared" si="1"/>
        <v>98218</v>
      </c>
      <c r="Y31" s="15">
        <f t="shared" si="2"/>
        <v>514750</v>
      </c>
      <c r="Z31" s="15">
        <v>0</v>
      </c>
      <c r="AA31" s="17">
        <f t="shared" si="3"/>
        <v>211082</v>
      </c>
    </row>
    <row r="32" spans="1:29" x14ac:dyDescent="0.35">
      <c r="A32" s="79" t="s">
        <v>41</v>
      </c>
      <c r="B32" s="14">
        <f>[6]Vendedor7!$J$4</f>
        <v>322700</v>
      </c>
      <c r="C32" s="81">
        <f>[6]Vendedor7!$K$4</f>
        <v>38724</v>
      </c>
      <c r="D32" s="82">
        <f>[6]Vendedor7!$L$4</f>
        <v>289000</v>
      </c>
      <c r="E32" s="14">
        <f>[6]Vendedor7!$J$5</f>
        <v>201850</v>
      </c>
      <c r="F32" s="81">
        <f>[6]Vendedor7!$K$5</f>
        <v>24222</v>
      </c>
      <c r="G32" s="85">
        <f>[6]Vendedor7!$L$5</f>
        <v>59500</v>
      </c>
      <c r="H32" s="19">
        <f>[6]Vendedor7!$J$6</f>
        <v>35100</v>
      </c>
      <c r="I32" s="15">
        <f>[6]Vendedor7!$K$6</f>
        <v>3510</v>
      </c>
      <c r="J32" s="17">
        <f>[6]Vendedor7!$L$6</f>
        <v>0</v>
      </c>
      <c r="K32" s="18">
        <f>[6]Vendedor7!$J$7</f>
        <v>41600</v>
      </c>
      <c r="L32" s="15">
        <f>[6]Vendedor7!$K$7</f>
        <v>4992</v>
      </c>
      <c r="M32" s="16">
        <f>[6]Vendedor7!$L$7</f>
        <v>68000</v>
      </c>
      <c r="N32" s="19">
        <f>[6]Vendedor7!$J$8</f>
        <v>19100</v>
      </c>
      <c r="O32" s="15">
        <f>[6]Vendedor7!$K$8</f>
        <v>2292</v>
      </c>
      <c r="P32" s="17">
        <f>[6]Vendedor7!$L$8</f>
        <v>8500</v>
      </c>
      <c r="Q32" s="18">
        <f>[6]Vendedor7!$J$9</f>
        <v>104000</v>
      </c>
      <c r="R32" s="15">
        <f>[6]Vendedor7!$K$9</f>
        <v>12480</v>
      </c>
      <c r="S32" s="16">
        <f>[6]Vendedor7!$L$9</f>
        <v>127500</v>
      </c>
      <c r="T32" s="19">
        <f>[6]Vendedor7!$J$10</f>
        <v>0</v>
      </c>
      <c r="U32" s="15">
        <f>[6]Vendedor7!$K$10</f>
        <v>0</v>
      </c>
      <c r="V32" s="17">
        <f>[6]Vendedor7!$L$10</f>
        <v>0</v>
      </c>
      <c r="W32" s="18">
        <f t="shared" si="4"/>
        <v>724350</v>
      </c>
      <c r="X32" s="15">
        <f t="shared" si="1"/>
        <v>86220</v>
      </c>
      <c r="Y32" s="15">
        <f t="shared" si="2"/>
        <v>552500</v>
      </c>
      <c r="Z32" s="15">
        <v>0</v>
      </c>
      <c r="AA32" s="17">
        <f t="shared" si="3"/>
        <v>85630</v>
      </c>
    </row>
    <row r="33" spans="1:27" x14ac:dyDescent="0.35">
      <c r="A33" s="80" t="s">
        <v>42</v>
      </c>
      <c r="B33" s="14">
        <f>[7]Vendedor7!$J$4</f>
        <v>344550</v>
      </c>
      <c r="C33" s="81">
        <f>[7]Vendedor7!$K$4</f>
        <v>41346</v>
      </c>
      <c r="D33" s="82">
        <f>[7]Vendedor7!$L$4</f>
        <v>208250</v>
      </c>
      <c r="E33" s="14">
        <f>[7]Vendedor7!$J$5</f>
        <v>191850</v>
      </c>
      <c r="F33" s="81">
        <f>[7]Vendedor7!$K$5</f>
        <v>23022</v>
      </c>
      <c r="G33" s="85">
        <f>[7]Vendedor7!$L$5</f>
        <v>148750</v>
      </c>
      <c r="H33" s="19">
        <f>[7]Vendedor7!$J$6</f>
        <v>37000</v>
      </c>
      <c r="I33" s="15">
        <f>[7]Vendedor7!$K$6</f>
        <v>3700</v>
      </c>
      <c r="J33" s="17">
        <f>[7]Vendedor7!$L$6</f>
        <v>0</v>
      </c>
      <c r="K33" s="18">
        <f>[7]Vendedor7!$J$7</f>
        <v>59100</v>
      </c>
      <c r="L33" s="15">
        <f>[7]Vendedor7!$K$7</f>
        <v>7092</v>
      </c>
      <c r="M33" s="16">
        <f>[7]Vendedor7!$L$7</f>
        <v>46750</v>
      </c>
      <c r="N33" s="19">
        <f>[7]Vendedor7!$J$8</f>
        <v>44300</v>
      </c>
      <c r="O33" s="15">
        <f>[7]Vendedor7!$K$8</f>
        <v>5316</v>
      </c>
      <c r="P33" s="17">
        <f>[7]Vendedor7!$L$8</f>
        <v>21250</v>
      </c>
      <c r="Q33" s="18">
        <f>[7]Vendedor7!$J$9</f>
        <v>80750</v>
      </c>
      <c r="R33" s="15">
        <f>[7]Vendedor7!$K$9</f>
        <v>9690</v>
      </c>
      <c r="S33" s="16">
        <f>[7]Vendedor7!$L$9</f>
        <v>0</v>
      </c>
      <c r="T33" s="19">
        <f>[7]Vendedor7!$J$10</f>
        <v>0</v>
      </c>
      <c r="U33" s="15">
        <f>[7]Vendedor7!$K$10</f>
        <v>0</v>
      </c>
      <c r="V33" s="17">
        <f>[7]Vendedor7!$L$10</f>
        <v>0</v>
      </c>
      <c r="W33" s="18">
        <f t="shared" si="4"/>
        <v>757550</v>
      </c>
      <c r="X33" s="15">
        <f t="shared" si="1"/>
        <v>90166</v>
      </c>
      <c r="Y33" s="15">
        <f t="shared" si="2"/>
        <v>425000</v>
      </c>
      <c r="Z33" s="15">
        <v>0</v>
      </c>
      <c r="AA33" s="17">
        <f t="shared" si="3"/>
        <v>242384</v>
      </c>
    </row>
    <row r="34" spans="1:27" x14ac:dyDescent="0.35">
      <c r="A34" s="79" t="s">
        <v>43</v>
      </c>
      <c r="B34" s="14">
        <f>[8]Vendedor7!$J$4</f>
        <v>213750</v>
      </c>
      <c r="C34" s="81">
        <f>[8]Vendedor7!$K$4</f>
        <v>25650</v>
      </c>
      <c r="D34" s="82">
        <f>[8]Vendedor7!$L$4</f>
        <v>106250</v>
      </c>
      <c r="E34" s="14">
        <f>[8]Vendedor7!$J$5</f>
        <v>129150</v>
      </c>
      <c r="F34" s="81">
        <f>[8]Vendedor7!$K$5</f>
        <v>15498</v>
      </c>
      <c r="G34" s="85">
        <f>[8]Vendedor7!$L$5</f>
        <v>123250</v>
      </c>
      <c r="H34" s="19">
        <f>[8]Vendedor7!$J$6</f>
        <v>32550</v>
      </c>
      <c r="I34" s="15">
        <f>[8]Vendedor7!$K$6</f>
        <v>3255</v>
      </c>
      <c r="J34" s="17">
        <f>[8]Vendedor7!$L$6</f>
        <v>150000</v>
      </c>
      <c r="K34" s="18">
        <f>[8]Vendedor7!$J$7</f>
        <v>34500</v>
      </c>
      <c r="L34" s="15">
        <f>[8]Vendedor7!$K$7</f>
        <v>4140</v>
      </c>
      <c r="M34" s="16">
        <f>[8]Vendedor7!$L$7</f>
        <v>0</v>
      </c>
      <c r="N34" s="19">
        <f>[8]Vendedor7!$J$8</f>
        <v>34500</v>
      </c>
      <c r="O34" s="15">
        <f>[8]Vendedor7!$K$8</f>
        <v>4140</v>
      </c>
      <c r="P34" s="17">
        <f>[8]Vendedor7!$L$8</f>
        <v>0</v>
      </c>
      <c r="Q34" s="18">
        <f>[8]Vendedor7!$J$9</f>
        <v>39650</v>
      </c>
      <c r="R34" s="15">
        <f>[8]Vendedor7!$K$9</f>
        <v>4758</v>
      </c>
      <c r="S34" s="16">
        <f>[8]Vendedor7!$L$9</f>
        <v>0</v>
      </c>
      <c r="T34" s="19">
        <f>[8]Vendedor7!$J$10</f>
        <v>0</v>
      </c>
      <c r="U34" s="15">
        <f>[8]Vendedor7!$K$10</f>
        <v>0</v>
      </c>
      <c r="V34" s="17">
        <f>[8]Vendedor7!$L$10</f>
        <v>0</v>
      </c>
      <c r="W34" s="18">
        <f t="shared" si="4"/>
        <v>484100</v>
      </c>
      <c r="X34" s="15">
        <f t="shared" si="1"/>
        <v>57441</v>
      </c>
      <c r="Y34" s="15">
        <f t="shared" si="2"/>
        <v>379500</v>
      </c>
      <c r="Z34" s="15">
        <v>0</v>
      </c>
      <c r="AA34" s="17">
        <f t="shared" si="3"/>
        <v>47159</v>
      </c>
    </row>
    <row r="35" spans="1:27" x14ac:dyDescent="0.35">
      <c r="A35" s="80" t="s">
        <v>44</v>
      </c>
      <c r="B35" s="14">
        <f>[9]Vendedor7!$J$4</f>
        <v>336350</v>
      </c>
      <c r="C35" s="81">
        <f>[9]Vendedor7!$K$4</f>
        <v>40362</v>
      </c>
      <c r="D35" s="82">
        <f>[9]Vendedor7!$L$4</f>
        <v>225250</v>
      </c>
      <c r="E35" s="14">
        <f>[9]Vendedor7!$J$5</f>
        <v>146300</v>
      </c>
      <c r="F35" s="81">
        <f>[9]Vendedor7!$K$5</f>
        <v>17556</v>
      </c>
      <c r="G35" s="85">
        <f>[9]Vendedor7!$L$5</f>
        <v>204000</v>
      </c>
      <c r="H35" s="19">
        <f>[9]Vendedor7!$J$6</f>
        <v>43400</v>
      </c>
      <c r="I35" s="15">
        <f>[9]Vendedor7!$K$6</f>
        <v>4340</v>
      </c>
      <c r="J35" s="17">
        <f>[9]Vendedor7!$L$6</f>
        <v>0</v>
      </c>
      <c r="K35" s="18">
        <f>[9]Vendedor7!$J$7</f>
        <v>34650</v>
      </c>
      <c r="L35" s="15">
        <f>[9]Vendedor7!$K$7</f>
        <v>4158</v>
      </c>
      <c r="M35" s="16">
        <f>[9]Vendedor7!$L$7</f>
        <v>17000</v>
      </c>
      <c r="N35" s="19">
        <f>[9]Vendedor7!$J$8</f>
        <v>22200</v>
      </c>
      <c r="O35" s="15">
        <f>[9]Vendedor7!$K$8</f>
        <v>2664</v>
      </c>
      <c r="P35" s="17">
        <f>[9]Vendedor7!$L$8</f>
        <v>29750</v>
      </c>
      <c r="Q35" s="18">
        <f>[9]Vendedor7!$J$9</f>
        <v>95000</v>
      </c>
      <c r="R35" s="15">
        <f>[9]Vendedor7!$K$9</f>
        <v>11400</v>
      </c>
      <c r="S35" s="16">
        <f>[9]Vendedor7!$L$9</f>
        <v>0</v>
      </c>
      <c r="T35" s="19">
        <f>[9]Vendedor7!$J$10</f>
        <v>0</v>
      </c>
      <c r="U35" s="15">
        <f>[9]Vendedor7!$K$10</f>
        <v>0</v>
      </c>
      <c r="V35" s="17">
        <f>[9]Vendedor7!$L$10</f>
        <v>0</v>
      </c>
      <c r="W35" s="18">
        <f t="shared" si="4"/>
        <v>677900</v>
      </c>
      <c r="X35" s="15">
        <f t="shared" si="1"/>
        <v>80480</v>
      </c>
      <c r="Y35" s="15">
        <f t="shared" si="2"/>
        <v>476000</v>
      </c>
      <c r="Z35" s="15">
        <v>0</v>
      </c>
      <c r="AA35" s="17">
        <f t="shared" si="3"/>
        <v>121420</v>
      </c>
    </row>
    <row r="36" spans="1:27" ht="15" thickBot="1" x14ac:dyDescent="0.4">
      <c r="A36" s="79" t="s">
        <v>45</v>
      </c>
      <c r="B36" s="21">
        <f>[10]Vendedor7!$J$4</f>
        <v>380572</v>
      </c>
      <c r="C36" s="83">
        <f>[10]Vendedor7!$K$4</f>
        <v>45668.639999999999</v>
      </c>
      <c r="D36" s="84">
        <f>[10]Vendedor7!$L$4</f>
        <v>463250</v>
      </c>
      <c r="E36" s="21">
        <f>[10]Vendedor7!$J$5</f>
        <v>199650</v>
      </c>
      <c r="F36" s="83">
        <f>[10]Vendedor7!$K$5</f>
        <v>23958</v>
      </c>
      <c r="G36" s="86">
        <f>[10]Vendedor7!$L$5</f>
        <v>208250</v>
      </c>
      <c r="H36" s="26">
        <f>[10]Vendedor7!$J$6</f>
        <v>36150</v>
      </c>
      <c r="I36" s="22">
        <f>[10]Vendedor7!$K$6</f>
        <v>3615</v>
      </c>
      <c r="J36" s="24">
        <f>[10]Vendedor7!$L$6</f>
        <v>200000</v>
      </c>
      <c r="K36" s="25">
        <f>[10]Vendedor7!$J$7</f>
        <v>87800</v>
      </c>
      <c r="L36" s="22">
        <f>[10]Vendedor7!$K$7</f>
        <v>10536</v>
      </c>
      <c r="M36" s="23">
        <f>[10]Vendedor7!$L$7</f>
        <v>0</v>
      </c>
      <c r="N36" s="26">
        <f>[10]Vendedor7!$J$8</f>
        <v>18300</v>
      </c>
      <c r="O36" s="22">
        <f>[10]Vendedor7!$K$8</f>
        <v>2196</v>
      </c>
      <c r="P36" s="24">
        <f>[10]Vendedor7!$L$8</f>
        <v>0</v>
      </c>
      <c r="Q36" s="25">
        <f>[10]Vendedor7!$J$9</f>
        <v>59200</v>
      </c>
      <c r="R36" s="22">
        <f>[10]Vendedor7!$K$9</f>
        <v>7104</v>
      </c>
      <c r="S36" s="23">
        <f>[10]Vendedor7!$L$9</f>
        <v>425000</v>
      </c>
      <c r="T36" s="26">
        <f>[10]Vendedor7!$J$10</f>
        <v>0</v>
      </c>
      <c r="U36" s="22">
        <f>[10]Vendedor7!$K$10</f>
        <v>0</v>
      </c>
      <c r="V36" s="24">
        <f>[10]Vendedor7!$L$10</f>
        <v>0</v>
      </c>
      <c r="W36" s="25">
        <f t="shared" si="4"/>
        <v>781672</v>
      </c>
      <c r="X36" s="22">
        <f t="shared" si="1"/>
        <v>93077.64</v>
      </c>
      <c r="Y36" s="22">
        <f t="shared" si="2"/>
        <v>1296500</v>
      </c>
      <c r="Z36" s="22">
        <v>0</v>
      </c>
      <c r="AA36" s="24">
        <f t="shared" si="3"/>
        <v>-607905.64</v>
      </c>
    </row>
    <row r="37" spans="1:27" ht="16" thickBot="1" x14ac:dyDescent="0.4">
      <c r="A37" s="5" t="s">
        <v>46</v>
      </c>
      <c r="B37" s="77">
        <f t="shared" ref="B37:Y37" si="5">SUM(B6:B36)</f>
        <v>10594772</v>
      </c>
      <c r="C37" s="32">
        <f t="shared" si="5"/>
        <v>1271372.6399999999</v>
      </c>
      <c r="D37" s="78">
        <f t="shared" si="5"/>
        <v>9396750</v>
      </c>
      <c r="E37" s="60">
        <f t="shared" si="5"/>
        <v>5810450</v>
      </c>
      <c r="F37" s="32">
        <f t="shared" si="5"/>
        <v>697254</v>
      </c>
      <c r="G37" s="73">
        <f t="shared" si="5"/>
        <v>5397500</v>
      </c>
      <c r="H37" s="77">
        <f t="shared" si="5"/>
        <v>1236650</v>
      </c>
      <c r="I37" s="32">
        <f t="shared" si="5"/>
        <v>123665</v>
      </c>
      <c r="J37" s="78">
        <f t="shared" si="5"/>
        <v>660000</v>
      </c>
      <c r="K37" s="60">
        <f t="shared" ref="K37:M37" si="6">SUM(K6:K36)</f>
        <v>1319550</v>
      </c>
      <c r="L37" s="32">
        <f t="shared" si="6"/>
        <v>158346</v>
      </c>
      <c r="M37" s="78">
        <f t="shared" si="6"/>
        <v>1215500</v>
      </c>
      <c r="N37" s="60">
        <f t="shared" ref="N37:V37" si="7">SUM(N6:N36)</f>
        <v>1358000</v>
      </c>
      <c r="O37" s="32">
        <f t="shared" si="7"/>
        <v>162960</v>
      </c>
      <c r="P37" s="73">
        <f t="shared" si="7"/>
        <v>1020000</v>
      </c>
      <c r="Q37" s="77">
        <f t="shared" si="7"/>
        <v>2462100</v>
      </c>
      <c r="R37" s="32">
        <f t="shared" si="7"/>
        <v>295452</v>
      </c>
      <c r="S37" s="78">
        <f t="shared" si="7"/>
        <v>2273750</v>
      </c>
      <c r="T37" s="60">
        <f t="shared" si="7"/>
        <v>300</v>
      </c>
      <c r="U37" s="32">
        <f t="shared" si="7"/>
        <v>36</v>
      </c>
      <c r="V37" s="73">
        <f t="shared" si="7"/>
        <v>0</v>
      </c>
      <c r="W37" s="77">
        <f t="shared" si="5"/>
        <v>22781822</v>
      </c>
      <c r="X37" s="32">
        <f t="shared" si="5"/>
        <v>2709085.64</v>
      </c>
      <c r="Y37" s="32">
        <f t="shared" si="5"/>
        <v>19963500</v>
      </c>
      <c r="Z37" s="32">
        <f>SUM(Z5:Z36)</f>
        <v>0</v>
      </c>
      <c r="AA37" s="33">
        <f>SUM(AA5:AA36)</f>
        <v>109236.35999999999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138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87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[11]Vendedor8!$J$4</f>
        <v>3000</v>
      </c>
      <c r="C6" s="81">
        <f>[11]Vendedor8!$K$4</f>
        <v>360</v>
      </c>
      <c r="D6" s="82">
        <f>[11]Vendedor8!$L$4</f>
        <v>0</v>
      </c>
      <c r="E6" s="14">
        <f>[11]Vendedor8!$J$5</f>
        <v>0</v>
      </c>
      <c r="F6" s="81">
        <f>[11]Vendedor8!$K$5</f>
        <v>0</v>
      </c>
      <c r="G6" s="85">
        <f>[11]Vendedor8!$L$5</f>
        <v>0</v>
      </c>
      <c r="H6" s="19">
        <f>[11]Vendedor8!$J$7</f>
        <v>0</v>
      </c>
      <c r="I6" s="15">
        <f>[11]Vendedor8!$K$7</f>
        <v>0</v>
      </c>
      <c r="J6" s="17">
        <f>[11]Vendedor8!$L$7</f>
        <v>0</v>
      </c>
      <c r="K6" s="59">
        <f t="shared" ref="K6:K36" si="1">+B6+E6+H6</f>
        <v>3000</v>
      </c>
      <c r="L6" s="58">
        <f>MROUND(C6+F6+I6,50)</f>
        <v>350</v>
      </c>
      <c r="M6" s="58">
        <f t="shared" ref="M6:M36" si="2">+D6+G6+J6</f>
        <v>0</v>
      </c>
      <c r="N6" s="58">
        <v>0</v>
      </c>
      <c r="O6" s="55">
        <f t="shared" ref="O6:O36" si="3">+K6-L6-M6+N6</f>
        <v>2650</v>
      </c>
    </row>
    <row r="7" spans="1:15" x14ac:dyDescent="0.35">
      <c r="A7" s="13" t="s">
        <v>50</v>
      </c>
      <c r="B7" s="14">
        <f>[12]Vendedor8!$J$4</f>
        <v>5000</v>
      </c>
      <c r="C7" s="81">
        <f>[12]Vendedor8!$K$4</f>
        <v>600</v>
      </c>
      <c r="D7" s="82">
        <f>[12]Vendedor8!$L$4</f>
        <v>0</v>
      </c>
      <c r="E7" s="14">
        <f>[12]Vendedor8!$J$5</f>
        <v>0</v>
      </c>
      <c r="F7" s="81">
        <f>[12]Vendedor8!$K$5</f>
        <v>0</v>
      </c>
      <c r="G7" s="85">
        <f>[12]Vendedor8!$L$5</f>
        <v>0</v>
      </c>
      <c r="H7" s="19">
        <f>[12]Vendedor8!$J$7</f>
        <v>0</v>
      </c>
      <c r="I7" s="15">
        <f>[12]Vendedor8!$K$7</f>
        <v>0</v>
      </c>
      <c r="J7" s="17">
        <f>[12]Vendedor8!$L$7</f>
        <v>0</v>
      </c>
      <c r="K7" s="19">
        <f>+B7+E7+H7</f>
        <v>5000</v>
      </c>
      <c r="L7" s="15">
        <f>MROUND(C7+F7+I7,50)</f>
        <v>600</v>
      </c>
      <c r="M7" s="15">
        <f>+D7+G7+J7</f>
        <v>0</v>
      </c>
      <c r="N7" s="15">
        <v>0</v>
      </c>
      <c r="O7" s="17">
        <f t="shared" si="3"/>
        <v>4400</v>
      </c>
    </row>
    <row r="8" spans="1:15" x14ac:dyDescent="0.35">
      <c r="A8" s="20" t="s">
        <v>51</v>
      </c>
      <c r="B8" s="14">
        <f>[13]Vendedor8!$J$4</f>
        <v>13000</v>
      </c>
      <c r="C8" s="81">
        <f>[13]Vendedor8!$K$4</f>
        <v>1560</v>
      </c>
      <c r="D8" s="82">
        <f>[13]Vendedor8!$L$4</f>
        <v>0</v>
      </c>
      <c r="E8" s="14">
        <f>[13]Vendedor8!$J$5</f>
        <v>0</v>
      </c>
      <c r="F8" s="81">
        <f>[13]Vendedor8!$K$5</f>
        <v>0</v>
      </c>
      <c r="G8" s="85">
        <f>[13]Vendedor8!$L$5</f>
        <v>0</v>
      </c>
      <c r="H8" s="19">
        <f>[13]Vendedor8!$J$7</f>
        <v>0</v>
      </c>
      <c r="I8" s="15">
        <f>[13]Vendedor8!$K$7</f>
        <v>0</v>
      </c>
      <c r="J8" s="17">
        <f>[13]Vendedor8!$L$7</f>
        <v>0</v>
      </c>
      <c r="K8" s="19">
        <f t="shared" si="1"/>
        <v>13000</v>
      </c>
      <c r="L8" s="15">
        <f t="shared" ref="L8:L36" si="4">MROUND(C8+F8+I8,50)</f>
        <v>1550</v>
      </c>
      <c r="M8" s="15">
        <f t="shared" si="2"/>
        <v>0</v>
      </c>
      <c r="N8" s="15">
        <v>0</v>
      </c>
      <c r="O8" s="17">
        <f t="shared" si="3"/>
        <v>11450</v>
      </c>
    </row>
    <row r="9" spans="1:15" x14ac:dyDescent="0.35">
      <c r="A9" s="13" t="s">
        <v>52</v>
      </c>
      <c r="B9" s="14">
        <f>[14]Vendedor8!$J$4</f>
        <v>6000</v>
      </c>
      <c r="C9" s="81">
        <f>[14]Vendedor8!$K$4</f>
        <v>720</v>
      </c>
      <c r="D9" s="82">
        <f>[14]Vendedor8!$L$4</f>
        <v>0</v>
      </c>
      <c r="E9" s="14">
        <f>[14]Vendedor8!$J$5</f>
        <v>0</v>
      </c>
      <c r="F9" s="81">
        <f>[14]Vendedor8!$K$5</f>
        <v>0</v>
      </c>
      <c r="G9" s="85">
        <f>[14]Vendedor8!$L$5</f>
        <v>0</v>
      </c>
      <c r="H9" s="19">
        <f>[14]Vendedor8!$J$7</f>
        <v>0</v>
      </c>
      <c r="I9" s="15">
        <f>[14]Vendedor8!$K$7</f>
        <v>0</v>
      </c>
      <c r="J9" s="17">
        <f>[14]Vendedor8!$L$7</f>
        <v>0</v>
      </c>
      <c r="K9" s="19">
        <f t="shared" si="1"/>
        <v>6000</v>
      </c>
      <c r="L9" s="15">
        <f t="shared" si="4"/>
        <v>700</v>
      </c>
      <c r="M9" s="15">
        <f t="shared" si="2"/>
        <v>0</v>
      </c>
      <c r="N9" s="15">
        <v>0</v>
      </c>
      <c r="O9" s="17">
        <f t="shared" si="3"/>
        <v>5300</v>
      </c>
    </row>
    <row r="10" spans="1:15" x14ac:dyDescent="0.35">
      <c r="A10" s="20" t="s">
        <v>53</v>
      </c>
      <c r="B10" s="14">
        <f>[15]Vendedor8!$J$4</f>
        <v>26000</v>
      </c>
      <c r="C10" s="81">
        <f>[15]Vendedor8!$K$4</f>
        <v>3120</v>
      </c>
      <c r="D10" s="82">
        <f>[15]Vendedor8!$L$4</f>
        <v>0</v>
      </c>
      <c r="E10" s="14">
        <f>[15]Vendedor8!$J$5</f>
        <v>0</v>
      </c>
      <c r="F10" s="81">
        <f>[15]Vendedor8!$K$5</f>
        <v>0</v>
      </c>
      <c r="G10" s="85">
        <f>[15]Vendedor8!$L$5</f>
        <v>0</v>
      </c>
      <c r="H10" s="19">
        <f>[15]Vendedor8!$J$7</f>
        <v>0</v>
      </c>
      <c r="I10" s="15">
        <f>[15]Vendedor8!$K$7</f>
        <v>0</v>
      </c>
      <c r="J10" s="17">
        <f>[15]Vendedor8!$L$7</f>
        <v>0</v>
      </c>
      <c r="K10" s="19">
        <f t="shared" si="1"/>
        <v>26000</v>
      </c>
      <c r="L10" s="15">
        <f t="shared" si="4"/>
        <v>3100</v>
      </c>
      <c r="M10" s="15">
        <f t="shared" si="2"/>
        <v>0</v>
      </c>
      <c r="N10" s="15">
        <v>0</v>
      </c>
      <c r="O10" s="17">
        <f t="shared" si="3"/>
        <v>22900</v>
      </c>
    </row>
    <row r="11" spans="1:15" x14ac:dyDescent="0.35">
      <c r="A11" s="13" t="s">
        <v>20</v>
      </c>
      <c r="B11" s="14">
        <f>[16]Vendedor8!$J$4</f>
        <v>3000</v>
      </c>
      <c r="C11" s="81">
        <f>[16]Vendedor8!$K$4</f>
        <v>360</v>
      </c>
      <c r="D11" s="82">
        <f>[16]Vendedor8!$L$4</f>
        <v>0</v>
      </c>
      <c r="E11" s="14">
        <f>[16]Vendedor8!$J$5</f>
        <v>0</v>
      </c>
      <c r="F11" s="81">
        <f>[16]Vendedor8!$K$5</f>
        <v>0</v>
      </c>
      <c r="G11" s="85">
        <f>[16]Vendedor8!$L$5</f>
        <v>0</v>
      </c>
      <c r="H11" s="19">
        <f>[16]Vendedor8!$J$7</f>
        <v>0</v>
      </c>
      <c r="I11" s="15">
        <f>[16]Vendedor8!$K$7</f>
        <v>0</v>
      </c>
      <c r="J11" s="17">
        <f>[16]Vendedor8!$L$7</f>
        <v>0</v>
      </c>
      <c r="K11" s="19">
        <f t="shared" si="1"/>
        <v>3000</v>
      </c>
      <c r="L11" s="15">
        <f t="shared" si="4"/>
        <v>350</v>
      </c>
      <c r="M11" s="15">
        <f t="shared" si="2"/>
        <v>0</v>
      </c>
      <c r="N11" s="15">
        <v>0</v>
      </c>
      <c r="O11" s="17">
        <f t="shared" si="3"/>
        <v>2650</v>
      </c>
    </row>
    <row r="12" spans="1:15" x14ac:dyDescent="0.35">
      <c r="A12" s="20" t="s">
        <v>21</v>
      </c>
      <c r="B12" s="14">
        <f>[17]Vendedor8!$J$4</f>
        <v>22500</v>
      </c>
      <c r="C12" s="81">
        <f>[17]Vendedor8!$K$4</f>
        <v>2700</v>
      </c>
      <c r="D12" s="82">
        <f>[17]Vendedor8!$L$4</f>
        <v>0</v>
      </c>
      <c r="E12" s="14">
        <f>[17]Vendedor8!$J$5</f>
        <v>0</v>
      </c>
      <c r="F12" s="81">
        <f>[17]Vendedor8!$K$5</f>
        <v>0</v>
      </c>
      <c r="G12" s="85">
        <f>[17]Vendedor8!$L$5</f>
        <v>0</v>
      </c>
      <c r="H12" s="19">
        <f>[17]Vendedor8!$J$7</f>
        <v>0</v>
      </c>
      <c r="I12" s="15">
        <f>[17]Vendedor8!$K$7</f>
        <v>0</v>
      </c>
      <c r="J12" s="17">
        <f>[17]Vendedor8!$L$7</f>
        <v>0</v>
      </c>
      <c r="K12" s="19">
        <f t="shared" si="1"/>
        <v>22500</v>
      </c>
      <c r="L12" s="15">
        <f t="shared" si="4"/>
        <v>2700</v>
      </c>
      <c r="M12" s="15">
        <f t="shared" si="2"/>
        <v>0</v>
      </c>
      <c r="N12" s="15">
        <v>0</v>
      </c>
      <c r="O12" s="17">
        <f t="shared" si="3"/>
        <v>19800</v>
      </c>
    </row>
    <row r="13" spans="1:15" x14ac:dyDescent="0.35">
      <c r="A13" s="13" t="s">
        <v>22</v>
      </c>
      <c r="B13" s="14">
        <f>[18]Vendedor8!$J$4</f>
        <v>6500</v>
      </c>
      <c r="C13" s="81">
        <f>[18]Vendedor8!$K$4</f>
        <v>780</v>
      </c>
      <c r="D13" s="82">
        <f>[18]Vendedor8!$L$4</f>
        <v>17000</v>
      </c>
      <c r="E13" s="14">
        <f>[18]Vendedor8!$J$5</f>
        <v>0</v>
      </c>
      <c r="F13" s="81">
        <f>[18]Vendedor8!$K$5</f>
        <v>0</v>
      </c>
      <c r="G13" s="85">
        <f>[18]Vendedor8!$L$5</f>
        <v>0</v>
      </c>
      <c r="H13" s="19">
        <f>[18]Vendedor8!$J$7</f>
        <v>0</v>
      </c>
      <c r="I13" s="15">
        <f>[18]Vendedor8!$K$7</f>
        <v>0</v>
      </c>
      <c r="J13" s="17">
        <f>[18]Vendedor8!$L$7</f>
        <v>0</v>
      </c>
      <c r="K13" s="19">
        <f t="shared" si="1"/>
        <v>6500</v>
      </c>
      <c r="L13" s="15">
        <f t="shared" si="4"/>
        <v>800</v>
      </c>
      <c r="M13" s="15">
        <f t="shared" si="2"/>
        <v>17000</v>
      </c>
      <c r="N13" s="15">
        <v>0</v>
      </c>
      <c r="O13" s="17">
        <f t="shared" si="3"/>
        <v>-11300</v>
      </c>
    </row>
    <row r="14" spans="1:15" x14ac:dyDescent="0.35">
      <c r="A14" s="20" t="s">
        <v>23</v>
      </c>
      <c r="B14" s="14">
        <f>[19]Vendedor8!$J$4</f>
        <v>4200</v>
      </c>
      <c r="C14" s="81">
        <f>[19]Vendedor8!$K$4</f>
        <v>504</v>
      </c>
      <c r="D14" s="82">
        <f>[19]Vendedor8!$L$4</f>
        <v>17000</v>
      </c>
      <c r="E14" s="14">
        <f>[19]Vendedor8!$J$5</f>
        <v>0</v>
      </c>
      <c r="F14" s="81">
        <f>[19]Vendedor8!$K$5</f>
        <v>0</v>
      </c>
      <c r="G14" s="85">
        <f>[19]Vendedor8!$L$5</f>
        <v>0</v>
      </c>
      <c r="H14" s="19">
        <f>[19]Vendedor8!$J$7</f>
        <v>0</v>
      </c>
      <c r="I14" s="15">
        <f>[19]Vendedor8!$K$7</f>
        <v>0</v>
      </c>
      <c r="J14" s="17">
        <f>[19]Vendedor8!$L$7</f>
        <v>0</v>
      </c>
      <c r="K14" s="19">
        <f t="shared" si="1"/>
        <v>4200</v>
      </c>
      <c r="L14" s="15">
        <f t="shared" si="4"/>
        <v>500</v>
      </c>
      <c r="M14" s="15">
        <f t="shared" si="2"/>
        <v>17000</v>
      </c>
      <c r="N14" s="15">
        <v>0</v>
      </c>
      <c r="O14" s="17">
        <f t="shared" si="3"/>
        <v>-13300</v>
      </c>
    </row>
    <row r="15" spans="1:15" x14ac:dyDescent="0.35">
      <c r="A15" s="13" t="s">
        <v>24</v>
      </c>
      <c r="B15" s="14">
        <f>[20]Vendedor8!$J$4</f>
        <v>12000</v>
      </c>
      <c r="C15" s="81">
        <f>[20]Vendedor8!$K$4</f>
        <v>1440</v>
      </c>
      <c r="D15" s="82">
        <f>[20]Vendedor8!$L$4</f>
        <v>0</v>
      </c>
      <c r="E15" s="14">
        <f>[20]Vendedor8!$J$5</f>
        <v>0</v>
      </c>
      <c r="F15" s="81">
        <f>[20]Vendedor8!$K$5</f>
        <v>0</v>
      </c>
      <c r="G15" s="85">
        <f>[20]Vendedor8!$L$5</f>
        <v>0</v>
      </c>
      <c r="H15" s="19">
        <f>[20]Vendedor8!$J$7</f>
        <v>0</v>
      </c>
      <c r="I15" s="15">
        <f>[20]Vendedor8!$K$7</f>
        <v>0</v>
      </c>
      <c r="J15" s="17">
        <f>[20]Vendedor8!$L$7</f>
        <v>0</v>
      </c>
      <c r="K15" s="19">
        <f t="shared" si="1"/>
        <v>12000</v>
      </c>
      <c r="L15" s="15">
        <f t="shared" si="4"/>
        <v>1450</v>
      </c>
      <c r="M15" s="15">
        <f t="shared" si="2"/>
        <v>0</v>
      </c>
      <c r="N15" s="15">
        <v>0</v>
      </c>
      <c r="O15" s="17">
        <f t="shared" si="3"/>
        <v>10550</v>
      </c>
    </row>
    <row r="16" spans="1:15" x14ac:dyDescent="0.35">
      <c r="A16" s="20" t="s">
        <v>25</v>
      </c>
      <c r="B16" s="14">
        <f>[21]Vendedor8!$J$4</f>
        <v>10500</v>
      </c>
      <c r="C16" s="81">
        <f>[21]Vendedor8!$K$4</f>
        <v>1260</v>
      </c>
      <c r="D16" s="82">
        <f>[21]Vendedor8!$L$4</f>
        <v>0</v>
      </c>
      <c r="E16" s="14">
        <f>[21]Vendedor8!$J$5</f>
        <v>0</v>
      </c>
      <c r="F16" s="81">
        <f>[21]Vendedor8!$K$5</f>
        <v>0</v>
      </c>
      <c r="G16" s="85">
        <f>[21]Vendedor8!$L$5</f>
        <v>0</v>
      </c>
      <c r="H16" s="19">
        <f>[21]Vendedor8!$J$7</f>
        <v>0</v>
      </c>
      <c r="I16" s="15">
        <f>[21]Vendedor8!$K$7</f>
        <v>0</v>
      </c>
      <c r="J16" s="17">
        <f>[21]Vendedor8!$L$7</f>
        <v>0</v>
      </c>
      <c r="K16" s="19">
        <f t="shared" si="1"/>
        <v>10500</v>
      </c>
      <c r="L16" s="15">
        <f t="shared" si="4"/>
        <v>1250</v>
      </c>
      <c r="M16" s="15">
        <f t="shared" si="2"/>
        <v>0</v>
      </c>
      <c r="N16" s="15">
        <v>0</v>
      </c>
      <c r="O16" s="17">
        <f t="shared" si="3"/>
        <v>9250</v>
      </c>
    </row>
    <row r="17" spans="1:15" x14ac:dyDescent="0.35">
      <c r="A17" s="13" t="s">
        <v>26</v>
      </c>
      <c r="B17" s="14">
        <f>[22]Vendedor8!$J$4</f>
        <v>21900</v>
      </c>
      <c r="C17" s="81">
        <f>[22]Vendedor8!$K$4</f>
        <v>2628</v>
      </c>
      <c r="D17" s="82">
        <f>[22]Vendedor8!$L$4</f>
        <v>0</v>
      </c>
      <c r="E17" s="14">
        <f>[22]Vendedor8!$J$5</f>
        <v>0</v>
      </c>
      <c r="F17" s="81">
        <f>[22]Vendedor8!$K$5</f>
        <v>0</v>
      </c>
      <c r="G17" s="85">
        <f>[22]Vendedor8!$L$5</f>
        <v>0</v>
      </c>
      <c r="H17" s="19">
        <f>[22]Vendedor8!$J$7</f>
        <v>0</v>
      </c>
      <c r="I17" s="15">
        <f>[22]Vendedor8!$K$7</f>
        <v>0</v>
      </c>
      <c r="J17" s="17">
        <f>[22]Vendedor8!$L$7</f>
        <v>0</v>
      </c>
      <c r="K17" s="19">
        <f t="shared" si="1"/>
        <v>21900</v>
      </c>
      <c r="L17" s="15">
        <f t="shared" si="4"/>
        <v>2650</v>
      </c>
      <c r="M17" s="15">
        <f t="shared" si="2"/>
        <v>0</v>
      </c>
      <c r="N17" s="15">
        <v>0</v>
      </c>
      <c r="O17" s="17">
        <f t="shared" si="3"/>
        <v>19250</v>
      </c>
    </row>
    <row r="18" spans="1:15" x14ac:dyDescent="0.35">
      <c r="A18" s="20" t="s">
        <v>27</v>
      </c>
      <c r="B18" s="14">
        <f>[23]Vendedor8!$J$4</f>
        <v>4000</v>
      </c>
      <c r="C18" s="81">
        <f>[23]Vendedor8!$K$4</f>
        <v>480</v>
      </c>
      <c r="D18" s="82">
        <f>[23]Vendedor8!$L$4</f>
        <v>0</v>
      </c>
      <c r="E18" s="14">
        <f>[23]Vendedor8!$J$5</f>
        <v>0</v>
      </c>
      <c r="F18" s="81">
        <f>[23]Vendedor8!$K$5</f>
        <v>0</v>
      </c>
      <c r="G18" s="85">
        <f>[23]Vendedor8!$L$5</f>
        <v>0</v>
      </c>
      <c r="H18" s="19">
        <f>[23]Vendedor8!$J$7</f>
        <v>0</v>
      </c>
      <c r="I18" s="15">
        <f>[23]Vendedor8!$K$7</f>
        <v>0</v>
      </c>
      <c r="J18" s="17">
        <f>[23]Vendedor8!$L$7</f>
        <v>0</v>
      </c>
      <c r="K18" s="19">
        <f t="shared" si="1"/>
        <v>4000</v>
      </c>
      <c r="L18" s="15">
        <f t="shared" si="4"/>
        <v>500</v>
      </c>
      <c r="M18" s="15">
        <f t="shared" si="2"/>
        <v>0</v>
      </c>
      <c r="N18" s="15">
        <v>0</v>
      </c>
      <c r="O18" s="17">
        <f t="shared" si="3"/>
        <v>3500</v>
      </c>
    </row>
    <row r="19" spans="1:15" x14ac:dyDescent="0.35">
      <c r="A19" s="20" t="s">
        <v>28</v>
      </c>
      <c r="B19" s="14">
        <f>[24]Vendedor8!$J$4</f>
        <v>17000</v>
      </c>
      <c r="C19" s="81">
        <f>[24]Vendedor8!$K$4</f>
        <v>2040</v>
      </c>
      <c r="D19" s="82">
        <f>[24]Vendedor8!$L$4</f>
        <v>0</v>
      </c>
      <c r="E19" s="14">
        <f>[24]Vendedor8!$J$5</f>
        <v>0</v>
      </c>
      <c r="F19" s="81">
        <f>[24]Vendedor8!$K$5</f>
        <v>0</v>
      </c>
      <c r="G19" s="85">
        <f>[24]Vendedor8!$L$5</f>
        <v>0</v>
      </c>
      <c r="H19" s="19">
        <f>[24]Vendedor8!$J$7</f>
        <v>0</v>
      </c>
      <c r="I19" s="15">
        <f>[24]Vendedor8!$K$7</f>
        <v>0</v>
      </c>
      <c r="J19" s="17">
        <f>[24]Vendedor8!$L$7</f>
        <v>0</v>
      </c>
      <c r="K19" s="19">
        <f t="shared" si="1"/>
        <v>17000</v>
      </c>
      <c r="L19" s="15">
        <f t="shared" si="4"/>
        <v>2050</v>
      </c>
      <c r="M19" s="15">
        <f t="shared" si="2"/>
        <v>0</v>
      </c>
      <c r="N19" s="15">
        <v>0</v>
      </c>
      <c r="O19" s="17">
        <f t="shared" si="3"/>
        <v>14950</v>
      </c>
    </row>
    <row r="20" spans="1:15" x14ac:dyDescent="0.35">
      <c r="A20" s="13" t="s">
        <v>29</v>
      </c>
      <c r="B20" s="14">
        <f>[25]Vendedor8!$J$4</f>
        <v>4000</v>
      </c>
      <c r="C20" s="81">
        <f>[25]Vendedor8!$K$4</f>
        <v>480</v>
      </c>
      <c r="D20" s="82">
        <f>[25]Vendedor8!$L$4</f>
        <v>0</v>
      </c>
      <c r="E20" s="14">
        <f>[25]Vendedor8!$J$5</f>
        <v>0</v>
      </c>
      <c r="F20" s="81">
        <f>[25]Vendedor8!$K$5</f>
        <v>0</v>
      </c>
      <c r="G20" s="85">
        <f>[25]Vendedor8!$L$5</f>
        <v>0</v>
      </c>
      <c r="H20" s="19">
        <f>[25]Vendedor8!$J$7</f>
        <v>0</v>
      </c>
      <c r="I20" s="15">
        <f>[25]Vendedor8!$K$7</f>
        <v>0</v>
      </c>
      <c r="J20" s="17">
        <f>[25]Vendedor8!$L$7</f>
        <v>0</v>
      </c>
      <c r="K20" s="19">
        <f t="shared" si="1"/>
        <v>4000</v>
      </c>
      <c r="L20" s="15">
        <f t="shared" si="4"/>
        <v>500</v>
      </c>
      <c r="M20" s="15">
        <f t="shared" si="2"/>
        <v>0</v>
      </c>
      <c r="N20" s="15">
        <v>0</v>
      </c>
      <c r="O20" s="17">
        <f t="shared" si="3"/>
        <v>3500</v>
      </c>
    </row>
    <row r="21" spans="1:15" x14ac:dyDescent="0.35">
      <c r="A21" s="20" t="s">
        <v>30</v>
      </c>
      <c r="B21" s="14">
        <f>[26]Vendedor8!$J$4</f>
        <v>7000</v>
      </c>
      <c r="C21" s="81">
        <f>[26]Vendedor8!$K$4</f>
        <v>840</v>
      </c>
      <c r="D21" s="82">
        <f>[26]Vendedor8!$L$4</f>
        <v>0</v>
      </c>
      <c r="E21" s="14">
        <f>[26]Vendedor8!$J$5</f>
        <v>0</v>
      </c>
      <c r="F21" s="81">
        <f>[26]Vendedor8!$K$5</f>
        <v>0</v>
      </c>
      <c r="G21" s="85">
        <f>[26]Vendedor8!$L$5</f>
        <v>0</v>
      </c>
      <c r="H21" s="19">
        <f>[26]Vendedor8!$J$7</f>
        <v>0</v>
      </c>
      <c r="I21" s="15">
        <f>[26]Vendedor8!$K$7</f>
        <v>0</v>
      </c>
      <c r="J21" s="17">
        <f>[26]Vendedor8!$L$7</f>
        <v>0</v>
      </c>
      <c r="K21" s="19">
        <f t="shared" si="1"/>
        <v>7000</v>
      </c>
      <c r="L21" s="15">
        <f t="shared" si="4"/>
        <v>850</v>
      </c>
      <c r="M21" s="15">
        <f t="shared" si="2"/>
        <v>0</v>
      </c>
      <c r="N21" s="15">
        <v>0</v>
      </c>
      <c r="O21" s="17">
        <f t="shared" si="3"/>
        <v>6150</v>
      </c>
    </row>
    <row r="22" spans="1:15" x14ac:dyDescent="0.35">
      <c r="A22" s="13" t="s">
        <v>31</v>
      </c>
      <c r="B22" s="14">
        <f>[27]Vendedor8!$J$4</f>
        <v>18300</v>
      </c>
      <c r="C22" s="81">
        <f>[27]Vendedor8!$K$4</f>
        <v>2196</v>
      </c>
      <c r="D22" s="82">
        <f>[27]Vendedor8!$L$4</f>
        <v>0</v>
      </c>
      <c r="E22" s="14">
        <f>[27]Vendedor8!$J$5</f>
        <v>0</v>
      </c>
      <c r="F22" s="81">
        <f>[27]Vendedor8!$K$5</f>
        <v>0</v>
      </c>
      <c r="G22" s="85">
        <f>[27]Vendedor8!$L$5</f>
        <v>0</v>
      </c>
      <c r="H22" s="19">
        <f>[27]Vendedor8!$J$7</f>
        <v>0</v>
      </c>
      <c r="I22" s="15">
        <f>[27]Vendedor8!$K$7</f>
        <v>0</v>
      </c>
      <c r="J22" s="17">
        <f>[27]Vendedor8!$L$7</f>
        <v>0</v>
      </c>
      <c r="K22" s="19">
        <f t="shared" si="1"/>
        <v>18300</v>
      </c>
      <c r="L22" s="15">
        <f t="shared" si="4"/>
        <v>2200</v>
      </c>
      <c r="M22" s="15">
        <f t="shared" si="2"/>
        <v>0</v>
      </c>
      <c r="N22" s="15">
        <v>0</v>
      </c>
      <c r="O22" s="17">
        <f t="shared" si="3"/>
        <v>16100</v>
      </c>
    </row>
    <row r="23" spans="1:15" x14ac:dyDescent="0.35">
      <c r="A23" s="20" t="s">
        <v>32</v>
      </c>
      <c r="B23" s="14">
        <f>[28]Vendedor8!$J$4</f>
        <v>4000</v>
      </c>
      <c r="C23" s="81">
        <f>[28]Vendedor8!$K$4</f>
        <v>480</v>
      </c>
      <c r="D23" s="82">
        <f>[28]Vendedor8!$L$4</f>
        <v>0</v>
      </c>
      <c r="E23" s="14">
        <f>[28]Vendedor8!$J$5</f>
        <v>0</v>
      </c>
      <c r="F23" s="81">
        <f>[28]Vendedor8!$K$5</f>
        <v>0</v>
      </c>
      <c r="G23" s="85">
        <f>[28]Vendedor8!$L$5</f>
        <v>0</v>
      </c>
      <c r="H23" s="19">
        <f>[28]Vendedor8!$J$7</f>
        <v>0</v>
      </c>
      <c r="I23" s="15">
        <f>[28]Vendedor8!$K$7</f>
        <v>0</v>
      </c>
      <c r="J23" s="17">
        <f>[28]Vendedor8!$L$7</f>
        <v>0</v>
      </c>
      <c r="K23" s="19">
        <f t="shared" si="1"/>
        <v>4000</v>
      </c>
      <c r="L23" s="15">
        <f t="shared" si="4"/>
        <v>500</v>
      </c>
      <c r="M23" s="15">
        <f t="shared" si="2"/>
        <v>0</v>
      </c>
      <c r="N23" s="15">
        <v>0</v>
      </c>
      <c r="O23" s="17">
        <f t="shared" si="3"/>
        <v>3500</v>
      </c>
    </row>
    <row r="24" spans="1:15" x14ac:dyDescent="0.35">
      <c r="A24" s="13" t="s">
        <v>33</v>
      </c>
      <c r="B24" s="14">
        <f>[29]Vendedor8!$J$4</f>
        <v>20000</v>
      </c>
      <c r="C24" s="81">
        <f>[29]Vendedor8!$K$4</f>
        <v>2400</v>
      </c>
      <c r="D24" s="82">
        <f>[29]Vendedor8!$L$4</f>
        <v>0</v>
      </c>
      <c r="E24" s="14">
        <f>[29]Vendedor8!$J$5</f>
        <v>0</v>
      </c>
      <c r="F24" s="81">
        <f>[29]Vendedor8!$K$5</f>
        <v>0</v>
      </c>
      <c r="G24" s="85">
        <f>[29]Vendedor8!$L$5</f>
        <v>0</v>
      </c>
      <c r="H24" s="19">
        <f>[29]Vendedor8!$J$7</f>
        <v>0</v>
      </c>
      <c r="I24" s="15">
        <f>[29]Vendedor8!$K$7</f>
        <v>0</v>
      </c>
      <c r="J24" s="17">
        <f>[29]Vendedor8!$L$7</f>
        <v>0</v>
      </c>
      <c r="K24" s="19">
        <f t="shared" si="1"/>
        <v>20000</v>
      </c>
      <c r="L24" s="15">
        <f t="shared" si="4"/>
        <v>2400</v>
      </c>
      <c r="M24" s="15">
        <f t="shared" si="2"/>
        <v>0</v>
      </c>
      <c r="N24" s="15">
        <v>0</v>
      </c>
      <c r="O24" s="17">
        <f t="shared" si="3"/>
        <v>17600</v>
      </c>
    </row>
    <row r="25" spans="1:15" x14ac:dyDescent="0.35">
      <c r="A25" s="20" t="s">
        <v>34</v>
      </c>
      <c r="B25" s="14">
        <f>[30]Vendedor8!$J$4</f>
        <v>12000</v>
      </c>
      <c r="C25" s="81">
        <f>[30]Vendedor8!$K$4</f>
        <v>1440</v>
      </c>
      <c r="D25" s="82">
        <f>[30]Vendedor8!$L$4</f>
        <v>0</v>
      </c>
      <c r="E25" s="14">
        <f>[30]Vendedor8!$J$5</f>
        <v>0</v>
      </c>
      <c r="F25" s="81">
        <f>[30]Vendedor8!$K$5</f>
        <v>0</v>
      </c>
      <c r="G25" s="85">
        <f>[30]Vendedor8!$L$5</f>
        <v>0</v>
      </c>
      <c r="H25" s="19">
        <f>[30]Vendedor8!$J$7</f>
        <v>0</v>
      </c>
      <c r="I25" s="15">
        <f>[30]Vendedor8!$K$7</f>
        <v>0</v>
      </c>
      <c r="J25" s="17">
        <f>[30]Vendedor8!$L$7</f>
        <v>0</v>
      </c>
      <c r="K25" s="19">
        <f t="shared" si="1"/>
        <v>12000</v>
      </c>
      <c r="L25" s="15">
        <f t="shared" si="4"/>
        <v>1450</v>
      </c>
      <c r="M25" s="15">
        <f t="shared" si="2"/>
        <v>0</v>
      </c>
      <c r="N25" s="15">
        <v>0</v>
      </c>
      <c r="O25" s="17">
        <f t="shared" si="3"/>
        <v>10550</v>
      </c>
    </row>
    <row r="26" spans="1:15" x14ac:dyDescent="0.35">
      <c r="A26" s="13" t="s">
        <v>35</v>
      </c>
      <c r="B26" s="14">
        <f>[31]Vendedor8!$J$4</f>
        <v>17300</v>
      </c>
      <c r="C26" s="81">
        <f>[31]Vendedor8!$K$4</f>
        <v>2076</v>
      </c>
      <c r="D26" s="82">
        <f>[31]Vendedor8!$L$4</f>
        <v>0</v>
      </c>
      <c r="E26" s="14">
        <f>[31]Vendedor8!$J$5</f>
        <v>0</v>
      </c>
      <c r="F26" s="81">
        <f>[31]Vendedor8!$K$5</f>
        <v>0</v>
      </c>
      <c r="G26" s="85">
        <f>[31]Vendedor8!$L$5</f>
        <v>0</v>
      </c>
      <c r="H26" s="19">
        <f>[31]Vendedor8!$J$7</f>
        <v>0</v>
      </c>
      <c r="I26" s="15">
        <f>[31]Vendedor8!$K$7</f>
        <v>0</v>
      </c>
      <c r="J26" s="17">
        <f>[31]Vendedor8!$L$7</f>
        <v>0</v>
      </c>
      <c r="K26" s="19">
        <f t="shared" si="1"/>
        <v>17300</v>
      </c>
      <c r="L26" s="15">
        <f t="shared" si="4"/>
        <v>2100</v>
      </c>
      <c r="M26" s="15">
        <f t="shared" si="2"/>
        <v>0</v>
      </c>
      <c r="N26" s="15">
        <v>0</v>
      </c>
      <c r="O26" s="17">
        <f t="shared" si="3"/>
        <v>15200</v>
      </c>
    </row>
    <row r="27" spans="1:15" x14ac:dyDescent="0.35">
      <c r="A27" s="20" t="s">
        <v>36</v>
      </c>
      <c r="B27" s="14">
        <f>[1]Vendedor8!$J$4</f>
        <v>0</v>
      </c>
      <c r="C27" s="81">
        <f>[1]Vendedor8!$K$4</f>
        <v>0</v>
      </c>
      <c r="D27" s="82">
        <f>[1]Vendedor8!$L$4</f>
        <v>0</v>
      </c>
      <c r="E27" s="14">
        <f>[1]Vendedor8!$J$5</f>
        <v>0</v>
      </c>
      <c r="F27" s="81">
        <f>[1]Vendedor8!$K$5</f>
        <v>0</v>
      </c>
      <c r="G27" s="85">
        <f>[1]Vendedor8!$L$5</f>
        <v>0</v>
      </c>
      <c r="H27" s="19">
        <f>[1]Vendedor8!$J$7</f>
        <v>0</v>
      </c>
      <c r="I27" s="15">
        <f>[1]Vendedor8!$K$7</f>
        <v>0</v>
      </c>
      <c r="J27" s="17">
        <f>[1]Vendedor8!$L$7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[2]Vendedor8!$J$4</f>
        <v>2000</v>
      </c>
      <c r="C28" s="81">
        <f>[2]Vendedor8!$K$4</f>
        <v>240</v>
      </c>
      <c r="D28" s="82">
        <f>[2]Vendedor8!$L$4</f>
        <v>0</v>
      </c>
      <c r="E28" s="14">
        <f>[2]Vendedor8!$J$5</f>
        <v>0</v>
      </c>
      <c r="F28" s="81">
        <f>[2]Vendedor8!$K$5</f>
        <v>0</v>
      </c>
      <c r="G28" s="85">
        <f>[2]Vendedor8!$L$5</f>
        <v>0</v>
      </c>
      <c r="H28" s="19">
        <f>[2]Vendedor8!$J$7</f>
        <v>0</v>
      </c>
      <c r="I28" s="15">
        <f>[2]Vendedor8!$K$7</f>
        <v>0</v>
      </c>
      <c r="J28" s="17">
        <f>[2]Vendedor8!$L$7</f>
        <v>0</v>
      </c>
      <c r="K28" s="19">
        <f t="shared" si="1"/>
        <v>2000</v>
      </c>
      <c r="L28" s="15">
        <f t="shared" si="4"/>
        <v>250</v>
      </c>
      <c r="M28" s="15">
        <f t="shared" si="2"/>
        <v>0</v>
      </c>
      <c r="N28" s="15">
        <v>0</v>
      </c>
      <c r="O28" s="17">
        <f t="shared" si="3"/>
        <v>1750</v>
      </c>
    </row>
    <row r="29" spans="1:15" x14ac:dyDescent="0.35">
      <c r="A29" s="20" t="s">
        <v>38</v>
      </c>
      <c r="B29" s="14">
        <f>[3]Vendedor8!$J$4</f>
        <v>10800</v>
      </c>
      <c r="C29" s="81">
        <f>[3]Vendedor8!$K$4</f>
        <v>1296</v>
      </c>
      <c r="D29" s="82">
        <f>[3]Vendedor8!$L$4</f>
        <v>0</v>
      </c>
      <c r="E29" s="14">
        <f>[3]Vendedor8!$J$5</f>
        <v>0</v>
      </c>
      <c r="F29" s="81">
        <f>[3]Vendedor8!$K$5</f>
        <v>0</v>
      </c>
      <c r="G29" s="85">
        <f>[3]Vendedor8!$L$5</f>
        <v>0</v>
      </c>
      <c r="H29" s="19">
        <f>[3]Vendedor8!$J$7</f>
        <v>0</v>
      </c>
      <c r="I29" s="15">
        <f>[3]Vendedor8!$K$7</f>
        <v>0</v>
      </c>
      <c r="J29" s="17">
        <f>[3]Vendedor8!$L$7</f>
        <v>0</v>
      </c>
      <c r="K29" s="19">
        <f t="shared" si="1"/>
        <v>10800</v>
      </c>
      <c r="L29" s="15">
        <f t="shared" si="4"/>
        <v>1300</v>
      </c>
      <c r="M29" s="15">
        <f t="shared" si="2"/>
        <v>0</v>
      </c>
      <c r="N29" s="15">
        <v>0</v>
      </c>
      <c r="O29" s="17">
        <f t="shared" si="3"/>
        <v>9500</v>
      </c>
    </row>
    <row r="30" spans="1:15" x14ac:dyDescent="0.35">
      <c r="A30" s="13" t="s">
        <v>39</v>
      </c>
      <c r="B30" s="14">
        <f>[4]Vendedor8!$J$4</f>
        <v>0</v>
      </c>
      <c r="C30" s="81">
        <f>[4]Vendedor8!$K$4</f>
        <v>0</v>
      </c>
      <c r="D30" s="82">
        <f>[4]Vendedor8!$L$4</f>
        <v>0</v>
      </c>
      <c r="E30" s="14">
        <f>[4]Vendedor8!$J$5</f>
        <v>0</v>
      </c>
      <c r="F30" s="81">
        <f>[4]Vendedor8!$K$5</f>
        <v>0</v>
      </c>
      <c r="G30" s="85">
        <f>[4]Vendedor8!$L$5</f>
        <v>0</v>
      </c>
      <c r="H30" s="19">
        <f>[4]Vendedor8!$J$7</f>
        <v>0</v>
      </c>
      <c r="I30" s="15">
        <f>[4]Vendedor8!$K$7</f>
        <v>0</v>
      </c>
      <c r="J30" s="17">
        <f>[4]Vendedor8!$L$7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[5]Vendedor8!$J$4</f>
        <v>16000</v>
      </c>
      <c r="C31" s="81">
        <f>[5]Vendedor8!$K$4</f>
        <v>1920</v>
      </c>
      <c r="D31" s="82">
        <f>[5]Vendedor8!$L$4</f>
        <v>0</v>
      </c>
      <c r="E31" s="14">
        <f>[5]Vendedor8!$J$5</f>
        <v>0</v>
      </c>
      <c r="F31" s="81">
        <f>[5]Vendedor8!$K$5</f>
        <v>0</v>
      </c>
      <c r="G31" s="85">
        <f>[5]Vendedor8!$L$5</f>
        <v>0</v>
      </c>
      <c r="H31" s="19">
        <f>[5]Vendedor8!$J$7</f>
        <v>0</v>
      </c>
      <c r="I31" s="15">
        <f>[5]Vendedor8!$K$7</f>
        <v>0</v>
      </c>
      <c r="J31" s="17">
        <f>[5]Vendedor8!$L$7</f>
        <v>0</v>
      </c>
      <c r="K31" s="19">
        <f t="shared" si="1"/>
        <v>16000</v>
      </c>
      <c r="L31" s="15">
        <f t="shared" si="4"/>
        <v>1900</v>
      </c>
      <c r="M31" s="15">
        <f t="shared" si="2"/>
        <v>0</v>
      </c>
      <c r="N31" s="15">
        <v>0</v>
      </c>
      <c r="O31" s="17">
        <f t="shared" si="3"/>
        <v>14100</v>
      </c>
    </row>
    <row r="32" spans="1:15" x14ac:dyDescent="0.35">
      <c r="A32" s="20" t="s">
        <v>41</v>
      </c>
      <c r="B32" s="14">
        <f>[6]Vendedor8!$J$4</f>
        <v>2600</v>
      </c>
      <c r="C32" s="81">
        <f>[6]Vendedor8!$K$4</f>
        <v>312</v>
      </c>
      <c r="D32" s="82">
        <f>[6]Vendedor8!$L$4</f>
        <v>0</v>
      </c>
      <c r="E32" s="14">
        <f>[6]Vendedor8!$J$5</f>
        <v>0</v>
      </c>
      <c r="F32" s="81">
        <f>[6]Vendedor8!$K$5</f>
        <v>0</v>
      </c>
      <c r="G32" s="85">
        <f>[6]Vendedor8!$L$5</f>
        <v>0</v>
      </c>
      <c r="H32" s="19">
        <f>[6]Vendedor8!$J$7</f>
        <v>0</v>
      </c>
      <c r="I32" s="15">
        <f>[6]Vendedor8!$K$7</f>
        <v>0</v>
      </c>
      <c r="J32" s="17">
        <f>[6]Vendedor8!$L$7</f>
        <v>0</v>
      </c>
      <c r="K32" s="19">
        <f t="shared" si="1"/>
        <v>2600</v>
      </c>
      <c r="L32" s="15">
        <f t="shared" si="4"/>
        <v>300</v>
      </c>
      <c r="M32" s="15">
        <f t="shared" si="2"/>
        <v>0</v>
      </c>
      <c r="N32" s="15">
        <v>0</v>
      </c>
      <c r="O32" s="17">
        <f t="shared" si="3"/>
        <v>2300</v>
      </c>
    </row>
    <row r="33" spans="1:15" x14ac:dyDescent="0.35">
      <c r="A33" s="13" t="s">
        <v>42</v>
      </c>
      <c r="B33" s="14">
        <f>[7]Vendedor8!$J$4</f>
        <v>9500</v>
      </c>
      <c r="C33" s="81">
        <f>[7]Vendedor8!$K$4</f>
        <v>1140</v>
      </c>
      <c r="D33" s="82">
        <f>[7]Vendedor8!$L$4</f>
        <v>85000</v>
      </c>
      <c r="E33" s="14">
        <f>[7]Vendedor8!$J$5</f>
        <v>0</v>
      </c>
      <c r="F33" s="81">
        <f>[7]Vendedor8!$K$5</f>
        <v>0</v>
      </c>
      <c r="G33" s="85">
        <f>[7]Vendedor8!$L$5</f>
        <v>0</v>
      </c>
      <c r="H33" s="19">
        <f>[7]Vendedor8!$J$7</f>
        <v>0</v>
      </c>
      <c r="I33" s="15">
        <f>[7]Vendedor8!$K$7</f>
        <v>0</v>
      </c>
      <c r="J33" s="17">
        <f>[7]Vendedor8!$L$7</f>
        <v>0</v>
      </c>
      <c r="K33" s="19">
        <f t="shared" si="1"/>
        <v>9500</v>
      </c>
      <c r="L33" s="15">
        <f t="shared" si="4"/>
        <v>1150</v>
      </c>
      <c r="M33" s="15">
        <f t="shared" si="2"/>
        <v>85000</v>
      </c>
      <c r="N33" s="15">
        <v>0</v>
      </c>
      <c r="O33" s="17">
        <f t="shared" si="3"/>
        <v>-76650</v>
      </c>
    </row>
    <row r="34" spans="1:15" x14ac:dyDescent="0.35">
      <c r="A34" s="20" t="s">
        <v>43</v>
      </c>
      <c r="B34" s="14">
        <f>[8]Vendedor8!$J$4</f>
        <v>2500</v>
      </c>
      <c r="C34" s="81">
        <f>[8]Vendedor8!$K$4</f>
        <v>300</v>
      </c>
      <c r="D34" s="82">
        <f>[8]Vendedor8!$L$4</f>
        <v>0</v>
      </c>
      <c r="E34" s="14">
        <f>[8]Vendedor8!$J$5</f>
        <v>0</v>
      </c>
      <c r="F34" s="81">
        <f>[8]Vendedor8!$K$5</f>
        <v>0</v>
      </c>
      <c r="G34" s="85">
        <f>[8]Vendedor8!$L$5</f>
        <v>0</v>
      </c>
      <c r="H34" s="19">
        <f>[8]Vendedor8!$J$7</f>
        <v>0</v>
      </c>
      <c r="I34" s="15">
        <f>[8]Vendedor8!$K$7</f>
        <v>0</v>
      </c>
      <c r="J34" s="17">
        <f>[8]Vendedor8!$L$7</f>
        <v>0</v>
      </c>
      <c r="K34" s="19">
        <f t="shared" si="1"/>
        <v>2500</v>
      </c>
      <c r="L34" s="15">
        <f t="shared" si="4"/>
        <v>300</v>
      </c>
      <c r="M34" s="15">
        <f t="shared" si="2"/>
        <v>0</v>
      </c>
      <c r="N34" s="15">
        <v>0</v>
      </c>
      <c r="O34" s="17">
        <f t="shared" si="3"/>
        <v>2200</v>
      </c>
    </row>
    <row r="35" spans="1:15" x14ac:dyDescent="0.35">
      <c r="A35" s="13" t="s">
        <v>44</v>
      </c>
      <c r="B35" s="14">
        <f>[9]Vendedor8!$J$4</f>
        <v>6750</v>
      </c>
      <c r="C35" s="81">
        <f>[9]Vendedor8!$K$4</f>
        <v>810</v>
      </c>
      <c r="D35" s="82">
        <f>[9]Vendedor8!$L$4</f>
        <v>0</v>
      </c>
      <c r="E35" s="14">
        <f>[9]Vendedor8!$J$5</f>
        <v>0</v>
      </c>
      <c r="F35" s="81">
        <f>[9]Vendedor8!$K$5</f>
        <v>0</v>
      </c>
      <c r="G35" s="85">
        <f>[9]Vendedor8!$L$5</f>
        <v>0</v>
      </c>
      <c r="H35" s="19">
        <f>[9]Vendedor8!$J$7</f>
        <v>0</v>
      </c>
      <c r="I35" s="15">
        <f>[9]Vendedor8!$K$7</f>
        <v>0</v>
      </c>
      <c r="J35" s="17">
        <f>[9]Vendedor8!$L$7</f>
        <v>0</v>
      </c>
      <c r="K35" s="19">
        <f t="shared" si="1"/>
        <v>6750</v>
      </c>
      <c r="L35" s="15">
        <f t="shared" si="4"/>
        <v>800</v>
      </c>
      <c r="M35" s="15">
        <f t="shared" si="2"/>
        <v>0</v>
      </c>
      <c r="N35" s="15">
        <v>0</v>
      </c>
      <c r="O35" s="17">
        <f t="shared" si="3"/>
        <v>5950</v>
      </c>
    </row>
    <row r="36" spans="1:15" ht="15" thickBot="1" x14ac:dyDescent="0.4">
      <c r="A36" s="20" t="s">
        <v>45</v>
      </c>
      <c r="B36" s="21">
        <f>[10]Vendedor8!$J$4</f>
        <v>20100</v>
      </c>
      <c r="C36" s="83">
        <f>[10]Vendedor8!$K$4</f>
        <v>2412</v>
      </c>
      <c r="D36" s="84">
        <f>[10]Vendedor8!$L$4</f>
        <v>21250</v>
      </c>
      <c r="E36" s="21">
        <f>[10]Vendedor8!$J$5</f>
        <v>0</v>
      </c>
      <c r="F36" s="83">
        <f>[10]Vendedor8!$K$5</f>
        <v>0</v>
      </c>
      <c r="G36" s="86">
        <f>[10]Vendedor8!$L$5</f>
        <v>0</v>
      </c>
      <c r="H36" s="26">
        <f>[10]Vendedor8!$J$7</f>
        <v>0</v>
      </c>
      <c r="I36" s="22">
        <f>[10]Vendedor8!$K$7</f>
        <v>0</v>
      </c>
      <c r="J36" s="24">
        <f>[10]Vendedor8!$L$7</f>
        <v>0</v>
      </c>
      <c r="K36" s="26">
        <f t="shared" si="1"/>
        <v>20100</v>
      </c>
      <c r="L36" s="22">
        <f t="shared" si="4"/>
        <v>2400</v>
      </c>
      <c r="M36" s="22">
        <f t="shared" si="2"/>
        <v>21250</v>
      </c>
      <c r="N36" s="22">
        <v>0</v>
      </c>
      <c r="O36" s="24">
        <f t="shared" si="3"/>
        <v>-3550</v>
      </c>
    </row>
    <row r="37" spans="1:15" ht="16" thickBot="1" x14ac:dyDescent="0.4">
      <c r="A37" s="5" t="s">
        <v>46</v>
      </c>
      <c r="B37" s="27">
        <f t="shared" ref="B37:M37" si="5">SUM(B6:B36)</f>
        <v>307450</v>
      </c>
      <c r="C37" s="28">
        <f t="shared" si="5"/>
        <v>36894</v>
      </c>
      <c r="D37" s="29">
        <f t="shared" si="5"/>
        <v>140250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307450</v>
      </c>
      <c r="L37" s="28">
        <f t="shared" si="5"/>
        <v>36950</v>
      </c>
      <c r="M37" s="28">
        <f t="shared" si="5"/>
        <v>140250</v>
      </c>
      <c r="N37" s="32">
        <f>SUM(N5:N36)</f>
        <v>0</v>
      </c>
      <c r="O37" s="33">
        <f>SUM(O5:O36)</f>
        <v>130250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1"/>
    </row>
    <row r="2" spans="1:21" ht="19" thickBot="1" x14ac:dyDescent="0.5">
      <c r="A2" s="2" t="s">
        <v>1</v>
      </c>
      <c r="B2" s="142" t="s">
        <v>133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[11]Vendedor9!$J$4</f>
        <v>72650</v>
      </c>
      <c r="C6" s="58">
        <f>[11]Vendedor9!$K$4</f>
        <v>8718</v>
      </c>
      <c r="D6" s="54">
        <f>[11]Vendedor9!$L$4</f>
        <v>25500</v>
      </c>
      <c r="E6" s="53">
        <f>[11]Vendedor9!$J$5</f>
        <v>37200</v>
      </c>
      <c r="F6" s="58">
        <f>[11]Vendedor9!$K$5</f>
        <v>4464</v>
      </c>
      <c r="G6" s="55">
        <f>[11]Vendedor9!$L$5</f>
        <v>0</v>
      </c>
      <c r="H6" s="61">
        <f>[11]Vendedor9!$J$6</f>
        <v>6650</v>
      </c>
      <c r="I6" s="58">
        <f>[11]Vendedor9!$K$6</f>
        <v>665</v>
      </c>
      <c r="J6" s="54">
        <f>[11]Vendedor9!$L$6</f>
        <v>0</v>
      </c>
      <c r="K6" s="74">
        <f>[11]Vendedor9!$J$7</f>
        <v>45900</v>
      </c>
      <c r="L6" s="75">
        <f>[11]Vendedor9!$K$7</f>
        <v>5508</v>
      </c>
      <c r="M6" s="90">
        <f>[11]Vendedor9!$L$7</f>
        <v>0</v>
      </c>
      <c r="N6" s="59">
        <f>[11]Vendedor9!$J$8</f>
        <v>0</v>
      </c>
      <c r="O6" s="58">
        <f>[11]Vendedor9!$K$8</f>
        <v>0</v>
      </c>
      <c r="P6" s="55">
        <f>[11]Vendedor9!$L$8</f>
        <v>0</v>
      </c>
      <c r="Q6" s="59">
        <f t="shared" ref="Q6:Q17" si="1">+B6+E6+H6+K6</f>
        <v>162400</v>
      </c>
      <c r="R6" s="58">
        <f t="shared" ref="R6:R36" si="2">+C6+F6+I6+L6</f>
        <v>19355</v>
      </c>
      <c r="S6" s="58">
        <f t="shared" ref="S6:S36" si="3">+D6+G6+J6+M6</f>
        <v>25500</v>
      </c>
      <c r="T6" s="58">
        <v>0</v>
      </c>
      <c r="U6" s="55">
        <f t="shared" ref="U6:U36" si="4">+Q6-R6-S6+T6</f>
        <v>117545</v>
      </c>
    </row>
    <row r="7" spans="1:21" x14ac:dyDescent="0.35">
      <c r="A7" s="13" t="s">
        <v>50</v>
      </c>
      <c r="B7" s="14">
        <f>[12]Vendedor9!$J$4</f>
        <v>38050</v>
      </c>
      <c r="C7" s="15">
        <f>[12]Vendedor9!$K$4</f>
        <v>4566</v>
      </c>
      <c r="D7" s="16">
        <f>[12]Vendedor9!$L$4</f>
        <v>42500</v>
      </c>
      <c r="E7" s="14">
        <f>[12]Vendedor9!$J$5</f>
        <v>29900</v>
      </c>
      <c r="F7" s="15">
        <f>[12]Vendedor9!$K$5</f>
        <v>3588</v>
      </c>
      <c r="G7" s="17">
        <f>[12]Vendedor9!$L$5</f>
        <v>0</v>
      </c>
      <c r="H7" s="18">
        <f>[12]Vendedor9!$J$6</f>
        <v>4200</v>
      </c>
      <c r="I7" s="15">
        <f>[12]Vendedor9!$K$6</f>
        <v>420</v>
      </c>
      <c r="J7" s="16">
        <f>[12]Vendedor9!$L$6</f>
        <v>0</v>
      </c>
      <c r="K7" s="19">
        <f>[12]Vendedor9!$J$7</f>
        <v>27700</v>
      </c>
      <c r="L7" s="15">
        <f>[12]Vendedor9!$K$7</f>
        <v>3324</v>
      </c>
      <c r="M7" s="16">
        <f>[12]Vendedor9!$L$7</f>
        <v>0</v>
      </c>
      <c r="N7" s="19">
        <f>[12]Vendedor9!$J$8</f>
        <v>0</v>
      </c>
      <c r="O7" s="15">
        <f>[12]Vendedor9!$K$8</f>
        <v>0</v>
      </c>
      <c r="P7" s="17">
        <f>[12]Vendedor9!$L$8</f>
        <v>0</v>
      </c>
      <c r="Q7" s="19">
        <f t="shared" si="1"/>
        <v>99850</v>
      </c>
      <c r="R7" s="15">
        <f t="shared" si="2"/>
        <v>11898</v>
      </c>
      <c r="S7" s="15">
        <f t="shared" si="3"/>
        <v>42500</v>
      </c>
      <c r="T7" s="15">
        <v>0</v>
      </c>
      <c r="U7" s="17">
        <f t="shared" si="4"/>
        <v>45452</v>
      </c>
    </row>
    <row r="8" spans="1:21" x14ac:dyDescent="0.35">
      <c r="A8" s="20" t="s">
        <v>51</v>
      </c>
      <c r="B8" s="14">
        <f>[13]Vendedor9!$J$4</f>
        <v>122300</v>
      </c>
      <c r="C8" s="15">
        <f>[13]Vendedor9!$K$4</f>
        <v>14676</v>
      </c>
      <c r="D8" s="16">
        <f>[13]Vendedor9!$L$4</f>
        <v>21250</v>
      </c>
      <c r="E8" s="14">
        <f>[13]Vendedor9!$J$5</f>
        <v>57000</v>
      </c>
      <c r="F8" s="15">
        <f>[13]Vendedor9!$K$5</f>
        <v>6840</v>
      </c>
      <c r="G8" s="17">
        <f>[13]Vendedor9!$L$5</f>
        <v>59500</v>
      </c>
      <c r="H8" s="18">
        <f>[13]Vendedor9!$J$6</f>
        <v>7000</v>
      </c>
      <c r="I8" s="15">
        <f>[13]Vendedor9!$K$6</f>
        <v>700</v>
      </c>
      <c r="J8" s="16">
        <f>[13]Vendedor9!$L$6</f>
        <v>0</v>
      </c>
      <c r="K8" s="19">
        <f>[13]Vendedor9!$J$7</f>
        <v>34850</v>
      </c>
      <c r="L8" s="15">
        <f>[13]Vendedor9!$K$7</f>
        <v>4182</v>
      </c>
      <c r="M8" s="16">
        <f>[13]Vendedor9!$L$7</f>
        <v>42500</v>
      </c>
      <c r="N8" s="19">
        <f>[13]Vendedor9!$J$8</f>
        <v>8250</v>
      </c>
      <c r="O8" s="15">
        <f>[13]Vendedor9!$K$8</f>
        <v>990</v>
      </c>
      <c r="P8" s="17">
        <f>[13]Vendedor9!$L$8</f>
        <v>0</v>
      </c>
      <c r="Q8" s="19">
        <f t="shared" si="1"/>
        <v>221150</v>
      </c>
      <c r="R8" s="15">
        <f t="shared" si="2"/>
        <v>26398</v>
      </c>
      <c r="S8" s="15">
        <f t="shared" si="3"/>
        <v>123250</v>
      </c>
      <c r="T8" s="15">
        <v>0</v>
      </c>
      <c r="U8" s="17">
        <f t="shared" si="4"/>
        <v>71502</v>
      </c>
    </row>
    <row r="9" spans="1:21" x14ac:dyDescent="0.35">
      <c r="A9" s="13" t="s">
        <v>52</v>
      </c>
      <c r="B9" s="14">
        <f>[14]Vendedor9!$J$4</f>
        <v>73800</v>
      </c>
      <c r="C9" s="15">
        <f>[14]Vendedor9!$K$4</f>
        <v>8856</v>
      </c>
      <c r="D9" s="16">
        <f>[14]Vendedor9!$L$4</f>
        <v>46750</v>
      </c>
      <c r="E9" s="14">
        <f>[14]Vendedor9!$J$5</f>
        <v>67050</v>
      </c>
      <c r="F9" s="15">
        <f>[14]Vendedor9!$K$5</f>
        <v>8046</v>
      </c>
      <c r="G9" s="17">
        <f>[14]Vendedor9!$L$5</f>
        <v>80750</v>
      </c>
      <c r="H9" s="18">
        <f>[14]Vendedor9!$J$6</f>
        <v>4350</v>
      </c>
      <c r="I9" s="15">
        <f>[14]Vendedor9!$K$6</f>
        <v>435</v>
      </c>
      <c r="J9" s="16">
        <f>[14]Vendedor9!$L$6</f>
        <v>0</v>
      </c>
      <c r="K9" s="19">
        <f>[14]Vendedor9!$J$7</f>
        <v>30750</v>
      </c>
      <c r="L9" s="15">
        <f>[14]Vendedor9!$K$7</f>
        <v>3690</v>
      </c>
      <c r="M9" s="16">
        <f>[14]Vendedor9!$L$7</f>
        <v>34000</v>
      </c>
      <c r="N9" s="19">
        <f>[14]Vendedor9!$J$8</f>
        <v>5250</v>
      </c>
      <c r="O9" s="15">
        <f>[14]Vendedor9!$K$8</f>
        <v>630</v>
      </c>
      <c r="P9" s="17">
        <f>[14]Vendedor9!$L$8</f>
        <v>0</v>
      </c>
      <c r="Q9" s="19">
        <f t="shared" si="1"/>
        <v>175950</v>
      </c>
      <c r="R9" s="15">
        <f t="shared" si="2"/>
        <v>21027</v>
      </c>
      <c r="S9" s="15">
        <f t="shared" si="3"/>
        <v>161500</v>
      </c>
      <c r="T9" s="15">
        <v>0</v>
      </c>
      <c r="U9" s="17">
        <f t="shared" si="4"/>
        <v>-6577</v>
      </c>
    </row>
    <row r="10" spans="1:21" x14ac:dyDescent="0.35">
      <c r="A10" s="20" t="s">
        <v>53</v>
      </c>
      <c r="B10" s="14">
        <f>[15]Vendedor9!$J$4</f>
        <v>38350</v>
      </c>
      <c r="C10" s="15">
        <f>[15]Vendedor9!$K$4</f>
        <v>4602</v>
      </c>
      <c r="D10" s="16">
        <f>[15]Vendedor9!$L$4</f>
        <v>0</v>
      </c>
      <c r="E10" s="14">
        <f>[15]Vendedor9!$J$5</f>
        <v>17700</v>
      </c>
      <c r="F10" s="15">
        <f>[15]Vendedor9!$K$5</f>
        <v>2124</v>
      </c>
      <c r="G10" s="17">
        <f>[15]Vendedor9!$L$5</f>
        <v>8500</v>
      </c>
      <c r="H10" s="18">
        <f>[15]Vendedor9!$J$6</f>
        <v>3500</v>
      </c>
      <c r="I10" s="15">
        <f>[15]Vendedor9!$K$6</f>
        <v>350</v>
      </c>
      <c r="J10" s="16">
        <f>[15]Vendedor9!$L$6</f>
        <v>0</v>
      </c>
      <c r="K10" s="19">
        <f>[15]Vendedor9!$J$7</f>
        <v>25500</v>
      </c>
      <c r="L10" s="15">
        <f>[15]Vendedor9!$K$7</f>
        <v>3060</v>
      </c>
      <c r="M10" s="16">
        <f>[15]Vendedor9!$L$7</f>
        <v>0</v>
      </c>
      <c r="N10" s="19">
        <f>[15]Vendedor9!$J$8</f>
        <v>800</v>
      </c>
      <c r="O10" s="15">
        <f>[15]Vendedor9!$K$8</f>
        <v>96</v>
      </c>
      <c r="P10" s="17">
        <f>[15]Vendedor9!$L$8</f>
        <v>0</v>
      </c>
      <c r="Q10" s="19">
        <f t="shared" si="1"/>
        <v>85050</v>
      </c>
      <c r="R10" s="15">
        <f t="shared" si="2"/>
        <v>10136</v>
      </c>
      <c r="S10" s="15">
        <f t="shared" si="3"/>
        <v>8500</v>
      </c>
      <c r="T10" s="15">
        <v>0</v>
      </c>
      <c r="U10" s="17">
        <f t="shared" si="4"/>
        <v>66414</v>
      </c>
    </row>
    <row r="11" spans="1:21" x14ac:dyDescent="0.35">
      <c r="A11" s="13" t="s">
        <v>20</v>
      </c>
      <c r="B11" s="14">
        <f>[16]Vendedor9!$J$4</f>
        <v>53300</v>
      </c>
      <c r="C11" s="15">
        <f>[16]Vendedor9!$K$4</f>
        <v>6396</v>
      </c>
      <c r="D11" s="16">
        <f>[16]Vendedor9!$L$4</f>
        <v>0</v>
      </c>
      <c r="E11" s="14">
        <f>[16]Vendedor9!$J$5</f>
        <v>27300</v>
      </c>
      <c r="F11" s="15">
        <f>[16]Vendedor9!$K$5</f>
        <v>3276</v>
      </c>
      <c r="G11" s="17">
        <f>[16]Vendedor9!$L$5</f>
        <v>76500</v>
      </c>
      <c r="H11" s="18">
        <f>[16]Vendedor9!$J$6</f>
        <v>9200</v>
      </c>
      <c r="I11" s="15">
        <f>[16]Vendedor9!$K$6</f>
        <v>920</v>
      </c>
      <c r="J11" s="16">
        <f>[16]Vendedor9!$L$6</f>
        <v>0</v>
      </c>
      <c r="K11" s="19">
        <f>[16]Vendedor9!$J$7</f>
        <v>36050</v>
      </c>
      <c r="L11" s="15">
        <f>[16]Vendedor9!$K$7</f>
        <v>4326</v>
      </c>
      <c r="M11" s="16">
        <f>[16]Vendedor9!$L$7</f>
        <v>0</v>
      </c>
      <c r="N11" s="19">
        <f>[16]Vendedor9!$J$8</f>
        <v>1400</v>
      </c>
      <c r="O11" s="15">
        <f>[16]Vendedor9!$K$8</f>
        <v>168</v>
      </c>
      <c r="P11" s="17">
        <f>[16]Vendedor9!$L$8</f>
        <v>0</v>
      </c>
      <c r="Q11" s="19">
        <f t="shared" si="1"/>
        <v>125850</v>
      </c>
      <c r="R11" s="15">
        <f t="shared" si="2"/>
        <v>14918</v>
      </c>
      <c r="S11" s="15">
        <f t="shared" si="3"/>
        <v>76500</v>
      </c>
      <c r="T11" s="15">
        <v>0</v>
      </c>
      <c r="U11" s="17">
        <f t="shared" si="4"/>
        <v>34432</v>
      </c>
    </row>
    <row r="12" spans="1:21" x14ac:dyDescent="0.35">
      <c r="A12" s="20" t="s">
        <v>21</v>
      </c>
      <c r="B12" s="14">
        <f>[17]Vendedor9!$J$4</f>
        <v>91250</v>
      </c>
      <c r="C12" s="15">
        <f>[17]Vendedor9!$K$4</f>
        <v>10950</v>
      </c>
      <c r="D12" s="16">
        <f>[17]Vendedor9!$L$4</f>
        <v>119000</v>
      </c>
      <c r="E12" s="14">
        <f>[17]Vendedor9!$J$5</f>
        <v>85400</v>
      </c>
      <c r="F12" s="15">
        <f>[17]Vendedor9!$K$5</f>
        <v>10248</v>
      </c>
      <c r="G12" s="17">
        <f>[17]Vendedor9!$L$5</f>
        <v>0</v>
      </c>
      <c r="H12" s="18">
        <f>[17]Vendedor9!$J$6</f>
        <v>2100</v>
      </c>
      <c r="I12" s="15">
        <f>[17]Vendedor9!$K$6</f>
        <v>210</v>
      </c>
      <c r="J12" s="16">
        <f>[17]Vendedor9!$L$6</f>
        <v>0</v>
      </c>
      <c r="K12" s="19">
        <f>[17]Vendedor9!$J$7</f>
        <v>36250</v>
      </c>
      <c r="L12" s="15">
        <f>[17]Vendedor9!$K$7</f>
        <v>4350</v>
      </c>
      <c r="M12" s="16">
        <f>[17]Vendedor9!$L$7</f>
        <v>38250</v>
      </c>
      <c r="N12" s="19">
        <f>[17]Vendedor9!$J$8</f>
        <v>5000</v>
      </c>
      <c r="O12" s="15">
        <f>[17]Vendedor9!$K$8</f>
        <v>600</v>
      </c>
      <c r="P12" s="17">
        <f>[17]Vendedor9!$L$8</f>
        <v>0</v>
      </c>
      <c r="Q12" s="19">
        <f t="shared" si="1"/>
        <v>215000</v>
      </c>
      <c r="R12" s="15">
        <f t="shared" si="2"/>
        <v>25758</v>
      </c>
      <c r="S12" s="15">
        <f t="shared" si="3"/>
        <v>157250</v>
      </c>
      <c r="T12" s="15">
        <v>0</v>
      </c>
      <c r="U12" s="17">
        <f t="shared" si="4"/>
        <v>31992</v>
      </c>
    </row>
    <row r="13" spans="1:21" x14ac:dyDescent="0.35">
      <c r="A13" s="13" t="s">
        <v>22</v>
      </c>
      <c r="B13" s="14">
        <f>[18]Vendedor9!$J$4</f>
        <v>33650</v>
      </c>
      <c r="C13" s="15">
        <f>[18]Vendedor9!$K$4</f>
        <v>4038</v>
      </c>
      <c r="D13" s="16">
        <f>[18]Vendedor9!$L$4</f>
        <v>0</v>
      </c>
      <c r="E13" s="14">
        <f>[18]Vendedor9!$J$5</f>
        <v>29850</v>
      </c>
      <c r="F13" s="15">
        <f>[18]Vendedor9!$K$5</f>
        <v>3582</v>
      </c>
      <c r="G13" s="17">
        <f>[18]Vendedor9!$L$5</f>
        <v>0</v>
      </c>
      <c r="H13" s="18">
        <f>[18]Vendedor9!$J$6</f>
        <v>3600</v>
      </c>
      <c r="I13" s="15">
        <f>[18]Vendedor9!$K$6</f>
        <v>360</v>
      </c>
      <c r="J13" s="16">
        <f>[18]Vendedor9!$L$6</f>
        <v>0</v>
      </c>
      <c r="K13" s="19">
        <f>[18]Vendedor9!$J$7</f>
        <v>20650</v>
      </c>
      <c r="L13" s="15">
        <f>[18]Vendedor9!$K$7</f>
        <v>2478</v>
      </c>
      <c r="M13" s="16">
        <f>[18]Vendedor9!$L$7</f>
        <v>42500</v>
      </c>
      <c r="N13" s="19">
        <f>[18]Vendedor9!$J$8</f>
        <v>1500</v>
      </c>
      <c r="O13" s="15">
        <f>[18]Vendedor9!$K$8</f>
        <v>180</v>
      </c>
      <c r="P13" s="17">
        <f>[18]Vendedor9!$L$8</f>
        <v>21250</v>
      </c>
      <c r="Q13" s="19">
        <f t="shared" si="1"/>
        <v>87750</v>
      </c>
      <c r="R13" s="15">
        <f t="shared" si="2"/>
        <v>10458</v>
      </c>
      <c r="S13" s="15">
        <f t="shared" si="3"/>
        <v>42500</v>
      </c>
      <c r="T13" s="15">
        <v>0</v>
      </c>
      <c r="U13" s="17">
        <f t="shared" si="4"/>
        <v>34792</v>
      </c>
    </row>
    <row r="14" spans="1:21" x14ac:dyDescent="0.35">
      <c r="A14" s="20" t="s">
        <v>23</v>
      </c>
      <c r="B14" s="14">
        <f>[19]Vendedor9!$J$4</f>
        <v>54550</v>
      </c>
      <c r="C14" s="15">
        <f>[19]Vendedor9!$K$4</f>
        <v>6546</v>
      </c>
      <c r="D14" s="16">
        <f>[19]Vendedor9!$L$4</f>
        <v>85000</v>
      </c>
      <c r="E14" s="14">
        <f>[19]Vendedor9!$J$5</f>
        <v>34750</v>
      </c>
      <c r="F14" s="15">
        <f>[19]Vendedor9!$K$5</f>
        <v>4170</v>
      </c>
      <c r="G14" s="17">
        <f>[19]Vendedor9!$L$5</f>
        <v>0</v>
      </c>
      <c r="H14" s="18">
        <f>[19]Vendedor9!$J$6</f>
        <v>2600</v>
      </c>
      <c r="I14" s="15">
        <f>[19]Vendedor9!$K$6</f>
        <v>260</v>
      </c>
      <c r="J14" s="16">
        <f>[19]Vendedor9!$L$6</f>
        <v>0</v>
      </c>
      <c r="K14" s="19">
        <f>[19]Vendedor9!$J$7</f>
        <v>20050</v>
      </c>
      <c r="L14" s="15">
        <f>[19]Vendedor9!$K$7</f>
        <v>2406</v>
      </c>
      <c r="M14" s="16">
        <f>[19]Vendedor9!$L$7</f>
        <v>0</v>
      </c>
      <c r="N14" s="19">
        <f>[19]Vendedor9!$J$8</f>
        <v>0</v>
      </c>
      <c r="O14" s="15">
        <f>[19]Vendedor9!$K$8</f>
        <v>0</v>
      </c>
      <c r="P14" s="17">
        <f>[19]Vendedor9!$L$8</f>
        <v>0</v>
      </c>
      <c r="Q14" s="19">
        <f t="shared" si="1"/>
        <v>111950</v>
      </c>
      <c r="R14" s="15">
        <f t="shared" si="2"/>
        <v>13382</v>
      </c>
      <c r="S14" s="15">
        <f t="shared" si="3"/>
        <v>85000</v>
      </c>
      <c r="T14" s="15">
        <v>0</v>
      </c>
      <c r="U14" s="17">
        <f t="shared" si="4"/>
        <v>13568</v>
      </c>
    </row>
    <row r="15" spans="1:21" x14ac:dyDescent="0.35">
      <c r="A15" s="13" t="s">
        <v>24</v>
      </c>
      <c r="B15" s="14">
        <f>[20]Vendedor9!$J$4</f>
        <v>62400</v>
      </c>
      <c r="C15" s="15">
        <f>[20]Vendedor9!$K$4</f>
        <v>7488</v>
      </c>
      <c r="D15" s="16">
        <f>[20]Vendedor9!$L$4</f>
        <v>170000</v>
      </c>
      <c r="E15" s="14">
        <f>[20]Vendedor9!$J$5</f>
        <v>49100</v>
      </c>
      <c r="F15" s="15">
        <f>[20]Vendedor9!$K$5</f>
        <v>5892</v>
      </c>
      <c r="G15" s="17">
        <f>[20]Vendedor9!$L$5</f>
        <v>25500</v>
      </c>
      <c r="H15" s="18">
        <f>[20]Vendedor9!$J$6</f>
        <v>4050</v>
      </c>
      <c r="I15" s="15">
        <f>[20]Vendedor9!$K$6</f>
        <v>405</v>
      </c>
      <c r="J15" s="16">
        <f>[20]Vendedor9!$L$6</f>
        <v>0</v>
      </c>
      <c r="K15" s="19">
        <f>[20]Vendedor9!$J$7</f>
        <v>27700</v>
      </c>
      <c r="L15" s="15">
        <f>[20]Vendedor9!$K$7</f>
        <v>3324</v>
      </c>
      <c r="M15" s="16">
        <f>[20]Vendedor9!$L$7</f>
        <v>25500</v>
      </c>
      <c r="N15" s="19">
        <f>[20]Vendedor9!$J$8</f>
        <v>0</v>
      </c>
      <c r="O15" s="15">
        <f>[20]Vendedor9!$K$8</f>
        <v>0</v>
      </c>
      <c r="P15" s="17">
        <f>[20]Vendedor9!$L$8</f>
        <v>0</v>
      </c>
      <c r="Q15" s="19">
        <f t="shared" si="1"/>
        <v>143250</v>
      </c>
      <c r="R15" s="15">
        <f t="shared" si="2"/>
        <v>17109</v>
      </c>
      <c r="S15" s="15">
        <f t="shared" si="3"/>
        <v>221000</v>
      </c>
      <c r="T15" s="15">
        <v>0</v>
      </c>
      <c r="U15" s="17">
        <f t="shared" si="4"/>
        <v>-94859</v>
      </c>
    </row>
    <row r="16" spans="1:21" x14ac:dyDescent="0.35">
      <c r="A16" s="20" t="s">
        <v>25</v>
      </c>
      <c r="B16" s="14">
        <f>[21]Vendedor9!$J$4</f>
        <v>43600</v>
      </c>
      <c r="C16" s="15">
        <f>[21]Vendedor9!$K$4</f>
        <v>5232</v>
      </c>
      <c r="D16" s="16">
        <f>[21]Vendedor9!$L$4</f>
        <v>17000</v>
      </c>
      <c r="E16" s="14">
        <f>[21]Vendedor9!$J$5</f>
        <v>40150</v>
      </c>
      <c r="F16" s="15">
        <f>[21]Vendedor9!$K$5</f>
        <v>4818</v>
      </c>
      <c r="G16" s="17">
        <f>[21]Vendedor9!$L$5</f>
        <v>72250</v>
      </c>
      <c r="H16" s="18">
        <f>[21]Vendedor9!$J$6</f>
        <v>3250</v>
      </c>
      <c r="I16" s="15">
        <f>[21]Vendedor9!$K$6</f>
        <v>325</v>
      </c>
      <c r="J16" s="16">
        <f>[21]Vendedor9!$L$6</f>
        <v>0</v>
      </c>
      <c r="K16" s="19">
        <f>[21]Vendedor9!$J$7</f>
        <v>28150</v>
      </c>
      <c r="L16" s="15">
        <f>[21]Vendedor9!$K$7</f>
        <v>3378</v>
      </c>
      <c r="M16" s="16">
        <f>[21]Vendedor9!$L$7</f>
        <v>0</v>
      </c>
      <c r="N16" s="19">
        <f>[21]Vendedor9!$J$8</f>
        <v>0</v>
      </c>
      <c r="O16" s="15">
        <f>[21]Vendedor9!$K$8</f>
        <v>0</v>
      </c>
      <c r="P16" s="17">
        <f>[21]Vendedor9!$L$8</f>
        <v>0</v>
      </c>
      <c r="Q16" s="19">
        <f t="shared" si="1"/>
        <v>115150</v>
      </c>
      <c r="R16" s="15">
        <f t="shared" si="2"/>
        <v>13753</v>
      </c>
      <c r="S16" s="15">
        <f t="shared" si="3"/>
        <v>89250</v>
      </c>
      <c r="T16" s="15">
        <v>0</v>
      </c>
      <c r="U16" s="17">
        <f t="shared" si="4"/>
        <v>12147</v>
      </c>
    </row>
    <row r="17" spans="1:21" x14ac:dyDescent="0.35">
      <c r="A17" s="13" t="s">
        <v>26</v>
      </c>
      <c r="B17" s="14">
        <f>[22]Vendedor9!$J$4</f>
        <v>49600</v>
      </c>
      <c r="C17" s="15">
        <f>[22]Vendedor9!$K$4</f>
        <v>5952</v>
      </c>
      <c r="D17" s="16">
        <f>[22]Vendedor9!$L$4</f>
        <v>0</v>
      </c>
      <c r="E17" s="14">
        <f>[22]Vendedor9!$J$5</f>
        <v>21050</v>
      </c>
      <c r="F17" s="15">
        <f>[22]Vendedor9!$K$5</f>
        <v>2526</v>
      </c>
      <c r="G17" s="17">
        <f>[22]Vendedor9!$L$5</f>
        <v>0</v>
      </c>
      <c r="H17" s="18">
        <f>[22]Vendedor9!$J$6</f>
        <v>1000</v>
      </c>
      <c r="I17" s="15">
        <f>[22]Vendedor9!$K$6</f>
        <v>100</v>
      </c>
      <c r="J17" s="16">
        <f>[22]Vendedor9!$L$6</f>
        <v>0</v>
      </c>
      <c r="K17" s="19">
        <f>[22]Vendedor9!$J$7</f>
        <v>17700</v>
      </c>
      <c r="L17" s="15">
        <f>[22]Vendedor9!$K$7</f>
        <v>2124</v>
      </c>
      <c r="M17" s="16">
        <f>[22]Vendedor9!$L$7</f>
        <v>25500</v>
      </c>
      <c r="N17" s="19">
        <f>[22]Vendedor9!$J$8</f>
        <v>1200</v>
      </c>
      <c r="O17" s="15">
        <f>[22]Vendedor9!$K$8</f>
        <v>144</v>
      </c>
      <c r="P17" s="17">
        <f>[22]Vendedor9!$L$8</f>
        <v>0</v>
      </c>
      <c r="Q17" s="19">
        <f t="shared" si="1"/>
        <v>89350</v>
      </c>
      <c r="R17" s="15">
        <f t="shared" si="2"/>
        <v>10702</v>
      </c>
      <c r="S17" s="15">
        <f t="shared" si="3"/>
        <v>25500</v>
      </c>
      <c r="T17" s="15">
        <v>0</v>
      </c>
      <c r="U17" s="17">
        <f t="shared" si="4"/>
        <v>53148</v>
      </c>
    </row>
    <row r="18" spans="1:21" x14ac:dyDescent="0.35">
      <c r="A18" s="20" t="s">
        <v>27</v>
      </c>
      <c r="B18" s="14">
        <f>[23]Vendedor9!$J$4</f>
        <v>58400</v>
      </c>
      <c r="C18" s="15">
        <f>[23]Vendedor9!$K$4</f>
        <v>7008</v>
      </c>
      <c r="D18" s="16">
        <f>[23]Vendedor9!$L$4</f>
        <v>34000</v>
      </c>
      <c r="E18" s="14">
        <f>[23]Vendedor9!$J$5</f>
        <v>39400</v>
      </c>
      <c r="F18" s="15">
        <f>[23]Vendedor9!$K$5</f>
        <v>4728</v>
      </c>
      <c r="G18" s="17">
        <f>[23]Vendedor9!$L$5</f>
        <v>21250</v>
      </c>
      <c r="H18" s="18">
        <f>[23]Vendedor9!$J$6</f>
        <v>2500</v>
      </c>
      <c r="I18" s="15">
        <f>[23]Vendedor9!$K$6</f>
        <v>250</v>
      </c>
      <c r="J18" s="16">
        <f>[23]Vendedor9!$L$6</f>
        <v>0</v>
      </c>
      <c r="K18" s="19">
        <f>[23]Vendedor9!$J$7</f>
        <v>21300</v>
      </c>
      <c r="L18" s="15">
        <f>[23]Vendedor9!$K$7</f>
        <v>2556</v>
      </c>
      <c r="M18" s="16">
        <f>[23]Vendedor9!$L$7</f>
        <v>21250</v>
      </c>
      <c r="N18" s="19">
        <f>[23]Vendedor9!$J$8</f>
        <v>0</v>
      </c>
      <c r="O18" s="15">
        <f>[23]Vendedor9!$K$8</f>
        <v>0</v>
      </c>
      <c r="P18" s="17">
        <f>[23]Vendedor9!$L$8</f>
        <v>0</v>
      </c>
      <c r="Q18" s="19">
        <f>+B18+E18+H18+K18</f>
        <v>121600</v>
      </c>
      <c r="R18" s="15">
        <f>+C18+F18+I18+L18</f>
        <v>14542</v>
      </c>
      <c r="S18" s="15">
        <f>+D18+G18+J18+M18</f>
        <v>76500</v>
      </c>
      <c r="T18" s="15">
        <v>0</v>
      </c>
      <c r="U18" s="17">
        <f t="shared" si="4"/>
        <v>30558</v>
      </c>
    </row>
    <row r="19" spans="1:21" x14ac:dyDescent="0.35">
      <c r="A19" s="20" t="s">
        <v>28</v>
      </c>
      <c r="B19" s="14">
        <f>[24]Vendedor9!$J$4</f>
        <v>95350</v>
      </c>
      <c r="C19" s="15">
        <f>[24]Vendedor9!$K$4</f>
        <v>11442</v>
      </c>
      <c r="D19" s="16">
        <f>[24]Vendedor9!$L$4</f>
        <v>17000</v>
      </c>
      <c r="E19" s="14">
        <f>[24]Vendedor9!$J$5</f>
        <v>68700</v>
      </c>
      <c r="F19" s="15">
        <f>[24]Vendedor9!$K$5</f>
        <v>8244</v>
      </c>
      <c r="G19" s="17">
        <f>[24]Vendedor9!$L$5</f>
        <v>38250</v>
      </c>
      <c r="H19" s="18">
        <f>[24]Vendedor9!$J$6</f>
        <v>1500</v>
      </c>
      <c r="I19" s="15">
        <f>[24]Vendedor9!$K$6</f>
        <v>150</v>
      </c>
      <c r="J19" s="16">
        <f>[24]Vendedor9!$L$6</f>
        <v>0</v>
      </c>
      <c r="K19" s="19">
        <f>[24]Vendedor9!$J$7</f>
        <v>29700</v>
      </c>
      <c r="L19" s="15">
        <f>[24]Vendedor9!$K$7</f>
        <v>3564</v>
      </c>
      <c r="M19" s="16">
        <f>[24]Vendedor9!$L$7</f>
        <v>21250</v>
      </c>
      <c r="N19" s="19">
        <f>[24]Vendedor9!$J$8</f>
        <v>0</v>
      </c>
      <c r="O19" s="15">
        <f>[24]Vendedor9!$K$8</f>
        <v>0</v>
      </c>
      <c r="P19" s="17">
        <f>[24]Vendedor9!$L$8</f>
        <v>0</v>
      </c>
      <c r="Q19" s="19">
        <f t="shared" ref="Q19:Q36" si="5">+B19+E19+H19+K19</f>
        <v>195250</v>
      </c>
      <c r="R19" s="15">
        <f t="shared" si="2"/>
        <v>23400</v>
      </c>
      <c r="S19" s="15">
        <f t="shared" si="3"/>
        <v>76500</v>
      </c>
      <c r="T19" s="15">
        <v>0</v>
      </c>
      <c r="U19" s="17">
        <f t="shared" si="4"/>
        <v>95350</v>
      </c>
    </row>
    <row r="20" spans="1:21" x14ac:dyDescent="0.35">
      <c r="A20" s="13" t="s">
        <v>29</v>
      </c>
      <c r="B20" s="14">
        <f>[25]Vendedor9!$J$4</f>
        <v>79950</v>
      </c>
      <c r="C20" s="15">
        <f>[25]Vendedor9!$K$4</f>
        <v>9594</v>
      </c>
      <c r="D20" s="16">
        <f>[25]Vendedor9!$L$4</f>
        <v>21250</v>
      </c>
      <c r="E20" s="14">
        <f>[25]Vendedor9!$J$5</f>
        <v>45000</v>
      </c>
      <c r="F20" s="15">
        <f>[25]Vendedor9!$K$5</f>
        <v>5400</v>
      </c>
      <c r="G20" s="17">
        <f>[25]Vendedor9!$L$5</f>
        <v>21250</v>
      </c>
      <c r="H20" s="18">
        <f>[25]Vendedor9!$J$6</f>
        <v>7100</v>
      </c>
      <c r="I20" s="15">
        <f>[25]Vendedor9!$K$6</f>
        <v>710</v>
      </c>
      <c r="J20" s="16">
        <f>[25]Vendedor9!$L$6</f>
        <v>0</v>
      </c>
      <c r="K20" s="19">
        <f>[25]Vendedor9!$J$7</f>
        <v>33600</v>
      </c>
      <c r="L20" s="15">
        <f>[25]Vendedor9!$K$7</f>
        <v>4032</v>
      </c>
      <c r="M20" s="16">
        <f>[25]Vendedor9!$L$7</f>
        <v>34000</v>
      </c>
      <c r="N20" s="19">
        <f>[25]Vendedor9!$J$8</f>
        <v>0</v>
      </c>
      <c r="O20" s="15">
        <f>[25]Vendedor9!$K$8</f>
        <v>0</v>
      </c>
      <c r="P20" s="17">
        <f>[25]Vendedor9!$L$8</f>
        <v>0</v>
      </c>
      <c r="Q20" s="19">
        <f t="shared" si="5"/>
        <v>165650</v>
      </c>
      <c r="R20" s="15">
        <f t="shared" si="2"/>
        <v>19736</v>
      </c>
      <c r="S20" s="15">
        <f t="shared" si="3"/>
        <v>76500</v>
      </c>
      <c r="T20" s="15">
        <v>0</v>
      </c>
      <c r="U20" s="17">
        <f t="shared" si="4"/>
        <v>69414</v>
      </c>
    </row>
    <row r="21" spans="1:21" x14ac:dyDescent="0.35">
      <c r="A21" s="20" t="s">
        <v>30</v>
      </c>
      <c r="B21" s="14">
        <f>[26]Vendedor9!$J$4</f>
        <v>67900</v>
      </c>
      <c r="C21" s="81">
        <f>[26]Vendedor9!$K$4</f>
        <v>8148</v>
      </c>
      <c r="D21" s="82">
        <f>[26]Vendedor9!$L$4</f>
        <v>187000</v>
      </c>
      <c r="E21" s="14">
        <f>[26]Vendedor9!$J$5</f>
        <v>51050</v>
      </c>
      <c r="F21" s="81">
        <f>[26]Vendedor9!$K$5</f>
        <v>6126</v>
      </c>
      <c r="G21" s="85">
        <f>[26]Vendedor9!$L$5</f>
        <v>0</v>
      </c>
      <c r="H21" s="19">
        <f>[26]Vendedor9!$J$6</f>
        <v>4600</v>
      </c>
      <c r="I21" s="15">
        <f>[26]Vendedor9!$K$6</f>
        <v>460</v>
      </c>
      <c r="J21" s="17">
        <f>[26]Vendedor9!$L$6</f>
        <v>0</v>
      </c>
      <c r="K21" s="18">
        <f>[26]Vendedor9!$J$7</f>
        <v>34800</v>
      </c>
      <c r="L21" s="15">
        <f>[26]Vendedor9!$K$7</f>
        <v>4176</v>
      </c>
      <c r="M21" s="16">
        <f>[26]Vendedor9!$L$7</f>
        <v>21250</v>
      </c>
      <c r="N21" s="19">
        <f>[26]Vendedor9!$J$8</f>
        <v>0</v>
      </c>
      <c r="O21" s="15">
        <f>[26]Vendedor9!$K$8</f>
        <v>0</v>
      </c>
      <c r="P21" s="17">
        <f>[26]Vendedor9!$L$8</f>
        <v>0</v>
      </c>
      <c r="Q21" s="19">
        <f t="shared" si="5"/>
        <v>158350</v>
      </c>
      <c r="R21" s="15">
        <f t="shared" si="2"/>
        <v>18910</v>
      </c>
      <c r="S21" s="15">
        <f t="shared" si="3"/>
        <v>208250</v>
      </c>
      <c r="T21" s="15">
        <v>0</v>
      </c>
      <c r="U21" s="17">
        <f t="shared" si="4"/>
        <v>-68810</v>
      </c>
    </row>
    <row r="22" spans="1:21" x14ac:dyDescent="0.35">
      <c r="A22" s="13" t="s">
        <v>31</v>
      </c>
      <c r="B22" s="14">
        <f>[27]Vendedor9!$J$4</f>
        <v>102000</v>
      </c>
      <c r="C22" s="81">
        <f>[27]Vendedor9!$K$4</f>
        <v>12240</v>
      </c>
      <c r="D22" s="82">
        <f>[27]Vendedor9!$L$4</f>
        <v>17000</v>
      </c>
      <c r="E22" s="14">
        <f>[27]Vendedor9!$J$5</f>
        <v>54750</v>
      </c>
      <c r="F22" s="81">
        <f>[27]Vendedor9!$K$5</f>
        <v>6570</v>
      </c>
      <c r="G22" s="85">
        <f>[27]Vendedor9!$L$5</f>
        <v>21250</v>
      </c>
      <c r="H22" s="19">
        <f>[27]Vendedor9!$J$6</f>
        <v>2050</v>
      </c>
      <c r="I22" s="15">
        <f>[27]Vendedor9!$K$6</f>
        <v>205</v>
      </c>
      <c r="J22" s="17">
        <f>[27]Vendedor9!$L$6</f>
        <v>0</v>
      </c>
      <c r="K22" s="18">
        <f>[27]Vendedor9!$J$7</f>
        <v>26150</v>
      </c>
      <c r="L22" s="15">
        <f>[27]Vendedor9!$K$7</f>
        <v>3138</v>
      </c>
      <c r="M22" s="16">
        <f>[27]Vendedor9!$L$7</f>
        <v>0</v>
      </c>
      <c r="N22" s="19">
        <f>[27]Vendedor9!$J$8</f>
        <v>0</v>
      </c>
      <c r="O22" s="15">
        <f>[27]Vendedor9!$K$8</f>
        <v>0</v>
      </c>
      <c r="P22" s="17">
        <f>[27]Vendedor9!$L$8</f>
        <v>0</v>
      </c>
      <c r="Q22" s="19">
        <f t="shared" si="5"/>
        <v>184950</v>
      </c>
      <c r="R22" s="15">
        <f t="shared" si="2"/>
        <v>22153</v>
      </c>
      <c r="S22" s="15">
        <f t="shared" si="3"/>
        <v>38250</v>
      </c>
      <c r="T22" s="15">
        <v>0</v>
      </c>
      <c r="U22" s="17">
        <f t="shared" si="4"/>
        <v>124547</v>
      </c>
    </row>
    <row r="23" spans="1:21" x14ac:dyDescent="0.35">
      <c r="A23" s="20" t="s">
        <v>32</v>
      </c>
      <c r="B23" s="14">
        <f>[28]Vendedor9!$J$4</f>
        <v>67050</v>
      </c>
      <c r="C23" s="81">
        <f>[28]Vendedor9!$K$4</f>
        <v>8046</v>
      </c>
      <c r="D23" s="82">
        <f>[28]Vendedor9!$L$4</f>
        <v>191250</v>
      </c>
      <c r="E23" s="14">
        <f>[28]Vendedor9!$J$5</f>
        <v>51150</v>
      </c>
      <c r="F23" s="81">
        <f>[28]Vendedor9!$K$5</f>
        <v>6138</v>
      </c>
      <c r="G23" s="85">
        <f>[28]Vendedor9!$L$5</f>
        <v>63750</v>
      </c>
      <c r="H23" s="19">
        <f>[28]Vendedor9!$J$6</f>
        <v>8000</v>
      </c>
      <c r="I23" s="15">
        <f>[28]Vendedor9!$K$6</f>
        <v>800</v>
      </c>
      <c r="J23" s="17">
        <f>[28]Vendedor9!$L$6</f>
        <v>0</v>
      </c>
      <c r="K23" s="18">
        <f>[28]Vendedor9!$J$7</f>
        <v>31150</v>
      </c>
      <c r="L23" s="15">
        <f>[28]Vendedor9!$K$7</f>
        <v>3738</v>
      </c>
      <c r="M23" s="16">
        <f>[28]Vendedor9!$L$7</f>
        <v>0</v>
      </c>
      <c r="N23" s="19">
        <f>[28]Vendedor9!$J$8</f>
        <v>7000</v>
      </c>
      <c r="O23" s="15">
        <f>[28]Vendedor9!$K$8</f>
        <v>840</v>
      </c>
      <c r="P23" s="17">
        <f>[28]Vendedor9!$L$8</f>
        <v>0</v>
      </c>
      <c r="Q23" s="19">
        <f t="shared" si="5"/>
        <v>157350</v>
      </c>
      <c r="R23" s="15">
        <f t="shared" si="2"/>
        <v>18722</v>
      </c>
      <c r="S23" s="15">
        <f t="shared" si="3"/>
        <v>255000</v>
      </c>
      <c r="T23" s="15">
        <v>0</v>
      </c>
      <c r="U23" s="17">
        <f t="shared" si="4"/>
        <v>-116372</v>
      </c>
    </row>
    <row r="24" spans="1:21" x14ac:dyDescent="0.35">
      <c r="A24" s="13" t="s">
        <v>33</v>
      </c>
      <c r="B24" s="14">
        <f>[29]Vendedor9!$J$4</f>
        <v>49700</v>
      </c>
      <c r="C24" s="81">
        <f>[29]Vendedor9!$K$4</f>
        <v>5964</v>
      </c>
      <c r="D24" s="82">
        <f>[29]Vendedor9!$L$4</f>
        <v>8500</v>
      </c>
      <c r="E24" s="14">
        <f>[29]Vendedor9!$J$5</f>
        <v>11500</v>
      </c>
      <c r="F24" s="81">
        <f>[29]Vendedor9!$K$5</f>
        <v>1380</v>
      </c>
      <c r="G24" s="85">
        <f>[29]Vendedor9!$L$5</f>
        <v>0</v>
      </c>
      <c r="H24" s="19">
        <f>[29]Vendedor9!$J$6</f>
        <v>1000</v>
      </c>
      <c r="I24" s="15">
        <f>[29]Vendedor9!$K$6</f>
        <v>100</v>
      </c>
      <c r="J24" s="17">
        <f>[29]Vendedor9!$L$6</f>
        <v>0</v>
      </c>
      <c r="K24" s="18">
        <f>[29]Vendedor9!$J$7</f>
        <v>16300</v>
      </c>
      <c r="L24" s="15">
        <f>[29]Vendedor9!$K$7</f>
        <v>1956</v>
      </c>
      <c r="M24" s="16">
        <f>[29]Vendedor9!$L$7</f>
        <v>0</v>
      </c>
      <c r="N24" s="19">
        <f>[29]Vendedor9!$J$8</f>
        <v>0</v>
      </c>
      <c r="O24" s="15">
        <f>[29]Vendedor9!$K$8</f>
        <v>0</v>
      </c>
      <c r="P24" s="17">
        <f>[29]Vendedor9!$L$8</f>
        <v>0</v>
      </c>
      <c r="Q24" s="19">
        <f t="shared" si="5"/>
        <v>78500</v>
      </c>
      <c r="R24" s="15">
        <f t="shared" si="2"/>
        <v>9400</v>
      </c>
      <c r="S24" s="15">
        <f t="shared" si="3"/>
        <v>8500</v>
      </c>
      <c r="T24" s="15">
        <v>0</v>
      </c>
      <c r="U24" s="17">
        <f t="shared" si="4"/>
        <v>60600</v>
      </c>
    </row>
    <row r="25" spans="1:21" x14ac:dyDescent="0.35">
      <c r="A25" s="20" t="s">
        <v>34</v>
      </c>
      <c r="B25" s="14">
        <f>[30]Vendedor9!$J$4</f>
        <v>56700</v>
      </c>
      <c r="C25" s="81">
        <f>[30]Vendedor9!$K$4</f>
        <v>6804</v>
      </c>
      <c r="D25" s="82">
        <f>[30]Vendedor9!$L$4</f>
        <v>106250</v>
      </c>
      <c r="E25" s="14">
        <f>[30]Vendedor9!$J$5</f>
        <v>35550</v>
      </c>
      <c r="F25" s="81">
        <f>[30]Vendedor9!$K$5</f>
        <v>4266</v>
      </c>
      <c r="G25" s="85">
        <f>[30]Vendedor9!$L$5</f>
        <v>106250</v>
      </c>
      <c r="H25" s="19">
        <f>[30]Vendedor9!$J$6</f>
        <v>1600</v>
      </c>
      <c r="I25" s="15">
        <f>[30]Vendedor9!$K$6</f>
        <v>160</v>
      </c>
      <c r="J25" s="17">
        <f>[30]Vendedor9!$L$6</f>
        <v>0</v>
      </c>
      <c r="K25" s="18">
        <f>[30]Vendedor9!$J$7</f>
        <v>29950</v>
      </c>
      <c r="L25" s="15">
        <f>[30]Vendedor9!$K$7</f>
        <v>3594</v>
      </c>
      <c r="M25" s="16">
        <f>[30]Vendedor9!$L$7</f>
        <v>0</v>
      </c>
      <c r="N25" s="19">
        <f>[30]Vendedor9!$J$8</f>
        <v>0</v>
      </c>
      <c r="O25" s="15">
        <f>[30]Vendedor9!$K$8</f>
        <v>0</v>
      </c>
      <c r="P25" s="17">
        <f>[30]Vendedor9!$L$8</f>
        <v>0</v>
      </c>
      <c r="Q25" s="19">
        <f t="shared" si="5"/>
        <v>123800</v>
      </c>
      <c r="R25" s="15">
        <f t="shared" si="2"/>
        <v>14824</v>
      </c>
      <c r="S25" s="15">
        <f t="shared" si="3"/>
        <v>212500</v>
      </c>
      <c r="T25" s="15">
        <v>0</v>
      </c>
      <c r="U25" s="17">
        <f t="shared" si="4"/>
        <v>-103524</v>
      </c>
    </row>
    <row r="26" spans="1:21" x14ac:dyDescent="0.35">
      <c r="A26" s="13" t="s">
        <v>35</v>
      </c>
      <c r="B26" s="14">
        <f>[31]Vendedor9!$J$4</f>
        <v>110450</v>
      </c>
      <c r="C26" s="81">
        <f>[31]Vendedor9!$K$4</f>
        <v>13254</v>
      </c>
      <c r="D26" s="82">
        <f>[31]Vendedor9!$L$4</f>
        <v>127500</v>
      </c>
      <c r="E26" s="14">
        <f>[31]Vendedor9!$J$5</f>
        <v>73400</v>
      </c>
      <c r="F26" s="81">
        <f>[31]Vendedor9!$K$5</f>
        <v>8808</v>
      </c>
      <c r="G26" s="85">
        <f>[31]Vendedor9!$L$5</f>
        <v>85000</v>
      </c>
      <c r="H26" s="19">
        <f>[31]Vendedor9!$J$6</f>
        <v>4200</v>
      </c>
      <c r="I26" s="15">
        <f>[31]Vendedor9!$K$6</f>
        <v>420</v>
      </c>
      <c r="J26" s="17">
        <f>[31]Vendedor9!$L$6</f>
        <v>0</v>
      </c>
      <c r="K26" s="18">
        <f>[31]Vendedor9!$J$7</f>
        <v>39200</v>
      </c>
      <c r="L26" s="15">
        <f>[31]Vendedor9!$K$7</f>
        <v>4704</v>
      </c>
      <c r="M26" s="16">
        <f>[31]Vendedor9!$L$7</f>
        <v>63750</v>
      </c>
      <c r="N26" s="19">
        <f>[31]Vendedor9!$J$8</f>
        <v>6000</v>
      </c>
      <c r="O26" s="15">
        <f>[31]Vendedor9!$K$8</f>
        <v>720</v>
      </c>
      <c r="P26" s="17">
        <f>[31]Vendedor9!$L$8</f>
        <v>21250</v>
      </c>
      <c r="Q26" s="19">
        <f t="shared" si="5"/>
        <v>227250</v>
      </c>
      <c r="R26" s="15">
        <f t="shared" si="2"/>
        <v>27186</v>
      </c>
      <c r="S26" s="15">
        <f t="shared" si="3"/>
        <v>276250</v>
      </c>
      <c r="T26" s="15">
        <v>0</v>
      </c>
      <c r="U26" s="17">
        <f t="shared" si="4"/>
        <v>-76186</v>
      </c>
    </row>
    <row r="27" spans="1:21" x14ac:dyDescent="0.35">
      <c r="A27" s="20" t="s">
        <v>36</v>
      </c>
      <c r="B27" s="14">
        <f>[1]Vendedor9!$J$4</f>
        <v>58350</v>
      </c>
      <c r="C27" s="81">
        <f>[1]Vendedor9!$K$4</f>
        <v>7002</v>
      </c>
      <c r="D27" s="82">
        <f>[1]Vendedor9!$L$4</f>
        <v>42500</v>
      </c>
      <c r="E27" s="14">
        <f>[1]Vendedor9!$J$5</f>
        <v>47450</v>
      </c>
      <c r="F27" s="81">
        <f>[1]Vendedor9!$K$5</f>
        <v>5694</v>
      </c>
      <c r="G27" s="85">
        <f>[1]Vendedor9!$L$5</f>
        <v>8500</v>
      </c>
      <c r="H27" s="19">
        <f>[1]Vendedor9!$J$6</f>
        <v>3150</v>
      </c>
      <c r="I27" s="15">
        <f>[1]Vendedor9!$K$6</f>
        <v>315</v>
      </c>
      <c r="J27" s="17">
        <f>[1]Vendedor9!$L$6</f>
        <v>0</v>
      </c>
      <c r="K27" s="18">
        <f>[1]Vendedor9!$J$7</f>
        <v>43200</v>
      </c>
      <c r="L27" s="15">
        <f>[1]Vendedor9!$K$7</f>
        <v>5184</v>
      </c>
      <c r="M27" s="16">
        <f>[1]Vendedor9!$L$7</f>
        <v>21250</v>
      </c>
      <c r="N27" s="19">
        <f>[1]Vendedor9!$J$8</f>
        <v>4250</v>
      </c>
      <c r="O27" s="15">
        <f>[1]Vendedor9!$K$8</f>
        <v>510</v>
      </c>
      <c r="P27" s="17">
        <f>[1]Vendedor9!$L$8</f>
        <v>0</v>
      </c>
      <c r="Q27" s="19">
        <f t="shared" si="5"/>
        <v>152150</v>
      </c>
      <c r="R27" s="15">
        <f t="shared" si="2"/>
        <v>18195</v>
      </c>
      <c r="S27" s="15">
        <f t="shared" si="3"/>
        <v>72250</v>
      </c>
      <c r="T27" s="15">
        <v>0</v>
      </c>
      <c r="U27" s="17">
        <f t="shared" si="4"/>
        <v>61705</v>
      </c>
    </row>
    <row r="28" spans="1:21" x14ac:dyDescent="0.35">
      <c r="A28" s="13" t="s">
        <v>37</v>
      </c>
      <c r="B28" s="14">
        <f>[2]Vendedor9!$J$4</f>
        <v>99300</v>
      </c>
      <c r="C28" s="81">
        <f>[2]Vendedor9!$K$4</f>
        <v>11916</v>
      </c>
      <c r="D28" s="82">
        <f>[2]Vendedor9!$L$4</f>
        <v>136000</v>
      </c>
      <c r="E28" s="14">
        <f>[2]Vendedor9!$J$5</f>
        <v>75100</v>
      </c>
      <c r="F28" s="81">
        <f>[2]Vendedor9!$K$5</f>
        <v>9012</v>
      </c>
      <c r="G28" s="85">
        <f>[2]Vendedor9!$L$5</f>
        <v>29750</v>
      </c>
      <c r="H28" s="19">
        <f>[2]Vendedor9!$J$6</f>
        <v>4700</v>
      </c>
      <c r="I28" s="15">
        <f>[2]Vendedor9!$K$6</f>
        <v>470</v>
      </c>
      <c r="J28" s="17">
        <f>[2]Vendedor9!$L$6</f>
        <v>0</v>
      </c>
      <c r="K28" s="18">
        <f>[2]Vendedor9!$J$7</f>
        <v>29200</v>
      </c>
      <c r="L28" s="15">
        <f>[2]Vendedor9!$K$7</f>
        <v>3504</v>
      </c>
      <c r="M28" s="16">
        <f>[2]Vendedor9!$L$7</f>
        <v>17000</v>
      </c>
      <c r="N28" s="19">
        <f>[2]Vendedor9!$J$8</f>
        <v>0</v>
      </c>
      <c r="O28" s="15">
        <f>[2]Vendedor9!$K$8</f>
        <v>0</v>
      </c>
      <c r="P28" s="17">
        <f>[2]Vendedor9!$L$8</f>
        <v>0</v>
      </c>
      <c r="Q28" s="19">
        <f t="shared" si="5"/>
        <v>208300</v>
      </c>
      <c r="R28" s="15">
        <f t="shared" si="2"/>
        <v>24902</v>
      </c>
      <c r="S28" s="15">
        <f t="shared" si="3"/>
        <v>182750</v>
      </c>
      <c r="T28" s="15">
        <v>0</v>
      </c>
      <c r="U28" s="17">
        <f t="shared" si="4"/>
        <v>648</v>
      </c>
    </row>
    <row r="29" spans="1:21" x14ac:dyDescent="0.35">
      <c r="A29" s="20" t="s">
        <v>38</v>
      </c>
      <c r="B29" s="14">
        <f>[3]Vendedor9!$J$4</f>
        <v>125900</v>
      </c>
      <c r="C29" s="81">
        <f>[3]Vendedor9!$K$4</f>
        <v>15108</v>
      </c>
      <c r="D29" s="82">
        <f>[3]Vendedor9!$L$4</f>
        <v>106250</v>
      </c>
      <c r="E29" s="14">
        <f>[3]Vendedor9!$J$5</f>
        <v>65250</v>
      </c>
      <c r="F29" s="81">
        <f>[3]Vendedor9!$K$5</f>
        <v>7830</v>
      </c>
      <c r="G29" s="85">
        <f>[3]Vendedor9!$L$5</f>
        <v>85000</v>
      </c>
      <c r="H29" s="19">
        <f>[3]Vendedor9!$J$6</f>
        <v>3550</v>
      </c>
      <c r="I29" s="15">
        <f>[3]Vendedor9!$K$6</f>
        <v>355</v>
      </c>
      <c r="J29" s="17">
        <f>[3]Vendedor9!$L$6</f>
        <v>0</v>
      </c>
      <c r="K29" s="18">
        <f>[3]Vendedor9!$J$7</f>
        <v>28050</v>
      </c>
      <c r="L29" s="15">
        <f>[3]Vendedor9!$K$7</f>
        <v>3366</v>
      </c>
      <c r="M29" s="16">
        <f>[3]Vendedor9!$L$7</f>
        <v>0</v>
      </c>
      <c r="N29" s="19">
        <f>[3]Vendedor9!$J$8</f>
        <v>4900</v>
      </c>
      <c r="O29" s="15">
        <f>[3]Vendedor9!$K$8</f>
        <v>588</v>
      </c>
      <c r="P29" s="17">
        <f>[3]Vendedor9!$L$8</f>
        <v>0</v>
      </c>
      <c r="Q29" s="19">
        <f t="shared" si="5"/>
        <v>222750</v>
      </c>
      <c r="R29" s="15">
        <f t="shared" si="2"/>
        <v>26659</v>
      </c>
      <c r="S29" s="15">
        <f t="shared" si="3"/>
        <v>191250</v>
      </c>
      <c r="T29" s="15">
        <v>0</v>
      </c>
      <c r="U29" s="17">
        <f t="shared" si="4"/>
        <v>4841</v>
      </c>
    </row>
    <row r="30" spans="1:21" x14ac:dyDescent="0.35">
      <c r="A30" s="13" t="s">
        <v>39</v>
      </c>
      <c r="B30" s="14">
        <f>[4]Vendedor9!$J$4</f>
        <v>21150</v>
      </c>
      <c r="C30" s="81">
        <f>[4]Vendedor9!$K$4</f>
        <v>2538</v>
      </c>
      <c r="D30" s="82">
        <f>[4]Vendedor9!$L$4</f>
        <v>0</v>
      </c>
      <c r="E30" s="14">
        <f>[4]Vendedor9!$J$5</f>
        <v>29500</v>
      </c>
      <c r="F30" s="81">
        <f>[4]Vendedor9!$K$5</f>
        <v>3540</v>
      </c>
      <c r="G30" s="85">
        <f>[4]Vendedor9!$L$5</f>
        <v>42500</v>
      </c>
      <c r="H30" s="19">
        <f>[4]Vendedor9!$J$6</f>
        <v>1000</v>
      </c>
      <c r="I30" s="15">
        <f>[4]Vendedor9!$K$6</f>
        <v>100</v>
      </c>
      <c r="J30" s="17">
        <f>[4]Vendedor9!$L$6</f>
        <v>0</v>
      </c>
      <c r="K30" s="18">
        <f>[4]Vendedor9!$J$7</f>
        <v>21100</v>
      </c>
      <c r="L30" s="15">
        <f>[4]Vendedor9!$K$7</f>
        <v>2532</v>
      </c>
      <c r="M30" s="16">
        <f>[4]Vendedor9!$L$7</f>
        <v>42500</v>
      </c>
      <c r="N30" s="19">
        <f>[4]Vendedor9!$J$8</f>
        <v>0</v>
      </c>
      <c r="O30" s="15">
        <f>[4]Vendedor9!$K$8</f>
        <v>0</v>
      </c>
      <c r="P30" s="17">
        <f>[4]Vendedor9!$L$8</f>
        <v>0</v>
      </c>
      <c r="Q30" s="19">
        <f t="shared" si="5"/>
        <v>72750</v>
      </c>
      <c r="R30" s="15">
        <f t="shared" si="2"/>
        <v>8710</v>
      </c>
      <c r="S30" s="15">
        <f t="shared" si="3"/>
        <v>85000</v>
      </c>
      <c r="T30" s="15">
        <v>0</v>
      </c>
      <c r="U30" s="17">
        <f t="shared" si="4"/>
        <v>-20960</v>
      </c>
    </row>
    <row r="31" spans="1:21" x14ac:dyDescent="0.35">
      <c r="A31" s="20" t="s">
        <v>40</v>
      </c>
      <c r="B31" s="14">
        <f>[5]Vendedor9!$J$4</f>
        <v>31000</v>
      </c>
      <c r="C31" s="81">
        <f>[5]Vendedor9!$K$4</f>
        <v>3720</v>
      </c>
      <c r="D31" s="82">
        <f>[5]Vendedor9!$L$4</f>
        <v>0</v>
      </c>
      <c r="E31" s="14">
        <f>[5]Vendedor9!$J$5</f>
        <v>10100</v>
      </c>
      <c r="F31" s="81">
        <f>[5]Vendedor9!$K$5</f>
        <v>1212</v>
      </c>
      <c r="G31" s="85">
        <f>[5]Vendedor9!$L$5</f>
        <v>0</v>
      </c>
      <c r="H31" s="19">
        <f>[5]Vendedor9!$J$6</f>
        <v>5000</v>
      </c>
      <c r="I31" s="15">
        <f>[5]Vendedor9!$K$6</f>
        <v>500</v>
      </c>
      <c r="J31" s="17">
        <f>[5]Vendedor9!$L$6</f>
        <v>0</v>
      </c>
      <c r="K31" s="18">
        <f>[5]Vendedor9!$J$7</f>
        <v>12100</v>
      </c>
      <c r="L31" s="15">
        <f>[5]Vendedor9!$K$7</f>
        <v>1452</v>
      </c>
      <c r="M31" s="16">
        <f>[5]Vendedor9!$L$7</f>
        <v>0</v>
      </c>
      <c r="N31" s="19">
        <f>[5]Vendedor9!$J$8</f>
        <v>0</v>
      </c>
      <c r="O31" s="15">
        <f>[5]Vendedor9!$K$8</f>
        <v>0</v>
      </c>
      <c r="P31" s="17">
        <f>[5]Vendedor9!$L$8</f>
        <v>0</v>
      </c>
      <c r="Q31" s="19">
        <f t="shared" si="5"/>
        <v>58200</v>
      </c>
      <c r="R31" s="15">
        <f t="shared" si="2"/>
        <v>6884</v>
      </c>
      <c r="S31" s="15">
        <f t="shared" si="3"/>
        <v>0</v>
      </c>
      <c r="T31" s="15">
        <v>0</v>
      </c>
      <c r="U31" s="17">
        <f t="shared" si="4"/>
        <v>51316</v>
      </c>
    </row>
    <row r="32" spans="1:21" x14ac:dyDescent="0.35">
      <c r="A32" s="20" t="s">
        <v>41</v>
      </c>
      <c r="B32" s="14">
        <f>[6]Vendedor9!$J$4</f>
        <v>89450</v>
      </c>
      <c r="C32" s="81">
        <f>[6]Vendedor9!$K$4</f>
        <v>10734</v>
      </c>
      <c r="D32" s="82">
        <f>[6]Vendedor9!$L$4</f>
        <v>38250</v>
      </c>
      <c r="E32" s="14">
        <f>[6]Vendedor9!$J$5</f>
        <v>60900</v>
      </c>
      <c r="F32" s="81">
        <f>[6]Vendedor9!$K$5</f>
        <v>7308</v>
      </c>
      <c r="G32" s="85">
        <f>[6]Vendedor9!$L$5</f>
        <v>38250</v>
      </c>
      <c r="H32" s="19">
        <f>[6]Vendedor9!$J$6</f>
        <v>0</v>
      </c>
      <c r="I32" s="15">
        <f>[6]Vendedor9!$K$6</f>
        <v>0</v>
      </c>
      <c r="J32" s="17">
        <f>[6]Vendedor9!$L$6</f>
        <v>0</v>
      </c>
      <c r="K32" s="18">
        <f>[6]Vendedor9!$J$7</f>
        <v>38200</v>
      </c>
      <c r="L32" s="15">
        <f>[6]Vendedor9!$K$7</f>
        <v>4584</v>
      </c>
      <c r="M32" s="16">
        <f>[6]Vendedor9!$L$7</f>
        <v>34000</v>
      </c>
      <c r="N32" s="19">
        <f>[6]Vendedor9!$J$8</f>
        <v>0</v>
      </c>
      <c r="O32" s="15">
        <f>[6]Vendedor9!$K$8</f>
        <v>0</v>
      </c>
      <c r="P32" s="17">
        <f>[6]Vendedor9!$L$8</f>
        <v>0</v>
      </c>
      <c r="Q32" s="19">
        <f t="shared" si="5"/>
        <v>188550</v>
      </c>
      <c r="R32" s="15">
        <f t="shared" si="2"/>
        <v>22626</v>
      </c>
      <c r="S32" s="15">
        <f t="shared" si="3"/>
        <v>110500</v>
      </c>
      <c r="T32" s="15">
        <v>0</v>
      </c>
      <c r="U32" s="17">
        <f t="shared" si="4"/>
        <v>55424</v>
      </c>
    </row>
    <row r="33" spans="1:21" x14ac:dyDescent="0.35">
      <c r="A33" s="13" t="s">
        <v>42</v>
      </c>
      <c r="B33" s="14">
        <f>[7]Vendedor9!$J$4</f>
        <v>87500</v>
      </c>
      <c r="C33" s="81">
        <f>[7]Vendedor9!$K$4</f>
        <v>10500</v>
      </c>
      <c r="D33" s="82">
        <f>[7]Vendedor9!$L$4</f>
        <v>106250</v>
      </c>
      <c r="E33" s="14">
        <f>[7]Vendedor9!$J$5</f>
        <v>56350</v>
      </c>
      <c r="F33" s="81">
        <f>[7]Vendedor9!$K$5</f>
        <v>6762</v>
      </c>
      <c r="G33" s="85">
        <f>[7]Vendedor9!$L$5</f>
        <v>0</v>
      </c>
      <c r="H33" s="19">
        <f>[7]Vendedor9!$J$6</f>
        <v>2750</v>
      </c>
      <c r="I33" s="15">
        <f>[7]Vendedor9!$K$6</f>
        <v>275</v>
      </c>
      <c r="J33" s="17">
        <f>[7]Vendedor9!$L$6</f>
        <v>50000</v>
      </c>
      <c r="K33" s="18">
        <f>[7]Vendedor9!$J$7</f>
        <v>45000</v>
      </c>
      <c r="L33" s="15">
        <f>[7]Vendedor9!$K$7</f>
        <v>5400</v>
      </c>
      <c r="M33" s="16">
        <f>[7]Vendedor9!$L$7</f>
        <v>17000</v>
      </c>
      <c r="N33" s="19">
        <f>[7]Vendedor9!$J$8</f>
        <v>0</v>
      </c>
      <c r="O33" s="15">
        <f>[7]Vendedor9!$K$8</f>
        <v>0</v>
      </c>
      <c r="P33" s="17">
        <f>[7]Vendedor9!$L$8</f>
        <v>0</v>
      </c>
      <c r="Q33" s="19">
        <f t="shared" si="5"/>
        <v>191600</v>
      </c>
      <c r="R33" s="15">
        <f t="shared" si="2"/>
        <v>22937</v>
      </c>
      <c r="S33" s="15">
        <f t="shared" si="3"/>
        <v>173250</v>
      </c>
      <c r="T33" s="15">
        <v>0</v>
      </c>
      <c r="U33" s="17">
        <f t="shared" si="4"/>
        <v>-4587</v>
      </c>
    </row>
    <row r="34" spans="1:21" x14ac:dyDescent="0.35">
      <c r="A34" s="20" t="s">
        <v>43</v>
      </c>
      <c r="B34" s="14">
        <f>[8]Vendedor9!$J$4</f>
        <v>86300</v>
      </c>
      <c r="C34" s="81">
        <f>[8]Vendedor9!$K$4</f>
        <v>10356</v>
      </c>
      <c r="D34" s="82">
        <f>[8]Vendedor9!$L$4</f>
        <v>51000</v>
      </c>
      <c r="E34" s="14">
        <f>[8]Vendedor9!$J$5</f>
        <v>65500</v>
      </c>
      <c r="F34" s="81">
        <f>[8]Vendedor9!$K$5</f>
        <v>7860</v>
      </c>
      <c r="G34" s="85">
        <f>[8]Vendedor9!$L$5</f>
        <v>38250</v>
      </c>
      <c r="H34" s="19">
        <f>[8]Vendedor9!$J$6</f>
        <v>10000</v>
      </c>
      <c r="I34" s="15">
        <f>[8]Vendedor9!$K$6</f>
        <v>1000</v>
      </c>
      <c r="J34" s="17">
        <f>[8]Vendedor9!$L$6</f>
        <v>0</v>
      </c>
      <c r="K34" s="18">
        <f>[8]Vendedor9!$J$7</f>
        <v>41050</v>
      </c>
      <c r="L34" s="15">
        <f>[8]Vendedor9!$K$7</f>
        <v>4926</v>
      </c>
      <c r="M34" s="16">
        <f>[8]Vendedor9!$L$7</f>
        <v>8500</v>
      </c>
      <c r="N34" s="19">
        <f>[8]Vendedor9!$J$8</f>
        <v>0</v>
      </c>
      <c r="O34" s="15">
        <f>[8]Vendedor9!$K$8</f>
        <v>0</v>
      </c>
      <c r="P34" s="17">
        <f>[8]Vendedor9!$L$8</f>
        <v>0</v>
      </c>
      <c r="Q34" s="19">
        <f t="shared" si="5"/>
        <v>202850</v>
      </c>
      <c r="R34" s="15">
        <f t="shared" si="2"/>
        <v>24142</v>
      </c>
      <c r="S34" s="15">
        <f t="shared" si="3"/>
        <v>97750</v>
      </c>
      <c r="T34" s="15">
        <v>0</v>
      </c>
      <c r="U34" s="17">
        <f t="shared" si="4"/>
        <v>80958</v>
      </c>
    </row>
    <row r="35" spans="1:21" x14ac:dyDescent="0.35">
      <c r="A35" s="13" t="s">
        <v>44</v>
      </c>
      <c r="B35" s="14">
        <f>[9]Vendedor9!$J$4</f>
        <v>81150</v>
      </c>
      <c r="C35" s="81">
        <f>[9]Vendedor9!$K$4</f>
        <v>9738</v>
      </c>
      <c r="D35" s="82">
        <f>[9]Vendedor9!$L$4</f>
        <v>102000</v>
      </c>
      <c r="E35" s="14">
        <f>[9]Vendedor9!$J$5</f>
        <v>63850</v>
      </c>
      <c r="F35" s="81">
        <f>[9]Vendedor9!$K$5</f>
        <v>7662</v>
      </c>
      <c r="G35" s="85">
        <f>[9]Vendedor9!$L$5</f>
        <v>102000</v>
      </c>
      <c r="H35" s="19">
        <f>[9]Vendedor9!$J$6</f>
        <v>5950</v>
      </c>
      <c r="I35" s="15">
        <f>[9]Vendedor9!$K$6</f>
        <v>595</v>
      </c>
      <c r="J35" s="17">
        <f>[9]Vendedor9!$L$6</f>
        <v>0</v>
      </c>
      <c r="K35" s="18">
        <f>[9]Vendedor9!$J$7</f>
        <v>44150</v>
      </c>
      <c r="L35" s="15">
        <f>[9]Vendedor9!$K$7</f>
        <v>5298</v>
      </c>
      <c r="M35" s="16">
        <f>[9]Vendedor9!$L$7</f>
        <v>55250</v>
      </c>
      <c r="N35" s="19">
        <f>[9]Vendedor9!$J$8</f>
        <v>0</v>
      </c>
      <c r="O35" s="15">
        <f>[9]Vendedor9!$K$8</f>
        <v>0</v>
      </c>
      <c r="P35" s="17">
        <f>[9]Vendedor9!$L$8</f>
        <v>0</v>
      </c>
      <c r="Q35" s="19">
        <f t="shared" si="5"/>
        <v>195100</v>
      </c>
      <c r="R35" s="15">
        <f t="shared" si="2"/>
        <v>23293</v>
      </c>
      <c r="S35" s="15">
        <f t="shared" si="3"/>
        <v>259250</v>
      </c>
      <c r="T35" s="15">
        <v>0</v>
      </c>
      <c r="U35" s="17">
        <f t="shared" si="4"/>
        <v>-87443</v>
      </c>
    </row>
    <row r="36" spans="1:21" ht="15" thickBot="1" x14ac:dyDescent="0.4">
      <c r="A36" s="20" t="s">
        <v>45</v>
      </c>
      <c r="B36" s="21">
        <f>[10]Vendedor9!$J$4</f>
        <v>129450</v>
      </c>
      <c r="C36" s="83">
        <f>[10]Vendedor9!$K$4</f>
        <v>15534</v>
      </c>
      <c r="D36" s="84">
        <f>[10]Vendedor9!$L$4</f>
        <v>97750</v>
      </c>
      <c r="E36" s="21">
        <f>[10]Vendedor9!$J$5</f>
        <v>119750</v>
      </c>
      <c r="F36" s="83">
        <f>[10]Vendedor9!$K$5</f>
        <v>14370</v>
      </c>
      <c r="G36" s="86">
        <f>[10]Vendedor9!$L$5</f>
        <v>106250</v>
      </c>
      <c r="H36" s="26">
        <f>[10]Vendedor9!$J$6</f>
        <v>6700</v>
      </c>
      <c r="I36" s="22">
        <f>[10]Vendedor9!$K$6</f>
        <v>670</v>
      </c>
      <c r="J36" s="24">
        <f>[10]Vendedor9!$L$6</f>
        <v>50000</v>
      </c>
      <c r="K36" s="25">
        <f>[10]Vendedor9!$J$7</f>
        <v>54350</v>
      </c>
      <c r="L36" s="22">
        <f>[10]Vendedor9!$K$7</f>
        <v>6522</v>
      </c>
      <c r="M36" s="23">
        <f>[10]Vendedor9!$L$7</f>
        <v>21250</v>
      </c>
      <c r="N36" s="26">
        <f>[10]Vendedor9!$J$8</f>
        <v>6600</v>
      </c>
      <c r="O36" s="22">
        <f>[10]Vendedor9!$K$8</f>
        <v>792</v>
      </c>
      <c r="P36" s="24">
        <f>[10]Vendedor9!$L$8</f>
        <v>17000</v>
      </c>
      <c r="Q36" s="26">
        <f t="shared" si="5"/>
        <v>310250</v>
      </c>
      <c r="R36" s="22">
        <f t="shared" si="2"/>
        <v>37096</v>
      </c>
      <c r="S36" s="22">
        <f t="shared" si="3"/>
        <v>275250</v>
      </c>
      <c r="T36" s="22">
        <v>0</v>
      </c>
      <c r="U36" s="24">
        <f t="shared" si="4"/>
        <v>-2096</v>
      </c>
    </row>
    <row r="37" spans="1:21" ht="16" thickBot="1" x14ac:dyDescent="0.4">
      <c r="A37" s="5" t="s">
        <v>46</v>
      </c>
      <c r="B37" s="27">
        <f t="shared" ref="B37:S37" si="6">SUM(B6:B36)</f>
        <v>2230550</v>
      </c>
      <c r="C37" s="28">
        <f t="shared" si="6"/>
        <v>267666</v>
      </c>
      <c r="D37" s="29">
        <f t="shared" si="6"/>
        <v>1916750</v>
      </c>
      <c r="E37" s="30">
        <f t="shared" si="6"/>
        <v>1520700</v>
      </c>
      <c r="F37" s="28">
        <f t="shared" si="6"/>
        <v>182484</v>
      </c>
      <c r="G37" s="31">
        <f t="shared" si="6"/>
        <v>1130500</v>
      </c>
      <c r="H37" s="27">
        <f t="shared" si="6"/>
        <v>126850</v>
      </c>
      <c r="I37" s="28">
        <f t="shared" si="6"/>
        <v>12685</v>
      </c>
      <c r="J37" s="29">
        <f t="shared" si="6"/>
        <v>100000</v>
      </c>
      <c r="K37" s="30">
        <f t="shared" si="6"/>
        <v>969800</v>
      </c>
      <c r="L37" s="28">
        <f t="shared" si="6"/>
        <v>116376</v>
      </c>
      <c r="M37" s="31">
        <f t="shared" si="6"/>
        <v>586500</v>
      </c>
      <c r="N37" s="30">
        <f t="shared" ref="N37:P37" si="7">SUM(N6:N36)</f>
        <v>52150</v>
      </c>
      <c r="O37" s="28">
        <f t="shared" si="7"/>
        <v>6258</v>
      </c>
      <c r="P37" s="31">
        <f t="shared" si="7"/>
        <v>59500</v>
      </c>
      <c r="Q37" s="27">
        <f t="shared" si="6"/>
        <v>4847900</v>
      </c>
      <c r="R37" s="28">
        <f t="shared" si="6"/>
        <v>579211</v>
      </c>
      <c r="S37" s="28">
        <f t="shared" si="6"/>
        <v>3733750</v>
      </c>
      <c r="T37" s="32">
        <f>SUM(T5:T36)</f>
        <v>0</v>
      </c>
      <c r="U37" s="33">
        <f>SUM(U5:U36)</f>
        <v>534939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77</v>
      </c>
      <c r="C2" s="142"/>
      <c r="D2" s="142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[11]Vendedor10!$J$4</f>
        <v>121800</v>
      </c>
      <c r="C6" s="58">
        <f>[11]Vendedor10!$K$4</f>
        <v>14616</v>
      </c>
      <c r="D6" s="54">
        <f>[11]Vendedor10!$L$4</f>
        <v>119000</v>
      </c>
      <c r="E6" s="53">
        <f>[11]Vendedor10!$J$5</f>
        <v>56200</v>
      </c>
      <c r="F6" s="58">
        <f>[11]Vendedor10!$K$5</f>
        <v>6744</v>
      </c>
      <c r="G6" s="55">
        <f>[11]Vendedor10!$L$5</f>
        <v>0</v>
      </c>
      <c r="H6" s="61">
        <f>[11]Vendedor10!$J$6</f>
        <v>0</v>
      </c>
      <c r="I6" s="58">
        <f>[11]Vendedor10!$K$6</f>
        <v>0</v>
      </c>
      <c r="J6" s="54">
        <f>[11]Vendedor10!$L$6</f>
        <v>0</v>
      </c>
      <c r="K6" s="59">
        <f t="shared" ref="K6:K36" si="1">+B6+E6+H6</f>
        <v>178000</v>
      </c>
      <c r="L6" s="58">
        <f>MROUND(C6+F6+I6,50)</f>
        <v>21350</v>
      </c>
      <c r="M6" s="58">
        <f t="shared" ref="M6:M36" si="2">+D6+G6+J6</f>
        <v>119000</v>
      </c>
      <c r="N6" s="58">
        <v>0</v>
      </c>
      <c r="O6" s="55">
        <f t="shared" ref="O6:O36" si="3">+K6-L6-M6+N6</f>
        <v>37650</v>
      </c>
    </row>
    <row r="7" spans="1:15" x14ac:dyDescent="0.35">
      <c r="A7" s="13" t="s">
        <v>50</v>
      </c>
      <c r="B7" s="14">
        <f>[12]Vendedor10!$J$4</f>
        <v>111450</v>
      </c>
      <c r="C7" s="15">
        <f>[12]Vendedor10!$K$4</f>
        <v>13374</v>
      </c>
      <c r="D7" s="16">
        <f>[12]Vendedor10!$L$4</f>
        <v>42500</v>
      </c>
      <c r="E7" s="14">
        <f>[12]Vendedor10!$J$5</f>
        <v>57300</v>
      </c>
      <c r="F7" s="15">
        <f>[12]Vendedor10!$K$5</f>
        <v>6876</v>
      </c>
      <c r="G7" s="17">
        <f>[12]Vendedor10!$L$5</f>
        <v>0</v>
      </c>
      <c r="H7" s="18">
        <f>[12]Vendedor10!$J$6</f>
        <v>0</v>
      </c>
      <c r="I7" s="15">
        <f>[12]Vendedor10!$K$6</f>
        <v>0</v>
      </c>
      <c r="J7" s="16">
        <f>[12]Vendedor10!$L$6</f>
        <v>0</v>
      </c>
      <c r="K7" s="19">
        <f t="shared" si="1"/>
        <v>168750</v>
      </c>
      <c r="L7" s="15">
        <f t="shared" ref="L7:L36" si="4">MROUND(C7+F7+I7,50)</f>
        <v>20250</v>
      </c>
      <c r="M7" s="15">
        <f t="shared" si="2"/>
        <v>42500</v>
      </c>
      <c r="N7" s="15">
        <v>0</v>
      </c>
      <c r="O7" s="17">
        <f t="shared" si="3"/>
        <v>106000</v>
      </c>
    </row>
    <row r="8" spans="1:15" x14ac:dyDescent="0.35">
      <c r="A8" s="20" t="s">
        <v>51</v>
      </c>
      <c r="B8" s="14">
        <f>[13]Vendedor10!$J$4</f>
        <v>91600</v>
      </c>
      <c r="C8" s="15">
        <f>[13]Vendedor10!$K$4</f>
        <v>10992</v>
      </c>
      <c r="D8" s="16">
        <f>[13]Vendedor10!$L$4</f>
        <v>42500</v>
      </c>
      <c r="E8" s="14">
        <f>[13]Vendedor10!$J$5</f>
        <v>58150</v>
      </c>
      <c r="F8" s="15">
        <f>[13]Vendedor10!$K$5</f>
        <v>6978</v>
      </c>
      <c r="G8" s="17">
        <f>[13]Vendedor10!$L$5</f>
        <v>0</v>
      </c>
      <c r="H8" s="18">
        <f>[13]Vendedor10!$J$6</f>
        <v>0</v>
      </c>
      <c r="I8" s="15">
        <f>[13]Vendedor10!$K$6</f>
        <v>0</v>
      </c>
      <c r="J8" s="16">
        <f>[13]Vendedor10!$L$6</f>
        <v>0</v>
      </c>
      <c r="K8" s="19">
        <f t="shared" si="1"/>
        <v>149750</v>
      </c>
      <c r="L8" s="15">
        <f t="shared" si="4"/>
        <v>17950</v>
      </c>
      <c r="M8" s="15">
        <f t="shared" si="2"/>
        <v>42500</v>
      </c>
      <c r="N8" s="15">
        <v>0</v>
      </c>
      <c r="O8" s="17">
        <f t="shared" si="3"/>
        <v>89300</v>
      </c>
    </row>
    <row r="9" spans="1:15" x14ac:dyDescent="0.35">
      <c r="A9" s="13" t="s">
        <v>52</v>
      </c>
      <c r="B9" s="14">
        <f>[14]Vendedor10!$J$4</f>
        <v>130850</v>
      </c>
      <c r="C9" s="15">
        <f>[14]Vendedor10!$K$4</f>
        <v>15702</v>
      </c>
      <c r="D9" s="16">
        <f>[14]Vendedor10!$L$4</f>
        <v>68000</v>
      </c>
      <c r="E9" s="14">
        <f>[14]Vendedor10!$J$5</f>
        <v>79300</v>
      </c>
      <c r="F9" s="15">
        <f>[14]Vendedor10!$K$5</f>
        <v>9516</v>
      </c>
      <c r="G9" s="17">
        <f>[14]Vendedor10!$L$5</f>
        <v>104000</v>
      </c>
      <c r="H9" s="18">
        <f>[14]Vendedor10!$J$6</f>
        <v>0</v>
      </c>
      <c r="I9" s="15">
        <f>[14]Vendedor10!$K$6</f>
        <v>0</v>
      </c>
      <c r="J9" s="16">
        <f>[14]Vendedor10!$L$6</f>
        <v>0</v>
      </c>
      <c r="K9" s="19">
        <f t="shared" si="1"/>
        <v>210150</v>
      </c>
      <c r="L9" s="15">
        <f t="shared" si="4"/>
        <v>25200</v>
      </c>
      <c r="M9" s="15">
        <f t="shared" si="2"/>
        <v>172000</v>
      </c>
      <c r="N9" s="15">
        <v>0</v>
      </c>
      <c r="O9" s="17">
        <f t="shared" si="3"/>
        <v>12950</v>
      </c>
    </row>
    <row r="10" spans="1:15" x14ac:dyDescent="0.35">
      <c r="A10" s="20" t="s">
        <v>53</v>
      </c>
      <c r="B10" s="14">
        <f>[15]Vendedor10!$J$4</f>
        <v>95050</v>
      </c>
      <c r="C10" s="15">
        <f>[15]Vendedor10!$K$4</f>
        <v>11406</v>
      </c>
      <c r="D10" s="16">
        <f>[15]Vendedor10!$L$4</f>
        <v>153000</v>
      </c>
      <c r="E10" s="14">
        <f>[15]Vendedor10!$J$5</f>
        <v>47500</v>
      </c>
      <c r="F10" s="15">
        <f>[15]Vendedor10!$K$5</f>
        <v>5700</v>
      </c>
      <c r="G10" s="17">
        <f>[15]Vendedor10!$L$5</f>
        <v>0</v>
      </c>
      <c r="H10" s="18">
        <f>[15]Vendedor10!$J$6</f>
        <v>0</v>
      </c>
      <c r="I10" s="15">
        <f>[15]Vendedor10!$K$6</f>
        <v>0</v>
      </c>
      <c r="J10" s="16">
        <f>[15]Vendedor10!$L$6</f>
        <v>0</v>
      </c>
      <c r="K10" s="19">
        <f t="shared" si="1"/>
        <v>142550</v>
      </c>
      <c r="L10" s="15">
        <f t="shared" si="4"/>
        <v>17100</v>
      </c>
      <c r="M10" s="15">
        <f t="shared" si="2"/>
        <v>153000</v>
      </c>
      <c r="N10" s="15">
        <v>0</v>
      </c>
      <c r="O10" s="17">
        <f t="shared" si="3"/>
        <v>-27550</v>
      </c>
    </row>
    <row r="11" spans="1:15" x14ac:dyDescent="0.35">
      <c r="A11" s="13" t="s">
        <v>20</v>
      </c>
      <c r="B11" s="14">
        <f>[16]Vendedor10!$J$4</f>
        <v>129700</v>
      </c>
      <c r="C11" s="15">
        <f>[16]Vendedor10!$K$4</f>
        <v>15564</v>
      </c>
      <c r="D11" s="16">
        <f>[16]Vendedor10!$L$4</f>
        <v>59500</v>
      </c>
      <c r="E11" s="14">
        <f>[16]Vendedor10!$J$5</f>
        <v>85950</v>
      </c>
      <c r="F11" s="15">
        <f>[16]Vendedor10!$K$5</f>
        <v>10314</v>
      </c>
      <c r="G11" s="17">
        <f>[16]Vendedor10!$L$5</f>
        <v>152000</v>
      </c>
      <c r="H11" s="18">
        <f>[16]Vendedor10!$J$6</f>
        <v>0</v>
      </c>
      <c r="I11" s="15">
        <f>[16]Vendedor10!$K$6</f>
        <v>0</v>
      </c>
      <c r="J11" s="16">
        <f>[16]Vendedor10!$L$6</f>
        <v>0</v>
      </c>
      <c r="K11" s="19">
        <f t="shared" si="1"/>
        <v>215650</v>
      </c>
      <c r="L11" s="15">
        <f t="shared" si="4"/>
        <v>25900</v>
      </c>
      <c r="M11" s="15">
        <f t="shared" si="2"/>
        <v>211500</v>
      </c>
      <c r="N11" s="15">
        <v>0</v>
      </c>
      <c r="O11" s="17">
        <f t="shared" si="3"/>
        <v>-21750</v>
      </c>
    </row>
    <row r="12" spans="1:15" x14ac:dyDescent="0.35">
      <c r="A12" s="20" t="s">
        <v>21</v>
      </c>
      <c r="B12" s="14">
        <f>[17]Vendedor10!$J$4</f>
        <v>120250</v>
      </c>
      <c r="C12" s="15">
        <f>[17]Vendedor10!$K$4</f>
        <v>14430</v>
      </c>
      <c r="D12" s="16">
        <f>[17]Vendedor10!$L$4</f>
        <v>195500</v>
      </c>
      <c r="E12" s="14">
        <f>[17]Vendedor10!$J$5</f>
        <v>75500</v>
      </c>
      <c r="F12" s="15">
        <f>[17]Vendedor10!$K$5</f>
        <v>9060</v>
      </c>
      <c r="G12" s="17">
        <f>[17]Vendedor10!$L$5</f>
        <v>0</v>
      </c>
      <c r="H12" s="18">
        <f>[17]Vendedor10!$J$6</f>
        <v>0</v>
      </c>
      <c r="I12" s="15">
        <f>[17]Vendedor10!$K$6</f>
        <v>0</v>
      </c>
      <c r="J12" s="16">
        <f>[17]Vendedor10!$L$6</f>
        <v>0</v>
      </c>
      <c r="K12" s="19">
        <f t="shared" si="1"/>
        <v>195750</v>
      </c>
      <c r="L12" s="15">
        <f t="shared" si="4"/>
        <v>23500</v>
      </c>
      <c r="M12" s="15">
        <f t="shared" si="2"/>
        <v>195500</v>
      </c>
      <c r="N12" s="15">
        <v>0</v>
      </c>
      <c r="O12" s="17">
        <f t="shared" si="3"/>
        <v>-23250</v>
      </c>
    </row>
    <row r="13" spans="1:15" x14ac:dyDescent="0.35">
      <c r="A13" s="13" t="s">
        <v>22</v>
      </c>
      <c r="B13" s="14">
        <f>[18]Vendedor10!$J$4</f>
        <v>77100</v>
      </c>
      <c r="C13" s="15">
        <f>[18]Vendedor10!$K$4</f>
        <v>9252</v>
      </c>
      <c r="D13" s="16">
        <f>[18]Vendedor10!$L$4</f>
        <v>0</v>
      </c>
      <c r="E13" s="14">
        <f>[18]Vendedor10!$J$5</f>
        <v>34700</v>
      </c>
      <c r="F13" s="15">
        <f>[18]Vendedor10!$K$5</f>
        <v>4164</v>
      </c>
      <c r="G13" s="17">
        <f>[18]Vendedor10!$L$5</f>
        <v>0</v>
      </c>
      <c r="H13" s="18">
        <f>[18]Vendedor10!$J$6</f>
        <v>0</v>
      </c>
      <c r="I13" s="15">
        <f>[18]Vendedor10!$K$6</f>
        <v>0</v>
      </c>
      <c r="J13" s="16">
        <f>[18]Vendedor10!$L$6</f>
        <v>0</v>
      </c>
      <c r="K13" s="19">
        <f t="shared" si="1"/>
        <v>111800</v>
      </c>
      <c r="L13" s="15">
        <f t="shared" si="4"/>
        <v>13400</v>
      </c>
      <c r="M13" s="15">
        <f t="shared" si="2"/>
        <v>0</v>
      </c>
      <c r="N13" s="15">
        <v>0</v>
      </c>
      <c r="O13" s="17">
        <f t="shared" si="3"/>
        <v>98400</v>
      </c>
    </row>
    <row r="14" spans="1:15" x14ac:dyDescent="0.35">
      <c r="A14" s="20" t="s">
        <v>23</v>
      </c>
      <c r="B14" s="14">
        <f>[19]Vendedor10!$J$4</f>
        <v>103700</v>
      </c>
      <c r="C14" s="15">
        <f>[19]Vendedor10!$K$4</f>
        <v>12444</v>
      </c>
      <c r="D14" s="16">
        <f>[19]Vendedor10!$L$4</f>
        <v>272000</v>
      </c>
      <c r="E14" s="14">
        <f>[19]Vendedor10!$J$5</f>
        <v>27700</v>
      </c>
      <c r="F14" s="15">
        <f>[19]Vendedor10!$K$5</f>
        <v>3324</v>
      </c>
      <c r="G14" s="17">
        <f>[19]Vendedor10!$L$5</f>
        <v>24000</v>
      </c>
      <c r="H14" s="18">
        <f>[19]Vendedor10!$J$6</f>
        <v>0</v>
      </c>
      <c r="I14" s="15">
        <f>[19]Vendedor10!$K$6</f>
        <v>0</v>
      </c>
      <c r="J14" s="16">
        <f>[19]Vendedor10!$L$6</f>
        <v>0</v>
      </c>
      <c r="K14" s="19">
        <f t="shared" si="1"/>
        <v>131400</v>
      </c>
      <c r="L14" s="15">
        <f t="shared" si="4"/>
        <v>15750</v>
      </c>
      <c r="M14" s="15">
        <f t="shared" si="2"/>
        <v>296000</v>
      </c>
      <c r="N14" s="15">
        <v>0</v>
      </c>
      <c r="O14" s="17">
        <f t="shared" si="3"/>
        <v>-180350</v>
      </c>
    </row>
    <row r="15" spans="1:15" x14ac:dyDescent="0.35">
      <c r="A15" s="13" t="s">
        <v>24</v>
      </c>
      <c r="B15" s="14">
        <f>[20]Vendedor10!$J$4</f>
        <v>80650</v>
      </c>
      <c r="C15" s="15">
        <f>[20]Vendedor10!$K$4</f>
        <v>9678</v>
      </c>
      <c r="D15" s="16">
        <f>[20]Vendedor10!$L$4</f>
        <v>170000</v>
      </c>
      <c r="E15" s="14">
        <f>[20]Vendedor10!$J$5</f>
        <v>36650</v>
      </c>
      <c r="F15" s="15">
        <f>[20]Vendedor10!$K$5</f>
        <v>4398</v>
      </c>
      <c r="G15" s="17">
        <f>[20]Vendedor10!$L$5</f>
        <v>24000</v>
      </c>
      <c r="H15" s="18">
        <f>[20]Vendedor10!$J$6</f>
        <v>0</v>
      </c>
      <c r="I15" s="15">
        <f>[20]Vendedor10!$K$6</f>
        <v>0</v>
      </c>
      <c r="J15" s="16">
        <f>[20]Vendedor10!$L$6</f>
        <v>0</v>
      </c>
      <c r="K15" s="19">
        <f t="shared" si="1"/>
        <v>117300</v>
      </c>
      <c r="L15" s="15">
        <f t="shared" si="4"/>
        <v>14100</v>
      </c>
      <c r="M15" s="15">
        <f t="shared" si="2"/>
        <v>194000</v>
      </c>
      <c r="N15" s="15">
        <v>0</v>
      </c>
      <c r="O15" s="17">
        <f t="shared" si="3"/>
        <v>-90800</v>
      </c>
    </row>
    <row r="16" spans="1:15" x14ac:dyDescent="0.35">
      <c r="A16" s="20" t="s">
        <v>25</v>
      </c>
      <c r="B16" s="14">
        <f>[21]Vendedor10!$J$4</f>
        <v>79950</v>
      </c>
      <c r="C16" s="15">
        <f>[21]Vendedor10!$K$4</f>
        <v>9594</v>
      </c>
      <c r="D16" s="16">
        <f>[21]Vendedor10!$L$4</f>
        <v>34000</v>
      </c>
      <c r="E16" s="14">
        <f>[21]Vendedor10!$J$5</f>
        <v>45400</v>
      </c>
      <c r="F16" s="15">
        <f>[21]Vendedor10!$K$5</f>
        <v>5448</v>
      </c>
      <c r="G16" s="17">
        <f>[21]Vendedor10!$L$5</f>
        <v>32000</v>
      </c>
      <c r="H16" s="18">
        <f>[21]Vendedor10!$J$6</f>
        <v>0</v>
      </c>
      <c r="I16" s="15">
        <f>[21]Vendedor10!$K$6</f>
        <v>0</v>
      </c>
      <c r="J16" s="16">
        <f>[21]Vendedor10!$L$6</f>
        <v>0</v>
      </c>
      <c r="K16" s="19">
        <f t="shared" si="1"/>
        <v>125350</v>
      </c>
      <c r="L16" s="15">
        <f t="shared" si="4"/>
        <v>15050</v>
      </c>
      <c r="M16" s="15">
        <f t="shared" si="2"/>
        <v>66000</v>
      </c>
      <c r="N16" s="15">
        <v>0</v>
      </c>
      <c r="O16" s="17">
        <f t="shared" si="3"/>
        <v>44300</v>
      </c>
    </row>
    <row r="17" spans="1:15" x14ac:dyDescent="0.35">
      <c r="A17" s="13" t="s">
        <v>26</v>
      </c>
      <c r="B17" s="14">
        <f>[22]Vendedor10!$J$4</f>
        <v>37450</v>
      </c>
      <c r="C17" s="15">
        <f>[22]Vendedor10!$K$4</f>
        <v>4494</v>
      </c>
      <c r="D17" s="16">
        <f>[22]Vendedor10!$L$4</f>
        <v>0</v>
      </c>
      <c r="E17" s="14">
        <f>[22]Vendedor10!$J$5</f>
        <v>29750</v>
      </c>
      <c r="F17" s="15">
        <f>[22]Vendedor10!$K$5</f>
        <v>3570</v>
      </c>
      <c r="G17" s="17">
        <f>[22]Vendedor10!$L$5</f>
        <v>76000</v>
      </c>
      <c r="H17" s="18">
        <f>[22]Vendedor10!$J$6</f>
        <v>0</v>
      </c>
      <c r="I17" s="15">
        <f>[22]Vendedor10!$K$6</f>
        <v>0</v>
      </c>
      <c r="J17" s="16">
        <f>[22]Vendedor10!$L$6</f>
        <v>0</v>
      </c>
      <c r="K17" s="19">
        <f t="shared" si="1"/>
        <v>67200</v>
      </c>
      <c r="L17" s="15">
        <f t="shared" si="4"/>
        <v>8050</v>
      </c>
      <c r="M17" s="15">
        <f t="shared" si="2"/>
        <v>76000</v>
      </c>
      <c r="N17" s="15">
        <v>0</v>
      </c>
      <c r="O17" s="17">
        <f t="shared" si="3"/>
        <v>-16850</v>
      </c>
    </row>
    <row r="18" spans="1:15" x14ac:dyDescent="0.35">
      <c r="A18" s="20" t="s">
        <v>27</v>
      </c>
      <c r="B18" s="14">
        <f>[23]Vendedor10!$J$4</f>
        <v>116500</v>
      </c>
      <c r="C18" s="15">
        <f>[23]Vendedor10!$K$4</f>
        <v>13980</v>
      </c>
      <c r="D18" s="16">
        <f>[23]Vendedor10!$L$4</f>
        <v>34000</v>
      </c>
      <c r="E18" s="14">
        <f>[23]Vendedor10!$J$5</f>
        <v>40150</v>
      </c>
      <c r="F18" s="15">
        <f>[23]Vendedor10!$K$5</f>
        <v>4818</v>
      </c>
      <c r="G18" s="17">
        <f>[23]Vendedor10!$L$5</f>
        <v>48000</v>
      </c>
      <c r="H18" s="18">
        <f>[23]Vendedor10!$J$6</f>
        <v>0</v>
      </c>
      <c r="I18" s="15">
        <f>[23]Vendedor10!$K$6</f>
        <v>0</v>
      </c>
      <c r="J18" s="16">
        <f>[23]Vendedor10!$L$6</f>
        <v>0</v>
      </c>
      <c r="K18" s="19">
        <f t="shared" si="1"/>
        <v>156650</v>
      </c>
      <c r="L18" s="15">
        <f t="shared" si="4"/>
        <v>18800</v>
      </c>
      <c r="M18" s="15">
        <f t="shared" si="2"/>
        <v>82000</v>
      </c>
      <c r="N18" s="15">
        <v>0</v>
      </c>
      <c r="O18" s="17">
        <f t="shared" si="3"/>
        <v>55850</v>
      </c>
    </row>
    <row r="19" spans="1:15" x14ac:dyDescent="0.35">
      <c r="A19" s="20" t="s">
        <v>28</v>
      </c>
      <c r="B19" s="14">
        <f>[24]Vendedor10!$J$4</f>
        <v>137500</v>
      </c>
      <c r="C19" s="15">
        <f>[24]Vendedor10!$K$4</f>
        <v>16500</v>
      </c>
      <c r="D19" s="16">
        <f>[24]Vendedor10!$L$4</f>
        <v>25500</v>
      </c>
      <c r="E19" s="14">
        <f>[24]Vendedor10!$J$5</f>
        <v>42400</v>
      </c>
      <c r="F19" s="15">
        <f>[24]Vendedor10!$K$5</f>
        <v>5088</v>
      </c>
      <c r="G19" s="17">
        <f>[24]Vendedor10!$L$5</f>
        <v>0</v>
      </c>
      <c r="H19" s="18">
        <f>[24]Vendedor10!$J$6</f>
        <v>0</v>
      </c>
      <c r="I19" s="15">
        <f>[24]Vendedor10!$K$6</f>
        <v>0</v>
      </c>
      <c r="J19" s="16">
        <f>[24]Vendedor10!$L$6</f>
        <v>0</v>
      </c>
      <c r="K19" s="19">
        <f t="shared" si="1"/>
        <v>179900</v>
      </c>
      <c r="L19" s="15">
        <f t="shared" si="4"/>
        <v>21600</v>
      </c>
      <c r="M19" s="15">
        <f t="shared" si="2"/>
        <v>25500</v>
      </c>
      <c r="N19" s="15">
        <v>0</v>
      </c>
      <c r="O19" s="17">
        <f t="shared" si="3"/>
        <v>132800</v>
      </c>
    </row>
    <row r="20" spans="1:15" x14ac:dyDescent="0.35">
      <c r="A20" s="13" t="s">
        <v>29</v>
      </c>
      <c r="B20" s="14">
        <f>[25]Vendedor10!$J$4</f>
        <v>78800</v>
      </c>
      <c r="C20" s="15">
        <f>[25]Vendedor10!$K$4</f>
        <v>9456</v>
      </c>
      <c r="D20" s="16">
        <f>[25]Vendedor10!$L$4</f>
        <v>0</v>
      </c>
      <c r="E20" s="14">
        <f>[25]Vendedor10!$J$5</f>
        <v>50050</v>
      </c>
      <c r="F20" s="15">
        <f>[25]Vendedor10!$K$5</f>
        <v>6006</v>
      </c>
      <c r="G20" s="17">
        <f>[25]Vendedor10!$L$5</f>
        <v>0</v>
      </c>
      <c r="H20" s="18">
        <f>[25]Vendedor10!$J$6</f>
        <v>0</v>
      </c>
      <c r="I20" s="15">
        <f>[25]Vendedor10!$K$6</f>
        <v>0</v>
      </c>
      <c r="J20" s="16">
        <f>[25]Vendedor10!$L$6</f>
        <v>0</v>
      </c>
      <c r="K20" s="19">
        <f t="shared" si="1"/>
        <v>128850</v>
      </c>
      <c r="L20" s="15">
        <f t="shared" si="4"/>
        <v>15450</v>
      </c>
      <c r="M20" s="15">
        <f t="shared" si="2"/>
        <v>0</v>
      </c>
      <c r="N20" s="15">
        <v>0</v>
      </c>
      <c r="O20" s="17">
        <f t="shared" si="3"/>
        <v>113400</v>
      </c>
    </row>
    <row r="21" spans="1:15" x14ac:dyDescent="0.35">
      <c r="A21" s="20" t="s">
        <v>30</v>
      </c>
      <c r="B21" s="14">
        <f>[26]Vendedor10!$J$4</f>
        <v>77600</v>
      </c>
      <c r="C21" s="81">
        <f>[26]Vendedor10!$K$4</f>
        <v>9312</v>
      </c>
      <c r="D21" s="82">
        <f>[26]Vendedor10!$L$4</f>
        <v>161500</v>
      </c>
      <c r="E21" s="14">
        <f>[26]Vendedor10!$J$5</f>
        <v>37300</v>
      </c>
      <c r="F21" s="81">
        <f>[26]Vendedor10!$K$5</f>
        <v>4476</v>
      </c>
      <c r="G21" s="85">
        <f>[26]Vendedor10!$L$5</f>
        <v>96000</v>
      </c>
      <c r="H21" s="19">
        <f>[26]Vendedor10!$J$6</f>
        <v>0</v>
      </c>
      <c r="I21" s="15">
        <f>[26]Vendedor10!$K$6</f>
        <v>0</v>
      </c>
      <c r="J21" s="17">
        <f>[26]Vendedor10!$L$6</f>
        <v>0</v>
      </c>
      <c r="K21" s="19">
        <f t="shared" si="1"/>
        <v>114900</v>
      </c>
      <c r="L21" s="15">
        <f t="shared" si="4"/>
        <v>13800</v>
      </c>
      <c r="M21" s="15">
        <f t="shared" si="2"/>
        <v>257500</v>
      </c>
      <c r="N21" s="15">
        <v>0</v>
      </c>
      <c r="O21" s="17">
        <f t="shared" si="3"/>
        <v>-156400</v>
      </c>
    </row>
    <row r="22" spans="1:15" x14ac:dyDescent="0.35">
      <c r="A22" s="13" t="s">
        <v>31</v>
      </c>
      <c r="B22" s="14">
        <f>[27]Vendedor10!$J$4</f>
        <v>98500</v>
      </c>
      <c r="C22" s="81">
        <f>[27]Vendedor10!$K$4</f>
        <v>11820</v>
      </c>
      <c r="D22" s="82">
        <f>[27]Vendedor10!$L$4</f>
        <v>12750</v>
      </c>
      <c r="E22" s="14">
        <f>[27]Vendedor10!$J$5</f>
        <v>42650</v>
      </c>
      <c r="F22" s="81">
        <f>[27]Vendedor10!$K$5</f>
        <v>5118</v>
      </c>
      <c r="G22" s="85">
        <f>[27]Vendedor10!$L$5</f>
        <v>8000</v>
      </c>
      <c r="H22" s="19">
        <f>[27]Vendedor10!$J$6</f>
        <v>0</v>
      </c>
      <c r="I22" s="15">
        <f>[27]Vendedor10!$K$6</f>
        <v>0</v>
      </c>
      <c r="J22" s="17">
        <f>[27]Vendedor10!$L$6</f>
        <v>0</v>
      </c>
      <c r="K22" s="19">
        <f t="shared" si="1"/>
        <v>141150</v>
      </c>
      <c r="L22" s="15">
        <f t="shared" si="4"/>
        <v>16950</v>
      </c>
      <c r="M22" s="15">
        <f t="shared" si="2"/>
        <v>20750</v>
      </c>
      <c r="N22" s="15">
        <v>0</v>
      </c>
      <c r="O22" s="17">
        <f t="shared" si="3"/>
        <v>103450</v>
      </c>
    </row>
    <row r="23" spans="1:15" x14ac:dyDescent="0.35">
      <c r="A23" s="20" t="s">
        <v>32</v>
      </c>
      <c r="B23" s="14">
        <f>[28]Vendedor10!$J$4</f>
        <v>139950</v>
      </c>
      <c r="C23" s="81">
        <f>[28]Vendedor10!$K$4</f>
        <v>16794</v>
      </c>
      <c r="D23" s="82">
        <f>[28]Vendedor10!$L$4</f>
        <v>182750</v>
      </c>
      <c r="E23" s="14">
        <f>[28]Vendedor10!$J$5</f>
        <v>29900</v>
      </c>
      <c r="F23" s="81">
        <f>[28]Vendedor10!$K$5</f>
        <v>3588</v>
      </c>
      <c r="G23" s="85">
        <f>[28]Vendedor10!$L$5</f>
        <v>20000</v>
      </c>
      <c r="H23" s="19">
        <f>[28]Vendedor10!$J$6</f>
        <v>0</v>
      </c>
      <c r="I23" s="15">
        <f>[28]Vendedor10!$K$6</f>
        <v>0</v>
      </c>
      <c r="J23" s="17">
        <f>[28]Vendedor10!$L$6</f>
        <v>0</v>
      </c>
      <c r="K23" s="19">
        <f t="shared" si="1"/>
        <v>169850</v>
      </c>
      <c r="L23" s="15">
        <f t="shared" si="4"/>
        <v>20400</v>
      </c>
      <c r="M23" s="15">
        <f t="shared" si="2"/>
        <v>202750</v>
      </c>
      <c r="N23" s="15">
        <v>0</v>
      </c>
      <c r="O23" s="17">
        <f t="shared" si="3"/>
        <v>-53300</v>
      </c>
    </row>
    <row r="24" spans="1:15" x14ac:dyDescent="0.35">
      <c r="A24" s="13" t="s">
        <v>33</v>
      </c>
      <c r="B24" s="14">
        <f>[29]Vendedor10!$J$4</f>
        <v>137300</v>
      </c>
      <c r="C24" s="81">
        <f>[29]Vendedor10!$K$4</f>
        <v>16476</v>
      </c>
      <c r="D24" s="82">
        <f>[29]Vendedor10!$L$4</f>
        <v>25500</v>
      </c>
      <c r="E24" s="14">
        <f>[29]Vendedor10!$J$5</f>
        <v>58150</v>
      </c>
      <c r="F24" s="81">
        <f>[29]Vendedor10!$K$5</f>
        <v>6978</v>
      </c>
      <c r="G24" s="85">
        <f>[29]Vendedor10!$L$5</f>
        <v>0</v>
      </c>
      <c r="H24" s="19">
        <f>[29]Vendedor10!$J$6</f>
        <v>0</v>
      </c>
      <c r="I24" s="15">
        <f>[29]Vendedor10!$K$6</f>
        <v>0</v>
      </c>
      <c r="J24" s="17">
        <f>[29]Vendedor10!$L$6</f>
        <v>0</v>
      </c>
      <c r="K24" s="19">
        <f t="shared" si="1"/>
        <v>195450</v>
      </c>
      <c r="L24" s="15">
        <f t="shared" si="4"/>
        <v>23450</v>
      </c>
      <c r="M24" s="15">
        <f t="shared" si="2"/>
        <v>25500</v>
      </c>
      <c r="N24" s="15">
        <v>0</v>
      </c>
      <c r="O24" s="17">
        <f t="shared" si="3"/>
        <v>146500</v>
      </c>
    </row>
    <row r="25" spans="1:15" x14ac:dyDescent="0.35">
      <c r="A25" s="20" t="s">
        <v>34</v>
      </c>
      <c r="B25" s="14">
        <f>[30]Vendedor10!$J$4</f>
        <v>91650</v>
      </c>
      <c r="C25" s="81">
        <f>[30]Vendedor10!$K$4</f>
        <v>10998</v>
      </c>
      <c r="D25" s="82">
        <f>[30]Vendedor10!$L$4</f>
        <v>8500</v>
      </c>
      <c r="E25" s="14">
        <f>[30]Vendedor10!$J$5</f>
        <v>30600</v>
      </c>
      <c r="F25" s="81">
        <f>[30]Vendedor10!$K$5</f>
        <v>3672</v>
      </c>
      <c r="G25" s="85">
        <f>[30]Vendedor10!$L$5</f>
        <v>64000</v>
      </c>
      <c r="H25" s="19">
        <f>[30]Vendedor10!$J$6</f>
        <v>0</v>
      </c>
      <c r="I25" s="15">
        <f>[30]Vendedor10!$K$6</f>
        <v>0</v>
      </c>
      <c r="J25" s="17">
        <f>[30]Vendedor10!$L$6</f>
        <v>0</v>
      </c>
      <c r="K25" s="19">
        <f t="shared" si="1"/>
        <v>122250</v>
      </c>
      <c r="L25" s="15">
        <f t="shared" si="4"/>
        <v>14650</v>
      </c>
      <c r="M25" s="15">
        <f t="shared" si="2"/>
        <v>72500</v>
      </c>
      <c r="N25" s="15">
        <v>0</v>
      </c>
      <c r="O25" s="17">
        <f t="shared" si="3"/>
        <v>35100</v>
      </c>
    </row>
    <row r="26" spans="1:15" x14ac:dyDescent="0.35">
      <c r="A26" s="13" t="s">
        <v>35</v>
      </c>
      <c r="B26" s="14">
        <f>[31]Vendedor10!$J$4</f>
        <v>73300</v>
      </c>
      <c r="C26" s="81">
        <f>[31]Vendedor10!$K$4</f>
        <v>8796</v>
      </c>
      <c r="D26" s="82">
        <f>[31]Vendedor10!$L$4</f>
        <v>259250</v>
      </c>
      <c r="E26" s="14">
        <f>[31]Vendedor10!$J$5</f>
        <v>30850</v>
      </c>
      <c r="F26" s="81">
        <f>[31]Vendedor10!$K$5</f>
        <v>3702</v>
      </c>
      <c r="G26" s="85">
        <f>[31]Vendedor10!$L$5</f>
        <v>8000</v>
      </c>
      <c r="H26" s="19">
        <f>[31]Vendedor10!$J$6</f>
        <v>0</v>
      </c>
      <c r="I26" s="15">
        <f>[31]Vendedor10!$K$6</f>
        <v>0</v>
      </c>
      <c r="J26" s="17">
        <f>[31]Vendedor10!$L$6</f>
        <v>0</v>
      </c>
      <c r="K26" s="19">
        <f t="shared" si="1"/>
        <v>104150</v>
      </c>
      <c r="L26" s="15">
        <f t="shared" si="4"/>
        <v>12500</v>
      </c>
      <c r="M26" s="15">
        <f t="shared" si="2"/>
        <v>267250</v>
      </c>
      <c r="N26" s="15">
        <v>0</v>
      </c>
      <c r="O26" s="17">
        <f t="shared" si="3"/>
        <v>-175600</v>
      </c>
    </row>
    <row r="27" spans="1:15" x14ac:dyDescent="0.35">
      <c r="A27" s="20" t="s">
        <v>36</v>
      </c>
      <c r="B27" s="14">
        <f>[1]Vendedor10!$J$4</f>
        <v>87650</v>
      </c>
      <c r="C27" s="81">
        <f>[1]Vendedor10!$K$4</f>
        <v>10518</v>
      </c>
      <c r="D27" s="82">
        <f>[1]Vendedor10!$L$4</f>
        <v>12750</v>
      </c>
      <c r="E27" s="14">
        <f>[1]Vendedor10!$J$5</f>
        <v>20900</v>
      </c>
      <c r="F27" s="81">
        <f>[1]Vendedor10!$K$5</f>
        <v>2508</v>
      </c>
      <c r="G27" s="85">
        <f>[1]Vendedor10!$L$5</f>
        <v>0</v>
      </c>
      <c r="H27" s="19">
        <f>[1]Vendedor10!$J$6</f>
        <v>0</v>
      </c>
      <c r="I27" s="15">
        <f>[1]Vendedor10!$K$6</f>
        <v>0</v>
      </c>
      <c r="J27" s="17">
        <f>[1]Vendedor10!$L$6</f>
        <v>0</v>
      </c>
      <c r="K27" s="19">
        <f t="shared" si="1"/>
        <v>108550</v>
      </c>
      <c r="L27" s="15">
        <f t="shared" si="4"/>
        <v>13050</v>
      </c>
      <c r="M27" s="15">
        <f t="shared" si="2"/>
        <v>12750</v>
      </c>
      <c r="N27" s="15">
        <v>0</v>
      </c>
      <c r="O27" s="17">
        <f t="shared" si="3"/>
        <v>82750</v>
      </c>
    </row>
    <row r="28" spans="1:15" x14ac:dyDescent="0.35">
      <c r="A28" s="13" t="s">
        <v>37</v>
      </c>
      <c r="B28" s="14">
        <f>[2]Vendedor10!$J$4</f>
        <v>53200</v>
      </c>
      <c r="C28" s="81">
        <f>[2]Vendedor10!$K$4</f>
        <v>6384</v>
      </c>
      <c r="D28" s="82">
        <f>[2]Vendedor10!$L$4</f>
        <v>25500</v>
      </c>
      <c r="E28" s="14">
        <f>[2]Vendedor10!$J$5</f>
        <v>46350</v>
      </c>
      <c r="F28" s="81">
        <f>[2]Vendedor10!$K$5</f>
        <v>5562</v>
      </c>
      <c r="G28" s="85">
        <f>[2]Vendedor10!$L$5</f>
        <v>0</v>
      </c>
      <c r="H28" s="19">
        <f>[2]Vendedor10!$J$6</f>
        <v>0</v>
      </c>
      <c r="I28" s="15">
        <f>[2]Vendedor10!$K$6</f>
        <v>0</v>
      </c>
      <c r="J28" s="17">
        <f>[2]Vendedor10!$L$6</f>
        <v>0</v>
      </c>
      <c r="K28" s="19">
        <f t="shared" si="1"/>
        <v>99550</v>
      </c>
      <c r="L28" s="15">
        <f t="shared" si="4"/>
        <v>11950</v>
      </c>
      <c r="M28" s="15">
        <f t="shared" si="2"/>
        <v>25500</v>
      </c>
      <c r="N28" s="15">
        <v>0</v>
      </c>
      <c r="O28" s="17">
        <f t="shared" si="3"/>
        <v>62100</v>
      </c>
    </row>
    <row r="29" spans="1:15" x14ac:dyDescent="0.35">
      <c r="A29" s="20" t="s">
        <v>38</v>
      </c>
      <c r="B29" s="14">
        <f>[3]Vendedor10!$J$4</f>
        <v>83900</v>
      </c>
      <c r="C29" s="81">
        <f>[3]Vendedor10!$K$4</f>
        <v>10068</v>
      </c>
      <c r="D29" s="82">
        <f>[3]Vendedor10!$L$4</f>
        <v>140250</v>
      </c>
      <c r="E29" s="14">
        <f>[3]Vendedor10!$J$5</f>
        <v>30650</v>
      </c>
      <c r="F29" s="81">
        <f>[3]Vendedor10!$K$5</f>
        <v>3678</v>
      </c>
      <c r="G29" s="85">
        <f>[3]Vendedor10!$L$5</f>
        <v>80000</v>
      </c>
      <c r="H29" s="19">
        <f>[3]Vendedor10!$J$6</f>
        <v>0</v>
      </c>
      <c r="I29" s="15">
        <f>[3]Vendedor10!$K$6</f>
        <v>0</v>
      </c>
      <c r="J29" s="17">
        <f>[3]Vendedor10!$L$6</f>
        <v>0</v>
      </c>
      <c r="K29" s="19">
        <f t="shared" si="1"/>
        <v>114550</v>
      </c>
      <c r="L29" s="15">
        <f t="shared" si="4"/>
        <v>13750</v>
      </c>
      <c r="M29" s="15">
        <f t="shared" si="2"/>
        <v>220250</v>
      </c>
      <c r="N29" s="15">
        <v>0</v>
      </c>
      <c r="O29" s="17">
        <f t="shared" si="3"/>
        <v>-119450</v>
      </c>
    </row>
    <row r="30" spans="1:15" x14ac:dyDescent="0.35">
      <c r="A30" s="13" t="s">
        <v>39</v>
      </c>
      <c r="B30" s="14">
        <f>[4]Vendedor10!$J$4</f>
        <v>75450</v>
      </c>
      <c r="C30" s="81">
        <f>[4]Vendedor10!$K$4</f>
        <v>9054</v>
      </c>
      <c r="D30" s="82">
        <f>[4]Vendedor10!$L$4</f>
        <v>0</v>
      </c>
      <c r="E30" s="14">
        <f>[4]Vendedor10!$J$5</f>
        <v>25050</v>
      </c>
      <c r="F30" s="81">
        <f>[4]Vendedor10!$K$5</f>
        <v>3006</v>
      </c>
      <c r="G30" s="85">
        <f>[4]Vendedor10!$L$5</f>
        <v>80000</v>
      </c>
      <c r="H30" s="19">
        <f>[4]Vendedor10!$J$6</f>
        <v>0</v>
      </c>
      <c r="I30" s="15">
        <f>[4]Vendedor10!$K$6</f>
        <v>0</v>
      </c>
      <c r="J30" s="17">
        <f>[4]Vendedor10!$L$6</f>
        <v>0</v>
      </c>
      <c r="K30" s="19">
        <f t="shared" si="1"/>
        <v>100500</v>
      </c>
      <c r="L30" s="15">
        <f t="shared" si="4"/>
        <v>12050</v>
      </c>
      <c r="M30" s="15">
        <f t="shared" si="2"/>
        <v>80000</v>
      </c>
      <c r="N30" s="15">
        <v>0</v>
      </c>
      <c r="O30" s="17">
        <f t="shared" si="3"/>
        <v>8450</v>
      </c>
    </row>
    <row r="31" spans="1:15" x14ac:dyDescent="0.35">
      <c r="A31" s="20" t="s">
        <v>40</v>
      </c>
      <c r="B31" s="14">
        <f>[5]Vendedor10!$J$4</f>
        <v>113150</v>
      </c>
      <c r="C31" s="81">
        <f>[5]Vendedor10!$K$4</f>
        <v>13578</v>
      </c>
      <c r="D31" s="82">
        <f>[5]Vendedor10!$L$4</f>
        <v>68000</v>
      </c>
      <c r="E31" s="14">
        <f>[5]Vendedor10!$J$5</f>
        <v>49000</v>
      </c>
      <c r="F31" s="81">
        <f>[5]Vendedor10!$K$5</f>
        <v>5880</v>
      </c>
      <c r="G31" s="85">
        <f>[5]Vendedor10!$L$5</f>
        <v>80000</v>
      </c>
      <c r="H31" s="19">
        <f>[5]Vendedor10!$J$6</f>
        <v>0</v>
      </c>
      <c r="I31" s="15">
        <f>[5]Vendedor10!$K$6</f>
        <v>0</v>
      </c>
      <c r="J31" s="17">
        <f>[5]Vendedor10!$L$6</f>
        <v>0</v>
      </c>
      <c r="K31" s="19">
        <f t="shared" si="1"/>
        <v>162150</v>
      </c>
      <c r="L31" s="15">
        <f t="shared" si="4"/>
        <v>19450</v>
      </c>
      <c r="M31" s="15">
        <f t="shared" si="2"/>
        <v>148000</v>
      </c>
      <c r="N31" s="15">
        <v>0</v>
      </c>
      <c r="O31" s="17">
        <f t="shared" si="3"/>
        <v>-5300</v>
      </c>
    </row>
    <row r="32" spans="1:15" x14ac:dyDescent="0.35">
      <c r="A32" s="20" t="s">
        <v>41</v>
      </c>
      <c r="B32" s="14">
        <f>[6]Vendedor10!$J$4</f>
        <v>86100</v>
      </c>
      <c r="C32" s="81">
        <f>[6]Vendedor10!$K$4</f>
        <v>10332</v>
      </c>
      <c r="D32" s="82">
        <f>[6]Vendedor10!$L$4</f>
        <v>59500</v>
      </c>
      <c r="E32" s="14">
        <f>[6]Vendedor10!$J$5</f>
        <v>34700</v>
      </c>
      <c r="F32" s="81">
        <f>[6]Vendedor10!$K$5</f>
        <v>4164</v>
      </c>
      <c r="G32" s="85">
        <f>[6]Vendedor10!$L$5</f>
        <v>0</v>
      </c>
      <c r="H32" s="19">
        <f>[6]Vendedor10!$J$6</f>
        <v>0</v>
      </c>
      <c r="I32" s="15">
        <f>[6]Vendedor10!$K$6</f>
        <v>0</v>
      </c>
      <c r="J32" s="17">
        <f>[6]Vendedor10!$L$6</f>
        <v>0</v>
      </c>
      <c r="K32" s="19">
        <f t="shared" si="1"/>
        <v>120800</v>
      </c>
      <c r="L32" s="15">
        <f t="shared" si="4"/>
        <v>14500</v>
      </c>
      <c r="M32" s="15">
        <f t="shared" si="2"/>
        <v>59500</v>
      </c>
      <c r="N32" s="15">
        <v>0</v>
      </c>
      <c r="O32" s="17">
        <f t="shared" si="3"/>
        <v>46800</v>
      </c>
    </row>
    <row r="33" spans="1:15" x14ac:dyDescent="0.35">
      <c r="A33" s="13" t="s">
        <v>42</v>
      </c>
      <c r="B33" s="14">
        <f>[7]Vendedor10!$J$4</f>
        <v>79600</v>
      </c>
      <c r="C33" s="81">
        <f>[7]Vendedor10!$K$4</f>
        <v>9552</v>
      </c>
      <c r="D33" s="82">
        <f>[7]Vendedor10!$L$4</f>
        <v>42500</v>
      </c>
      <c r="E33" s="14">
        <f>[7]Vendedor10!$J$5</f>
        <v>21500</v>
      </c>
      <c r="F33" s="81">
        <f>[7]Vendedor10!$K$5</f>
        <v>2580</v>
      </c>
      <c r="G33" s="85">
        <f>[7]Vendedor10!$L$5</f>
        <v>0</v>
      </c>
      <c r="H33" s="19">
        <f>[7]Vendedor10!$J$6</f>
        <v>0</v>
      </c>
      <c r="I33" s="15">
        <f>[7]Vendedor10!$K$6</f>
        <v>0</v>
      </c>
      <c r="J33" s="17">
        <f>[7]Vendedor10!$L$6</f>
        <v>0</v>
      </c>
      <c r="K33" s="19">
        <f t="shared" si="1"/>
        <v>101100</v>
      </c>
      <c r="L33" s="15">
        <f t="shared" si="4"/>
        <v>12150</v>
      </c>
      <c r="M33" s="15">
        <f t="shared" si="2"/>
        <v>42500</v>
      </c>
      <c r="N33" s="15">
        <v>0</v>
      </c>
      <c r="O33" s="17">
        <f t="shared" si="3"/>
        <v>46450</v>
      </c>
    </row>
    <row r="34" spans="1:15" x14ac:dyDescent="0.35">
      <c r="A34" s="20" t="s">
        <v>43</v>
      </c>
      <c r="B34" s="14">
        <f>[8]Vendedor10!$J$4</f>
        <v>82250</v>
      </c>
      <c r="C34" s="81">
        <f>[8]Vendedor10!$K$4</f>
        <v>9870</v>
      </c>
      <c r="D34" s="82">
        <f>[8]Vendedor10!$L$4</f>
        <v>21250</v>
      </c>
      <c r="E34" s="14">
        <f>[8]Vendedor10!$J$5</f>
        <v>34950</v>
      </c>
      <c r="F34" s="81">
        <f>[8]Vendedor10!$K$5</f>
        <v>4194</v>
      </c>
      <c r="G34" s="85">
        <f>[8]Vendedor10!$L$5</f>
        <v>0</v>
      </c>
      <c r="H34" s="19">
        <f>[8]Vendedor10!$J$6</f>
        <v>0</v>
      </c>
      <c r="I34" s="15">
        <f>[8]Vendedor10!$K$6</f>
        <v>0</v>
      </c>
      <c r="J34" s="17">
        <f>[8]Vendedor10!$L$6</f>
        <v>0</v>
      </c>
      <c r="K34" s="19">
        <f t="shared" si="1"/>
        <v>117200</v>
      </c>
      <c r="L34" s="15">
        <f t="shared" si="4"/>
        <v>14050</v>
      </c>
      <c r="M34" s="15">
        <f t="shared" si="2"/>
        <v>21250</v>
      </c>
      <c r="N34" s="15">
        <v>0</v>
      </c>
      <c r="O34" s="17">
        <f t="shared" si="3"/>
        <v>81900</v>
      </c>
    </row>
    <row r="35" spans="1:15" x14ac:dyDescent="0.35">
      <c r="A35" s="13" t="s">
        <v>44</v>
      </c>
      <c r="B35" s="14">
        <f>[9]Vendedor10!$J$4</f>
        <v>66250</v>
      </c>
      <c r="C35" s="81">
        <f>[9]Vendedor10!$K$4</f>
        <v>7950</v>
      </c>
      <c r="D35" s="82">
        <f>[9]Vendedor10!$L$4</f>
        <v>0</v>
      </c>
      <c r="E35" s="14">
        <f>[9]Vendedor10!$J$5</f>
        <v>31200</v>
      </c>
      <c r="F35" s="81">
        <f>[9]Vendedor10!$K$5</f>
        <v>3744</v>
      </c>
      <c r="G35" s="85">
        <f>[9]Vendedor10!$L$5</f>
        <v>40000</v>
      </c>
      <c r="H35" s="19">
        <f>[9]Vendedor10!$J$6</f>
        <v>0</v>
      </c>
      <c r="I35" s="15">
        <f>[9]Vendedor10!$K$6</f>
        <v>0</v>
      </c>
      <c r="J35" s="17">
        <f>[9]Vendedor10!$L$6</f>
        <v>0</v>
      </c>
      <c r="K35" s="19">
        <f t="shared" si="1"/>
        <v>97450</v>
      </c>
      <c r="L35" s="15">
        <f t="shared" si="4"/>
        <v>11700</v>
      </c>
      <c r="M35" s="15">
        <f t="shared" si="2"/>
        <v>40000</v>
      </c>
      <c r="N35" s="15">
        <v>0</v>
      </c>
      <c r="O35" s="17">
        <f t="shared" si="3"/>
        <v>45750</v>
      </c>
    </row>
    <row r="36" spans="1:15" x14ac:dyDescent="0.35">
      <c r="A36" s="20" t="s">
        <v>45</v>
      </c>
      <c r="B36" s="21">
        <f>[10]Vendedor10!$J$4</f>
        <v>79800</v>
      </c>
      <c r="C36" s="83">
        <f>[10]Vendedor10!$K$4</f>
        <v>9576</v>
      </c>
      <c r="D36" s="84">
        <f>[10]Vendedor10!$L$4</f>
        <v>0</v>
      </c>
      <c r="E36" s="21">
        <f>[10]Vendedor10!$J$5</f>
        <v>31050</v>
      </c>
      <c r="F36" s="83">
        <f>[10]Vendedor10!$K$5</f>
        <v>3726</v>
      </c>
      <c r="G36" s="86">
        <f>[10]Vendedor10!$L$5</f>
        <v>40000</v>
      </c>
      <c r="H36" s="26">
        <f>[10]Vendedor10!$J$6</f>
        <v>0</v>
      </c>
      <c r="I36" s="22">
        <f>[10]Vendedor10!$K$6</f>
        <v>0</v>
      </c>
      <c r="J36" s="24">
        <f>[10]Vendedor10!$L$6</f>
        <v>0</v>
      </c>
      <c r="K36" s="26">
        <f t="shared" si="1"/>
        <v>110850</v>
      </c>
      <c r="L36" s="22">
        <f t="shared" si="4"/>
        <v>13300</v>
      </c>
      <c r="M36" s="22">
        <f t="shared" si="2"/>
        <v>40000</v>
      </c>
      <c r="N36" s="22">
        <v>0</v>
      </c>
      <c r="O36" s="24">
        <f t="shared" si="3"/>
        <v>57550</v>
      </c>
    </row>
    <row r="37" spans="1:15" ht="15.5" x14ac:dyDescent="0.35">
      <c r="A37" s="5" t="s">
        <v>46</v>
      </c>
      <c r="B37" s="27">
        <f t="shared" ref="B37:M37" si="5">SUM(B6:B36)</f>
        <v>2938000</v>
      </c>
      <c r="C37" s="28">
        <f t="shared" si="5"/>
        <v>352560</v>
      </c>
      <c r="D37" s="29">
        <f t="shared" si="5"/>
        <v>2235500</v>
      </c>
      <c r="E37" s="30">
        <f t="shared" si="5"/>
        <v>1321500</v>
      </c>
      <c r="F37" s="28">
        <f t="shared" si="5"/>
        <v>158580</v>
      </c>
      <c r="G37" s="31">
        <f t="shared" si="5"/>
        <v>976000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4259500</v>
      </c>
      <c r="L37" s="28">
        <f t="shared" si="5"/>
        <v>511150</v>
      </c>
      <c r="M37" s="28">
        <f t="shared" si="5"/>
        <v>3211500</v>
      </c>
      <c r="N37" s="32">
        <f>SUM(N5:N36)</f>
        <v>0</v>
      </c>
      <c r="O37" s="33">
        <f>SUM(O5:O36)</f>
        <v>536850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139</v>
      </c>
      <c r="C2" s="142"/>
      <c r="D2" s="142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[11]Vendedor11!$J$4</f>
        <v>76850</v>
      </c>
      <c r="C6" s="87">
        <f>[11]Vendedor11!$K$4</f>
        <v>11527.5</v>
      </c>
      <c r="D6" s="88">
        <f>[11]Vendedor11!$L$4</f>
        <v>40000</v>
      </c>
      <c r="E6" s="53">
        <f>[11]Vendedor11!$J$5</f>
        <v>0</v>
      </c>
      <c r="F6" s="87">
        <f>[11]Vendedor11!$K$5</f>
        <v>0</v>
      </c>
      <c r="G6" s="89">
        <f>[11]Vendedor11!$L$5</f>
        <v>0</v>
      </c>
      <c r="H6" s="59">
        <f>[11]Vendedor11!$J$6</f>
        <v>0</v>
      </c>
      <c r="I6" s="58">
        <f>[11]Vendedor11!$K$6</f>
        <v>0</v>
      </c>
      <c r="J6" s="55">
        <f>[11]Vendedor11!$L$6</f>
        <v>0</v>
      </c>
      <c r="K6" s="59">
        <f t="shared" ref="K6:K36" si="1">+B6+E6+H6</f>
        <v>76850</v>
      </c>
      <c r="L6" s="58">
        <f>MROUND(C6+F6+I6,50)</f>
        <v>11550</v>
      </c>
      <c r="M6" s="58">
        <f t="shared" ref="M6:M36" si="2">+D6+G6+J6</f>
        <v>40000</v>
      </c>
      <c r="N6" s="58">
        <v>0</v>
      </c>
      <c r="O6" s="55">
        <f t="shared" ref="O6:O36" si="3">+K6-L6-M6+N6</f>
        <v>25300</v>
      </c>
    </row>
    <row r="7" spans="1:15" x14ac:dyDescent="0.35">
      <c r="A7" s="13" t="s">
        <v>50</v>
      </c>
      <c r="B7" s="14">
        <f>[12]Vendedor11!$J$4</f>
        <v>81450</v>
      </c>
      <c r="C7" s="81">
        <f>[12]Vendedor11!$K$4</f>
        <v>12217.5</v>
      </c>
      <c r="D7" s="82">
        <f>[12]Vendedor11!$L$4</f>
        <v>176000</v>
      </c>
      <c r="E7" s="14">
        <f>[12]Vendedor11!$J$5</f>
        <v>0</v>
      </c>
      <c r="F7" s="81">
        <f>[12]Vendedor11!$K$5</f>
        <v>0</v>
      </c>
      <c r="G7" s="85">
        <f>[12]Vendedor11!$L$5</f>
        <v>0</v>
      </c>
      <c r="H7" s="19">
        <f>[12]Vendedor11!$J$6</f>
        <v>0</v>
      </c>
      <c r="I7" s="15">
        <f>[12]Vendedor11!$K$6</f>
        <v>0</v>
      </c>
      <c r="J7" s="17">
        <f>[12]Vendedor11!$L$6</f>
        <v>0</v>
      </c>
      <c r="K7" s="19">
        <f t="shared" si="1"/>
        <v>81450</v>
      </c>
      <c r="L7" s="15">
        <f t="shared" ref="L7:L36" si="4">MROUND(C7+F7+I7,50)</f>
        <v>12200</v>
      </c>
      <c r="M7" s="15">
        <f t="shared" si="2"/>
        <v>176000</v>
      </c>
      <c r="N7" s="15">
        <v>0</v>
      </c>
      <c r="O7" s="17">
        <f t="shared" si="3"/>
        <v>-106750</v>
      </c>
    </row>
    <row r="8" spans="1:15" x14ac:dyDescent="0.35">
      <c r="A8" s="20" t="s">
        <v>51</v>
      </c>
      <c r="B8" s="14">
        <f>[13]Vendedor11!$J$4</f>
        <v>96950</v>
      </c>
      <c r="C8" s="81">
        <f>[13]Vendedor11!$K$4</f>
        <v>14542.5</v>
      </c>
      <c r="D8" s="82">
        <f>[13]Vendedor11!$L$4</f>
        <v>20000</v>
      </c>
      <c r="E8" s="14">
        <f>[13]Vendedor11!$J$5</f>
        <v>0</v>
      </c>
      <c r="F8" s="81">
        <f>[13]Vendedor11!$K$5</f>
        <v>0</v>
      </c>
      <c r="G8" s="85">
        <f>[13]Vendedor11!$L$5</f>
        <v>0</v>
      </c>
      <c r="H8" s="19">
        <f>[13]Vendedor11!$J$6</f>
        <v>0</v>
      </c>
      <c r="I8" s="15">
        <f>[13]Vendedor11!$K$6</f>
        <v>0</v>
      </c>
      <c r="J8" s="17">
        <f>[13]Vendedor11!$L$6</f>
        <v>0</v>
      </c>
      <c r="K8" s="19">
        <f t="shared" si="1"/>
        <v>96950</v>
      </c>
      <c r="L8" s="15">
        <f t="shared" si="4"/>
        <v>14550</v>
      </c>
      <c r="M8" s="15">
        <f t="shared" si="2"/>
        <v>20000</v>
      </c>
      <c r="N8" s="15">
        <v>0</v>
      </c>
      <c r="O8" s="17">
        <f t="shared" si="3"/>
        <v>62400</v>
      </c>
    </row>
    <row r="9" spans="1:15" x14ac:dyDescent="0.35">
      <c r="A9" s="13" t="s">
        <v>52</v>
      </c>
      <c r="B9" s="14">
        <f>[14]Vendedor11!$J$4</f>
        <v>103150</v>
      </c>
      <c r="C9" s="81">
        <f>[14]Vendedor11!$K$4</f>
        <v>15472.5</v>
      </c>
      <c r="D9" s="82">
        <f>[14]Vendedor11!$L$4</f>
        <v>24000</v>
      </c>
      <c r="E9" s="14">
        <f>[14]Vendedor11!$J$5</f>
        <v>0</v>
      </c>
      <c r="F9" s="81">
        <f>[14]Vendedor11!$K$5</f>
        <v>0</v>
      </c>
      <c r="G9" s="85">
        <f>[14]Vendedor11!$L$5</f>
        <v>0</v>
      </c>
      <c r="H9" s="19">
        <f>[14]Vendedor11!$J$6</f>
        <v>0</v>
      </c>
      <c r="I9" s="15">
        <f>[14]Vendedor11!$K$6</f>
        <v>0</v>
      </c>
      <c r="J9" s="17">
        <f>[14]Vendedor11!$L$6</f>
        <v>0</v>
      </c>
      <c r="K9" s="19">
        <f t="shared" si="1"/>
        <v>103150</v>
      </c>
      <c r="L9" s="15">
        <f t="shared" si="4"/>
        <v>15450</v>
      </c>
      <c r="M9" s="15">
        <f t="shared" si="2"/>
        <v>24000</v>
      </c>
      <c r="N9" s="15">
        <v>0</v>
      </c>
      <c r="O9" s="17">
        <f t="shared" si="3"/>
        <v>63700</v>
      </c>
    </row>
    <row r="10" spans="1:15" x14ac:dyDescent="0.35">
      <c r="A10" s="20" t="s">
        <v>53</v>
      </c>
      <c r="B10" s="14">
        <f>[15]Vendedor11!$J$4</f>
        <v>106000</v>
      </c>
      <c r="C10" s="81">
        <f>[15]Vendedor11!$K$4</f>
        <v>15900</v>
      </c>
      <c r="D10" s="82">
        <f>[15]Vendedor11!$L$4</f>
        <v>120000</v>
      </c>
      <c r="E10" s="14">
        <f>[15]Vendedor11!$J$5</f>
        <v>0</v>
      </c>
      <c r="F10" s="81">
        <f>[15]Vendedor11!$K$5</f>
        <v>0</v>
      </c>
      <c r="G10" s="85">
        <f>[15]Vendedor11!$L$5</f>
        <v>0</v>
      </c>
      <c r="H10" s="19">
        <f>[15]Vendedor11!$J$6</f>
        <v>0</v>
      </c>
      <c r="I10" s="15">
        <f>[15]Vendedor11!$K$6</f>
        <v>0</v>
      </c>
      <c r="J10" s="17">
        <f>[15]Vendedor11!$L$6</f>
        <v>0</v>
      </c>
      <c r="K10" s="19">
        <f t="shared" si="1"/>
        <v>106000</v>
      </c>
      <c r="L10" s="15">
        <f t="shared" si="4"/>
        <v>15900</v>
      </c>
      <c r="M10" s="15">
        <f t="shared" si="2"/>
        <v>120000</v>
      </c>
      <c r="N10" s="15">
        <v>0</v>
      </c>
      <c r="O10" s="17">
        <f t="shared" si="3"/>
        <v>-29900</v>
      </c>
    </row>
    <row r="11" spans="1:15" x14ac:dyDescent="0.35">
      <c r="A11" s="13" t="s">
        <v>20</v>
      </c>
      <c r="B11" s="14">
        <f>[16]Vendedor11!$J$4</f>
        <v>70900</v>
      </c>
      <c r="C11" s="81">
        <f>[16]Vendedor11!$K$4</f>
        <v>10635</v>
      </c>
      <c r="D11" s="82">
        <f>[16]Vendedor11!$L$4</f>
        <v>80000</v>
      </c>
      <c r="E11" s="14">
        <f>[16]Vendedor11!$J$5</f>
        <v>0</v>
      </c>
      <c r="F11" s="81">
        <f>[16]Vendedor11!$K$5</f>
        <v>0</v>
      </c>
      <c r="G11" s="85">
        <f>[16]Vendedor11!$L$5</f>
        <v>0</v>
      </c>
      <c r="H11" s="19">
        <f>[16]Vendedor11!$J$6</f>
        <v>0</v>
      </c>
      <c r="I11" s="15">
        <f>[16]Vendedor11!$K$6</f>
        <v>0</v>
      </c>
      <c r="J11" s="17">
        <f>[16]Vendedor11!$L$6</f>
        <v>0</v>
      </c>
      <c r="K11" s="19">
        <f t="shared" si="1"/>
        <v>70900</v>
      </c>
      <c r="L11" s="15">
        <f t="shared" si="4"/>
        <v>10650</v>
      </c>
      <c r="M11" s="15">
        <f t="shared" si="2"/>
        <v>80000</v>
      </c>
      <c r="N11" s="15">
        <v>0</v>
      </c>
      <c r="O11" s="17">
        <f t="shared" si="3"/>
        <v>-19750</v>
      </c>
    </row>
    <row r="12" spans="1:15" x14ac:dyDescent="0.35">
      <c r="A12" s="20" t="s">
        <v>21</v>
      </c>
      <c r="B12" s="14">
        <f>[17]Vendedor11!$J$4</f>
        <v>104450</v>
      </c>
      <c r="C12" s="81">
        <f>[17]Vendedor11!$K$4</f>
        <v>15667.5</v>
      </c>
      <c r="D12" s="82">
        <f>[17]Vendedor11!$L$4</f>
        <v>32000</v>
      </c>
      <c r="E12" s="14">
        <f>[17]Vendedor11!$J$5</f>
        <v>0</v>
      </c>
      <c r="F12" s="81">
        <f>[17]Vendedor11!$K$5</f>
        <v>0</v>
      </c>
      <c r="G12" s="85">
        <f>[17]Vendedor11!$L$5</f>
        <v>0</v>
      </c>
      <c r="H12" s="19">
        <f>[17]Vendedor11!$J$6</f>
        <v>0</v>
      </c>
      <c r="I12" s="15">
        <f>[17]Vendedor11!$K$6</f>
        <v>0</v>
      </c>
      <c r="J12" s="17">
        <f>[17]Vendedor11!$L$6</f>
        <v>0</v>
      </c>
      <c r="K12" s="19">
        <f t="shared" si="1"/>
        <v>104450</v>
      </c>
      <c r="L12" s="15">
        <f t="shared" si="4"/>
        <v>15650</v>
      </c>
      <c r="M12" s="15">
        <f t="shared" si="2"/>
        <v>32000</v>
      </c>
      <c r="N12" s="15">
        <v>0</v>
      </c>
      <c r="O12" s="17">
        <f t="shared" si="3"/>
        <v>56800</v>
      </c>
    </row>
    <row r="13" spans="1:15" x14ac:dyDescent="0.35">
      <c r="A13" s="13" t="s">
        <v>22</v>
      </c>
      <c r="B13" s="14">
        <f>[18]Vendedor11!$J$4</f>
        <v>69150</v>
      </c>
      <c r="C13" s="81">
        <f>[18]Vendedor11!$K$4</f>
        <v>10372.5</v>
      </c>
      <c r="D13" s="82">
        <f>[18]Vendedor11!$L$4</f>
        <v>60000</v>
      </c>
      <c r="E13" s="14">
        <f>[18]Vendedor11!$J$5</f>
        <v>0</v>
      </c>
      <c r="F13" s="81">
        <f>[18]Vendedor11!$K$5</f>
        <v>0</v>
      </c>
      <c r="G13" s="85">
        <f>[18]Vendedor11!$L$5</f>
        <v>0</v>
      </c>
      <c r="H13" s="19">
        <f>[18]Vendedor11!$J$6</f>
        <v>0</v>
      </c>
      <c r="I13" s="15">
        <f>[18]Vendedor11!$K$6</f>
        <v>0</v>
      </c>
      <c r="J13" s="17">
        <f>[18]Vendedor11!$L$6</f>
        <v>0</v>
      </c>
      <c r="K13" s="19">
        <f t="shared" si="1"/>
        <v>69150</v>
      </c>
      <c r="L13" s="15">
        <f t="shared" si="4"/>
        <v>10350</v>
      </c>
      <c r="M13" s="15">
        <f t="shared" si="2"/>
        <v>60000</v>
      </c>
      <c r="N13" s="15">
        <v>0</v>
      </c>
      <c r="O13" s="17">
        <f t="shared" si="3"/>
        <v>-1200</v>
      </c>
    </row>
    <row r="14" spans="1:15" x14ac:dyDescent="0.35">
      <c r="A14" s="20" t="s">
        <v>23</v>
      </c>
      <c r="B14" s="14">
        <f>[19]Vendedor11!$J$4</f>
        <v>68150</v>
      </c>
      <c r="C14" s="81">
        <f>[19]Vendedor11!$K$4</f>
        <v>10222.5</v>
      </c>
      <c r="D14" s="82">
        <f>[19]Vendedor11!$L$4</f>
        <v>0</v>
      </c>
      <c r="E14" s="14">
        <f>[19]Vendedor11!$J$5</f>
        <v>0</v>
      </c>
      <c r="F14" s="81">
        <f>[19]Vendedor11!$K$5</f>
        <v>0</v>
      </c>
      <c r="G14" s="85">
        <f>[19]Vendedor11!$L$5</f>
        <v>0</v>
      </c>
      <c r="H14" s="19">
        <f>[19]Vendedor11!$J$6</f>
        <v>0</v>
      </c>
      <c r="I14" s="15">
        <f>[19]Vendedor11!$K$6</f>
        <v>0</v>
      </c>
      <c r="J14" s="17">
        <f>[19]Vendedor11!$L$6</f>
        <v>0</v>
      </c>
      <c r="K14" s="19">
        <f t="shared" si="1"/>
        <v>68150</v>
      </c>
      <c r="L14" s="15">
        <f t="shared" si="4"/>
        <v>10200</v>
      </c>
      <c r="M14" s="15">
        <f t="shared" si="2"/>
        <v>0</v>
      </c>
      <c r="N14" s="15">
        <v>0</v>
      </c>
      <c r="O14" s="17">
        <f t="shared" si="3"/>
        <v>57950</v>
      </c>
    </row>
    <row r="15" spans="1:15" x14ac:dyDescent="0.35">
      <c r="A15" s="13" t="s">
        <v>24</v>
      </c>
      <c r="B15" s="14">
        <f>[20]Vendedor11!$J$4</f>
        <v>66900</v>
      </c>
      <c r="C15" s="81">
        <f>[20]Vendedor11!$K$4</f>
        <v>10035</v>
      </c>
      <c r="D15" s="82">
        <f>[20]Vendedor11!$L$4</f>
        <v>0</v>
      </c>
      <c r="E15" s="14">
        <f>[20]Vendedor11!$J$5</f>
        <v>0</v>
      </c>
      <c r="F15" s="81">
        <f>[20]Vendedor11!$K$5</f>
        <v>0</v>
      </c>
      <c r="G15" s="85">
        <f>[20]Vendedor11!$L$5</f>
        <v>0</v>
      </c>
      <c r="H15" s="19">
        <f>[20]Vendedor11!$J$6</f>
        <v>0</v>
      </c>
      <c r="I15" s="15">
        <f>[20]Vendedor11!$K$6</f>
        <v>0</v>
      </c>
      <c r="J15" s="17">
        <f>[20]Vendedor11!$L$6</f>
        <v>0</v>
      </c>
      <c r="K15" s="19">
        <f t="shared" si="1"/>
        <v>66900</v>
      </c>
      <c r="L15" s="15">
        <f t="shared" si="4"/>
        <v>10050</v>
      </c>
      <c r="M15" s="15">
        <f t="shared" si="2"/>
        <v>0</v>
      </c>
      <c r="N15" s="15">
        <v>0</v>
      </c>
      <c r="O15" s="17">
        <f t="shared" si="3"/>
        <v>56850</v>
      </c>
    </row>
    <row r="16" spans="1:15" x14ac:dyDescent="0.35">
      <c r="A16" s="20" t="s">
        <v>25</v>
      </c>
      <c r="B16" s="14">
        <f>[21]Vendedor11!$J$4</f>
        <v>91050</v>
      </c>
      <c r="C16" s="81">
        <f>[21]Vendedor11!$K$4</f>
        <v>13657.5</v>
      </c>
      <c r="D16" s="82">
        <f>[21]Vendedor11!$L$4</f>
        <v>0</v>
      </c>
      <c r="E16" s="14">
        <f>[21]Vendedor11!$J$5</f>
        <v>0</v>
      </c>
      <c r="F16" s="81">
        <f>[21]Vendedor11!$K$5</f>
        <v>0</v>
      </c>
      <c r="G16" s="85">
        <f>[21]Vendedor11!$L$5</f>
        <v>0</v>
      </c>
      <c r="H16" s="19">
        <f>[21]Vendedor11!$J$6</f>
        <v>0</v>
      </c>
      <c r="I16" s="15">
        <f>[21]Vendedor11!$K$6</f>
        <v>0</v>
      </c>
      <c r="J16" s="17">
        <f>[21]Vendedor11!$L$6</f>
        <v>0</v>
      </c>
      <c r="K16" s="19">
        <f t="shared" si="1"/>
        <v>91050</v>
      </c>
      <c r="L16" s="15">
        <f t="shared" si="4"/>
        <v>13650</v>
      </c>
      <c r="M16" s="15">
        <f t="shared" si="2"/>
        <v>0</v>
      </c>
      <c r="N16" s="15">
        <v>0</v>
      </c>
      <c r="O16" s="17">
        <f t="shared" si="3"/>
        <v>77400</v>
      </c>
    </row>
    <row r="17" spans="1:15" x14ac:dyDescent="0.35">
      <c r="A17" s="13" t="s">
        <v>26</v>
      </c>
      <c r="B17" s="14">
        <f>[22]Vendedor11!$J$4</f>
        <v>69100</v>
      </c>
      <c r="C17" s="81">
        <f>[22]Vendedor11!$K$4</f>
        <v>10365</v>
      </c>
      <c r="D17" s="82">
        <f>[22]Vendedor11!$L$4</f>
        <v>80000</v>
      </c>
      <c r="E17" s="14">
        <f>[22]Vendedor11!$J$5</f>
        <v>0</v>
      </c>
      <c r="F17" s="81">
        <f>[22]Vendedor11!$K$5</f>
        <v>0</v>
      </c>
      <c r="G17" s="85">
        <f>[22]Vendedor11!$L$5</f>
        <v>0</v>
      </c>
      <c r="H17" s="19">
        <f>[22]Vendedor11!$J$6</f>
        <v>0</v>
      </c>
      <c r="I17" s="15">
        <f>[22]Vendedor11!$K$6</f>
        <v>0</v>
      </c>
      <c r="J17" s="17">
        <f>[22]Vendedor11!$L$6</f>
        <v>0</v>
      </c>
      <c r="K17" s="19">
        <f t="shared" si="1"/>
        <v>69100</v>
      </c>
      <c r="L17" s="15">
        <f t="shared" si="4"/>
        <v>10350</v>
      </c>
      <c r="M17" s="15">
        <f t="shared" si="2"/>
        <v>80000</v>
      </c>
      <c r="N17" s="15">
        <v>0</v>
      </c>
      <c r="O17" s="17">
        <f t="shared" si="3"/>
        <v>-21250</v>
      </c>
    </row>
    <row r="18" spans="1:15" x14ac:dyDescent="0.35">
      <c r="A18" s="20" t="s">
        <v>27</v>
      </c>
      <c r="B18" s="14">
        <f>[23]Vendedor11!$J$4</f>
        <v>123150</v>
      </c>
      <c r="C18" s="81">
        <f>[23]Vendedor11!$K$4</f>
        <v>18472.5</v>
      </c>
      <c r="D18" s="82">
        <f>[23]Vendedor11!$L$4</f>
        <v>80000</v>
      </c>
      <c r="E18" s="14">
        <f>[23]Vendedor11!$J$5</f>
        <v>0</v>
      </c>
      <c r="F18" s="81">
        <f>[23]Vendedor11!$K$5</f>
        <v>0</v>
      </c>
      <c r="G18" s="85">
        <f>[23]Vendedor11!$L$5</f>
        <v>0</v>
      </c>
      <c r="H18" s="19">
        <f>[23]Vendedor11!$J$6</f>
        <v>0</v>
      </c>
      <c r="I18" s="15">
        <f>[23]Vendedor11!$K$6</f>
        <v>0</v>
      </c>
      <c r="J18" s="17">
        <f>[23]Vendedor11!$L$6</f>
        <v>0</v>
      </c>
      <c r="K18" s="19">
        <f t="shared" si="1"/>
        <v>123150</v>
      </c>
      <c r="L18" s="15">
        <f t="shared" si="4"/>
        <v>18450</v>
      </c>
      <c r="M18" s="15">
        <f t="shared" si="2"/>
        <v>80000</v>
      </c>
      <c r="N18" s="15">
        <v>0</v>
      </c>
      <c r="O18" s="17">
        <f t="shared" si="3"/>
        <v>24700</v>
      </c>
    </row>
    <row r="19" spans="1:15" x14ac:dyDescent="0.35">
      <c r="A19" s="20" t="s">
        <v>28</v>
      </c>
      <c r="B19" s="14">
        <f>[24]Vendedor11!$J$4</f>
        <v>125700</v>
      </c>
      <c r="C19" s="81">
        <f>[24]Vendedor11!$K$4</f>
        <v>18855</v>
      </c>
      <c r="D19" s="82">
        <f>[24]Vendedor11!$L$4</f>
        <v>0</v>
      </c>
      <c r="E19" s="14">
        <f>[24]Vendedor11!$J$5</f>
        <v>0</v>
      </c>
      <c r="F19" s="81">
        <f>[24]Vendedor11!$K$5</f>
        <v>0</v>
      </c>
      <c r="G19" s="85">
        <f>[24]Vendedor11!$L$5</f>
        <v>0</v>
      </c>
      <c r="H19" s="19">
        <f>[24]Vendedor11!$J$6</f>
        <v>0</v>
      </c>
      <c r="I19" s="15">
        <f>[24]Vendedor11!$K$6</f>
        <v>0</v>
      </c>
      <c r="J19" s="17">
        <f>[24]Vendedor11!$L$6</f>
        <v>0</v>
      </c>
      <c r="K19" s="19">
        <f t="shared" si="1"/>
        <v>125700</v>
      </c>
      <c r="L19" s="15">
        <f t="shared" si="4"/>
        <v>18850</v>
      </c>
      <c r="M19" s="15">
        <f t="shared" si="2"/>
        <v>0</v>
      </c>
      <c r="N19" s="15">
        <v>0</v>
      </c>
      <c r="O19" s="17">
        <f t="shared" si="3"/>
        <v>106850</v>
      </c>
    </row>
    <row r="20" spans="1:15" x14ac:dyDescent="0.35">
      <c r="A20" s="13" t="s">
        <v>29</v>
      </c>
      <c r="B20" s="14">
        <f>[25]Vendedor11!$J$4</f>
        <v>97800</v>
      </c>
      <c r="C20" s="81">
        <f>[25]Vendedor11!$K$4</f>
        <v>14670</v>
      </c>
      <c r="D20" s="82">
        <f>[25]Vendedor11!$L$4</f>
        <v>0</v>
      </c>
      <c r="E20" s="14">
        <f>[25]Vendedor11!$J$5</f>
        <v>0</v>
      </c>
      <c r="F20" s="81">
        <f>[25]Vendedor11!$K$5</f>
        <v>0</v>
      </c>
      <c r="G20" s="85">
        <f>[25]Vendedor11!$L$5</f>
        <v>0</v>
      </c>
      <c r="H20" s="19">
        <f>[25]Vendedor11!$J$6</f>
        <v>0</v>
      </c>
      <c r="I20" s="15">
        <f>[25]Vendedor11!$K$6</f>
        <v>0</v>
      </c>
      <c r="J20" s="17">
        <f>[25]Vendedor11!$L$6</f>
        <v>0</v>
      </c>
      <c r="K20" s="19">
        <f t="shared" si="1"/>
        <v>97800</v>
      </c>
      <c r="L20" s="15">
        <f t="shared" si="4"/>
        <v>14650</v>
      </c>
      <c r="M20" s="15">
        <f t="shared" si="2"/>
        <v>0</v>
      </c>
      <c r="N20" s="15">
        <v>0</v>
      </c>
      <c r="O20" s="17">
        <f t="shared" si="3"/>
        <v>83150</v>
      </c>
    </row>
    <row r="21" spans="1:15" x14ac:dyDescent="0.35">
      <c r="A21" s="20" t="s">
        <v>30</v>
      </c>
      <c r="B21" s="14">
        <f>[26]Vendedor11!$J$4</f>
        <v>106200</v>
      </c>
      <c r="C21" s="81">
        <f>[26]Vendedor11!$K$4</f>
        <v>15930</v>
      </c>
      <c r="D21" s="82">
        <f>[26]Vendedor11!$L$4</f>
        <v>120000</v>
      </c>
      <c r="E21" s="14">
        <f>[26]Vendedor11!$J$5</f>
        <v>0</v>
      </c>
      <c r="F21" s="81">
        <f>[26]Vendedor11!$K$5</f>
        <v>0</v>
      </c>
      <c r="G21" s="85">
        <f>[26]Vendedor11!$L$5</f>
        <v>0</v>
      </c>
      <c r="H21" s="19">
        <f>[26]Vendedor11!$J$6</f>
        <v>0</v>
      </c>
      <c r="I21" s="15">
        <f>[26]Vendedor11!$K$6</f>
        <v>0</v>
      </c>
      <c r="J21" s="17">
        <f>[26]Vendedor11!$L$6</f>
        <v>0</v>
      </c>
      <c r="K21" s="19">
        <f t="shared" si="1"/>
        <v>106200</v>
      </c>
      <c r="L21" s="15">
        <f t="shared" si="4"/>
        <v>15950</v>
      </c>
      <c r="M21" s="15">
        <f t="shared" si="2"/>
        <v>120000</v>
      </c>
      <c r="N21" s="15">
        <v>0</v>
      </c>
      <c r="O21" s="17">
        <f t="shared" si="3"/>
        <v>-29750</v>
      </c>
    </row>
    <row r="22" spans="1:15" x14ac:dyDescent="0.35">
      <c r="A22" s="13" t="s">
        <v>31</v>
      </c>
      <c r="B22" s="14">
        <f>[27]Vendedor11!$J$4</f>
        <v>142250</v>
      </c>
      <c r="C22" s="81">
        <f>[27]Vendedor11!$K$4</f>
        <v>21337.5</v>
      </c>
      <c r="D22" s="82">
        <f>[27]Vendedor11!$L$4</f>
        <v>40000</v>
      </c>
      <c r="E22" s="14">
        <f>[27]Vendedor11!$J$5</f>
        <v>0</v>
      </c>
      <c r="F22" s="81">
        <f>[27]Vendedor11!$K$5</f>
        <v>0</v>
      </c>
      <c r="G22" s="85">
        <f>[27]Vendedor11!$L$5</f>
        <v>0</v>
      </c>
      <c r="H22" s="19">
        <f>[27]Vendedor11!$J$6</f>
        <v>0</v>
      </c>
      <c r="I22" s="15">
        <f>[27]Vendedor11!$K$6</f>
        <v>0</v>
      </c>
      <c r="J22" s="17">
        <f>[27]Vendedor11!$L$6</f>
        <v>0</v>
      </c>
      <c r="K22" s="19">
        <f t="shared" si="1"/>
        <v>142250</v>
      </c>
      <c r="L22" s="15">
        <f t="shared" si="4"/>
        <v>21350</v>
      </c>
      <c r="M22" s="15">
        <f t="shared" si="2"/>
        <v>40000</v>
      </c>
      <c r="N22" s="15">
        <v>0</v>
      </c>
      <c r="O22" s="17">
        <f t="shared" si="3"/>
        <v>80900</v>
      </c>
    </row>
    <row r="23" spans="1:15" x14ac:dyDescent="0.35">
      <c r="A23" s="20" t="s">
        <v>32</v>
      </c>
      <c r="B23" s="14">
        <f>[28]Vendedor11!$J$4</f>
        <v>0</v>
      </c>
      <c r="C23" s="81">
        <f>[28]Vendedor11!$K$4</f>
        <v>0</v>
      </c>
      <c r="D23" s="82">
        <f>[28]Vendedor11!$L$4</f>
        <v>0</v>
      </c>
      <c r="E23" s="14">
        <f>[28]Vendedor11!$J$5</f>
        <v>0</v>
      </c>
      <c r="F23" s="81">
        <f>[28]Vendedor11!$K$5</f>
        <v>0</v>
      </c>
      <c r="G23" s="85">
        <f>[28]Vendedor11!$L$5</f>
        <v>0</v>
      </c>
      <c r="H23" s="19">
        <f>[28]Vendedor11!$J$6</f>
        <v>0</v>
      </c>
      <c r="I23" s="15">
        <f>[28]Vendedor11!$K$6</f>
        <v>0</v>
      </c>
      <c r="J23" s="17">
        <f>[28]Vendedor11!$L$6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[29]Vendedor11!$J$4</f>
        <v>0</v>
      </c>
      <c r="C24" s="81">
        <f>[29]Vendedor11!$K$4</f>
        <v>0</v>
      </c>
      <c r="D24" s="82">
        <f>[29]Vendedor11!$L$4</f>
        <v>0</v>
      </c>
      <c r="E24" s="14">
        <f>[29]Vendedor11!$J$5</f>
        <v>0</v>
      </c>
      <c r="F24" s="81">
        <f>[29]Vendedor11!$K$5</f>
        <v>0</v>
      </c>
      <c r="G24" s="85">
        <f>[29]Vendedor11!$L$5</f>
        <v>0</v>
      </c>
      <c r="H24" s="19">
        <f>[29]Vendedor11!$J$6</f>
        <v>0</v>
      </c>
      <c r="I24" s="15">
        <f>[29]Vendedor11!$K$6</f>
        <v>0</v>
      </c>
      <c r="J24" s="17">
        <f>[29]Vendedor11!$L$6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[30]Vendedor11!$J$4</f>
        <v>65600</v>
      </c>
      <c r="C25" s="81">
        <f>[30]Vendedor11!$K$4</f>
        <v>9840</v>
      </c>
      <c r="D25" s="82">
        <f>[30]Vendedor11!$L$4</f>
        <v>52000</v>
      </c>
      <c r="E25" s="14">
        <f>[30]Vendedor11!$J$5</f>
        <v>0</v>
      </c>
      <c r="F25" s="81">
        <f>[30]Vendedor11!$K$5</f>
        <v>0</v>
      </c>
      <c r="G25" s="85">
        <f>[30]Vendedor11!$L$5</f>
        <v>0</v>
      </c>
      <c r="H25" s="19">
        <f>[30]Vendedor11!$J$6</f>
        <v>0</v>
      </c>
      <c r="I25" s="15">
        <f>[30]Vendedor11!$K$6</f>
        <v>0</v>
      </c>
      <c r="J25" s="17">
        <f>[30]Vendedor11!$L$6</f>
        <v>0</v>
      </c>
      <c r="K25" s="19">
        <f t="shared" si="1"/>
        <v>65600</v>
      </c>
      <c r="L25" s="15">
        <f t="shared" si="4"/>
        <v>9850</v>
      </c>
      <c r="M25" s="15">
        <f t="shared" si="2"/>
        <v>52000</v>
      </c>
      <c r="N25" s="15">
        <v>0</v>
      </c>
      <c r="O25" s="17">
        <f t="shared" si="3"/>
        <v>3750</v>
      </c>
    </row>
    <row r="26" spans="1:15" x14ac:dyDescent="0.35">
      <c r="A26" s="13" t="s">
        <v>35</v>
      </c>
      <c r="B26" s="14">
        <f>[31]Vendedor11!$J$4</f>
        <v>61800</v>
      </c>
      <c r="C26" s="81">
        <f>[31]Vendedor11!$K$4</f>
        <v>9270</v>
      </c>
      <c r="D26" s="82">
        <f>[31]Vendedor11!$L$4</f>
        <v>80000</v>
      </c>
      <c r="E26" s="14">
        <f>[31]Vendedor11!$J$5</f>
        <v>0</v>
      </c>
      <c r="F26" s="81">
        <f>[31]Vendedor11!$K$5</f>
        <v>0</v>
      </c>
      <c r="G26" s="85">
        <f>[31]Vendedor11!$L$5</f>
        <v>0</v>
      </c>
      <c r="H26" s="19">
        <f>[31]Vendedor11!$J$6</f>
        <v>0</v>
      </c>
      <c r="I26" s="15">
        <f>[31]Vendedor11!$K$6</f>
        <v>0</v>
      </c>
      <c r="J26" s="17">
        <f>[31]Vendedor11!$L$6</f>
        <v>0</v>
      </c>
      <c r="K26" s="19">
        <f t="shared" si="1"/>
        <v>61800</v>
      </c>
      <c r="L26" s="15">
        <f t="shared" si="4"/>
        <v>9250</v>
      </c>
      <c r="M26" s="15">
        <f t="shared" si="2"/>
        <v>80000</v>
      </c>
      <c r="N26" s="15">
        <v>0</v>
      </c>
      <c r="O26" s="17">
        <f t="shared" si="3"/>
        <v>-27450</v>
      </c>
    </row>
    <row r="27" spans="1:15" x14ac:dyDescent="0.35">
      <c r="A27" s="20" t="s">
        <v>36</v>
      </c>
      <c r="B27" s="14">
        <f>[1]Vendedor11!$J$4</f>
        <v>73700</v>
      </c>
      <c r="C27" s="81">
        <f>[1]Vendedor11!$K$4</f>
        <v>11055</v>
      </c>
      <c r="D27" s="82">
        <f>[1]Vendedor11!$L$4</f>
        <v>32000</v>
      </c>
      <c r="E27" s="14">
        <f>[1]Vendedor11!$J$5</f>
        <v>0</v>
      </c>
      <c r="F27" s="81">
        <f>[1]Vendedor11!$K$5</f>
        <v>0</v>
      </c>
      <c r="G27" s="85">
        <f>[1]Vendedor11!$L$5</f>
        <v>0</v>
      </c>
      <c r="H27" s="19">
        <f>[1]Vendedor11!$J$6</f>
        <v>0</v>
      </c>
      <c r="I27" s="15">
        <f>[1]Vendedor11!$K$6</f>
        <v>0</v>
      </c>
      <c r="J27" s="17">
        <f>[1]Vendedor11!$L$6</f>
        <v>0</v>
      </c>
      <c r="K27" s="19">
        <f t="shared" si="1"/>
        <v>73700</v>
      </c>
      <c r="L27" s="15">
        <f t="shared" si="4"/>
        <v>11050</v>
      </c>
      <c r="M27" s="15">
        <f t="shared" si="2"/>
        <v>32000</v>
      </c>
      <c r="N27" s="15">
        <v>0</v>
      </c>
      <c r="O27" s="17">
        <f t="shared" si="3"/>
        <v>30650</v>
      </c>
    </row>
    <row r="28" spans="1:15" x14ac:dyDescent="0.35">
      <c r="A28" s="13" t="s">
        <v>37</v>
      </c>
      <c r="B28" s="14">
        <f>[2]Vendedor11!$J$4</f>
        <v>78400</v>
      </c>
      <c r="C28" s="81">
        <f>[2]Vendedor11!$K$4</f>
        <v>11760</v>
      </c>
      <c r="D28" s="82">
        <f>[2]Vendedor11!$L$4</f>
        <v>24000</v>
      </c>
      <c r="E28" s="14">
        <f>[2]Vendedor11!$J$5</f>
        <v>0</v>
      </c>
      <c r="F28" s="81">
        <f>[2]Vendedor11!$K$5</f>
        <v>0</v>
      </c>
      <c r="G28" s="85">
        <f>[2]Vendedor11!$L$5</f>
        <v>0</v>
      </c>
      <c r="H28" s="19">
        <f>[2]Vendedor11!$J$6</f>
        <v>0</v>
      </c>
      <c r="I28" s="15">
        <f>[2]Vendedor11!$K$6</f>
        <v>0</v>
      </c>
      <c r="J28" s="17">
        <f>[2]Vendedor11!$L$6</f>
        <v>0</v>
      </c>
      <c r="K28" s="19">
        <f t="shared" si="1"/>
        <v>78400</v>
      </c>
      <c r="L28" s="15">
        <f t="shared" si="4"/>
        <v>11750</v>
      </c>
      <c r="M28" s="15">
        <f t="shared" si="2"/>
        <v>24000</v>
      </c>
      <c r="N28" s="15">
        <v>0</v>
      </c>
      <c r="O28" s="17">
        <f t="shared" si="3"/>
        <v>42650</v>
      </c>
    </row>
    <row r="29" spans="1:15" x14ac:dyDescent="0.35">
      <c r="A29" s="20" t="s">
        <v>38</v>
      </c>
      <c r="B29" s="14">
        <f>[3]Vendedor11!$J$4</f>
        <v>95000</v>
      </c>
      <c r="C29" s="81">
        <f>[3]Vendedor11!$K$4</f>
        <v>14250</v>
      </c>
      <c r="D29" s="82">
        <f>[3]Vendedor11!$L$4</f>
        <v>264000</v>
      </c>
      <c r="E29" s="14">
        <f>[3]Vendedor11!$J$5</f>
        <v>0</v>
      </c>
      <c r="F29" s="81">
        <f>[3]Vendedor11!$K$5</f>
        <v>0</v>
      </c>
      <c r="G29" s="85">
        <f>[3]Vendedor11!$L$5</f>
        <v>0</v>
      </c>
      <c r="H29" s="19">
        <f>[3]Vendedor11!$J$6</f>
        <v>0</v>
      </c>
      <c r="I29" s="15">
        <f>[3]Vendedor11!$K$6</f>
        <v>0</v>
      </c>
      <c r="J29" s="17">
        <f>[3]Vendedor11!$L$6</f>
        <v>0</v>
      </c>
      <c r="K29" s="19">
        <f t="shared" si="1"/>
        <v>95000</v>
      </c>
      <c r="L29" s="15">
        <f t="shared" si="4"/>
        <v>14250</v>
      </c>
      <c r="M29" s="15">
        <f t="shared" si="2"/>
        <v>264000</v>
      </c>
      <c r="N29" s="15">
        <v>0</v>
      </c>
      <c r="O29" s="17">
        <f t="shared" si="3"/>
        <v>-183250</v>
      </c>
    </row>
    <row r="30" spans="1:15" x14ac:dyDescent="0.35">
      <c r="A30" s="13" t="s">
        <v>39</v>
      </c>
      <c r="B30" s="14">
        <f>[4]Vendedor11!$J$4</f>
        <v>73400</v>
      </c>
      <c r="C30" s="81">
        <f>[4]Vendedor11!$K$4</f>
        <v>11010</v>
      </c>
      <c r="D30" s="82">
        <f>[4]Vendedor11!$L$4</f>
        <v>0</v>
      </c>
      <c r="E30" s="14">
        <f>[4]Vendedor11!$J$5</f>
        <v>0</v>
      </c>
      <c r="F30" s="81">
        <f>[4]Vendedor11!$K$5</f>
        <v>0</v>
      </c>
      <c r="G30" s="85">
        <f>[4]Vendedor11!$L$5</f>
        <v>0</v>
      </c>
      <c r="H30" s="19">
        <f>[4]Vendedor11!$J$6</f>
        <v>0</v>
      </c>
      <c r="I30" s="15">
        <f>[4]Vendedor11!$K$6</f>
        <v>0</v>
      </c>
      <c r="J30" s="17">
        <f>[4]Vendedor11!$L$6</f>
        <v>0</v>
      </c>
      <c r="K30" s="19">
        <f t="shared" si="1"/>
        <v>73400</v>
      </c>
      <c r="L30" s="15">
        <f t="shared" si="4"/>
        <v>11000</v>
      </c>
      <c r="M30" s="15">
        <f t="shared" si="2"/>
        <v>0</v>
      </c>
      <c r="N30" s="15">
        <v>0</v>
      </c>
      <c r="O30" s="17">
        <f t="shared" si="3"/>
        <v>62400</v>
      </c>
    </row>
    <row r="31" spans="1:15" x14ac:dyDescent="0.35">
      <c r="A31" s="20" t="s">
        <v>40</v>
      </c>
      <c r="B31" s="14">
        <f>[5]Vendedor11!$J$4</f>
        <v>61700</v>
      </c>
      <c r="C31" s="81">
        <f>[5]Vendedor11!$K$4</f>
        <v>9255</v>
      </c>
      <c r="D31" s="82">
        <f>[5]Vendedor11!$L$4</f>
        <v>24000</v>
      </c>
      <c r="E31" s="14">
        <f>[5]Vendedor11!$J$5</f>
        <v>0</v>
      </c>
      <c r="F31" s="81">
        <f>[5]Vendedor11!$K$5</f>
        <v>0</v>
      </c>
      <c r="G31" s="85">
        <f>[5]Vendedor11!$L$5</f>
        <v>0</v>
      </c>
      <c r="H31" s="19">
        <f>[5]Vendedor11!$J$6</f>
        <v>0</v>
      </c>
      <c r="I31" s="15">
        <f>[5]Vendedor11!$K$6</f>
        <v>0</v>
      </c>
      <c r="J31" s="17">
        <f>[5]Vendedor11!$L$6</f>
        <v>0</v>
      </c>
      <c r="K31" s="19">
        <f t="shared" si="1"/>
        <v>61700</v>
      </c>
      <c r="L31" s="15">
        <f t="shared" si="4"/>
        <v>9250</v>
      </c>
      <c r="M31" s="15">
        <f t="shared" si="2"/>
        <v>24000</v>
      </c>
      <c r="N31" s="15">
        <v>0</v>
      </c>
      <c r="O31" s="17">
        <f t="shared" si="3"/>
        <v>28450</v>
      </c>
    </row>
    <row r="32" spans="1:15" x14ac:dyDescent="0.35">
      <c r="A32" s="20" t="s">
        <v>41</v>
      </c>
      <c r="B32" s="14">
        <f>[6]Vendedor11!$J$4</f>
        <v>72150</v>
      </c>
      <c r="C32" s="81">
        <f>[6]Vendedor11!$K$4</f>
        <v>10822.5</v>
      </c>
      <c r="D32" s="82">
        <f>[6]Vendedor11!$L$4</f>
        <v>48000</v>
      </c>
      <c r="E32" s="14">
        <f>[6]Vendedor11!$J$5</f>
        <v>0</v>
      </c>
      <c r="F32" s="81">
        <f>[6]Vendedor11!$K$5</f>
        <v>0</v>
      </c>
      <c r="G32" s="85">
        <f>[6]Vendedor11!$L$5</f>
        <v>0</v>
      </c>
      <c r="H32" s="19">
        <f>[6]Vendedor11!$J$6</f>
        <v>0</v>
      </c>
      <c r="I32" s="15">
        <f>[6]Vendedor11!$K$6</f>
        <v>0</v>
      </c>
      <c r="J32" s="17">
        <f>[6]Vendedor11!$L$6</f>
        <v>0</v>
      </c>
      <c r="K32" s="19">
        <f t="shared" si="1"/>
        <v>72150</v>
      </c>
      <c r="L32" s="15">
        <f t="shared" si="4"/>
        <v>10800</v>
      </c>
      <c r="M32" s="15">
        <f t="shared" si="2"/>
        <v>48000</v>
      </c>
      <c r="N32" s="15">
        <v>0</v>
      </c>
      <c r="O32" s="17">
        <f t="shared" si="3"/>
        <v>13350</v>
      </c>
    </row>
    <row r="33" spans="1:15" x14ac:dyDescent="0.35">
      <c r="A33" s="13" t="s">
        <v>42</v>
      </c>
      <c r="B33" s="14">
        <f>[7]Vendedor11!$J$4</f>
        <v>82150</v>
      </c>
      <c r="C33" s="81">
        <f>[7]Vendedor11!$K$4</f>
        <v>12322.5</v>
      </c>
      <c r="D33" s="82">
        <f>[7]Vendedor11!$L$4</f>
        <v>48000</v>
      </c>
      <c r="E33" s="14">
        <f>[7]Vendedor11!$J$5</f>
        <v>0</v>
      </c>
      <c r="F33" s="81">
        <f>[7]Vendedor11!$K$5</f>
        <v>0</v>
      </c>
      <c r="G33" s="85">
        <f>[7]Vendedor11!$L$5</f>
        <v>0</v>
      </c>
      <c r="H33" s="19">
        <f>[7]Vendedor11!$J$6</f>
        <v>0</v>
      </c>
      <c r="I33" s="15">
        <f>[7]Vendedor11!$K$6</f>
        <v>0</v>
      </c>
      <c r="J33" s="17">
        <f>[7]Vendedor11!$L$6</f>
        <v>0</v>
      </c>
      <c r="K33" s="19">
        <f t="shared" si="1"/>
        <v>82150</v>
      </c>
      <c r="L33" s="15">
        <f t="shared" si="4"/>
        <v>12300</v>
      </c>
      <c r="M33" s="15">
        <f t="shared" si="2"/>
        <v>48000</v>
      </c>
      <c r="N33" s="15">
        <v>0</v>
      </c>
      <c r="O33" s="17">
        <f t="shared" si="3"/>
        <v>21850</v>
      </c>
    </row>
    <row r="34" spans="1:15" x14ac:dyDescent="0.35">
      <c r="A34" s="20" t="s">
        <v>43</v>
      </c>
      <c r="B34" s="14">
        <f>[8]Vendedor11!$J$4</f>
        <v>44950</v>
      </c>
      <c r="C34" s="81">
        <f>[8]Vendedor11!$K$4</f>
        <v>6742.5</v>
      </c>
      <c r="D34" s="82">
        <f>[8]Vendedor11!$L$4</f>
        <v>0</v>
      </c>
      <c r="E34" s="14">
        <f>[8]Vendedor11!$J$5</f>
        <v>0</v>
      </c>
      <c r="F34" s="81">
        <f>[8]Vendedor11!$K$5</f>
        <v>0</v>
      </c>
      <c r="G34" s="85">
        <f>[8]Vendedor11!$L$5</f>
        <v>0</v>
      </c>
      <c r="H34" s="19">
        <f>[8]Vendedor11!$J$6</f>
        <v>0</v>
      </c>
      <c r="I34" s="15">
        <f>[8]Vendedor11!$K$6</f>
        <v>0</v>
      </c>
      <c r="J34" s="17">
        <f>[8]Vendedor11!$L$6</f>
        <v>0</v>
      </c>
      <c r="K34" s="19">
        <f t="shared" si="1"/>
        <v>44950</v>
      </c>
      <c r="L34" s="15">
        <f t="shared" si="4"/>
        <v>6750</v>
      </c>
      <c r="M34" s="15">
        <f t="shared" si="2"/>
        <v>0</v>
      </c>
      <c r="N34" s="15">
        <v>0</v>
      </c>
      <c r="O34" s="17">
        <f t="shared" si="3"/>
        <v>38200</v>
      </c>
    </row>
    <row r="35" spans="1:15" x14ac:dyDescent="0.35">
      <c r="A35" s="13" t="s">
        <v>44</v>
      </c>
      <c r="B35" s="14">
        <f>[9]Vendedor11!$J$4</f>
        <v>67450</v>
      </c>
      <c r="C35" s="81">
        <f>[9]Vendedor11!$K$4</f>
        <v>10117.5</v>
      </c>
      <c r="D35" s="82">
        <f>[9]Vendedor11!$L$4</f>
        <v>112000</v>
      </c>
      <c r="E35" s="14">
        <f>[9]Vendedor11!$J$5</f>
        <v>0</v>
      </c>
      <c r="F35" s="81">
        <f>[9]Vendedor11!$K$5</f>
        <v>0</v>
      </c>
      <c r="G35" s="85">
        <f>[9]Vendedor11!$L$5</f>
        <v>0</v>
      </c>
      <c r="H35" s="19">
        <f>[9]Vendedor11!$J$6</f>
        <v>0</v>
      </c>
      <c r="I35" s="15">
        <f>[9]Vendedor11!$K$6</f>
        <v>0</v>
      </c>
      <c r="J35" s="17">
        <f>[9]Vendedor11!$L$6</f>
        <v>0</v>
      </c>
      <c r="K35" s="19">
        <f t="shared" si="1"/>
        <v>67450</v>
      </c>
      <c r="L35" s="15">
        <f t="shared" si="4"/>
        <v>10100</v>
      </c>
      <c r="M35" s="15">
        <f t="shared" si="2"/>
        <v>112000</v>
      </c>
      <c r="N35" s="15">
        <v>0</v>
      </c>
      <c r="O35" s="17">
        <f t="shared" si="3"/>
        <v>-54650</v>
      </c>
    </row>
    <row r="36" spans="1:15" ht="15" thickBot="1" x14ac:dyDescent="0.4">
      <c r="A36" s="20" t="s">
        <v>45</v>
      </c>
      <c r="B36" s="21">
        <f>[10]Vendedor11!$J$4</f>
        <v>93650</v>
      </c>
      <c r="C36" s="83">
        <f>[10]Vendedor11!$K$4</f>
        <v>14047.5</v>
      </c>
      <c r="D36" s="84">
        <f>[10]Vendedor11!$L$4</f>
        <v>24000</v>
      </c>
      <c r="E36" s="21">
        <f>[10]Vendedor11!$J$5</f>
        <v>0</v>
      </c>
      <c r="F36" s="83">
        <f>[10]Vendedor11!$K$5</f>
        <v>0</v>
      </c>
      <c r="G36" s="86">
        <f>[10]Vendedor11!$L$5</f>
        <v>0</v>
      </c>
      <c r="H36" s="26">
        <f>[10]Vendedor11!$J$6</f>
        <v>0</v>
      </c>
      <c r="I36" s="22">
        <f>[10]Vendedor11!$K$6</f>
        <v>0</v>
      </c>
      <c r="J36" s="24">
        <f>[10]Vendedor11!$L$6</f>
        <v>0</v>
      </c>
      <c r="K36" s="26">
        <f t="shared" si="1"/>
        <v>93650</v>
      </c>
      <c r="L36" s="22">
        <f t="shared" si="4"/>
        <v>14050</v>
      </c>
      <c r="M36" s="22">
        <f t="shared" si="2"/>
        <v>24000</v>
      </c>
      <c r="N36" s="22">
        <v>0</v>
      </c>
      <c r="O36" s="24">
        <f t="shared" si="3"/>
        <v>55600</v>
      </c>
    </row>
    <row r="37" spans="1:15" ht="16" thickBot="1" x14ac:dyDescent="0.4">
      <c r="A37" s="5" t="s">
        <v>46</v>
      </c>
      <c r="B37" s="27">
        <f t="shared" ref="B37:M37" si="5">SUM(B6:B36)</f>
        <v>2469150</v>
      </c>
      <c r="C37" s="28">
        <f t="shared" si="5"/>
        <v>370372.5</v>
      </c>
      <c r="D37" s="29">
        <f t="shared" si="5"/>
        <v>1580000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2469150</v>
      </c>
      <c r="L37" s="28">
        <f t="shared" si="5"/>
        <v>370200</v>
      </c>
      <c r="M37" s="28">
        <f t="shared" si="5"/>
        <v>1580000</v>
      </c>
      <c r="N37" s="32">
        <f>SUM(N5:N36)</f>
        <v>0</v>
      </c>
      <c r="O37" s="33">
        <f>SUM(O5:O36)</f>
        <v>518950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134</v>
      </c>
      <c r="C2" s="142"/>
      <c r="D2" s="142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[11]Vendedor12!$J$4</f>
        <v>0</v>
      </c>
      <c r="C6" s="58">
        <f>[11]Vendedor12!$K$4</f>
        <v>0</v>
      </c>
      <c r="D6" s="54">
        <f>[11]Vendedor12!$L$4</f>
        <v>0</v>
      </c>
      <c r="E6" s="53">
        <f>[11]Vendedor12!$J$5</f>
        <v>0</v>
      </c>
      <c r="F6" s="58">
        <f>[11]Vendedor12!$K$5</f>
        <v>0</v>
      </c>
      <c r="G6" s="55">
        <f>[11]Vendedor12!$L$5</f>
        <v>0</v>
      </c>
      <c r="H6" s="61">
        <f>[11]Vendedor12!$J$6</f>
        <v>0</v>
      </c>
      <c r="I6" s="58">
        <f>[11]Vendedor12!$K$6</f>
        <v>0</v>
      </c>
      <c r="J6" s="54">
        <f>[11]Vendedor12!$L$6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[12]Vendedor12!$J$4</f>
        <v>0</v>
      </c>
      <c r="C7" s="15">
        <f>[12]Vendedor12!$K$4</f>
        <v>0</v>
      </c>
      <c r="D7" s="16">
        <f>[12]Vendedor12!$L$4</f>
        <v>0</v>
      </c>
      <c r="E7" s="14">
        <f>[12]Vendedor12!$J$5</f>
        <v>0</v>
      </c>
      <c r="F7" s="15">
        <f>[12]Vendedor12!$K$5</f>
        <v>0</v>
      </c>
      <c r="G7" s="17">
        <f>[12]Vendedor12!$L$5</f>
        <v>0</v>
      </c>
      <c r="H7" s="18">
        <f>[12]Vendedor12!$J$6</f>
        <v>0</v>
      </c>
      <c r="I7" s="15">
        <f>[12]Vendedor12!$K$6</f>
        <v>0</v>
      </c>
      <c r="J7" s="16">
        <f>[12]Vendedor12!$L$6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[13]Vendedor12!$J$4</f>
        <v>0</v>
      </c>
      <c r="C8" s="15">
        <f>[13]Vendedor12!$K$4</f>
        <v>0</v>
      </c>
      <c r="D8" s="16">
        <f>[13]Vendedor12!$L$4</f>
        <v>0</v>
      </c>
      <c r="E8" s="14">
        <f>[13]Vendedor12!$J$5</f>
        <v>0</v>
      </c>
      <c r="F8" s="15">
        <f>[13]Vendedor12!$K$5</f>
        <v>0</v>
      </c>
      <c r="G8" s="17">
        <f>[13]Vendedor12!$L$5</f>
        <v>0</v>
      </c>
      <c r="H8" s="18">
        <f>[13]Vendedor12!$J$6</f>
        <v>0</v>
      </c>
      <c r="I8" s="15">
        <f>[13]Vendedor12!$K$6</f>
        <v>0</v>
      </c>
      <c r="J8" s="16">
        <f>[13]Vendedor12!$L$6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[14]Vendedor12!$J$4</f>
        <v>0</v>
      </c>
      <c r="C9" s="15">
        <f>[14]Vendedor12!$K$4</f>
        <v>0</v>
      </c>
      <c r="D9" s="16">
        <f>[14]Vendedor12!$L$4</f>
        <v>0</v>
      </c>
      <c r="E9" s="14">
        <f>[14]Vendedor12!$J$5</f>
        <v>0</v>
      </c>
      <c r="F9" s="15">
        <f>[14]Vendedor12!$K$5</f>
        <v>0</v>
      </c>
      <c r="G9" s="17">
        <f>[14]Vendedor12!$L$5</f>
        <v>0</v>
      </c>
      <c r="H9" s="18">
        <f>[14]Vendedor12!$J$6</f>
        <v>0</v>
      </c>
      <c r="I9" s="15">
        <f>[14]Vendedor12!$K$6</f>
        <v>0</v>
      </c>
      <c r="J9" s="16">
        <f>[14]Vendedor12!$L$6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[15]Vendedor12!$J$4</f>
        <v>0</v>
      </c>
      <c r="C10" s="15">
        <f>[15]Vendedor12!$K$4</f>
        <v>0</v>
      </c>
      <c r="D10" s="16">
        <f>[15]Vendedor12!$L$4</f>
        <v>0</v>
      </c>
      <c r="E10" s="14">
        <f>[15]Vendedor12!$J$5</f>
        <v>0</v>
      </c>
      <c r="F10" s="15">
        <f>[15]Vendedor12!$K$5</f>
        <v>0</v>
      </c>
      <c r="G10" s="17">
        <f>[15]Vendedor12!$L$5</f>
        <v>0</v>
      </c>
      <c r="H10" s="18">
        <f>[15]Vendedor12!$J$6</f>
        <v>0</v>
      </c>
      <c r="I10" s="15">
        <f>[15]Vendedor12!$K$6</f>
        <v>0</v>
      </c>
      <c r="J10" s="16">
        <f>[15]Vendedor12!$L$6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[16]Vendedor12!$J$4</f>
        <v>0</v>
      </c>
      <c r="C11" s="15">
        <f>[16]Vendedor12!$K$4</f>
        <v>0</v>
      </c>
      <c r="D11" s="16">
        <f>[16]Vendedor12!$L$4</f>
        <v>0</v>
      </c>
      <c r="E11" s="14">
        <f>[16]Vendedor12!$J$5</f>
        <v>0</v>
      </c>
      <c r="F11" s="15">
        <f>[16]Vendedor12!$K$5</f>
        <v>0</v>
      </c>
      <c r="G11" s="17">
        <f>[16]Vendedor12!$L$5</f>
        <v>0</v>
      </c>
      <c r="H11" s="18">
        <f>[16]Vendedor12!$J$6</f>
        <v>0</v>
      </c>
      <c r="I11" s="15">
        <f>[16]Vendedor12!$K$6</f>
        <v>0</v>
      </c>
      <c r="J11" s="16">
        <f>[16]Vendedor12!$L$6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[17]Vendedor12!$J$4</f>
        <v>0</v>
      </c>
      <c r="C12" s="15">
        <f>[17]Vendedor12!$K$4</f>
        <v>0</v>
      </c>
      <c r="D12" s="16">
        <f>[17]Vendedor12!$L$4</f>
        <v>0</v>
      </c>
      <c r="E12" s="14">
        <f>[17]Vendedor12!$J$5</f>
        <v>0</v>
      </c>
      <c r="F12" s="15">
        <f>[17]Vendedor12!$K$5</f>
        <v>0</v>
      </c>
      <c r="G12" s="17">
        <f>[17]Vendedor12!$L$5</f>
        <v>0</v>
      </c>
      <c r="H12" s="18">
        <f>[17]Vendedor12!$J$6</f>
        <v>0</v>
      </c>
      <c r="I12" s="15">
        <f>[17]Vendedor12!$K$6</f>
        <v>0</v>
      </c>
      <c r="J12" s="16">
        <f>[17]Vendedor12!$L$6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[18]Vendedor12!$J$4</f>
        <v>0</v>
      </c>
      <c r="C13" s="15">
        <f>[18]Vendedor12!$K$4</f>
        <v>0</v>
      </c>
      <c r="D13" s="16">
        <f>[18]Vendedor12!$L$4</f>
        <v>0</v>
      </c>
      <c r="E13" s="14">
        <f>[18]Vendedor12!$J$5</f>
        <v>0</v>
      </c>
      <c r="F13" s="15">
        <f>[18]Vendedor12!$K$5</f>
        <v>0</v>
      </c>
      <c r="G13" s="17">
        <f>[18]Vendedor12!$L$5</f>
        <v>0</v>
      </c>
      <c r="H13" s="18">
        <f>[18]Vendedor12!$J$6</f>
        <v>0</v>
      </c>
      <c r="I13" s="15">
        <f>[18]Vendedor12!$K$6</f>
        <v>0</v>
      </c>
      <c r="J13" s="16">
        <f>[18]Vendedor12!$L$6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[19]Vendedor12!$J$4</f>
        <v>0</v>
      </c>
      <c r="C14" s="15">
        <f>[19]Vendedor12!$K$4</f>
        <v>0</v>
      </c>
      <c r="D14" s="16">
        <f>[19]Vendedor12!$L$4</f>
        <v>0</v>
      </c>
      <c r="E14" s="14">
        <f>[19]Vendedor12!$J$5</f>
        <v>0</v>
      </c>
      <c r="F14" s="15">
        <f>[19]Vendedor12!$K$5</f>
        <v>0</v>
      </c>
      <c r="G14" s="17">
        <f>[19]Vendedor12!$L$5</f>
        <v>0</v>
      </c>
      <c r="H14" s="18">
        <f>[19]Vendedor12!$J$6</f>
        <v>0</v>
      </c>
      <c r="I14" s="15">
        <f>[19]Vendedor12!$K$6</f>
        <v>0</v>
      </c>
      <c r="J14" s="16">
        <f>[19]Vendedor12!$L$6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[20]Vendedor12!$J$4</f>
        <v>0</v>
      </c>
      <c r="C15" s="15">
        <f>[20]Vendedor12!$K$4</f>
        <v>0</v>
      </c>
      <c r="D15" s="16">
        <f>[20]Vendedor12!$L$4</f>
        <v>0</v>
      </c>
      <c r="E15" s="14">
        <f>[20]Vendedor12!$J$5</f>
        <v>0</v>
      </c>
      <c r="F15" s="15">
        <f>[20]Vendedor12!$K$5</f>
        <v>0</v>
      </c>
      <c r="G15" s="17">
        <f>[20]Vendedor12!$L$5</f>
        <v>0</v>
      </c>
      <c r="H15" s="18">
        <f>[20]Vendedor12!$J$6</f>
        <v>0</v>
      </c>
      <c r="I15" s="15">
        <f>[20]Vendedor12!$K$6</f>
        <v>0</v>
      </c>
      <c r="J15" s="16">
        <f>[20]Vendedor12!$L$6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[21]Vendedor12!$J$4</f>
        <v>0</v>
      </c>
      <c r="C16" s="15">
        <f>[21]Vendedor12!$K$4</f>
        <v>0</v>
      </c>
      <c r="D16" s="16">
        <f>[21]Vendedor12!$L$4</f>
        <v>0</v>
      </c>
      <c r="E16" s="14">
        <f>[21]Vendedor12!$J$5</f>
        <v>0</v>
      </c>
      <c r="F16" s="15">
        <f>[21]Vendedor12!$K$5</f>
        <v>0</v>
      </c>
      <c r="G16" s="17">
        <f>[21]Vendedor12!$L$5</f>
        <v>0</v>
      </c>
      <c r="H16" s="18">
        <f>[21]Vendedor12!$J$6</f>
        <v>0</v>
      </c>
      <c r="I16" s="15">
        <f>[21]Vendedor12!$K$6</f>
        <v>0</v>
      </c>
      <c r="J16" s="16">
        <f>[21]Vendedor12!$L$6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[22]Vendedor12!$J$4</f>
        <v>0</v>
      </c>
      <c r="C17" s="15">
        <f>[22]Vendedor12!$K$4</f>
        <v>0</v>
      </c>
      <c r="D17" s="16">
        <f>[22]Vendedor12!$L$4</f>
        <v>0</v>
      </c>
      <c r="E17" s="14">
        <f>[22]Vendedor12!$J$5</f>
        <v>0</v>
      </c>
      <c r="F17" s="15">
        <f>[22]Vendedor12!$K$5</f>
        <v>0</v>
      </c>
      <c r="G17" s="17">
        <f>[22]Vendedor12!$L$5</f>
        <v>0</v>
      </c>
      <c r="H17" s="18">
        <f>[22]Vendedor12!$J$6</f>
        <v>0</v>
      </c>
      <c r="I17" s="15">
        <f>[22]Vendedor12!$K$6</f>
        <v>0</v>
      </c>
      <c r="J17" s="16">
        <f>[22]Vendedor12!$L$6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[23]Vendedor12!$J$4</f>
        <v>0</v>
      </c>
      <c r="C18" s="15">
        <f>[23]Vendedor12!$K$4</f>
        <v>0</v>
      </c>
      <c r="D18" s="16">
        <f>[23]Vendedor12!$L$4</f>
        <v>0</v>
      </c>
      <c r="E18" s="14">
        <f>[23]Vendedor12!$J$5</f>
        <v>0</v>
      </c>
      <c r="F18" s="15">
        <f>[23]Vendedor12!$K$5</f>
        <v>0</v>
      </c>
      <c r="G18" s="17">
        <f>[23]Vendedor12!$L$5</f>
        <v>0</v>
      </c>
      <c r="H18" s="18">
        <f>[23]Vendedor12!$J$6</f>
        <v>0</v>
      </c>
      <c r="I18" s="15">
        <f>[23]Vendedor12!$K$6</f>
        <v>0</v>
      </c>
      <c r="J18" s="16">
        <f>[23]Vendedor12!$L$6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[24]Vendedor12!$J$4</f>
        <v>0</v>
      </c>
      <c r="C19" s="15">
        <f>[24]Vendedor12!$K$4</f>
        <v>0</v>
      </c>
      <c r="D19" s="16">
        <f>[24]Vendedor12!$L$4</f>
        <v>0</v>
      </c>
      <c r="E19" s="14">
        <f>[24]Vendedor12!$J$5</f>
        <v>0</v>
      </c>
      <c r="F19" s="15">
        <f>[24]Vendedor12!$K$5</f>
        <v>0</v>
      </c>
      <c r="G19" s="17">
        <f>[24]Vendedor12!$L$5</f>
        <v>0</v>
      </c>
      <c r="H19" s="18">
        <f>[24]Vendedor12!$J$6</f>
        <v>0</v>
      </c>
      <c r="I19" s="15">
        <f>[24]Vendedor12!$K$6</f>
        <v>0</v>
      </c>
      <c r="J19" s="16">
        <f>[24]Vendedor12!$L$6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[25]Vendedor12!$J$4</f>
        <v>0</v>
      </c>
      <c r="C20" s="15">
        <f>[25]Vendedor12!$K$4</f>
        <v>0</v>
      </c>
      <c r="D20" s="16">
        <f>[25]Vendedor12!$L$4</f>
        <v>0</v>
      </c>
      <c r="E20" s="14">
        <f>[25]Vendedor12!$J$5</f>
        <v>0</v>
      </c>
      <c r="F20" s="15">
        <f>[25]Vendedor12!$K$5</f>
        <v>0</v>
      </c>
      <c r="G20" s="17">
        <f>[25]Vendedor12!$L$5</f>
        <v>0</v>
      </c>
      <c r="H20" s="18">
        <f>[25]Vendedor12!$J$6</f>
        <v>0</v>
      </c>
      <c r="I20" s="15">
        <f>[25]Vendedor12!$K$6</f>
        <v>0</v>
      </c>
      <c r="J20" s="16">
        <f>[25]Vendedor12!$L$6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[26]Vendedor12!$J$4</f>
        <v>0</v>
      </c>
      <c r="C21" s="81">
        <f>[26]Vendedor12!$K$4</f>
        <v>0</v>
      </c>
      <c r="D21" s="82">
        <f>[26]Vendedor12!$L$4</f>
        <v>0</v>
      </c>
      <c r="E21" s="14">
        <f>[26]Vendedor12!$J$5</f>
        <v>0</v>
      </c>
      <c r="F21" s="81">
        <f>[26]Vendedor12!$K$5</f>
        <v>0</v>
      </c>
      <c r="G21" s="85">
        <f>[26]Vendedor12!$L$5</f>
        <v>0</v>
      </c>
      <c r="H21" s="19">
        <f>[26]Vendedor12!$J$6</f>
        <v>0</v>
      </c>
      <c r="I21" s="15">
        <f>[26]Vendedor12!$K$6</f>
        <v>0</v>
      </c>
      <c r="J21" s="17">
        <f>[26]Vendedor12!$L$6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[27]Vendedor12!$J$4</f>
        <v>0</v>
      </c>
      <c r="C22" s="81">
        <f>[27]Vendedor12!$K$4</f>
        <v>0</v>
      </c>
      <c r="D22" s="82">
        <f>[27]Vendedor12!$L$4</f>
        <v>0</v>
      </c>
      <c r="E22" s="14">
        <f>[27]Vendedor12!$J$5</f>
        <v>0</v>
      </c>
      <c r="F22" s="81">
        <f>[27]Vendedor12!$K$5</f>
        <v>0</v>
      </c>
      <c r="G22" s="85">
        <f>[27]Vendedor12!$L$5</f>
        <v>0</v>
      </c>
      <c r="H22" s="19">
        <f>[27]Vendedor12!$J$6</f>
        <v>0</v>
      </c>
      <c r="I22" s="15">
        <f>[27]Vendedor12!$K$6</f>
        <v>0</v>
      </c>
      <c r="J22" s="17">
        <f>[27]Vendedor12!$L$6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[28]Vendedor12!$J$4</f>
        <v>0</v>
      </c>
      <c r="C23" s="81">
        <f>[28]Vendedor12!$K$4</f>
        <v>0</v>
      </c>
      <c r="D23" s="82">
        <f>[28]Vendedor12!$L$4</f>
        <v>0</v>
      </c>
      <c r="E23" s="14">
        <f>[28]Vendedor12!$J$5</f>
        <v>0</v>
      </c>
      <c r="F23" s="81">
        <f>[28]Vendedor12!$K$5</f>
        <v>0</v>
      </c>
      <c r="G23" s="85">
        <f>[28]Vendedor12!$L$5</f>
        <v>0</v>
      </c>
      <c r="H23" s="19">
        <f>[28]Vendedor12!$J$6</f>
        <v>0</v>
      </c>
      <c r="I23" s="15">
        <f>[28]Vendedor12!$K$6</f>
        <v>0</v>
      </c>
      <c r="J23" s="17">
        <f>[28]Vendedor12!$L$6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[29]Vendedor12!$J$4</f>
        <v>0</v>
      </c>
      <c r="C24" s="81">
        <f>[29]Vendedor12!$K$4</f>
        <v>0</v>
      </c>
      <c r="D24" s="82">
        <f>[29]Vendedor12!$L$4</f>
        <v>0</v>
      </c>
      <c r="E24" s="14">
        <f>[29]Vendedor12!$J$5</f>
        <v>0</v>
      </c>
      <c r="F24" s="81">
        <f>[29]Vendedor12!$K$5</f>
        <v>0</v>
      </c>
      <c r="G24" s="85">
        <f>[29]Vendedor12!$L$5</f>
        <v>0</v>
      </c>
      <c r="H24" s="19">
        <f>[29]Vendedor12!$J$6</f>
        <v>0</v>
      </c>
      <c r="I24" s="15">
        <f>[29]Vendedor12!$K$6</f>
        <v>0</v>
      </c>
      <c r="J24" s="17">
        <f>[29]Vendedor12!$L$6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[30]Vendedor12!$J$4</f>
        <v>0</v>
      </c>
      <c r="C25" s="81">
        <f>[30]Vendedor12!$K$4</f>
        <v>0</v>
      </c>
      <c r="D25" s="82">
        <f>[30]Vendedor12!$L$4</f>
        <v>0</v>
      </c>
      <c r="E25" s="14">
        <f>[30]Vendedor12!$J$5</f>
        <v>0</v>
      </c>
      <c r="F25" s="81">
        <f>[30]Vendedor12!$K$5</f>
        <v>0</v>
      </c>
      <c r="G25" s="85">
        <f>[30]Vendedor12!$L$5</f>
        <v>0</v>
      </c>
      <c r="H25" s="19">
        <f>[30]Vendedor12!$J$6</f>
        <v>0</v>
      </c>
      <c r="I25" s="15">
        <f>[30]Vendedor12!$K$6</f>
        <v>0</v>
      </c>
      <c r="J25" s="17">
        <f>[30]Vendedor12!$L$6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[31]Vendedor12!$J$4</f>
        <v>0</v>
      </c>
      <c r="C26" s="81">
        <f>[31]Vendedor12!$K$4</f>
        <v>0</v>
      </c>
      <c r="D26" s="82">
        <f>[31]Vendedor12!$L$4</f>
        <v>0</v>
      </c>
      <c r="E26" s="14">
        <f>[31]Vendedor12!$J$5</f>
        <v>0</v>
      </c>
      <c r="F26" s="81">
        <f>[31]Vendedor12!$K$5</f>
        <v>0</v>
      </c>
      <c r="G26" s="85">
        <f>[31]Vendedor12!$L$5</f>
        <v>0</v>
      </c>
      <c r="H26" s="19">
        <f>[31]Vendedor12!$J$6</f>
        <v>0</v>
      </c>
      <c r="I26" s="15">
        <f>[31]Vendedor12!$K$6</f>
        <v>0</v>
      </c>
      <c r="J26" s="17">
        <f>[31]Vendedor12!$L$6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[1]Vendedor12!$J$4</f>
        <v>0</v>
      </c>
      <c r="C27" s="81">
        <f>[1]Vendedor12!$K$4</f>
        <v>0</v>
      </c>
      <c r="D27" s="82">
        <f>[1]Vendedor12!$L$4</f>
        <v>0</v>
      </c>
      <c r="E27" s="14">
        <f>[1]Vendedor12!$J$5</f>
        <v>0</v>
      </c>
      <c r="F27" s="81">
        <f>[1]Vendedor12!$K$5</f>
        <v>0</v>
      </c>
      <c r="G27" s="85">
        <f>[1]Vendedor12!$L$5</f>
        <v>0</v>
      </c>
      <c r="H27" s="19">
        <f>[1]Vendedor12!$J$6</f>
        <v>0</v>
      </c>
      <c r="I27" s="15">
        <f>[1]Vendedor12!$K$6</f>
        <v>0</v>
      </c>
      <c r="J27" s="17">
        <f>[1]Vendedor12!$L$6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[2]Vendedor12!$J$4</f>
        <v>0</v>
      </c>
      <c r="C28" s="81">
        <f>[2]Vendedor12!$K$4</f>
        <v>0</v>
      </c>
      <c r="D28" s="82">
        <f>[2]Vendedor12!$L$4</f>
        <v>0</v>
      </c>
      <c r="E28" s="14">
        <f>[2]Vendedor12!$J$5</f>
        <v>0</v>
      </c>
      <c r="F28" s="81">
        <f>[2]Vendedor12!$K$5</f>
        <v>0</v>
      </c>
      <c r="G28" s="85">
        <f>[2]Vendedor12!$L$5</f>
        <v>0</v>
      </c>
      <c r="H28" s="19">
        <f>[2]Vendedor12!$J$6</f>
        <v>0</v>
      </c>
      <c r="I28" s="15">
        <f>[2]Vendedor12!$K$6</f>
        <v>0</v>
      </c>
      <c r="J28" s="17">
        <f>[2]Vendedor12!$L$6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[3]Vendedor12!$J$4</f>
        <v>0</v>
      </c>
      <c r="C29" s="81">
        <f>[3]Vendedor12!$K$4</f>
        <v>0</v>
      </c>
      <c r="D29" s="82">
        <f>[3]Vendedor12!$L$4</f>
        <v>0</v>
      </c>
      <c r="E29" s="14">
        <f>[3]Vendedor12!$J$5</f>
        <v>0</v>
      </c>
      <c r="F29" s="81">
        <f>[3]Vendedor12!$K$5</f>
        <v>0</v>
      </c>
      <c r="G29" s="85">
        <f>[3]Vendedor12!$L$5</f>
        <v>0</v>
      </c>
      <c r="H29" s="19">
        <f>[3]Vendedor12!$J$6</f>
        <v>0</v>
      </c>
      <c r="I29" s="15">
        <f>[3]Vendedor12!$K$6</f>
        <v>0</v>
      </c>
      <c r="J29" s="17">
        <f>[3]Vendedor12!$L$6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[4]Vendedor12!$J$4</f>
        <v>0</v>
      </c>
      <c r="C30" s="81">
        <f>[4]Vendedor12!$K$4</f>
        <v>0</v>
      </c>
      <c r="D30" s="82">
        <f>[4]Vendedor12!$L$4</f>
        <v>0</v>
      </c>
      <c r="E30" s="14">
        <f>[4]Vendedor12!$J$5</f>
        <v>0</v>
      </c>
      <c r="F30" s="81">
        <f>[4]Vendedor12!$K$5</f>
        <v>0</v>
      </c>
      <c r="G30" s="85">
        <f>[4]Vendedor12!$L$5</f>
        <v>0</v>
      </c>
      <c r="H30" s="19">
        <f>[4]Vendedor12!$J$6</f>
        <v>0</v>
      </c>
      <c r="I30" s="15">
        <f>[4]Vendedor12!$K$6</f>
        <v>0</v>
      </c>
      <c r="J30" s="17">
        <f>[4]Vendedor12!$L$6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[5]Vendedor12!$J$4</f>
        <v>0</v>
      </c>
      <c r="C31" s="81">
        <f>[5]Vendedor12!$K$4</f>
        <v>0</v>
      </c>
      <c r="D31" s="82">
        <f>[5]Vendedor12!$L$4</f>
        <v>0</v>
      </c>
      <c r="E31" s="14">
        <f>[5]Vendedor12!$J$5</f>
        <v>0</v>
      </c>
      <c r="F31" s="81">
        <f>[5]Vendedor12!$K$5</f>
        <v>0</v>
      </c>
      <c r="G31" s="85">
        <f>[5]Vendedor12!$L$5</f>
        <v>0</v>
      </c>
      <c r="H31" s="19">
        <f>[5]Vendedor12!$J$6</f>
        <v>0</v>
      </c>
      <c r="I31" s="15">
        <f>[5]Vendedor12!$K$6</f>
        <v>0</v>
      </c>
      <c r="J31" s="17">
        <f>[5]Vendedor12!$L$6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[6]Vendedor12!$J$4</f>
        <v>0</v>
      </c>
      <c r="C32" s="81">
        <f>[6]Vendedor12!$K$4</f>
        <v>0</v>
      </c>
      <c r="D32" s="82">
        <f>[6]Vendedor12!$L$4</f>
        <v>0</v>
      </c>
      <c r="E32" s="14">
        <f>[6]Vendedor12!$J$5</f>
        <v>0</v>
      </c>
      <c r="F32" s="81">
        <f>[6]Vendedor12!$K$5</f>
        <v>0</v>
      </c>
      <c r="G32" s="85">
        <f>[6]Vendedor12!$L$5</f>
        <v>0</v>
      </c>
      <c r="H32" s="19">
        <f>[6]Vendedor12!$J$6</f>
        <v>0</v>
      </c>
      <c r="I32" s="15">
        <f>[6]Vendedor12!$K$6</f>
        <v>0</v>
      </c>
      <c r="J32" s="17">
        <f>[6]Vendedor12!$L$6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[7]Vendedor12!$J$4</f>
        <v>0</v>
      </c>
      <c r="C33" s="81">
        <f>[7]Vendedor12!$K$4</f>
        <v>0</v>
      </c>
      <c r="D33" s="82">
        <f>[7]Vendedor12!$L$4</f>
        <v>0</v>
      </c>
      <c r="E33" s="14">
        <f>[7]Vendedor12!$J$5</f>
        <v>0</v>
      </c>
      <c r="F33" s="81">
        <f>[7]Vendedor12!$K$5</f>
        <v>0</v>
      </c>
      <c r="G33" s="85">
        <f>[7]Vendedor12!$L$5</f>
        <v>0</v>
      </c>
      <c r="H33" s="19">
        <f>[7]Vendedor12!$J$6</f>
        <v>0</v>
      </c>
      <c r="I33" s="15">
        <f>[7]Vendedor12!$K$6</f>
        <v>0</v>
      </c>
      <c r="J33" s="17">
        <f>[7]Vendedor12!$L$6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[8]Vendedor12!$J$4</f>
        <v>0</v>
      </c>
      <c r="C34" s="81">
        <f>[8]Vendedor12!$K$4</f>
        <v>0</v>
      </c>
      <c r="D34" s="82">
        <f>[8]Vendedor12!$L$4</f>
        <v>0</v>
      </c>
      <c r="E34" s="14">
        <f>[8]Vendedor12!$J$5</f>
        <v>0</v>
      </c>
      <c r="F34" s="81">
        <f>[8]Vendedor12!$K$5</f>
        <v>0</v>
      </c>
      <c r="G34" s="85">
        <f>[8]Vendedor12!$L$5</f>
        <v>0</v>
      </c>
      <c r="H34" s="19">
        <f>[8]Vendedor12!$J$6</f>
        <v>0</v>
      </c>
      <c r="I34" s="15">
        <f>[8]Vendedor12!$K$6</f>
        <v>0</v>
      </c>
      <c r="J34" s="17">
        <f>[8]Vendedor12!$L$6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[9]Vendedor12!$J$4</f>
        <v>0</v>
      </c>
      <c r="C35" s="81">
        <f>[9]Vendedor12!$K$4</f>
        <v>0</v>
      </c>
      <c r="D35" s="82">
        <f>[9]Vendedor12!$L$4</f>
        <v>0</v>
      </c>
      <c r="E35" s="14">
        <f>[9]Vendedor12!$J$5</f>
        <v>0</v>
      </c>
      <c r="F35" s="81">
        <f>[9]Vendedor12!$K$5</f>
        <v>0</v>
      </c>
      <c r="G35" s="85">
        <f>[9]Vendedor12!$L$5</f>
        <v>0</v>
      </c>
      <c r="H35" s="19">
        <f>[9]Vendedor12!$J$6</f>
        <v>0</v>
      </c>
      <c r="I35" s="15">
        <f>[9]Vendedor12!$K$6</f>
        <v>0</v>
      </c>
      <c r="J35" s="17">
        <f>[9]Vendedor12!$L$6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[10]Vendedor12!$J$4</f>
        <v>0</v>
      </c>
      <c r="C36" s="83">
        <f>[10]Vendedor12!$K$4</f>
        <v>0</v>
      </c>
      <c r="D36" s="84">
        <f>[10]Vendedor12!$L$4</f>
        <v>0</v>
      </c>
      <c r="E36" s="21">
        <f>[10]Vendedor12!$J$5</f>
        <v>0</v>
      </c>
      <c r="F36" s="83">
        <f>[10]Vendedor12!$K$5</f>
        <v>0</v>
      </c>
      <c r="G36" s="86">
        <f>[10]Vendedor12!$L$5</f>
        <v>0</v>
      </c>
      <c r="H36" s="26">
        <f>[10]Vendedor12!$J$6</f>
        <v>0</v>
      </c>
      <c r="I36" s="22">
        <f>[10]Vendedor12!$K$6</f>
        <v>0</v>
      </c>
      <c r="J36" s="24">
        <f>[10]Vendedor12!$L$6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M37"/>
  <sheetViews>
    <sheetView showGridLines="0" topLeftCell="B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1.26953125" style="1" bestFit="1" customWidth="1"/>
    <col min="2" max="2" width="11.453125" style="1" bestFit="1" customWidth="1"/>
    <col min="3" max="3" width="13.7265625" style="1" bestFit="1" customWidth="1"/>
    <col min="4" max="4" width="12" style="1" bestFit="1" customWidth="1"/>
    <col min="5" max="5" width="11.269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7" width="11.453125" style="1"/>
    <col min="18" max="18" width="10.26953125" style="1" bestFit="1" customWidth="1"/>
    <col min="19" max="19" width="14.54296875" style="1" bestFit="1" customWidth="1"/>
    <col min="20" max="20" width="10.7265625" style="1" bestFit="1" customWidth="1"/>
    <col min="21" max="21" width="11.7265625" style="1" bestFit="1" customWidth="1"/>
    <col min="22" max="1027" width="11.453125" style="1"/>
  </cols>
  <sheetData>
    <row r="1" spans="1:60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60" ht="19" thickBot="1" x14ac:dyDescent="0.5">
      <c r="A2" s="2" t="s">
        <v>1</v>
      </c>
      <c r="B2" s="142" t="s">
        <v>137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[11]Vendedor13!$J$4</f>
        <v>68200</v>
      </c>
      <c r="C6" s="87">
        <f>[11]Vendedor13!$K$4</f>
        <v>8184</v>
      </c>
      <c r="D6" s="88">
        <f>[11]Vendedor13!$L$4</f>
        <v>46750</v>
      </c>
      <c r="E6" s="53">
        <f>[11]Vendedor13!$J$5</f>
        <v>24200</v>
      </c>
      <c r="F6" s="87">
        <f>[11]Vendedor13!$K$5</f>
        <v>2904</v>
      </c>
      <c r="G6" s="89">
        <f>[11]Vendedor13!$L$5</f>
        <v>56000</v>
      </c>
      <c r="H6" s="59">
        <f>[11]Vendedor13!$J$6</f>
        <v>1000</v>
      </c>
      <c r="I6" s="58">
        <f>[11]Vendedor13!$K$6</f>
        <v>100</v>
      </c>
      <c r="J6" s="55">
        <f>[11]Vendedor13!$L$6</f>
        <v>0</v>
      </c>
      <c r="K6" s="61">
        <f>[11]Vendedor13!$J$7</f>
        <v>0</v>
      </c>
      <c r="L6" s="58">
        <f>[11]Vendedor13!$K$7</f>
        <v>0</v>
      </c>
      <c r="M6" s="54">
        <f>[11]Vendedor13!$L$7</f>
        <v>0</v>
      </c>
      <c r="N6" s="59">
        <f>[11]Vendedor13!$J$8</f>
        <v>0</v>
      </c>
      <c r="O6" s="58">
        <f>[11]Vendedor13!$K$8</f>
        <v>0</v>
      </c>
      <c r="P6" s="55">
        <f>[11]Vendedor13!$L$8</f>
        <v>0</v>
      </c>
      <c r="Q6" s="59">
        <f>+B6+E6+H6+K6+N6</f>
        <v>93400</v>
      </c>
      <c r="R6" s="58">
        <f t="shared" ref="R6:R36" si="1">+C6+F6+I6+L6+O6</f>
        <v>11188</v>
      </c>
      <c r="S6" s="55">
        <f t="shared" ref="S6:S36" si="2">+D6+G6+J6+M6+P6</f>
        <v>102750</v>
      </c>
      <c r="T6" s="61">
        <v>0</v>
      </c>
      <c r="U6" s="55">
        <f t="shared" si="0"/>
        <v>-20538</v>
      </c>
    </row>
    <row r="7" spans="1:60" x14ac:dyDescent="0.35">
      <c r="A7" s="13" t="s">
        <v>50</v>
      </c>
      <c r="B7" s="14">
        <f>[12]Vendedor13!$J$4</f>
        <v>54700</v>
      </c>
      <c r="C7" s="81">
        <f>[12]Vendedor13!$K$4</f>
        <v>6564</v>
      </c>
      <c r="D7" s="82">
        <f>[12]Vendedor13!$L$4</f>
        <v>80750</v>
      </c>
      <c r="E7" s="14">
        <f>[12]Vendedor13!$J$5</f>
        <v>20250</v>
      </c>
      <c r="F7" s="81">
        <f>[12]Vendedor13!$K$5</f>
        <v>2430</v>
      </c>
      <c r="G7" s="85">
        <f>[12]Vendedor13!$L$5</f>
        <v>0</v>
      </c>
      <c r="H7" s="19">
        <f>[12]Vendedor13!$J$6</f>
        <v>1000</v>
      </c>
      <c r="I7" s="15">
        <f>[12]Vendedor13!$K$6</f>
        <v>100</v>
      </c>
      <c r="J7" s="17">
        <f>[12]Vendedor13!$L$6</f>
        <v>0</v>
      </c>
      <c r="K7" s="18">
        <f>[12]Vendedor13!$J$7</f>
        <v>0</v>
      </c>
      <c r="L7" s="15">
        <f>[12]Vendedor13!$K$7</f>
        <v>0</v>
      </c>
      <c r="M7" s="16">
        <f>[12]Vendedor13!$L$7</f>
        <v>0</v>
      </c>
      <c r="N7" s="19">
        <f>[12]Vendedor13!$J$8</f>
        <v>0</v>
      </c>
      <c r="O7" s="15">
        <f>[12]Vendedor13!$K$8</f>
        <v>0</v>
      </c>
      <c r="P7" s="17">
        <f>[12]Vendedor13!$L$8</f>
        <v>0</v>
      </c>
      <c r="Q7" s="19">
        <f t="shared" ref="Q7:Q36" si="3">+B7+E7+H7+K7+N7</f>
        <v>75950</v>
      </c>
      <c r="R7" s="15">
        <f t="shared" si="1"/>
        <v>9094</v>
      </c>
      <c r="S7" s="17">
        <f t="shared" si="2"/>
        <v>80750</v>
      </c>
      <c r="T7" s="18">
        <v>0</v>
      </c>
      <c r="U7" s="17">
        <f t="shared" si="0"/>
        <v>-13894</v>
      </c>
    </row>
    <row r="8" spans="1:60" x14ac:dyDescent="0.35">
      <c r="A8" s="20" t="s">
        <v>51</v>
      </c>
      <c r="B8" s="14">
        <f>[13]Vendedor13!$J$4</f>
        <v>50700</v>
      </c>
      <c r="C8" s="81">
        <f>[13]Vendedor13!$K$4</f>
        <v>6084</v>
      </c>
      <c r="D8" s="82">
        <f>[13]Vendedor13!$L$4</f>
        <v>59500</v>
      </c>
      <c r="E8" s="14">
        <f>[13]Vendedor13!$J$5</f>
        <v>14350</v>
      </c>
      <c r="F8" s="81">
        <f>[13]Vendedor13!$K$5</f>
        <v>1722</v>
      </c>
      <c r="G8" s="85">
        <f>[13]Vendedor13!$L$5</f>
        <v>0</v>
      </c>
      <c r="H8" s="19">
        <f>[13]Vendedor13!$J$6</f>
        <v>0</v>
      </c>
      <c r="I8" s="15">
        <f>[13]Vendedor13!$K$6</f>
        <v>0</v>
      </c>
      <c r="J8" s="17">
        <f>[13]Vendedor13!$L$6</f>
        <v>0</v>
      </c>
      <c r="K8" s="18">
        <f>[13]Vendedor13!$J$7</f>
        <v>1000</v>
      </c>
      <c r="L8" s="15">
        <f>[13]Vendedor13!$K$7</f>
        <v>120</v>
      </c>
      <c r="M8" s="16">
        <f>[13]Vendedor13!$L$7</f>
        <v>0</v>
      </c>
      <c r="N8" s="19">
        <f>[13]Vendedor13!$J$8</f>
        <v>0</v>
      </c>
      <c r="O8" s="15">
        <f>[13]Vendedor13!$K$8</f>
        <v>0</v>
      </c>
      <c r="P8" s="17">
        <f>[13]Vendedor13!$L$8</f>
        <v>0</v>
      </c>
      <c r="Q8" s="19">
        <f t="shared" si="3"/>
        <v>66050</v>
      </c>
      <c r="R8" s="15">
        <f t="shared" si="1"/>
        <v>7926</v>
      </c>
      <c r="S8" s="17">
        <f t="shared" si="2"/>
        <v>59500</v>
      </c>
      <c r="T8" s="18">
        <v>0</v>
      </c>
      <c r="U8" s="17">
        <f t="shared" si="0"/>
        <v>-1376</v>
      </c>
    </row>
    <row r="9" spans="1:60" x14ac:dyDescent="0.35">
      <c r="A9" s="13" t="s">
        <v>52</v>
      </c>
      <c r="B9" s="14">
        <f>[14]Vendedor13!$J$4</f>
        <v>70850</v>
      </c>
      <c r="C9" s="81">
        <f>[14]Vendedor13!$K$4</f>
        <v>8502</v>
      </c>
      <c r="D9" s="82">
        <f>[14]Vendedor13!$L$4</f>
        <v>131750</v>
      </c>
      <c r="E9" s="14">
        <f>[14]Vendedor13!$J$5</f>
        <v>43750</v>
      </c>
      <c r="F9" s="81">
        <f>[14]Vendedor13!$K$5</f>
        <v>5250</v>
      </c>
      <c r="G9" s="85">
        <f>[14]Vendedor13!$L$5</f>
        <v>0</v>
      </c>
      <c r="H9" s="19">
        <f>[14]Vendedor13!$J$6</f>
        <v>0</v>
      </c>
      <c r="I9" s="15">
        <f>[14]Vendedor13!$K$6</f>
        <v>0</v>
      </c>
      <c r="J9" s="17">
        <f>[14]Vendedor13!$L$6</f>
        <v>0</v>
      </c>
      <c r="K9" s="18">
        <f>[14]Vendedor13!$J$7</f>
        <v>0</v>
      </c>
      <c r="L9" s="15">
        <f>[14]Vendedor13!$K$7</f>
        <v>0</v>
      </c>
      <c r="M9" s="16">
        <f>[14]Vendedor13!$L$7</f>
        <v>0</v>
      </c>
      <c r="N9" s="19">
        <f>[14]Vendedor13!$J$8</f>
        <v>0</v>
      </c>
      <c r="O9" s="15">
        <f>[14]Vendedor13!$K$8</f>
        <v>0</v>
      </c>
      <c r="P9" s="17">
        <f>[14]Vendedor13!$L$8</f>
        <v>0</v>
      </c>
      <c r="Q9" s="19">
        <f t="shared" si="3"/>
        <v>114600</v>
      </c>
      <c r="R9" s="15">
        <f t="shared" si="1"/>
        <v>13752</v>
      </c>
      <c r="S9" s="17">
        <f t="shared" si="2"/>
        <v>131750</v>
      </c>
      <c r="T9" s="18">
        <v>0</v>
      </c>
      <c r="U9" s="17">
        <f t="shared" si="0"/>
        <v>-30902</v>
      </c>
    </row>
    <row r="10" spans="1:60" x14ac:dyDescent="0.35">
      <c r="A10" s="20" t="s">
        <v>53</v>
      </c>
      <c r="B10" s="14">
        <f>[15]Vendedor13!$J$4</f>
        <v>68050</v>
      </c>
      <c r="C10" s="81">
        <f>[15]Vendedor13!$K$4</f>
        <v>8166</v>
      </c>
      <c r="D10" s="82">
        <f>[15]Vendedor13!$L$4</f>
        <v>80750</v>
      </c>
      <c r="E10" s="14">
        <f>[15]Vendedor13!$J$5</f>
        <v>21500</v>
      </c>
      <c r="F10" s="81">
        <f>[15]Vendedor13!$K$5</f>
        <v>2580</v>
      </c>
      <c r="G10" s="85">
        <f>[15]Vendedor13!$L$5</f>
        <v>28000</v>
      </c>
      <c r="H10" s="19">
        <f>[15]Vendedor13!$J$6</f>
        <v>10000</v>
      </c>
      <c r="I10" s="15">
        <f>[15]Vendedor13!$K$6</f>
        <v>1000</v>
      </c>
      <c r="J10" s="17">
        <f>[15]Vendedor13!$L$6</f>
        <v>0</v>
      </c>
      <c r="K10" s="18">
        <f>[15]Vendedor13!$J$7</f>
        <v>3500</v>
      </c>
      <c r="L10" s="15">
        <f>[15]Vendedor13!$K$7</f>
        <v>420</v>
      </c>
      <c r="M10" s="16">
        <f>[15]Vendedor13!$L$7</f>
        <v>0</v>
      </c>
      <c r="N10" s="19">
        <f>[15]Vendedor13!$J$8</f>
        <v>0</v>
      </c>
      <c r="O10" s="15">
        <f>[15]Vendedor13!$K$8</f>
        <v>0</v>
      </c>
      <c r="P10" s="17">
        <f>[15]Vendedor13!$L$8</f>
        <v>0</v>
      </c>
      <c r="Q10" s="19">
        <f t="shared" si="3"/>
        <v>103050</v>
      </c>
      <c r="R10" s="15">
        <f t="shared" si="1"/>
        <v>12166</v>
      </c>
      <c r="S10" s="17">
        <f t="shared" si="2"/>
        <v>108750</v>
      </c>
      <c r="T10" s="18">
        <v>0</v>
      </c>
      <c r="U10" s="17">
        <f t="shared" si="0"/>
        <v>-17866</v>
      </c>
    </row>
    <row r="11" spans="1:60" x14ac:dyDescent="0.35">
      <c r="A11" s="13" t="s">
        <v>20</v>
      </c>
      <c r="B11" s="14">
        <f>[16]Vendedor13!$J$4</f>
        <v>52100</v>
      </c>
      <c r="C11" s="81">
        <f>[16]Vendedor13!$K$4</f>
        <v>6252</v>
      </c>
      <c r="D11" s="82">
        <f>[16]Vendedor13!$L$4</f>
        <v>34000</v>
      </c>
      <c r="E11" s="14">
        <f>[16]Vendedor13!$J$5</f>
        <v>31850</v>
      </c>
      <c r="F11" s="81">
        <f>[16]Vendedor13!$K$5</f>
        <v>3822</v>
      </c>
      <c r="G11" s="85">
        <f>[16]Vendedor13!$L$5</f>
        <v>16000</v>
      </c>
      <c r="H11" s="19">
        <f>[16]Vendedor13!$J$6</f>
        <v>0</v>
      </c>
      <c r="I11" s="15">
        <f>[16]Vendedor13!$K$6</f>
        <v>0</v>
      </c>
      <c r="J11" s="17">
        <f>[16]Vendedor13!$L$6</f>
        <v>0</v>
      </c>
      <c r="K11" s="18">
        <f>[16]Vendedor13!$J$7</f>
        <v>0</v>
      </c>
      <c r="L11" s="15">
        <f>[16]Vendedor13!$K$7</f>
        <v>0</v>
      </c>
      <c r="M11" s="16">
        <f>[16]Vendedor13!$L$7</f>
        <v>0</v>
      </c>
      <c r="N11" s="19">
        <f>[16]Vendedor13!$J$8</f>
        <v>0</v>
      </c>
      <c r="O11" s="15">
        <f>[16]Vendedor13!$K$8</f>
        <v>0</v>
      </c>
      <c r="P11" s="17">
        <f>[16]Vendedor13!$L$8</f>
        <v>0</v>
      </c>
      <c r="Q11" s="19">
        <f t="shared" si="3"/>
        <v>83950</v>
      </c>
      <c r="R11" s="15">
        <f t="shared" si="1"/>
        <v>10074</v>
      </c>
      <c r="S11" s="17">
        <f t="shared" si="2"/>
        <v>50000</v>
      </c>
      <c r="T11" s="18">
        <v>0</v>
      </c>
      <c r="U11" s="17">
        <f t="shared" si="0"/>
        <v>23876</v>
      </c>
    </row>
    <row r="12" spans="1:60" x14ac:dyDescent="0.35">
      <c r="A12" s="20" t="s">
        <v>21</v>
      </c>
      <c r="B12" s="14">
        <f>[17]Vendedor13!$J$4</f>
        <v>67850</v>
      </c>
      <c r="C12" s="81">
        <f>[17]Vendedor13!$K$4</f>
        <v>8142</v>
      </c>
      <c r="D12" s="82">
        <f>[17]Vendedor13!$L$4</f>
        <v>38250</v>
      </c>
      <c r="E12" s="14">
        <f>[17]Vendedor13!$J$5</f>
        <v>47300</v>
      </c>
      <c r="F12" s="81">
        <f>[17]Vendedor13!$K$5</f>
        <v>5676</v>
      </c>
      <c r="G12" s="85">
        <f>[17]Vendedor13!$L$5</f>
        <v>20000</v>
      </c>
      <c r="H12" s="19">
        <f>[17]Vendedor13!$J$6</f>
        <v>4000</v>
      </c>
      <c r="I12" s="15">
        <f>[17]Vendedor13!$K$6</f>
        <v>400</v>
      </c>
      <c r="J12" s="17">
        <f>[17]Vendedor13!$L$6</f>
        <v>0</v>
      </c>
      <c r="K12" s="18">
        <f>[17]Vendedor13!$J$7</f>
        <v>4000</v>
      </c>
      <c r="L12" s="15">
        <f>[17]Vendedor13!$K$7</f>
        <v>480</v>
      </c>
      <c r="M12" s="16">
        <f>[17]Vendedor13!$L$7</f>
        <v>0</v>
      </c>
      <c r="N12" s="19">
        <f>[17]Vendedor13!$J$8</f>
        <v>0</v>
      </c>
      <c r="O12" s="15">
        <f>[17]Vendedor13!$K$8</f>
        <v>0</v>
      </c>
      <c r="P12" s="17">
        <f>[17]Vendedor13!$L$8</f>
        <v>0</v>
      </c>
      <c r="Q12" s="19">
        <f t="shared" si="3"/>
        <v>123150</v>
      </c>
      <c r="R12" s="15">
        <f t="shared" si="1"/>
        <v>14698</v>
      </c>
      <c r="S12" s="17">
        <f t="shared" si="2"/>
        <v>58250</v>
      </c>
      <c r="T12" s="18">
        <v>0</v>
      </c>
      <c r="U12" s="17">
        <f t="shared" si="0"/>
        <v>50202</v>
      </c>
    </row>
    <row r="13" spans="1:60" x14ac:dyDescent="0.35">
      <c r="A13" s="13" t="s">
        <v>22</v>
      </c>
      <c r="B13" s="14">
        <f>[18]Vendedor13!$J$4</f>
        <v>64300</v>
      </c>
      <c r="C13" s="81">
        <f>[18]Vendedor13!$K$4</f>
        <v>7716</v>
      </c>
      <c r="D13" s="82">
        <f>[18]Vendedor13!$L$4</f>
        <v>85000</v>
      </c>
      <c r="E13" s="14">
        <f>[18]Vendedor13!$J$5</f>
        <v>24300</v>
      </c>
      <c r="F13" s="81">
        <f>[18]Vendedor13!$K$5</f>
        <v>2916</v>
      </c>
      <c r="G13" s="85">
        <f>[18]Vendedor13!$L$5</f>
        <v>0</v>
      </c>
      <c r="H13" s="19">
        <f>[18]Vendedor13!$J$6</f>
        <v>1000</v>
      </c>
      <c r="I13" s="15">
        <f>[18]Vendedor13!$K$6</f>
        <v>100</v>
      </c>
      <c r="J13" s="17">
        <f>[18]Vendedor13!$L$6</f>
        <v>0</v>
      </c>
      <c r="K13" s="18">
        <f>[18]Vendedor13!$J$7</f>
        <v>0</v>
      </c>
      <c r="L13" s="15">
        <f>[18]Vendedor13!$K$7</f>
        <v>0</v>
      </c>
      <c r="M13" s="16">
        <f>[18]Vendedor13!$L$7</f>
        <v>0</v>
      </c>
      <c r="N13" s="19">
        <f>[18]Vendedor13!$J$8</f>
        <v>0</v>
      </c>
      <c r="O13" s="15">
        <f>[18]Vendedor13!$K$8</f>
        <v>0</v>
      </c>
      <c r="P13" s="17">
        <f>[18]Vendedor13!$L$8</f>
        <v>0</v>
      </c>
      <c r="Q13" s="19">
        <f t="shared" si="3"/>
        <v>89600</v>
      </c>
      <c r="R13" s="15">
        <f t="shared" si="1"/>
        <v>10732</v>
      </c>
      <c r="S13" s="17">
        <f t="shared" si="2"/>
        <v>85000</v>
      </c>
      <c r="T13" s="18">
        <v>0</v>
      </c>
      <c r="U13" s="17">
        <f t="shared" si="0"/>
        <v>-6132</v>
      </c>
    </row>
    <row r="14" spans="1:60" x14ac:dyDescent="0.35">
      <c r="A14" s="20" t="s">
        <v>23</v>
      </c>
      <c r="B14" s="14">
        <f>[19]Vendedor13!$J$4</f>
        <v>58250</v>
      </c>
      <c r="C14" s="81">
        <f>[19]Vendedor13!$K$4</f>
        <v>6990</v>
      </c>
      <c r="D14" s="82">
        <f>[19]Vendedor13!$L$4</f>
        <v>229500</v>
      </c>
      <c r="E14" s="14">
        <f>[19]Vendedor13!$J$5</f>
        <v>39600</v>
      </c>
      <c r="F14" s="81">
        <f>[19]Vendedor13!$K$5</f>
        <v>4752</v>
      </c>
      <c r="G14" s="85">
        <f>[19]Vendedor13!$L$5</f>
        <v>140000</v>
      </c>
      <c r="H14" s="19">
        <f>[19]Vendedor13!$J$6</f>
        <v>2400</v>
      </c>
      <c r="I14" s="15">
        <f>[19]Vendedor13!$K$6</f>
        <v>240</v>
      </c>
      <c r="J14" s="17">
        <f>[19]Vendedor13!$L$6</f>
        <v>0</v>
      </c>
      <c r="K14" s="18">
        <f>[19]Vendedor13!$J$7</f>
        <v>0</v>
      </c>
      <c r="L14" s="15">
        <f>[19]Vendedor13!$K$7</f>
        <v>0</v>
      </c>
      <c r="M14" s="16">
        <f>[19]Vendedor13!$L$7</f>
        <v>0</v>
      </c>
      <c r="N14" s="19">
        <f>[19]Vendedor13!$J$8</f>
        <v>0</v>
      </c>
      <c r="O14" s="15">
        <f>[19]Vendedor13!$K$8</f>
        <v>0</v>
      </c>
      <c r="P14" s="17">
        <f>[19]Vendedor13!$L$8</f>
        <v>0</v>
      </c>
      <c r="Q14" s="19">
        <f t="shared" si="3"/>
        <v>100250</v>
      </c>
      <c r="R14" s="15">
        <f t="shared" si="1"/>
        <v>11982</v>
      </c>
      <c r="S14" s="17">
        <f t="shared" si="2"/>
        <v>369500</v>
      </c>
      <c r="T14" s="18">
        <v>0</v>
      </c>
      <c r="U14" s="17">
        <f t="shared" si="0"/>
        <v>-281232</v>
      </c>
    </row>
    <row r="15" spans="1:60" s="76" customFormat="1" x14ac:dyDescent="0.35">
      <c r="A15" s="20" t="s">
        <v>24</v>
      </c>
      <c r="B15" s="14">
        <f>[20]Vendedor13!$J$4</f>
        <v>70400</v>
      </c>
      <c r="C15" s="81">
        <f>[20]Vendedor13!$K$4</f>
        <v>8448</v>
      </c>
      <c r="D15" s="82">
        <f>[20]Vendedor13!$L$4</f>
        <v>38250</v>
      </c>
      <c r="E15" s="14">
        <f>[20]Vendedor13!$J$5</f>
        <v>18500</v>
      </c>
      <c r="F15" s="81">
        <f>[20]Vendedor13!$K$5</f>
        <v>2220</v>
      </c>
      <c r="G15" s="85">
        <f>[20]Vendedor13!$L$5</f>
        <v>0</v>
      </c>
      <c r="H15" s="19">
        <f>[20]Vendedor13!$J$6</f>
        <v>3000</v>
      </c>
      <c r="I15" s="15">
        <f>[20]Vendedor13!$K$6</f>
        <v>300</v>
      </c>
      <c r="J15" s="17">
        <f>[20]Vendedor13!$L$6</f>
        <v>0</v>
      </c>
      <c r="K15" s="18">
        <f>[20]Vendedor13!$J$7</f>
        <v>0</v>
      </c>
      <c r="L15" s="15">
        <f>[20]Vendedor13!$K$7</f>
        <v>0</v>
      </c>
      <c r="M15" s="16">
        <f>[20]Vendedor13!$L$7</f>
        <v>0</v>
      </c>
      <c r="N15" s="19">
        <f>[20]Vendedor13!$J$8</f>
        <v>0</v>
      </c>
      <c r="O15" s="15">
        <f>[20]Vendedor13!$K$8</f>
        <v>0</v>
      </c>
      <c r="P15" s="17">
        <f>[20]Vendedor13!$L$8</f>
        <v>0</v>
      </c>
      <c r="Q15" s="19">
        <f t="shared" si="3"/>
        <v>91900</v>
      </c>
      <c r="R15" s="15">
        <f t="shared" si="1"/>
        <v>10968</v>
      </c>
      <c r="S15" s="17">
        <f t="shared" si="2"/>
        <v>38250</v>
      </c>
      <c r="T15" s="18">
        <v>0</v>
      </c>
      <c r="U15" s="17">
        <f t="shared" si="0"/>
        <v>42682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[21]Vendedor13!$J$4</f>
        <v>64750</v>
      </c>
      <c r="C16" s="81">
        <f>[21]Vendedor13!$K$4</f>
        <v>7770</v>
      </c>
      <c r="D16" s="82">
        <f>[21]Vendedor13!$L$4</f>
        <v>0</v>
      </c>
      <c r="E16" s="14">
        <f>[21]Vendedor13!$J$5</f>
        <v>29850</v>
      </c>
      <c r="F16" s="81">
        <f>[21]Vendedor13!$K$5</f>
        <v>3582</v>
      </c>
      <c r="G16" s="85">
        <f>[21]Vendedor13!$L$5</f>
        <v>0</v>
      </c>
      <c r="H16" s="19">
        <f>[21]Vendedor13!$J$6</f>
        <v>0</v>
      </c>
      <c r="I16" s="15">
        <f>[21]Vendedor13!$K$6</f>
        <v>0</v>
      </c>
      <c r="J16" s="17">
        <f>[21]Vendedor13!$L$6</f>
        <v>0</v>
      </c>
      <c r="K16" s="18">
        <f>[21]Vendedor13!$J$7</f>
        <v>4300</v>
      </c>
      <c r="L16" s="15">
        <f>[21]Vendedor13!$K$7</f>
        <v>516</v>
      </c>
      <c r="M16" s="16">
        <f>[21]Vendedor13!$L$7</f>
        <v>0</v>
      </c>
      <c r="N16" s="19">
        <f>[21]Vendedor13!$J$8</f>
        <v>0</v>
      </c>
      <c r="O16" s="15">
        <f>[21]Vendedor13!$K$8</f>
        <v>0</v>
      </c>
      <c r="P16" s="17">
        <f>[21]Vendedor13!$L$8</f>
        <v>0</v>
      </c>
      <c r="Q16" s="19">
        <f t="shared" si="3"/>
        <v>98900</v>
      </c>
      <c r="R16" s="15">
        <f t="shared" si="1"/>
        <v>11868</v>
      </c>
      <c r="S16" s="17">
        <f t="shared" si="2"/>
        <v>0</v>
      </c>
      <c r="T16" s="18">
        <v>0</v>
      </c>
      <c r="U16" s="17">
        <f t="shared" si="0"/>
        <v>87032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[22]Vendedor13!$J$4</f>
        <v>67350</v>
      </c>
      <c r="C17" s="81">
        <f>[22]Vendedor13!$K$4</f>
        <v>8082</v>
      </c>
      <c r="D17" s="82">
        <f>[22]Vendedor13!$L$4</f>
        <v>8500</v>
      </c>
      <c r="E17" s="14">
        <f>[22]Vendedor13!$J$5</f>
        <v>40800</v>
      </c>
      <c r="F17" s="81">
        <f>[22]Vendedor13!$K$5</f>
        <v>4896</v>
      </c>
      <c r="G17" s="85">
        <f>[22]Vendedor13!$L$5</f>
        <v>36000</v>
      </c>
      <c r="H17" s="19">
        <f>[22]Vendedor13!$J$6</f>
        <v>10000</v>
      </c>
      <c r="I17" s="15">
        <f>[22]Vendedor13!$K$6</f>
        <v>1000</v>
      </c>
      <c r="J17" s="17">
        <f>[22]Vendedor13!$L$6</f>
        <v>0</v>
      </c>
      <c r="K17" s="18">
        <f>[22]Vendedor13!$J$7</f>
        <v>0</v>
      </c>
      <c r="L17" s="15">
        <f>[22]Vendedor13!$K$7</f>
        <v>0</v>
      </c>
      <c r="M17" s="16">
        <f>[22]Vendedor13!$L$7</f>
        <v>0</v>
      </c>
      <c r="N17" s="19">
        <f>[22]Vendedor13!$J$8</f>
        <v>0</v>
      </c>
      <c r="O17" s="15">
        <f>[22]Vendedor13!$K$8</f>
        <v>0</v>
      </c>
      <c r="P17" s="17">
        <f>[22]Vendedor13!$L$8</f>
        <v>0</v>
      </c>
      <c r="Q17" s="19">
        <f t="shared" si="3"/>
        <v>118150</v>
      </c>
      <c r="R17" s="15">
        <f t="shared" si="1"/>
        <v>13978</v>
      </c>
      <c r="S17" s="17">
        <f t="shared" si="2"/>
        <v>44500</v>
      </c>
      <c r="T17" s="18">
        <v>0</v>
      </c>
      <c r="U17" s="17">
        <f t="shared" si="0"/>
        <v>59672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[23]Vendedor13!$J$4</f>
        <v>55350</v>
      </c>
      <c r="C18" s="81">
        <f>[23]Vendedor13!$K$4</f>
        <v>6642</v>
      </c>
      <c r="D18" s="82">
        <f>[23]Vendedor13!$L$4</f>
        <v>38250</v>
      </c>
      <c r="E18" s="14">
        <f>[23]Vendedor13!$J$5</f>
        <v>27850</v>
      </c>
      <c r="F18" s="81">
        <f>[23]Vendedor13!$K$5</f>
        <v>3342</v>
      </c>
      <c r="G18" s="85">
        <f>[23]Vendedor13!$L$5</f>
        <v>36000</v>
      </c>
      <c r="H18" s="19">
        <f>[23]Vendedor13!$J$6</f>
        <v>0</v>
      </c>
      <c r="I18" s="15">
        <f>[23]Vendedor13!$K$6</f>
        <v>0</v>
      </c>
      <c r="J18" s="17">
        <f>[23]Vendedor13!$L$6</f>
        <v>0</v>
      </c>
      <c r="K18" s="18">
        <f>[23]Vendedor13!$J$7</f>
        <v>0</v>
      </c>
      <c r="L18" s="15">
        <f>[23]Vendedor13!$K$7</f>
        <v>0</v>
      </c>
      <c r="M18" s="16">
        <f>[23]Vendedor13!$L$7</f>
        <v>0</v>
      </c>
      <c r="N18" s="19">
        <f>[23]Vendedor13!$J$8</f>
        <v>0</v>
      </c>
      <c r="O18" s="15">
        <f>[23]Vendedor13!$K$8</f>
        <v>0</v>
      </c>
      <c r="P18" s="17">
        <f>[23]Vendedor13!$L$8</f>
        <v>0</v>
      </c>
      <c r="Q18" s="19">
        <f t="shared" si="3"/>
        <v>83200</v>
      </c>
      <c r="R18" s="15">
        <f t="shared" si="1"/>
        <v>9984</v>
      </c>
      <c r="S18" s="17">
        <f t="shared" si="2"/>
        <v>74250</v>
      </c>
      <c r="T18" s="18">
        <v>0</v>
      </c>
      <c r="U18" s="17">
        <f t="shared" si="0"/>
        <v>-1034</v>
      </c>
    </row>
    <row r="19" spans="1:60" x14ac:dyDescent="0.35">
      <c r="A19" s="20" t="s">
        <v>28</v>
      </c>
      <c r="B19" s="14">
        <f>[24]Vendedor13!$J$4</f>
        <v>67050</v>
      </c>
      <c r="C19" s="81">
        <f>[24]Vendedor13!$K$4</f>
        <v>8046</v>
      </c>
      <c r="D19" s="82">
        <f>[24]Vendedor13!$L$4</f>
        <v>0</v>
      </c>
      <c r="E19" s="14">
        <f>[24]Vendedor13!$J$5</f>
        <v>51700</v>
      </c>
      <c r="F19" s="81">
        <f>[24]Vendedor13!$K$5</f>
        <v>6204</v>
      </c>
      <c r="G19" s="85">
        <f>[24]Vendedor13!$L$5</f>
        <v>24000</v>
      </c>
      <c r="H19" s="19">
        <f>[24]Vendedor13!$J$6</f>
        <v>0</v>
      </c>
      <c r="I19" s="15">
        <f>[24]Vendedor13!$K$6</f>
        <v>0</v>
      </c>
      <c r="J19" s="17">
        <f>[24]Vendedor13!$L$6</f>
        <v>0</v>
      </c>
      <c r="K19" s="18">
        <f>[24]Vendedor13!$J$7</f>
        <v>0</v>
      </c>
      <c r="L19" s="15">
        <f>[24]Vendedor13!$K$7</f>
        <v>0</v>
      </c>
      <c r="M19" s="16">
        <f>[24]Vendedor13!$L$7</f>
        <v>0</v>
      </c>
      <c r="N19" s="19">
        <f>[24]Vendedor13!$J$8</f>
        <v>0</v>
      </c>
      <c r="O19" s="15">
        <f>[24]Vendedor13!$K$8</f>
        <v>0</v>
      </c>
      <c r="P19" s="17">
        <f>[24]Vendedor13!$L$8</f>
        <v>0</v>
      </c>
      <c r="Q19" s="19">
        <f t="shared" si="3"/>
        <v>118750</v>
      </c>
      <c r="R19" s="15">
        <f t="shared" si="1"/>
        <v>14250</v>
      </c>
      <c r="S19" s="17">
        <f t="shared" si="2"/>
        <v>24000</v>
      </c>
      <c r="T19" s="18">
        <v>0</v>
      </c>
      <c r="U19" s="17">
        <f t="shared" si="0"/>
        <v>80500</v>
      </c>
    </row>
    <row r="20" spans="1:60" x14ac:dyDescent="0.35">
      <c r="A20" s="13" t="s">
        <v>29</v>
      </c>
      <c r="B20" s="14">
        <f>[25]Vendedor13!$J$4</f>
        <v>55950</v>
      </c>
      <c r="C20" s="81">
        <f>[25]Vendedor13!$K$4</f>
        <v>6714</v>
      </c>
      <c r="D20" s="82">
        <f>[25]Vendedor13!$L$4</f>
        <v>0</v>
      </c>
      <c r="E20" s="14">
        <f>[25]Vendedor13!$J$5</f>
        <v>46650</v>
      </c>
      <c r="F20" s="81">
        <f>[25]Vendedor13!$K$5</f>
        <v>5598</v>
      </c>
      <c r="G20" s="85">
        <f>[25]Vendedor13!$L$5</f>
        <v>0</v>
      </c>
      <c r="H20" s="19">
        <f>[25]Vendedor13!$J$6</f>
        <v>0</v>
      </c>
      <c r="I20" s="15">
        <f>[25]Vendedor13!$K$6</f>
        <v>0</v>
      </c>
      <c r="J20" s="17">
        <f>[25]Vendedor13!$L$6</f>
        <v>0</v>
      </c>
      <c r="K20" s="18">
        <f>[25]Vendedor13!$J$7</f>
        <v>13250</v>
      </c>
      <c r="L20" s="15">
        <f>[25]Vendedor13!$K$7</f>
        <v>1590</v>
      </c>
      <c r="M20" s="16">
        <f>[25]Vendedor13!$L$7</f>
        <v>0</v>
      </c>
      <c r="N20" s="19">
        <f>[25]Vendedor13!$J$8</f>
        <v>0</v>
      </c>
      <c r="O20" s="15">
        <f>[25]Vendedor13!$K$8</f>
        <v>0</v>
      </c>
      <c r="P20" s="17">
        <f>[25]Vendedor13!$L$8</f>
        <v>0</v>
      </c>
      <c r="Q20" s="19">
        <f t="shared" si="3"/>
        <v>115850</v>
      </c>
      <c r="R20" s="15">
        <f t="shared" si="1"/>
        <v>13902</v>
      </c>
      <c r="S20" s="17">
        <f t="shared" si="2"/>
        <v>0</v>
      </c>
      <c r="T20" s="18">
        <v>0</v>
      </c>
      <c r="U20" s="17">
        <f t="shared" si="0"/>
        <v>101948</v>
      </c>
    </row>
    <row r="21" spans="1:60" x14ac:dyDescent="0.35">
      <c r="A21" s="20" t="s">
        <v>30</v>
      </c>
      <c r="B21" s="14">
        <f>[26]Vendedor13!$J$4</f>
        <v>53050</v>
      </c>
      <c r="C21" s="81">
        <f>[26]Vendedor13!$K$4</f>
        <v>6366</v>
      </c>
      <c r="D21" s="82">
        <f>[26]Vendedor13!$L$4</f>
        <v>0</v>
      </c>
      <c r="E21" s="14">
        <f>[26]Vendedor13!$J$5</f>
        <v>27000</v>
      </c>
      <c r="F21" s="81">
        <f>[26]Vendedor13!$K$5</f>
        <v>3240</v>
      </c>
      <c r="G21" s="85">
        <f>[26]Vendedor13!$L$5</f>
        <v>8000</v>
      </c>
      <c r="H21" s="19">
        <f>[26]Vendedor13!$J$6</f>
        <v>1000</v>
      </c>
      <c r="I21" s="15">
        <f>[26]Vendedor13!$K$6</f>
        <v>100</v>
      </c>
      <c r="J21" s="17">
        <f>[26]Vendedor13!$L$6</f>
        <v>0</v>
      </c>
      <c r="K21" s="18">
        <f>[26]Vendedor13!$J$7</f>
        <v>0</v>
      </c>
      <c r="L21" s="15">
        <f>[26]Vendedor13!$K$7</f>
        <v>0</v>
      </c>
      <c r="M21" s="16">
        <f>[26]Vendedor13!$L$7</f>
        <v>0</v>
      </c>
      <c r="N21" s="19">
        <f>[26]Vendedor13!$J$8</f>
        <v>0</v>
      </c>
      <c r="O21" s="15">
        <f>[26]Vendedor13!$K$8</f>
        <v>0</v>
      </c>
      <c r="P21" s="17">
        <f>[26]Vendedor13!$L$8</f>
        <v>0</v>
      </c>
      <c r="Q21" s="19">
        <f t="shared" si="3"/>
        <v>81050</v>
      </c>
      <c r="R21" s="15">
        <f t="shared" si="1"/>
        <v>9706</v>
      </c>
      <c r="S21" s="17">
        <f t="shared" si="2"/>
        <v>8000</v>
      </c>
      <c r="T21" s="18">
        <v>0</v>
      </c>
      <c r="U21" s="17">
        <f t="shared" si="0"/>
        <v>63344</v>
      </c>
    </row>
    <row r="22" spans="1:60" x14ac:dyDescent="0.35">
      <c r="A22" s="13" t="s">
        <v>31</v>
      </c>
      <c r="B22" s="14">
        <f>[27]Vendedor13!$J$4</f>
        <v>50750</v>
      </c>
      <c r="C22" s="81">
        <f>[27]Vendedor13!$K$4</f>
        <v>6090</v>
      </c>
      <c r="D22" s="82">
        <f>[27]Vendedor13!$L$4</f>
        <v>21250</v>
      </c>
      <c r="E22" s="14">
        <f>[27]Vendedor13!$J$5</f>
        <v>25700</v>
      </c>
      <c r="F22" s="81">
        <f>[27]Vendedor13!$K$5</f>
        <v>3084</v>
      </c>
      <c r="G22" s="85">
        <f>[27]Vendedor13!$L$5</f>
        <v>0</v>
      </c>
      <c r="H22" s="19">
        <f>[27]Vendedor13!$J$6</f>
        <v>4500</v>
      </c>
      <c r="I22" s="15">
        <f>[27]Vendedor13!$K$6</f>
        <v>450</v>
      </c>
      <c r="J22" s="17">
        <f>[27]Vendedor13!$L$6</f>
        <v>0</v>
      </c>
      <c r="K22" s="18">
        <f>[27]Vendedor13!$J$7</f>
        <v>0</v>
      </c>
      <c r="L22" s="15">
        <f>[27]Vendedor13!$K$7</f>
        <v>0</v>
      </c>
      <c r="M22" s="16">
        <f>[27]Vendedor13!$L$7</f>
        <v>0</v>
      </c>
      <c r="N22" s="19">
        <f>[27]Vendedor13!$J$8</f>
        <v>0</v>
      </c>
      <c r="O22" s="15">
        <f>[27]Vendedor13!$K$8</f>
        <v>0</v>
      </c>
      <c r="P22" s="17">
        <f>[27]Vendedor13!$L$8</f>
        <v>0</v>
      </c>
      <c r="Q22" s="19">
        <f t="shared" si="3"/>
        <v>80950</v>
      </c>
      <c r="R22" s="15">
        <f t="shared" si="1"/>
        <v>9624</v>
      </c>
      <c r="S22" s="17">
        <f t="shared" si="2"/>
        <v>21250</v>
      </c>
      <c r="T22" s="18">
        <v>0</v>
      </c>
      <c r="U22" s="17">
        <f t="shared" si="0"/>
        <v>50076</v>
      </c>
    </row>
    <row r="23" spans="1:60" x14ac:dyDescent="0.35">
      <c r="A23" s="20" t="s">
        <v>32</v>
      </c>
      <c r="B23" s="14">
        <f>[28]Vendedor13!$J$4</f>
        <v>31900</v>
      </c>
      <c r="C23" s="81">
        <f>[28]Vendedor13!$K$4</f>
        <v>3828</v>
      </c>
      <c r="D23" s="82">
        <f>[28]Vendedor13!$L$4</f>
        <v>85000</v>
      </c>
      <c r="E23" s="14">
        <f>[28]Vendedor13!$J$5</f>
        <v>13625</v>
      </c>
      <c r="F23" s="81">
        <f>[28]Vendedor13!$K$5</f>
        <v>1635</v>
      </c>
      <c r="G23" s="85">
        <f>[28]Vendedor13!$L$5</f>
        <v>40000</v>
      </c>
      <c r="H23" s="19">
        <f>[28]Vendedor13!$J$6</f>
        <v>1500</v>
      </c>
      <c r="I23" s="15">
        <f>[28]Vendedor13!$K$6</f>
        <v>150</v>
      </c>
      <c r="J23" s="17">
        <f>[28]Vendedor13!$L$6</f>
        <v>0</v>
      </c>
      <c r="K23" s="18">
        <f>[28]Vendedor13!$J$7</f>
        <v>0</v>
      </c>
      <c r="L23" s="15">
        <f>[28]Vendedor13!$K$7</f>
        <v>0</v>
      </c>
      <c r="M23" s="16">
        <f>[28]Vendedor13!$L$7</f>
        <v>0</v>
      </c>
      <c r="N23" s="19">
        <f>[28]Vendedor13!$J$8</f>
        <v>0</v>
      </c>
      <c r="O23" s="15">
        <f>[28]Vendedor13!$K$8</f>
        <v>0</v>
      </c>
      <c r="P23" s="17">
        <f>[28]Vendedor13!$L$8</f>
        <v>0</v>
      </c>
      <c r="Q23" s="19">
        <f t="shared" si="3"/>
        <v>47025</v>
      </c>
      <c r="R23" s="15">
        <f t="shared" si="1"/>
        <v>5613</v>
      </c>
      <c r="S23" s="17">
        <f t="shared" si="2"/>
        <v>125000</v>
      </c>
      <c r="T23" s="18">
        <v>0</v>
      </c>
      <c r="U23" s="17">
        <f t="shared" si="0"/>
        <v>-83588</v>
      </c>
    </row>
    <row r="24" spans="1:60" x14ac:dyDescent="0.35">
      <c r="A24" s="13" t="s">
        <v>33</v>
      </c>
      <c r="B24" s="14">
        <f>[29]Vendedor13!$J$4</f>
        <v>79800</v>
      </c>
      <c r="C24" s="81">
        <f>[29]Vendedor13!$K$4</f>
        <v>9576</v>
      </c>
      <c r="D24" s="82">
        <f>[29]Vendedor13!$L$4</f>
        <v>21250</v>
      </c>
      <c r="E24" s="14">
        <f>[29]Vendedor13!$J$5</f>
        <v>16800</v>
      </c>
      <c r="F24" s="81">
        <f>[29]Vendedor13!$K$5</f>
        <v>2016</v>
      </c>
      <c r="G24" s="85">
        <f>[29]Vendedor13!$L$5</f>
        <v>16000</v>
      </c>
      <c r="H24" s="19">
        <f>[29]Vendedor13!$J$6</f>
        <v>1000</v>
      </c>
      <c r="I24" s="15">
        <f>[29]Vendedor13!$K$6</f>
        <v>100</v>
      </c>
      <c r="J24" s="17">
        <f>[29]Vendedor13!$L$6</f>
        <v>0</v>
      </c>
      <c r="K24" s="18">
        <f>[29]Vendedor13!$J$7</f>
        <v>0</v>
      </c>
      <c r="L24" s="15">
        <f>[29]Vendedor13!$K$7</f>
        <v>0</v>
      </c>
      <c r="M24" s="16">
        <f>[29]Vendedor13!$L$7</f>
        <v>0</v>
      </c>
      <c r="N24" s="19">
        <f>[29]Vendedor13!$J$8</f>
        <v>0</v>
      </c>
      <c r="O24" s="15">
        <f>[29]Vendedor13!$K$8</f>
        <v>0</v>
      </c>
      <c r="P24" s="17">
        <f>[29]Vendedor13!$L$8</f>
        <v>0</v>
      </c>
      <c r="Q24" s="19">
        <f t="shared" si="3"/>
        <v>97600</v>
      </c>
      <c r="R24" s="15">
        <f t="shared" si="1"/>
        <v>11692</v>
      </c>
      <c r="S24" s="17">
        <f t="shared" si="2"/>
        <v>37250</v>
      </c>
      <c r="T24" s="18">
        <v>0</v>
      </c>
      <c r="U24" s="17">
        <f t="shared" si="0"/>
        <v>48658</v>
      </c>
    </row>
    <row r="25" spans="1:60" x14ac:dyDescent="0.35">
      <c r="A25" s="20" t="s">
        <v>34</v>
      </c>
      <c r="B25" s="14">
        <f>[30]Vendedor13!$J$4</f>
        <v>42750</v>
      </c>
      <c r="C25" s="81">
        <f>[30]Vendedor13!$K$4</f>
        <v>5130</v>
      </c>
      <c r="D25" s="82">
        <f>[30]Vendedor13!$L$4</f>
        <v>68000</v>
      </c>
      <c r="E25" s="14">
        <f>[30]Vendedor13!$J$5</f>
        <v>17200</v>
      </c>
      <c r="F25" s="81">
        <f>[30]Vendedor13!$K$5</f>
        <v>2064</v>
      </c>
      <c r="G25" s="85">
        <f>[30]Vendedor13!$L$5</f>
        <v>0</v>
      </c>
      <c r="H25" s="19">
        <f>[30]Vendedor13!$J$6</f>
        <v>1000</v>
      </c>
      <c r="I25" s="15">
        <f>[30]Vendedor13!$K$6</f>
        <v>100</v>
      </c>
      <c r="J25" s="17">
        <f>[30]Vendedor13!$L$6</f>
        <v>0</v>
      </c>
      <c r="K25" s="18">
        <f>[30]Vendedor13!$J$7</f>
        <v>0</v>
      </c>
      <c r="L25" s="15">
        <f>[30]Vendedor13!$K$7</f>
        <v>0</v>
      </c>
      <c r="M25" s="16">
        <f>[30]Vendedor13!$L$7</f>
        <v>0</v>
      </c>
      <c r="N25" s="19">
        <f>[30]Vendedor13!$J$8</f>
        <v>0</v>
      </c>
      <c r="O25" s="15">
        <f>[30]Vendedor13!$K$8</f>
        <v>0</v>
      </c>
      <c r="P25" s="17">
        <f>[30]Vendedor13!$L$8</f>
        <v>0</v>
      </c>
      <c r="Q25" s="19">
        <f>+B25+E25+H25+K25+N25</f>
        <v>60950</v>
      </c>
      <c r="R25" s="15">
        <f>+C25+F25+I25+L25+O25</f>
        <v>7294</v>
      </c>
      <c r="S25" s="17">
        <f t="shared" si="2"/>
        <v>68000</v>
      </c>
      <c r="T25" s="18">
        <v>0</v>
      </c>
      <c r="U25" s="17">
        <f t="shared" si="0"/>
        <v>-14344</v>
      </c>
    </row>
    <row r="26" spans="1:60" x14ac:dyDescent="0.35">
      <c r="A26" s="13" t="s">
        <v>35</v>
      </c>
      <c r="B26" s="14">
        <f>[31]Vendedor13!$J$4</f>
        <v>49850</v>
      </c>
      <c r="C26" s="81">
        <f>[31]Vendedor13!$K$4</f>
        <v>5982</v>
      </c>
      <c r="D26" s="82">
        <f>[31]Vendedor13!$L$4</f>
        <v>59500</v>
      </c>
      <c r="E26" s="14">
        <f>[31]Vendedor13!$J$5</f>
        <v>24100</v>
      </c>
      <c r="F26" s="81">
        <f>[31]Vendedor13!$K$5</f>
        <v>2892</v>
      </c>
      <c r="G26" s="85">
        <f>[31]Vendedor13!$L$5</f>
        <v>0</v>
      </c>
      <c r="H26" s="19">
        <f>[31]Vendedor13!$J$6</f>
        <v>500</v>
      </c>
      <c r="I26" s="15">
        <f>[31]Vendedor13!$K$6</f>
        <v>50</v>
      </c>
      <c r="J26" s="17">
        <f>[31]Vendedor13!$L$6</f>
        <v>0</v>
      </c>
      <c r="K26" s="18">
        <f>[31]Vendedor13!$J$7</f>
        <v>0</v>
      </c>
      <c r="L26" s="15">
        <f>[31]Vendedor13!$K$7</f>
        <v>0</v>
      </c>
      <c r="M26" s="16">
        <f>[31]Vendedor13!$L$7</f>
        <v>0</v>
      </c>
      <c r="N26" s="19">
        <f>[31]Vendedor13!$J$8</f>
        <v>0</v>
      </c>
      <c r="O26" s="15">
        <f>[31]Vendedor13!$K$8</f>
        <v>0</v>
      </c>
      <c r="P26" s="17">
        <f>[31]Vendedor13!$L$8</f>
        <v>0</v>
      </c>
      <c r="Q26" s="19">
        <f t="shared" si="3"/>
        <v>74450</v>
      </c>
      <c r="R26" s="15">
        <f t="shared" si="1"/>
        <v>8924</v>
      </c>
      <c r="S26" s="17">
        <f t="shared" si="2"/>
        <v>59500</v>
      </c>
      <c r="T26" s="18">
        <v>0</v>
      </c>
      <c r="U26" s="17">
        <f t="shared" si="0"/>
        <v>6026</v>
      </c>
    </row>
    <row r="27" spans="1:60" x14ac:dyDescent="0.35">
      <c r="A27" s="20" t="s">
        <v>36</v>
      </c>
      <c r="B27" s="14">
        <f>[1]Vendedor13!$J$4</f>
        <v>59300</v>
      </c>
      <c r="C27" s="81">
        <f>[1]Vendedor13!$K$4</f>
        <v>7116</v>
      </c>
      <c r="D27" s="82">
        <f>[1]Vendedor13!$L$4</f>
        <v>21250</v>
      </c>
      <c r="E27" s="14">
        <f>[1]Vendedor13!$J$5</f>
        <v>16150</v>
      </c>
      <c r="F27" s="81">
        <f>[1]Vendedor13!$K$5</f>
        <v>1938</v>
      </c>
      <c r="G27" s="85">
        <f>[1]Vendedor13!$L$5</f>
        <v>0</v>
      </c>
      <c r="H27" s="19">
        <f>[1]Vendedor13!$J$6</f>
        <v>1000</v>
      </c>
      <c r="I27" s="15">
        <f>[1]Vendedor13!$K$6</f>
        <v>100</v>
      </c>
      <c r="J27" s="17">
        <f>[1]Vendedor13!$L$6</f>
        <v>0</v>
      </c>
      <c r="K27" s="18">
        <f>[1]Vendedor13!$J$7</f>
        <v>1500</v>
      </c>
      <c r="L27" s="15">
        <f>[1]Vendedor13!$K$7</f>
        <v>180</v>
      </c>
      <c r="M27" s="16">
        <f>[1]Vendedor13!$L$7</f>
        <v>0</v>
      </c>
      <c r="N27" s="19">
        <f>[1]Vendedor13!$J$8</f>
        <v>0</v>
      </c>
      <c r="O27" s="15">
        <f>[1]Vendedor13!$K$8</f>
        <v>0</v>
      </c>
      <c r="P27" s="17">
        <f>[1]Vendedor13!$L$8</f>
        <v>0</v>
      </c>
      <c r="Q27" s="19">
        <f t="shared" si="3"/>
        <v>77950</v>
      </c>
      <c r="R27" s="15">
        <f t="shared" si="1"/>
        <v>9334</v>
      </c>
      <c r="S27" s="17">
        <f t="shared" si="2"/>
        <v>21250</v>
      </c>
      <c r="T27" s="18">
        <v>0</v>
      </c>
      <c r="U27" s="17">
        <f t="shared" si="0"/>
        <v>47366</v>
      </c>
    </row>
    <row r="28" spans="1:60" x14ac:dyDescent="0.35">
      <c r="A28" s="13" t="s">
        <v>37</v>
      </c>
      <c r="B28" s="14">
        <f>[2]Vendedor13!$J$4</f>
        <v>63200</v>
      </c>
      <c r="C28" s="81">
        <f>[2]Vendedor13!$K$4</f>
        <v>7584</v>
      </c>
      <c r="D28" s="82">
        <f>[2]Vendedor13!$L$4</f>
        <v>106250</v>
      </c>
      <c r="E28" s="14">
        <f>[2]Vendedor13!$J$5</f>
        <v>33200</v>
      </c>
      <c r="F28" s="81">
        <f>[2]Vendedor13!$K$5</f>
        <v>3984</v>
      </c>
      <c r="G28" s="85">
        <f>[2]Vendedor13!$L$5</f>
        <v>0</v>
      </c>
      <c r="H28" s="19">
        <f>[2]Vendedor13!$J$6</f>
        <v>1000</v>
      </c>
      <c r="I28" s="15">
        <f>[2]Vendedor13!$K$6</f>
        <v>100</v>
      </c>
      <c r="J28" s="17">
        <f>[2]Vendedor13!$L$6</f>
        <v>0</v>
      </c>
      <c r="K28" s="18">
        <f>[2]Vendedor13!$J$7</f>
        <v>3600</v>
      </c>
      <c r="L28" s="15">
        <f>[2]Vendedor13!$K$7</f>
        <v>432</v>
      </c>
      <c r="M28" s="16">
        <f>[2]Vendedor13!$L$7</f>
        <v>0</v>
      </c>
      <c r="N28" s="19">
        <f>[2]Vendedor13!$J$8</f>
        <v>0</v>
      </c>
      <c r="O28" s="15">
        <f>[2]Vendedor13!$K$8</f>
        <v>0</v>
      </c>
      <c r="P28" s="17">
        <f>[2]Vendedor13!$L$8</f>
        <v>0</v>
      </c>
      <c r="Q28" s="19">
        <f t="shared" si="3"/>
        <v>101000</v>
      </c>
      <c r="R28" s="15">
        <f t="shared" si="1"/>
        <v>12100</v>
      </c>
      <c r="S28" s="17">
        <f t="shared" si="2"/>
        <v>106250</v>
      </c>
      <c r="T28" s="18">
        <v>0</v>
      </c>
      <c r="U28" s="17">
        <f t="shared" si="0"/>
        <v>-17350</v>
      </c>
    </row>
    <row r="29" spans="1:60" x14ac:dyDescent="0.35">
      <c r="A29" s="20" t="s">
        <v>38</v>
      </c>
      <c r="B29" s="14">
        <f>[3]Vendedor13!$J$4</f>
        <v>47650</v>
      </c>
      <c r="C29" s="81">
        <f>[3]Vendedor13!$K$4</f>
        <v>5718</v>
      </c>
      <c r="D29" s="82">
        <f>[3]Vendedor13!$L$4</f>
        <v>63750</v>
      </c>
      <c r="E29" s="14">
        <f>[3]Vendedor13!$J$5</f>
        <v>28100</v>
      </c>
      <c r="F29" s="81">
        <f>[3]Vendedor13!$K$5</f>
        <v>3372</v>
      </c>
      <c r="G29" s="85">
        <f>[3]Vendedor13!$L$5</f>
        <v>0</v>
      </c>
      <c r="H29" s="19">
        <f>[3]Vendedor13!$J$6</f>
        <v>3000</v>
      </c>
      <c r="I29" s="15">
        <f>[3]Vendedor13!$K$6</f>
        <v>300</v>
      </c>
      <c r="J29" s="17">
        <f>[3]Vendedor13!$L$6</f>
        <v>0</v>
      </c>
      <c r="K29" s="18">
        <f>[3]Vendedor13!$J$7</f>
        <v>6250</v>
      </c>
      <c r="L29" s="15">
        <f>[3]Vendedor13!$K$7</f>
        <v>750</v>
      </c>
      <c r="M29" s="16">
        <f>[3]Vendedor13!$L$7</f>
        <v>0</v>
      </c>
      <c r="N29" s="19">
        <f>[3]Vendedor13!$J$8</f>
        <v>0</v>
      </c>
      <c r="O29" s="15">
        <f>[3]Vendedor13!$K$8</f>
        <v>0</v>
      </c>
      <c r="P29" s="17">
        <f>[3]Vendedor13!$L$8</f>
        <v>0</v>
      </c>
      <c r="Q29" s="19">
        <f t="shared" si="3"/>
        <v>85000</v>
      </c>
      <c r="R29" s="15">
        <f t="shared" si="1"/>
        <v>10140</v>
      </c>
      <c r="S29" s="17">
        <f t="shared" si="2"/>
        <v>63750</v>
      </c>
      <c r="T29" s="18">
        <v>0</v>
      </c>
      <c r="U29" s="17">
        <f t="shared" si="0"/>
        <v>11110</v>
      </c>
    </row>
    <row r="30" spans="1:60" x14ac:dyDescent="0.35">
      <c r="A30" s="13" t="s">
        <v>39</v>
      </c>
      <c r="B30" s="14">
        <f>[4]Vendedor13!$J$4</f>
        <v>73550</v>
      </c>
      <c r="C30" s="81">
        <f>[4]Vendedor13!$K$4</f>
        <v>8826</v>
      </c>
      <c r="D30" s="82">
        <f>[4]Vendedor13!$L$4</f>
        <v>21250</v>
      </c>
      <c r="E30" s="14">
        <f>[4]Vendedor13!$J$5</f>
        <v>47650</v>
      </c>
      <c r="F30" s="81">
        <f>[4]Vendedor13!$K$5</f>
        <v>5718</v>
      </c>
      <c r="G30" s="85">
        <f>[4]Vendedor13!$L$5</f>
        <v>0</v>
      </c>
      <c r="H30" s="19">
        <f>[4]Vendedor13!$J$6</f>
        <v>4500</v>
      </c>
      <c r="I30" s="15">
        <f>[4]Vendedor13!$K$6</f>
        <v>450</v>
      </c>
      <c r="J30" s="17">
        <f>[4]Vendedor13!$L$6</f>
        <v>0</v>
      </c>
      <c r="K30" s="18">
        <f>[4]Vendedor13!$J$7</f>
        <v>3500</v>
      </c>
      <c r="L30" s="15">
        <f>[4]Vendedor13!$K$7</f>
        <v>420</v>
      </c>
      <c r="M30" s="16">
        <f>[4]Vendedor13!$L$7</f>
        <v>0</v>
      </c>
      <c r="N30" s="19">
        <f>[4]Vendedor13!$J$8</f>
        <v>0</v>
      </c>
      <c r="O30" s="15">
        <f>[4]Vendedor13!$K$8</f>
        <v>0</v>
      </c>
      <c r="P30" s="17">
        <f>[4]Vendedor13!$L$8</f>
        <v>0</v>
      </c>
      <c r="Q30" s="19">
        <f t="shared" si="3"/>
        <v>129200</v>
      </c>
      <c r="R30" s="15">
        <f t="shared" si="1"/>
        <v>15414</v>
      </c>
      <c r="S30" s="17">
        <f t="shared" si="2"/>
        <v>21250</v>
      </c>
      <c r="T30" s="18">
        <v>0</v>
      </c>
      <c r="U30" s="17">
        <f t="shared" si="0"/>
        <v>92536</v>
      </c>
    </row>
    <row r="31" spans="1:60" x14ac:dyDescent="0.35">
      <c r="A31" s="20" t="s">
        <v>40</v>
      </c>
      <c r="B31" s="14">
        <f>[5]Vendedor13!$J$4</f>
        <v>66900</v>
      </c>
      <c r="C31" s="81">
        <f>[5]Vendedor13!$K$4</f>
        <v>8028</v>
      </c>
      <c r="D31" s="82">
        <f>[5]Vendedor13!$L$4</f>
        <v>80750</v>
      </c>
      <c r="E31" s="14">
        <f>[5]Vendedor13!$J$5</f>
        <v>27600</v>
      </c>
      <c r="F31" s="81">
        <f>[5]Vendedor13!$K$5</f>
        <v>3312</v>
      </c>
      <c r="G31" s="85">
        <f>[5]Vendedor13!$L$5</f>
        <v>0</v>
      </c>
      <c r="H31" s="19">
        <f>[5]Vendedor13!$J$6</f>
        <v>1000</v>
      </c>
      <c r="I31" s="15">
        <f>[5]Vendedor13!$K$6</f>
        <v>100</v>
      </c>
      <c r="J31" s="17">
        <f>[5]Vendedor13!$L$6</f>
        <v>0</v>
      </c>
      <c r="K31" s="18">
        <f>[5]Vendedor13!$J$7</f>
        <v>400</v>
      </c>
      <c r="L31" s="15">
        <f>[5]Vendedor13!$K$7</f>
        <v>48</v>
      </c>
      <c r="M31" s="16">
        <f>[5]Vendedor13!$L$7</f>
        <v>0</v>
      </c>
      <c r="N31" s="19">
        <f>[5]Vendedor13!$J$8</f>
        <v>0</v>
      </c>
      <c r="O31" s="15">
        <f>[5]Vendedor13!$K$8</f>
        <v>0</v>
      </c>
      <c r="P31" s="17">
        <f>[5]Vendedor13!$L$8</f>
        <v>0</v>
      </c>
      <c r="Q31" s="19">
        <f t="shared" si="3"/>
        <v>95900</v>
      </c>
      <c r="R31" s="15">
        <f t="shared" si="1"/>
        <v>11488</v>
      </c>
      <c r="S31" s="17">
        <f t="shared" si="2"/>
        <v>80750</v>
      </c>
      <c r="T31" s="18">
        <v>0</v>
      </c>
      <c r="U31" s="17">
        <f t="shared" si="0"/>
        <v>3662</v>
      </c>
    </row>
    <row r="32" spans="1:60" x14ac:dyDescent="0.35">
      <c r="A32" s="20" t="s">
        <v>41</v>
      </c>
      <c r="B32" s="14">
        <f>[6]Vendedor13!$J$4</f>
        <v>67150</v>
      </c>
      <c r="C32" s="81">
        <f>[6]Vendedor13!$K$4</f>
        <v>8058</v>
      </c>
      <c r="D32" s="82">
        <f>[6]Vendedor13!$L$4</f>
        <v>51000</v>
      </c>
      <c r="E32" s="14">
        <f>[6]Vendedor13!$J$5</f>
        <v>27450</v>
      </c>
      <c r="F32" s="81">
        <f>[6]Vendedor13!$K$5</f>
        <v>3294</v>
      </c>
      <c r="G32" s="85">
        <f>[6]Vendedor13!$L$5</f>
        <v>0</v>
      </c>
      <c r="H32" s="19">
        <f>[6]Vendedor13!$J$6</f>
        <v>1000</v>
      </c>
      <c r="I32" s="15">
        <f>[6]Vendedor13!$K$6</f>
        <v>100</v>
      </c>
      <c r="J32" s="17">
        <f>[6]Vendedor13!$L$6</f>
        <v>0</v>
      </c>
      <c r="K32" s="18">
        <f>[6]Vendedor13!$J$7</f>
        <v>0</v>
      </c>
      <c r="L32" s="15">
        <f>[6]Vendedor13!$K$7</f>
        <v>0</v>
      </c>
      <c r="M32" s="16">
        <f>[6]Vendedor13!$L$7</f>
        <v>0</v>
      </c>
      <c r="N32" s="19">
        <f>[6]Vendedor13!$J$8</f>
        <v>0</v>
      </c>
      <c r="O32" s="15">
        <f>[6]Vendedor13!$K$8</f>
        <v>0</v>
      </c>
      <c r="P32" s="17">
        <f>[6]Vendedor13!$L$8</f>
        <v>0</v>
      </c>
      <c r="Q32" s="19">
        <f t="shared" si="3"/>
        <v>95600</v>
      </c>
      <c r="R32" s="15">
        <f t="shared" si="1"/>
        <v>11452</v>
      </c>
      <c r="S32" s="17">
        <f t="shared" si="2"/>
        <v>51000</v>
      </c>
      <c r="T32" s="18">
        <v>0</v>
      </c>
      <c r="U32" s="17">
        <f t="shared" si="0"/>
        <v>33148</v>
      </c>
    </row>
    <row r="33" spans="1:21" x14ac:dyDescent="0.35">
      <c r="A33" s="13" t="s">
        <v>42</v>
      </c>
      <c r="B33" s="14">
        <f>[7]Vendedor13!$J$4</f>
        <v>58650</v>
      </c>
      <c r="C33" s="81">
        <f>[7]Vendedor13!$K$4</f>
        <v>7038</v>
      </c>
      <c r="D33" s="82">
        <f>[7]Vendedor13!$L$4</f>
        <v>42500</v>
      </c>
      <c r="E33" s="14">
        <f>[7]Vendedor13!$J$5</f>
        <v>35200</v>
      </c>
      <c r="F33" s="81">
        <f>[7]Vendedor13!$K$5</f>
        <v>4224</v>
      </c>
      <c r="G33" s="85">
        <f>[7]Vendedor13!$L$5</f>
        <v>0</v>
      </c>
      <c r="H33" s="19">
        <f>[7]Vendedor13!$J$6</f>
        <v>2500</v>
      </c>
      <c r="I33" s="15">
        <f>[7]Vendedor13!$K$6</f>
        <v>250</v>
      </c>
      <c r="J33" s="17">
        <f>[7]Vendedor13!$L$6</f>
        <v>0</v>
      </c>
      <c r="K33" s="18">
        <f>[7]Vendedor13!$J$7</f>
        <v>3200</v>
      </c>
      <c r="L33" s="15">
        <f>[7]Vendedor13!$K$7</f>
        <v>384</v>
      </c>
      <c r="M33" s="16">
        <f>[7]Vendedor13!$L$7</f>
        <v>0</v>
      </c>
      <c r="N33" s="19">
        <f>[7]Vendedor13!$J$8</f>
        <v>0</v>
      </c>
      <c r="O33" s="15">
        <f>[7]Vendedor13!$K$8</f>
        <v>0</v>
      </c>
      <c r="P33" s="17">
        <f>[7]Vendedor13!$L$8</f>
        <v>0</v>
      </c>
      <c r="Q33" s="19">
        <f t="shared" si="3"/>
        <v>99550</v>
      </c>
      <c r="R33" s="15">
        <f t="shared" si="1"/>
        <v>11896</v>
      </c>
      <c r="S33" s="17">
        <f t="shared" si="2"/>
        <v>42500</v>
      </c>
      <c r="T33" s="18">
        <v>0</v>
      </c>
      <c r="U33" s="17">
        <f t="shared" si="0"/>
        <v>45154</v>
      </c>
    </row>
    <row r="34" spans="1:21" x14ac:dyDescent="0.35">
      <c r="A34" s="20" t="s">
        <v>43</v>
      </c>
      <c r="B34" s="14">
        <f>[8]Vendedor13!$J$4</f>
        <v>63000</v>
      </c>
      <c r="C34" s="81">
        <f>[8]Vendedor13!$K$4</f>
        <v>7560</v>
      </c>
      <c r="D34" s="82">
        <f>[8]Vendedor13!$L$4</f>
        <v>0</v>
      </c>
      <c r="E34" s="14">
        <f>[8]Vendedor13!$J$5</f>
        <v>26550</v>
      </c>
      <c r="F34" s="81">
        <f>[8]Vendedor13!$K$5</f>
        <v>3186</v>
      </c>
      <c r="G34" s="85">
        <f>[8]Vendedor13!$L$5</f>
        <v>0</v>
      </c>
      <c r="H34" s="19">
        <f>[8]Vendedor13!$J$6</f>
        <v>1750</v>
      </c>
      <c r="I34" s="15">
        <f>[8]Vendedor13!$K$6</f>
        <v>175</v>
      </c>
      <c r="J34" s="17">
        <f>[8]Vendedor13!$L$6</f>
        <v>0</v>
      </c>
      <c r="K34" s="18">
        <f>[8]Vendedor13!$J$7</f>
        <v>1000</v>
      </c>
      <c r="L34" s="15">
        <f>[8]Vendedor13!$K$7</f>
        <v>120</v>
      </c>
      <c r="M34" s="16">
        <f>[8]Vendedor13!$L$7</f>
        <v>0</v>
      </c>
      <c r="N34" s="19">
        <f>[8]Vendedor13!$J$8</f>
        <v>0</v>
      </c>
      <c r="O34" s="15">
        <f>[8]Vendedor13!$K$8</f>
        <v>0</v>
      </c>
      <c r="P34" s="17">
        <f>[8]Vendedor13!$L$8</f>
        <v>0</v>
      </c>
      <c r="Q34" s="19">
        <f t="shared" si="3"/>
        <v>92300</v>
      </c>
      <c r="R34" s="15">
        <f t="shared" si="1"/>
        <v>11041</v>
      </c>
      <c r="S34" s="17">
        <f t="shared" si="2"/>
        <v>0</v>
      </c>
      <c r="T34" s="18">
        <v>0</v>
      </c>
      <c r="U34" s="17">
        <f t="shared" si="0"/>
        <v>81259</v>
      </c>
    </row>
    <row r="35" spans="1:21" ht="15" thickBot="1" x14ac:dyDescent="0.4">
      <c r="A35" s="13" t="s">
        <v>44</v>
      </c>
      <c r="B35" s="14">
        <f>[9]Vendedor13!$J$4</f>
        <v>66400</v>
      </c>
      <c r="C35" s="81">
        <f>[9]Vendedor13!$K$4</f>
        <v>7968</v>
      </c>
      <c r="D35" s="82">
        <f>[9]Vendedor13!$L$4</f>
        <v>0</v>
      </c>
      <c r="E35" s="14">
        <f>[9]Vendedor13!$J$5</f>
        <v>21650</v>
      </c>
      <c r="F35" s="81">
        <f>[9]Vendedor13!$K$5</f>
        <v>2598</v>
      </c>
      <c r="G35" s="85">
        <f>[9]Vendedor13!$L$5</f>
        <v>20000</v>
      </c>
      <c r="H35" s="19">
        <f>[9]Vendedor13!$J$6</f>
        <v>5600</v>
      </c>
      <c r="I35" s="15">
        <f>[9]Vendedor13!$K$6</f>
        <v>560</v>
      </c>
      <c r="J35" s="17">
        <f>[9]Vendedor13!$L$6</f>
        <v>0</v>
      </c>
      <c r="K35" s="18">
        <f>[9]Vendedor13!$J$7</f>
        <v>500</v>
      </c>
      <c r="L35" s="15">
        <f>[9]Vendedor13!$K$7</f>
        <v>60</v>
      </c>
      <c r="M35" s="16">
        <f>[9]Vendedor13!$L$7</f>
        <v>0</v>
      </c>
      <c r="N35" s="19">
        <f>[9]Vendedor13!$J$8</f>
        <v>0</v>
      </c>
      <c r="O35" s="15">
        <f>[9]Vendedor13!$K$8</f>
        <v>0</v>
      </c>
      <c r="P35" s="17">
        <f>[9]Vendedor13!$L$8</f>
        <v>0</v>
      </c>
      <c r="Q35" s="19">
        <f t="shared" si="3"/>
        <v>94150</v>
      </c>
      <c r="R35" s="15">
        <f t="shared" si="1"/>
        <v>11186</v>
      </c>
      <c r="S35" s="17">
        <f t="shared" si="2"/>
        <v>20000</v>
      </c>
      <c r="T35" s="18">
        <v>0</v>
      </c>
      <c r="U35" s="17">
        <f t="shared" si="0"/>
        <v>62964</v>
      </c>
    </row>
    <row r="36" spans="1:21" ht="15" hidden="1" thickBot="1" x14ac:dyDescent="0.4">
      <c r="A36" s="20" t="s">
        <v>45</v>
      </c>
      <c r="B36" s="21">
        <f>[10]Vendedor13!$J$4</f>
        <v>44400</v>
      </c>
      <c r="C36" s="83">
        <f>[10]Vendedor13!$K$4</f>
        <v>5328</v>
      </c>
      <c r="D36" s="84">
        <f>[10]Vendedor13!$L$4</f>
        <v>0</v>
      </c>
      <c r="E36" s="21">
        <f>[10]Vendedor13!$J$5</f>
        <v>23200</v>
      </c>
      <c r="F36" s="83">
        <f>[10]Vendedor13!$K$5</f>
        <v>2784</v>
      </c>
      <c r="G36" s="86">
        <f>[10]Vendedor13!$L$5</f>
        <v>40000</v>
      </c>
      <c r="H36" s="26">
        <f>[10]Vendedor13!$J$6</f>
        <v>0</v>
      </c>
      <c r="I36" s="22">
        <f>[10]Vendedor13!$K$6</f>
        <v>0</v>
      </c>
      <c r="J36" s="24">
        <f>[10]Vendedor13!$L$6</f>
        <v>0</v>
      </c>
      <c r="K36" s="25">
        <f>[10]Vendedor13!$J$7</f>
        <v>0</v>
      </c>
      <c r="L36" s="22">
        <f>[10]Vendedor13!$K$7</f>
        <v>0</v>
      </c>
      <c r="M36" s="23">
        <f>[10]Vendedor13!$L$7</f>
        <v>0</v>
      </c>
      <c r="N36" s="26">
        <f>[10]Vendedor13!$J$8</f>
        <v>0</v>
      </c>
      <c r="O36" s="22">
        <f>[10]Vendedor13!$K$8</f>
        <v>0</v>
      </c>
      <c r="P36" s="24">
        <f>[10]Vendedor13!$L$8</f>
        <v>0</v>
      </c>
      <c r="Q36" s="26">
        <f t="shared" si="3"/>
        <v>67600</v>
      </c>
      <c r="R36" s="22">
        <f t="shared" si="1"/>
        <v>8112</v>
      </c>
      <c r="S36" s="24">
        <f t="shared" si="2"/>
        <v>40000</v>
      </c>
      <c r="T36" s="25">
        <v>0</v>
      </c>
      <c r="U36" s="24">
        <f t="shared" si="0"/>
        <v>19488</v>
      </c>
    </row>
    <row r="37" spans="1:21" ht="16" thickBot="1" x14ac:dyDescent="0.4">
      <c r="A37" s="5" t="s">
        <v>46</v>
      </c>
      <c r="B37" s="27">
        <f t="shared" ref="B37:J37" si="4">SUM(B6:B36)</f>
        <v>1854150</v>
      </c>
      <c r="C37" s="28">
        <f t="shared" si="4"/>
        <v>222498</v>
      </c>
      <c r="D37" s="29">
        <f t="shared" si="4"/>
        <v>1513000</v>
      </c>
      <c r="E37" s="30">
        <f t="shared" si="4"/>
        <v>893625</v>
      </c>
      <c r="F37" s="28">
        <f t="shared" si="4"/>
        <v>107235</v>
      </c>
      <c r="G37" s="31">
        <f t="shared" si="4"/>
        <v>480000</v>
      </c>
      <c r="H37" s="27">
        <f t="shared" si="4"/>
        <v>63250</v>
      </c>
      <c r="I37" s="28">
        <f t="shared" si="4"/>
        <v>6325</v>
      </c>
      <c r="J37" s="29">
        <f t="shared" si="4"/>
        <v>0</v>
      </c>
      <c r="K37" s="60">
        <f t="shared" ref="K37:M37" si="5">SUM(K6:K36)</f>
        <v>46000</v>
      </c>
      <c r="L37" s="32">
        <f t="shared" si="5"/>
        <v>5520</v>
      </c>
      <c r="M37" s="78">
        <f t="shared" si="5"/>
        <v>0</v>
      </c>
      <c r="N37" s="60">
        <f t="shared" ref="N37:P37" si="6">SUM(N6:N36)</f>
        <v>0</v>
      </c>
      <c r="O37" s="32">
        <f t="shared" si="6"/>
        <v>0</v>
      </c>
      <c r="P37" s="73">
        <f t="shared" si="6"/>
        <v>0</v>
      </c>
      <c r="Q37" s="30">
        <f>SUM(Q6:Q36)</f>
        <v>2857025</v>
      </c>
      <c r="R37" s="28">
        <f>SUM(R6:R36)</f>
        <v>341578</v>
      </c>
      <c r="S37" s="28">
        <f>SUM(S6:S36)</f>
        <v>1993000</v>
      </c>
      <c r="T37" s="32">
        <f>SUM(T5:T36)</f>
        <v>0</v>
      </c>
      <c r="U37" s="33">
        <f>SUM(U5:U36)</f>
        <v>522447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S37"/>
  <sheetViews>
    <sheetView showGridLines="0" topLeftCell="H1" zoomScale="90" zoomScaleNormal="90" workbookViewId="0">
      <selection sqref="A1:X37"/>
    </sheetView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customWidth="1"/>
    <col min="4" max="4" width="11.7265625" style="1" bestFit="1" customWidth="1"/>
    <col min="5" max="5" width="11.54296875" style="1" bestFit="1" customWidth="1"/>
    <col min="6" max="6" width="10.453125" style="1" customWidth="1"/>
    <col min="7" max="7" width="11.54296875" style="1" bestFit="1" customWidth="1"/>
    <col min="8" max="10" width="11.7265625" style="1" bestFit="1" customWidth="1"/>
    <col min="11" max="11" width="11.54296875" style="1" customWidth="1"/>
    <col min="12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54296875" style="1" customWidth="1"/>
    <col min="20" max="20" width="12.7265625" style="1" bestFit="1" customWidth="1"/>
    <col min="21" max="22" width="11.54296875" style="1" bestFit="1" customWidth="1"/>
    <col min="23" max="23" width="10" style="1" bestFit="1" customWidth="1"/>
    <col min="24" max="24" width="11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/>
    </row>
    <row r="2" spans="1:24" ht="19" thickBot="1" x14ac:dyDescent="0.5">
      <c r="A2" s="2" t="s">
        <v>1</v>
      </c>
      <c r="B2" s="142" t="s">
        <v>84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[11]Vendedor14!$J$4</f>
        <v>0</v>
      </c>
      <c r="C6" s="87">
        <f>[11]Vendedor14!$K$4</f>
        <v>0</v>
      </c>
      <c r="D6" s="88">
        <f>[11]Vendedor14!$L$4</f>
        <v>0</v>
      </c>
      <c r="E6" s="53">
        <f>[11]Vendedor14!$J$5</f>
        <v>0</v>
      </c>
      <c r="F6" s="87">
        <f>[11]Vendedor14!$K$5</f>
        <v>0</v>
      </c>
      <c r="G6" s="89">
        <f>[11]Vendedor14!$L$5</f>
        <v>0</v>
      </c>
      <c r="H6" s="59">
        <f>[11]Vendedor14!$J$6</f>
        <v>0</v>
      </c>
      <c r="I6" s="58">
        <f>[11]Vendedor14!$K$6</f>
        <v>0</v>
      </c>
      <c r="J6" s="55">
        <f>[11]Vendedor14!$L$6</f>
        <v>0</v>
      </c>
      <c r="K6" s="61">
        <f>[11]Vendedor14!$J$7</f>
        <v>0</v>
      </c>
      <c r="L6" s="58">
        <f>[11]Vendedor14!$K$7</f>
        <v>0</v>
      </c>
      <c r="M6" s="54">
        <f>[11]Vendedor14!$L$7</f>
        <v>0</v>
      </c>
      <c r="N6" s="59">
        <f>[11]Vendedor14!$J$8</f>
        <v>0</v>
      </c>
      <c r="O6" s="58">
        <f>[11]Vendedor14!$K$8</f>
        <v>0</v>
      </c>
      <c r="P6" s="55">
        <f>[11]Vendedor14!$L$8</f>
        <v>0</v>
      </c>
      <c r="Q6" s="59">
        <f>[11]Vendedor14!$J$10</f>
        <v>0</v>
      </c>
      <c r="R6" s="58">
        <f>[11]Vendedor14!$K$10</f>
        <v>0</v>
      </c>
      <c r="S6" s="55">
        <f>[11]Vendedor14!$L$10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[12]Vendedor14!$J$4</f>
        <v>0</v>
      </c>
      <c r="C7" s="81">
        <f>[12]Vendedor14!$K$4</f>
        <v>0</v>
      </c>
      <c r="D7" s="82">
        <f>[12]Vendedor14!$L$4</f>
        <v>0</v>
      </c>
      <c r="E7" s="14">
        <f>[12]Vendedor14!$J$5</f>
        <v>0</v>
      </c>
      <c r="F7" s="81">
        <f>[12]Vendedor14!$K$5</f>
        <v>0</v>
      </c>
      <c r="G7" s="85">
        <f>[12]Vendedor14!$L$5</f>
        <v>0</v>
      </c>
      <c r="H7" s="19">
        <f>[12]Vendedor14!$J$6</f>
        <v>0</v>
      </c>
      <c r="I7" s="15">
        <f>[12]Vendedor14!$K$6</f>
        <v>0</v>
      </c>
      <c r="J7" s="17">
        <f>[12]Vendedor14!$L$6</f>
        <v>0</v>
      </c>
      <c r="K7" s="18">
        <f>[12]Vendedor14!$J$7</f>
        <v>0</v>
      </c>
      <c r="L7" s="15">
        <f>[12]Vendedor14!$K$7</f>
        <v>0</v>
      </c>
      <c r="M7" s="16">
        <f>[12]Vendedor14!$L$7</f>
        <v>0</v>
      </c>
      <c r="N7" s="19">
        <f>[12]Vendedor14!$J$8</f>
        <v>0</v>
      </c>
      <c r="O7" s="15">
        <f>[12]Vendedor14!$K$8</f>
        <v>0</v>
      </c>
      <c r="P7" s="17">
        <f>[12]Vendedor14!$L$8</f>
        <v>0</v>
      </c>
      <c r="Q7" s="19">
        <f>[12]Vendedor14!$J$10</f>
        <v>0</v>
      </c>
      <c r="R7" s="15">
        <f>[12]Vendedor14!$K$10</f>
        <v>0</v>
      </c>
      <c r="S7" s="17">
        <f>[12]Vendedor14!$L$10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[13]Vendedor14!$J$4</f>
        <v>0</v>
      </c>
      <c r="C8" s="81">
        <f>[13]Vendedor14!$K$4</f>
        <v>0</v>
      </c>
      <c r="D8" s="82">
        <f>[13]Vendedor14!$L$4</f>
        <v>0</v>
      </c>
      <c r="E8" s="14">
        <f>[13]Vendedor14!$J$5</f>
        <v>0</v>
      </c>
      <c r="F8" s="81">
        <f>[13]Vendedor14!$K$5</f>
        <v>0</v>
      </c>
      <c r="G8" s="85">
        <f>[13]Vendedor14!$L$5</f>
        <v>0</v>
      </c>
      <c r="H8" s="19">
        <f>[13]Vendedor14!$J$6</f>
        <v>0</v>
      </c>
      <c r="I8" s="15">
        <f>[13]Vendedor14!$K$6</f>
        <v>0</v>
      </c>
      <c r="J8" s="17">
        <f>[13]Vendedor14!$L$6</f>
        <v>0</v>
      </c>
      <c r="K8" s="18">
        <f>[13]Vendedor14!$J$7</f>
        <v>0</v>
      </c>
      <c r="L8" s="15">
        <f>[13]Vendedor14!$K$7</f>
        <v>0</v>
      </c>
      <c r="M8" s="16">
        <f>[13]Vendedor14!$L$7</f>
        <v>0</v>
      </c>
      <c r="N8" s="19">
        <f>[13]Vendedor14!$J$8</f>
        <v>0</v>
      </c>
      <c r="O8" s="15">
        <f>[13]Vendedor14!$K$8</f>
        <v>0</v>
      </c>
      <c r="P8" s="17">
        <f>[13]Vendedor14!$L$8</f>
        <v>0</v>
      </c>
      <c r="Q8" s="19">
        <f>[13]Vendedor14!$J$10</f>
        <v>0</v>
      </c>
      <c r="R8" s="15">
        <f>[13]Vendedor14!$K$10</f>
        <v>0</v>
      </c>
      <c r="S8" s="17">
        <f>[13]Vendedor14!$L$10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ht="15" thickBot="1" x14ac:dyDescent="0.4">
      <c r="A9" s="13" t="s">
        <v>52</v>
      </c>
      <c r="B9" s="14">
        <f>[14]Vendedor14!$J$4</f>
        <v>0</v>
      </c>
      <c r="C9" s="81">
        <f>[14]Vendedor14!$K$4</f>
        <v>0</v>
      </c>
      <c r="D9" s="82">
        <f>[14]Vendedor14!$L$4</f>
        <v>0</v>
      </c>
      <c r="E9" s="14">
        <f>[14]Vendedor14!$J$5</f>
        <v>0</v>
      </c>
      <c r="F9" s="81">
        <f>[14]Vendedor14!$K$5</f>
        <v>0</v>
      </c>
      <c r="G9" s="85">
        <f>[14]Vendedor14!$L$5</f>
        <v>0</v>
      </c>
      <c r="H9" s="19">
        <f>[14]Vendedor14!$J$6</f>
        <v>0</v>
      </c>
      <c r="I9" s="15">
        <f>[14]Vendedor14!$K$6</f>
        <v>0</v>
      </c>
      <c r="J9" s="17">
        <f>[14]Vendedor14!$L$6</f>
        <v>0</v>
      </c>
      <c r="K9" s="18">
        <f>[14]Vendedor14!$J$7</f>
        <v>0</v>
      </c>
      <c r="L9" s="15">
        <f>[14]Vendedor14!$K$7</f>
        <v>0</v>
      </c>
      <c r="M9" s="16">
        <f>[14]Vendedor14!$L$7</f>
        <v>0</v>
      </c>
      <c r="N9" s="19">
        <f>[14]Vendedor14!$J$8</f>
        <v>0</v>
      </c>
      <c r="O9" s="15">
        <f>[14]Vendedor14!$K$8</f>
        <v>0</v>
      </c>
      <c r="P9" s="17">
        <f>[14]Vendedor14!$L$8</f>
        <v>0</v>
      </c>
      <c r="Q9" s="19">
        <f>[14]Vendedor14!$J$10</f>
        <v>0</v>
      </c>
      <c r="R9" s="15">
        <f>[14]Vendedor14!$K$10</f>
        <v>0</v>
      </c>
      <c r="S9" s="17">
        <f>[14]Vendedor14!$L$10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hidden="1" x14ac:dyDescent="0.35">
      <c r="A10" s="20" t="s">
        <v>53</v>
      </c>
      <c r="B10" s="14">
        <f>[15]Vendedor14!$J$4</f>
        <v>0</v>
      </c>
      <c r="C10" s="81">
        <f>[15]Vendedor14!$K$4</f>
        <v>0</v>
      </c>
      <c r="D10" s="82">
        <f>[15]Vendedor14!$L$4</f>
        <v>0</v>
      </c>
      <c r="E10" s="14">
        <f>[15]Vendedor14!$J$5</f>
        <v>0</v>
      </c>
      <c r="F10" s="81">
        <f>[15]Vendedor14!$K$5</f>
        <v>0</v>
      </c>
      <c r="G10" s="85">
        <f>[15]Vendedor14!$L$5</f>
        <v>0</v>
      </c>
      <c r="H10" s="19">
        <f>[15]Vendedor14!$J$6</f>
        <v>0</v>
      </c>
      <c r="I10" s="15">
        <f>[15]Vendedor14!$K$6</f>
        <v>0</v>
      </c>
      <c r="J10" s="17">
        <f>[15]Vendedor14!$L$6</f>
        <v>0</v>
      </c>
      <c r="K10" s="18">
        <f>[15]Vendedor14!$J$7</f>
        <v>0</v>
      </c>
      <c r="L10" s="15">
        <f>[15]Vendedor14!$K$7</f>
        <v>0</v>
      </c>
      <c r="M10" s="16">
        <f>[15]Vendedor14!$L$7</f>
        <v>0</v>
      </c>
      <c r="N10" s="19">
        <f>[15]Vendedor14!$J$8</f>
        <v>0</v>
      </c>
      <c r="O10" s="15">
        <f>[15]Vendedor14!$K$8</f>
        <v>0</v>
      </c>
      <c r="P10" s="17">
        <f>[15]Vendedor14!$L$8</f>
        <v>0</v>
      </c>
      <c r="Q10" s="19">
        <f>[15]Vendedor14!$J$10</f>
        <v>0</v>
      </c>
      <c r="R10" s="15">
        <f>[15]Vendedor14!$K$10</f>
        <v>0</v>
      </c>
      <c r="S10" s="17">
        <f>[15]Vendedor14!$L$10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hidden="1" x14ac:dyDescent="0.35">
      <c r="A11" s="13" t="s">
        <v>20</v>
      </c>
      <c r="B11" s="14">
        <f>[16]Vendedor14!$J$4</f>
        <v>0</v>
      </c>
      <c r="C11" s="81">
        <f>[16]Vendedor14!$K$4</f>
        <v>0</v>
      </c>
      <c r="D11" s="82">
        <f>[16]Vendedor14!$L$4</f>
        <v>0</v>
      </c>
      <c r="E11" s="14">
        <f>[16]Vendedor14!$J$5</f>
        <v>0</v>
      </c>
      <c r="F11" s="81">
        <f>[16]Vendedor14!$K$5</f>
        <v>0</v>
      </c>
      <c r="G11" s="85">
        <f>[16]Vendedor14!$L$5</f>
        <v>0</v>
      </c>
      <c r="H11" s="19">
        <f>[16]Vendedor14!$J$6</f>
        <v>0</v>
      </c>
      <c r="I11" s="15">
        <f>[16]Vendedor14!$K$6</f>
        <v>0</v>
      </c>
      <c r="J11" s="17">
        <f>[16]Vendedor14!$L$6</f>
        <v>0</v>
      </c>
      <c r="K11" s="18">
        <f>[16]Vendedor14!$J$7</f>
        <v>0</v>
      </c>
      <c r="L11" s="15">
        <f>[16]Vendedor14!$K$7</f>
        <v>0</v>
      </c>
      <c r="M11" s="16">
        <f>[16]Vendedor14!$L$7</f>
        <v>0</v>
      </c>
      <c r="N11" s="19">
        <f>[16]Vendedor14!$J$8</f>
        <v>0</v>
      </c>
      <c r="O11" s="15">
        <f>[16]Vendedor14!$K$8</f>
        <v>0</v>
      </c>
      <c r="P11" s="17">
        <f>[16]Vendedor14!$L$8</f>
        <v>0</v>
      </c>
      <c r="Q11" s="19">
        <f>[16]Vendedor14!$J$10</f>
        <v>0</v>
      </c>
      <c r="R11" s="15">
        <f>[16]Vendedor14!$K$10</f>
        <v>0</v>
      </c>
      <c r="S11" s="17">
        <f>[16]Vendedor14!$L$10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hidden="1" x14ac:dyDescent="0.35">
      <c r="A12" s="20" t="s">
        <v>21</v>
      </c>
      <c r="B12" s="14">
        <f>[17]Vendedor14!$J$4</f>
        <v>0</v>
      </c>
      <c r="C12" s="81">
        <f>[17]Vendedor14!$K$4</f>
        <v>0</v>
      </c>
      <c r="D12" s="82">
        <f>[17]Vendedor14!$L$4</f>
        <v>0</v>
      </c>
      <c r="E12" s="14">
        <f>[17]Vendedor14!$J$5</f>
        <v>0</v>
      </c>
      <c r="F12" s="81">
        <f>[17]Vendedor14!$K$5</f>
        <v>0</v>
      </c>
      <c r="G12" s="85">
        <f>[17]Vendedor14!$L$5</f>
        <v>0</v>
      </c>
      <c r="H12" s="19">
        <f>[17]Vendedor14!$J$6</f>
        <v>0</v>
      </c>
      <c r="I12" s="15">
        <f>[17]Vendedor14!$K$6</f>
        <v>0</v>
      </c>
      <c r="J12" s="17">
        <f>[17]Vendedor14!$L$6</f>
        <v>0</v>
      </c>
      <c r="K12" s="18">
        <f>[17]Vendedor14!$J$7</f>
        <v>0</v>
      </c>
      <c r="L12" s="15">
        <f>[17]Vendedor14!$K$7</f>
        <v>0</v>
      </c>
      <c r="M12" s="16">
        <f>[17]Vendedor14!$L$7</f>
        <v>0</v>
      </c>
      <c r="N12" s="19">
        <f>[17]Vendedor14!$J$8</f>
        <v>0</v>
      </c>
      <c r="O12" s="15">
        <f>[17]Vendedor14!$K$8</f>
        <v>0</v>
      </c>
      <c r="P12" s="17">
        <f>[17]Vendedor14!$L$8</f>
        <v>0</v>
      </c>
      <c r="Q12" s="19">
        <f>[17]Vendedor14!$J$10</f>
        <v>0</v>
      </c>
      <c r="R12" s="15">
        <f>[17]Vendedor14!$K$10</f>
        <v>0</v>
      </c>
      <c r="S12" s="17">
        <f>[17]Vendedor14!$L$10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hidden="1" x14ac:dyDescent="0.35">
      <c r="A13" s="13" t="s">
        <v>22</v>
      </c>
      <c r="B13" s="14">
        <f>[18]Vendedor14!$J$4</f>
        <v>0</v>
      </c>
      <c r="C13" s="81">
        <f>[18]Vendedor14!$K$4</f>
        <v>0</v>
      </c>
      <c r="D13" s="82">
        <f>[18]Vendedor14!$L$4</f>
        <v>0</v>
      </c>
      <c r="E13" s="14">
        <f>[18]Vendedor14!$J$5</f>
        <v>0</v>
      </c>
      <c r="F13" s="81">
        <f>[18]Vendedor14!$K$5</f>
        <v>0</v>
      </c>
      <c r="G13" s="85">
        <f>[18]Vendedor14!$L$5</f>
        <v>0</v>
      </c>
      <c r="H13" s="19">
        <f>[18]Vendedor14!$J$6</f>
        <v>0</v>
      </c>
      <c r="I13" s="15">
        <f>[18]Vendedor14!$K$6</f>
        <v>0</v>
      </c>
      <c r="J13" s="17">
        <f>[18]Vendedor14!$L$6</f>
        <v>0</v>
      </c>
      <c r="K13" s="18">
        <f>[18]Vendedor14!$J$7</f>
        <v>0</v>
      </c>
      <c r="L13" s="15">
        <f>[18]Vendedor14!$K$7</f>
        <v>0</v>
      </c>
      <c r="M13" s="16">
        <f>[18]Vendedor14!$L$7</f>
        <v>0</v>
      </c>
      <c r="N13" s="19">
        <f>[18]Vendedor14!$J$8</f>
        <v>0</v>
      </c>
      <c r="O13" s="15">
        <f>[18]Vendedor14!$K$8</f>
        <v>0</v>
      </c>
      <c r="P13" s="17">
        <f>[18]Vendedor14!$L$8</f>
        <v>0</v>
      </c>
      <c r="Q13" s="19">
        <f>[18]Vendedor14!$J$10</f>
        <v>0</v>
      </c>
      <c r="R13" s="15">
        <f>[18]Vendedor14!$K$10</f>
        <v>0</v>
      </c>
      <c r="S13" s="17">
        <f>[18]Vendedor14!$L$10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hidden="1" x14ac:dyDescent="0.35">
      <c r="A14" s="20" t="s">
        <v>23</v>
      </c>
      <c r="B14" s="14">
        <f>[19]Vendedor14!$J$4</f>
        <v>0</v>
      </c>
      <c r="C14" s="81">
        <f>[19]Vendedor14!$K$4</f>
        <v>0</v>
      </c>
      <c r="D14" s="82">
        <f>[19]Vendedor14!$L$4</f>
        <v>0</v>
      </c>
      <c r="E14" s="14">
        <f>[19]Vendedor14!$J$5</f>
        <v>0</v>
      </c>
      <c r="F14" s="81">
        <f>[19]Vendedor14!$K$5</f>
        <v>0</v>
      </c>
      <c r="G14" s="85">
        <f>[19]Vendedor14!$L$5</f>
        <v>0</v>
      </c>
      <c r="H14" s="19">
        <f>[19]Vendedor14!$J$6</f>
        <v>0</v>
      </c>
      <c r="I14" s="15">
        <f>[19]Vendedor14!$K$6</f>
        <v>0</v>
      </c>
      <c r="J14" s="17">
        <f>[19]Vendedor14!$L$6</f>
        <v>0</v>
      </c>
      <c r="K14" s="18">
        <f>[19]Vendedor14!$J$7</f>
        <v>0</v>
      </c>
      <c r="L14" s="15">
        <f>[19]Vendedor14!$K$7</f>
        <v>0</v>
      </c>
      <c r="M14" s="16">
        <f>[19]Vendedor14!$L$7</f>
        <v>0</v>
      </c>
      <c r="N14" s="19">
        <f>[19]Vendedor14!$J$8</f>
        <v>0</v>
      </c>
      <c r="O14" s="15">
        <f>[19]Vendedor14!$K$8</f>
        <v>0</v>
      </c>
      <c r="P14" s="17">
        <f>[19]Vendedor14!$L$8</f>
        <v>0</v>
      </c>
      <c r="Q14" s="19">
        <f>[19]Vendedor14!$J$10</f>
        <v>0</v>
      </c>
      <c r="R14" s="15">
        <f>[19]Vendedor14!$K$10</f>
        <v>0</v>
      </c>
      <c r="S14" s="17">
        <f>[19]Vendedor14!$L$10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hidden="1" x14ac:dyDescent="0.35">
      <c r="A15" s="13" t="s">
        <v>24</v>
      </c>
      <c r="B15" s="14">
        <f>[20]Vendedor14!$J$4</f>
        <v>0</v>
      </c>
      <c r="C15" s="81">
        <f>[20]Vendedor14!$K$4</f>
        <v>0</v>
      </c>
      <c r="D15" s="82">
        <f>[20]Vendedor14!$L$4</f>
        <v>0</v>
      </c>
      <c r="E15" s="14">
        <f>[20]Vendedor14!$J$5</f>
        <v>0</v>
      </c>
      <c r="F15" s="81">
        <f>[20]Vendedor14!$K$5</f>
        <v>0</v>
      </c>
      <c r="G15" s="85">
        <f>[20]Vendedor14!$L$5</f>
        <v>0</v>
      </c>
      <c r="H15" s="19">
        <f>[20]Vendedor14!$J$6</f>
        <v>0</v>
      </c>
      <c r="I15" s="15">
        <f>[20]Vendedor14!$K$6</f>
        <v>0</v>
      </c>
      <c r="J15" s="17">
        <f>[20]Vendedor14!$L$6</f>
        <v>0</v>
      </c>
      <c r="K15" s="18">
        <f>[20]Vendedor14!$J$7</f>
        <v>0</v>
      </c>
      <c r="L15" s="15">
        <f>[20]Vendedor14!$K$7</f>
        <v>0</v>
      </c>
      <c r="M15" s="16">
        <f>[20]Vendedor14!$L$7</f>
        <v>0</v>
      </c>
      <c r="N15" s="19">
        <f>[20]Vendedor14!$J$8</f>
        <v>0</v>
      </c>
      <c r="O15" s="15">
        <f>[20]Vendedor14!$K$8</f>
        <v>0</v>
      </c>
      <c r="P15" s="17">
        <f>[20]Vendedor14!$L$8</f>
        <v>0</v>
      </c>
      <c r="Q15" s="19">
        <f>[20]Vendedor14!$J$10</f>
        <v>0</v>
      </c>
      <c r="R15" s="15">
        <f>[20]Vendedor14!$K$10</f>
        <v>0</v>
      </c>
      <c r="S15" s="17">
        <f>[20]Vendedor14!$L$10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hidden="1" x14ac:dyDescent="0.35">
      <c r="A16" s="20" t="s">
        <v>25</v>
      </c>
      <c r="B16" s="14">
        <f>[21]Vendedor14!$J$4</f>
        <v>0</v>
      </c>
      <c r="C16" s="81">
        <f>[21]Vendedor14!$K$4</f>
        <v>0</v>
      </c>
      <c r="D16" s="82">
        <f>[21]Vendedor14!$L$4</f>
        <v>0</v>
      </c>
      <c r="E16" s="14">
        <f>[21]Vendedor14!$J$5</f>
        <v>0</v>
      </c>
      <c r="F16" s="81">
        <f>[21]Vendedor14!$K$5</f>
        <v>0</v>
      </c>
      <c r="G16" s="85">
        <f>[21]Vendedor14!$L$5</f>
        <v>0</v>
      </c>
      <c r="H16" s="19">
        <f>[21]Vendedor14!$J$6</f>
        <v>0</v>
      </c>
      <c r="I16" s="15">
        <f>[21]Vendedor14!$K$6</f>
        <v>0</v>
      </c>
      <c r="J16" s="17">
        <f>[21]Vendedor14!$L$6</f>
        <v>0</v>
      </c>
      <c r="K16" s="18">
        <f>[21]Vendedor14!$J$7</f>
        <v>0</v>
      </c>
      <c r="L16" s="15">
        <f>[21]Vendedor14!$K$7</f>
        <v>0</v>
      </c>
      <c r="M16" s="16">
        <f>[21]Vendedor14!$L$7</f>
        <v>0</v>
      </c>
      <c r="N16" s="19">
        <f>[21]Vendedor14!$J$8</f>
        <v>0</v>
      </c>
      <c r="O16" s="15">
        <f>[21]Vendedor14!$K$8</f>
        <v>0</v>
      </c>
      <c r="P16" s="17">
        <f>[21]Vendedor14!$L$8</f>
        <v>0</v>
      </c>
      <c r="Q16" s="19">
        <f>[21]Vendedor14!$J$10</f>
        <v>0</v>
      </c>
      <c r="R16" s="15">
        <f>[21]Vendedor14!$K$10</f>
        <v>0</v>
      </c>
      <c r="S16" s="17">
        <f>[21]Vendedor14!$L$10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hidden="1" x14ac:dyDescent="0.35">
      <c r="A17" s="13" t="s">
        <v>26</v>
      </c>
      <c r="B17" s="14">
        <f>[22]Vendedor14!$J$4</f>
        <v>0</v>
      </c>
      <c r="C17" s="81">
        <f>[22]Vendedor14!$K$4</f>
        <v>0</v>
      </c>
      <c r="D17" s="82">
        <f>[22]Vendedor14!$L$4</f>
        <v>0</v>
      </c>
      <c r="E17" s="14">
        <f>[22]Vendedor14!$J$5</f>
        <v>0</v>
      </c>
      <c r="F17" s="81">
        <f>[22]Vendedor14!$K$5</f>
        <v>0</v>
      </c>
      <c r="G17" s="85">
        <f>[22]Vendedor14!$L$5</f>
        <v>0</v>
      </c>
      <c r="H17" s="19">
        <f>[22]Vendedor14!$J$6</f>
        <v>0</v>
      </c>
      <c r="I17" s="15">
        <f>[22]Vendedor14!$K$6</f>
        <v>0</v>
      </c>
      <c r="J17" s="17">
        <f>[22]Vendedor14!$L$6</f>
        <v>0</v>
      </c>
      <c r="K17" s="18">
        <f>[22]Vendedor14!$J$7</f>
        <v>0</v>
      </c>
      <c r="L17" s="15">
        <f>[22]Vendedor14!$K$7</f>
        <v>0</v>
      </c>
      <c r="M17" s="16">
        <f>[22]Vendedor14!$L$7</f>
        <v>0</v>
      </c>
      <c r="N17" s="19">
        <f>[22]Vendedor14!$J$8</f>
        <v>0</v>
      </c>
      <c r="O17" s="15">
        <f>[22]Vendedor14!$K$8</f>
        <v>0</v>
      </c>
      <c r="P17" s="17">
        <f>[22]Vendedor14!$L$8</f>
        <v>0</v>
      </c>
      <c r="Q17" s="19">
        <f>[22]Vendedor14!$J$10</f>
        <v>0</v>
      </c>
      <c r="R17" s="15">
        <f>[22]Vendedor14!$K$10</f>
        <v>0</v>
      </c>
      <c r="S17" s="17">
        <f>[22]Vendedor14!$L$10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hidden="1" x14ac:dyDescent="0.35">
      <c r="A18" s="20" t="s">
        <v>27</v>
      </c>
      <c r="B18" s="14">
        <f>[23]Vendedor14!$J$4</f>
        <v>0</v>
      </c>
      <c r="C18" s="81">
        <f>[23]Vendedor14!$K$4</f>
        <v>0</v>
      </c>
      <c r="D18" s="82">
        <f>[23]Vendedor14!$L$4</f>
        <v>0</v>
      </c>
      <c r="E18" s="14">
        <f>[23]Vendedor14!$J$5</f>
        <v>0</v>
      </c>
      <c r="F18" s="81">
        <f>[23]Vendedor14!$K$5</f>
        <v>0</v>
      </c>
      <c r="G18" s="85">
        <f>[23]Vendedor14!$L$5</f>
        <v>0</v>
      </c>
      <c r="H18" s="19">
        <f>[23]Vendedor14!$J$6</f>
        <v>0</v>
      </c>
      <c r="I18" s="15">
        <f>[23]Vendedor14!$K$6</f>
        <v>0</v>
      </c>
      <c r="J18" s="17">
        <f>[23]Vendedor14!$L$6</f>
        <v>0</v>
      </c>
      <c r="K18" s="18">
        <f>[23]Vendedor14!$J$7</f>
        <v>0</v>
      </c>
      <c r="L18" s="15">
        <f>[23]Vendedor14!$K$7</f>
        <v>0</v>
      </c>
      <c r="M18" s="16">
        <f>[23]Vendedor14!$L$7</f>
        <v>0</v>
      </c>
      <c r="N18" s="19">
        <f>[23]Vendedor14!$J$8</f>
        <v>0</v>
      </c>
      <c r="O18" s="15">
        <f>[23]Vendedor14!$K$8</f>
        <v>0</v>
      </c>
      <c r="P18" s="17">
        <f>[23]Vendedor14!$L$8</f>
        <v>0</v>
      </c>
      <c r="Q18" s="19">
        <f>[23]Vendedor14!$J$10</f>
        <v>0</v>
      </c>
      <c r="R18" s="15">
        <f>[23]Vendedor14!$K$10</f>
        <v>0</v>
      </c>
      <c r="S18" s="17">
        <f>[23]Vendedor14!$L$10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hidden="1" x14ac:dyDescent="0.35">
      <c r="A19" s="20" t="s">
        <v>28</v>
      </c>
      <c r="B19" s="14">
        <f>[24]Vendedor14!$J$4</f>
        <v>0</v>
      </c>
      <c r="C19" s="81">
        <f>[24]Vendedor14!$K$4</f>
        <v>0</v>
      </c>
      <c r="D19" s="82">
        <f>[24]Vendedor14!$L$4</f>
        <v>0</v>
      </c>
      <c r="E19" s="14">
        <f>[24]Vendedor14!$J$5</f>
        <v>0</v>
      </c>
      <c r="F19" s="81">
        <f>[24]Vendedor14!$K$5</f>
        <v>0</v>
      </c>
      <c r="G19" s="85">
        <f>[24]Vendedor14!$L$5</f>
        <v>0</v>
      </c>
      <c r="H19" s="19">
        <f>[24]Vendedor14!$J$6</f>
        <v>0</v>
      </c>
      <c r="I19" s="15">
        <f>[24]Vendedor14!$K$6</f>
        <v>0</v>
      </c>
      <c r="J19" s="17">
        <f>[24]Vendedor14!$L$6</f>
        <v>0</v>
      </c>
      <c r="K19" s="18">
        <f>[24]Vendedor14!$J$7</f>
        <v>0</v>
      </c>
      <c r="L19" s="15">
        <f>[24]Vendedor14!$K$7</f>
        <v>0</v>
      </c>
      <c r="M19" s="16">
        <f>[24]Vendedor14!$L$7</f>
        <v>0</v>
      </c>
      <c r="N19" s="19">
        <f>[24]Vendedor14!$J$8</f>
        <v>0</v>
      </c>
      <c r="O19" s="15">
        <f>[24]Vendedor14!$K$8</f>
        <v>0</v>
      </c>
      <c r="P19" s="17">
        <f>[24]Vendedor14!$L$8</f>
        <v>0</v>
      </c>
      <c r="Q19" s="19">
        <f>[24]Vendedor14!$J$10</f>
        <v>0</v>
      </c>
      <c r="R19" s="15">
        <f>[24]Vendedor14!$K$10</f>
        <v>0</v>
      </c>
      <c r="S19" s="17">
        <f>[24]Vendedor14!$L$10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hidden="1" x14ac:dyDescent="0.35">
      <c r="A20" s="13" t="s">
        <v>29</v>
      </c>
      <c r="B20" s="14">
        <f>[25]Vendedor14!$J$4</f>
        <v>0</v>
      </c>
      <c r="C20" s="81">
        <f>[25]Vendedor14!$K$4</f>
        <v>0</v>
      </c>
      <c r="D20" s="82">
        <f>[25]Vendedor14!$L$4</f>
        <v>0</v>
      </c>
      <c r="E20" s="14">
        <f>[25]Vendedor14!$J$5</f>
        <v>0</v>
      </c>
      <c r="F20" s="81">
        <f>[25]Vendedor14!$K$5</f>
        <v>0</v>
      </c>
      <c r="G20" s="85">
        <f>[25]Vendedor14!$L$5</f>
        <v>0</v>
      </c>
      <c r="H20" s="19">
        <f>[25]Vendedor14!$J$6</f>
        <v>0</v>
      </c>
      <c r="I20" s="15">
        <f>[25]Vendedor14!$K$6</f>
        <v>0</v>
      </c>
      <c r="J20" s="17">
        <f>[25]Vendedor14!$L$6</f>
        <v>0</v>
      </c>
      <c r="K20" s="18">
        <f>[25]Vendedor14!$J$7</f>
        <v>0</v>
      </c>
      <c r="L20" s="15">
        <f>[25]Vendedor14!$K$7</f>
        <v>0</v>
      </c>
      <c r="M20" s="16">
        <f>[25]Vendedor14!$L$7</f>
        <v>0</v>
      </c>
      <c r="N20" s="19">
        <f>[25]Vendedor14!$J$8</f>
        <v>0</v>
      </c>
      <c r="O20" s="15">
        <f>[25]Vendedor14!$K$8</f>
        <v>0</v>
      </c>
      <c r="P20" s="17">
        <f>[25]Vendedor14!$L$8</f>
        <v>0</v>
      </c>
      <c r="Q20" s="19">
        <f>[25]Vendedor14!$J$10</f>
        <v>0</v>
      </c>
      <c r="R20" s="15">
        <f>[25]Vendedor14!$K$10</f>
        <v>0</v>
      </c>
      <c r="S20" s="17">
        <f>[25]Vendedor14!$L$10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hidden="1" x14ac:dyDescent="0.35">
      <c r="A21" s="20" t="s">
        <v>30</v>
      </c>
      <c r="B21" s="14">
        <f>[26]Vendedor14!$J$4</f>
        <v>0</v>
      </c>
      <c r="C21" s="81">
        <f>[26]Vendedor14!$K$4</f>
        <v>0</v>
      </c>
      <c r="D21" s="82">
        <f>[26]Vendedor14!$L$4</f>
        <v>0</v>
      </c>
      <c r="E21" s="14">
        <f>[26]Vendedor14!$J$5</f>
        <v>0</v>
      </c>
      <c r="F21" s="81">
        <f>[26]Vendedor14!$K$5</f>
        <v>0</v>
      </c>
      <c r="G21" s="85">
        <f>[26]Vendedor14!$L$5</f>
        <v>0</v>
      </c>
      <c r="H21" s="19">
        <f>[26]Vendedor14!$J$6</f>
        <v>0</v>
      </c>
      <c r="I21" s="15">
        <f>[26]Vendedor14!$K$6</f>
        <v>0</v>
      </c>
      <c r="J21" s="17">
        <f>[26]Vendedor14!$L$6</f>
        <v>0</v>
      </c>
      <c r="K21" s="18">
        <f>[26]Vendedor14!$J$7</f>
        <v>0</v>
      </c>
      <c r="L21" s="15">
        <f>[26]Vendedor14!$K$7</f>
        <v>0</v>
      </c>
      <c r="M21" s="16">
        <f>[26]Vendedor14!$L$7</f>
        <v>0</v>
      </c>
      <c r="N21" s="19">
        <f>[26]Vendedor14!$J$8</f>
        <v>0</v>
      </c>
      <c r="O21" s="15">
        <f>[26]Vendedor14!$K$8</f>
        <v>0</v>
      </c>
      <c r="P21" s="17">
        <f>[26]Vendedor14!$L$8</f>
        <v>0</v>
      </c>
      <c r="Q21" s="19">
        <f>[26]Vendedor14!$J$10</f>
        <v>0</v>
      </c>
      <c r="R21" s="15">
        <f>[26]Vendedor14!$K$10</f>
        <v>0</v>
      </c>
      <c r="S21" s="17">
        <f>[26]Vendedor14!$L$10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hidden="1" x14ac:dyDescent="0.35">
      <c r="A22" s="13" t="s">
        <v>31</v>
      </c>
      <c r="B22" s="14">
        <f>[27]Vendedor14!$J$4</f>
        <v>0</v>
      </c>
      <c r="C22" s="81">
        <f>[27]Vendedor14!$K$4</f>
        <v>0</v>
      </c>
      <c r="D22" s="82">
        <f>[27]Vendedor14!$L$4</f>
        <v>0</v>
      </c>
      <c r="E22" s="14">
        <f>[27]Vendedor14!$J$5</f>
        <v>0</v>
      </c>
      <c r="F22" s="81">
        <f>[27]Vendedor14!$K$5</f>
        <v>0</v>
      </c>
      <c r="G22" s="85">
        <f>[27]Vendedor14!$L$5</f>
        <v>0</v>
      </c>
      <c r="H22" s="19">
        <f>[27]Vendedor14!$J$6</f>
        <v>0</v>
      </c>
      <c r="I22" s="15">
        <f>[27]Vendedor14!$K$6</f>
        <v>0</v>
      </c>
      <c r="J22" s="17">
        <f>[27]Vendedor14!$L$6</f>
        <v>0</v>
      </c>
      <c r="K22" s="18">
        <f>[27]Vendedor14!$J$7</f>
        <v>0</v>
      </c>
      <c r="L22" s="15">
        <f>[27]Vendedor14!$K$7</f>
        <v>0</v>
      </c>
      <c r="M22" s="16">
        <f>[27]Vendedor14!$L$7</f>
        <v>0</v>
      </c>
      <c r="N22" s="19">
        <f>[27]Vendedor14!$J$8</f>
        <v>0</v>
      </c>
      <c r="O22" s="15">
        <f>[27]Vendedor14!$K$8</f>
        <v>0</v>
      </c>
      <c r="P22" s="17">
        <f>[27]Vendedor14!$L$8</f>
        <v>0</v>
      </c>
      <c r="Q22" s="19">
        <f>[27]Vendedor14!$J$10</f>
        <v>0</v>
      </c>
      <c r="R22" s="15">
        <f>[27]Vendedor14!$K$10</f>
        <v>0</v>
      </c>
      <c r="S22" s="17">
        <f>[27]Vendedor14!$L$10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hidden="1" x14ac:dyDescent="0.35">
      <c r="A23" s="20" t="s">
        <v>32</v>
      </c>
      <c r="B23" s="14">
        <f>[28]Vendedor14!$J$4</f>
        <v>0</v>
      </c>
      <c r="C23" s="81">
        <f>[28]Vendedor14!$K$4</f>
        <v>0</v>
      </c>
      <c r="D23" s="82">
        <f>[28]Vendedor14!$L$4</f>
        <v>0</v>
      </c>
      <c r="E23" s="14">
        <f>[28]Vendedor14!$J$5</f>
        <v>0</v>
      </c>
      <c r="F23" s="81">
        <f>[28]Vendedor14!$K$5</f>
        <v>0</v>
      </c>
      <c r="G23" s="85">
        <f>[28]Vendedor14!$L$5</f>
        <v>0</v>
      </c>
      <c r="H23" s="19">
        <f>[28]Vendedor14!$J$6</f>
        <v>0</v>
      </c>
      <c r="I23" s="15">
        <f>[28]Vendedor14!$K$6</f>
        <v>0</v>
      </c>
      <c r="J23" s="17">
        <f>[28]Vendedor14!$L$6</f>
        <v>0</v>
      </c>
      <c r="K23" s="18">
        <f>[28]Vendedor14!$J$7</f>
        <v>0</v>
      </c>
      <c r="L23" s="15">
        <f>[28]Vendedor14!$K$7</f>
        <v>0</v>
      </c>
      <c r="M23" s="16">
        <f>[28]Vendedor14!$L$7</f>
        <v>0</v>
      </c>
      <c r="N23" s="19">
        <f>[28]Vendedor14!$J$8</f>
        <v>0</v>
      </c>
      <c r="O23" s="15">
        <f>[28]Vendedor14!$K$8</f>
        <v>0</v>
      </c>
      <c r="P23" s="17">
        <f>[28]Vendedor14!$L$8</f>
        <v>0</v>
      </c>
      <c r="Q23" s="19">
        <f>[28]Vendedor14!$J$10</f>
        <v>0</v>
      </c>
      <c r="R23" s="15">
        <f>[28]Vendedor14!$K$10</f>
        <v>0</v>
      </c>
      <c r="S23" s="17">
        <f>[28]Vendedor14!$L$10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hidden="1" x14ac:dyDescent="0.35">
      <c r="A24" s="13" t="s">
        <v>33</v>
      </c>
      <c r="B24" s="14">
        <f>[29]Vendedor14!$J$4</f>
        <v>0</v>
      </c>
      <c r="C24" s="81">
        <f>[29]Vendedor14!$K$4</f>
        <v>0</v>
      </c>
      <c r="D24" s="82">
        <f>[29]Vendedor14!$L$4</f>
        <v>0</v>
      </c>
      <c r="E24" s="14">
        <f>[29]Vendedor14!$J$5</f>
        <v>0</v>
      </c>
      <c r="F24" s="81">
        <f>[29]Vendedor14!$K$5</f>
        <v>0</v>
      </c>
      <c r="G24" s="85">
        <f>[29]Vendedor14!$L$5</f>
        <v>0</v>
      </c>
      <c r="H24" s="19">
        <f>[29]Vendedor14!$J$6</f>
        <v>0</v>
      </c>
      <c r="I24" s="15">
        <f>[29]Vendedor14!$K$6</f>
        <v>0</v>
      </c>
      <c r="J24" s="17">
        <f>[29]Vendedor14!$L$6</f>
        <v>0</v>
      </c>
      <c r="K24" s="18">
        <f>[29]Vendedor14!$J$7</f>
        <v>0</v>
      </c>
      <c r="L24" s="15">
        <f>[29]Vendedor14!$K$7</f>
        <v>0</v>
      </c>
      <c r="M24" s="16">
        <f>[29]Vendedor14!$L$7</f>
        <v>0</v>
      </c>
      <c r="N24" s="19">
        <f>[29]Vendedor14!$J$8</f>
        <v>0</v>
      </c>
      <c r="O24" s="15">
        <f>[29]Vendedor14!$K$8</f>
        <v>0</v>
      </c>
      <c r="P24" s="17">
        <f>[29]Vendedor14!$L$8</f>
        <v>0</v>
      </c>
      <c r="Q24" s="19">
        <f>[29]Vendedor14!$J$10</f>
        <v>0</v>
      </c>
      <c r="R24" s="15">
        <f>[29]Vendedor14!$K$10</f>
        <v>0</v>
      </c>
      <c r="S24" s="17">
        <f>[29]Vendedor14!$L$10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hidden="1" x14ac:dyDescent="0.35">
      <c r="A25" s="20" t="s">
        <v>34</v>
      </c>
      <c r="B25" s="14">
        <f>[30]Vendedor14!$J$4</f>
        <v>0</v>
      </c>
      <c r="C25" s="81">
        <f>[30]Vendedor14!$K$4</f>
        <v>0</v>
      </c>
      <c r="D25" s="82">
        <f>[30]Vendedor14!$L$4</f>
        <v>0</v>
      </c>
      <c r="E25" s="14">
        <f>[30]Vendedor14!$J$5</f>
        <v>0</v>
      </c>
      <c r="F25" s="81">
        <f>[30]Vendedor14!$K$5</f>
        <v>0</v>
      </c>
      <c r="G25" s="85">
        <f>[30]Vendedor14!$L$5</f>
        <v>0</v>
      </c>
      <c r="H25" s="19">
        <f>[30]Vendedor14!$J$6</f>
        <v>0</v>
      </c>
      <c r="I25" s="15">
        <f>[30]Vendedor14!$K$6</f>
        <v>0</v>
      </c>
      <c r="J25" s="17">
        <f>[30]Vendedor14!$L$6</f>
        <v>0</v>
      </c>
      <c r="K25" s="18">
        <f>[30]Vendedor14!$J$7</f>
        <v>0</v>
      </c>
      <c r="L25" s="15">
        <f>[30]Vendedor14!$K$7</f>
        <v>0</v>
      </c>
      <c r="M25" s="16">
        <f>[30]Vendedor14!$L$7</f>
        <v>0</v>
      </c>
      <c r="N25" s="19">
        <f>[30]Vendedor14!$J$8</f>
        <v>0</v>
      </c>
      <c r="O25" s="15">
        <f>[30]Vendedor14!$K$8</f>
        <v>0</v>
      </c>
      <c r="P25" s="17">
        <f>[30]Vendedor14!$L$8</f>
        <v>0</v>
      </c>
      <c r="Q25" s="19">
        <f>[30]Vendedor14!$J$10</f>
        <v>0</v>
      </c>
      <c r="R25" s="15">
        <f>[30]Vendedor14!$K$10</f>
        <v>0</v>
      </c>
      <c r="S25" s="17">
        <f>[30]Vendedor14!$L$10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hidden="1" x14ac:dyDescent="0.35">
      <c r="A26" s="13" t="s">
        <v>35</v>
      </c>
      <c r="B26" s="14">
        <f>[31]Vendedor14!$J$4</f>
        <v>0</v>
      </c>
      <c r="C26" s="81">
        <f>[31]Vendedor14!$K$4</f>
        <v>0</v>
      </c>
      <c r="D26" s="82">
        <f>[31]Vendedor14!$L$4</f>
        <v>0</v>
      </c>
      <c r="E26" s="14">
        <f>[31]Vendedor14!$J$5</f>
        <v>0</v>
      </c>
      <c r="F26" s="81">
        <f>[31]Vendedor14!$K$5</f>
        <v>0</v>
      </c>
      <c r="G26" s="85">
        <f>[31]Vendedor14!$L$5</f>
        <v>0</v>
      </c>
      <c r="H26" s="19">
        <f>[31]Vendedor14!$J$6</f>
        <v>0</v>
      </c>
      <c r="I26" s="15">
        <f>[31]Vendedor14!$K$6</f>
        <v>0</v>
      </c>
      <c r="J26" s="17">
        <f>[31]Vendedor14!$L$6</f>
        <v>0</v>
      </c>
      <c r="K26" s="18">
        <f>[31]Vendedor14!$J$7</f>
        <v>0</v>
      </c>
      <c r="L26" s="15">
        <f>[31]Vendedor14!$K$7</f>
        <v>0</v>
      </c>
      <c r="M26" s="16">
        <f>[31]Vendedor14!$L$7</f>
        <v>0</v>
      </c>
      <c r="N26" s="19">
        <f>[31]Vendedor14!$J$8</f>
        <v>0</v>
      </c>
      <c r="O26" s="15">
        <f>[31]Vendedor14!$K$8</f>
        <v>0</v>
      </c>
      <c r="P26" s="17">
        <f>[31]Vendedor14!$L$8</f>
        <v>0</v>
      </c>
      <c r="Q26" s="19">
        <f>[31]Vendedor14!$J$10</f>
        <v>0</v>
      </c>
      <c r="R26" s="15">
        <f>[31]Vendedor14!$K$10</f>
        <v>0</v>
      </c>
      <c r="S26" s="17">
        <f>[31]Vendedor14!$L$10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hidden="1" x14ac:dyDescent="0.35">
      <c r="A27" s="20" t="s">
        <v>36</v>
      </c>
      <c r="B27" s="14">
        <f>[1]Vendedor14!$J$4</f>
        <v>0</v>
      </c>
      <c r="C27" s="81">
        <f>[1]Vendedor14!$K$4</f>
        <v>0</v>
      </c>
      <c r="D27" s="82">
        <f>[1]Vendedor14!$L$4</f>
        <v>0</v>
      </c>
      <c r="E27" s="14">
        <f>[1]Vendedor14!$J$5</f>
        <v>0</v>
      </c>
      <c r="F27" s="81">
        <f>[1]Vendedor14!$K$5</f>
        <v>0</v>
      </c>
      <c r="G27" s="85">
        <f>[1]Vendedor14!$L$5</f>
        <v>0</v>
      </c>
      <c r="H27" s="19">
        <f>[1]Vendedor14!$J$6</f>
        <v>0</v>
      </c>
      <c r="I27" s="15">
        <f>[1]Vendedor14!$K$6</f>
        <v>0</v>
      </c>
      <c r="J27" s="17">
        <f>[1]Vendedor14!$L$6</f>
        <v>0</v>
      </c>
      <c r="K27" s="18">
        <f>[1]Vendedor14!$J$7</f>
        <v>0</v>
      </c>
      <c r="L27" s="15">
        <f>[1]Vendedor14!$K$7</f>
        <v>0</v>
      </c>
      <c r="M27" s="16">
        <f>[1]Vendedor14!$L$7</f>
        <v>0</v>
      </c>
      <c r="N27" s="19">
        <f>[1]Vendedor14!$J$8</f>
        <v>0</v>
      </c>
      <c r="O27" s="15">
        <f>[1]Vendedor14!$K$8</f>
        <v>0</v>
      </c>
      <c r="P27" s="17">
        <f>[1]Vendedor14!$L$8</f>
        <v>0</v>
      </c>
      <c r="Q27" s="19">
        <f>[1]Vendedor14!$J$10</f>
        <v>0</v>
      </c>
      <c r="R27" s="15">
        <f>[1]Vendedor14!$K$10</f>
        <v>0</v>
      </c>
      <c r="S27" s="17">
        <f>[1]Vendedor14!$L$10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hidden="1" x14ac:dyDescent="0.35">
      <c r="A28" s="13" t="s">
        <v>37</v>
      </c>
      <c r="B28" s="14">
        <f>[2]Vendedor14!$J$4</f>
        <v>0</v>
      </c>
      <c r="C28" s="81">
        <f>[2]Vendedor14!$K$4</f>
        <v>0</v>
      </c>
      <c r="D28" s="82">
        <f>[2]Vendedor14!$L$4</f>
        <v>0</v>
      </c>
      <c r="E28" s="14">
        <f>[2]Vendedor14!$J$5</f>
        <v>0</v>
      </c>
      <c r="F28" s="81">
        <f>[2]Vendedor14!$K$5</f>
        <v>0</v>
      </c>
      <c r="G28" s="85">
        <f>[2]Vendedor14!$L$5</f>
        <v>0</v>
      </c>
      <c r="H28" s="19">
        <f>[2]Vendedor14!$J$6</f>
        <v>0</v>
      </c>
      <c r="I28" s="15">
        <f>[2]Vendedor14!$K$6</f>
        <v>0</v>
      </c>
      <c r="J28" s="17">
        <f>[2]Vendedor14!$L$6</f>
        <v>0</v>
      </c>
      <c r="K28" s="18">
        <f>[2]Vendedor14!$J$7</f>
        <v>0</v>
      </c>
      <c r="L28" s="15">
        <f>[2]Vendedor14!$K$7</f>
        <v>0</v>
      </c>
      <c r="M28" s="16">
        <f>[2]Vendedor14!$L$7</f>
        <v>0</v>
      </c>
      <c r="N28" s="19">
        <f>[2]Vendedor14!$J$8</f>
        <v>0</v>
      </c>
      <c r="O28" s="15">
        <f>[2]Vendedor14!$K$8</f>
        <v>0</v>
      </c>
      <c r="P28" s="17">
        <f>[2]Vendedor14!$L$8</f>
        <v>0</v>
      </c>
      <c r="Q28" s="19">
        <f>[2]Vendedor14!$J$10</f>
        <v>0</v>
      </c>
      <c r="R28" s="15">
        <f>[2]Vendedor14!$K$10</f>
        <v>0</v>
      </c>
      <c r="S28" s="17">
        <f>[2]Vendedor14!$L$10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hidden="1" x14ac:dyDescent="0.35">
      <c r="A29" s="20" t="s">
        <v>38</v>
      </c>
      <c r="B29" s="14">
        <f>[3]Vendedor14!$J$4</f>
        <v>0</v>
      </c>
      <c r="C29" s="81">
        <f>[3]Vendedor14!$K$4</f>
        <v>0</v>
      </c>
      <c r="D29" s="82">
        <f>[3]Vendedor14!$L$4</f>
        <v>0</v>
      </c>
      <c r="E29" s="14">
        <f>[3]Vendedor14!$J$5</f>
        <v>0</v>
      </c>
      <c r="F29" s="81">
        <f>[3]Vendedor14!$K$5</f>
        <v>0</v>
      </c>
      <c r="G29" s="85">
        <f>[3]Vendedor14!$L$5</f>
        <v>0</v>
      </c>
      <c r="H29" s="19">
        <f>[3]Vendedor14!$J$6</f>
        <v>0</v>
      </c>
      <c r="I29" s="15">
        <f>[3]Vendedor14!$K$6</f>
        <v>0</v>
      </c>
      <c r="J29" s="17">
        <f>[3]Vendedor14!$L$6</f>
        <v>0</v>
      </c>
      <c r="K29" s="18">
        <f>[3]Vendedor14!$J$7</f>
        <v>0</v>
      </c>
      <c r="L29" s="15">
        <f>[3]Vendedor14!$K$7</f>
        <v>0</v>
      </c>
      <c r="M29" s="16">
        <f>[3]Vendedor14!$L$7</f>
        <v>0</v>
      </c>
      <c r="N29" s="19">
        <f>[3]Vendedor14!$J$8</f>
        <v>0</v>
      </c>
      <c r="O29" s="15">
        <f>[3]Vendedor14!$K$8</f>
        <v>0</v>
      </c>
      <c r="P29" s="17">
        <f>[3]Vendedor14!$L$8</f>
        <v>0</v>
      </c>
      <c r="Q29" s="19">
        <f>[3]Vendedor14!$J$10</f>
        <v>0</v>
      </c>
      <c r="R29" s="15">
        <f>[3]Vendedor14!$K$10</f>
        <v>0</v>
      </c>
      <c r="S29" s="17">
        <f>[3]Vendedor14!$L$10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hidden="1" x14ac:dyDescent="0.35">
      <c r="A30" s="13" t="s">
        <v>39</v>
      </c>
      <c r="B30" s="14">
        <f>[4]Vendedor14!$J$4</f>
        <v>0</v>
      </c>
      <c r="C30" s="81">
        <f>[4]Vendedor14!$K$4</f>
        <v>0</v>
      </c>
      <c r="D30" s="82">
        <f>[4]Vendedor14!$L$4</f>
        <v>0</v>
      </c>
      <c r="E30" s="14">
        <f>[4]Vendedor14!$J$5</f>
        <v>0</v>
      </c>
      <c r="F30" s="81">
        <f>[4]Vendedor14!$K$5</f>
        <v>0</v>
      </c>
      <c r="G30" s="85">
        <f>[4]Vendedor14!$L$5</f>
        <v>0</v>
      </c>
      <c r="H30" s="19">
        <f>[4]Vendedor14!$J$6</f>
        <v>0</v>
      </c>
      <c r="I30" s="15">
        <f>[4]Vendedor14!$K$6</f>
        <v>0</v>
      </c>
      <c r="J30" s="17">
        <f>[4]Vendedor14!$L$6</f>
        <v>0</v>
      </c>
      <c r="K30" s="18">
        <f>[4]Vendedor14!$J$7</f>
        <v>0</v>
      </c>
      <c r="L30" s="15">
        <f>[4]Vendedor14!$K$7</f>
        <v>0</v>
      </c>
      <c r="M30" s="16">
        <f>[4]Vendedor14!$L$7</f>
        <v>0</v>
      </c>
      <c r="N30" s="19">
        <f>[4]Vendedor14!$J$8</f>
        <v>0</v>
      </c>
      <c r="O30" s="15">
        <f>[4]Vendedor14!$K$8</f>
        <v>0</v>
      </c>
      <c r="P30" s="17">
        <f>[4]Vendedor14!$L$8</f>
        <v>0</v>
      </c>
      <c r="Q30" s="19">
        <f>[4]Vendedor14!$J$10</f>
        <v>0</v>
      </c>
      <c r="R30" s="15">
        <f>[4]Vendedor14!$K$10</f>
        <v>0</v>
      </c>
      <c r="S30" s="17">
        <f>[4]Vendedor14!$L$10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hidden="1" x14ac:dyDescent="0.35">
      <c r="A31" s="20" t="s">
        <v>40</v>
      </c>
      <c r="B31" s="14">
        <f>[5]Vendedor14!$J$4</f>
        <v>0</v>
      </c>
      <c r="C31" s="81">
        <f>[5]Vendedor14!$K$4</f>
        <v>0</v>
      </c>
      <c r="D31" s="82">
        <f>[5]Vendedor14!$L$4</f>
        <v>0</v>
      </c>
      <c r="E31" s="14">
        <f>[5]Vendedor14!$J$5</f>
        <v>0</v>
      </c>
      <c r="F31" s="81">
        <f>[5]Vendedor14!$K$5</f>
        <v>0</v>
      </c>
      <c r="G31" s="85">
        <f>[5]Vendedor14!$L$5</f>
        <v>0</v>
      </c>
      <c r="H31" s="19">
        <f>[5]Vendedor14!$J$6</f>
        <v>0</v>
      </c>
      <c r="I31" s="15">
        <f>[5]Vendedor14!$K$6</f>
        <v>0</v>
      </c>
      <c r="J31" s="17">
        <f>[5]Vendedor14!$L$6</f>
        <v>0</v>
      </c>
      <c r="K31" s="18">
        <f>[5]Vendedor14!$J$7</f>
        <v>0</v>
      </c>
      <c r="L31" s="15">
        <f>[5]Vendedor14!$K$7</f>
        <v>0</v>
      </c>
      <c r="M31" s="16">
        <f>[5]Vendedor14!$L$7</f>
        <v>0</v>
      </c>
      <c r="N31" s="19">
        <f>[5]Vendedor14!$J$8</f>
        <v>0</v>
      </c>
      <c r="O31" s="15">
        <f>[5]Vendedor14!$K$8</f>
        <v>0</v>
      </c>
      <c r="P31" s="17">
        <f>[5]Vendedor14!$L$8</f>
        <v>0</v>
      </c>
      <c r="Q31" s="19">
        <f>[5]Vendedor14!$J$10</f>
        <v>0</v>
      </c>
      <c r="R31" s="15">
        <f>[5]Vendedor14!$K$10</f>
        <v>0</v>
      </c>
      <c r="S31" s="17">
        <f>[5]Vendedor14!$L$10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hidden="1" x14ac:dyDescent="0.35">
      <c r="A32" s="20" t="s">
        <v>41</v>
      </c>
      <c r="B32" s="14">
        <f>[6]Vendedor14!$J$4</f>
        <v>0</v>
      </c>
      <c r="C32" s="81">
        <f>[6]Vendedor14!$K$4</f>
        <v>0</v>
      </c>
      <c r="D32" s="82">
        <f>[6]Vendedor14!$L$4</f>
        <v>0</v>
      </c>
      <c r="E32" s="14">
        <f>[6]Vendedor14!$J$5</f>
        <v>0</v>
      </c>
      <c r="F32" s="81">
        <f>[6]Vendedor14!$K$5</f>
        <v>0</v>
      </c>
      <c r="G32" s="85">
        <f>[6]Vendedor14!$L$5</f>
        <v>0</v>
      </c>
      <c r="H32" s="19">
        <f>[6]Vendedor14!$J$6</f>
        <v>0</v>
      </c>
      <c r="I32" s="15">
        <f>[6]Vendedor14!$K$6</f>
        <v>0</v>
      </c>
      <c r="J32" s="17">
        <f>[6]Vendedor14!$L$6</f>
        <v>0</v>
      </c>
      <c r="K32" s="18">
        <f>[6]Vendedor14!$J$7</f>
        <v>0</v>
      </c>
      <c r="L32" s="15">
        <f>[6]Vendedor14!$K$7</f>
        <v>0</v>
      </c>
      <c r="M32" s="16">
        <f>[6]Vendedor14!$L$7</f>
        <v>0</v>
      </c>
      <c r="N32" s="19">
        <f>[6]Vendedor14!$J$8</f>
        <v>0</v>
      </c>
      <c r="O32" s="15">
        <f>[6]Vendedor14!$K$8</f>
        <v>0</v>
      </c>
      <c r="P32" s="17">
        <f>[6]Vendedor14!$L$8</f>
        <v>0</v>
      </c>
      <c r="Q32" s="19">
        <f>[6]Vendedor14!$J$10</f>
        <v>0</v>
      </c>
      <c r="R32" s="15">
        <f>[6]Vendedor14!$K$10</f>
        <v>0</v>
      </c>
      <c r="S32" s="17">
        <f>[6]Vendedor14!$L$10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hidden="1" x14ac:dyDescent="0.35">
      <c r="A33" s="13" t="s">
        <v>42</v>
      </c>
      <c r="B33" s="14">
        <f>[7]Vendedor14!$J$4</f>
        <v>0</v>
      </c>
      <c r="C33" s="81">
        <f>[7]Vendedor14!$K$4</f>
        <v>0</v>
      </c>
      <c r="D33" s="82">
        <f>[7]Vendedor14!$L$4</f>
        <v>0</v>
      </c>
      <c r="E33" s="14">
        <f>[7]Vendedor14!$J$5</f>
        <v>0</v>
      </c>
      <c r="F33" s="81">
        <f>[7]Vendedor14!$K$5</f>
        <v>0</v>
      </c>
      <c r="G33" s="85">
        <f>[7]Vendedor14!$L$5</f>
        <v>0</v>
      </c>
      <c r="H33" s="19">
        <f>[7]Vendedor14!$J$6</f>
        <v>0</v>
      </c>
      <c r="I33" s="15">
        <f>[7]Vendedor14!$K$6</f>
        <v>0</v>
      </c>
      <c r="J33" s="17">
        <f>[7]Vendedor14!$L$6</f>
        <v>0</v>
      </c>
      <c r="K33" s="18">
        <f>[7]Vendedor14!$J$7</f>
        <v>0</v>
      </c>
      <c r="L33" s="15">
        <f>[7]Vendedor14!$K$7</f>
        <v>0</v>
      </c>
      <c r="M33" s="16">
        <f>[7]Vendedor14!$L$7</f>
        <v>0</v>
      </c>
      <c r="N33" s="19">
        <f>[7]Vendedor14!$J$8</f>
        <v>0</v>
      </c>
      <c r="O33" s="15">
        <f>[7]Vendedor14!$K$8</f>
        <v>0</v>
      </c>
      <c r="P33" s="17">
        <f>[7]Vendedor14!$L$8</f>
        <v>0</v>
      </c>
      <c r="Q33" s="19">
        <f>[7]Vendedor14!$J$10</f>
        <v>0</v>
      </c>
      <c r="R33" s="15">
        <f>[7]Vendedor14!$K$10</f>
        <v>0</v>
      </c>
      <c r="S33" s="17">
        <f>[7]Vendedor14!$L$10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hidden="1" x14ac:dyDescent="0.35">
      <c r="A34" s="20" t="s">
        <v>43</v>
      </c>
      <c r="B34" s="14">
        <f>[8]Vendedor14!$J$4</f>
        <v>0</v>
      </c>
      <c r="C34" s="81">
        <f>[8]Vendedor14!$K$4</f>
        <v>0</v>
      </c>
      <c r="D34" s="82">
        <f>[8]Vendedor14!$L$4</f>
        <v>0</v>
      </c>
      <c r="E34" s="14">
        <f>[8]Vendedor14!$J$5</f>
        <v>0</v>
      </c>
      <c r="F34" s="81">
        <f>[8]Vendedor14!$K$5</f>
        <v>0</v>
      </c>
      <c r="G34" s="85">
        <f>[8]Vendedor14!$L$5</f>
        <v>0</v>
      </c>
      <c r="H34" s="19">
        <f>[8]Vendedor14!$J$6</f>
        <v>0</v>
      </c>
      <c r="I34" s="15">
        <f>[8]Vendedor14!$K$6</f>
        <v>0</v>
      </c>
      <c r="J34" s="17">
        <f>[8]Vendedor14!$L$6</f>
        <v>0</v>
      </c>
      <c r="K34" s="18">
        <f>[8]Vendedor14!$J$7</f>
        <v>0</v>
      </c>
      <c r="L34" s="15">
        <f>[8]Vendedor14!$K$7</f>
        <v>0</v>
      </c>
      <c r="M34" s="16">
        <f>[8]Vendedor14!$L$7</f>
        <v>0</v>
      </c>
      <c r="N34" s="19">
        <f>[8]Vendedor14!$J$8</f>
        <v>0</v>
      </c>
      <c r="O34" s="15">
        <f>[8]Vendedor14!$K$8</f>
        <v>0</v>
      </c>
      <c r="P34" s="17">
        <f>[8]Vendedor14!$L$8</f>
        <v>0</v>
      </c>
      <c r="Q34" s="19">
        <f>[8]Vendedor14!$J$10</f>
        <v>0</v>
      </c>
      <c r="R34" s="15">
        <f>[8]Vendedor14!$K$10</f>
        <v>0</v>
      </c>
      <c r="S34" s="17">
        <f>[8]Vendedor14!$L$10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hidden="1" x14ac:dyDescent="0.35">
      <c r="A35" s="13" t="s">
        <v>44</v>
      </c>
      <c r="B35" s="14">
        <f>[9]Vendedor14!$J$4</f>
        <v>0</v>
      </c>
      <c r="C35" s="81">
        <f>[9]Vendedor14!$K$4</f>
        <v>0</v>
      </c>
      <c r="D35" s="82">
        <f>[9]Vendedor14!$L$4</f>
        <v>0</v>
      </c>
      <c r="E35" s="14">
        <f>[9]Vendedor14!$J$5</f>
        <v>0</v>
      </c>
      <c r="F35" s="81">
        <f>[9]Vendedor14!$K$5</f>
        <v>0</v>
      </c>
      <c r="G35" s="85">
        <f>[9]Vendedor14!$L$5</f>
        <v>0</v>
      </c>
      <c r="H35" s="19">
        <f>[9]Vendedor14!$J$6</f>
        <v>0</v>
      </c>
      <c r="I35" s="15">
        <f>[9]Vendedor14!$K$6</f>
        <v>0</v>
      </c>
      <c r="J35" s="17">
        <f>[9]Vendedor14!$L$6</f>
        <v>0</v>
      </c>
      <c r="K35" s="18">
        <f>[9]Vendedor14!$J$7</f>
        <v>0</v>
      </c>
      <c r="L35" s="15">
        <f>[9]Vendedor14!$K$7</f>
        <v>0</v>
      </c>
      <c r="M35" s="16">
        <f>[9]Vendedor14!$L$7</f>
        <v>0</v>
      </c>
      <c r="N35" s="19">
        <f>[9]Vendedor14!$J$8</f>
        <v>0</v>
      </c>
      <c r="O35" s="15">
        <f>[9]Vendedor14!$K$8</f>
        <v>0</v>
      </c>
      <c r="P35" s="17">
        <f>[9]Vendedor14!$L$8</f>
        <v>0</v>
      </c>
      <c r="Q35" s="19">
        <f>[9]Vendedor14!$J$10</f>
        <v>0</v>
      </c>
      <c r="R35" s="15">
        <f>[9]Vendedor14!$K$10</f>
        <v>0</v>
      </c>
      <c r="S35" s="17">
        <f>[9]Vendedor14!$L$10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hidden="1" thickBot="1" x14ac:dyDescent="0.4">
      <c r="A36" s="20" t="s">
        <v>45</v>
      </c>
      <c r="B36" s="21">
        <f>[10]Vendedor14!$J$4</f>
        <v>0</v>
      </c>
      <c r="C36" s="83">
        <f>[10]Vendedor14!$K$4</f>
        <v>0</v>
      </c>
      <c r="D36" s="84">
        <f>[10]Vendedor14!$L$4</f>
        <v>0</v>
      </c>
      <c r="E36" s="21">
        <f>[10]Vendedor14!$J$5</f>
        <v>0</v>
      </c>
      <c r="F36" s="83">
        <f>[10]Vendedor14!$K$5</f>
        <v>0</v>
      </c>
      <c r="G36" s="86">
        <f>[10]Vendedor14!$L$5</f>
        <v>0</v>
      </c>
      <c r="H36" s="26">
        <f>[10]Vendedor14!$J$6</f>
        <v>0</v>
      </c>
      <c r="I36" s="22">
        <f>[10]Vendedor14!$K$6</f>
        <v>0</v>
      </c>
      <c r="J36" s="24">
        <f>[10]Vendedor14!$L$6</f>
        <v>0</v>
      </c>
      <c r="K36" s="25">
        <f>[10]Vendedor14!$J$7</f>
        <v>0</v>
      </c>
      <c r="L36" s="22">
        <f>[10]Vendedor14!$K$7</f>
        <v>0</v>
      </c>
      <c r="M36" s="23">
        <f>[10]Vendedor14!$L$7</f>
        <v>0</v>
      </c>
      <c r="N36" s="26">
        <f>[10]Vendedor14!$J$8</f>
        <v>0</v>
      </c>
      <c r="O36" s="22">
        <f>[10]Vendedor14!$K$8</f>
        <v>0</v>
      </c>
      <c r="P36" s="24">
        <f>[10]Vendedor14!$L$8</f>
        <v>0</v>
      </c>
      <c r="Q36" s="26">
        <f>[10]Vendedor14!$J$10</f>
        <v>0</v>
      </c>
      <c r="R36" s="22">
        <f>[10]Vendedor14!$K$10</f>
        <v>0</v>
      </c>
      <c r="S36" s="24">
        <f>[10]Vendedor14!$L$10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topLeftCell="H1" zoomScale="90" zoomScaleNormal="90" workbookViewId="0">
      <selection sqref="A1:X37"/>
    </sheetView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bestFit="1" customWidth="1"/>
    <col min="4" max="4" width="11.7265625" style="1" bestFit="1" customWidth="1"/>
    <col min="5" max="5" width="11.54296875" style="1" bestFit="1" customWidth="1"/>
    <col min="6" max="6" width="10.453125" style="1" bestFit="1" customWidth="1"/>
    <col min="7" max="7" width="13" style="1" bestFit="1" customWidth="1"/>
    <col min="8" max="10" width="11.81640625" style="1" customWidth="1"/>
    <col min="11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7265625" style="1" bestFit="1" customWidth="1"/>
    <col min="20" max="20" width="11.54296875" style="1" bestFit="1" customWidth="1"/>
    <col min="21" max="21" width="13.81640625" style="1" bestFit="1" customWidth="1"/>
    <col min="22" max="22" width="14.26953125" style="1" bestFit="1" customWidth="1"/>
    <col min="23" max="23" width="10.1796875" style="1" bestFit="1" customWidth="1"/>
    <col min="24" max="24" width="11.4531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1"/>
    </row>
    <row r="2" spans="1:24" ht="19" thickBot="1" x14ac:dyDescent="0.5">
      <c r="A2" s="2" t="s">
        <v>1</v>
      </c>
      <c r="B2" s="142" t="s">
        <v>85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[11]Vendedor15!$J$4</f>
        <v>0</v>
      </c>
      <c r="C6" s="87">
        <f>[11]Vendedor15!$K$4</f>
        <v>0</v>
      </c>
      <c r="D6" s="88">
        <f>[11]Vendedor15!$L$4</f>
        <v>0</v>
      </c>
      <c r="E6" s="53">
        <f>[11]Vendedor15!$J$5</f>
        <v>0</v>
      </c>
      <c r="F6" s="87">
        <f>[11]Vendedor15!$K$5</f>
        <v>0</v>
      </c>
      <c r="G6" s="89">
        <f>[11]Vendedor15!$L$5</f>
        <v>0</v>
      </c>
      <c r="H6" s="59">
        <f>[11]Vendedor15!$J$6</f>
        <v>0</v>
      </c>
      <c r="I6" s="58">
        <f>[11]Vendedor15!$K$6</f>
        <v>0</v>
      </c>
      <c r="J6" s="55">
        <f>[11]Vendedor15!$L$6</f>
        <v>0</v>
      </c>
      <c r="K6" s="61">
        <f>[11]Vendedor15!$J$7</f>
        <v>0</v>
      </c>
      <c r="L6" s="58">
        <f>[11]Vendedor15!$K$7</f>
        <v>0</v>
      </c>
      <c r="M6" s="54">
        <f>[11]Vendedor15!$L$7</f>
        <v>0</v>
      </c>
      <c r="N6" s="59">
        <f>[11]Vendedor15!$J$8</f>
        <v>0</v>
      </c>
      <c r="O6" s="58">
        <f>[11]Vendedor15!$K$8</f>
        <v>0</v>
      </c>
      <c r="P6" s="55">
        <f>[11]Vendedor15!$L$8</f>
        <v>0</v>
      </c>
      <c r="Q6" s="59">
        <f>[11]Vendedor15!$J$10</f>
        <v>0</v>
      </c>
      <c r="R6" s="58">
        <f>[11]Vendedor15!$K$10</f>
        <v>0</v>
      </c>
      <c r="S6" s="55">
        <f>[11]Vendedor15!$L$10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[12]Vendedor15!$J$4</f>
        <v>0</v>
      </c>
      <c r="C7" s="81">
        <f>[12]Vendedor15!$K$4</f>
        <v>0</v>
      </c>
      <c r="D7" s="82">
        <f>[12]Vendedor15!$L$4</f>
        <v>0</v>
      </c>
      <c r="E7" s="14">
        <f>[12]Vendedor15!$J$5</f>
        <v>0</v>
      </c>
      <c r="F7" s="81">
        <f>[12]Vendedor15!$K$5</f>
        <v>0</v>
      </c>
      <c r="G7" s="85">
        <f>[12]Vendedor15!$L$5</f>
        <v>0</v>
      </c>
      <c r="H7" s="19">
        <f>[12]Vendedor15!$J$6</f>
        <v>0</v>
      </c>
      <c r="I7" s="15">
        <f>[12]Vendedor15!$K$6</f>
        <v>0</v>
      </c>
      <c r="J7" s="17">
        <f>[12]Vendedor15!$L$6</f>
        <v>0</v>
      </c>
      <c r="K7" s="18">
        <f>[12]Vendedor15!$J$7</f>
        <v>0</v>
      </c>
      <c r="L7" s="15">
        <f>[12]Vendedor15!$K$7</f>
        <v>0</v>
      </c>
      <c r="M7" s="16">
        <f>[12]Vendedor15!$L$7</f>
        <v>0</v>
      </c>
      <c r="N7" s="19">
        <f>[12]Vendedor15!$J$8</f>
        <v>0</v>
      </c>
      <c r="O7" s="15">
        <f>[12]Vendedor15!$K$8</f>
        <v>0</v>
      </c>
      <c r="P7" s="17">
        <f>[12]Vendedor15!$L$8</f>
        <v>0</v>
      </c>
      <c r="Q7" s="19">
        <f>[12]Vendedor15!$J$10</f>
        <v>0</v>
      </c>
      <c r="R7" s="15">
        <f>[12]Vendedor15!$K$10</f>
        <v>0</v>
      </c>
      <c r="S7" s="17">
        <f>[12]Vendedor15!$L$10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[13]Vendedor15!$J$4</f>
        <v>0</v>
      </c>
      <c r="C8" s="81">
        <f>[13]Vendedor15!$K$4</f>
        <v>0</v>
      </c>
      <c r="D8" s="82">
        <f>[13]Vendedor15!$L$4</f>
        <v>0</v>
      </c>
      <c r="E8" s="14">
        <f>[13]Vendedor15!$J$5</f>
        <v>0</v>
      </c>
      <c r="F8" s="81">
        <f>[13]Vendedor15!$K$5</f>
        <v>0</v>
      </c>
      <c r="G8" s="85">
        <f>[13]Vendedor15!$L$5</f>
        <v>0</v>
      </c>
      <c r="H8" s="19">
        <f>[13]Vendedor15!$J$6</f>
        <v>0</v>
      </c>
      <c r="I8" s="15">
        <f>[13]Vendedor15!$K$6</f>
        <v>0</v>
      </c>
      <c r="J8" s="17">
        <f>[13]Vendedor15!$L$6</f>
        <v>0</v>
      </c>
      <c r="K8" s="18">
        <f>[13]Vendedor15!$J$7</f>
        <v>0</v>
      </c>
      <c r="L8" s="15">
        <f>[13]Vendedor15!$K$7</f>
        <v>0</v>
      </c>
      <c r="M8" s="16">
        <f>[13]Vendedor15!$L$7</f>
        <v>0</v>
      </c>
      <c r="N8" s="19">
        <f>[13]Vendedor15!$J$8</f>
        <v>0</v>
      </c>
      <c r="O8" s="15">
        <f>[13]Vendedor15!$K$8</f>
        <v>0</v>
      </c>
      <c r="P8" s="17">
        <f>[13]Vendedor15!$L$8</f>
        <v>0</v>
      </c>
      <c r="Q8" s="19">
        <f>[13]Vendedor15!$J$10</f>
        <v>0</v>
      </c>
      <c r="R8" s="15">
        <f>[13]Vendedor15!$K$10</f>
        <v>0</v>
      </c>
      <c r="S8" s="17">
        <f>[13]Vendedor15!$L$10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ht="15" thickBot="1" x14ac:dyDescent="0.4">
      <c r="A9" s="13" t="s">
        <v>52</v>
      </c>
      <c r="B9" s="14">
        <f>[14]Vendedor15!$J$4</f>
        <v>0</v>
      </c>
      <c r="C9" s="81">
        <f>[14]Vendedor15!$K$4</f>
        <v>0</v>
      </c>
      <c r="D9" s="82">
        <f>[14]Vendedor15!$L$4</f>
        <v>0</v>
      </c>
      <c r="E9" s="14">
        <f>[14]Vendedor15!$J$5</f>
        <v>0</v>
      </c>
      <c r="F9" s="81">
        <f>[14]Vendedor15!$K$5</f>
        <v>0</v>
      </c>
      <c r="G9" s="85">
        <f>[14]Vendedor15!$L$5</f>
        <v>0</v>
      </c>
      <c r="H9" s="19">
        <f>[14]Vendedor15!$J$6</f>
        <v>0</v>
      </c>
      <c r="I9" s="15">
        <f>[14]Vendedor15!$K$6</f>
        <v>0</v>
      </c>
      <c r="J9" s="17">
        <f>[14]Vendedor15!$L$6</f>
        <v>0</v>
      </c>
      <c r="K9" s="18">
        <f>[14]Vendedor15!$J$7</f>
        <v>0</v>
      </c>
      <c r="L9" s="15">
        <f>[14]Vendedor15!$K$7</f>
        <v>0</v>
      </c>
      <c r="M9" s="16">
        <f>[14]Vendedor15!$L$7</f>
        <v>0</v>
      </c>
      <c r="N9" s="19">
        <f>[14]Vendedor15!$J$8</f>
        <v>0</v>
      </c>
      <c r="O9" s="15">
        <f>[14]Vendedor15!$K$8</f>
        <v>0</v>
      </c>
      <c r="P9" s="17">
        <f>[14]Vendedor15!$L$8</f>
        <v>0</v>
      </c>
      <c r="Q9" s="19">
        <f>[14]Vendedor15!$J$10</f>
        <v>0</v>
      </c>
      <c r="R9" s="15">
        <f>[14]Vendedor15!$K$10</f>
        <v>0</v>
      </c>
      <c r="S9" s="17">
        <f>[14]Vendedor15!$L$10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hidden="1" x14ac:dyDescent="0.35">
      <c r="A10" s="20" t="s">
        <v>53</v>
      </c>
      <c r="B10" s="14">
        <f>[15]Vendedor15!$J$4</f>
        <v>0</v>
      </c>
      <c r="C10" s="81">
        <f>[15]Vendedor15!$K$4</f>
        <v>0</v>
      </c>
      <c r="D10" s="82">
        <f>[15]Vendedor15!$L$4</f>
        <v>0</v>
      </c>
      <c r="E10" s="14">
        <f>[15]Vendedor15!$J$5</f>
        <v>0</v>
      </c>
      <c r="F10" s="81">
        <f>[15]Vendedor15!$K$5</f>
        <v>0</v>
      </c>
      <c r="G10" s="85">
        <f>[15]Vendedor15!$L$5</f>
        <v>0</v>
      </c>
      <c r="H10" s="19">
        <f>[15]Vendedor15!$J$6</f>
        <v>0</v>
      </c>
      <c r="I10" s="15">
        <f>[15]Vendedor15!$K$6</f>
        <v>0</v>
      </c>
      <c r="J10" s="17">
        <f>[15]Vendedor15!$L$6</f>
        <v>0</v>
      </c>
      <c r="K10" s="18">
        <f>[15]Vendedor15!$J$7</f>
        <v>0</v>
      </c>
      <c r="L10" s="15">
        <f>[15]Vendedor15!$K$7</f>
        <v>0</v>
      </c>
      <c r="M10" s="16">
        <f>[15]Vendedor15!$L$7</f>
        <v>0</v>
      </c>
      <c r="N10" s="19">
        <f>[15]Vendedor15!$J$8</f>
        <v>0</v>
      </c>
      <c r="O10" s="15">
        <f>[15]Vendedor15!$K$8</f>
        <v>0</v>
      </c>
      <c r="P10" s="17">
        <f>[15]Vendedor15!$L$8</f>
        <v>0</v>
      </c>
      <c r="Q10" s="19">
        <f>[15]Vendedor15!$J$10</f>
        <v>0</v>
      </c>
      <c r="R10" s="15">
        <f>[15]Vendedor15!$K$10</f>
        <v>0</v>
      </c>
      <c r="S10" s="17">
        <f>[15]Vendedor15!$L$10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hidden="1" x14ac:dyDescent="0.35">
      <c r="A11" s="13" t="s">
        <v>20</v>
      </c>
      <c r="B11" s="14">
        <f>[16]Vendedor15!$J$4</f>
        <v>0</v>
      </c>
      <c r="C11" s="81">
        <f>[16]Vendedor15!$K$4</f>
        <v>0</v>
      </c>
      <c r="D11" s="82">
        <f>[16]Vendedor15!$L$4</f>
        <v>0</v>
      </c>
      <c r="E11" s="14">
        <f>[16]Vendedor15!$J$5</f>
        <v>0</v>
      </c>
      <c r="F11" s="81">
        <f>[16]Vendedor15!$K$5</f>
        <v>0</v>
      </c>
      <c r="G11" s="85">
        <f>[16]Vendedor15!$L$5</f>
        <v>0</v>
      </c>
      <c r="H11" s="19">
        <f>[16]Vendedor15!$J$6</f>
        <v>0</v>
      </c>
      <c r="I11" s="15">
        <f>[16]Vendedor15!$K$6</f>
        <v>0</v>
      </c>
      <c r="J11" s="17">
        <f>[16]Vendedor15!$L$6</f>
        <v>0</v>
      </c>
      <c r="K11" s="18">
        <f>[16]Vendedor15!$J$7</f>
        <v>0</v>
      </c>
      <c r="L11" s="15">
        <f>[16]Vendedor15!$K$7</f>
        <v>0</v>
      </c>
      <c r="M11" s="16">
        <f>[16]Vendedor15!$L$7</f>
        <v>0</v>
      </c>
      <c r="N11" s="19">
        <f>[16]Vendedor15!$J$8</f>
        <v>0</v>
      </c>
      <c r="O11" s="15">
        <f>[16]Vendedor15!$K$8</f>
        <v>0</v>
      </c>
      <c r="P11" s="17">
        <f>[16]Vendedor15!$L$8</f>
        <v>0</v>
      </c>
      <c r="Q11" s="19">
        <f>[16]Vendedor15!$J$10</f>
        <v>0</v>
      </c>
      <c r="R11" s="15">
        <f>[16]Vendedor15!$K$10</f>
        <v>0</v>
      </c>
      <c r="S11" s="17">
        <f>[16]Vendedor15!$L$10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hidden="1" x14ac:dyDescent="0.35">
      <c r="A12" s="20" t="s">
        <v>21</v>
      </c>
      <c r="B12" s="14">
        <f>[17]Vendedor15!$J$4</f>
        <v>0</v>
      </c>
      <c r="C12" s="81">
        <f>[17]Vendedor15!$K$4</f>
        <v>0</v>
      </c>
      <c r="D12" s="82">
        <f>[17]Vendedor15!$L$4</f>
        <v>0</v>
      </c>
      <c r="E12" s="14">
        <f>[17]Vendedor15!$J$5</f>
        <v>0</v>
      </c>
      <c r="F12" s="81">
        <f>[17]Vendedor15!$K$5</f>
        <v>0</v>
      </c>
      <c r="G12" s="85">
        <f>[17]Vendedor15!$L$5</f>
        <v>0</v>
      </c>
      <c r="H12" s="19">
        <f>[17]Vendedor15!$J$6</f>
        <v>0</v>
      </c>
      <c r="I12" s="15">
        <f>[17]Vendedor15!$K$6</f>
        <v>0</v>
      </c>
      <c r="J12" s="17">
        <f>[17]Vendedor15!$L$6</f>
        <v>0</v>
      </c>
      <c r="K12" s="18">
        <f>[17]Vendedor15!$J$7</f>
        <v>0</v>
      </c>
      <c r="L12" s="15">
        <f>[17]Vendedor15!$K$7</f>
        <v>0</v>
      </c>
      <c r="M12" s="16">
        <f>[17]Vendedor15!$L$7</f>
        <v>0</v>
      </c>
      <c r="N12" s="19">
        <f>[17]Vendedor15!$J$8</f>
        <v>0</v>
      </c>
      <c r="O12" s="15">
        <f>[17]Vendedor15!$K$8</f>
        <v>0</v>
      </c>
      <c r="P12" s="17">
        <f>[17]Vendedor15!$L$8</f>
        <v>0</v>
      </c>
      <c r="Q12" s="19">
        <f>[17]Vendedor15!$J$10</f>
        <v>0</v>
      </c>
      <c r="R12" s="15">
        <f>[17]Vendedor15!$K$10</f>
        <v>0</v>
      </c>
      <c r="S12" s="17">
        <f>[17]Vendedor15!$L$10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hidden="1" x14ac:dyDescent="0.35">
      <c r="A13" s="13" t="s">
        <v>22</v>
      </c>
      <c r="B13" s="14">
        <f>[18]Vendedor15!$J$4</f>
        <v>0</v>
      </c>
      <c r="C13" s="81">
        <f>[18]Vendedor15!$K$4</f>
        <v>0</v>
      </c>
      <c r="D13" s="82">
        <f>[18]Vendedor15!$L$4</f>
        <v>0</v>
      </c>
      <c r="E13" s="14">
        <f>[18]Vendedor15!$J$5</f>
        <v>0</v>
      </c>
      <c r="F13" s="81">
        <f>[18]Vendedor15!$K$5</f>
        <v>0</v>
      </c>
      <c r="G13" s="85">
        <f>[18]Vendedor15!$L$5</f>
        <v>0</v>
      </c>
      <c r="H13" s="19">
        <f>[18]Vendedor15!$J$6</f>
        <v>0</v>
      </c>
      <c r="I13" s="15">
        <f>[18]Vendedor15!$K$6</f>
        <v>0</v>
      </c>
      <c r="J13" s="17">
        <f>[18]Vendedor15!$L$6</f>
        <v>0</v>
      </c>
      <c r="K13" s="18">
        <f>[18]Vendedor15!$J$7</f>
        <v>0</v>
      </c>
      <c r="L13" s="15">
        <f>[18]Vendedor15!$K$7</f>
        <v>0</v>
      </c>
      <c r="M13" s="16">
        <f>[18]Vendedor15!$L$7</f>
        <v>0</v>
      </c>
      <c r="N13" s="19">
        <f>[18]Vendedor15!$J$8</f>
        <v>0</v>
      </c>
      <c r="O13" s="15">
        <f>[18]Vendedor15!$K$8</f>
        <v>0</v>
      </c>
      <c r="P13" s="17">
        <f>[18]Vendedor15!$L$8</f>
        <v>0</v>
      </c>
      <c r="Q13" s="19">
        <f>[18]Vendedor15!$J$10</f>
        <v>0</v>
      </c>
      <c r="R13" s="15">
        <f>[18]Vendedor15!$K$10</f>
        <v>0</v>
      </c>
      <c r="S13" s="17">
        <f>[18]Vendedor15!$L$10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hidden="1" x14ac:dyDescent="0.35">
      <c r="A14" s="20" t="s">
        <v>23</v>
      </c>
      <c r="B14" s="14">
        <f>[19]Vendedor15!$J$4</f>
        <v>0</v>
      </c>
      <c r="C14" s="81">
        <f>[19]Vendedor15!$K$4</f>
        <v>0</v>
      </c>
      <c r="D14" s="82">
        <f>[19]Vendedor15!$L$4</f>
        <v>0</v>
      </c>
      <c r="E14" s="14">
        <f>[19]Vendedor15!$J$5</f>
        <v>0</v>
      </c>
      <c r="F14" s="81">
        <f>[19]Vendedor15!$K$5</f>
        <v>0</v>
      </c>
      <c r="G14" s="85">
        <f>[19]Vendedor15!$L$5</f>
        <v>0</v>
      </c>
      <c r="H14" s="19">
        <f>[19]Vendedor15!$J$6</f>
        <v>0</v>
      </c>
      <c r="I14" s="15">
        <f>[19]Vendedor15!$K$6</f>
        <v>0</v>
      </c>
      <c r="J14" s="17">
        <f>[19]Vendedor15!$L$6</f>
        <v>0</v>
      </c>
      <c r="K14" s="18">
        <f>[19]Vendedor15!$J$7</f>
        <v>0</v>
      </c>
      <c r="L14" s="15">
        <f>[19]Vendedor15!$K$7</f>
        <v>0</v>
      </c>
      <c r="M14" s="16">
        <f>[19]Vendedor15!$L$7</f>
        <v>0</v>
      </c>
      <c r="N14" s="19">
        <f>[19]Vendedor15!$J$8</f>
        <v>0</v>
      </c>
      <c r="O14" s="15">
        <f>[19]Vendedor15!$K$8</f>
        <v>0</v>
      </c>
      <c r="P14" s="17">
        <f>[19]Vendedor15!$L$8</f>
        <v>0</v>
      </c>
      <c r="Q14" s="19">
        <f>[19]Vendedor15!$J$10</f>
        <v>0</v>
      </c>
      <c r="R14" s="15">
        <f>[19]Vendedor15!$K$10</f>
        <v>0</v>
      </c>
      <c r="S14" s="17">
        <f>[19]Vendedor15!$L$10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hidden="1" x14ac:dyDescent="0.35">
      <c r="A15" s="13" t="s">
        <v>24</v>
      </c>
      <c r="B15" s="14">
        <f>[20]Vendedor15!$J$4</f>
        <v>0</v>
      </c>
      <c r="C15" s="81">
        <f>[20]Vendedor15!$K$4</f>
        <v>0</v>
      </c>
      <c r="D15" s="82">
        <f>[20]Vendedor15!$L$4</f>
        <v>0</v>
      </c>
      <c r="E15" s="14">
        <f>[20]Vendedor15!$J$5</f>
        <v>0</v>
      </c>
      <c r="F15" s="81">
        <f>[20]Vendedor15!$K$5</f>
        <v>0</v>
      </c>
      <c r="G15" s="85">
        <f>[20]Vendedor15!$L$5</f>
        <v>0</v>
      </c>
      <c r="H15" s="19">
        <f>[20]Vendedor15!$J$6</f>
        <v>0</v>
      </c>
      <c r="I15" s="15">
        <f>[20]Vendedor15!$K$6</f>
        <v>0</v>
      </c>
      <c r="J15" s="17">
        <f>[20]Vendedor15!$L$6</f>
        <v>0</v>
      </c>
      <c r="K15" s="18">
        <f>[20]Vendedor15!$J$7</f>
        <v>0</v>
      </c>
      <c r="L15" s="15">
        <f>[20]Vendedor15!$K$7</f>
        <v>0</v>
      </c>
      <c r="M15" s="16">
        <f>[20]Vendedor15!$L$7</f>
        <v>0</v>
      </c>
      <c r="N15" s="19">
        <f>[20]Vendedor15!$J$8</f>
        <v>0</v>
      </c>
      <c r="O15" s="15">
        <f>[20]Vendedor15!$K$8</f>
        <v>0</v>
      </c>
      <c r="P15" s="17">
        <f>[20]Vendedor15!$L$8</f>
        <v>0</v>
      </c>
      <c r="Q15" s="19">
        <f>[20]Vendedor15!$J$10</f>
        <v>0</v>
      </c>
      <c r="R15" s="15">
        <f>[20]Vendedor15!$K$10</f>
        <v>0</v>
      </c>
      <c r="S15" s="17">
        <f>[20]Vendedor15!$L$10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hidden="1" x14ac:dyDescent="0.35">
      <c r="A16" s="20" t="s">
        <v>25</v>
      </c>
      <c r="B16" s="14">
        <f>[21]Vendedor15!$J$4</f>
        <v>0</v>
      </c>
      <c r="C16" s="81">
        <f>[21]Vendedor15!$K$4</f>
        <v>0</v>
      </c>
      <c r="D16" s="82">
        <f>[21]Vendedor15!$L$4</f>
        <v>0</v>
      </c>
      <c r="E16" s="14">
        <f>[21]Vendedor15!$J$5</f>
        <v>0</v>
      </c>
      <c r="F16" s="81">
        <f>[21]Vendedor15!$K$5</f>
        <v>0</v>
      </c>
      <c r="G16" s="85">
        <f>[21]Vendedor15!$L$5</f>
        <v>0</v>
      </c>
      <c r="H16" s="19">
        <f>[21]Vendedor15!$J$6</f>
        <v>0</v>
      </c>
      <c r="I16" s="15">
        <f>[21]Vendedor15!$K$6</f>
        <v>0</v>
      </c>
      <c r="J16" s="17">
        <f>[21]Vendedor15!$L$6</f>
        <v>0</v>
      </c>
      <c r="K16" s="18">
        <f>[21]Vendedor15!$J$7</f>
        <v>0</v>
      </c>
      <c r="L16" s="15">
        <f>[21]Vendedor15!$K$7</f>
        <v>0</v>
      </c>
      <c r="M16" s="16">
        <f>[21]Vendedor15!$L$7</f>
        <v>0</v>
      </c>
      <c r="N16" s="19">
        <f>[21]Vendedor15!$J$8</f>
        <v>0</v>
      </c>
      <c r="O16" s="15">
        <f>[21]Vendedor15!$K$8</f>
        <v>0</v>
      </c>
      <c r="P16" s="17">
        <f>[21]Vendedor15!$L$8</f>
        <v>0</v>
      </c>
      <c r="Q16" s="19">
        <f>[21]Vendedor15!$J$10</f>
        <v>0</v>
      </c>
      <c r="R16" s="15">
        <f>[21]Vendedor15!$K$10</f>
        <v>0</v>
      </c>
      <c r="S16" s="17">
        <f>[21]Vendedor15!$L$10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hidden="1" x14ac:dyDescent="0.35">
      <c r="A17" s="13" t="s">
        <v>26</v>
      </c>
      <c r="B17" s="14">
        <f>[22]Vendedor15!$J$4</f>
        <v>0</v>
      </c>
      <c r="C17" s="81">
        <f>[22]Vendedor15!$K$4</f>
        <v>0</v>
      </c>
      <c r="D17" s="82">
        <f>[22]Vendedor15!$L$4</f>
        <v>0</v>
      </c>
      <c r="E17" s="14">
        <f>[22]Vendedor15!$J$5</f>
        <v>0</v>
      </c>
      <c r="F17" s="81">
        <f>[22]Vendedor15!$K$5</f>
        <v>0</v>
      </c>
      <c r="G17" s="85">
        <f>[22]Vendedor15!$L$5</f>
        <v>0</v>
      </c>
      <c r="H17" s="19">
        <f>[22]Vendedor15!$J$6</f>
        <v>0</v>
      </c>
      <c r="I17" s="15">
        <f>[22]Vendedor15!$K$6</f>
        <v>0</v>
      </c>
      <c r="J17" s="17">
        <f>[22]Vendedor15!$L$6</f>
        <v>0</v>
      </c>
      <c r="K17" s="18">
        <f>[22]Vendedor15!$J$7</f>
        <v>0</v>
      </c>
      <c r="L17" s="15">
        <f>[22]Vendedor15!$K$7</f>
        <v>0</v>
      </c>
      <c r="M17" s="16">
        <f>[22]Vendedor15!$L$7</f>
        <v>0</v>
      </c>
      <c r="N17" s="19">
        <f>[22]Vendedor15!$J$8</f>
        <v>0</v>
      </c>
      <c r="O17" s="15">
        <f>[22]Vendedor15!$K$8</f>
        <v>0</v>
      </c>
      <c r="P17" s="17">
        <f>[22]Vendedor15!$L$8</f>
        <v>0</v>
      </c>
      <c r="Q17" s="19">
        <f>[22]Vendedor15!$J$10</f>
        <v>0</v>
      </c>
      <c r="R17" s="15">
        <f>[22]Vendedor15!$K$10</f>
        <v>0</v>
      </c>
      <c r="S17" s="17">
        <f>[22]Vendedor15!$L$10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hidden="1" x14ac:dyDescent="0.35">
      <c r="A18" s="20" t="s">
        <v>27</v>
      </c>
      <c r="B18" s="14">
        <f>[23]Vendedor15!$J$4</f>
        <v>0</v>
      </c>
      <c r="C18" s="81">
        <f>[23]Vendedor15!$K$4</f>
        <v>0</v>
      </c>
      <c r="D18" s="82">
        <f>[23]Vendedor15!$L$4</f>
        <v>0</v>
      </c>
      <c r="E18" s="14">
        <f>[23]Vendedor15!$J$5</f>
        <v>0</v>
      </c>
      <c r="F18" s="81">
        <f>[23]Vendedor15!$K$5</f>
        <v>0</v>
      </c>
      <c r="G18" s="85">
        <f>[23]Vendedor15!$L$5</f>
        <v>0</v>
      </c>
      <c r="H18" s="19">
        <f>[23]Vendedor15!$J$6</f>
        <v>0</v>
      </c>
      <c r="I18" s="15">
        <f>[23]Vendedor15!$K$6</f>
        <v>0</v>
      </c>
      <c r="J18" s="17">
        <f>[23]Vendedor15!$L$6</f>
        <v>0</v>
      </c>
      <c r="K18" s="18">
        <f>[23]Vendedor15!$J$7</f>
        <v>0</v>
      </c>
      <c r="L18" s="15">
        <f>[23]Vendedor15!$K$7</f>
        <v>0</v>
      </c>
      <c r="M18" s="16">
        <f>[23]Vendedor15!$L$7</f>
        <v>0</v>
      </c>
      <c r="N18" s="19">
        <f>[23]Vendedor15!$J$8</f>
        <v>0</v>
      </c>
      <c r="O18" s="15">
        <f>[23]Vendedor15!$K$8</f>
        <v>0</v>
      </c>
      <c r="P18" s="17">
        <f>[23]Vendedor15!$L$8</f>
        <v>0</v>
      </c>
      <c r="Q18" s="19">
        <f>[23]Vendedor15!$J$10</f>
        <v>0</v>
      </c>
      <c r="R18" s="15">
        <f>[23]Vendedor15!$K$10</f>
        <v>0</v>
      </c>
      <c r="S18" s="17">
        <f>[23]Vendedor15!$L$10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hidden="1" x14ac:dyDescent="0.35">
      <c r="A19" s="20" t="s">
        <v>28</v>
      </c>
      <c r="B19" s="14">
        <f>[24]Vendedor15!$J$4</f>
        <v>0</v>
      </c>
      <c r="C19" s="81">
        <f>[24]Vendedor15!$K$4</f>
        <v>0</v>
      </c>
      <c r="D19" s="82">
        <f>[24]Vendedor15!$L$4</f>
        <v>0</v>
      </c>
      <c r="E19" s="14">
        <f>[24]Vendedor15!$J$5</f>
        <v>0</v>
      </c>
      <c r="F19" s="81">
        <f>[24]Vendedor15!$K$5</f>
        <v>0</v>
      </c>
      <c r="G19" s="85">
        <f>[24]Vendedor15!$L$5</f>
        <v>0</v>
      </c>
      <c r="H19" s="19">
        <f>[24]Vendedor15!$J$6</f>
        <v>0</v>
      </c>
      <c r="I19" s="15">
        <f>[24]Vendedor15!$K$6</f>
        <v>0</v>
      </c>
      <c r="J19" s="17">
        <f>[24]Vendedor15!$L$6</f>
        <v>0</v>
      </c>
      <c r="K19" s="18">
        <f>[24]Vendedor15!$J$7</f>
        <v>0</v>
      </c>
      <c r="L19" s="15">
        <f>[24]Vendedor15!$K$7</f>
        <v>0</v>
      </c>
      <c r="M19" s="16">
        <f>[24]Vendedor15!$L$7</f>
        <v>0</v>
      </c>
      <c r="N19" s="19">
        <f>[24]Vendedor15!$J$8</f>
        <v>0</v>
      </c>
      <c r="O19" s="15">
        <f>[24]Vendedor15!$K$8</f>
        <v>0</v>
      </c>
      <c r="P19" s="17">
        <f>[24]Vendedor15!$L$8</f>
        <v>0</v>
      </c>
      <c r="Q19" s="19">
        <f>[24]Vendedor15!$J$10</f>
        <v>0</v>
      </c>
      <c r="R19" s="15">
        <f>[24]Vendedor15!$K$10</f>
        <v>0</v>
      </c>
      <c r="S19" s="17">
        <f>[24]Vendedor15!$L$10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hidden="1" x14ac:dyDescent="0.35">
      <c r="A20" s="13" t="s">
        <v>29</v>
      </c>
      <c r="B20" s="14">
        <f>[25]Vendedor15!$J$4</f>
        <v>0</v>
      </c>
      <c r="C20" s="81">
        <f>[25]Vendedor15!$K$4</f>
        <v>0</v>
      </c>
      <c r="D20" s="82">
        <f>[25]Vendedor15!$L$4</f>
        <v>0</v>
      </c>
      <c r="E20" s="14">
        <f>[25]Vendedor15!$J$5</f>
        <v>0</v>
      </c>
      <c r="F20" s="81">
        <f>[25]Vendedor15!$K$5</f>
        <v>0</v>
      </c>
      <c r="G20" s="85">
        <f>[25]Vendedor15!$L$5</f>
        <v>0</v>
      </c>
      <c r="H20" s="19">
        <f>[25]Vendedor15!$J$6</f>
        <v>0</v>
      </c>
      <c r="I20" s="15">
        <f>[25]Vendedor15!$K$6</f>
        <v>0</v>
      </c>
      <c r="J20" s="17">
        <f>[25]Vendedor15!$L$6</f>
        <v>0</v>
      </c>
      <c r="K20" s="18">
        <f>[25]Vendedor15!$J$7</f>
        <v>0</v>
      </c>
      <c r="L20" s="15">
        <f>[25]Vendedor15!$K$7</f>
        <v>0</v>
      </c>
      <c r="M20" s="16">
        <f>[25]Vendedor15!$L$7</f>
        <v>0</v>
      </c>
      <c r="N20" s="19">
        <f>[25]Vendedor15!$J$8</f>
        <v>0</v>
      </c>
      <c r="O20" s="15">
        <f>[25]Vendedor15!$K$8</f>
        <v>0</v>
      </c>
      <c r="P20" s="17">
        <f>[25]Vendedor15!$L$8</f>
        <v>0</v>
      </c>
      <c r="Q20" s="19">
        <f>[25]Vendedor15!$J$10</f>
        <v>0</v>
      </c>
      <c r="R20" s="15">
        <f>[25]Vendedor15!$K$10</f>
        <v>0</v>
      </c>
      <c r="S20" s="17">
        <f>[25]Vendedor15!$L$10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hidden="1" x14ac:dyDescent="0.35">
      <c r="A21" s="20" t="s">
        <v>30</v>
      </c>
      <c r="B21" s="14">
        <f>[26]Vendedor15!$J$4</f>
        <v>0</v>
      </c>
      <c r="C21" s="81">
        <f>[26]Vendedor15!$K$4</f>
        <v>0</v>
      </c>
      <c r="D21" s="82">
        <f>[26]Vendedor15!$L$4</f>
        <v>0</v>
      </c>
      <c r="E21" s="14">
        <f>[26]Vendedor15!$J$5</f>
        <v>0</v>
      </c>
      <c r="F21" s="81">
        <f>[26]Vendedor15!$K$5</f>
        <v>0</v>
      </c>
      <c r="G21" s="85">
        <f>[26]Vendedor15!$L$5</f>
        <v>0</v>
      </c>
      <c r="H21" s="19">
        <f>[26]Vendedor15!$J$6</f>
        <v>0</v>
      </c>
      <c r="I21" s="15">
        <f>[26]Vendedor15!$K$6</f>
        <v>0</v>
      </c>
      <c r="J21" s="17">
        <f>[26]Vendedor15!$L$6</f>
        <v>0</v>
      </c>
      <c r="K21" s="18">
        <f>[26]Vendedor15!$J$7</f>
        <v>0</v>
      </c>
      <c r="L21" s="15">
        <f>[26]Vendedor15!$K$7</f>
        <v>0</v>
      </c>
      <c r="M21" s="16">
        <f>[26]Vendedor15!$L$7</f>
        <v>0</v>
      </c>
      <c r="N21" s="19">
        <f>[26]Vendedor15!$J$8</f>
        <v>0</v>
      </c>
      <c r="O21" s="15">
        <f>[26]Vendedor15!$K$8</f>
        <v>0</v>
      </c>
      <c r="P21" s="17">
        <f>[26]Vendedor15!$L$8</f>
        <v>0</v>
      </c>
      <c r="Q21" s="19">
        <f>[26]Vendedor15!$J$10</f>
        <v>0</v>
      </c>
      <c r="R21" s="15">
        <f>[26]Vendedor15!$K$10</f>
        <v>0</v>
      </c>
      <c r="S21" s="17">
        <f>[26]Vendedor15!$L$10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hidden="1" x14ac:dyDescent="0.35">
      <c r="A22" s="13" t="s">
        <v>31</v>
      </c>
      <c r="B22" s="14">
        <f>[27]Vendedor15!$J$4</f>
        <v>0</v>
      </c>
      <c r="C22" s="81">
        <f>[27]Vendedor15!$K$4</f>
        <v>0</v>
      </c>
      <c r="D22" s="82">
        <f>[27]Vendedor15!$L$4</f>
        <v>0</v>
      </c>
      <c r="E22" s="14">
        <f>[27]Vendedor15!$J$5</f>
        <v>0</v>
      </c>
      <c r="F22" s="81">
        <f>[27]Vendedor15!$K$5</f>
        <v>0</v>
      </c>
      <c r="G22" s="85">
        <f>[27]Vendedor15!$L$5</f>
        <v>0</v>
      </c>
      <c r="H22" s="19">
        <f>[27]Vendedor15!$J$6</f>
        <v>0</v>
      </c>
      <c r="I22" s="15">
        <f>[27]Vendedor15!$K$6</f>
        <v>0</v>
      </c>
      <c r="J22" s="17">
        <f>[27]Vendedor15!$L$6</f>
        <v>0</v>
      </c>
      <c r="K22" s="18">
        <f>[27]Vendedor15!$J$7</f>
        <v>0</v>
      </c>
      <c r="L22" s="15">
        <f>[27]Vendedor15!$K$7</f>
        <v>0</v>
      </c>
      <c r="M22" s="16">
        <f>[27]Vendedor15!$L$7</f>
        <v>0</v>
      </c>
      <c r="N22" s="19">
        <f>[27]Vendedor15!$J$8</f>
        <v>0</v>
      </c>
      <c r="O22" s="15">
        <f>[27]Vendedor15!$K$8</f>
        <v>0</v>
      </c>
      <c r="P22" s="17">
        <f>[27]Vendedor15!$L$8</f>
        <v>0</v>
      </c>
      <c r="Q22" s="19">
        <f>[27]Vendedor15!$J$10</f>
        <v>0</v>
      </c>
      <c r="R22" s="15">
        <f>[27]Vendedor15!$K$10</f>
        <v>0</v>
      </c>
      <c r="S22" s="17">
        <f>[27]Vendedor15!$L$10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hidden="1" x14ac:dyDescent="0.35">
      <c r="A23" s="20" t="s">
        <v>32</v>
      </c>
      <c r="B23" s="14">
        <f>[28]Vendedor15!$J$4</f>
        <v>0</v>
      </c>
      <c r="C23" s="81">
        <f>[28]Vendedor15!$K$4</f>
        <v>0</v>
      </c>
      <c r="D23" s="82">
        <f>[28]Vendedor15!$L$4</f>
        <v>0</v>
      </c>
      <c r="E23" s="14">
        <f>[28]Vendedor15!$J$5</f>
        <v>0</v>
      </c>
      <c r="F23" s="81">
        <f>[28]Vendedor15!$K$5</f>
        <v>0</v>
      </c>
      <c r="G23" s="85">
        <f>[28]Vendedor15!$L$5</f>
        <v>0</v>
      </c>
      <c r="H23" s="19">
        <f>[28]Vendedor15!$J$6</f>
        <v>0</v>
      </c>
      <c r="I23" s="15">
        <f>[28]Vendedor15!$K$6</f>
        <v>0</v>
      </c>
      <c r="J23" s="17">
        <f>[28]Vendedor15!$L$6</f>
        <v>0</v>
      </c>
      <c r="K23" s="18">
        <f>[28]Vendedor15!$J$7</f>
        <v>0</v>
      </c>
      <c r="L23" s="15">
        <f>[28]Vendedor15!$K$7</f>
        <v>0</v>
      </c>
      <c r="M23" s="16">
        <f>[28]Vendedor15!$L$7</f>
        <v>0</v>
      </c>
      <c r="N23" s="19">
        <f>[28]Vendedor15!$J$8</f>
        <v>0</v>
      </c>
      <c r="O23" s="15">
        <f>[28]Vendedor15!$K$8</f>
        <v>0</v>
      </c>
      <c r="P23" s="17">
        <f>[28]Vendedor15!$L$8</f>
        <v>0</v>
      </c>
      <c r="Q23" s="19">
        <f>[28]Vendedor15!$J$10</f>
        <v>0</v>
      </c>
      <c r="R23" s="15">
        <f>[28]Vendedor15!$K$10</f>
        <v>0</v>
      </c>
      <c r="S23" s="17">
        <f>[28]Vendedor15!$L$10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hidden="1" x14ac:dyDescent="0.35">
      <c r="A24" s="13" t="s">
        <v>33</v>
      </c>
      <c r="B24" s="14">
        <f>[29]Vendedor15!$J$4</f>
        <v>0</v>
      </c>
      <c r="C24" s="81">
        <f>[29]Vendedor15!$K$4</f>
        <v>0</v>
      </c>
      <c r="D24" s="82">
        <f>[29]Vendedor15!$L$4</f>
        <v>0</v>
      </c>
      <c r="E24" s="14">
        <f>[29]Vendedor15!$J$5</f>
        <v>0</v>
      </c>
      <c r="F24" s="81">
        <f>[29]Vendedor15!$K$5</f>
        <v>0</v>
      </c>
      <c r="G24" s="85">
        <f>[29]Vendedor15!$L$5</f>
        <v>0</v>
      </c>
      <c r="H24" s="19">
        <f>[29]Vendedor15!$J$6</f>
        <v>0</v>
      </c>
      <c r="I24" s="15">
        <f>[29]Vendedor15!$K$6</f>
        <v>0</v>
      </c>
      <c r="J24" s="17">
        <f>[29]Vendedor15!$L$6</f>
        <v>0</v>
      </c>
      <c r="K24" s="18">
        <f>[29]Vendedor15!$J$7</f>
        <v>0</v>
      </c>
      <c r="L24" s="15">
        <f>[29]Vendedor15!$K$7</f>
        <v>0</v>
      </c>
      <c r="M24" s="16">
        <f>[29]Vendedor15!$L$7</f>
        <v>0</v>
      </c>
      <c r="N24" s="19">
        <f>[29]Vendedor15!$J$8</f>
        <v>0</v>
      </c>
      <c r="O24" s="15">
        <f>[29]Vendedor15!$K$8</f>
        <v>0</v>
      </c>
      <c r="P24" s="17">
        <f>[29]Vendedor15!$L$8</f>
        <v>0</v>
      </c>
      <c r="Q24" s="19">
        <f>[29]Vendedor15!$J$10</f>
        <v>0</v>
      </c>
      <c r="R24" s="15">
        <f>[29]Vendedor15!$K$10</f>
        <v>0</v>
      </c>
      <c r="S24" s="17">
        <f>[29]Vendedor15!$L$10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hidden="1" x14ac:dyDescent="0.35">
      <c r="A25" s="20" t="s">
        <v>34</v>
      </c>
      <c r="B25" s="14">
        <f>[30]Vendedor15!$J$4</f>
        <v>0</v>
      </c>
      <c r="C25" s="81">
        <f>[30]Vendedor15!$K$4</f>
        <v>0</v>
      </c>
      <c r="D25" s="82">
        <f>[30]Vendedor15!$L$4</f>
        <v>0</v>
      </c>
      <c r="E25" s="14">
        <f>[30]Vendedor15!$J$5</f>
        <v>0</v>
      </c>
      <c r="F25" s="81">
        <f>[30]Vendedor15!$K$5</f>
        <v>0</v>
      </c>
      <c r="G25" s="85">
        <f>[30]Vendedor15!$L$5</f>
        <v>0</v>
      </c>
      <c r="H25" s="19">
        <f>[30]Vendedor15!$J$6</f>
        <v>0</v>
      </c>
      <c r="I25" s="15">
        <f>[30]Vendedor15!$K$6</f>
        <v>0</v>
      </c>
      <c r="J25" s="17">
        <f>[30]Vendedor15!$L$6</f>
        <v>0</v>
      </c>
      <c r="K25" s="18">
        <f>[30]Vendedor15!$J$7</f>
        <v>0</v>
      </c>
      <c r="L25" s="15">
        <f>[30]Vendedor15!$K$7</f>
        <v>0</v>
      </c>
      <c r="M25" s="16">
        <f>[30]Vendedor15!$L$7</f>
        <v>0</v>
      </c>
      <c r="N25" s="19">
        <f>[30]Vendedor15!$J$8</f>
        <v>0</v>
      </c>
      <c r="O25" s="15">
        <f>[30]Vendedor15!$K$8</f>
        <v>0</v>
      </c>
      <c r="P25" s="17">
        <f>[30]Vendedor15!$L$8</f>
        <v>0</v>
      </c>
      <c r="Q25" s="19">
        <f>[30]Vendedor15!$J$10</f>
        <v>0</v>
      </c>
      <c r="R25" s="15">
        <f>[30]Vendedor15!$K$10</f>
        <v>0</v>
      </c>
      <c r="S25" s="17">
        <f>[30]Vendedor15!$L$10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hidden="1" x14ac:dyDescent="0.35">
      <c r="A26" s="13" t="s">
        <v>35</v>
      </c>
      <c r="B26" s="14">
        <f>[31]Vendedor15!$J$4</f>
        <v>0</v>
      </c>
      <c r="C26" s="81">
        <f>[31]Vendedor15!$K$4</f>
        <v>0</v>
      </c>
      <c r="D26" s="82">
        <f>[31]Vendedor15!$L$4</f>
        <v>0</v>
      </c>
      <c r="E26" s="14">
        <f>[31]Vendedor15!$J$5</f>
        <v>0</v>
      </c>
      <c r="F26" s="81">
        <f>[31]Vendedor15!$K$5</f>
        <v>0</v>
      </c>
      <c r="G26" s="85">
        <f>[31]Vendedor15!$L$5</f>
        <v>0</v>
      </c>
      <c r="H26" s="19">
        <f>[31]Vendedor15!$J$6</f>
        <v>0</v>
      </c>
      <c r="I26" s="15">
        <f>[31]Vendedor15!$K$6</f>
        <v>0</v>
      </c>
      <c r="J26" s="17">
        <f>[31]Vendedor15!$L$6</f>
        <v>0</v>
      </c>
      <c r="K26" s="18">
        <f>[31]Vendedor15!$J$7</f>
        <v>0</v>
      </c>
      <c r="L26" s="15">
        <f>[31]Vendedor15!$K$7</f>
        <v>0</v>
      </c>
      <c r="M26" s="16">
        <f>[31]Vendedor15!$L$7</f>
        <v>0</v>
      </c>
      <c r="N26" s="19">
        <f>[31]Vendedor15!$J$8</f>
        <v>0</v>
      </c>
      <c r="O26" s="15">
        <f>[31]Vendedor15!$K$8</f>
        <v>0</v>
      </c>
      <c r="P26" s="17">
        <f>[31]Vendedor15!$L$8</f>
        <v>0</v>
      </c>
      <c r="Q26" s="19">
        <f>[31]Vendedor15!$J$10</f>
        <v>0</v>
      </c>
      <c r="R26" s="15">
        <f>[31]Vendedor15!$K$10</f>
        <v>0</v>
      </c>
      <c r="S26" s="17">
        <f>[31]Vendedor15!$L$10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hidden="1" x14ac:dyDescent="0.35">
      <c r="A27" s="20" t="s">
        <v>36</v>
      </c>
      <c r="B27" s="14">
        <f>[1]Vendedor15!$J$4</f>
        <v>0</v>
      </c>
      <c r="C27" s="81">
        <f>[1]Vendedor15!$K$4</f>
        <v>0</v>
      </c>
      <c r="D27" s="82">
        <f>[1]Vendedor15!$L$4</f>
        <v>0</v>
      </c>
      <c r="E27" s="14">
        <f>[1]Vendedor15!$J$5</f>
        <v>0</v>
      </c>
      <c r="F27" s="81">
        <f>[1]Vendedor15!$K$5</f>
        <v>0</v>
      </c>
      <c r="G27" s="85">
        <f>[1]Vendedor15!$L$5</f>
        <v>0</v>
      </c>
      <c r="H27" s="19">
        <f>[1]Vendedor15!$J$6</f>
        <v>0</v>
      </c>
      <c r="I27" s="15">
        <f>[1]Vendedor15!$K$6</f>
        <v>0</v>
      </c>
      <c r="J27" s="17">
        <f>[1]Vendedor15!$L$6</f>
        <v>0</v>
      </c>
      <c r="K27" s="18">
        <f>[1]Vendedor15!$J$7</f>
        <v>0</v>
      </c>
      <c r="L27" s="15">
        <f>[1]Vendedor15!$K$7</f>
        <v>0</v>
      </c>
      <c r="M27" s="16">
        <f>[1]Vendedor15!$L$7</f>
        <v>0</v>
      </c>
      <c r="N27" s="19">
        <f>[1]Vendedor15!$J$8</f>
        <v>0</v>
      </c>
      <c r="O27" s="15">
        <f>[1]Vendedor15!$K$8</f>
        <v>0</v>
      </c>
      <c r="P27" s="17">
        <f>[1]Vendedor15!$L$8</f>
        <v>0</v>
      </c>
      <c r="Q27" s="19">
        <f>[1]Vendedor15!$J$10</f>
        <v>0</v>
      </c>
      <c r="R27" s="15">
        <f>[1]Vendedor15!$K$10</f>
        <v>0</v>
      </c>
      <c r="S27" s="17">
        <f>[1]Vendedor15!$L$10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hidden="1" x14ac:dyDescent="0.35">
      <c r="A28" s="13" t="s">
        <v>37</v>
      </c>
      <c r="B28" s="14">
        <f>[2]Vendedor15!$J$4</f>
        <v>0</v>
      </c>
      <c r="C28" s="81">
        <f>[2]Vendedor15!$K$4</f>
        <v>0</v>
      </c>
      <c r="D28" s="82">
        <f>[2]Vendedor15!$L$4</f>
        <v>0</v>
      </c>
      <c r="E28" s="14">
        <f>[2]Vendedor15!$J$5</f>
        <v>0</v>
      </c>
      <c r="F28" s="81">
        <f>[2]Vendedor15!$K$5</f>
        <v>0</v>
      </c>
      <c r="G28" s="85">
        <f>[2]Vendedor15!$L$5</f>
        <v>0</v>
      </c>
      <c r="H28" s="19">
        <f>[2]Vendedor15!$J$6</f>
        <v>0</v>
      </c>
      <c r="I28" s="15">
        <f>[2]Vendedor15!$K$6</f>
        <v>0</v>
      </c>
      <c r="J28" s="17">
        <f>[2]Vendedor15!$L$6</f>
        <v>0</v>
      </c>
      <c r="K28" s="18">
        <f>[2]Vendedor15!$J$7</f>
        <v>0</v>
      </c>
      <c r="L28" s="15">
        <f>[2]Vendedor15!$K$7</f>
        <v>0</v>
      </c>
      <c r="M28" s="16">
        <f>[2]Vendedor15!$L$7</f>
        <v>0</v>
      </c>
      <c r="N28" s="19">
        <f>[2]Vendedor15!$J$8</f>
        <v>0</v>
      </c>
      <c r="O28" s="15">
        <f>[2]Vendedor15!$K$8</f>
        <v>0</v>
      </c>
      <c r="P28" s="17">
        <f>[2]Vendedor15!$L$8</f>
        <v>0</v>
      </c>
      <c r="Q28" s="19">
        <f>[2]Vendedor15!$J$10</f>
        <v>0</v>
      </c>
      <c r="R28" s="15">
        <f>[2]Vendedor15!$K$10</f>
        <v>0</v>
      </c>
      <c r="S28" s="17">
        <f>[2]Vendedor15!$L$10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hidden="1" x14ac:dyDescent="0.35">
      <c r="A29" s="20" t="s">
        <v>38</v>
      </c>
      <c r="B29" s="14">
        <f>[3]Vendedor15!$J$4</f>
        <v>0</v>
      </c>
      <c r="C29" s="81">
        <f>[3]Vendedor15!$K$4</f>
        <v>0</v>
      </c>
      <c r="D29" s="82">
        <f>[3]Vendedor15!$L$4</f>
        <v>0</v>
      </c>
      <c r="E29" s="14">
        <f>[3]Vendedor15!$J$5</f>
        <v>0</v>
      </c>
      <c r="F29" s="81">
        <f>[3]Vendedor15!$K$5</f>
        <v>0</v>
      </c>
      <c r="G29" s="85">
        <f>[3]Vendedor15!$L$5</f>
        <v>0</v>
      </c>
      <c r="H29" s="19">
        <f>[3]Vendedor15!$J$6</f>
        <v>0</v>
      </c>
      <c r="I29" s="15">
        <f>[3]Vendedor15!$K$6</f>
        <v>0</v>
      </c>
      <c r="J29" s="17">
        <f>[3]Vendedor15!$L$6</f>
        <v>0</v>
      </c>
      <c r="K29" s="18">
        <f>[3]Vendedor15!$J$7</f>
        <v>0</v>
      </c>
      <c r="L29" s="15">
        <f>[3]Vendedor15!$K$7</f>
        <v>0</v>
      </c>
      <c r="M29" s="16">
        <f>[3]Vendedor15!$L$7</f>
        <v>0</v>
      </c>
      <c r="N29" s="19">
        <f>[3]Vendedor15!$J$8</f>
        <v>0</v>
      </c>
      <c r="O29" s="15">
        <f>[3]Vendedor15!$K$8</f>
        <v>0</v>
      </c>
      <c r="P29" s="17">
        <f>[3]Vendedor15!$L$8</f>
        <v>0</v>
      </c>
      <c r="Q29" s="19">
        <f>[3]Vendedor15!$J$10</f>
        <v>0</v>
      </c>
      <c r="R29" s="15">
        <f>[3]Vendedor15!$K$10</f>
        <v>0</v>
      </c>
      <c r="S29" s="17">
        <f>[3]Vendedor15!$L$10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hidden="1" x14ac:dyDescent="0.35">
      <c r="A30" s="13" t="s">
        <v>39</v>
      </c>
      <c r="B30" s="14">
        <f>[4]Vendedor15!$J$4</f>
        <v>0</v>
      </c>
      <c r="C30" s="81">
        <f>[4]Vendedor15!$K$4</f>
        <v>0</v>
      </c>
      <c r="D30" s="82">
        <f>[4]Vendedor15!$L$4</f>
        <v>0</v>
      </c>
      <c r="E30" s="14">
        <f>[4]Vendedor15!$J$5</f>
        <v>0</v>
      </c>
      <c r="F30" s="81">
        <f>[4]Vendedor15!$K$5</f>
        <v>0</v>
      </c>
      <c r="G30" s="85">
        <f>[4]Vendedor15!$L$5</f>
        <v>0</v>
      </c>
      <c r="H30" s="19">
        <f>[4]Vendedor15!$J$6</f>
        <v>0</v>
      </c>
      <c r="I30" s="15">
        <f>[4]Vendedor15!$K$6</f>
        <v>0</v>
      </c>
      <c r="J30" s="17">
        <f>[4]Vendedor15!$L$6</f>
        <v>0</v>
      </c>
      <c r="K30" s="18">
        <f>[4]Vendedor15!$J$7</f>
        <v>0</v>
      </c>
      <c r="L30" s="15">
        <f>[4]Vendedor15!$K$7</f>
        <v>0</v>
      </c>
      <c r="M30" s="16">
        <f>[4]Vendedor15!$L$7</f>
        <v>0</v>
      </c>
      <c r="N30" s="19">
        <f>[4]Vendedor15!$J$8</f>
        <v>0</v>
      </c>
      <c r="O30" s="15">
        <f>[4]Vendedor15!$K$8</f>
        <v>0</v>
      </c>
      <c r="P30" s="17">
        <f>[4]Vendedor15!$L$8</f>
        <v>0</v>
      </c>
      <c r="Q30" s="19">
        <f>[4]Vendedor15!$J$10</f>
        <v>0</v>
      </c>
      <c r="R30" s="15">
        <f>[4]Vendedor15!$K$10</f>
        <v>0</v>
      </c>
      <c r="S30" s="17">
        <f>[4]Vendedor15!$L$10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hidden="1" x14ac:dyDescent="0.35">
      <c r="A31" s="20" t="s">
        <v>40</v>
      </c>
      <c r="B31" s="14">
        <f>[5]Vendedor15!$J$4</f>
        <v>0</v>
      </c>
      <c r="C31" s="81">
        <f>[5]Vendedor15!$K$4</f>
        <v>0</v>
      </c>
      <c r="D31" s="82">
        <f>[5]Vendedor15!$L$4</f>
        <v>0</v>
      </c>
      <c r="E31" s="14">
        <f>[5]Vendedor15!$J$5</f>
        <v>0</v>
      </c>
      <c r="F31" s="81">
        <f>[5]Vendedor15!$K$5</f>
        <v>0</v>
      </c>
      <c r="G31" s="85">
        <f>[5]Vendedor15!$L$5</f>
        <v>0</v>
      </c>
      <c r="H31" s="19">
        <f>[5]Vendedor15!$J$6</f>
        <v>0</v>
      </c>
      <c r="I31" s="15">
        <f>[5]Vendedor15!$K$6</f>
        <v>0</v>
      </c>
      <c r="J31" s="17">
        <f>[5]Vendedor15!$L$6</f>
        <v>0</v>
      </c>
      <c r="K31" s="18">
        <f>[5]Vendedor15!$J$7</f>
        <v>0</v>
      </c>
      <c r="L31" s="15">
        <f>[5]Vendedor15!$K$7</f>
        <v>0</v>
      </c>
      <c r="M31" s="16">
        <f>[5]Vendedor15!$L$7</f>
        <v>0</v>
      </c>
      <c r="N31" s="19">
        <f>[5]Vendedor15!$J$8</f>
        <v>0</v>
      </c>
      <c r="O31" s="15">
        <f>[5]Vendedor15!$K$8</f>
        <v>0</v>
      </c>
      <c r="P31" s="17">
        <f>[5]Vendedor15!$L$8</f>
        <v>0</v>
      </c>
      <c r="Q31" s="19">
        <f>[5]Vendedor15!$J$10</f>
        <v>0</v>
      </c>
      <c r="R31" s="15">
        <f>[5]Vendedor15!$K$10</f>
        <v>0</v>
      </c>
      <c r="S31" s="17">
        <f>[5]Vendedor15!$L$10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hidden="1" x14ac:dyDescent="0.35">
      <c r="A32" s="20" t="s">
        <v>41</v>
      </c>
      <c r="B32" s="14">
        <f>[6]Vendedor15!$J$4</f>
        <v>0</v>
      </c>
      <c r="C32" s="81">
        <f>[6]Vendedor15!$K$4</f>
        <v>0</v>
      </c>
      <c r="D32" s="82">
        <f>[6]Vendedor15!$L$4</f>
        <v>0</v>
      </c>
      <c r="E32" s="14">
        <f>[6]Vendedor15!$J$5</f>
        <v>0</v>
      </c>
      <c r="F32" s="81">
        <f>[6]Vendedor15!$K$5</f>
        <v>0</v>
      </c>
      <c r="G32" s="85">
        <f>[6]Vendedor15!$L$5</f>
        <v>0</v>
      </c>
      <c r="H32" s="19">
        <f>[6]Vendedor15!$J$6</f>
        <v>0</v>
      </c>
      <c r="I32" s="15">
        <f>[6]Vendedor15!$K$6</f>
        <v>0</v>
      </c>
      <c r="J32" s="17">
        <f>[6]Vendedor15!$L$6</f>
        <v>0</v>
      </c>
      <c r="K32" s="18">
        <f>[6]Vendedor15!$J$7</f>
        <v>0</v>
      </c>
      <c r="L32" s="15">
        <f>[6]Vendedor15!$K$7</f>
        <v>0</v>
      </c>
      <c r="M32" s="16">
        <f>[6]Vendedor15!$L$7</f>
        <v>0</v>
      </c>
      <c r="N32" s="19">
        <f>[6]Vendedor15!$J$8</f>
        <v>0</v>
      </c>
      <c r="O32" s="15">
        <f>[6]Vendedor15!$K$8</f>
        <v>0</v>
      </c>
      <c r="P32" s="17">
        <f>[6]Vendedor15!$L$8</f>
        <v>0</v>
      </c>
      <c r="Q32" s="19">
        <f>[6]Vendedor15!$J$10</f>
        <v>0</v>
      </c>
      <c r="R32" s="15">
        <f>[6]Vendedor15!$K$10</f>
        <v>0</v>
      </c>
      <c r="S32" s="17">
        <f>[6]Vendedor15!$L$10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hidden="1" x14ac:dyDescent="0.35">
      <c r="A33" s="13" t="s">
        <v>42</v>
      </c>
      <c r="B33" s="14">
        <f>[7]Vendedor15!$J$4</f>
        <v>0</v>
      </c>
      <c r="C33" s="81">
        <f>[7]Vendedor15!$K$4</f>
        <v>0</v>
      </c>
      <c r="D33" s="82">
        <f>[7]Vendedor15!$L$4</f>
        <v>0</v>
      </c>
      <c r="E33" s="14">
        <f>[7]Vendedor15!$J$5</f>
        <v>0</v>
      </c>
      <c r="F33" s="81">
        <f>[7]Vendedor15!$K$5</f>
        <v>0</v>
      </c>
      <c r="G33" s="85">
        <f>[7]Vendedor15!$L$5</f>
        <v>0</v>
      </c>
      <c r="H33" s="19">
        <f>[7]Vendedor15!$J$6</f>
        <v>0</v>
      </c>
      <c r="I33" s="15">
        <f>[7]Vendedor15!$K$6</f>
        <v>0</v>
      </c>
      <c r="J33" s="17">
        <f>[7]Vendedor15!$L$6</f>
        <v>0</v>
      </c>
      <c r="K33" s="18">
        <f>[7]Vendedor15!$J$7</f>
        <v>0</v>
      </c>
      <c r="L33" s="15">
        <f>[7]Vendedor15!$K$7</f>
        <v>0</v>
      </c>
      <c r="M33" s="16">
        <f>[7]Vendedor15!$L$7</f>
        <v>0</v>
      </c>
      <c r="N33" s="19">
        <f>[7]Vendedor15!$J$8</f>
        <v>0</v>
      </c>
      <c r="O33" s="15">
        <f>[7]Vendedor15!$K$8</f>
        <v>0</v>
      </c>
      <c r="P33" s="17">
        <f>[7]Vendedor15!$L$8</f>
        <v>0</v>
      </c>
      <c r="Q33" s="19">
        <f>[7]Vendedor15!$J$10</f>
        <v>0</v>
      </c>
      <c r="R33" s="15">
        <f>[7]Vendedor15!$K$10</f>
        <v>0</v>
      </c>
      <c r="S33" s="17">
        <f>[7]Vendedor15!$L$10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hidden="1" x14ac:dyDescent="0.35">
      <c r="A34" s="20" t="s">
        <v>43</v>
      </c>
      <c r="B34" s="14">
        <f>[8]Vendedor15!$J$4</f>
        <v>0</v>
      </c>
      <c r="C34" s="81">
        <f>[8]Vendedor15!$K$4</f>
        <v>0</v>
      </c>
      <c r="D34" s="82">
        <f>[8]Vendedor15!$L$4</f>
        <v>0</v>
      </c>
      <c r="E34" s="14">
        <f>[8]Vendedor15!$J$5</f>
        <v>0</v>
      </c>
      <c r="F34" s="81">
        <f>[8]Vendedor15!$K$5</f>
        <v>0</v>
      </c>
      <c r="G34" s="85">
        <f>[8]Vendedor15!$L$5</f>
        <v>0</v>
      </c>
      <c r="H34" s="19">
        <f>[8]Vendedor15!$J$6</f>
        <v>0</v>
      </c>
      <c r="I34" s="15">
        <f>[8]Vendedor15!$K$6</f>
        <v>0</v>
      </c>
      <c r="J34" s="17">
        <f>[8]Vendedor15!$L$6</f>
        <v>0</v>
      </c>
      <c r="K34" s="18">
        <f>[8]Vendedor15!$J$7</f>
        <v>0</v>
      </c>
      <c r="L34" s="15">
        <f>[8]Vendedor15!$K$7</f>
        <v>0</v>
      </c>
      <c r="M34" s="16">
        <f>[8]Vendedor15!$L$7</f>
        <v>0</v>
      </c>
      <c r="N34" s="19">
        <f>[8]Vendedor15!$J$8</f>
        <v>0</v>
      </c>
      <c r="O34" s="15">
        <f>[8]Vendedor15!$K$8</f>
        <v>0</v>
      </c>
      <c r="P34" s="17">
        <f>[8]Vendedor15!$L$8</f>
        <v>0</v>
      </c>
      <c r="Q34" s="19">
        <f>[8]Vendedor15!$J$10</f>
        <v>0</v>
      </c>
      <c r="R34" s="15">
        <f>[8]Vendedor15!$K$10</f>
        <v>0</v>
      </c>
      <c r="S34" s="17">
        <f>[8]Vendedor15!$L$10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hidden="1" x14ac:dyDescent="0.35">
      <c r="A35" s="13" t="s">
        <v>44</v>
      </c>
      <c r="B35" s="14">
        <f>[9]Vendedor15!$J$4</f>
        <v>0</v>
      </c>
      <c r="C35" s="81">
        <f>[9]Vendedor15!$K$4</f>
        <v>0</v>
      </c>
      <c r="D35" s="82">
        <f>[9]Vendedor15!$L$4</f>
        <v>0</v>
      </c>
      <c r="E35" s="14">
        <f>[9]Vendedor15!$J$5</f>
        <v>0</v>
      </c>
      <c r="F35" s="81">
        <f>[9]Vendedor15!$K$5</f>
        <v>0</v>
      </c>
      <c r="G35" s="85">
        <f>[9]Vendedor15!$L$5</f>
        <v>0</v>
      </c>
      <c r="H35" s="19">
        <f>[9]Vendedor15!$J$6</f>
        <v>0</v>
      </c>
      <c r="I35" s="15">
        <f>[9]Vendedor15!$K$6</f>
        <v>0</v>
      </c>
      <c r="J35" s="17">
        <f>[9]Vendedor15!$L$6</f>
        <v>0</v>
      </c>
      <c r="K35" s="18">
        <f>[9]Vendedor15!$J$7</f>
        <v>0</v>
      </c>
      <c r="L35" s="15">
        <f>[9]Vendedor15!$K$7</f>
        <v>0</v>
      </c>
      <c r="M35" s="16">
        <f>[9]Vendedor15!$L$7</f>
        <v>0</v>
      </c>
      <c r="N35" s="19">
        <f>[9]Vendedor15!$J$8</f>
        <v>0</v>
      </c>
      <c r="O35" s="15">
        <f>[9]Vendedor15!$K$8</f>
        <v>0</v>
      </c>
      <c r="P35" s="17">
        <f>[9]Vendedor15!$L$8</f>
        <v>0</v>
      </c>
      <c r="Q35" s="19">
        <f>[9]Vendedor15!$J$10</f>
        <v>0</v>
      </c>
      <c r="R35" s="15">
        <f>[9]Vendedor15!$K$10</f>
        <v>0</v>
      </c>
      <c r="S35" s="17">
        <f>[9]Vendedor15!$L$10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hidden="1" thickBot="1" x14ac:dyDescent="0.4">
      <c r="A36" s="20" t="s">
        <v>45</v>
      </c>
      <c r="B36" s="21">
        <f>[10]Vendedor15!$J$4</f>
        <v>0</v>
      </c>
      <c r="C36" s="83">
        <f>[10]Vendedor15!$K$4</f>
        <v>0</v>
      </c>
      <c r="D36" s="84">
        <f>[10]Vendedor15!$L$4</f>
        <v>0</v>
      </c>
      <c r="E36" s="21">
        <f>[10]Vendedor15!$J$5</f>
        <v>0</v>
      </c>
      <c r="F36" s="83">
        <f>[10]Vendedor15!$K$5</f>
        <v>0</v>
      </c>
      <c r="G36" s="86">
        <f>[10]Vendedor15!$L$5</f>
        <v>0</v>
      </c>
      <c r="H36" s="26">
        <f>[10]Vendedor15!$J$6</f>
        <v>0</v>
      </c>
      <c r="I36" s="22">
        <f>[10]Vendedor15!$K$6</f>
        <v>0</v>
      </c>
      <c r="J36" s="24">
        <f>[10]Vendedor15!$L$6</f>
        <v>0</v>
      </c>
      <c r="K36" s="25">
        <f>[10]Vendedor15!$J$7</f>
        <v>0</v>
      </c>
      <c r="L36" s="22">
        <f>[10]Vendedor15!$K$7</f>
        <v>0</v>
      </c>
      <c r="M36" s="23">
        <f>[10]Vendedor15!$L$7</f>
        <v>0</v>
      </c>
      <c r="N36" s="26">
        <f>[10]Vendedor15!$J$8</f>
        <v>0</v>
      </c>
      <c r="O36" s="22">
        <f>[10]Vendedor15!$K$8</f>
        <v>0</v>
      </c>
      <c r="P36" s="24">
        <f>[10]Vendedor15!$L$8</f>
        <v>0</v>
      </c>
      <c r="Q36" s="26">
        <f>[10]Vendedor15!$J$10</f>
        <v>0</v>
      </c>
      <c r="R36" s="22">
        <f>[10]Vendedor15!$K$10</f>
        <v>0</v>
      </c>
      <c r="S36" s="24">
        <f>[10]Vendedor15!$L$10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82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[11]Resumen!$B$18</f>
        <v>0</v>
      </c>
      <c r="C6" s="58">
        <f>[11]Resumen!$C$18</f>
        <v>0</v>
      </c>
      <c r="D6" s="54">
        <f>[11]Resumen!$D$18</f>
        <v>0</v>
      </c>
      <c r="E6" s="53">
        <f>[11]Resumen!$E$18</f>
        <v>0</v>
      </c>
      <c r="F6" s="58">
        <f>[11]Resumen!$F$18</f>
        <v>0</v>
      </c>
      <c r="G6" s="55">
        <f>[11]Resumen!$G$18</f>
        <v>0</v>
      </c>
      <c r="H6" s="61">
        <f>[11]Resumen!$H$18</f>
        <v>0</v>
      </c>
      <c r="I6" s="58">
        <f>[11]Resumen!$I$18</f>
        <v>0</v>
      </c>
      <c r="J6" s="54">
        <f>[11]Resumen!$J$18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[12]Resumen!$B$18</f>
        <v>0</v>
      </c>
      <c r="C7" s="15">
        <f>[12]Resumen!$C$18</f>
        <v>0</v>
      </c>
      <c r="D7" s="16">
        <f>[12]Resumen!$D$18</f>
        <v>0</v>
      </c>
      <c r="E7" s="14">
        <f>[12]Resumen!$E$18</f>
        <v>0</v>
      </c>
      <c r="F7" s="15">
        <f>[12]Resumen!$F$18</f>
        <v>0</v>
      </c>
      <c r="G7" s="17">
        <f>[12]Resumen!$G$18</f>
        <v>0</v>
      </c>
      <c r="H7" s="18">
        <f>[12]Resumen!$H$18</f>
        <v>0</v>
      </c>
      <c r="I7" s="15">
        <f>[12]Resumen!$I$18</f>
        <v>0</v>
      </c>
      <c r="J7" s="16">
        <f>[12]Resumen!$J$18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[13]Resumen!$B$18</f>
        <v>0</v>
      </c>
      <c r="C8" s="15">
        <f>[13]Resumen!$C$18</f>
        <v>0</v>
      </c>
      <c r="D8" s="16">
        <f>[13]Resumen!$D$18</f>
        <v>0</v>
      </c>
      <c r="E8" s="14">
        <f>[13]Resumen!$E$18</f>
        <v>0</v>
      </c>
      <c r="F8" s="15">
        <f>[13]Resumen!$F$18</f>
        <v>0</v>
      </c>
      <c r="G8" s="17">
        <f>[13]Resumen!$G$18</f>
        <v>0</v>
      </c>
      <c r="H8" s="18">
        <f>[13]Resumen!$H$18</f>
        <v>0</v>
      </c>
      <c r="I8" s="15">
        <f>[13]Resumen!$I$18</f>
        <v>0</v>
      </c>
      <c r="J8" s="16">
        <f>[13]Resumen!$J$18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[14]Resumen!$B$18</f>
        <v>0</v>
      </c>
      <c r="C9" s="15">
        <f>[14]Resumen!$C$18</f>
        <v>0</v>
      </c>
      <c r="D9" s="16">
        <f>[14]Resumen!$D$18</f>
        <v>0</v>
      </c>
      <c r="E9" s="14">
        <f>[14]Resumen!$E$18</f>
        <v>0</v>
      </c>
      <c r="F9" s="15">
        <f>[14]Resumen!$F$18</f>
        <v>0</v>
      </c>
      <c r="G9" s="17">
        <f>[14]Resumen!$G$18</f>
        <v>0</v>
      </c>
      <c r="H9" s="18">
        <f>[14]Resumen!$H$18</f>
        <v>0</v>
      </c>
      <c r="I9" s="15">
        <f>[14]Resumen!$I$18</f>
        <v>0</v>
      </c>
      <c r="J9" s="16">
        <f>[14]Resumen!$J$18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[15]Resumen!$B$18</f>
        <v>0</v>
      </c>
      <c r="C10" s="15">
        <f>[15]Resumen!$C$18</f>
        <v>0</v>
      </c>
      <c r="D10" s="16">
        <f>[15]Resumen!$D$18</f>
        <v>0</v>
      </c>
      <c r="E10" s="14">
        <f>[15]Resumen!$E$18</f>
        <v>0</v>
      </c>
      <c r="F10" s="15">
        <f>[15]Resumen!$F$18</f>
        <v>0</v>
      </c>
      <c r="G10" s="17">
        <f>[15]Resumen!$G$18</f>
        <v>0</v>
      </c>
      <c r="H10" s="18">
        <f>[15]Resumen!$H$18</f>
        <v>0</v>
      </c>
      <c r="I10" s="15">
        <f>[15]Resumen!$I$18</f>
        <v>0</v>
      </c>
      <c r="J10" s="16">
        <f>[15]Resumen!$J$18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[16]Resumen!$B$18</f>
        <v>0</v>
      </c>
      <c r="C11" s="15">
        <f>[16]Resumen!$C$18</f>
        <v>0</v>
      </c>
      <c r="D11" s="16">
        <f>[16]Resumen!$D$18</f>
        <v>0</v>
      </c>
      <c r="E11" s="14">
        <f>[16]Resumen!$E$18</f>
        <v>0</v>
      </c>
      <c r="F11" s="15">
        <f>[16]Resumen!$F$18</f>
        <v>0</v>
      </c>
      <c r="G11" s="17">
        <f>[16]Resumen!$G$18</f>
        <v>0</v>
      </c>
      <c r="H11" s="18">
        <f>[16]Resumen!$H$18</f>
        <v>0</v>
      </c>
      <c r="I11" s="15">
        <f>[16]Resumen!$I$18</f>
        <v>0</v>
      </c>
      <c r="J11" s="16">
        <f>[16]Resumen!$J$18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[17]Resumen!$B$18</f>
        <v>0</v>
      </c>
      <c r="C12" s="15">
        <f>[17]Resumen!$C$18</f>
        <v>0</v>
      </c>
      <c r="D12" s="16">
        <f>[17]Resumen!$D$18</f>
        <v>0</v>
      </c>
      <c r="E12" s="14">
        <f>[17]Resumen!$E$18</f>
        <v>0</v>
      </c>
      <c r="F12" s="15">
        <f>[17]Resumen!$F$18</f>
        <v>0</v>
      </c>
      <c r="G12" s="17">
        <f>[17]Resumen!$G$18</f>
        <v>0</v>
      </c>
      <c r="H12" s="18">
        <f>[17]Resumen!$H$18</f>
        <v>0</v>
      </c>
      <c r="I12" s="15">
        <f>[17]Resumen!$I$18</f>
        <v>0</v>
      </c>
      <c r="J12" s="16">
        <f>[17]Resumen!$J$18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[18]Resumen!$B$18</f>
        <v>0</v>
      </c>
      <c r="C13" s="15">
        <f>[18]Resumen!$C$18</f>
        <v>0</v>
      </c>
      <c r="D13" s="16">
        <f>[18]Resumen!$D$18</f>
        <v>0</v>
      </c>
      <c r="E13" s="14">
        <f>[18]Resumen!$E$18</f>
        <v>0</v>
      </c>
      <c r="F13" s="15">
        <f>[18]Resumen!$F$18</f>
        <v>0</v>
      </c>
      <c r="G13" s="17">
        <f>[18]Resumen!$G$18</f>
        <v>0</v>
      </c>
      <c r="H13" s="18">
        <f>[18]Resumen!$H$18</f>
        <v>0</v>
      </c>
      <c r="I13" s="15">
        <f>[18]Resumen!$I$18</f>
        <v>0</v>
      </c>
      <c r="J13" s="16">
        <f>[18]Resumen!$J$18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[19]Resumen!$B$18</f>
        <v>0</v>
      </c>
      <c r="C14" s="15">
        <f>[19]Resumen!$C$18</f>
        <v>0</v>
      </c>
      <c r="D14" s="16">
        <f>[19]Resumen!$D$18</f>
        <v>0</v>
      </c>
      <c r="E14" s="14">
        <f>[19]Resumen!$E$18</f>
        <v>0</v>
      </c>
      <c r="F14" s="15">
        <f>[19]Resumen!$F$18</f>
        <v>0</v>
      </c>
      <c r="G14" s="17">
        <f>[19]Resumen!$G$18</f>
        <v>0</v>
      </c>
      <c r="H14" s="18">
        <f>[19]Resumen!$H$18</f>
        <v>0</v>
      </c>
      <c r="I14" s="15">
        <f>[19]Resumen!$I$18</f>
        <v>0</v>
      </c>
      <c r="J14" s="16">
        <f>[19]Resumen!$J$18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[20]Resumen!$B$18</f>
        <v>0</v>
      </c>
      <c r="C15" s="15">
        <f>[20]Resumen!$C$18</f>
        <v>0</v>
      </c>
      <c r="D15" s="16">
        <f>[20]Resumen!$D$18</f>
        <v>0</v>
      </c>
      <c r="E15" s="14">
        <f>[20]Resumen!$E$18</f>
        <v>0</v>
      </c>
      <c r="F15" s="15">
        <f>[20]Resumen!$F$18</f>
        <v>0</v>
      </c>
      <c r="G15" s="17">
        <f>[20]Resumen!$G$18</f>
        <v>0</v>
      </c>
      <c r="H15" s="18">
        <f>[20]Resumen!$H$18</f>
        <v>0</v>
      </c>
      <c r="I15" s="15">
        <f>[20]Resumen!$I$18</f>
        <v>0</v>
      </c>
      <c r="J15" s="16">
        <f>[20]Resumen!$J$18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[21]Resumen!$B$18</f>
        <v>0</v>
      </c>
      <c r="C16" s="15">
        <f>[21]Resumen!$C$18</f>
        <v>0</v>
      </c>
      <c r="D16" s="16">
        <f>[21]Resumen!$D$18</f>
        <v>0</v>
      </c>
      <c r="E16" s="14">
        <f>[21]Resumen!$E$18</f>
        <v>0</v>
      </c>
      <c r="F16" s="15">
        <f>[21]Resumen!$F$18</f>
        <v>0</v>
      </c>
      <c r="G16" s="17">
        <f>[21]Resumen!$G$18</f>
        <v>0</v>
      </c>
      <c r="H16" s="18">
        <f>[21]Resumen!$H$18</f>
        <v>0</v>
      </c>
      <c r="I16" s="15">
        <f>[21]Resumen!$I$18</f>
        <v>0</v>
      </c>
      <c r="J16" s="16">
        <f>[21]Resumen!$J$18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[22]Resumen!$B$18</f>
        <v>0</v>
      </c>
      <c r="C17" s="15">
        <f>[22]Resumen!$C$18</f>
        <v>0</v>
      </c>
      <c r="D17" s="16">
        <f>[22]Resumen!$D$18</f>
        <v>0</v>
      </c>
      <c r="E17" s="14">
        <f>[22]Resumen!$E$18</f>
        <v>0</v>
      </c>
      <c r="F17" s="15">
        <f>[22]Resumen!$F$18</f>
        <v>0</v>
      </c>
      <c r="G17" s="17">
        <f>[22]Resumen!$G$18</f>
        <v>0</v>
      </c>
      <c r="H17" s="18">
        <f>[22]Resumen!$H$18</f>
        <v>0</v>
      </c>
      <c r="I17" s="15">
        <f>[22]Resumen!$I$18</f>
        <v>0</v>
      </c>
      <c r="J17" s="16">
        <f>[22]Resumen!$J$18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[23]Resumen!$B$18</f>
        <v>0</v>
      </c>
      <c r="C18" s="15">
        <f>[23]Resumen!$C$18</f>
        <v>0</v>
      </c>
      <c r="D18" s="16">
        <f>[23]Resumen!$D$18</f>
        <v>0</v>
      </c>
      <c r="E18" s="14">
        <f>[23]Resumen!$E$18</f>
        <v>0</v>
      </c>
      <c r="F18" s="15">
        <f>[23]Resumen!$F$18</f>
        <v>0</v>
      </c>
      <c r="G18" s="17">
        <f>[23]Resumen!$G$18</f>
        <v>0</v>
      </c>
      <c r="H18" s="18">
        <f>[23]Resumen!$H$18</f>
        <v>0</v>
      </c>
      <c r="I18" s="15">
        <f>[23]Resumen!$I$18</f>
        <v>0</v>
      </c>
      <c r="J18" s="16">
        <f>[23]Resumen!$J$18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[24]Resumen!$B$18</f>
        <v>0</v>
      </c>
      <c r="C19" s="15">
        <f>[24]Resumen!$C$18</f>
        <v>0</v>
      </c>
      <c r="D19" s="16">
        <f>[24]Resumen!$D$18</f>
        <v>0</v>
      </c>
      <c r="E19" s="14">
        <f>[24]Resumen!$E$18</f>
        <v>0</v>
      </c>
      <c r="F19" s="15">
        <f>[24]Resumen!$F$18</f>
        <v>0</v>
      </c>
      <c r="G19" s="17">
        <f>[24]Resumen!$G$18</f>
        <v>0</v>
      </c>
      <c r="H19" s="18">
        <f>[24]Resumen!$H$18</f>
        <v>0</v>
      </c>
      <c r="I19" s="15">
        <f>[24]Resumen!$I$18</f>
        <v>0</v>
      </c>
      <c r="J19" s="16">
        <f>[24]Resumen!$J$18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[25]Resumen!$B$18</f>
        <v>0</v>
      </c>
      <c r="C20" s="15">
        <f>[25]Resumen!$C$18</f>
        <v>0</v>
      </c>
      <c r="D20" s="16">
        <f>[25]Resumen!$D$18</f>
        <v>0</v>
      </c>
      <c r="E20" s="14">
        <f>[25]Resumen!$E$18</f>
        <v>0</v>
      </c>
      <c r="F20" s="15">
        <f>[25]Resumen!$F$18</f>
        <v>0</v>
      </c>
      <c r="G20" s="17">
        <f>[25]Resumen!$G$18</f>
        <v>0</v>
      </c>
      <c r="H20" s="18">
        <f>[25]Resumen!$H$18</f>
        <v>0</v>
      </c>
      <c r="I20" s="15">
        <f>[25]Resumen!$I$18</f>
        <v>0</v>
      </c>
      <c r="J20" s="16">
        <f>[25]Resumen!$J$18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[26]Resumen!$B$18</f>
        <v>0</v>
      </c>
      <c r="C21" s="15">
        <f>[26]Resumen!$C$18</f>
        <v>0</v>
      </c>
      <c r="D21" s="16">
        <f>[26]Resumen!$D$18</f>
        <v>0</v>
      </c>
      <c r="E21" s="14">
        <f>[26]Resumen!$E$18</f>
        <v>0</v>
      </c>
      <c r="F21" s="15">
        <f>[26]Resumen!$F$18</f>
        <v>0</v>
      </c>
      <c r="G21" s="17">
        <f>[26]Resumen!$G$18</f>
        <v>0</v>
      </c>
      <c r="H21" s="18">
        <f>[26]Resumen!$H$18</f>
        <v>0</v>
      </c>
      <c r="I21" s="15">
        <f>[26]Resumen!$I$18</f>
        <v>0</v>
      </c>
      <c r="J21" s="16">
        <f>[26]Resumen!$J$18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[27]Resumen!$B$18</f>
        <v>0</v>
      </c>
      <c r="C22" s="15">
        <f>[27]Resumen!$C$18</f>
        <v>0</v>
      </c>
      <c r="D22" s="16">
        <f>[27]Resumen!$D$18</f>
        <v>0</v>
      </c>
      <c r="E22" s="14">
        <f>[27]Resumen!$E$18</f>
        <v>0</v>
      </c>
      <c r="F22" s="15">
        <f>[27]Resumen!$F$18</f>
        <v>0</v>
      </c>
      <c r="G22" s="17">
        <f>[27]Resumen!$G$18</f>
        <v>0</v>
      </c>
      <c r="H22" s="18">
        <f>[27]Resumen!$H$18</f>
        <v>0</v>
      </c>
      <c r="I22" s="15">
        <f>[27]Resumen!$I$18</f>
        <v>0</v>
      </c>
      <c r="J22" s="16">
        <f>[27]Resumen!$J$18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[28]Resumen!$B$18</f>
        <v>0</v>
      </c>
      <c r="C23" s="15">
        <f>[28]Resumen!$C$18</f>
        <v>0</v>
      </c>
      <c r="D23" s="16">
        <f>[28]Resumen!$D$18</f>
        <v>0</v>
      </c>
      <c r="E23" s="14">
        <f>[28]Resumen!$E$18</f>
        <v>0</v>
      </c>
      <c r="F23" s="15">
        <f>[28]Resumen!$F$18</f>
        <v>0</v>
      </c>
      <c r="G23" s="17">
        <f>[28]Resumen!$G$18</f>
        <v>0</v>
      </c>
      <c r="H23" s="18">
        <f>[28]Resumen!$H$18</f>
        <v>0</v>
      </c>
      <c r="I23" s="15">
        <f>[28]Resumen!$I$18</f>
        <v>0</v>
      </c>
      <c r="J23" s="16">
        <f>[28]Resumen!$J$18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[29]Resumen!$B$18</f>
        <v>0</v>
      </c>
      <c r="C24" s="15">
        <f>[29]Resumen!$C$18</f>
        <v>0</v>
      </c>
      <c r="D24" s="16">
        <f>[29]Resumen!$D$18</f>
        <v>0</v>
      </c>
      <c r="E24" s="14">
        <f>[29]Resumen!$E$18</f>
        <v>0</v>
      </c>
      <c r="F24" s="15">
        <f>[29]Resumen!$F$18</f>
        <v>0</v>
      </c>
      <c r="G24" s="17">
        <f>[29]Resumen!$G$18</f>
        <v>0</v>
      </c>
      <c r="H24" s="18">
        <f>[29]Resumen!$H$18</f>
        <v>0</v>
      </c>
      <c r="I24" s="15">
        <f>[29]Resumen!$I$18</f>
        <v>0</v>
      </c>
      <c r="J24" s="16">
        <f>[29]Resumen!$J$18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[30]Resumen!$B$18</f>
        <v>0</v>
      </c>
      <c r="C25" s="15">
        <f>[30]Resumen!$C$18</f>
        <v>0</v>
      </c>
      <c r="D25" s="16">
        <f>[30]Resumen!$D$18</f>
        <v>0</v>
      </c>
      <c r="E25" s="14">
        <f>[30]Resumen!$E$18</f>
        <v>0</v>
      </c>
      <c r="F25" s="15">
        <f>[30]Resumen!$F$18</f>
        <v>0</v>
      </c>
      <c r="G25" s="17">
        <f>[30]Resumen!$G$18</f>
        <v>0</v>
      </c>
      <c r="H25" s="18">
        <f>[30]Resumen!$H$18</f>
        <v>0</v>
      </c>
      <c r="I25" s="15">
        <f>[30]Resumen!$I$18</f>
        <v>0</v>
      </c>
      <c r="J25" s="16">
        <f>[30]Resumen!$J$18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[31]Resumen!$B$18</f>
        <v>0</v>
      </c>
      <c r="C26" s="15">
        <f>[31]Resumen!$C$18</f>
        <v>0</v>
      </c>
      <c r="D26" s="16">
        <f>[31]Resumen!$D$18</f>
        <v>0</v>
      </c>
      <c r="E26" s="14">
        <f>[31]Resumen!$E$18</f>
        <v>0</v>
      </c>
      <c r="F26" s="15">
        <f>[31]Resumen!$F$18</f>
        <v>0</v>
      </c>
      <c r="G26" s="17">
        <f>[31]Resumen!$G$18</f>
        <v>0</v>
      </c>
      <c r="H26" s="18">
        <f>[31]Resumen!$H$18</f>
        <v>0</v>
      </c>
      <c r="I26" s="15">
        <f>[31]Resumen!$I$18</f>
        <v>0</v>
      </c>
      <c r="J26" s="16">
        <f>[31]Resumen!$J$18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[1]Resumen!$B$18</f>
        <v>0</v>
      </c>
      <c r="C27" s="15">
        <f>[1]Resumen!$C$18</f>
        <v>0</v>
      </c>
      <c r="D27" s="16">
        <f>[1]Resumen!$D$18</f>
        <v>0</v>
      </c>
      <c r="E27" s="14">
        <f>[1]Resumen!$E$18</f>
        <v>0</v>
      </c>
      <c r="F27" s="15">
        <f>[1]Resumen!$F$18</f>
        <v>0</v>
      </c>
      <c r="G27" s="17">
        <f>[1]Resumen!$G$18</f>
        <v>0</v>
      </c>
      <c r="H27" s="18">
        <f>[1]Resumen!$H$18</f>
        <v>0</v>
      </c>
      <c r="I27" s="15">
        <f>[1]Resumen!$I$18</f>
        <v>0</v>
      </c>
      <c r="J27" s="16">
        <f>[1]Resumen!$J$18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[2]Resumen!$B$18</f>
        <v>0</v>
      </c>
      <c r="C28" s="15">
        <f>[2]Resumen!$C$18</f>
        <v>0</v>
      </c>
      <c r="D28" s="16">
        <f>[2]Resumen!$D$18</f>
        <v>0</v>
      </c>
      <c r="E28" s="14">
        <f>[2]Resumen!$E$18</f>
        <v>0</v>
      </c>
      <c r="F28" s="15">
        <f>[2]Resumen!$F$18</f>
        <v>0</v>
      </c>
      <c r="G28" s="17">
        <f>[2]Resumen!$G$18</f>
        <v>0</v>
      </c>
      <c r="H28" s="18">
        <f>[2]Resumen!$H$18</f>
        <v>0</v>
      </c>
      <c r="I28" s="15">
        <f>[2]Resumen!$I$18</f>
        <v>0</v>
      </c>
      <c r="J28" s="16">
        <f>[2]Resumen!$J$18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[3]Resumen!$B$18</f>
        <v>0</v>
      </c>
      <c r="C29" s="15">
        <f>[3]Resumen!$C$18</f>
        <v>0</v>
      </c>
      <c r="D29" s="16">
        <f>[3]Resumen!$D$18</f>
        <v>0</v>
      </c>
      <c r="E29" s="14">
        <f>[3]Resumen!$E$18</f>
        <v>0</v>
      </c>
      <c r="F29" s="15">
        <f>[3]Resumen!$F$18</f>
        <v>0</v>
      </c>
      <c r="G29" s="17">
        <f>[3]Resumen!$G$18</f>
        <v>0</v>
      </c>
      <c r="H29" s="18">
        <f>[3]Resumen!$H$18</f>
        <v>0</v>
      </c>
      <c r="I29" s="15">
        <f>[3]Resumen!$I$18</f>
        <v>0</v>
      </c>
      <c r="J29" s="16">
        <f>[3]Resumen!$J$18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[4]Resumen!$B$18</f>
        <v>0</v>
      </c>
      <c r="C30" s="15">
        <f>[4]Resumen!$C$18</f>
        <v>0</v>
      </c>
      <c r="D30" s="16">
        <f>[4]Resumen!$D$18</f>
        <v>0</v>
      </c>
      <c r="E30" s="14">
        <f>[4]Resumen!$E$18</f>
        <v>0</v>
      </c>
      <c r="F30" s="15">
        <f>[4]Resumen!$F$18</f>
        <v>0</v>
      </c>
      <c r="G30" s="17">
        <f>[4]Resumen!$G$18</f>
        <v>0</v>
      </c>
      <c r="H30" s="18">
        <f>[4]Resumen!$H$18</f>
        <v>0</v>
      </c>
      <c r="I30" s="15">
        <f>[4]Resumen!$I$18</f>
        <v>0</v>
      </c>
      <c r="J30" s="16">
        <f>[4]Resumen!$J$18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[5]Resumen!$B$18</f>
        <v>0</v>
      </c>
      <c r="C31" s="15">
        <f>[5]Resumen!$C$18</f>
        <v>0</v>
      </c>
      <c r="D31" s="16">
        <f>[5]Resumen!$D$18</f>
        <v>0</v>
      </c>
      <c r="E31" s="14">
        <f>[5]Resumen!$E$18</f>
        <v>0</v>
      </c>
      <c r="F31" s="15">
        <f>[5]Resumen!$F$18</f>
        <v>0</v>
      </c>
      <c r="G31" s="17">
        <f>[5]Resumen!$G$18</f>
        <v>0</v>
      </c>
      <c r="H31" s="18">
        <f>[5]Resumen!$H$18</f>
        <v>0</v>
      </c>
      <c r="I31" s="15">
        <f>[5]Resumen!$I$18</f>
        <v>0</v>
      </c>
      <c r="J31" s="16">
        <f>[5]Resumen!$J$18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[6]Resumen!$B$18</f>
        <v>0</v>
      </c>
      <c r="C32" s="15">
        <f>[6]Resumen!$C$18</f>
        <v>0</v>
      </c>
      <c r="D32" s="16">
        <f>[6]Resumen!$D$18</f>
        <v>0</v>
      </c>
      <c r="E32" s="14">
        <f>[6]Resumen!$E$18</f>
        <v>0</v>
      </c>
      <c r="F32" s="15">
        <f>[6]Resumen!$F$18</f>
        <v>0</v>
      </c>
      <c r="G32" s="17">
        <f>[6]Resumen!$G$18</f>
        <v>0</v>
      </c>
      <c r="H32" s="18">
        <f>[6]Resumen!$H$18</f>
        <v>0</v>
      </c>
      <c r="I32" s="15">
        <f>[6]Resumen!$I$18</f>
        <v>0</v>
      </c>
      <c r="J32" s="16">
        <f>[6]Resumen!$J$18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[7]Resumen!$B$18</f>
        <v>0</v>
      </c>
      <c r="C33" s="15">
        <f>[7]Resumen!$C$18</f>
        <v>0</v>
      </c>
      <c r="D33" s="16">
        <f>[7]Resumen!$D$18</f>
        <v>0</v>
      </c>
      <c r="E33" s="14">
        <f>[7]Resumen!$E$18</f>
        <v>0</v>
      </c>
      <c r="F33" s="15">
        <f>[7]Resumen!$F$18</f>
        <v>0</v>
      </c>
      <c r="G33" s="17">
        <f>[7]Resumen!$G$18</f>
        <v>0</v>
      </c>
      <c r="H33" s="18">
        <f>[7]Resumen!$H$18</f>
        <v>0</v>
      </c>
      <c r="I33" s="15">
        <f>[7]Resumen!$I$18</f>
        <v>0</v>
      </c>
      <c r="J33" s="16">
        <f>[7]Resumen!$J$18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[8]Resumen!$B$18</f>
        <v>0</v>
      </c>
      <c r="C34" s="15">
        <f>[8]Resumen!$C$18</f>
        <v>0</v>
      </c>
      <c r="D34" s="16">
        <f>[8]Resumen!$D$18</f>
        <v>0</v>
      </c>
      <c r="E34" s="14">
        <f>[8]Resumen!$E$18</f>
        <v>0</v>
      </c>
      <c r="F34" s="15">
        <f>[8]Resumen!$F$18</f>
        <v>0</v>
      </c>
      <c r="G34" s="17">
        <f>[8]Resumen!$G$18</f>
        <v>0</v>
      </c>
      <c r="H34" s="18">
        <f>[8]Resumen!$H$18</f>
        <v>0</v>
      </c>
      <c r="I34" s="15">
        <f>[8]Resumen!$I$18</f>
        <v>0</v>
      </c>
      <c r="J34" s="16">
        <f>[8]Resumen!$J$18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[9]Resumen!$B$18</f>
        <v>0</v>
      </c>
      <c r="C35" s="15">
        <f>[9]Resumen!$C$18</f>
        <v>0</v>
      </c>
      <c r="D35" s="16">
        <f>[9]Resumen!$D$18</f>
        <v>0</v>
      </c>
      <c r="E35" s="14">
        <f>[9]Resumen!$E$18</f>
        <v>0</v>
      </c>
      <c r="F35" s="15">
        <f>[9]Resumen!$F$18</f>
        <v>0</v>
      </c>
      <c r="G35" s="17">
        <f>[9]Resumen!$G$18</f>
        <v>0</v>
      </c>
      <c r="H35" s="18">
        <f>[9]Resumen!$H$18</f>
        <v>0</v>
      </c>
      <c r="I35" s="15">
        <f>[9]Resumen!$I$18</f>
        <v>0</v>
      </c>
      <c r="J35" s="16">
        <f>[9]Resumen!$J$18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+[10]Resumen!$B$18</f>
        <v>0</v>
      </c>
      <c r="C36" s="22">
        <f>+[10]Resumen!$C$18</f>
        <v>0</v>
      </c>
      <c r="D36" s="23">
        <f>+[10]Resumen!$D$18</f>
        <v>0</v>
      </c>
      <c r="E36" s="21">
        <f>+[10]Resumen!$E$18</f>
        <v>0</v>
      </c>
      <c r="F36" s="22">
        <f>+[10]Resumen!$F$18</f>
        <v>0</v>
      </c>
      <c r="G36" s="24">
        <f>+[10]Resumen!$G$18</f>
        <v>0</v>
      </c>
      <c r="H36" s="25">
        <f>+[10]Resumen!$H$18</f>
        <v>0</v>
      </c>
      <c r="I36" s="22">
        <f>+[10]Resumen!$I$18</f>
        <v>0</v>
      </c>
      <c r="J36" s="23">
        <f>+[10]Resumen!$J$18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[11]Resumen!$B$19</f>
        <v>0</v>
      </c>
      <c r="C6" s="58">
        <f>[11]Resumen!$C$19</f>
        <v>0</v>
      </c>
      <c r="D6" s="54">
        <f>[11]Resumen!$D$19</f>
        <v>0</v>
      </c>
      <c r="E6" s="53">
        <f>[11]Resumen!$E$19</f>
        <v>0</v>
      </c>
      <c r="F6" s="58">
        <f>[11]Resumen!$F$19</f>
        <v>0</v>
      </c>
      <c r="G6" s="55">
        <f>[11]Resumen!$G$19</f>
        <v>0</v>
      </c>
      <c r="H6" s="61">
        <f>[11]Resumen!$H$19</f>
        <v>0</v>
      </c>
      <c r="I6" s="58">
        <f>[11]Resumen!$I$19</f>
        <v>0</v>
      </c>
      <c r="J6" s="54">
        <f>[11]Resumen!$J$19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[12]Resumen!$B$19</f>
        <v>0</v>
      </c>
      <c r="C7" s="15">
        <f>[12]Resumen!$C$19</f>
        <v>0</v>
      </c>
      <c r="D7" s="16">
        <f>[12]Resumen!$D$19</f>
        <v>0</v>
      </c>
      <c r="E7" s="14">
        <f>[12]Resumen!$E$19</f>
        <v>0</v>
      </c>
      <c r="F7" s="15">
        <f>[12]Resumen!$F$19</f>
        <v>0</v>
      </c>
      <c r="G7" s="17">
        <f>[12]Resumen!$G$19</f>
        <v>0</v>
      </c>
      <c r="H7" s="18">
        <f>[12]Resumen!$H$19</f>
        <v>0</v>
      </c>
      <c r="I7" s="15">
        <f>[12]Resumen!$I$19</f>
        <v>0</v>
      </c>
      <c r="J7" s="16">
        <f>[12]Resumen!$J$19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[13]Resumen!$B$19</f>
        <v>0</v>
      </c>
      <c r="C8" s="15">
        <f>[13]Resumen!$C$19</f>
        <v>0</v>
      </c>
      <c r="D8" s="16">
        <f>[13]Resumen!$D$19</f>
        <v>0</v>
      </c>
      <c r="E8" s="14">
        <f>[13]Resumen!$E$19</f>
        <v>0</v>
      </c>
      <c r="F8" s="15">
        <f>[13]Resumen!$F$19</f>
        <v>0</v>
      </c>
      <c r="G8" s="17">
        <f>[13]Resumen!$G$19</f>
        <v>0</v>
      </c>
      <c r="H8" s="18">
        <f>[13]Resumen!$H$19</f>
        <v>0</v>
      </c>
      <c r="I8" s="15">
        <f>[13]Resumen!$I$19</f>
        <v>0</v>
      </c>
      <c r="J8" s="16">
        <f>[13]Resumen!$J$19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[14]Resumen!$B$19</f>
        <v>0</v>
      </c>
      <c r="C9" s="15">
        <f>[14]Resumen!$C$19</f>
        <v>0</v>
      </c>
      <c r="D9" s="16">
        <f>[14]Resumen!$D$19</f>
        <v>0</v>
      </c>
      <c r="E9" s="14">
        <f>[14]Resumen!$E$19</f>
        <v>0</v>
      </c>
      <c r="F9" s="15">
        <f>[14]Resumen!$F$19</f>
        <v>0</v>
      </c>
      <c r="G9" s="17">
        <f>[14]Resumen!$G$19</f>
        <v>0</v>
      </c>
      <c r="H9" s="18">
        <f>[14]Resumen!$H$19</f>
        <v>0</v>
      </c>
      <c r="I9" s="15">
        <f>[14]Resumen!$I$19</f>
        <v>0</v>
      </c>
      <c r="J9" s="16">
        <f>[14]Resumen!$J$19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[15]Resumen!$B$19</f>
        <v>0</v>
      </c>
      <c r="C10" s="15">
        <f>[15]Resumen!$C$19</f>
        <v>0</v>
      </c>
      <c r="D10" s="16">
        <f>[15]Resumen!$D$19</f>
        <v>0</v>
      </c>
      <c r="E10" s="14">
        <f>[15]Resumen!$E$19</f>
        <v>0</v>
      </c>
      <c r="F10" s="15">
        <f>[15]Resumen!$F$19</f>
        <v>0</v>
      </c>
      <c r="G10" s="17">
        <f>[15]Resumen!$G$19</f>
        <v>0</v>
      </c>
      <c r="H10" s="18">
        <f>[15]Resumen!$H$19</f>
        <v>0</v>
      </c>
      <c r="I10" s="15">
        <f>[15]Resumen!$I$19</f>
        <v>0</v>
      </c>
      <c r="J10" s="16">
        <f>[15]Resumen!$J$19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[16]Resumen!$B$19</f>
        <v>0</v>
      </c>
      <c r="C11" s="15">
        <f>[16]Resumen!$C$19</f>
        <v>0</v>
      </c>
      <c r="D11" s="16">
        <f>[16]Resumen!$D$19</f>
        <v>0</v>
      </c>
      <c r="E11" s="14">
        <f>[16]Resumen!$E$19</f>
        <v>0</v>
      </c>
      <c r="F11" s="15">
        <f>[16]Resumen!$F$19</f>
        <v>0</v>
      </c>
      <c r="G11" s="17">
        <f>[16]Resumen!$G$19</f>
        <v>0</v>
      </c>
      <c r="H11" s="18">
        <f>[16]Resumen!$H$19</f>
        <v>0</v>
      </c>
      <c r="I11" s="15">
        <f>[16]Resumen!$I$19</f>
        <v>0</v>
      </c>
      <c r="J11" s="16">
        <f>[16]Resumen!$J$19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[17]Resumen!$B$19</f>
        <v>0</v>
      </c>
      <c r="C12" s="15">
        <f>[17]Resumen!$C$19</f>
        <v>0</v>
      </c>
      <c r="D12" s="16">
        <f>[17]Resumen!$D$19</f>
        <v>0</v>
      </c>
      <c r="E12" s="14">
        <f>[17]Resumen!$E$19</f>
        <v>0</v>
      </c>
      <c r="F12" s="15">
        <f>[17]Resumen!$F$19</f>
        <v>0</v>
      </c>
      <c r="G12" s="17">
        <f>[17]Resumen!$G$19</f>
        <v>0</v>
      </c>
      <c r="H12" s="18">
        <f>[17]Resumen!$H$19</f>
        <v>0</v>
      </c>
      <c r="I12" s="15">
        <f>[17]Resumen!$I$19</f>
        <v>0</v>
      </c>
      <c r="J12" s="16">
        <f>[17]Resumen!$J$19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[18]Resumen!$B$19</f>
        <v>0</v>
      </c>
      <c r="C13" s="15">
        <f>[18]Resumen!$C$19</f>
        <v>0</v>
      </c>
      <c r="D13" s="16">
        <f>[18]Resumen!$D$19</f>
        <v>0</v>
      </c>
      <c r="E13" s="14">
        <f>[18]Resumen!$E$19</f>
        <v>0</v>
      </c>
      <c r="F13" s="15">
        <f>[18]Resumen!$F$19</f>
        <v>0</v>
      </c>
      <c r="G13" s="17">
        <f>[18]Resumen!$G$19</f>
        <v>0</v>
      </c>
      <c r="H13" s="18">
        <f>[18]Resumen!$H$19</f>
        <v>0</v>
      </c>
      <c r="I13" s="15">
        <f>[18]Resumen!$I$19</f>
        <v>0</v>
      </c>
      <c r="J13" s="16">
        <f>[18]Resumen!$J$19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[19]Resumen!$B$19</f>
        <v>0</v>
      </c>
      <c r="C14" s="15">
        <f>[19]Resumen!$C$19</f>
        <v>0</v>
      </c>
      <c r="D14" s="16">
        <f>[19]Resumen!$D$19</f>
        <v>0</v>
      </c>
      <c r="E14" s="14">
        <f>[19]Resumen!$E$19</f>
        <v>0</v>
      </c>
      <c r="F14" s="15">
        <f>[19]Resumen!$F$19</f>
        <v>0</v>
      </c>
      <c r="G14" s="17">
        <f>[19]Resumen!$G$19</f>
        <v>0</v>
      </c>
      <c r="H14" s="18">
        <f>[19]Resumen!$H$19</f>
        <v>0</v>
      </c>
      <c r="I14" s="15">
        <f>[19]Resumen!$I$19</f>
        <v>0</v>
      </c>
      <c r="J14" s="16">
        <f>[19]Resumen!$J$19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[20]Resumen!$B$19</f>
        <v>0</v>
      </c>
      <c r="C15" s="15">
        <f>[20]Resumen!$C$19</f>
        <v>0</v>
      </c>
      <c r="D15" s="16">
        <f>[20]Resumen!$D$19</f>
        <v>0</v>
      </c>
      <c r="E15" s="14">
        <f>[20]Resumen!$E$19</f>
        <v>0</v>
      </c>
      <c r="F15" s="15">
        <f>[20]Resumen!$F$19</f>
        <v>0</v>
      </c>
      <c r="G15" s="17">
        <f>[20]Resumen!$G$19</f>
        <v>0</v>
      </c>
      <c r="H15" s="18">
        <f>[20]Resumen!$H$19</f>
        <v>0</v>
      </c>
      <c r="I15" s="15">
        <f>[20]Resumen!$I$19</f>
        <v>0</v>
      </c>
      <c r="J15" s="16">
        <f>[20]Resumen!$J$19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[21]Resumen!$B$19</f>
        <v>0</v>
      </c>
      <c r="C16" s="15">
        <f>[21]Resumen!$C$19</f>
        <v>0</v>
      </c>
      <c r="D16" s="16">
        <f>[21]Resumen!$D$19</f>
        <v>0</v>
      </c>
      <c r="E16" s="14">
        <f>[21]Resumen!$E$19</f>
        <v>0</v>
      </c>
      <c r="F16" s="15">
        <f>[21]Resumen!$F$19</f>
        <v>0</v>
      </c>
      <c r="G16" s="17">
        <f>[21]Resumen!$G$19</f>
        <v>0</v>
      </c>
      <c r="H16" s="18">
        <f>[21]Resumen!$H$19</f>
        <v>0</v>
      </c>
      <c r="I16" s="15">
        <f>[21]Resumen!$I$19</f>
        <v>0</v>
      </c>
      <c r="J16" s="16">
        <f>[21]Resumen!$J$19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[22]Resumen!$B$19</f>
        <v>0</v>
      </c>
      <c r="C17" s="15">
        <f>[22]Resumen!$C$19</f>
        <v>0</v>
      </c>
      <c r="D17" s="16">
        <f>[22]Resumen!$D$19</f>
        <v>0</v>
      </c>
      <c r="E17" s="14">
        <f>[22]Resumen!$E$19</f>
        <v>0</v>
      </c>
      <c r="F17" s="15">
        <f>[22]Resumen!$F$19</f>
        <v>0</v>
      </c>
      <c r="G17" s="17">
        <f>[22]Resumen!$G$19</f>
        <v>0</v>
      </c>
      <c r="H17" s="18">
        <f>[22]Resumen!$H$19</f>
        <v>0</v>
      </c>
      <c r="I17" s="15">
        <f>[22]Resumen!$I$19</f>
        <v>0</v>
      </c>
      <c r="J17" s="16">
        <f>[22]Resumen!$J$19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[23]Resumen!$B$19</f>
        <v>0</v>
      </c>
      <c r="C18" s="15">
        <f>[23]Resumen!$C$19</f>
        <v>0</v>
      </c>
      <c r="D18" s="16">
        <f>[23]Resumen!$D$19</f>
        <v>0</v>
      </c>
      <c r="E18" s="14">
        <f>[23]Resumen!$E$19</f>
        <v>0</v>
      </c>
      <c r="F18" s="15">
        <f>[23]Resumen!$F$19</f>
        <v>0</v>
      </c>
      <c r="G18" s="17">
        <f>[23]Resumen!$G$19</f>
        <v>0</v>
      </c>
      <c r="H18" s="18">
        <f>[23]Resumen!$H$19</f>
        <v>0</v>
      </c>
      <c r="I18" s="15">
        <f>[23]Resumen!$I$19</f>
        <v>0</v>
      </c>
      <c r="J18" s="16">
        <f>[23]Resumen!$J$19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[24]Resumen!$B$19</f>
        <v>0</v>
      </c>
      <c r="C19" s="15">
        <f>[24]Resumen!$C$19</f>
        <v>0</v>
      </c>
      <c r="D19" s="16">
        <f>[24]Resumen!$D$19</f>
        <v>0</v>
      </c>
      <c r="E19" s="14">
        <f>[24]Resumen!$E$19</f>
        <v>0</v>
      </c>
      <c r="F19" s="15">
        <f>[24]Resumen!$F$19</f>
        <v>0</v>
      </c>
      <c r="G19" s="17">
        <f>[24]Resumen!$G$19</f>
        <v>0</v>
      </c>
      <c r="H19" s="18">
        <f>[24]Resumen!$H$19</f>
        <v>0</v>
      </c>
      <c r="I19" s="15">
        <f>[24]Resumen!$I$19</f>
        <v>0</v>
      </c>
      <c r="J19" s="16">
        <f>[24]Resumen!$J$19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[25]Resumen!$B$19</f>
        <v>0</v>
      </c>
      <c r="C20" s="15">
        <f>[25]Resumen!$C$19</f>
        <v>0</v>
      </c>
      <c r="D20" s="16">
        <f>[25]Resumen!$D$19</f>
        <v>0</v>
      </c>
      <c r="E20" s="14">
        <f>[25]Resumen!$E$19</f>
        <v>0</v>
      </c>
      <c r="F20" s="15">
        <f>[25]Resumen!$F$19</f>
        <v>0</v>
      </c>
      <c r="G20" s="17">
        <f>[25]Resumen!$G$19</f>
        <v>0</v>
      </c>
      <c r="H20" s="18">
        <f>[25]Resumen!$H$19</f>
        <v>0</v>
      </c>
      <c r="I20" s="15">
        <f>[25]Resumen!$I$19</f>
        <v>0</v>
      </c>
      <c r="J20" s="16">
        <f>[25]Resumen!$J$19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[26]Resumen!$B$19</f>
        <v>0</v>
      </c>
      <c r="C21" s="15">
        <f>[26]Resumen!$C$19</f>
        <v>0</v>
      </c>
      <c r="D21" s="16">
        <f>[26]Resumen!$D$19</f>
        <v>0</v>
      </c>
      <c r="E21" s="14">
        <f>[26]Resumen!$E$19</f>
        <v>0</v>
      </c>
      <c r="F21" s="15">
        <f>[26]Resumen!$F$19</f>
        <v>0</v>
      </c>
      <c r="G21" s="17">
        <f>[26]Resumen!$G$19</f>
        <v>0</v>
      </c>
      <c r="H21" s="18">
        <f>[26]Resumen!$H$19</f>
        <v>0</v>
      </c>
      <c r="I21" s="15">
        <f>[26]Resumen!$I$19</f>
        <v>0</v>
      </c>
      <c r="J21" s="16">
        <f>[26]Resumen!$J$19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[27]Resumen!$B$19</f>
        <v>0</v>
      </c>
      <c r="C22" s="15">
        <f>[27]Resumen!$C$19</f>
        <v>0</v>
      </c>
      <c r="D22" s="16">
        <f>[27]Resumen!$D$19</f>
        <v>0</v>
      </c>
      <c r="E22" s="14">
        <f>[27]Resumen!$E$19</f>
        <v>0</v>
      </c>
      <c r="F22" s="15">
        <f>[27]Resumen!$F$19</f>
        <v>0</v>
      </c>
      <c r="G22" s="17">
        <f>[27]Resumen!$G$19</f>
        <v>0</v>
      </c>
      <c r="H22" s="18">
        <f>[27]Resumen!$H$19</f>
        <v>0</v>
      </c>
      <c r="I22" s="15">
        <f>[27]Resumen!$I$19</f>
        <v>0</v>
      </c>
      <c r="J22" s="16">
        <f>[27]Resumen!$J$19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[28]Resumen!$B$19</f>
        <v>0</v>
      </c>
      <c r="C23" s="15">
        <f>[28]Resumen!$C$19</f>
        <v>0</v>
      </c>
      <c r="D23" s="16">
        <f>[28]Resumen!$D$19</f>
        <v>0</v>
      </c>
      <c r="E23" s="14">
        <f>[28]Resumen!$E$19</f>
        <v>0</v>
      </c>
      <c r="F23" s="15">
        <f>[28]Resumen!$F$19</f>
        <v>0</v>
      </c>
      <c r="G23" s="17">
        <f>[28]Resumen!$G$19</f>
        <v>0</v>
      </c>
      <c r="H23" s="18">
        <f>[28]Resumen!$H$19</f>
        <v>0</v>
      </c>
      <c r="I23" s="15">
        <f>[28]Resumen!$I$19</f>
        <v>0</v>
      </c>
      <c r="J23" s="16">
        <f>[28]Resumen!$J$19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[29]Resumen!$B$19</f>
        <v>0</v>
      </c>
      <c r="C24" s="15">
        <f>[29]Resumen!$C$19</f>
        <v>0</v>
      </c>
      <c r="D24" s="16">
        <f>[29]Resumen!$D$19</f>
        <v>0</v>
      </c>
      <c r="E24" s="14">
        <f>[29]Resumen!$E$19</f>
        <v>0</v>
      </c>
      <c r="F24" s="15">
        <f>[29]Resumen!$F$19</f>
        <v>0</v>
      </c>
      <c r="G24" s="17">
        <f>[29]Resumen!$G$19</f>
        <v>0</v>
      </c>
      <c r="H24" s="18">
        <f>[29]Resumen!$H$19</f>
        <v>0</v>
      </c>
      <c r="I24" s="15">
        <f>[29]Resumen!$I$19</f>
        <v>0</v>
      </c>
      <c r="J24" s="16">
        <f>[29]Resumen!$J$19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[30]Resumen!$B$19</f>
        <v>0</v>
      </c>
      <c r="C25" s="15">
        <f>[30]Resumen!$C$19</f>
        <v>0</v>
      </c>
      <c r="D25" s="16">
        <f>[30]Resumen!$D$19</f>
        <v>0</v>
      </c>
      <c r="E25" s="14">
        <f>[30]Resumen!$E$19</f>
        <v>0</v>
      </c>
      <c r="F25" s="15">
        <f>[30]Resumen!$F$19</f>
        <v>0</v>
      </c>
      <c r="G25" s="17">
        <f>[30]Resumen!$G$19</f>
        <v>0</v>
      </c>
      <c r="H25" s="18">
        <f>[30]Resumen!$H$19</f>
        <v>0</v>
      </c>
      <c r="I25" s="15">
        <f>[30]Resumen!$I$19</f>
        <v>0</v>
      </c>
      <c r="J25" s="16">
        <f>[30]Resumen!$J$19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[31]Resumen!$B$19</f>
        <v>0</v>
      </c>
      <c r="C26" s="15">
        <f>[31]Resumen!$C$19</f>
        <v>0</v>
      </c>
      <c r="D26" s="16">
        <f>[31]Resumen!$D$19</f>
        <v>0</v>
      </c>
      <c r="E26" s="14">
        <f>[31]Resumen!$E$19</f>
        <v>0</v>
      </c>
      <c r="F26" s="15">
        <f>[31]Resumen!$F$19</f>
        <v>0</v>
      </c>
      <c r="G26" s="17">
        <f>[31]Resumen!$G$19</f>
        <v>0</v>
      </c>
      <c r="H26" s="18">
        <f>[31]Resumen!$H$19</f>
        <v>0</v>
      </c>
      <c r="I26" s="15">
        <f>[31]Resumen!$I$19</f>
        <v>0</v>
      </c>
      <c r="J26" s="16">
        <f>[31]Resumen!$J$19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[1]Resumen!$B$19</f>
        <v>0</v>
      </c>
      <c r="C27" s="15">
        <f>[1]Resumen!$C$19</f>
        <v>0</v>
      </c>
      <c r="D27" s="16">
        <f>[1]Resumen!$D$19</f>
        <v>0</v>
      </c>
      <c r="E27" s="14">
        <f>[1]Resumen!$E$19</f>
        <v>0</v>
      </c>
      <c r="F27" s="15">
        <f>[1]Resumen!$F$19</f>
        <v>0</v>
      </c>
      <c r="G27" s="17">
        <f>[1]Resumen!$G$19</f>
        <v>0</v>
      </c>
      <c r="H27" s="18">
        <f>[1]Resumen!$H$19</f>
        <v>0</v>
      </c>
      <c r="I27" s="15">
        <f>[1]Resumen!$I$19</f>
        <v>0</v>
      </c>
      <c r="J27" s="16">
        <f>[1]Resumen!$J$19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[2]Resumen!$B$19</f>
        <v>0</v>
      </c>
      <c r="C28" s="15">
        <f>[2]Resumen!$C$19</f>
        <v>0</v>
      </c>
      <c r="D28" s="16">
        <f>[2]Resumen!$D$19</f>
        <v>0</v>
      </c>
      <c r="E28" s="14">
        <f>[2]Resumen!$E$19</f>
        <v>0</v>
      </c>
      <c r="F28" s="15">
        <f>[2]Resumen!$F$19</f>
        <v>0</v>
      </c>
      <c r="G28" s="17">
        <f>[2]Resumen!$G$19</f>
        <v>0</v>
      </c>
      <c r="H28" s="18">
        <f>[2]Resumen!$H$19</f>
        <v>0</v>
      </c>
      <c r="I28" s="15">
        <f>[2]Resumen!$I$19</f>
        <v>0</v>
      </c>
      <c r="J28" s="16">
        <f>[2]Resumen!$J$19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[3]Resumen!$B$19</f>
        <v>0</v>
      </c>
      <c r="C29" s="15">
        <f>[3]Resumen!$C$19</f>
        <v>0</v>
      </c>
      <c r="D29" s="16">
        <f>[3]Resumen!$D$19</f>
        <v>0</v>
      </c>
      <c r="E29" s="14">
        <f>[3]Resumen!$E$19</f>
        <v>0</v>
      </c>
      <c r="F29" s="15">
        <f>[3]Resumen!$F$19</f>
        <v>0</v>
      </c>
      <c r="G29" s="17">
        <f>[3]Resumen!$G$19</f>
        <v>0</v>
      </c>
      <c r="H29" s="18">
        <f>[3]Resumen!$H$19</f>
        <v>0</v>
      </c>
      <c r="I29" s="15">
        <f>[3]Resumen!$I$19</f>
        <v>0</v>
      </c>
      <c r="J29" s="16">
        <f>[3]Resumen!$J$19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[4]Resumen!$B$19</f>
        <v>0</v>
      </c>
      <c r="C30" s="15">
        <f>[4]Resumen!$C$19</f>
        <v>0</v>
      </c>
      <c r="D30" s="16">
        <f>[4]Resumen!$D$19</f>
        <v>0</v>
      </c>
      <c r="E30" s="14">
        <f>[4]Resumen!$E$19</f>
        <v>0</v>
      </c>
      <c r="F30" s="15">
        <f>[4]Resumen!$F$19</f>
        <v>0</v>
      </c>
      <c r="G30" s="17">
        <f>[4]Resumen!$G$19</f>
        <v>0</v>
      </c>
      <c r="H30" s="18">
        <f>[4]Resumen!$H$19</f>
        <v>0</v>
      </c>
      <c r="I30" s="15">
        <f>[4]Resumen!$I$19</f>
        <v>0</v>
      </c>
      <c r="J30" s="16">
        <f>[4]Resumen!$J$19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[5]Resumen!$B$19</f>
        <v>0</v>
      </c>
      <c r="C31" s="15">
        <f>[5]Resumen!$C$19</f>
        <v>0</v>
      </c>
      <c r="D31" s="16">
        <f>[5]Resumen!$D$19</f>
        <v>0</v>
      </c>
      <c r="E31" s="14">
        <f>[5]Resumen!$E$19</f>
        <v>0</v>
      </c>
      <c r="F31" s="15">
        <f>[5]Resumen!$F$19</f>
        <v>0</v>
      </c>
      <c r="G31" s="17">
        <f>[5]Resumen!$G$19</f>
        <v>0</v>
      </c>
      <c r="H31" s="18">
        <f>[5]Resumen!$H$19</f>
        <v>0</v>
      </c>
      <c r="I31" s="15">
        <f>[5]Resumen!$I$19</f>
        <v>0</v>
      </c>
      <c r="J31" s="16">
        <f>[5]Resumen!$J$19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[6]Resumen!$B$19</f>
        <v>0</v>
      </c>
      <c r="C32" s="15">
        <f>[6]Resumen!$C$19</f>
        <v>0</v>
      </c>
      <c r="D32" s="16">
        <f>[6]Resumen!$D$19</f>
        <v>0</v>
      </c>
      <c r="E32" s="14">
        <f>[6]Resumen!$E$19</f>
        <v>0</v>
      </c>
      <c r="F32" s="15">
        <f>[6]Resumen!$F$19</f>
        <v>0</v>
      </c>
      <c r="G32" s="17">
        <f>[6]Resumen!$G$19</f>
        <v>0</v>
      </c>
      <c r="H32" s="18">
        <f>[6]Resumen!$H$19</f>
        <v>0</v>
      </c>
      <c r="I32" s="15">
        <f>[6]Resumen!$I$19</f>
        <v>0</v>
      </c>
      <c r="J32" s="16">
        <f>[6]Resumen!$J$19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[7]Resumen!$B$19</f>
        <v>0</v>
      </c>
      <c r="C33" s="15">
        <f>[7]Resumen!$C$19</f>
        <v>0</v>
      </c>
      <c r="D33" s="16">
        <f>[7]Resumen!$D$19</f>
        <v>0</v>
      </c>
      <c r="E33" s="14">
        <f>[7]Resumen!$E$19</f>
        <v>0</v>
      </c>
      <c r="F33" s="15">
        <f>[7]Resumen!$F$19</f>
        <v>0</v>
      </c>
      <c r="G33" s="17">
        <f>[7]Resumen!$G$19</f>
        <v>0</v>
      </c>
      <c r="H33" s="18">
        <f>[7]Resumen!$H$19</f>
        <v>0</v>
      </c>
      <c r="I33" s="15">
        <f>[7]Resumen!$I$19</f>
        <v>0</v>
      </c>
      <c r="J33" s="16">
        <f>[7]Resumen!$J$19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[8]Resumen!$B$19</f>
        <v>0</v>
      </c>
      <c r="C34" s="15">
        <f>[8]Resumen!$C$19</f>
        <v>0</v>
      </c>
      <c r="D34" s="16">
        <f>[8]Resumen!$D$19</f>
        <v>0</v>
      </c>
      <c r="E34" s="14">
        <f>[8]Resumen!$E$19</f>
        <v>0</v>
      </c>
      <c r="F34" s="15">
        <f>[8]Resumen!$F$19</f>
        <v>0</v>
      </c>
      <c r="G34" s="17">
        <f>[8]Resumen!$G$19</f>
        <v>0</v>
      </c>
      <c r="H34" s="18">
        <f>[8]Resumen!$H$19</f>
        <v>0</v>
      </c>
      <c r="I34" s="15">
        <f>[8]Resumen!$I$19</f>
        <v>0</v>
      </c>
      <c r="J34" s="16">
        <f>[8]Resumen!$J$19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[9]Resumen!$B$19</f>
        <v>0</v>
      </c>
      <c r="C35" s="15">
        <f>[9]Resumen!$C$19</f>
        <v>0</v>
      </c>
      <c r="D35" s="16">
        <f>[9]Resumen!$D$19</f>
        <v>0</v>
      </c>
      <c r="E35" s="14">
        <f>[9]Resumen!$E$19</f>
        <v>0</v>
      </c>
      <c r="F35" s="15">
        <f>[9]Resumen!$F$19</f>
        <v>0</v>
      </c>
      <c r="G35" s="17">
        <f>[9]Resumen!$G$19</f>
        <v>0</v>
      </c>
      <c r="H35" s="18">
        <f>[9]Resumen!$H$19</f>
        <v>0</v>
      </c>
      <c r="I35" s="15">
        <f>[9]Resumen!$I$19</f>
        <v>0</v>
      </c>
      <c r="J35" s="16">
        <f>[9]Resumen!$J$19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+[10]Resumen!$B$19</f>
        <v>0</v>
      </c>
      <c r="C36" s="22">
        <f>+[10]Resumen!$C$19</f>
        <v>0</v>
      </c>
      <c r="D36" s="23">
        <f>+[10]Resumen!$D$19</f>
        <v>0</v>
      </c>
      <c r="E36" s="21">
        <f>+[10]Resumen!$E$19</f>
        <v>0</v>
      </c>
      <c r="F36" s="22">
        <f>+[10]Resumen!$F$19</f>
        <v>0</v>
      </c>
      <c r="G36" s="24">
        <f>+[10]Resumen!$G$19</f>
        <v>0</v>
      </c>
      <c r="H36" s="25">
        <f>+[10]Resumen!$H$19</f>
        <v>0</v>
      </c>
      <c r="I36" s="22">
        <f>+[10]Resumen!$I$19</f>
        <v>0</v>
      </c>
      <c r="J36" s="23">
        <f>+[10]Resumen!$J$19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43" t="s">
        <v>0</v>
      </c>
      <c r="J1" s="143"/>
      <c r="K1" s="143"/>
      <c r="L1" s="143"/>
      <c r="M1" s="143"/>
      <c r="N1" s="143"/>
    </row>
    <row r="2" spans="1:17" ht="18.5" x14ac:dyDescent="0.45">
      <c r="A2" s="2" t="s">
        <v>1</v>
      </c>
      <c r="B2" s="142" t="s">
        <v>79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[11]Resumen!$B$20</f>
        <v>0</v>
      </c>
      <c r="C6" s="58">
        <f>[11]Resumen!$C$20</f>
        <v>0</v>
      </c>
      <c r="D6" s="54">
        <f>[11]Resumen!$D$20</f>
        <v>0</v>
      </c>
      <c r="E6" s="53">
        <f>[11]Resumen!$E$20</f>
        <v>0</v>
      </c>
      <c r="F6" s="58">
        <f>[11]Resumen!$F$20</f>
        <v>0</v>
      </c>
      <c r="G6" s="55">
        <f>[11]Resumen!$G$20</f>
        <v>0</v>
      </c>
      <c r="H6" s="61">
        <f>[11]Resumen!$H$20</f>
        <v>0</v>
      </c>
      <c r="I6" s="58">
        <f>[11]Resumen!$I$20</f>
        <v>0</v>
      </c>
      <c r="J6" s="54">
        <f>[11]Resumen!$J$20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[12]Resumen!$B$20</f>
        <v>0</v>
      </c>
      <c r="C7" s="15">
        <f>[12]Resumen!$C$20</f>
        <v>0</v>
      </c>
      <c r="D7" s="16">
        <f>[12]Resumen!$D$20</f>
        <v>0</v>
      </c>
      <c r="E7" s="14">
        <f>[12]Resumen!$E$20</f>
        <v>0</v>
      </c>
      <c r="F7" s="15">
        <f>[12]Resumen!$F$20</f>
        <v>0</v>
      </c>
      <c r="G7" s="17">
        <f>[12]Resumen!$G$20</f>
        <v>0</v>
      </c>
      <c r="H7" s="18">
        <f>[12]Resumen!$H$20</f>
        <v>0</v>
      </c>
      <c r="I7" s="15">
        <f>[12]Resumen!$I$20</f>
        <v>0</v>
      </c>
      <c r="J7" s="16">
        <f>[12]Resumen!$J$20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[13]Resumen!$B$20</f>
        <v>0</v>
      </c>
      <c r="C8" s="15">
        <f>[13]Resumen!$C$20</f>
        <v>0</v>
      </c>
      <c r="D8" s="16">
        <f>[13]Resumen!$D$20</f>
        <v>0</v>
      </c>
      <c r="E8" s="14">
        <f>[13]Resumen!$E$20</f>
        <v>0</v>
      </c>
      <c r="F8" s="15">
        <f>[13]Resumen!$F$20</f>
        <v>0</v>
      </c>
      <c r="G8" s="17">
        <f>[13]Resumen!$G$20</f>
        <v>0</v>
      </c>
      <c r="H8" s="18">
        <f>[13]Resumen!$H$20</f>
        <v>0</v>
      </c>
      <c r="I8" s="15">
        <f>[13]Resumen!$I$20</f>
        <v>0</v>
      </c>
      <c r="J8" s="16">
        <f>[13]Resumen!$J$20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[14]Resumen!$B$20</f>
        <v>0</v>
      </c>
      <c r="C9" s="15">
        <f>[14]Resumen!$C$20</f>
        <v>0</v>
      </c>
      <c r="D9" s="16">
        <f>[14]Resumen!$D$20</f>
        <v>0</v>
      </c>
      <c r="E9" s="14">
        <f>[14]Resumen!$E$20</f>
        <v>0</v>
      </c>
      <c r="F9" s="15">
        <f>[14]Resumen!$F$20</f>
        <v>0</v>
      </c>
      <c r="G9" s="17">
        <f>[14]Resumen!$G$20</f>
        <v>0</v>
      </c>
      <c r="H9" s="18">
        <f>[14]Resumen!$H$20</f>
        <v>0</v>
      </c>
      <c r="I9" s="15">
        <f>[14]Resumen!$I$20</f>
        <v>0</v>
      </c>
      <c r="J9" s="16">
        <f>[14]Resumen!$J$20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[15]Resumen!$B$20</f>
        <v>0</v>
      </c>
      <c r="C10" s="15">
        <f>[15]Resumen!$C$20</f>
        <v>0</v>
      </c>
      <c r="D10" s="16">
        <f>[15]Resumen!$D$20</f>
        <v>0</v>
      </c>
      <c r="E10" s="14">
        <f>[15]Resumen!$E$20</f>
        <v>0</v>
      </c>
      <c r="F10" s="15">
        <f>[15]Resumen!$F$20</f>
        <v>0</v>
      </c>
      <c r="G10" s="17">
        <f>[15]Resumen!$G$20</f>
        <v>0</v>
      </c>
      <c r="H10" s="18">
        <f>[15]Resumen!$H$20</f>
        <v>0</v>
      </c>
      <c r="I10" s="15">
        <f>[15]Resumen!$I$20</f>
        <v>0</v>
      </c>
      <c r="J10" s="16">
        <f>[15]Resumen!$J$20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[16]Resumen!$B$20</f>
        <v>0</v>
      </c>
      <c r="C11" s="15">
        <f>[16]Resumen!$C$20</f>
        <v>0</v>
      </c>
      <c r="D11" s="16">
        <f>[16]Resumen!$D$20</f>
        <v>0</v>
      </c>
      <c r="E11" s="14">
        <f>[16]Resumen!$E$20</f>
        <v>0</v>
      </c>
      <c r="F11" s="15">
        <f>[16]Resumen!$F$20</f>
        <v>0</v>
      </c>
      <c r="G11" s="17">
        <f>[16]Resumen!$G$20</f>
        <v>0</v>
      </c>
      <c r="H11" s="18">
        <f>[16]Resumen!$H$20</f>
        <v>0</v>
      </c>
      <c r="I11" s="15">
        <f>[16]Resumen!$I$20</f>
        <v>0</v>
      </c>
      <c r="J11" s="16">
        <f>[16]Resumen!$J$20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[17]Resumen!$B$20</f>
        <v>0</v>
      </c>
      <c r="C12" s="15">
        <f>[17]Resumen!$C$20</f>
        <v>0</v>
      </c>
      <c r="D12" s="16">
        <f>[17]Resumen!$D$20</f>
        <v>0</v>
      </c>
      <c r="E12" s="14">
        <f>[17]Resumen!$E$20</f>
        <v>0</v>
      </c>
      <c r="F12" s="15">
        <f>[17]Resumen!$F$20</f>
        <v>0</v>
      </c>
      <c r="G12" s="17">
        <f>[17]Resumen!$G$20</f>
        <v>0</v>
      </c>
      <c r="H12" s="18">
        <f>[17]Resumen!$H$20</f>
        <v>0</v>
      </c>
      <c r="I12" s="15">
        <f>[17]Resumen!$I$20</f>
        <v>0</v>
      </c>
      <c r="J12" s="16">
        <f>[17]Resumen!$J$20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[18]Resumen!$B$20</f>
        <v>0</v>
      </c>
      <c r="C13" s="15">
        <f>[18]Resumen!$C$20</f>
        <v>0</v>
      </c>
      <c r="D13" s="16">
        <f>[18]Resumen!$D$20</f>
        <v>0</v>
      </c>
      <c r="E13" s="14">
        <f>[18]Resumen!$E$20</f>
        <v>0</v>
      </c>
      <c r="F13" s="15">
        <f>[18]Resumen!$F$20</f>
        <v>0</v>
      </c>
      <c r="G13" s="17">
        <f>[18]Resumen!$G$20</f>
        <v>0</v>
      </c>
      <c r="H13" s="18">
        <f>[18]Resumen!$H$20</f>
        <v>0</v>
      </c>
      <c r="I13" s="15">
        <f>[18]Resumen!$I$20</f>
        <v>0</v>
      </c>
      <c r="J13" s="16">
        <f>[18]Resumen!$J$20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[19]Resumen!$B$20</f>
        <v>0</v>
      </c>
      <c r="C14" s="15">
        <f>[19]Resumen!$C$20</f>
        <v>0</v>
      </c>
      <c r="D14" s="16">
        <f>[19]Resumen!$D$20</f>
        <v>0</v>
      </c>
      <c r="E14" s="14">
        <f>[19]Resumen!$E$20</f>
        <v>0</v>
      </c>
      <c r="F14" s="15">
        <f>[19]Resumen!$F$20</f>
        <v>0</v>
      </c>
      <c r="G14" s="17">
        <f>[19]Resumen!$G$20</f>
        <v>0</v>
      </c>
      <c r="H14" s="18">
        <f>[19]Resumen!$H$20</f>
        <v>0</v>
      </c>
      <c r="I14" s="15">
        <f>[19]Resumen!$I$20</f>
        <v>0</v>
      </c>
      <c r="J14" s="16">
        <f>[19]Resumen!$J$20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[20]Resumen!$B$20</f>
        <v>0</v>
      </c>
      <c r="C15" s="15">
        <f>[20]Resumen!$C$20</f>
        <v>0</v>
      </c>
      <c r="D15" s="16">
        <f>[20]Resumen!$D$20</f>
        <v>0</v>
      </c>
      <c r="E15" s="14">
        <f>[20]Resumen!$E$20</f>
        <v>0</v>
      </c>
      <c r="F15" s="15">
        <f>[20]Resumen!$F$20</f>
        <v>0</v>
      </c>
      <c r="G15" s="17">
        <f>[20]Resumen!$G$20</f>
        <v>0</v>
      </c>
      <c r="H15" s="18">
        <f>[20]Resumen!$H$20</f>
        <v>0</v>
      </c>
      <c r="I15" s="15">
        <f>[20]Resumen!$I$20</f>
        <v>0</v>
      </c>
      <c r="J15" s="16">
        <f>[20]Resumen!$J$20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[21]Resumen!$B$20</f>
        <v>0</v>
      </c>
      <c r="C16" s="15">
        <f>[21]Resumen!$C$20</f>
        <v>0</v>
      </c>
      <c r="D16" s="16">
        <f>[21]Resumen!$D$20</f>
        <v>0</v>
      </c>
      <c r="E16" s="14">
        <f>[21]Resumen!$E$20</f>
        <v>0</v>
      </c>
      <c r="F16" s="15">
        <f>[21]Resumen!$F$20</f>
        <v>0</v>
      </c>
      <c r="G16" s="17">
        <f>[21]Resumen!$G$20</f>
        <v>0</v>
      </c>
      <c r="H16" s="18">
        <f>[21]Resumen!$H$20</f>
        <v>0</v>
      </c>
      <c r="I16" s="15">
        <f>[21]Resumen!$I$20</f>
        <v>0</v>
      </c>
      <c r="J16" s="16">
        <f>[21]Resumen!$J$20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[22]Resumen!$B$20</f>
        <v>0</v>
      </c>
      <c r="C17" s="15">
        <f>[22]Resumen!$C$20</f>
        <v>0</v>
      </c>
      <c r="D17" s="16">
        <f>[22]Resumen!$D$20</f>
        <v>0</v>
      </c>
      <c r="E17" s="14">
        <f>[22]Resumen!$E$20</f>
        <v>0</v>
      </c>
      <c r="F17" s="15">
        <f>[22]Resumen!$F$20</f>
        <v>0</v>
      </c>
      <c r="G17" s="17">
        <f>[22]Resumen!$G$20</f>
        <v>0</v>
      </c>
      <c r="H17" s="18">
        <f>[22]Resumen!$H$20</f>
        <v>0</v>
      </c>
      <c r="I17" s="15">
        <f>[22]Resumen!$I$20</f>
        <v>0</v>
      </c>
      <c r="J17" s="16">
        <f>[22]Resumen!$J$20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[23]Resumen!$B$20</f>
        <v>0</v>
      </c>
      <c r="C18" s="15">
        <f>[23]Resumen!$C$20</f>
        <v>0</v>
      </c>
      <c r="D18" s="16">
        <f>[23]Resumen!$D$20</f>
        <v>0</v>
      </c>
      <c r="E18" s="14">
        <f>[23]Resumen!$E$20</f>
        <v>0</v>
      </c>
      <c r="F18" s="15">
        <f>[23]Resumen!$F$20</f>
        <v>0</v>
      </c>
      <c r="G18" s="17">
        <f>[23]Resumen!$G$20</f>
        <v>0</v>
      </c>
      <c r="H18" s="18">
        <f>[23]Resumen!$H$20</f>
        <v>0</v>
      </c>
      <c r="I18" s="15">
        <f>[23]Resumen!$I$20</f>
        <v>0</v>
      </c>
      <c r="J18" s="16">
        <f>[23]Resumen!$J$20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[24]Resumen!$B$20</f>
        <v>0</v>
      </c>
      <c r="C19" s="15">
        <f>[24]Resumen!$C$20</f>
        <v>0</v>
      </c>
      <c r="D19" s="16">
        <f>[24]Resumen!$D$20</f>
        <v>0</v>
      </c>
      <c r="E19" s="14">
        <f>[24]Resumen!$E$20</f>
        <v>0</v>
      </c>
      <c r="F19" s="15">
        <f>[24]Resumen!$F$20</f>
        <v>0</v>
      </c>
      <c r="G19" s="17">
        <f>[24]Resumen!$G$20</f>
        <v>0</v>
      </c>
      <c r="H19" s="18">
        <f>[24]Resumen!$H$20</f>
        <v>0</v>
      </c>
      <c r="I19" s="15">
        <f>[24]Resumen!$I$20</f>
        <v>0</v>
      </c>
      <c r="J19" s="16">
        <f>[24]Resumen!$J$20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[25]Resumen!$B$20</f>
        <v>0</v>
      </c>
      <c r="C20" s="15">
        <f>[25]Resumen!$C$20</f>
        <v>0</v>
      </c>
      <c r="D20" s="16">
        <f>[25]Resumen!$D$20</f>
        <v>0</v>
      </c>
      <c r="E20" s="14">
        <f>[25]Resumen!$E$20</f>
        <v>0</v>
      </c>
      <c r="F20" s="15">
        <f>[25]Resumen!$F$20</f>
        <v>0</v>
      </c>
      <c r="G20" s="17">
        <f>[25]Resumen!$G$20</f>
        <v>0</v>
      </c>
      <c r="H20" s="18">
        <f>[25]Resumen!$H$20</f>
        <v>0</v>
      </c>
      <c r="I20" s="15">
        <f>[25]Resumen!$I$20</f>
        <v>0</v>
      </c>
      <c r="J20" s="16">
        <f>[25]Resumen!$J$20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[26]Resumen!$B$20</f>
        <v>0</v>
      </c>
      <c r="C21" s="15">
        <f>[26]Resumen!$C$20</f>
        <v>0</v>
      </c>
      <c r="D21" s="16">
        <f>[26]Resumen!$D$20</f>
        <v>0</v>
      </c>
      <c r="E21" s="14">
        <f>[26]Resumen!$E$20</f>
        <v>0</v>
      </c>
      <c r="F21" s="15">
        <f>[26]Resumen!$F$20</f>
        <v>0</v>
      </c>
      <c r="G21" s="17">
        <f>[26]Resumen!$G$20</f>
        <v>0</v>
      </c>
      <c r="H21" s="18">
        <f>[26]Resumen!$H$20</f>
        <v>0</v>
      </c>
      <c r="I21" s="15">
        <f>[26]Resumen!$I$20</f>
        <v>0</v>
      </c>
      <c r="J21" s="16">
        <f>[26]Resumen!$J$20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[27]Resumen!$B$20</f>
        <v>0</v>
      </c>
      <c r="C22" s="15">
        <f>[27]Resumen!$C$20</f>
        <v>0</v>
      </c>
      <c r="D22" s="16">
        <f>[27]Resumen!$D$20</f>
        <v>0</v>
      </c>
      <c r="E22" s="14">
        <f>[27]Resumen!$E$20</f>
        <v>0</v>
      </c>
      <c r="F22" s="15">
        <f>[27]Resumen!$F$20</f>
        <v>0</v>
      </c>
      <c r="G22" s="17">
        <f>[27]Resumen!$G$20</f>
        <v>0</v>
      </c>
      <c r="H22" s="18">
        <f>[27]Resumen!$H$20</f>
        <v>0</v>
      </c>
      <c r="I22" s="15">
        <f>[27]Resumen!$I$20</f>
        <v>0</v>
      </c>
      <c r="J22" s="16">
        <f>[27]Resumen!$J$20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[28]Resumen!$B$20</f>
        <v>0</v>
      </c>
      <c r="C23" s="15">
        <f>[28]Resumen!$C$20</f>
        <v>0</v>
      </c>
      <c r="D23" s="16">
        <f>[28]Resumen!$D$20</f>
        <v>0</v>
      </c>
      <c r="E23" s="14">
        <f>[28]Resumen!$E$20</f>
        <v>0</v>
      </c>
      <c r="F23" s="15">
        <f>[28]Resumen!$F$20</f>
        <v>0</v>
      </c>
      <c r="G23" s="17">
        <f>[28]Resumen!$G$20</f>
        <v>0</v>
      </c>
      <c r="H23" s="18">
        <f>[28]Resumen!$H$20</f>
        <v>0</v>
      </c>
      <c r="I23" s="15">
        <f>[28]Resumen!$I$20</f>
        <v>0</v>
      </c>
      <c r="J23" s="16">
        <f>[28]Resumen!$J$20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[29]Resumen!$B$20</f>
        <v>0</v>
      </c>
      <c r="C24" s="15">
        <f>[29]Resumen!$C$20</f>
        <v>0</v>
      </c>
      <c r="D24" s="16">
        <f>[29]Resumen!$D$20</f>
        <v>0</v>
      </c>
      <c r="E24" s="14">
        <f>[29]Resumen!$E$20</f>
        <v>0</v>
      </c>
      <c r="F24" s="15">
        <f>[29]Resumen!$F$20</f>
        <v>0</v>
      </c>
      <c r="G24" s="17">
        <f>[29]Resumen!$G$20</f>
        <v>0</v>
      </c>
      <c r="H24" s="18">
        <f>[29]Resumen!$H$20</f>
        <v>0</v>
      </c>
      <c r="I24" s="15">
        <f>[29]Resumen!$I$20</f>
        <v>0</v>
      </c>
      <c r="J24" s="16">
        <f>[29]Resumen!$J$20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[30]Resumen!$B$20</f>
        <v>0</v>
      </c>
      <c r="C25" s="15">
        <f>[30]Resumen!$C$20</f>
        <v>0</v>
      </c>
      <c r="D25" s="16">
        <f>[30]Resumen!$D$20</f>
        <v>0</v>
      </c>
      <c r="E25" s="14">
        <f>[30]Resumen!$E$20</f>
        <v>0</v>
      </c>
      <c r="F25" s="15">
        <f>[30]Resumen!$F$20</f>
        <v>0</v>
      </c>
      <c r="G25" s="17">
        <f>[30]Resumen!$G$20</f>
        <v>0</v>
      </c>
      <c r="H25" s="18">
        <f>[30]Resumen!$H$20</f>
        <v>0</v>
      </c>
      <c r="I25" s="15">
        <f>[30]Resumen!$I$20</f>
        <v>0</v>
      </c>
      <c r="J25" s="16">
        <f>[30]Resumen!$J$20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[31]Resumen!$B$20</f>
        <v>0</v>
      </c>
      <c r="C26" s="15">
        <f>[31]Resumen!$C$20</f>
        <v>0</v>
      </c>
      <c r="D26" s="16">
        <f>[31]Resumen!$D$20</f>
        <v>0</v>
      </c>
      <c r="E26" s="14">
        <f>[31]Resumen!$E$20</f>
        <v>0</v>
      </c>
      <c r="F26" s="15">
        <f>[31]Resumen!$F$20</f>
        <v>0</v>
      </c>
      <c r="G26" s="17">
        <f>[31]Resumen!$G$20</f>
        <v>0</v>
      </c>
      <c r="H26" s="18">
        <f>[31]Resumen!$H$20</f>
        <v>0</v>
      </c>
      <c r="I26" s="15">
        <f>[31]Resumen!$I$20</f>
        <v>0</v>
      </c>
      <c r="J26" s="16">
        <f>[31]Resumen!$J$20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[1]Resumen!$B$20</f>
        <v>0</v>
      </c>
      <c r="C27" s="15">
        <f>[1]Resumen!$C$20</f>
        <v>0</v>
      </c>
      <c r="D27" s="16">
        <f>[1]Resumen!$D$20</f>
        <v>0</v>
      </c>
      <c r="E27" s="14">
        <f>[1]Resumen!$E$20</f>
        <v>0</v>
      </c>
      <c r="F27" s="15">
        <f>[1]Resumen!$F$20</f>
        <v>0</v>
      </c>
      <c r="G27" s="17">
        <f>[1]Resumen!$G$20</f>
        <v>0</v>
      </c>
      <c r="H27" s="18">
        <f>[1]Resumen!$H$20</f>
        <v>0</v>
      </c>
      <c r="I27" s="15">
        <f>[1]Resumen!$I$20</f>
        <v>0</v>
      </c>
      <c r="J27" s="16">
        <f>[1]Resumen!$J$20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[2]Resumen!$B$20</f>
        <v>0</v>
      </c>
      <c r="C28" s="15">
        <f>[2]Resumen!$C$20</f>
        <v>0</v>
      </c>
      <c r="D28" s="16">
        <f>[2]Resumen!$D$20</f>
        <v>0</v>
      </c>
      <c r="E28" s="14">
        <f>[2]Resumen!$E$20</f>
        <v>0</v>
      </c>
      <c r="F28" s="15">
        <f>[2]Resumen!$F$20</f>
        <v>0</v>
      </c>
      <c r="G28" s="17">
        <f>[2]Resumen!$G$20</f>
        <v>0</v>
      </c>
      <c r="H28" s="18">
        <f>[2]Resumen!$H$20</f>
        <v>0</v>
      </c>
      <c r="I28" s="15">
        <f>[2]Resumen!$I$20</f>
        <v>0</v>
      </c>
      <c r="J28" s="16">
        <f>[2]Resumen!$J$20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[3]Resumen!$B$20</f>
        <v>0</v>
      </c>
      <c r="C29" s="15">
        <f>[3]Resumen!$C$20</f>
        <v>0</v>
      </c>
      <c r="D29" s="16">
        <f>[3]Resumen!$D$20</f>
        <v>0</v>
      </c>
      <c r="E29" s="14">
        <f>[3]Resumen!$E$20</f>
        <v>0</v>
      </c>
      <c r="F29" s="15">
        <f>[3]Resumen!$F$20</f>
        <v>0</v>
      </c>
      <c r="G29" s="17">
        <f>[3]Resumen!$G$20</f>
        <v>0</v>
      </c>
      <c r="H29" s="18">
        <f>[3]Resumen!$H$20</f>
        <v>0</v>
      </c>
      <c r="I29" s="15">
        <f>[3]Resumen!$I$20</f>
        <v>0</v>
      </c>
      <c r="J29" s="16">
        <f>[3]Resumen!$J$20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[4]Resumen!$B$20</f>
        <v>0</v>
      </c>
      <c r="C30" s="15">
        <f>[4]Resumen!$C$20</f>
        <v>0</v>
      </c>
      <c r="D30" s="16">
        <f>[4]Resumen!$D$20</f>
        <v>0</v>
      </c>
      <c r="E30" s="14">
        <f>[4]Resumen!$E$20</f>
        <v>0</v>
      </c>
      <c r="F30" s="15">
        <f>[4]Resumen!$F$20</f>
        <v>0</v>
      </c>
      <c r="G30" s="17">
        <f>[4]Resumen!$G$20</f>
        <v>0</v>
      </c>
      <c r="H30" s="18">
        <f>[4]Resumen!$H$20</f>
        <v>0</v>
      </c>
      <c r="I30" s="15">
        <f>[4]Resumen!$I$20</f>
        <v>0</v>
      </c>
      <c r="J30" s="16">
        <f>[4]Resumen!$J$20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[5]Resumen!$B$20</f>
        <v>0</v>
      </c>
      <c r="C31" s="15">
        <f>[5]Resumen!$C$20</f>
        <v>0</v>
      </c>
      <c r="D31" s="16">
        <f>[5]Resumen!$D$20</f>
        <v>0</v>
      </c>
      <c r="E31" s="14">
        <f>[5]Resumen!$E$20</f>
        <v>0</v>
      </c>
      <c r="F31" s="15">
        <f>[5]Resumen!$F$20</f>
        <v>0</v>
      </c>
      <c r="G31" s="17">
        <f>[5]Resumen!$G$20</f>
        <v>0</v>
      </c>
      <c r="H31" s="18">
        <f>[5]Resumen!$H$20</f>
        <v>0</v>
      </c>
      <c r="I31" s="15">
        <f>[5]Resumen!$I$20</f>
        <v>0</v>
      </c>
      <c r="J31" s="16">
        <f>[5]Resumen!$J$20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[6]Resumen!$B$20</f>
        <v>0</v>
      </c>
      <c r="C32" s="15">
        <f>[6]Resumen!$C$20</f>
        <v>0</v>
      </c>
      <c r="D32" s="16">
        <f>[6]Resumen!$D$20</f>
        <v>0</v>
      </c>
      <c r="E32" s="14">
        <f>[6]Resumen!$E$20</f>
        <v>0</v>
      </c>
      <c r="F32" s="15">
        <f>[6]Resumen!$F$20</f>
        <v>0</v>
      </c>
      <c r="G32" s="17">
        <f>[6]Resumen!$G$20</f>
        <v>0</v>
      </c>
      <c r="H32" s="18">
        <f>[6]Resumen!$H$20</f>
        <v>0</v>
      </c>
      <c r="I32" s="15">
        <f>[6]Resumen!$I$20</f>
        <v>0</v>
      </c>
      <c r="J32" s="16">
        <f>[6]Resumen!$J$20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[7]Resumen!$B$20</f>
        <v>0</v>
      </c>
      <c r="C33" s="15">
        <f>[7]Resumen!$C$20</f>
        <v>0</v>
      </c>
      <c r="D33" s="16">
        <f>[7]Resumen!$D$20</f>
        <v>0</v>
      </c>
      <c r="E33" s="14">
        <f>[7]Resumen!$E$20</f>
        <v>0</v>
      </c>
      <c r="F33" s="15">
        <f>[7]Resumen!$F$20</f>
        <v>0</v>
      </c>
      <c r="G33" s="17">
        <f>[7]Resumen!$G$20</f>
        <v>0</v>
      </c>
      <c r="H33" s="18">
        <f>[7]Resumen!$H$20</f>
        <v>0</v>
      </c>
      <c r="I33" s="15">
        <f>[7]Resumen!$I$20</f>
        <v>0</v>
      </c>
      <c r="J33" s="16">
        <f>[7]Resumen!$J$20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[8]Resumen!$B$20</f>
        <v>0</v>
      </c>
      <c r="C34" s="15">
        <f>[8]Resumen!$C$20</f>
        <v>0</v>
      </c>
      <c r="D34" s="16">
        <f>[8]Resumen!$D$20</f>
        <v>0</v>
      </c>
      <c r="E34" s="14">
        <f>[8]Resumen!$E$20</f>
        <v>0</v>
      </c>
      <c r="F34" s="15">
        <f>[8]Resumen!$F$20</f>
        <v>0</v>
      </c>
      <c r="G34" s="17">
        <f>[8]Resumen!$G$20</f>
        <v>0</v>
      </c>
      <c r="H34" s="18">
        <f>[8]Resumen!$H$20</f>
        <v>0</v>
      </c>
      <c r="I34" s="15">
        <f>[8]Resumen!$I$20</f>
        <v>0</v>
      </c>
      <c r="J34" s="16">
        <f>[8]Resumen!$J$20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[9]Resumen!$B$20</f>
        <v>0</v>
      </c>
      <c r="C35" s="15">
        <f>[9]Resumen!$C$20</f>
        <v>0</v>
      </c>
      <c r="D35" s="16">
        <f>[9]Resumen!$D$20</f>
        <v>0</v>
      </c>
      <c r="E35" s="14">
        <f>[9]Resumen!$E$20</f>
        <v>0</v>
      </c>
      <c r="F35" s="15">
        <f>[9]Resumen!$F$20</f>
        <v>0</v>
      </c>
      <c r="G35" s="17">
        <f>[9]Resumen!$G$20</f>
        <v>0</v>
      </c>
      <c r="H35" s="18">
        <f>[9]Resumen!$H$20</f>
        <v>0</v>
      </c>
      <c r="I35" s="15">
        <f>[9]Resumen!$I$20</f>
        <v>0</v>
      </c>
      <c r="J35" s="16">
        <f>[9]Resumen!$J$20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+[10]Resumen!$B$20</f>
        <v>0</v>
      </c>
      <c r="C36" s="22">
        <f>+[10]Resumen!$C$20</f>
        <v>0</v>
      </c>
      <c r="D36" s="23">
        <f>+[10]Resumen!$D$20</f>
        <v>0</v>
      </c>
      <c r="E36" s="21">
        <f>+[10]Resumen!$E$20</f>
        <v>0</v>
      </c>
      <c r="F36" s="22">
        <f>+[10]Resumen!$F$20</f>
        <v>0</v>
      </c>
      <c r="G36" s="24">
        <f>+[10]Resumen!$G$20</f>
        <v>0</v>
      </c>
      <c r="H36" s="25">
        <f>+[10]Resumen!$H$20</f>
        <v>0</v>
      </c>
      <c r="I36" s="22">
        <f>+[10]Resumen!$I$20</f>
        <v>0</v>
      </c>
      <c r="J36" s="23">
        <f>+[10]Resumen!$J$20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80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[11]Resumen!$B$21</f>
        <v>0</v>
      </c>
      <c r="C6" s="58">
        <f>[11]Resumen!$C$21</f>
        <v>0</v>
      </c>
      <c r="D6" s="54">
        <f>[11]Resumen!$D$21</f>
        <v>0</v>
      </c>
      <c r="E6" s="53">
        <f>[11]Resumen!$E$21</f>
        <v>0</v>
      </c>
      <c r="F6" s="58">
        <f>[11]Resumen!$F$21</f>
        <v>0</v>
      </c>
      <c r="G6" s="55">
        <f>[11]Resumen!$G$21</f>
        <v>0</v>
      </c>
      <c r="H6" s="61">
        <f>[11]Resumen!$H$21</f>
        <v>0</v>
      </c>
      <c r="I6" s="58">
        <f>[11]Resumen!$I$21</f>
        <v>0</v>
      </c>
      <c r="J6" s="54">
        <f>[11]Resumen!$J$21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[12]Resumen!$B$21</f>
        <v>0</v>
      </c>
      <c r="C7" s="15">
        <f>[12]Resumen!$C$21</f>
        <v>0</v>
      </c>
      <c r="D7" s="16">
        <f>[12]Resumen!$D$21</f>
        <v>0</v>
      </c>
      <c r="E7" s="14">
        <f>[12]Resumen!$E$21</f>
        <v>0</v>
      </c>
      <c r="F7" s="15">
        <f>[12]Resumen!$F$21</f>
        <v>0</v>
      </c>
      <c r="G7" s="17">
        <f>[12]Resumen!$G$21</f>
        <v>0</v>
      </c>
      <c r="H7" s="18">
        <f>[12]Resumen!$H$21</f>
        <v>0</v>
      </c>
      <c r="I7" s="15">
        <f>[12]Resumen!$I$21</f>
        <v>0</v>
      </c>
      <c r="J7" s="16">
        <f>[12]Resumen!$J$21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[13]Resumen!$B$21</f>
        <v>0</v>
      </c>
      <c r="C8" s="15">
        <f>[13]Resumen!$C$21</f>
        <v>0</v>
      </c>
      <c r="D8" s="16">
        <f>[13]Resumen!$D$21</f>
        <v>0</v>
      </c>
      <c r="E8" s="14">
        <f>[13]Resumen!$E$21</f>
        <v>0</v>
      </c>
      <c r="F8" s="15">
        <f>[13]Resumen!$F$21</f>
        <v>0</v>
      </c>
      <c r="G8" s="17">
        <f>[13]Resumen!$G$21</f>
        <v>0</v>
      </c>
      <c r="H8" s="18">
        <f>[13]Resumen!$H$21</f>
        <v>0</v>
      </c>
      <c r="I8" s="15">
        <f>[13]Resumen!$I$21</f>
        <v>0</v>
      </c>
      <c r="J8" s="16">
        <f>[13]Resumen!$J$21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[14]Resumen!$B$21</f>
        <v>0</v>
      </c>
      <c r="C9" s="15">
        <f>[14]Resumen!$C$21</f>
        <v>0</v>
      </c>
      <c r="D9" s="16">
        <f>[14]Resumen!$D$21</f>
        <v>0</v>
      </c>
      <c r="E9" s="14">
        <f>[14]Resumen!$E$21</f>
        <v>0</v>
      </c>
      <c r="F9" s="15">
        <f>[14]Resumen!$F$21</f>
        <v>0</v>
      </c>
      <c r="G9" s="17">
        <f>[14]Resumen!$G$21</f>
        <v>0</v>
      </c>
      <c r="H9" s="18">
        <f>[14]Resumen!$H$21</f>
        <v>0</v>
      </c>
      <c r="I9" s="15">
        <f>[14]Resumen!$I$21</f>
        <v>0</v>
      </c>
      <c r="J9" s="16">
        <f>[14]Resumen!$J$21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[15]Resumen!$B$21</f>
        <v>0</v>
      </c>
      <c r="C10" s="15">
        <f>[15]Resumen!$C$21</f>
        <v>0</v>
      </c>
      <c r="D10" s="16">
        <f>[15]Resumen!$D$21</f>
        <v>0</v>
      </c>
      <c r="E10" s="14">
        <f>[15]Resumen!$E$21</f>
        <v>0</v>
      </c>
      <c r="F10" s="15">
        <f>[15]Resumen!$F$21</f>
        <v>0</v>
      </c>
      <c r="G10" s="17">
        <f>[15]Resumen!$G$21</f>
        <v>0</v>
      </c>
      <c r="H10" s="18">
        <f>[15]Resumen!$H$21</f>
        <v>0</v>
      </c>
      <c r="I10" s="15">
        <f>[15]Resumen!$I$21</f>
        <v>0</v>
      </c>
      <c r="J10" s="16">
        <f>[15]Resumen!$J$21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[16]Resumen!$B$21</f>
        <v>0</v>
      </c>
      <c r="C11" s="15">
        <f>[16]Resumen!$C$21</f>
        <v>0</v>
      </c>
      <c r="D11" s="16">
        <f>[16]Resumen!$D$21</f>
        <v>0</v>
      </c>
      <c r="E11" s="14">
        <f>[16]Resumen!$E$21</f>
        <v>0</v>
      </c>
      <c r="F11" s="15">
        <f>[16]Resumen!$F$21</f>
        <v>0</v>
      </c>
      <c r="G11" s="17">
        <f>[16]Resumen!$G$21</f>
        <v>0</v>
      </c>
      <c r="H11" s="18">
        <f>[16]Resumen!$H$21</f>
        <v>0</v>
      </c>
      <c r="I11" s="15">
        <f>[16]Resumen!$I$21</f>
        <v>0</v>
      </c>
      <c r="J11" s="16">
        <f>[16]Resumen!$J$21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[17]Resumen!$B$21</f>
        <v>0</v>
      </c>
      <c r="C12" s="15">
        <f>[17]Resumen!$C$21</f>
        <v>0</v>
      </c>
      <c r="D12" s="16">
        <f>[17]Resumen!$D$21</f>
        <v>0</v>
      </c>
      <c r="E12" s="14">
        <f>[17]Resumen!$E$21</f>
        <v>0</v>
      </c>
      <c r="F12" s="15">
        <f>[17]Resumen!$F$21</f>
        <v>0</v>
      </c>
      <c r="G12" s="17">
        <f>[17]Resumen!$G$21</f>
        <v>0</v>
      </c>
      <c r="H12" s="18">
        <f>[17]Resumen!$H$21</f>
        <v>0</v>
      </c>
      <c r="I12" s="15">
        <f>[17]Resumen!$I$21</f>
        <v>0</v>
      </c>
      <c r="J12" s="16">
        <f>[17]Resumen!$J$21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[18]Resumen!$B$21</f>
        <v>0</v>
      </c>
      <c r="C13" s="15">
        <f>[18]Resumen!$C$21</f>
        <v>0</v>
      </c>
      <c r="D13" s="16">
        <f>[18]Resumen!$D$21</f>
        <v>0</v>
      </c>
      <c r="E13" s="14">
        <f>[18]Resumen!$E$21</f>
        <v>0</v>
      </c>
      <c r="F13" s="15">
        <f>[18]Resumen!$F$21</f>
        <v>0</v>
      </c>
      <c r="G13" s="17">
        <f>[18]Resumen!$G$21</f>
        <v>0</v>
      </c>
      <c r="H13" s="18">
        <f>[18]Resumen!$H$21</f>
        <v>0</v>
      </c>
      <c r="I13" s="15">
        <f>[18]Resumen!$I$21</f>
        <v>0</v>
      </c>
      <c r="J13" s="16">
        <f>[18]Resumen!$J$21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[19]Resumen!$B$21</f>
        <v>0</v>
      </c>
      <c r="C14" s="15">
        <f>[19]Resumen!$C$21</f>
        <v>0</v>
      </c>
      <c r="D14" s="16">
        <f>[19]Resumen!$D$21</f>
        <v>0</v>
      </c>
      <c r="E14" s="14">
        <f>[19]Resumen!$E$21</f>
        <v>0</v>
      </c>
      <c r="F14" s="15">
        <f>[19]Resumen!$F$21</f>
        <v>0</v>
      </c>
      <c r="G14" s="17">
        <f>[19]Resumen!$G$21</f>
        <v>0</v>
      </c>
      <c r="H14" s="18">
        <f>[19]Resumen!$H$21</f>
        <v>0</v>
      </c>
      <c r="I14" s="15">
        <f>[19]Resumen!$I$21</f>
        <v>0</v>
      </c>
      <c r="J14" s="16">
        <f>[19]Resumen!$J$21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[20]Resumen!$B$21</f>
        <v>0</v>
      </c>
      <c r="C15" s="15">
        <f>[20]Resumen!$C$21</f>
        <v>0</v>
      </c>
      <c r="D15" s="16">
        <f>[20]Resumen!$D$21</f>
        <v>0</v>
      </c>
      <c r="E15" s="14">
        <f>[20]Resumen!$E$21</f>
        <v>0</v>
      </c>
      <c r="F15" s="15">
        <f>[20]Resumen!$F$21</f>
        <v>0</v>
      </c>
      <c r="G15" s="17">
        <f>[20]Resumen!$G$21</f>
        <v>0</v>
      </c>
      <c r="H15" s="18">
        <f>[20]Resumen!$H$21</f>
        <v>0</v>
      </c>
      <c r="I15" s="15">
        <f>[20]Resumen!$I$21</f>
        <v>0</v>
      </c>
      <c r="J15" s="16">
        <f>[20]Resumen!$J$21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[21]Resumen!$B$21</f>
        <v>0</v>
      </c>
      <c r="C16" s="15">
        <f>[21]Resumen!$C$21</f>
        <v>0</v>
      </c>
      <c r="D16" s="16">
        <f>[21]Resumen!$D$21</f>
        <v>0</v>
      </c>
      <c r="E16" s="14">
        <f>[21]Resumen!$E$21</f>
        <v>0</v>
      </c>
      <c r="F16" s="15">
        <f>[21]Resumen!$F$21</f>
        <v>0</v>
      </c>
      <c r="G16" s="17">
        <f>[21]Resumen!$G$21</f>
        <v>0</v>
      </c>
      <c r="H16" s="18">
        <f>[21]Resumen!$H$21</f>
        <v>0</v>
      </c>
      <c r="I16" s="15">
        <f>[21]Resumen!$I$21</f>
        <v>0</v>
      </c>
      <c r="J16" s="16">
        <f>[21]Resumen!$J$21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[22]Resumen!$B$21</f>
        <v>0</v>
      </c>
      <c r="C17" s="15">
        <f>[22]Resumen!$C$21</f>
        <v>0</v>
      </c>
      <c r="D17" s="16">
        <f>[22]Resumen!$D$21</f>
        <v>0</v>
      </c>
      <c r="E17" s="14">
        <f>[22]Resumen!$E$21</f>
        <v>0</v>
      </c>
      <c r="F17" s="15">
        <f>[22]Resumen!$F$21</f>
        <v>0</v>
      </c>
      <c r="G17" s="17">
        <f>[22]Resumen!$G$21</f>
        <v>0</v>
      </c>
      <c r="H17" s="18">
        <f>[22]Resumen!$H$21</f>
        <v>0</v>
      </c>
      <c r="I17" s="15">
        <f>[22]Resumen!$I$21</f>
        <v>0</v>
      </c>
      <c r="J17" s="16">
        <f>[22]Resumen!$J$21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[23]Resumen!$B$21</f>
        <v>0</v>
      </c>
      <c r="C18" s="15">
        <f>[23]Resumen!$C$21</f>
        <v>0</v>
      </c>
      <c r="D18" s="16">
        <f>[23]Resumen!$D$21</f>
        <v>0</v>
      </c>
      <c r="E18" s="14">
        <f>[23]Resumen!$E$21</f>
        <v>0</v>
      </c>
      <c r="F18" s="15">
        <f>[23]Resumen!$F$21</f>
        <v>0</v>
      </c>
      <c r="G18" s="17">
        <f>[23]Resumen!$G$21</f>
        <v>0</v>
      </c>
      <c r="H18" s="18">
        <f>[23]Resumen!$H$21</f>
        <v>0</v>
      </c>
      <c r="I18" s="15">
        <f>[23]Resumen!$I$21</f>
        <v>0</v>
      </c>
      <c r="J18" s="16">
        <f>[23]Resumen!$J$21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[24]Resumen!$B$21</f>
        <v>0</v>
      </c>
      <c r="C19" s="15">
        <f>[24]Resumen!$C$21</f>
        <v>0</v>
      </c>
      <c r="D19" s="16">
        <f>[24]Resumen!$D$21</f>
        <v>0</v>
      </c>
      <c r="E19" s="14">
        <f>[24]Resumen!$E$21</f>
        <v>0</v>
      </c>
      <c r="F19" s="15">
        <f>[24]Resumen!$F$21</f>
        <v>0</v>
      </c>
      <c r="G19" s="17">
        <f>[24]Resumen!$G$21</f>
        <v>0</v>
      </c>
      <c r="H19" s="18">
        <f>[24]Resumen!$H$21</f>
        <v>0</v>
      </c>
      <c r="I19" s="15">
        <f>[24]Resumen!$I$21</f>
        <v>0</v>
      </c>
      <c r="J19" s="16">
        <f>[24]Resumen!$J$21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[25]Resumen!$B$21</f>
        <v>0</v>
      </c>
      <c r="C20" s="15">
        <f>[25]Resumen!$C$21</f>
        <v>0</v>
      </c>
      <c r="D20" s="16">
        <f>[25]Resumen!$D$21</f>
        <v>0</v>
      </c>
      <c r="E20" s="14">
        <f>[25]Resumen!$E$21</f>
        <v>0</v>
      </c>
      <c r="F20" s="15">
        <f>[25]Resumen!$F$21</f>
        <v>0</v>
      </c>
      <c r="G20" s="17">
        <f>[25]Resumen!$G$21</f>
        <v>0</v>
      </c>
      <c r="H20" s="18">
        <f>[25]Resumen!$H$21</f>
        <v>0</v>
      </c>
      <c r="I20" s="15">
        <f>[25]Resumen!$I$21</f>
        <v>0</v>
      </c>
      <c r="J20" s="16">
        <f>[25]Resumen!$J$21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[26]Resumen!$B$21</f>
        <v>0</v>
      </c>
      <c r="C21" s="15">
        <f>[26]Resumen!$C$21</f>
        <v>0</v>
      </c>
      <c r="D21" s="16">
        <f>[26]Resumen!$D$21</f>
        <v>0</v>
      </c>
      <c r="E21" s="14">
        <f>[26]Resumen!$E$21</f>
        <v>0</v>
      </c>
      <c r="F21" s="15">
        <f>[26]Resumen!$F$21</f>
        <v>0</v>
      </c>
      <c r="G21" s="17">
        <f>[26]Resumen!$G$21</f>
        <v>0</v>
      </c>
      <c r="H21" s="18">
        <f>[26]Resumen!$H$21</f>
        <v>0</v>
      </c>
      <c r="I21" s="15">
        <f>[26]Resumen!$I$21</f>
        <v>0</v>
      </c>
      <c r="J21" s="16">
        <f>[26]Resumen!$J$21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[27]Resumen!$B$21</f>
        <v>0</v>
      </c>
      <c r="C22" s="15">
        <f>[27]Resumen!$C$21</f>
        <v>0</v>
      </c>
      <c r="D22" s="16">
        <f>[27]Resumen!$D$21</f>
        <v>0</v>
      </c>
      <c r="E22" s="14">
        <f>[27]Resumen!$E$21</f>
        <v>0</v>
      </c>
      <c r="F22" s="15">
        <f>[27]Resumen!$F$21</f>
        <v>0</v>
      </c>
      <c r="G22" s="17">
        <f>[27]Resumen!$G$21</f>
        <v>0</v>
      </c>
      <c r="H22" s="18">
        <f>[27]Resumen!$H$21</f>
        <v>0</v>
      </c>
      <c r="I22" s="15">
        <f>[27]Resumen!$I$21</f>
        <v>0</v>
      </c>
      <c r="J22" s="16">
        <f>[27]Resumen!$J$21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[28]Resumen!$B$21</f>
        <v>0</v>
      </c>
      <c r="C23" s="15">
        <f>[28]Resumen!$C$21</f>
        <v>0</v>
      </c>
      <c r="D23" s="16">
        <f>[28]Resumen!$D$21</f>
        <v>0</v>
      </c>
      <c r="E23" s="14">
        <f>[28]Resumen!$E$21</f>
        <v>0</v>
      </c>
      <c r="F23" s="15">
        <f>[28]Resumen!$F$21</f>
        <v>0</v>
      </c>
      <c r="G23" s="17">
        <f>[28]Resumen!$G$21</f>
        <v>0</v>
      </c>
      <c r="H23" s="18">
        <f>[28]Resumen!$H$21</f>
        <v>0</v>
      </c>
      <c r="I23" s="15">
        <f>[28]Resumen!$I$21</f>
        <v>0</v>
      </c>
      <c r="J23" s="16">
        <f>[28]Resumen!$J$21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[29]Resumen!$B$21</f>
        <v>0</v>
      </c>
      <c r="C24" s="15">
        <f>[29]Resumen!$C$21</f>
        <v>0</v>
      </c>
      <c r="D24" s="16">
        <f>[29]Resumen!$D$21</f>
        <v>0</v>
      </c>
      <c r="E24" s="14">
        <f>[29]Resumen!$E$21</f>
        <v>0</v>
      </c>
      <c r="F24" s="15">
        <f>[29]Resumen!$F$21</f>
        <v>0</v>
      </c>
      <c r="G24" s="17">
        <f>[29]Resumen!$G$21</f>
        <v>0</v>
      </c>
      <c r="H24" s="18">
        <f>[29]Resumen!$H$21</f>
        <v>0</v>
      </c>
      <c r="I24" s="15">
        <f>[29]Resumen!$I$21</f>
        <v>0</v>
      </c>
      <c r="J24" s="16">
        <f>[29]Resumen!$J$21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[30]Resumen!$B$21</f>
        <v>0</v>
      </c>
      <c r="C25" s="15">
        <f>[30]Resumen!$C$21</f>
        <v>0</v>
      </c>
      <c r="D25" s="16">
        <f>[30]Resumen!$D$21</f>
        <v>0</v>
      </c>
      <c r="E25" s="14">
        <f>[30]Resumen!$E$21</f>
        <v>0</v>
      </c>
      <c r="F25" s="15">
        <f>[30]Resumen!$F$21</f>
        <v>0</v>
      </c>
      <c r="G25" s="17">
        <f>[30]Resumen!$G$21</f>
        <v>0</v>
      </c>
      <c r="H25" s="18">
        <f>[30]Resumen!$H$21</f>
        <v>0</v>
      </c>
      <c r="I25" s="15">
        <f>[30]Resumen!$I$21</f>
        <v>0</v>
      </c>
      <c r="J25" s="16">
        <f>[30]Resumen!$J$21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[31]Resumen!$B$21</f>
        <v>0</v>
      </c>
      <c r="C26" s="15">
        <f>[31]Resumen!$C$21</f>
        <v>0</v>
      </c>
      <c r="D26" s="16">
        <f>[31]Resumen!$D$21</f>
        <v>0</v>
      </c>
      <c r="E26" s="14">
        <f>[31]Resumen!$E$21</f>
        <v>0</v>
      </c>
      <c r="F26" s="15">
        <f>[31]Resumen!$F$21</f>
        <v>0</v>
      </c>
      <c r="G26" s="17">
        <f>[31]Resumen!$G$21</f>
        <v>0</v>
      </c>
      <c r="H26" s="18">
        <f>[31]Resumen!$H$21</f>
        <v>0</v>
      </c>
      <c r="I26" s="15">
        <f>[31]Resumen!$I$21</f>
        <v>0</v>
      </c>
      <c r="J26" s="16">
        <f>[31]Resumen!$J$21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[1]Resumen!$B$21</f>
        <v>0</v>
      </c>
      <c r="C27" s="15">
        <f>[1]Resumen!$C$21</f>
        <v>0</v>
      </c>
      <c r="D27" s="16">
        <f>[1]Resumen!$D$21</f>
        <v>0</v>
      </c>
      <c r="E27" s="14">
        <f>[1]Resumen!$E$21</f>
        <v>0</v>
      </c>
      <c r="F27" s="15">
        <f>[1]Resumen!$F$21</f>
        <v>0</v>
      </c>
      <c r="G27" s="17">
        <f>[1]Resumen!$G$21</f>
        <v>0</v>
      </c>
      <c r="H27" s="18">
        <f>[1]Resumen!$H$21</f>
        <v>0</v>
      </c>
      <c r="I27" s="15">
        <f>[1]Resumen!$I$21</f>
        <v>0</v>
      </c>
      <c r="J27" s="16">
        <f>[1]Resumen!$J$21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[2]Resumen!$B$21</f>
        <v>0</v>
      </c>
      <c r="C28" s="15">
        <f>[2]Resumen!$C$21</f>
        <v>0</v>
      </c>
      <c r="D28" s="16">
        <f>[2]Resumen!$D$21</f>
        <v>0</v>
      </c>
      <c r="E28" s="14">
        <f>[2]Resumen!$E$21</f>
        <v>0</v>
      </c>
      <c r="F28" s="15">
        <f>[2]Resumen!$F$21</f>
        <v>0</v>
      </c>
      <c r="G28" s="17">
        <f>[2]Resumen!$G$21</f>
        <v>0</v>
      </c>
      <c r="H28" s="18">
        <f>[2]Resumen!$H$21</f>
        <v>0</v>
      </c>
      <c r="I28" s="15">
        <f>[2]Resumen!$I$21</f>
        <v>0</v>
      </c>
      <c r="J28" s="16">
        <f>[2]Resumen!$J$21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[3]Resumen!$B$21</f>
        <v>0</v>
      </c>
      <c r="C29" s="15">
        <f>[3]Resumen!$C$21</f>
        <v>0</v>
      </c>
      <c r="D29" s="16">
        <f>[3]Resumen!$D$21</f>
        <v>0</v>
      </c>
      <c r="E29" s="14">
        <f>[3]Resumen!$E$21</f>
        <v>0</v>
      </c>
      <c r="F29" s="15">
        <f>[3]Resumen!$F$21</f>
        <v>0</v>
      </c>
      <c r="G29" s="17">
        <f>[3]Resumen!$G$21</f>
        <v>0</v>
      </c>
      <c r="H29" s="18">
        <f>[3]Resumen!$H$21</f>
        <v>0</v>
      </c>
      <c r="I29" s="15">
        <f>[3]Resumen!$I$21</f>
        <v>0</v>
      </c>
      <c r="J29" s="16">
        <f>[3]Resumen!$J$21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[4]Resumen!$B$21</f>
        <v>0</v>
      </c>
      <c r="C30" s="15">
        <f>[4]Resumen!$C$21</f>
        <v>0</v>
      </c>
      <c r="D30" s="16">
        <f>[4]Resumen!$D$21</f>
        <v>0</v>
      </c>
      <c r="E30" s="14">
        <f>[4]Resumen!$E$21</f>
        <v>0</v>
      </c>
      <c r="F30" s="15">
        <f>[4]Resumen!$F$21</f>
        <v>0</v>
      </c>
      <c r="G30" s="17">
        <f>[4]Resumen!$G$21</f>
        <v>0</v>
      </c>
      <c r="H30" s="18">
        <f>[4]Resumen!$H$21</f>
        <v>0</v>
      </c>
      <c r="I30" s="15">
        <f>[4]Resumen!$I$21</f>
        <v>0</v>
      </c>
      <c r="J30" s="16">
        <f>[4]Resumen!$J$21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[5]Resumen!$B$21</f>
        <v>0</v>
      </c>
      <c r="C31" s="15">
        <f>[5]Resumen!$C$21</f>
        <v>0</v>
      </c>
      <c r="D31" s="16">
        <f>[5]Resumen!$D$21</f>
        <v>0</v>
      </c>
      <c r="E31" s="14">
        <f>[5]Resumen!$E$21</f>
        <v>0</v>
      </c>
      <c r="F31" s="15">
        <f>[5]Resumen!$F$21</f>
        <v>0</v>
      </c>
      <c r="G31" s="17">
        <f>[5]Resumen!$G$21</f>
        <v>0</v>
      </c>
      <c r="H31" s="18">
        <f>[5]Resumen!$H$21</f>
        <v>0</v>
      </c>
      <c r="I31" s="15">
        <f>[5]Resumen!$I$21</f>
        <v>0</v>
      </c>
      <c r="J31" s="16">
        <f>[5]Resumen!$J$21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[6]Resumen!$B$21</f>
        <v>0</v>
      </c>
      <c r="C32" s="15">
        <f>[6]Resumen!$C$21</f>
        <v>0</v>
      </c>
      <c r="D32" s="16">
        <f>[6]Resumen!$D$21</f>
        <v>0</v>
      </c>
      <c r="E32" s="14">
        <f>[6]Resumen!$E$21</f>
        <v>0</v>
      </c>
      <c r="F32" s="15">
        <f>[6]Resumen!$F$21</f>
        <v>0</v>
      </c>
      <c r="G32" s="17">
        <f>[6]Resumen!$G$21</f>
        <v>0</v>
      </c>
      <c r="H32" s="18">
        <f>[6]Resumen!$H$21</f>
        <v>0</v>
      </c>
      <c r="I32" s="15">
        <f>[6]Resumen!$I$21</f>
        <v>0</v>
      </c>
      <c r="J32" s="16">
        <f>[6]Resumen!$J$21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[7]Resumen!$B$21</f>
        <v>0</v>
      </c>
      <c r="C33" s="15">
        <f>[7]Resumen!$C$21</f>
        <v>0</v>
      </c>
      <c r="D33" s="16">
        <f>[7]Resumen!$D$21</f>
        <v>0</v>
      </c>
      <c r="E33" s="14">
        <f>[7]Resumen!$E$21</f>
        <v>0</v>
      </c>
      <c r="F33" s="15">
        <f>[7]Resumen!$F$21</f>
        <v>0</v>
      </c>
      <c r="G33" s="17">
        <f>[7]Resumen!$G$21</f>
        <v>0</v>
      </c>
      <c r="H33" s="18">
        <f>[7]Resumen!$H$21</f>
        <v>0</v>
      </c>
      <c r="I33" s="15">
        <f>[7]Resumen!$I$21</f>
        <v>0</v>
      </c>
      <c r="J33" s="16">
        <f>[7]Resumen!$J$21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[8]Resumen!$B$21</f>
        <v>0</v>
      </c>
      <c r="C34" s="15">
        <f>[8]Resumen!$C$21</f>
        <v>0</v>
      </c>
      <c r="D34" s="16">
        <f>[8]Resumen!$D$21</f>
        <v>0</v>
      </c>
      <c r="E34" s="14">
        <f>[8]Resumen!$E$21</f>
        <v>0</v>
      </c>
      <c r="F34" s="15">
        <f>[8]Resumen!$F$21</f>
        <v>0</v>
      </c>
      <c r="G34" s="17">
        <f>[8]Resumen!$G$21</f>
        <v>0</v>
      </c>
      <c r="H34" s="18">
        <f>[8]Resumen!$H$21</f>
        <v>0</v>
      </c>
      <c r="I34" s="15">
        <f>[8]Resumen!$I$21</f>
        <v>0</v>
      </c>
      <c r="J34" s="16">
        <f>[8]Resumen!$J$21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[9]Resumen!$B$21</f>
        <v>0</v>
      </c>
      <c r="C35" s="15">
        <f>[9]Resumen!$C$21</f>
        <v>0</v>
      </c>
      <c r="D35" s="16">
        <f>[9]Resumen!$D$21</f>
        <v>0</v>
      </c>
      <c r="E35" s="14">
        <f>[9]Resumen!$E$21</f>
        <v>0</v>
      </c>
      <c r="F35" s="15">
        <f>[9]Resumen!$F$21</f>
        <v>0</v>
      </c>
      <c r="G35" s="17">
        <f>[9]Resumen!$G$21</f>
        <v>0</v>
      </c>
      <c r="H35" s="18">
        <f>[9]Resumen!$H$21</f>
        <v>0</v>
      </c>
      <c r="I35" s="15">
        <f>[9]Resumen!$I$21</f>
        <v>0</v>
      </c>
      <c r="J35" s="16">
        <f>[9]Resumen!$J$21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+[10]Resumen!$B$21</f>
        <v>0</v>
      </c>
      <c r="C36" s="22">
        <f>+[10]Resumen!$C$21</f>
        <v>0</v>
      </c>
      <c r="D36" s="23">
        <f>+[10]Resumen!$D$21</f>
        <v>0</v>
      </c>
      <c r="E36" s="21">
        <f>+[10]Resumen!$E$21</f>
        <v>0</v>
      </c>
      <c r="F36" s="22">
        <f>+[10]Resumen!$F$21</f>
        <v>0</v>
      </c>
      <c r="G36" s="24">
        <f>+[10]Resumen!$G$21</f>
        <v>0</v>
      </c>
      <c r="H36" s="25">
        <f>+[10]Resumen!$H$21</f>
        <v>0</v>
      </c>
      <c r="I36" s="22">
        <f>+[10]Resumen!$I$21</f>
        <v>0</v>
      </c>
      <c r="J36" s="23">
        <f>+[10]Resumen!$J$21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40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81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[11]Resumen!$B$22</f>
        <v>0</v>
      </c>
      <c r="C6" s="58">
        <f>[11]Resumen!$C$22</f>
        <v>0</v>
      </c>
      <c r="D6" s="54">
        <f>[11]Resumen!$D$22</f>
        <v>0</v>
      </c>
      <c r="E6" s="53">
        <f>[11]Resumen!$E$22</f>
        <v>0</v>
      </c>
      <c r="F6" s="58">
        <f>[11]Resumen!$F$22</f>
        <v>0</v>
      </c>
      <c r="G6" s="55">
        <f>[11]Resumen!$G$22</f>
        <v>0</v>
      </c>
      <c r="H6" s="61">
        <f>[11]Resumen!$H$22</f>
        <v>0</v>
      </c>
      <c r="I6" s="58">
        <f>[11]Resumen!$I$22</f>
        <v>0</v>
      </c>
      <c r="J6" s="54">
        <f>[11]Resumen!$J$22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[12]Resumen!$B$22</f>
        <v>0</v>
      </c>
      <c r="C7" s="15">
        <f>[12]Resumen!$C$22</f>
        <v>0</v>
      </c>
      <c r="D7" s="16">
        <f>[12]Resumen!$D$22</f>
        <v>0</v>
      </c>
      <c r="E7" s="14">
        <f>[12]Resumen!$E$22</f>
        <v>0</v>
      </c>
      <c r="F7" s="15">
        <f>[12]Resumen!$F$22</f>
        <v>0</v>
      </c>
      <c r="G7" s="17">
        <f>[12]Resumen!$G$22</f>
        <v>0</v>
      </c>
      <c r="H7" s="18">
        <f>[12]Resumen!$H$22</f>
        <v>0</v>
      </c>
      <c r="I7" s="15">
        <f>[12]Resumen!$I$22</f>
        <v>0</v>
      </c>
      <c r="J7" s="16">
        <f>[12]Resumen!$J$22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[13]Resumen!$B$22</f>
        <v>0</v>
      </c>
      <c r="C8" s="15">
        <f>[13]Resumen!$C$22</f>
        <v>0</v>
      </c>
      <c r="D8" s="16">
        <f>[13]Resumen!$D$22</f>
        <v>0</v>
      </c>
      <c r="E8" s="14">
        <f>[13]Resumen!$E$22</f>
        <v>0</v>
      </c>
      <c r="F8" s="15">
        <f>[13]Resumen!$F$22</f>
        <v>0</v>
      </c>
      <c r="G8" s="17">
        <f>[13]Resumen!$G$22</f>
        <v>0</v>
      </c>
      <c r="H8" s="18">
        <f>[13]Resumen!$H$22</f>
        <v>0</v>
      </c>
      <c r="I8" s="15">
        <f>[13]Resumen!$I$22</f>
        <v>0</v>
      </c>
      <c r="J8" s="16">
        <f>[13]Resumen!$J$22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[14]Resumen!$B$22</f>
        <v>0</v>
      </c>
      <c r="C9" s="15">
        <f>[14]Resumen!$C$22</f>
        <v>0</v>
      </c>
      <c r="D9" s="16">
        <f>[14]Resumen!$D$22</f>
        <v>0</v>
      </c>
      <c r="E9" s="14">
        <f>[14]Resumen!$E$22</f>
        <v>0</v>
      </c>
      <c r="F9" s="15">
        <f>[14]Resumen!$F$22</f>
        <v>0</v>
      </c>
      <c r="G9" s="17">
        <f>[14]Resumen!$G$22</f>
        <v>0</v>
      </c>
      <c r="H9" s="18">
        <f>[14]Resumen!$H$22</f>
        <v>0</v>
      </c>
      <c r="I9" s="15">
        <f>[14]Resumen!$I$22</f>
        <v>0</v>
      </c>
      <c r="J9" s="16">
        <f>[14]Resumen!$J$22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[15]Resumen!$B$22</f>
        <v>0</v>
      </c>
      <c r="C10" s="15">
        <f>[15]Resumen!$C$22</f>
        <v>0</v>
      </c>
      <c r="D10" s="16">
        <f>[15]Resumen!$D$22</f>
        <v>0</v>
      </c>
      <c r="E10" s="14">
        <f>[15]Resumen!$E$22</f>
        <v>0</v>
      </c>
      <c r="F10" s="15">
        <f>[15]Resumen!$F$22</f>
        <v>0</v>
      </c>
      <c r="G10" s="17">
        <f>[15]Resumen!$G$22</f>
        <v>0</v>
      </c>
      <c r="H10" s="18">
        <f>[15]Resumen!$H$22</f>
        <v>0</v>
      </c>
      <c r="I10" s="15">
        <f>[15]Resumen!$I$22</f>
        <v>0</v>
      </c>
      <c r="J10" s="16">
        <f>[15]Resumen!$J$22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[16]Resumen!$B$22</f>
        <v>0</v>
      </c>
      <c r="C11" s="15">
        <f>[16]Resumen!$C$22</f>
        <v>0</v>
      </c>
      <c r="D11" s="16">
        <f>[16]Resumen!$D$22</f>
        <v>0</v>
      </c>
      <c r="E11" s="14">
        <f>[16]Resumen!$E$22</f>
        <v>0</v>
      </c>
      <c r="F11" s="15">
        <f>[16]Resumen!$F$22</f>
        <v>0</v>
      </c>
      <c r="G11" s="17">
        <f>[16]Resumen!$G$22</f>
        <v>0</v>
      </c>
      <c r="H11" s="18">
        <f>[16]Resumen!$H$22</f>
        <v>0</v>
      </c>
      <c r="I11" s="15">
        <f>[16]Resumen!$I$22</f>
        <v>0</v>
      </c>
      <c r="J11" s="16">
        <f>[16]Resumen!$J$22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[17]Resumen!$B$22</f>
        <v>0</v>
      </c>
      <c r="C12" s="15">
        <f>[17]Resumen!$C$22</f>
        <v>0</v>
      </c>
      <c r="D12" s="16">
        <f>[17]Resumen!$D$22</f>
        <v>0</v>
      </c>
      <c r="E12" s="14">
        <f>[17]Resumen!$E$22</f>
        <v>0</v>
      </c>
      <c r="F12" s="15">
        <f>[17]Resumen!$F$22</f>
        <v>0</v>
      </c>
      <c r="G12" s="17">
        <f>[17]Resumen!$G$22</f>
        <v>0</v>
      </c>
      <c r="H12" s="18">
        <f>[17]Resumen!$H$22</f>
        <v>0</v>
      </c>
      <c r="I12" s="15">
        <f>[17]Resumen!$I$22</f>
        <v>0</v>
      </c>
      <c r="J12" s="16">
        <f>[17]Resumen!$J$22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[18]Resumen!$B$22</f>
        <v>0</v>
      </c>
      <c r="C13" s="15">
        <f>[18]Resumen!$C$22</f>
        <v>0</v>
      </c>
      <c r="D13" s="16">
        <f>[18]Resumen!$D$22</f>
        <v>0</v>
      </c>
      <c r="E13" s="14">
        <f>[18]Resumen!$E$22</f>
        <v>0</v>
      </c>
      <c r="F13" s="15">
        <f>[18]Resumen!$F$22</f>
        <v>0</v>
      </c>
      <c r="G13" s="17">
        <f>[18]Resumen!$G$22</f>
        <v>0</v>
      </c>
      <c r="H13" s="18">
        <f>[18]Resumen!$H$22</f>
        <v>0</v>
      </c>
      <c r="I13" s="15">
        <f>[18]Resumen!$I$22</f>
        <v>0</v>
      </c>
      <c r="J13" s="16">
        <f>[18]Resumen!$J$22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[19]Resumen!$B$22</f>
        <v>0</v>
      </c>
      <c r="C14" s="15">
        <f>[19]Resumen!$C$22</f>
        <v>0</v>
      </c>
      <c r="D14" s="16">
        <f>[19]Resumen!$D$22</f>
        <v>0</v>
      </c>
      <c r="E14" s="14">
        <f>[19]Resumen!$E$22</f>
        <v>0</v>
      </c>
      <c r="F14" s="15">
        <f>[19]Resumen!$F$22</f>
        <v>0</v>
      </c>
      <c r="G14" s="17">
        <f>[19]Resumen!$G$22</f>
        <v>0</v>
      </c>
      <c r="H14" s="18">
        <f>[19]Resumen!$H$22</f>
        <v>0</v>
      </c>
      <c r="I14" s="15">
        <f>[19]Resumen!$I$22</f>
        <v>0</v>
      </c>
      <c r="J14" s="16">
        <f>[19]Resumen!$J$22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[20]Resumen!$B$22</f>
        <v>0</v>
      </c>
      <c r="C15" s="15">
        <f>[20]Resumen!$C$22</f>
        <v>0</v>
      </c>
      <c r="D15" s="16">
        <f>[20]Resumen!$D$22</f>
        <v>0</v>
      </c>
      <c r="E15" s="14">
        <f>[20]Resumen!$E$22</f>
        <v>0</v>
      </c>
      <c r="F15" s="15">
        <f>[20]Resumen!$F$22</f>
        <v>0</v>
      </c>
      <c r="G15" s="17">
        <f>[20]Resumen!$G$22</f>
        <v>0</v>
      </c>
      <c r="H15" s="18">
        <f>[20]Resumen!$H$22</f>
        <v>0</v>
      </c>
      <c r="I15" s="15">
        <f>[20]Resumen!$I$22</f>
        <v>0</v>
      </c>
      <c r="J15" s="16">
        <f>[20]Resumen!$J$22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[21]Resumen!$B$22</f>
        <v>0</v>
      </c>
      <c r="C16" s="15">
        <f>[21]Resumen!$C$22</f>
        <v>0</v>
      </c>
      <c r="D16" s="16">
        <f>[21]Resumen!$D$22</f>
        <v>0</v>
      </c>
      <c r="E16" s="14">
        <f>[21]Resumen!$E$22</f>
        <v>0</v>
      </c>
      <c r="F16" s="15">
        <f>[21]Resumen!$F$22</f>
        <v>0</v>
      </c>
      <c r="G16" s="17">
        <f>[21]Resumen!$G$22</f>
        <v>0</v>
      </c>
      <c r="H16" s="18">
        <f>[21]Resumen!$H$22</f>
        <v>0</v>
      </c>
      <c r="I16" s="15">
        <f>[21]Resumen!$I$22</f>
        <v>0</v>
      </c>
      <c r="J16" s="16">
        <f>[21]Resumen!$J$22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[22]Resumen!$B$22</f>
        <v>0</v>
      </c>
      <c r="C17" s="15">
        <f>[22]Resumen!$C$22</f>
        <v>0</v>
      </c>
      <c r="D17" s="16">
        <f>[22]Resumen!$D$22</f>
        <v>0</v>
      </c>
      <c r="E17" s="14">
        <f>[22]Resumen!$E$22</f>
        <v>0</v>
      </c>
      <c r="F17" s="15">
        <f>[22]Resumen!$F$22</f>
        <v>0</v>
      </c>
      <c r="G17" s="17">
        <f>[22]Resumen!$G$22</f>
        <v>0</v>
      </c>
      <c r="H17" s="18">
        <f>[22]Resumen!$H$22</f>
        <v>0</v>
      </c>
      <c r="I17" s="15">
        <f>[22]Resumen!$I$22</f>
        <v>0</v>
      </c>
      <c r="J17" s="16">
        <f>[22]Resumen!$J$22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[23]Resumen!$B$22</f>
        <v>0</v>
      </c>
      <c r="C18" s="15">
        <f>[23]Resumen!$C$22</f>
        <v>0</v>
      </c>
      <c r="D18" s="16">
        <f>[23]Resumen!$D$22</f>
        <v>0</v>
      </c>
      <c r="E18" s="14">
        <f>[23]Resumen!$E$22</f>
        <v>0</v>
      </c>
      <c r="F18" s="15">
        <f>[23]Resumen!$F$22</f>
        <v>0</v>
      </c>
      <c r="G18" s="17">
        <f>[23]Resumen!$G$22</f>
        <v>0</v>
      </c>
      <c r="H18" s="18">
        <f>[23]Resumen!$H$22</f>
        <v>0</v>
      </c>
      <c r="I18" s="15">
        <f>[23]Resumen!$I$22</f>
        <v>0</v>
      </c>
      <c r="J18" s="16">
        <f>[23]Resumen!$J$22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[24]Resumen!$B$22</f>
        <v>0</v>
      </c>
      <c r="C19" s="15">
        <f>[24]Resumen!$C$22</f>
        <v>0</v>
      </c>
      <c r="D19" s="16">
        <f>[24]Resumen!$D$22</f>
        <v>0</v>
      </c>
      <c r="E19" s="14">
        <f>[24]Resumen!$E$22</f>
        <v>0</v>
      </c>
      <c r="F19" s="15">
        <f>[24]Resumen!$F$22</f>
        <v>0</v>
      </c>
      <c r="G19" s="17">
        <f>[24]Resumen!$G$22</f>
        <v>0</v>
      </c>
      <c r="H19" s="18">
        <f>[24]Resumen!$H$22</f>
        <v>0</v>
      </c>
      <c r="I19" s="15">
        <f>[24]Resumen!$I$22</f>
        <v>0</v>
      </c>
      <c r="J19" s="16">
        <f>[24]Resumen!$J$22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[25]Resumen!$B$22</f>
        <v>0</v>
      </c>
      <c r="C20" s="15">
        <f>[25]Resumen!$C$22</f>
        <v>0</v>
      </c>
      <c r="D20" s="16">
        <f>[25]Resumen!$D$22</f>
        <v>0</v>
      </c>
      <c r="E20" s="14">
        <f>[25]Resumen!$E$22</f>
        <v>0</v>
      </c>
      <c r="F20" s="15">
        <f>[25]Resumen!$F$22</f>
        <v>0</v>
      </c>
      <c r="G20" s="17">
        <f>[25]Resumen!$G$22</f>
        <v>0</v>
      </c>
      <c r="H20" s="18">
        <f>[25]Resumen!$H$22</f>
        <v>0</v>
      </c>
      <c r="I20" s="15">
        <f>[25]Resumen!$I$22</f>
        <v>0</v>
      </c>
      <c r="J20" s="16">
        <f>[25]Resumen!$J$22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[26]Resumen!$B$22</f>
        <v>0</v>
      </c>
      <c r="C21" s="15">
        <f>[26]Resumen!$C$22</f>
        <v>0</v>
      </c>
      <c r="D21" s="16">
        <f>[26]Resumen!$D$22</f>
        <v>0</v>
      </c>
      <c r="E21" s="14">
        <f>[26]Resumen!$E$22</f>
        <v>0</v>
      </c>
      <c r="F21" s="15">
        <f>[26]Resumen!$F$22</f>
        <v>0</v>
      </c>
      <c r="G21" s="17">
        <f>[26]Resumen!$G$22</f>
        <v>0</v>
      </c>
      <c r="H21" s="18">
        <f>[26]Resumen!$H$22</f>
        <v>0</v>
      </c>
      <c r="I21" s="15">
        <f>[26]Resumen!$I$22</f>
        <v>0</v>
      </c>
      <c r="J21" s="16">
        <f>[26]Resumen!$J$22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[27]Resumen!$B$22</f>
        <v>0</v>
      </c>
      <c r="C22" s="15">
        <f>[27]Resumen!$C$22</f>
        <v>0</v>
      </c>
      <c r="D22" s="16">
        <f>[27]Resumen!$D$22</f>
        <v>0</v>
      </c>
      <c r="E22" s="14">
        <f>[27]Resumen!$E$22</f>
        <v>0</v>
      </c>
      <c r="F22" s="15">
        <f>[27]Resumen!$F$22</f>
        <v>0</v>
      </c>
      <c r="G22" s="17">
        <f>[27]Resumen!$G$22</f>
        <v>0</v>
      </c>
      <c r="H22" s="18">
        <f>[27]Resumen!$H$22</f>
        <v>0</v>
      </c>
      <c r="I22" s="15">
        <f>[27]Resumen!$I$22</f>
        <v>0</v>
      </c>
      <c r="J22" s="16">
        <f>[27]Resumen!$J$22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[28]Resumen!$B$22</f>
        <v>0</v>
      </c>
      <c r="C23" s="15">
        <f>[28]Resumen!$C$22</f>
        <v>0</v>
      </c>
      <c r="D23" s="16">
        <f>[28]Resumen!$D$22</f>
        <v>0</v>
      </c>
      <c r="E23" s="14">
        <f>[28]Resumen!$E$22</f>
        <v>0</v>
      </c>
      <c r="F23" s="15">
        <f>[28]Resumen!$F$22</f>
        <v>0</v>
      </c>
      <c r="G23" s="17">
        <f>[28]Resumen!$G$22</f>
        <v>0</v>
      </c>
      <c r="H23" s="18">
        <f>[28]Resumen!$H$22</f>
        <v>0</v>
      </c>
      <c r="I23" s="15">
        <f>[28]Resumen!$I$22</f>
        <v>0</v>
      </c>
      <c r="J23" s="16">
        <f>[28]Resumen!$J$22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[29]Resumen!$B$22</f>
        <v>0</v>
      </c>
      <c r="C24" s="15">
        <f>[29]Resumen!$C$22</f>
        <v>0</v>
      </c>
      <c r="D24" s="16">
        <f>[29]Resumen!$D$22</f>
        <v>0</v>
      </c>
      <c r="E24" s="14">
        <f>[29]Resumen!$E$22</f>
        <v>0</v>
      </c>
      <c r="F24" s="15">
        <f>[29]Resumen!$F$22</f>
        <v>0</v>
      </c>
      <c r="G24" s="17">
        <f>[29]Resumen!$G$22</f>
        <v>0</v>
      </c>
      <c r="H24" s="18">
        <f>[29]Resumen!$H$22</f>
        <v>0</v>
      </c>
      <c r="I24" s="15">
        <f>[29]Resumen!$I$22</f>
        <v>0</v>
      </c>
      <c r="J24" s="16">
        <f>[29]Resumen!$J$22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[30]Resumen!$B$22</f>
        <v>0</v>
      </c>
      <c r="C25" s="15">
        <f>[30]Resumen!$C$22</f>
        <v>0</v>
      </c>
      <c r="D25" s="16">
        <f>[30]Resumen!$D$22</f>
        <v>0</v>
      </c>
      <c r="E25" s="14">
        <f>[30]Resumen!$E$22</f>
        <v>0</v>
      </c>
      <c r="F25" s="15">
        <f>[30]Resumen!$F$22</f>
        <v>0</v>
      </c>
      <c r="G25" s="17">
        <f>[30]Resumen!$G$22</f>
        <v>0</v>
      </c>
      <c r="H25" s="18">
        <f>[30]Resumen!$H$22</f>
        <v>0</v>
      </c>
      <c r="I25" s="15">
        <f>[30]Resumen!$I$22</f>
        <v>0</v>
      </c>
      <c r="J25" s="16">
        <f>[30]Resumen!$J$22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[31]Resumen!$B$22</f>
        <v>0</v>
      </c>
      <c r="C26" s="15">
        <f>[31]Resumen!$C$22</f>
        <v>0</v>
      </c>
      <c r="D26" s="16">
        <f>[31]Resumen!$D$22</f>
        <v>0</v>
      </c>
      <c r="E26" s="14">
        <f>[31]Resumen!$E$22</f>
        <v>0</v>
      </c>
      <c r="F26" s="15">
        <f>[31]Resumen!$F$22</f>
        <v>0</v>
      </c>
      <c r="G26" s="17">
        <f>[31]Resumen!$G$22</f>
        <v>0</v>
      </c>
      <c r="H26" s="18">
        <f>[31]Resumen!$H$22</f>
        <v>0</v>
      </c>
      <c r="I26" s="15">
        <f>[31]Resumen!$I$22</f>
        <v>0</v>
      </c>
      <c r="J26" s="16">
        <f>[31]Resumen!$J$22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[1]Resumen!$B$22</f>
        <v>0</v>
      </c>
      <c r="C27" s="15">
        <f>[1]Resumen!$C$22</f>
        <v>0</v>
      </c>
      <c r="D27" s="16">
        <f>[1]Resumen!$D$22</f>
        <v>0</v>
      </c>
      <c r="E27" s="14">
        <f>[1]Resumen!$E$22</f>
        <v>0</v>
      </c>
      <c r="F27" s="15">
        <f>[1]Resumen!$F$22</f>
        <v>0</v>
      </c>
      <c r="G27" s="17">
        <f>[1]Resumen!$G$22</f>
        <v>0</v>
      </c>
      <c r="H27" s="18">
        <f>[1]Resumen!$H$22</f>
        <v>0</v>
      </c>
      <c r="I27" s="15">
        <f>[1]Resumen!$I$22</f>
        <v>0</v>
      </c>
      <c r="J27" s="16">
        <f>[1]Resumen!$J$22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[2]Resumen!$B$22</f>
        <v>0</v>
      </c>
      <c r="C28" s="15">
        <f>[2]Resumen!$C$22</f>
        <v>0</v>
      </c>
      <c r="D28" s="16">
        <f>[2]Resumen!$D$22</f>
        <v>0</v>
      </c>
      <c r="E28" s="14">
        <f>[2]Resumen!$E$22</f>
        <v>0</v>
      </c>
      <c r="F28" s="15">
        <f>[2]Resumen!$F$22</f>
        <v>0</v>
      </c>
      <c r="G28" s="17">
        <f>[2]Resumen!$G$22</f>
        <v>0</v>
      </c>
      <c r="H28" s="18">
        <f>[2]Resumen!$H$22</f>
        <v>0</v>
      </c>
      <c r="I28" s="15">
        <f>[2]Resumen!$I$22</f>
        <v>0</v>
      </c>
      <c r="J28" s="16">
        <f>[2]Resumen!$J$22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[3]Resumen!$B$22</f>
        <v>0</v>
      </c>
      <c r="C29" s="15">
        <f>[3]Resumen!$C$22</f>
        <v>0</v>
      </c>
      <c r="D29" s="16">
        <f>[3]Resumen!$D$22</f>
        <v>0</v>
      </c>
      <c r="E29" s="14">
        <f>[3]Resumen!$E$22</f>
        <v>0</v>
      </c>
      <c r="F29" s="15">
        <f>[3]Resumen!$F$22</f>
        <v>0</v>
      </c>
      <c r="G29" s="17">
        <f>[3]Resumen!$G$22</f>
        <v>0</v>
      </c>
      <c r="H29" s="18">
        <f>[3]Resumen!$H$22</f>
        <v>0</v>
      </c>
      <c r="I29" s="15">
        <f>[3]Resumen!$I$22</f>
        <v>0</v>
      </c>
      <c r="J29" s="16">
        <f>[3]Resumen!$J$22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[4]Resumen!$B$22</f>
        <v>0</v>
      </c>
      <c r="C30" s="15">
        <f>[4]Resumen!$C$22</f>
        <v>0</v>
      </c>
      <c r="D30" s="16">
        <f>[4]Resumen!$D$22</f>
        <v>0</v>
      </c>
      <c r="E30" s="14">
        <f>[4]Resumen!$E$22</f>
        <v>0</v>
      </c>
      <c r="F30" s="15">
        <f>[4]Resumen!$F$22</f>
        <v>0</v>
      </c>
      <c r="G30" s="17">
        <f>[4]Resumen!$G$22</f>
        <v>0</v>
      </c>
      <c r="H30" s="18">
        <f>[4]Resumen!$H$22</f>
        <v>0</v>
      </c>
      <c r="I30" s="15">
        <f>[4]Resumen!$I$22</f>
        <v>0</v>
      </c>
      <c r="J30" s="16">
        <f>[4]Resumen!$J$22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[5]Resumen!$B$22</f>
        <v>0</v>
      </c>
      <c r="C31" s="15">
        <f>[5]Resumen!$C$22</f>
        <v>0</v>
      </c>
      <c r="D31" s="16">
        <f>[5]Resumen!$D$22</f>
        <v>0</v>
      </c>
      <c r="E31" s="14">
        <f>[5]Resumen!$E$22</f>
        <v>0</v>
      </c>
      <c r="F31" s="15">
        <f>[5]Resumen!$F$22</f>
        <v>0</v>
      </c>
      <c r="G31" s="17">
        <f>[5]Resumen!$G$22</f>
        <v>0</v>
      </c>
      <c r="H31" s="18">
        <f>[5]Resumen!$H$22</f>
        <v>0</v>
      </c>
      <c r="I31" s="15">
        <f>[5]Resumen!$I$22</f>
        <v>0</v>
      </c>
      <c r="J31" s="16">
        <f>[5]Resumen!$J$22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[6]Resumen!$B$22</f>
        <v>0</v>
      </c>
      <c r="C32" s="15">
        <f>[6]Resumen!$C$22</f>
        <v>0</v>
      </c>
      <c r="D32" s="16">
        <f>[6]Resumen!$D$22</f>
        <v>0</v>
      </c>
      <c r="E32" s="14">
        <f>[6]Resumen!$E$22</f>
        <v>0</v>
      </c>
      <c r="F32" s="15">
        <f>[6]Resumen!$F$22</f>
        <v>0</v>
      </c>
      <c r="G32" s="17">
        <f>[6]Resumen!$G$22</f>
        <v>0</v>
      </c>
      <c r="H32" s="18">
        <f>[6]Resumen!$H$22</f>
        <v>0</v>
      </c>
      <c r="I32" s="15">
        <f>[6]Resumen!$I$22</f>
        <v>0</v>
      </c>
      <c r="J32" s="16">
        <f>[6]Resumen!$J$22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[7]Resumen!$B$22</f>
        <v>0</v>
      </c>
      <c r="C33" s="15">
        <f>[7]Resumen!$C$22</f>
        <v>0</v>
      </c>
      <c r="D33" s="16">
        <f>[7]Resumen!$D$22</f>
        <v>0</v>
      </c>
      <c r="E33" s="14">
        <f>[7]Resumen!$E$22</f>
        <v>0</v>
      </c>
      <c r="F33" s="15">
        <f>[7]Resumen!$F$22</f>
        <v>0</v>
      </c>
      <c r="G33" s="17">
        <f>[7]Resumen!$G$22</f>
        <v>0</v>
      </c>
      <c r="H33" s="18">
        <f>[7]Resumen!$H$22</f>
        <v>0</v>
      </c>
      <c r="I33" s="15">
        <f>[7]Resumen!$I$22</f>
        <v>0</v>
      </c>
      <c r="J33" s="16">
        <f>[7]Resumen!$J$22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[8]Resumen!$B$22</f>
        <v>0</v>
      </c>
      <c r="C34" s="15">
        <f>[8]Resumen!$C$22</f>
        <v>0</v>
      </c>
      <c r="D34" s="16">
        <f>[8]Resumen!$D$22</f>
        <v>0</v>
      </c>
      <c r="E34" s="14">
        <f>[8]Resumen!$E$22</f>
        <v>0</v>
      </c>
      <c r="F34" s="15">
        <f>[8]Resumen!$F$22</f>
        <v>0</v>
      </c>
      <c r="G34" s="17">
        <f>[8]Resumen!$G$22</f>
        <v>0</v>
      </c>
      <c r="H34" s="18">
        <f>[8]Resumen!$H$22</f>
        <v>0</v>
      </c>
      <c r="I34" s="15">
        <f>[8]Resumen!$I$22</f>
        <v>0</v>
      </c>
      <c r="J34" s="16">
        <f>[8]Resumen!$J$22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[9]Resumen!$B$22</f>
        <v>0</v>
      </c>
      <c r="C35" s="15">
        <f>[9]Resumen!$C$22</f>
        <v>0</v>
      </c>
      <c r="D35" s="16">
        <f>[9]Resumen!$D$22</f>
        <v>0</v>
      </c>
      <c r="E35" s="14">
        <f>[9]Resumen!$E$22</f>
        <v>0</v>
      </c>
      <c r="F35" s="15">
        <f>[9]Resumen!$F$22</f>
        <v>0</v>
      </c>
      <c r="G35" s="17">
        <f>[9]Resumen!$G$22</f>
        <v>0</v>
      </c>
      <c r="H35" s="18">
        <f>[9]Resumen!$H$22</f>
        <v>0</v>
      </c>
      <c r="I35" s="15">
        <f>[9]Resumen!$I$22</f>
        <v>0</v>
      </c>
      <c r="J35" s="16">
        <f>[9]Resumen!$J$22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+[10]Resumen!$B$22</f>
        <v>0</v>
      </c>
      <c r="C36" s="22">
        <f>+[10]Resumen!$C$22</f>
        <v>0</v>
      </c>
      <c r="D36" s="23">
        <f>+[10]Resumen!$D$22</f>
        <v>0</v>
      </c>
      <c r="E36" s="21">
        <f>+[10]Resumen!$E$22</f>
        <v>0</v>
      </c>
      <c r="F36" s="22">
        <f>+[10]Resumen!$F$22</f>
        <v>0</v>
      </c>
      <c r="G36" s="24">
        <f>+[10]Resumen!$G$22</f>
        <v>0</v>
      </c>
      <c r="H36" s="25">
        <f>+[10]Resumen!$H$22</f>
        <v>0</v>
      </c>
      <c r="I36" s="22">
        <f>+[10]Resumen!$I$22</f>
        <v>0</v>
      </c>
      <c r="J36" s="23">
        <f>+[10]Resumen!$J$22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5" t="s">
        <v>75</v>
      </c>
      <c r="K39" s="146"/>
      <c r="L39" s="65">
        <f>COUNTIF(L6:L36,"&gt;0")*15000</f>
        <v>0</v>
      </c>
    </row>
    <row r="40" spans="1:15" ht="15" thickBot="1" x14ac:dyDescent="0.4">
      <c r="J40" s="147" t="s">
        <v>76</v>
      </c>
      <c r="K40" s="148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61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[11]Vendedor21!$J$4</f>
        <v>0</v>
      </c>
      <c r="C6" s="81">
        <f>[11]Vendedor21!$K$4</f>
        <v>0</v>
      </c>
      <c r="D6" s="82">
        <f>[11]Vendedor21!$L$4</f>
        <v>0</v>
      </c>
      <c r="E6" s="14">
        <f>[11]Vendedor21!$J$5</f>
        <v>0</v>
      </c>
      <c r="F6" s="81">
        <f>[11]Vendedor21!$K$5</f>
        <v>0</v>
      </c>
      <c r="G6" s="85">
        <f>[11]Vendedor21!$L$5</f>
        <v>0</v>
      </c>
      <c r="H6" s="19">
        <f>[11]Vendedor21!$J$6</f>
        <v>0</v>
      </c>
      <c r="I6" s="15">
        <f>[11]Vendedor21!$K$6</f>
        <v>0</v>
      </c>
      <c r="J6" s="17">
        <f>[11]Vendedor21!$L$6</f>
        <v>0</v>
      </c>
      <c r="K6" s="19">
        <f t="shared" ref="K6:K36" si="0">+B6+E6+H6</f>
        <v>0</v>
      </c>
      <c r="L6" s="15">
        <f t="shared" ref="L6:L36" si="1">MROUND(C6+F6+I6,50)</f>
        <v>0</v>
      </c>
      <c r="M6" s="15">
        <f t="shared" ref="M6:M36" si="2">+D6+G6+J6</f>
        <v>0</v>
      </c>
      <c r="N6" s="15">
        <v>0</v>
      </c>
      <c r="O6" s="17">
        <f t="shared" ref="O6:O36" si="3">+K6-L6-M6+N6</f>
        <v>0</v>
      </c>
    </row>
    <row r="7" spans="1:15" x14ac:dyDescent="0.35">
      <c r="A7" s="13" t="s">
        <v>50</v>
      </c>
      <c r="B7" s="14">
        <f>[12]Vendedor21!$J$4</f>
        <v>0</v>
      </c>
      <c r="C7" s="81">
        <f>[12]Vendedor21!$K$4</f>
        <v>0</v>
      </c>
      <c r="D7" s="82">
        <f>[12]Vendedor21!$L$4</f>
        <v>0</v>
      </c>
      <c r="E7" s="14">
        <f>[12]Vendedor21!$J$5</f>
        <v>0</v>
      </c>
      <c r="F7" s="81">
        <f>[12]Vendedor21!$K$5</f>
        <v>0</v>
      </c>
      <c r="G7" s="85">
        <f>[12]Vendedor21!$L$5</f>
        <v>0</v>
      </c>
      <c r="H7" s="19">
        <f>[12]Vendedor21!$J$6</f>
        <v>0</v>
      </c>
      <c r="I7" s="15">
        <f>[12]Vendedor21!$K$6</f>
        <v>0</v>
      </c>
      <c r="J7" s="17">
        <f>[12]Vendedor21!$L$6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[13]Vendedor21!$J$4</f>
        <v>0</v>
      </c>
      <c r="C8" s="81">
        <f>[13]Vendedor21!$K$4</f>
        <v>0</v>
      </c>
      <c r="D8" s="82">
        <f>[13]Vendedor21!$L$4</f>
        <v>0</v>
      </c>
      <c r="E8" s="14">
        <f>[13]Vendedor21!$J$5</f>
        <v>0</v>
      </c>
      <c r="F8" s="81">
        <f>[13]Vendedor21!$K$5</f>
        <v>0</v>
      </c>
      <c r="G8" s="85">
        <f>[13]Vendedor21!$L$5</f>
        <v>0</v>
      </c>
      <c r="H8" s="19">
        <f>[13]Vendedor21!$J$6</f>
        <v>0</v>
      </c>
      <c r="I8" s="15">
        <f>[13]Vendedor21!$K$6</f>
        <v>0</v>
      </c>
      <c r="J8" s="17">
        <f>[13]Vendedor21!$L$6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[14]Vendedor21!$J$4</f>
        <v>0</v>
      </c>
      <c r="C9" s="81">
        <f>[14]Vendedor21!$K$4</f>
        <v>0</v>
      </c>
      <c r="D9" s="82">
        <f>[14]Vendedor21!$L$4</f>
        <v>0</v>
      </c>
      <c r="E9" s="14">
        <f>[14]Vendedor21!$J$5</f>
        <v>0</v>
      </c>
      <c r="F9" s="81">
        <f>[14]Vendedor21!$K$5</f>
        <v>0</v>
      </c>
      <c r="G9" s="85">
        <f>[14]Vendedor21!$L$5</f>
        <v>0</v>
      </c>
      <c r="H9" s="19">
        <f>[14]Vendedor21!$J$6</f>
        <v>0</v>
      </c>
      <c r="I9" s="15">
        <f>[14]Vendedor21!$K$6</f>
        <v>0</v>
      </c>
      <c r="J9" s="17">
        <f>[14]Vendedor21!$L$6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[15]Vendedor21!$J$4</f>
        <v>0</v>
      </c>
      <c r="C10" s="81">
        <f>[15]Vendedor21!$K$4</f>
        <v>0</v>
      </c>
      <c r="D10" s="82">
        <f>[15]Vendedor21!$L$4</f>
        <v>0</v>
      </c>
      <c r="E10" s="14">
        <f>[15]Vendedor21!$J$5</f>
        <v>0</v>
      </c>
      <c r="F10" s="81">
        <f>[15]Vendedor21!$K$5</f>
        <v>0</v>
      </c>
      <c r="G10" s="85">
        <f>[15]Vendedor21!$L$5</f>
        <v>0</v>
      </c>
      <c r="H10" s="19">
        <f>[15]Vendedor21!$J$6</f>
        <v>0</v>
      </c>
      <c r="I10" s="15">
        <f>[15]Vendedor21!$K$6</f>
        <v>0</v>
      </c>
      <c r="J10" s="17">
        <f>[15]Vendedor21!$L$6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[16]Vendedor21!$J$4</f>
        <v>0</v>
      </c>
      <c r="C11" s="81">
        <f>[16]Vendedor21!$K$4</f>
        <v>0</v>
      </c>
      <c r="D11" s="82">
        <f>[16]Vendedor21!$L$4</f>
        <v>0</v>
      </c>
      <c r="E11" s="14">
        <f>[16]Vendedor21!$J$5</f>
        <v>0</v>
      </c>
      <c r="F11" s="81">
        <f>[16]Vendedor21!$K$5</f>
        <v>0</v>
      </c>
      <c r="G11" s="85">
        <f>[16]Vendedor21!$L$5</f>
        <v>0</v>
      </c>
      <c r="H11" s="19">
        <f>[16]Vendedor21!$J$6</f>
        <v>0</v>
      </c>
      <c r="I11" s="15">
        <f>[16]Vendedor21!$K$6</f>
        <v>0</v>
      </c>
      <c r="J11" s="17">
        <f>[16]Vendedor21!$L$6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[17]Vendedor21!$J$4</f>
        <v>0</v>
      </c>
      <c r="C12" s="81">
        <f>[17]Vendedor21!$K$4</f>
        <v>0</v>
      </c>
      <c r="D12" s="82">
        <f>[17]Vendedor21!$L$4</f>
        <v>0</v>
      </c>
      <c r="E12" s="14">
        <f>[17]Vendedor21!$J$5</f>
        <v>0</v>
      </c>
      <c r="F12" s="81">
        <f>[17]Vendedor21!$K$5</f>
        <v>0</v>
      </c>
      <c r="G12" s="85">
        <f>[17]Vendedor21!$L$5</f>
        <v>0</v>
      </c>
      <c r="H12" s="19">
        <f>[17]Vendedor21!$J$6</f>
        <v>0</v>
      </c>
      <c r="I12" s="15">
        <f>[17]Vendedor21!$K$6</f>
        <v>0</v>
      </c>
      <c r="J12" s="17">
        <f>[17]Vendedor21!$L$6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[18]Vendedor21!$J$4</f>
        <v>0</v>
      </c>
      <c r="C13" s="81">
        <f>[18]Vendedor21!$K$4</f>
        <v>0</v>
      </c>
      <c r="D13" s="82">
        <f>[18]Vendedor21!$L$4</f>
        <v>0</v>
      </c>
      <c r="E13" s="14">
        <f>[18]Vendedor21!$J$5</f>
        <v>0</v>
      </c>
      <c r="F13" s="81">
        <f>[18]Vendedor21!$K$5</f>
        <v>0</v>
      </c>
      <c r="G13" s="85">
        <f>[18]Vendedor21!$L$5</f>
        <v>0</v>
      </c>
      <c r="H13" s="19">
        <f>[18]Vendedor21!$J$6</f>
        <v>0</v>
      </c>
      <c r="I13" s="15">
        <f>[18]Vendedor21!$K$6</f>
        <v>0</v>
      </c>
      <c r="J13" s="17">
        <f>[18]Vendedor21!$L$6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[19]Vendedor21!$J$4</f>
        <v>0</v>
      </c>
      <c r="C14" s="81">
        <f>[19]Vendedor21!$K$4</f>
        <v>0</v>
      </c>
      <c r="D14" s="82">
        <f>[19]Vendedor21!$L$4</f>
        <v>0</v>
      </c>
      <c r="E14" s="14">
        <f>[19]Vendedor21!$J$5</f>
        <v>0</v>
      </c>
      <c r="F14" s="81">
        <f>[19]Vendedor21!$K$5</f>
        <v>0</v>
      </c>
      <c r="G14" s="85">
        <f>[19]Vendedor21!$L$5</f>
        <v>0</v>
      </c>
      <c r="H14" s="19">
        <f>[19]Vendedor21!$J$6</f>
        <v>0</v>
      </c>
      <c r="I14" s="15">
        <f>[19]Vendedor21!$K$6</f>
        <v>0</v>
      </c>
      <c r="J14" s="17">
        <f>[19]Vendedor21!$L$6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[20]Vendedor21!$J$4</f>
        <v>0</v>
      </c>
      <c r="C15" s="81">
        <f>[20]Vendedor21!$K$4</f>
        <v>0</v>
      </c>
      <c r="D15" s="82">
        <f>[20]Vendedor21!$L$4</f>
        <v>0</v>
      </c>
      <c r="E15" s="14">
        <f>[20]Vendedor21!$J$5</f>
        <v>0</v>
      </c>
      <c r="F15" s="81">
        <f>[20]Vendedor21!$K$5</f>
        <v>0</v>
      </c>
      <c r="G15" s="85">
        <f>[20]Vendedor21!$L$5</f>
        <v>0</v>
      </c>
      <c r="H15" s="19">
        <f>[20]Vendedor21!$J$6</f>
        <v>0</v>
      </c>
      <c r="I15" s="15">
        <f>[20]Vendedor21!$K$6</f>
        <v>0</v>
      </c>
      <c r="J15" s="17">
        <f>[20]Vendedor21!$L$6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[21]Vendedor21!$J$4</f>
        <v>0</v>
      </c>
      <c r="C16" s="81">
        <f>[21]Vendedor21!$K$4</f>
        <v>0</v>
      </c>
      <c r="D16" s="82">
        <f>[21]Vendedor21!$L$4</f>
        <v>0</v>
      </c>
      <c r="E16" s="14">
        <f>[21]Vendedor21!$J$5</f>
        <v>0</v>
      </c>
      <c r="F16" s="81">
        <f>[21]Vendedor21!$K$5</f>
        <v>0</v>
      </c>
      <c r="G16" s="85">
        <f>[21]Vendedor21!$L$5</f>
        <v>0</v>
      </c>
      <c r="H16" s="19">
        <f>[21]Vendedor21!$J$6</f>
        <v>0</v>
      </c>
      <c r="I16" s="15">
        <f>[21]Vendedor21!$K$6</f>
        <v>0</v>
      </c>
      <c r="J16" s="17">
        <f>[21]Vendedor21!$L$6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[22]Vendedor21!$J$4</f>
        <v>0</v>
      </c>
      <c r="C17" s="81">
        <f>[22]Vendedor21!$K$4</f>
        <v>0</v>
      </c>
      <c r="D17" s="82">
        <f>[22]Vendedor21!$L$4</f>
        <v>0</v>
      </c>
      <c r="E17" s="14">
        <f>[22]Vendedor21!$J$5</f>
        <v>0</v>
      </c>
      <c r="F17" s="81">
        <f>[22]Vendedor21!$K$5</f>
        <v>0</v>
      </c>
      <c r="G17" s="85">
        <f>[22]Vendedor21!$L$5</f>
        <v>0</v>
      </c>
      <c r="H17" s="19">
        <f>[22]Vendedor21!$J$6</f>
        <v>0</v>
      </c>
      <c r="I17" s="15">
        <f>[22]Vendedor21!$K$6</f>
        <v>0</v>
      </c>
      <c r="J17" s="17">
        <f>[22]Vendedor21!$L$6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[23]Vendedor21!$J$4</f>
        <v>0</v>
      </c>
      <c r="C18" s="81">
        <f>[23]Vendedor21!$K$4</f>
        <v>0</v>
      </c>
      <c r="D18" s="82">
        <f>[23]Vendedor21!$L$4</f>
        <v>0</v>
      </c>
      <c r="E18" s="14">
        <f>[23]Vendedor21!$J$5</f>
        <v>0</v>
      </c>
      <c r="F18" s="81">
        <f>[23]Vendedor21!$K$5</f>
        <v>0</v>
      </c>
      <c r="G18" s="85">
        <f>[23]Vendedor21!$L$5</f>
        <v>0</v>
      </c>
      <c r="H18" s="19">
        <f>[23]Vendedor21!$J$6</f>
        <v>0</v>
      </c>
      <c r="I18" s="15">
        <f>[23]Vendedor21!$K$6</f>
        <v>0</v>
      </c>
      <c r="J18" s="17">
        <f>[23]Vendedor21!$L$6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[24]Vendedor21!$J$4</f>
        <v>0</v>
      </c>
      <c r="C19" s="81">
        <f>[24]Vendedor21!$K$4</f>
        <v>0</v>
      </c>
      <c r="D19" s="82">
        <f>[24]Vendedor21!$L$4</f>
        <v>0</v>
      </c>
      <c r="E19" s="14">
        <f>[24]Vendedor21!$J$5</f>
        <v>0</v>
      </c>
      <c r="F19" s="81">
        <f>[24]Vendedor21!$K$5</f>
        <v>0</v>
      </c>
      <c r="G19" s="85">
        <f>[24]Vendedor21!$L$5</f>
        <v>0</v>
      </c>
      <c r="H19" s="19">
        <f>[24]Vendedor21!$J$6</f>
        <v>0</v>
      </c>
      <c r="I19" s="15">
        <f>[24]Vendedor21!$K$6</f>
        <v>0</v>
      </c>
      <c r="J19" s="17">
        <f>[24]Vendedor21!$L$6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[25]Vendedor21!$J$4</f>
        <v>0</v>
      </c>
      <c r="C20" s="81">
        <f>[25]Vendedor21!$K$4</f>
        <v>0</v>
      </c>
      <c r="D20" s="82">
        <f>[25]Vendedor21!$L$4</f>
        <v>0</v>
      </c>
      <c r="E20" s="14">
        <f>[25]Vendedor21!$J$5</f>
        <v>0</v>
      </c>
      <c r="F20" s="81">
        <f>[25]Vendedor21!$K$5</f>
        <v>0</v>
      </c>
      <c r="G20" s="85">
        <f>[25]Vendedor21!$L$5</f>
        <v>0</v>
      </c>
      <c r="H20" s="19">
        <f>[25]Vendedor21!$J$6</f>
        <v>0</v>
      </c>
      <c r="I20" s="15">
        <f>[25]Vendedor21!$K$6</f>
        <v>0</v>
      </c>
      <c r="J20" s="17">
        <f>[25]Vendedor21!$L$6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[26]Vendedor21!$J$4</f>
        <v>0</v>
      </c>
      <c r="C21" s="81">
        <f>[26]Vendedor21!$K$4</f>
        <v>0</v>
      </c>
      <c r="D21" s="82">
        <f>[26]Vendedor21!$L$4</f>
        <v>0</v>
      </c>
      <c r="E21" s="14">
        <f>[26]Vendedor21!$J$5</f>
        <v>0</v>
      </c>
      <c r="F21" s="81">
        <f>[26]Vendedor21!$K$5</f>
        <v>0</v>
      </c>
      <c r="G21" s="85">
        <f>[26]Vendedor21!$L$5</f>
        <v>0</v>
      </c>
      <c r="H21" s="19">
        <f>[26]Vendedor21!$J$6</f>
        <v>0</v>
      </c>
      <c r="I21" s="15">
        <f>[26]Vendedor21!$K$6</f>
        <v>0</v>
      </c>
      <c r="J21" s="17">
        <f>[26]Vendedor21!$L$6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[27]Vendedor21!$J$4</f>
        <v>0</v>
      </c>
      <c r="C22" s="81">
        <f>[27]Vendedor21!$K$4</f>
        <v>0</v>
      </c>
      <c r="D22" s="82">
        <f>[27]Vendedor21!$L$4</f>
        <v>0</v>
      </c>
      <c r="E22" s="14">
        <f>[27]Vendedor21!$J$5</f>
        <v>0</v>
      </c>
      <c r="F22" s="81">
        <f>[27]Vendedor21!$K$5</f>
        <v>0</v>
      </c>
      <c r="G22" s="85">
        <f>[27]Vendedor21!$L$5</f>
        <v>0</v>
      </c>
      <c r="H22" s="19">
        <f>[27]Vendedor21!$J$6</f>
        <v>0</v>
      </c>
      <c r="I22" s="15">
        <f>[27]Vendedor21!$K$6</f>
        <v>0</v>
      </c>
      <c r="J22" s="17">
        <f>[27]Vendedor21!$L$6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[28]Vendedor21!$J$4</f>
        <v>0</v>
      </c>
      <c r="C23" s="81">
        <f>[28]Vendedor21!$K$4</f>
        <v>0</v>
      </c>
      <c r="D23" s="82">
        <f>[28]Vendedor21!$L$4</f>
        <v>0</v>
      </c>
      <c r="E23" s="14">
        <f>[28]Vendedor21!$J$5</f>
        <v>0</v>
      </c>
      <c r="F23" s="81">
        <f>[28]Vendedor21!$K$5</f>
        <v>0</v>
      </c>
      <c r="G23" s="85">
        <f>[28]Vendedor21!$L$5</f>
        <v>0</v>
      </c>
      <c r="H23" s="19">
        <f>[28]Vendedor21!$J$6</f>
        <v>0</v>
      </c>
      <c r="I23" s="15">
        <f>[28]Vendedor21!$K$6</f>
        <v>0</v>
      </c>
      <c r="J23" s="17">
        <f>[28]Vendedor21!$L$6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[29]Vendedor21!$J$4</f>
        <v>0</v>
      </c>
      <c r="C24" s="81">
        <f>[29]Vendedor21!$K$4</f>
        <v>0</v>
      </c>
      <c r="D24" s="82">
        <f>[29]Vendedor21!$L$4</f>
        <v>0</v>
      </c>
      <c r="E24" s="14">
        <f>[29]Vendedor21!$J$5</f>
        <v>0</v>
      </c>
      <c r="F24" s="81">
        <f>[29]Vendedor21!$K$5</f>
        <v>0</v>
      </c>
      <c r="G24" s="85">
        <f>[29]Vendedor21!$L$5</f>
        <v>0</v>
      </c>
      <c r="H24" s="19">
        <f>[29]Vendedor21!$J$6</f>
        <v>0</v>
      </c>
      <c r="I24" s="15">
        <f>[29]Vendedor21!$K$6</f>
        <v>0</v>
      </c>
      <c r="J24" s="17">
        <f>[29]Vendedor21!$L$6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[30]Vendedor21!$J$4</f>
        <v>0</v>
      </c>
      <c r="C25" s="81">
        <f>[30]Vendedor21!$K$4</f>
        <v>0</v>
      </c>
      <c r="D25" s="82">
        <f>[30]Vendedor21!$L$4</f>
        <v>0</v>
      </c>
      <c r="E25" s="14">
        <f>[30]Vendedor21!$J$5</f>
        <v>0</v>
      </c>
      <c r="F25" s="81">
        <f>[30]Vendedor21!$K$5</f>
        <v>0</v>
      </c>
      <c r="G25" s="85">
        <f>[30]Vendedor21!$L$5</f>
        <v>0</v>
      </c>
      <c r="H25" s="19">
        <f>[30]Vendedor21!$J$6</f>
        <v>0</v>
      </c>
      <c r="I25" s="15">
        <f>[30]Vendedor21!$K$6</f>
        <v>0</v>
      </c>
      <c r="J25" s="17">
        <f>[30]Vendedor21!$L$6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[31]Vendedor21!$J$4</f>
        <v>0</v>
      </c>
      <c r="C26" s="81">
        <f>[31]Vendedor21!$K$4</f>
        <v>0</v>
      </c>
      <c r="D26" s="82">
        <f>[31]Vendedor21!$L$4</f>
        <v>0</v>
      </c>
      <c r="E26" s="14">
        <f>[31]Vendedor21!$J$5</f>
        <v>0</v>
      </c>
      <c r="F26" s="81">
        <f>[31]Vendedor21!$K$5</f>
        <v>0</v>
      </c>
      <c r="G26" s="85">
        <f>[31]Vendedor21!$L$5</f>
        <v>0</v>
      </c>
      <c r="H26" s="19">
        <f>[31]Vendedor21!$J$6</f>
        <v>0</v>
      </c>
      <c r="I26" s="15">
        <f>[31]Vendedor21!$K$6</f>
        <v>0</v>
      </c>
      <c r="J26" s="17">
        <f>[31]Vendedor21!$L$6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[1]Vendedor21!$J$4</f>
        <v>0</v>
      </c>
      <c r="C27" s="81">
        <f>[1]Vendedor21!$K$4</f>
        <v>0</v>
      </c>
      <c r="D27" s="82">
        <f>[1]Vendedor21!$L$4</f>
        <v>0</v>
      </c>
      <c r="E27" s="14">
        <f>[1]Vendedor21!$J$5</f>
        <v>0</v>
      </c>
      <c r="F27" s="81">
        <f>[1]Vendedor21!$K$5</f>
        <v>0</v>
      </c>
      <c r="G27" s="85">
        <f>[1]Vendedor21!$L$5</f>
        <v>0</v>
      </c>
      <c r="H27" s="19">
        <f>[1]Vendedor21!$J$6</f>
        <v>0</v>
      </c>
      <c r="I27" s="15">
        <f>[1]Vendedor21!$K$6</f>
        <v>0</v>
      </c>
      <c r="J27" s="17">
        <f>[1]Vendedor21!$L$6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[2]Vendedor21!$J$4</f>
        <v>0</v>
      </c>
      <c r="C28" s="81">
        <f>[2]Vendedor21!$K$4</f>
        <v>0</v>
      </c>
      <c r="D28" s="82">
        <f>[2]Vendedor21!$L$4</f>
        <v>0</v>
      </c>
      <c r="E28" s="14">
        <f>[2]Vendedor21!$J$5</f>
        <v>0</v>
      </c>
      <c r="F28" s="81">
        <f>[2]Vendedor21!$K$5</f>
        <v>0</v>
      </c>
      <c r="G28" s="85">
        <f>[2]Vendedor21!$L$5</f>
        <v>0</v>
      </c>
      <c r="H28" s="19">
        <f>[2]Vendedor21!$J$6</f>
        <v>0</v>
      </c>
      <c r="I28" s="15">
        <f>[2]Vendedor21!$K$6</f>
        <v>0</v>
      </c>
      <c r="J28" s="17">
        <f>[2]Vendedor21!$L$6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[3]Vendedor21!$J$4</f>
        <v>0</v>
      </c>
      <c r="C29" s="81">
        <f>[3]Vendedor21!$K$4</f>
        <v>0</v>
      </c>
      <c r="D29" s="82">
        <f>[3]Vendedor21!$L$4</f>
        <v>0</v>
      </c>
      <c r="E29" s="14">
        <f>[3]Vendedor21!$J$5</f>
        <v>0</v>
      </c>
      <c r="F29" s="81">
        <f>[3]Vendedor21!$K$5</f>
        <v>0</v>
      </c>
      <c r="G29" s="85">
        <f>[3]Vendedor21!$L$5</f>
        <v>0</v>
      </c>
      <c r="H29" s="19">
        <f>[3]Vendedor21!$J$6</f>
        <v>0</v>
      </c>
      <c r="I29" s="15">
        <f>[3]Vendedor21!$K$6</f>
        <v>0</v>
      </c>
      <c r="J29" s="17">
        <f>[3]Vendedor21!$L$6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[4]Vendedor21!$J$4</f>
        <v>0</v>
      </c>
      <c r="C30" s="81">
        <f>[4]Vendedor21!$K$4</f>
        <v>0</v>
      </c>
      <c r="D30" s="82">
        <f>[4]Vendedor21!$L$4</f>
        <v>0</v>
      </c>
      <c r="E30" s="14">
        <f>[4]Vendedor21!$J$5</f>
        <v>0</v>
      </c>
      <c r="F30" s="81">
        <f>[4]Vendedor21!$K$5</f>
        <v>0</v>
      </c>
      <c r="G30" s="85">
        <f>[4]Vendedor21!$L$5</f>
        <v>0</v>
      </c>
      <c r="H30" s="19">
        <f>[4]Vendedor21!$J$6</f>
        <v>0</v>
      </c>
      <c r="I30" s="15">
        <f>[4]Vendedor21!$K$6</f>
        <v>0</v>
      </c>
      <c r="J30" s="17">
        <f>[4]Vendedor21!$L$6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[5]Vendedor21!$J$4</f>
        <v>0</v>
      </c>
      <c r="C31" s="81">
        <f>[5]Vendedor21!$K$4</f>
        <v>0</v>
      </c>
      <c r="D31" s="82">
        <f>[5]Vendedor21!$L$4</f>
        <v>0</v>
      </c>
      <c r="E31" s="14">
        <f>[5]Vendedor21!$J$5</f>
        <v>0</v>
      </c>
      <c r="F31" s="81">
        <f>[5]Vendedor21!$K$5</f>
        <v>0</v>
      </c>
      <c r="G31" s="85">
        <f>[5]Vendedor21!$L$5</f>
        <v>0</v>
      </c>
      <c r="H31" s="19">
        <f>[5]Vendedor21!$J$6</f>
        <v>0</v>
      </c>
      <c r="I31" s="15">
        <f>[5]Vendedor21!$K$6</f>
        <v>0</v>
      </c>
      <c r="J31" s="17">
        <f>[5]Vendedor21!$L$6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[6]Vendedor21!$J$4</f>
        <v>0</v>
      </c>
      <c r="C32" s="81">
        <f>[6]Vendedor21!$K$4</f>
        <v>0</v>
      </c>
      <c r="D32" s="82">
        <f>[6]Vendedor21!$L$4</f>
        <v>0</v>
      </c>
      <c r="E32" s="14">
        <f>[6]Vendedor21!$J$5</f>
        <v>0</v>
      </c>
      <c r="F32" s="81">
        <f>[6]Vendedor21!$K$5</f>
        <v>0</v>
      </c>
      <c r="G32" s="85">
        <f>[6]Vendedor21!$L$5</f>
        <v>0</v>
      </c>
      <c r="H32" s="19">
        <f>[6]Vendedor21!$J$6</f>
        <v>0</v>
      </c>
      <c r="I32" s="15">
        <f>[6]Vendedor21!$K$6</f>
        <v>0</v>
      </c>
      <c r="J32" s="17">
        <f>[6]Vendedor21!$L$6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[7]Vendedor21!$J$4</f>
        <v>0</v>
      </c>
      <c r="C33" s="81">
        <f>[7]Vendedor21!$K$4</f>
        <v>0</v>
      </c>
      <c r="D33" s="82">
        <f>[7]Vendedor21!$L$4</f>
        <v>0</v>
      </c>
      <c r="E33" s="14">
        <f>[7]Vendedor21!$J$5</f>
        <v>0</v>
      </c>
      <c r="F33" s="81">
        <f>[7]Vendedor21!$K$5</f>
        <v>0</v>
      </c>
      <c r="G33" s="85">
        <f>[7]Vendedor21!$L$5</f>
        <v>0</v>
      </c>
      <c r="H33" s="19">
        <f>[7]Vendedor21!$J$6</f>
        <v>0</v>
      </c>
      <c r="I33" s="15">
        <f>[7]Vendedor21!$K$6</f>
        <v>0</v>
      </c>
      <c r="J33" s="17">
        <f>[7]Vendedor21!$L$6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[8]Vendedor21!$J$4</f>
        <v>0</v>
      </c>
      <c r="C34" s="81">
        <f>[8]Vendedor21!$K$4</f>
        <v>0</v>
      </c>
      <c r="D34" s="82">
        <f>[8]Vendedor21!$L$4</f>
        <v>0</v>
      </c>
      <c r="E34" s="14">
        <f>[8]Vendedor21!$J$5</f>
        <v>0</v>
      </c>
      <c r="F34" s="81">
        <f>[8]Vendedor21!$K$5</f>
        <v>0</v>
      </c>
      <c r="G34" s="85">
        <f>[8]Vendedor21!$L$5</f>
        <v>0</v>
      </c>
      <c r="H34" s="19">
        <f>[8]Vendedor21!$J$6</f>
        <v>0</v>
      </c>
      <c r="I34" s="15">
        <f>[8]Vendedor21!$K$6</f>
        <v>0</v>
      </c>
      <c r="J34" s="17">
        <f>[8]Vendedor21!$L$6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[9]Vendedor21!$J$4</f>
        <v>0</v>
      </c>
      <c r="C35" s="81">
        <f>[9]Vendedor21!$K$4</f>
        <v>0</v>
      </c>
      <c r="D35" s="82">
        <f>[9]Vendedor21!$L$4</f>
        <v>0</v>
      </c>
      <c r="E35" s="14">
        <f>[9]Vendedor21!$J$5</f>
        <v>0</v>
      </c>
      <c r="F35" s="81">
        <f>[9]Vendedor21!$K$5</f>
        <v>0</v>
      </c>
      <c r="G35" s="85">
        <f>[9]Vendedor21!$L$5</f>
        <v>0</v>
      </c>
      <c r="H35" s="19">
        <f>[9]Vendedor21!$J$6</f>
        <v>0</v>
      </c>
      <c r="I35" s="15">
        <f>[9]Vendedor21!$K$6</f>
        <v>0</v>
      </c>
      <c r="J35" s="17">
        <f>[9]Vendedor21!$L$6</f>
        <v>0</v>
      </c>
      <c r="K35" s="19">
        <f t="shared" si="0"/>
        <v>0</v>
      </c>
      <c r="L35" s="15">
        <f t="shared" si="1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[10]Vendedor21!$J$4</f>
        <v>0</v>
      </c>
      <c r="C36" s="83">
        <f>[10]Vendedor21!$K$4</f>
        <v>0</v>
      </c>
      <c r="D36" s="84">
        <f>[10]Vendedor21!$L$4</f>
        <v>0</v>
      </c>
      <c r="E36" s="21">
        <f>[10]Vendedor21!$J$5</f>
        <v>0</v>
      </c>
      <c r="F36" s="83">
        <f>[10]Vendedor21!$K$5</f>
        <v>0</v>
      </c>
      <c r="G36" s="86">
        <f>[10]Vendedor21!$L$5</f>
        <v>0</v>
      </c>
      <c r="H36" s="26">
        <f>[10]Vendedor21!$J$6</f>
        <v>0</v>
      </c>
      <c r="I36" s="22">
        <f>[10]Vendedor21!$K$6</f>
        <v>0</v>
      </c>
      <c r="J36" s="24">
        <f>[10]Vendedor21!$L$6</f>
        <v>0</v>
      </c>
      <c r="K36" s="26">
        <f t="shared" si="0"/>
        <v>0</v>
      </c>
      <c r="L36" s="22">
        <f t="shared" si="1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[11]Resumen!$B$24</f>
        <v>0</v>
      </c>
      <c r="C6" s="58">
        <f>[11]Resumen!$C$24</f>
        <v>0</v>
      </c>
      <c r="D6" s="54">
        <f>[11]Resumen!$D$24</f>
        <v>0</v>
      </c>
      <c r="E6" s="53">
        <f>[11]Resumen!$E$24</f>
        <v>0</v>
      </c>
      <c r="F6" s="58">
        <f>[11]Resumen!$F$24</f>
        <v>0</v>
      </c>
      <c r="G6" s="55">
        <f>[11]Resumen!$G$24</f>
        <v>0</v>
      </c>
      <c r="H6" s="61">
        <f>[11]Resumen!$H$24</f>
        <v>0</v>
      </c>
      <c r="I6" s="58">
        <f>[11]Resumen!$I$24</f>
        <v>0</v>
      </c>
      <c r="J6" s="54">
        <f>[11]Resumen!$J$24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[12]Resumen!$B$24</f>
        <v>0</v>
      </c>
      <c r="C7" s="15">
        <f>[12]Resumen!$C$24</f>
        <v>0</v>
      </c>
      <c r="D7" s="16">
        <f>[12]Resumen!$D$24</f>
        <v>0</v>
      </c>
      <c r="E7" s="14">
        <f>[12]Resumen!$E$24</f>
        <v>0</v>
      </c>
      <c r="F7" s="15">
        <f>[12]Resumen!$F$24</f>
        <v>0</v>
      </c>
      <c r="G7" s="17">
        <f>[12]Resumen!$G$24</f>
        <v>0</v>
      </c>
      <c r="H7" s="18">
        <f>[12]Resumen!$H$24</f>
        <v>0</v>
      </c>
      <c r="I7" s="15">
        <f>[12]Resumen!$I$24</f>
        <v>0</v>
      </c>
      <c r="J7" s="16">
        <f>[12]Resumen!$J$24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[13]Resumen!$B$24</f>
        <v>0</v>
      </c>
      <c r="C8" s="15">
        <f>[13]Resumen!$C$24</f>
        <v>0</v>
      </c>
      <c r="D8" s="16">
        <f>[13]Resumen!$D$24</f>
        <v>0</v>
      </c>
      <c r="E8" s="14">
        <f>[13]Resumen!$E$24</f>
        <v>0</v>
      </c>
      <c r="F8" s="15">
        <f>[13]Resumen!$F$24</f>
        <v>0</v>
      </c>
      <c r="G8" s="17">
        <f>[13]Resumen!$G$24</f>
        <v>0</v>
      </c>
      <c r="H8" s="18">
        <f>[13]Resumen!$H$24</f>
        <v>0</v>
      </c>
      <c r="I8" s="15">
        <f>[13]Resumen!$I$24</f>
        <v>0</v>
      </c>
      <c r="J8" s="16">
        <f>[13]Resumen!$J$24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[14]Resumen!$B$24</f>
        <v>0</v>
      </c>
      <c r="C9" s="15">
        <f>[14]Resumen!$C$24</f>
        <v>0</v>
      </c>
      <c r="D9" s="16">
        <f>[14]Resumen!$D$24</f>
        <v>0</v>
      </c>
      <c r="E9" s="14">
        <f>[14]Resumen!$E$24</f>
        <v>0</v>
      </c>
      <c r="F9" s="15">
        <f>[14]Resumen!$F$24</f>
        <v>0</v>
      </c>
      <c r="G9" s="17">
        <f>[14]Resumen!$G$24</f>
        <v>0</v>
      </c>
      <c r="H9" s="18">
        <f>[14]Resumen!$H$24</f>
        <v>0</v>
      </c>
      <c r="I9" s="15">
        <f>[14]Resumen!$I$24</f>
        <v>0</v>
      </c>
      <c r="J9" s="16">
        <f>[14]Resumen!$J$24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[15]Resumen!$B$24</f>
        <v>0</v>
      </c>
      <c r="C10" s="15">
        <f>[15]Resumen!$C$24</f>
        <v>0</v>
      </c>
      <c r="D10" s="16">
        <f>[15]Resumen!$D$24</f>
        <v>0</v>
      </c>
      <c r="E10" s="14">
        <f>[15]Resumen!$E$24</f>
        <v>0</v>
      </c>
      <c r="F10" s="15">
        <f>[15]Resumen!$F$24</f>
        <v>0</v>
      </c>
      <c r="G10" s="17">
        <f>[15]Resumen!$G$24</f>
        <v>0</v>
      </c>
      <c r="H10" s="18">
        <f>[15]Resumen!$H$24</f>
        <v>0</v>
      </c>
      <c r="I10" s="15">
        <f>[15]Resumen!$I$24</f>
        <v>0</v>
      </c>
      <c r="J10" s="16">
        <f>[15]Resumen!$J$24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[16]Resumen!$B$24</f>
        <v>0</v>
      </c>
      <c r="C11" s="15">
        <f>[16]Resumen!$C$24</f>
        <v>0</v>
      </c>
      <c r="D11" s="16">
        <f>[16]Resumen!$D$24</f>
        <v>0</v>
      </c>
      <c r="E11" s="14">
        <f>[16]Resumen!$E$24</f>
        <v>0</v>
      </c>
      <c r="F11" s="15">
        <f>[16]Resumen!$F$24</f>
        <v>0</v>
      </c>
      <c r="G11" s="17">
        <f>[16]Resumen!$G$24</f>
        <v>0</v>
      </c>
      <c r="H11" s="18">
        <f>[16]Resumen!$H$24</f>
        <v>0</v>
      </c>
      <c r="I11" s="15">
        <f>[16]Resumen!$I$24</f>
        <v>0</v>
      </c>
      <c r="J11" s="16">
        <f>[16]Resumen!$J$24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[17]Resumen!$B$24</f>
        <v>0</v>
      </c>
      <c r="C12" s="15">
        <f>[17]Resumen!$C$24</f>
        <v>0</v>
      </c>
      <c r="D12" s="16">
        <f>[17]Resumen!$D$24</f>
        <v>0</v>
      </c>
      <c r="E12" s="14">
        <f>[17]Resumen!$E$24</f>
        <v>0</v>
      </c>
      <c r="F12" s="15">
        <f>[17]Resumen!$F$24</f>
        <v>0</v>
      </c>
      <c r="G12" s="17">
        <f>[17]Resumen!$G$24</f>
        <v>0</v>
      </c>
      <c r="H12" s="18">
        <f>[17]Resumen!$H$24</f>
        <v>0</v>
      </c>
      <c r="I12" s="15">
        <f>[17]Resumen!$I$24</f>
        <v>0</v>
      </c>
      <c r="J12" s="16">
        <f>[17]Resumen!$J$24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[18]Resumen!$B$24</f>
        <v>0</v>
      </c>
      <c r="C13" s="15">
        <f>[18]Resumen!$C$24</f>
        <v>0</v>
      </c>
      <c r="D13" s="16">
        <f>[18]Resumen!$D$24</f>
        <v>0</v>
      </c>
      <c r="E13" s="14">
        <f>[18]Resumen!$E$24</f>
        <v>0</v>
      </c>
      <c r="F13" s="15">
        <f>[18]Resumen!$F$24</f>
        <v>0</v>
      </c>
      <c r="G13" s="17">
        <f>[18]Resumen!$G$24</f>
        <v>0</v>
      </c>
      <c r="H13" s="18">
        <f>[18]Resumen!$H$24</f>
        <v>0</v>
      </c>
      <c r="I13" s="15">
        <f>[18]Resumen!$I$24</f>
        <v>0</v>
      </c>
      <c r="J13" s="16">
        <f>[18]Resumen!$J$24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[19]Resumen!$B$24</f>
        <v>0</v>
      </c>
      <c r="C14" s="15">
        <f>[19]Resumen!$C$24</f>
        <v>0</v>
      </c>
      <c r="D14" s="16">
        <f>[19]Resumen!$D$24</f>
        <v>0</v>
      </c>
      <c r="E14" s="14">
        <f>[19]Resumen!$E$24</f>
        <v>0</v>
      </c>
      <c r="F14" s="15">
        <f>[19]Resumen!$F$24</f>
        <v>0</v>
      </c>
      <c r="G14" s="17">
        <f>[19]Resumen!$G$24</f>
        <v>0</v>
      </c>
      <c r="H14" s="18">
        <f>[19]Resumen!$H$24</f>
        <v>0</v>
      </c>
      <c r="I14" s="15">
        <f>[19]Resumen!$I$24</f>
        <v>0</v>
      </c>
      <c r="J14" s="16">
        <f>[19]Resumen!$J$24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[20]Resumen!$B$24</f>
        <v>0</v>
      </c>
      <c r="C15" s="15">
        <f>[20]Resumen!$C$24</f>
        <v>0</v>
      </c>
      <c r="D15" s="16">
        <f>[20]Resumen!$D$24</f>
        <v>0</v>
      </c>
      <c r="E15" s="14">
        <f>[20]Resumen!$E$24</f>
        <v>0</v>
      </c>
      <c r="F15" s="15">
        <f>[20]Resumen!$F$24</f>
        <v>0</v>
      </c>
      <c r="G15" s="17">
        <f>[20]Resumen!$G$24</f>
        <v>0</v>
      </c>
      <c r="H15" s="18">
        <f>[20]Resumen!$H$24</f>
        <v>0</v>
      </c>
      <c r="I15" s="15">
        <f>[20]Resumen!$I$24</f>
        <v>0</v>
      </c>
      <c r="J15" s="16">
        <f>[20]Resumen!$J$24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[21]Resumen!$B$24</f>
        <v>0</v>
      </c>
      <c r="C16" s="15">
        <f>[21]Resumen!$C$24</f>
        <v>0</v>
      </c>
      <c r="D16" s="16">
        <f>[21]Resumen!$D$24</f>
        <v>0</v>
      </c>
      <c r="E16" s="14">
        <f>[21]Resumen!$E$24</f>
        <v>0</v>
      </c>
      <c r="F16" s="15">
        <f>[21]Resumen!$F$24</f>
        <v>0</v>
      </c>
      <c r="G16" s="17">
        <f>[21]Resumen!$G$24</f>
        <v>0</v>
      </c>
      <c r="H16" s="18">
        <f>[21]Resumen!$H$24</f>
        <v>0</v>
      </c>
      <c r="I16" s="15">
        <f>[21]Resumen!$I$24</f>
        <v>0</v>
      </c>
      <c r="J16" s="16">
        <f>[21]Resumen!$J$24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[22]Resumen!$B$24</f>
        <v>0</v>
      </c>
      <c r="C17" s="15">
        <f>[22]Resumen!$C$24</f>
        <v>0</v>
      </c>
      <c r="D17" s="16">
        <f>[22]Resumen!$D$24</f>
        <v>0</v>
      </c>
      <c r="E17" s="14">
        <f>[22]Resumen!$E$24</f>
        <v>0</v>
      </c>
      <c r="F17" s="15">
        <f>[22]Resumen!$F$24</f>
        <v>0</v>
      </c>
      <c r="G17" s="17">
        <f>[22]Resumen!$G$24</f>
        <v>0</v>
      </c>
      <c r="H17" s="18">
        <f>[22]Resumen!$H$24</f>
        <v>0</v>
      </c>
      <c r="I17" s="15">
        <f>[22]Resumen!$I$24</f>
        <v>0</v>
      </c>
      <c r="J17" s="16">
        <f>[22]Resumen!$J$24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[23]Resumen!$B$24</f>
        <v>0</v>
      </c>
      <c r="C18" s="15">
        <f>[23]Resumen!$C$24</f>
        <v>0</v>
      </c>
      <c r="D18" s="16">
        <f>[23]Resumen!$D$24</f>
        <v>0</v>
      </c>
      <c r="E18" s="14">
        <f>[23]Resumen!$E$24</f>
        <v>0</v>
      </c>
      <c r="F18" s="15">
        <f>[23]Resumen!$F$24</f>
        <v>0</v>
      </c>
      <c r="G18" s="17">
        <f>[23]Resumen!$G$24</f>
        <v>0</v>
      </c>
      <c r="H18" s="18">
        <f>[23]Resumen!$H$24</f>
        <v>0</v>
      </c>
      <c r="I18" s="15">
        <f>[23]Resumen!$I$24</f>
        <v>0</v>
      </c>
      <c r="J18" s="16">
        <f>[23]Resumen!$J$24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[24]Resumen!$B$24</f>
        <v>0</v>
      </c>
      <c r="C19" s="15">
        <f>[24]Resumen!$C$24</f>
        <v>0</v>
      </c>
      <c r="D19" s="16">
        <f>[24]Resumen!$D$24</f>
        <v>0</v>
      </c>
      <c r="E19" s="14">
        <f>[24]Resumen!$E$24</f>
        <v>0</v>
      </c>
      <c r="F19" s="15">
        <f>[24]Resumen!$F$24</f>
        <v>0</v>
      </c>
      <c r="G19" s="17">
        <f>[24]Resumen!$G$24</f>
        <v>0</v>
      </c>
      <c r="H19" s="18">
        <f>[24]Resumen!$H$24</f>
        <v>0</v>
      </c>
      <c r="I19" s="15">
        <f>[24]Resumen!$I$24</f>
        <v>0</v>
      </c>
      <c r="J19" s="16">
        <f>[24]Resumen!$J$24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[25]Resumen!$B$24</f>
        <v>0</v>
      </c>
      <c r="C20" s="15">
        <f>[25]Resumen!$C$24</f>
        <v>0</v>
      </c>
      <c r="D20" s="16">
        <f>[25]Resumen!$D$24</f>
        <v>0</v>
      </c>
      <c r="E20" s="14">
        <f>[25]Resumen!$E$24</f>
        <v>0</v>
      </c>
      <c r="F20" s="15">
        <f>[25]Resumen!$F$24</f>
        <v>0</v>
      </c>
      <c r="G20" s="17">
        <f>[25]Resumen!$G$24</f>
        <v>0</v>
      </c>
      <c r="H20" s="18">
        <f>[25]Resumen!$H$24</f>
        <v>0</v>
      </c>
      <c r="I20" s="15">
        <f>[25]Resumen!$I$24</f>
        <v>0</v>
      </c>
      <c r="J20" s="16">
        <f>[25]Resumen!$J$24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[26]Resumen!$B$24</f>
        <v>0</v>
      </c>
      <c r="C21" s="15">
        <f>[26]Resumen!$C$24</f>
        <v>0</v>
      </c>
      <c r="D21" s="16">
        <f>[26]Resumen!$D$24</f>
        <v>0</v>
      </c>
      <c r="E21" s="14">
        <f>[26]Resumen!$E$24</f>
        <v>0</v>
      </c>
      <c r="F21" s="15">
        <f>[26]Resumen!$F$24</f>
        <v>0</v>
      </c>
      <c r="G21" s="17">
        <f>[26]Resumen!$G$24</f>
        <v>0</v>
      </c>
      <c r="H21" s="18">
        <f>[26]Resumen!$H$24</f>
        <v>0</v>
      </c>
      <c r="I21" s="15">
        <f>[26]Resumen!$I$24</f>
        <v>0</v>
      </c>
      <c r="J21" s="16">
        <f>[26]Resumen!$J$24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[27]Resumen!$B$24</f>
        <v>0</v>
      </c>
      <c r="C22" s="15">
        <f>[27]Resumen!$C$24</f>
        <v>0</v>
      </c>
      <c r="D22" s="16">
        <f>[27]Resumen!$D$24</f>
        <v>0</v>
      </c>
      <c r="E22" s="14">
        <f>[27]Resumen!$E$24</f>
        <v>0</v>
      </c>
      <c r="F22" s="15">
        <f>[27]Resumen!$F$24</f>
        <v>0</v>
      </c>
      <c r="G22" s="17">
        <f>[27]Resumen!$G$24</f>
        <v>0</v>
      </c>
      <c r="H22" s="18">
        <f>[27]Resumen!$H$24</f>
        <v>0</v>
      </c>
      <c r="I22" s="15">
        <f>[27]Resumen!$I$24</f>
        <v>0</v>
      </c>
      <c r="J22" s="16">
        <f>[27]Resumen!$J$24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[28]Resumen!$B$24</f>
        <v>0</v>
      </c>
      <c r="C23" s="15">
        <f>[28]Resumen!$C$24</f>
        <v>0</v>
      </c>
      <c r="D23" s="16">
        <f>[28]Resumen!$D$24</f>
        <v>0</v>
      </c>
      <c r="E23" s="14">
        <f>[28]Resumen!$E$24</f>
        <v>0</v>
      </c>
      <c r="F23" s="15">
        <f>[28]Resumen!$F$24</f>
        <v>0</v>
      </c>
      <c r="G23" s="17">
        <f>[28]Resumen!$G$24</f>
        <v>0</v>
      </c>
      <c r="H23" s="18">
        <f>[28]Resumen!$H$24</f>
        <v>0</v>
      </c>
      <c r="I23" s="15">
        <f>[28]Resumen!$I$24</f>
        <v>0</v>
      </c>
      <c r="J23" s="16">
        <f>[28]Resumen!$J$24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[29]Resumen!$B$24</f>
        <v>0</v>
      </c>
      <c r="C24" s="15">
        <f>[29]Resumen!$C$24</f>
        <v>0</v>
      </c>
      <c r="D24" s="16">
        <f>[29]Resumen!$D$24</f>
        <v>0</v>
      </c>
      <c r="E24" s="14">
        <f>[29]Resumen!$E$24</f>
        <v>0</v>
      </c>
      <c r="F24" s="15">
        <f>[29]Resumen!$F$24</f>
        <v>0</v>
      </c>
      <c r="G24" s="17">
        <f>[29]Resumen!$G$24</f>
        <v>0</v>
      </c>
      <c r="H24" s="18">
        <f>[29]Resumen!$H$24</f>
        <v>0</v>
      </c>
      <c r="I24" s="15">
        <f>[29]Resumen!$I$24</f>
        <v>0</v>
      </c>
      <c r="J24" s="16">
        <f>[29]Resumen!$J$24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[30]Resumen!$B$24</f>
        <v>0</v>
      </c>
      <c r="C25" s="15">
        <f>[30]Resumen!$C$24</f>
        <v>0</v>
      </c>
      <c r="D25" s="16">
        <f>[30]Resumen!$D$24</f>
        <v>0</v>
      </c>
      <c r="E25" s="14">
        <f>[30]Resumen!$E$24</f>
        <v>0</v>
      </c>
      <c r="F25" s="15">
        <f>[30]Resumen!$F$24</f>
        <v>0</v>
      </c>
      <c r="G25" s="17">
        <f>[30]Resumen!$G$24</f>
        <v>0</v>
      </c>
      <c r="H25" s="18">
        <f>[30]Resumen!$H$24</f>
        <v>0</v>
      </c>
      <c r="I25" s="15">
        <f>[30]Resumen!$I$24</f>
        <v>0</v>
      </c>
      <c r="J25" s="16">
        <f>[30]Resumen!$J$24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[31]Resumen!$B$24</f>
        <v>0</v>
      </c>
      <c r="C26" s="15">
        <f>[31]Resumen!$C$24</f>
        <v>0</v>
      </c>
      <c r="D26" s="16">
        <f>[31]Resumen!$D$24</f>
        <v>0</v>
      </c>
      <c r="E26" s="14">
        <f>[31]Resumen!$E$24</f>
        <v>0</v>
      </c>
      <c r="F26" s="15">
        <f>[31]Resumen!$F$24</f>
        <v>0</v>
      </c>
      <c r="G26" s="17">
        <f>[31]Resumen!$G$24</f>
        <v>0</v>
      </c>
      <c r="H26" s="18">
        <f>[31]Resumen!$H$24</f>
        <v>0</v>
      </c>
      <c r="I26" s="15">
        <f>[31]Resumen!$I$24</f>
        <v>0</v>
      </c>
      <c r="J26" s="16">
        <f>[31]Resumen!$J$24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[1]Resumen!$B$24</f>
        <v>0</v>
      </c>
      <c r="C27" s="15">
        <f>[1]Resumen!$C$24</f>
        <v>0</v>
      </c>
      <c r="D27" s="16">
        <f>[1]Resumen!$D$24</f>
        <v>0</v>
      </c>
      <c r="E27" s="14">
        <f>[1]Resumen!$E$24</f>
        <v>0</v>
      </c>
      <c r="F27" s="15">
        <f>[1]Resumen!$F$24</f>
        <v>0</v>
      </c>
      <c r="G27" s="17">
        <f>[1]Resumen!$G$24</f>
        <v>0</v>
      </c>
      <c r="H27" s="18">
        <f>[1]Resumen!$H$24</f>
        <v>0</v>
      </c>
      <c r="I27" s="15">
        <f>[1]Resumen!$I$24</f>
        <v>0</v>
      </c>
      <c r="J27" s="16">
        <f>[1]Resumen!$J$24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[2]Resumen!$B$24</f>
        <v>0</v>
      </c>
      <c r="C28" s="15">
        <f>[2]Resumen!$C$24</f>
        <v>0</v>
      </c>
      <c r="D28" s="16">
        <f>[2]Resumen!$D$24</f>
        <v>0</v>
      </c>
      <c r="E28" s="14">
        <f>[2]Resumen!$E$24</f>
        <v>0</v>
      </c>
      <c r="F28" s="15">
        <f>[2]Resumen!$F$24</f>
        <v>0</v>
      </c>
      <c r="G28" s="17">
        <f>[2]Resumen!$G$24</f>
        <v>0</v>
      </c>
      <c r="H28" s="18">
        <f>[2]Resumen!$H$24</f>
        <v>0</v>
      </c>
      <c r="I28" s="15">
        <f>[2]Resumen!$I$24</f>
        <v>0</v>
      </c>
      <c r="J28" s="16">
        <f>[2]Resumen!$J$24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[3]Resumen!$B$24</f>
        <v>0</v>
      </c>
      <c r="C29" s="15">
        <f>[3]Resumen!$C$24</f>
        <v>0</v>
      </c>
      <c r="D29" s="16">
        <f>[3]Resumen!$D$24</f>
        <v>0</v>
      </c>
      <c r="E29" s="14">
        <f>[3]Resumen!$E$24</f>
        <v>0</v>
      </c>
      <c r="F29" s="15">
        <f>[3]Resumen!$F$24</f>
        <v>0</v>
      </c>
      <c r="G29" s="17">
        <f>[3]Resumen!$G$24</f>
        <v>0</v>
      </c>
      <c r="H29" s="18">
        <f>[3]Resumen!$H$24</f>
        <v>0</v>
      </c>
      <c r="I29" s="15">
        <f>[3]Resumen!$I$24</f>
        <v>0</v>
      </c>
      <c r="J29" s="16">
        <f>[3]Resumen!$J$24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[4]Resumen!$B$24</f>
        <v>0</v>
      </c>
      <c r="C30" s="15">
        <f>[4]Resumen!$C$24</f>
        <v>0</v>
      </c>
      <c r="D30" s="16">
        <f>[4]Resumen!$D$24</f>
        <v>0</v>
      </c>
      <c r="E30" s="14">
        <f>[4]Resumen!$E$24</f>
        <v>0</v>
      </c>
      <c r="F30" s="15">
        <f>[4]Resumen!$F$24</f>
        <v>0</v>
      </c>
      <c r="G30" s="17">
        <f>[4]Resumen!$G$24</f>
        <v>0</v>
      </c>
      <c r="H30" s="18">
        <f>[4]Resumen!$H$24</f>
        <v>0</v>
      </c>
      <c r="I30" s="15">
        <f>[4]Resumen!$I$24</f>
        <v>0</v>
      </c>
      <c r="J30" s="16">
        <f>[4]Resumen!$J$24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[5]Resumen!$B$24</f>
        <v>0</v>
      </c>
      <c r="C31" s="15">
        <f>[5]Resumen!$C$24</f>
        <v>0</v>
      </c>
      <c r="D31" s="16">
        <f>[5]Resumen!$D$24</f>
        <v>0</v>
      </c>
      <c r="E31" s="14">
        <f>[5]Resumen!$E$24</f>
        <v>0</v>
      </c>
      <c r="F31" s="15">
        <f>[5]Resumen!$F$24</f>
        <v>0</v>
      </c>
      <c r="G31" s="17">
        <f>[5]Resumen!$G$24</f>
        <v>0</v>
      </c>
      <c r="H31" s="18">
        <f>[5]Resumen!$H$24</f>
        <v>0</v>
      </c>
      <c r="I31" s="15">
        <f>[5]Resumen!$I$24</f>
        <v>0</v>
      </c>
      <c r="J31" s="16">
        <f>[5]Resumen!$J$24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[6]Resumen!$B$24</f>
        <v>0</v>
      </c>
      <c r="C32" s="15">
        <f>[6]Resumen!$C$24</f>
        <v>0</v>
      </c>
      <c r="D32" s="16">
        <f>[6]Resumen!$D$24</f>
        <v>0</v>
      </c>
      <c r="E32" s="14">
        <f>[6]Resumen!$E$24</f>
        <v>0</v>
      </c>
      <c r="F32" s="15">
        <f>[6]Resumen!$F$24</f>
        <v>0</v>
      </c>
      <c r="G32" s="17">
        <f>[6]Resumen!$G$24</f>
        <v>0</v>
      </c>
      <c r="H32" s="18">
        <f>[6]Resumen!$H$24</f>
        <v>0</v>
      </c>
      <c r="I32" s="15">
        <f>[6]Resumen!$I$24</f>
        <v>0</v>
      </c>
      <c r="J32" s="16">
        <f>[6]Resumen!$J$24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[7]Resumen!$B$24</f>
        <v>0</v>
      </c>
      <c r="C33" s="15">
        <f>[7]Resumen!$C$24</f>
        <v>0</v>
      </c>
      <c r="D33" s="16">
        <f>[7]Resumen!$D$24</f>
        <v>0</v>
      </c>
      <c r="E33" s="14">
        <f>[7]Resumen!$E$24</f>
        <v>0</v>
      </c>
      <c r="F33" s="15">
        <f>[7]Resumen!$F$24</f>
        <v>0</v>
      </c>
      <c r="G33" s="17">
        <f>[7]Resumen!$G$24</f>
        <v>0</v>
      </c>
      <c r="H33" s="18">
        <f>[7]Resumen!$H$24</f>
        <v>0</v>
      </c>
      <c r="I33" s="15">
        <f>[7]Resumen!$I$24</f>
        <v>0</v>
      </c>
      <c r="J33" s="16">
        <f>[7]Resumen!$J$24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[8]Resumen!$B$24</f>
        <v>0</v>
      </c>
      <c r="C34" s="15">
        <f>[8]Resumen!$C$24</f>
        <v>0</v>
      </c>
      <c r="D34" s="16">
        <f>[8]Resumen!$D$24</f>
        <v>0</v>
      </c>
      <c r="E34" s="14">
        <f>[8]Resumen!$E$24</f>
        <v>0</v>
      </c>
      <c r="F34" s="15">
        <f>[8]Resumen!$F$24</f>
        <v>0</v>
      </c>
      <c r="G34" s="17">
        <f>[8]Resumen!$G$24</f>
        <v>0</v>
      </c>
      <c r="H34" s="18">
        <f>[8]Resumen!$H$24</f>
        <v>0</v>
      </c>
      <c r="I34" s="15">
        <f>[8]Resumen!$I$24</f>
        <v>0</v>
      </c>
      <c r="J34" s="16">
        <f>[8]Resumen!$J$24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[9]Resumen!$B$24</f>
        <v>0</v>
      </c>
      <c r="C35" s="15">
        <f>[9]Resumen!$C$24</f>
        <v>0</v>
      </c>
      <c r="D35" s="16">
        <f>[9]Resumen!$D$24</f>
        <v>0</v>
      </c>
      <c r="E35" s="14">
        <f>[9]Resumen!$E$24</f>
        <v>0</v>
      </c>
      <c r="F35" s="15">
        <f>[9]Resumen!$F$24</f>
        <v>0</v>
      </c>
      <c r="G35" s="17">
        <f>[9]Resumen!$G$24</f>
        <v>0</v>
      </c>
      <c r="H35" s="18">
        <f>[9]Resumen!$H$24</f>
        <v>0</v>
      </c>
      <c r="I35" s="15">
        <f>[9]Resumen!$I$24</f>
        <v>0</v>
      </c>
      <c r="J35" s="16">
        <f>[9]Resumen!$J$24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+[10]Resumen!$B$24</f>
        <v>0</v>
      </c>
      <c r="C36" s="22">
        <f>+[10]Resumen!$C$24</f>
        <v>0</v>
      </c>
      <c r="D36" s="23">
        <f>+[10]Resumen!$D$24</f>
        <v>0</v>
      </c>
      <c r="E36" s="21">
        <f>+[10]Resumen!$E$24</f>
        <v>0</v>
      </c>
      <c r="F36" s="22">
        <f>+[10]Resumen!$F$24</f>
        <v>0</v>
      </c>
      <c r="G36" s="24">
        <f>+[10]Resumen!$G$24</f>
        <v>0</v>
      </c>
      <c r="H36" s="25">
        <f>+[10]Resumen!$H$24</f>
        <v>0</v>
      </c>
      <c r="I36" s="22">
        <f>+[10]Resumen!$I$24</f>
        <v>0</v>
      </c>
      <c r="J36" s="23">
        <f>+[10]Resumen!$J$24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62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[11]Resumen!$B$25</f>
        <v>0</v>
      </c>
      <c r="C6" s="58">
        <f>[11]Resumen!$C$25</f>
        <v>0</v>
      </c>
      <c r="D6" s="54">
        <f>[11]Resumen!$D$25</f>
        <v>0</v>
      </c>
      <c r="E6" s="53">
        <f>[11]Resumen!$E$25</f>
        <v>0</v>
      </c>
      <c r="F6" s="58">
        <f>[11]Resumen!$F$25</f>
        <v>0</v>
      </c>
      <c r="G6" s="55">
        <f>[11]Resumen!$G$25</f>
        <v>0</v>
      </c>
      <c r="H6" s="61">
        <f>[11]Resumen!$H$25</f>
        <v>0</v>
      </c>
      <c r="I6" s="58">
        <f>[11]Resumen!$I$25</f>
        <v>0</v>
      </c>
      <c r="J6" s="54">
        <f>[11]Resumen!$J$25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[12]Resumen!$B$25</f>
        <v>0</v>
      </c>
      <c r="C7" s="15">
        <f>[12]Resumen!$C$25</f>
        <v>0</v>
      </c>
      <c r="D7" s="16">
        <f>[12]Resumen!$D$25</f>
        <v>0</v>
      </c>
      <c r="E7" s="14">
        <f>[12]Resumen!$E$25</f>
        <v>0</v>
      </c>
      <c r="F7" s="15">
        <f>[12]Resumen!$F$25</f>
        <v>0</v>
      </c>
      <c r="G7" s="17">
        <f>[12]Resumen!$G$25</f>
        <v>0</v>
      </c>
      <c r="H7" s="18">
        <f>[12]Resumen!$H$25</f>
        <v>0</v>
      </c>
      <c r="I7" s="15">
        <f>[12]Resumen!$I$25</f>
        <v>0</v>
      </c>
      <c r="J7" s="16">
        <f>[12]Resumen!$J$25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[13]Resumen!$B$25</f>
        <v>0</v>
      </c>
      <c r="C8" s="15">
        <f>[13]Resumen!$C$25</f>
        <v>0</v>
      </c>
      <c r="D8" s="16">
        <f>[13]Resumen!$D$25</f>
        <v>0</v>
      </c>
      <c r="E8" s="14">
        <f>[13]Resumen!$E$25</f>
        <v>0</v>
      </c>
      <c r="F8" s="15">
        <f>[13]Resumen!$F$25</f>
        <v>0</v>
      </c>
      <c r="G8" s="17">
        <f>[13]Resumen!$G$25</f>
        <v>0</v>
      </c>
      <c r="H8" s="18">
        <f>[13]Resumen!$H$25</f>
        <v>0</v>
      </c>
      <c r="I8" s="15">
        <f>[13]Resumen!$I$25</f>
        <v>0</v>
      </c>
      <c r="J8" s="16">
        <f>[13]Resumen!$J$25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[14]Resumen!$B$25</f>
        <v>0</v>
      </c>
      <c r="C9" s="15">
        <f>[14]Resumen!$C$25</f>
        <v>0</v>
      </c>
      <c r="D9" s="16">
        <f>[14]Resumen!$D$25</f>
        <v>0</v>
      </c>
      <c r="E9" s="14">
        <f>[14]Resumen!$E$25</f>
        <v>0</v>
      </c>
      <c r="F9" s="15">
        <f>[14]Resumen!$F$25</f>
        <v>0</v>
      </c>
      <c r="G9" s="17">
        <f>[14]Resumen!$G$25</f>
        <v>0</v>
      </c>
      <c r="H9" s="18">
        <f>[14]Resumen!$H$25</f>
        <v>0</v>
      </c>
      <c r="I9" s="15">
        <f>[14]Resumen!$I$25</f>
        <v>0</v>
      </c>
      <c r="J9" s="16">
        <f>[14]Resumen!$J$25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[15]Resumen!$B$25</f>
        <v>0</v>
      </c>
      <c r="C10" s="15">
        <f>[15]Resumen!$C$25</f>
        <v>0</v>
      </c>
      <c r="D10" s="16">
        <f>[15]Resumen!$D$25</f>
        <v>0</v>
      </c>
      <c r="E10" s="14">
        <f>[15]Resumen!$E$25</f>
        <v>0</v>
      </c>
      <c r="F10" s="15">
        <f>[15]Resumen!$F$25</f>
        <v>0</v>
      </c>
      <c r="G10" s="17">
        <f>[15]Resumen!$G$25</f>
        <v>0</v>
      </c>
      <c r="H10" s="18">
        <f>[15]Resumen!$H$25</f>
        <v>0</v>
      </c>
      <c r="I10" s="15">
        <f>[15]Resumen!$I$25</f>
        <v>0</v>
      </c>
      <c r="J10" s="16">
        <f>[15]Resumen!$J$25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[16]Resumen!$B$25</f>
        <v>0</v>
      </c>
      <c r="C11" s="15">
        <f>[16]Resumen!$C$25</f>
        <v>0</v>
      </c>
      <c r="D11" s="16">
        <f>[16]Resumen!$D$25</f>
        <v>0</v>
      </c>
      <c r="E11" s="14">
        <f>[16]Resumen!$E$25</f>
        <v>0</v>
      </c>
      <c r="F11" s="15">
        <f>[16]Resumen!$F$25</f>
        <v>0</v>
      </c>
      <c r="G11" s="17">
        <f>[16]Resumen!$G$25</f>
        <v>0</v>
      </c>
      <c r="H11" s="18">
        <f>[16]Resumen!$H$25</f>
        <v>0</v>
      </c>
      <c r="I11" s="15">
        <f>[16]Resumen!$I$25</f>
        <v>0</v>
      </c>
      <c r="J11" s="16">
        <f>[16]Resumen!$J$25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[17]Resumen!$B$25</f>
        <v>0</v>
      </c>
      <c r="C12" s="15">
        <f>[17]Resumen!$C$25</f>
        <v>0</v>
      </c>
      <c r="D12" s="16">
        <f>[17]Resumen!$D$25</f>
        <v>0</v>
      </c>
      <c r="E12" s="14">
        <f>[17]Resumen!$E$25</f>
        <v>0</v>
      </c>
      <c r="F12" s="15">
        <f>[17]Resumen!$F$25</f>
        <v>0</v>
      </c>
      <c r="G12" s="17">
        <f>[17]Resumen!$G$25</f>
        <v>0</v>
      </c>
      <c r="H12" s="18">
        <f>[17]Resumen!$H$25</f>
        <v>0</v>
      </c>
      <c r="I12" s="15">
        <f>[17]Resumen!$I$25</f>
        <v>0</v>
      </c>
      <c r="J12" s="16">
        <f>[17]Resumen!$J$25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[18]Resumen!$B$25</f>
        <v>0</v>
      </c>
      <c r="C13" s="15">
        <f>[18]Resumen!$C$25</f>
        <v>0</v>
      </c>
      <c r="D13" s="16">
        <f>[18]Resumen!$D$25</f>
        <v>0</v>
      </c>
      <c r="E13" s="14">
        <f>[18]Resumen!$E$25</f>
        <v>0</v>
      </c>
      <c r="F13" s="15">
        <f>[18]Resumen!$F$25</f>
        <v>0</v>
      </c>
      <c r="G13" s="17">
        <f>[18]Resumen!$G$25</f>
        <v>0</v>
      </c>
      <c r="H13" s="18">
        <f>[18]Resumen!$H$25</f>
        <v>0</v>
      </c>
      <c r="I13" s="15">
        <f>[18]Resumen!$I$25</f>
        <v>0</v>
      </c>
      <c r="J13" s="16">
        <f>[18]Resumen!$J$25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[19]Resumen!$B$25</f>
        <v>0</v>
      </c>
      <c r="C14" s="15">
        <f>[19]Resumen!$C$25</f>
        <v>0</v>
      </c>
      <c r="D14" s="16">
        <f>[19]Resumen!$D$25</f>
        <v>0</v>
      </c>
      <c r="E14" s="14">
        <f>[19]Resumen!$E$25</f>
        <v>0</v>
      </c>
      <c r="F14" s="15">
        <f>[19]Resumen!$F$25</f>
        <v>0</v>
      </c>
      <c r="G14" s="17">
        <f>[19]Resumen!$G$25</f>
        <v>0</v>
      </c>
      <c r="H14" s="18">
        <f>[19]Resumen!$H$25</f>
        <v>0</v>
      </c>
      <c r="I14" s="15">
        <f>[19]Resumen!$I$25</f>
        <v>0</v>
      </c>
      <c r="J14" s="16">
        <f>[19]Resumen!$J$25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[20]Resumen!$B$25</f>
        <v>0</v>
      </c>
      <c r="C15" s="15">
        <f>[20]Resumen!$C$25</f>
        <v>0</v>
      </c>
      <c r="D15" s="16">
        <f>[20]Resumen!$D$25</f>
        <v>0</v>
      </c>
      <c r="E15" s="14">
        <f>[20]Resumen!$E$25</f>
        <v>0</v>
      </c>
      <c r="F15" s="15">
        <f>[20]Resumen!$F$25</f>
        <v>0</v>
      </c>
      <c r="G15" s="17">
        <f>[20]Resumen!$G$25</f>
        <v>0</v>
      </c>
      <c r="H15" s="18">
        <f>[20]Resumen!$H$25</f>
        <v>0</v>
      </c>
      <c r="I15" s="15">
        <f>[20]Resumen!$I$25</f>
        <v>0</v>
      </c>
      <c r="J15" s="16">
        <f>[20]Resumen!$J$25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[21]Resumen!$B$25</f>
        <v>0</v>
      </c>
      <c r="C16" s="15">
        <f>[21]Resumen!$C$25</f>
        <v>0</v>
      </c>
      <c r="D16" s="16">
        <f>[21]Resumen!$D$25</f>
        <v>0</v>
      </c>
      <c r="E16" s="14">
        <f>[21]Resumen!$E$25</f>
        <v>0</v>
      </c>
      <c r="F16" s="15">
        <f>[21]Resumen!$F$25</f>
        <v>0</v>
      </c>
      <c r="G16" s="17">
        <f>[21]Resumen!$G$25</f>
        <v>0</v>
      </c>
      <c r="H16" s="18">
        <f>[21]Resumen!$H$25</f>
        <v>0</v>
      </c>
      <c r="I16" s="15">
        <f>[21]Resumen!$I$25</f>
        <v>0</v>
      </c>
      <c r="J16" s="16">
        <f>[21]Resumen!$J$25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[22]Resumen!$B$25</f>
        <v>0</v>
      </c>
      <c r="C17" s="15">
        <f>[22]Resumen!$C$25</f>
        <v>0</v>
      </c>
      <c r="D17" s="16">
        <f>[22]Resumen!$D$25</f>
        <v>0</v>
      </c>
      <c r="E17" s="14">
        <f>[22]Resumen!$E$25</f>
        <v>0</v>
      </c>
      <c r="F17" s="15">
        <f>[22]Resumen!$F$25</f>
        <v>0</v>
      </c>
      <c r="G17" s="17">
        <f>[22]Resumen!$G$25</f>
        <v>0</v>
      </c>
      <c r="H17" s="18">
        <f>[22]Resumen!$H$25</f>
        <v>0</v>
      </c>
      <c r="I17" s="15">
        <f>[22]Resumen!$I$25</f>
        <v>0</v>
      </c>
      <c r="J17" s="16">
        <f>[22]Resumen!$J$25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[23]Resumen!$B$25</f>
        <v>0</v>
      </c>
      <c r="C18" s="15">
        <f>[23]Resumen!$C$25</f>
        <v>0</v>
      </c>
      <c r="D18" s="16">
        <f>[23]Resumen!$D$25</f>
        <v>0</v>
      </c>
      <c r="E18" s="14">
        <f>[23]Resumen!$E$25</f>
        <v>0</v>
      </c>
      <c r="F18" s="15">
        <f>[23]Resumen!$F$25</f>
        <v>0</v>
      </c>
      <c r="G18" s="17">
        <f>[23]Resumen!$G$25</f>
        <v>0</v>
      </c>
      <c r="H18" s="18">
        <f>[23]Resumen!$H$25</f>
        <v>0</v>
      </c>
      <c r="I18" s="15">
        <f>[23]Resumen!$I$25</f>
        <v>0</v>
      </c>
      <c r="J18" s="16">
        <f>[23]Resumen!$J$25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[24]Resumen!$B$25</f>
        <v>0</v>
      </c>
      <c r="C19" s="15">
        <f>[24]Resumen!$C$25</f>
        <v>0</v>
      </c>
      <c r="D19" s="16">
        <f>[24]Resumen!$D$25</f>
        <v>0</v>
      </c>
      <c r="E19" s="14">
        <f>[24]Resumen!$E$25</f>
        <v>0</v>
      </c>
      <c r="F19" s="15">
        <f>[24]Resumen!$F$25</f>
        <v>0</v>
      </c>
      <c r="G19" s="17">
        <f>[24]Resumen!$G$25</f>
        <v>0</v>
      </c>
      <c r="H19" s="18">
        <f>[24]Resumen!$H$25</f>
        <v>0</v>
      </c>
      <c r="I19" s="15">
        <f>[24]Resumen!$I$25</f>
        <v>0</v>
      </c>
      <c r="J19" s="16">
        <f>[24]Resumen!$J$25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[25]Resumen!$B$25</f>
        <v>0</v>
      </c>
      <c r="C20" s="15">
        <f>[25]Resumen!$C$25</f>
        <v>0</v>
      </c>
      <c r="D20" s="16">
        <f>[25]Resumen!$D$25</f>
        <v>0</v>
      </c>
      <c r="E20" s="14">
        <f>[25]Resumen!$E$25</f>
        <v>0</v>
      </c>
      <c r="F20" s="15">
        <f>[25]Resumen!$F$25</f>
        <v>0</v>
      </c>
      <c r="G20" s="17">
        <f>[25]Resumen!$G$25</f>
        <v>0</v>
      </c>
      <c r="H20" s="18">
        <f>[25]Resumen!$H$25</f>
        <v>0</v>
      </c>
      <c r="I20" s="15">
        <f>[25]Resumen!$I$25</f>
        <v>0</v>
      </c>
      <c r="J20" s="16">
        <f>[25]Resumen!$J$25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[26]Resumen!$B$25</f>
        <v>0</v>
      </c>
      <c r="C21" s="15">
        <f>[26]Resumen!$C$25</f>
        <v>0</v>
      </c>
      <c r="D21" s="16">
        <f>[26]Resumen!$D$25</f>
        <v>0</v>
      </c>
      <c r="E21" s="14">
        <f>[26]Resumen!$E$25</f>
        <v>0</v>
      </c>
      <c r="F21" s="15">
        <f>[26]Resumen!$F$25</f>
        <v>0</v>
      </c>
      <c r="G21" s="17">
        <f>[26]Resumen!$G$25</f>
        <v>0</v>
      </c>
      <c r="H21" s="18">
        <f>[26]Resumen!$H$25</f>
        <v>0</v>
      </c>
      <c r="I21" s="15">
        <f>[26]Resumen!$I$25</f>
        <v>0</v>
      </c>
      <c r="J21" s="16">
        <f>[26]Resumen!$J$25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[27]Resumen!$B$25</f>
        <v>0</v>
      </c>
      <c r="C22" s="15">
        <f>[27]Resumen!$C$25</f>
        <v>0</v>
      </c>
      <c r="D22" s="16">
        <f>[27]Resumen!$D$25</f>
        <v>0</v>
      </c>
      <c r="E22" s="14">
        <f>[27]Resumen!$E$25</f>
        <v>0</v>
      </c>
      <c r="F22" s="15">
        <f>[27]Resumen!$F$25</f>
        <v>0</v>
      </c>
      <c r="G22" s="17">
        <f>[27]Resumen!$G$25</f>
        <v>0</v>
      </c>
      <c r="H22" s="18">
        <f>[27]Resumen!$H$25</f>
        <v>0</v>
      </c>
      <c r="I22" s="15">
        <f>[27]Resumen!$I$25</f>
        <v>0</v>
      </c>
      <c r="J22" s="16">
        <f>[27]Resumen!$J$25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[28]Resumen!$B$25</f>
        <v>0</v>
      </c>
      <c r="C23" s="15">
        <f>[28]Resumen!$C$25</f>
        <v>0</v>
      </c>
      <c r="D23" s="16">
        <f>[28]Resumen!$D$25</f>
        <v>0</v>
      </c>
      <c r="E23" s="14">
        <f>[28]Resumen!$E$25</f>
        <v>0</v>
      </c>
      <c r="F23" s="15">
        <f>[28]Resumen!$F$25</f>
        <v>0</v>
      </c>
      <c r="G23" s="17">
        <f>[28]Resumen!$G$25</f>
        <v>0</v>
      </c>
      <c r="H23" s="18">
        <f>[28]Resumen!$H$25</f>
        <v>0</v>
      </c>
      <c r="I23" s="15">
        <f>[28]Resumen!$I$25</f>
        <v>0</v>
      </c>
      <c r="J23" s="16">
        <f>[28]Resumen!$J$25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[29]Resumen!$B$25</f>
        <v>0</v>
      </c>
      <c r="C24" s="15">
        <f>[29]Resumen!$C$25</f>
        <v>0</v>
      </c>
      <c r="D24" s="16">
        <f>[29]Resumen!$D$25</f>
        <v>0</v>
      </c>
      <c r="E24" s="14">
        <f>[29]Resumen!$E$25</f>
        <v>0</v>
      </c>
      <c r="F24" s="15">
        <f>[29]Resumen!$F$25</f>
        <v>0</v>
      </c>
      <c r="G24" s="17">
        <f>[29]Resumen!$G$25</f>
        <v>0</v>
      </c>
      <c r="H24" s="18">
        <f>[29]Resumen!$H$25</f>
        <v>0</v>
      </c>
      <c r="I24" s="15">
        <f>[29]Resumen!$I$25</f>
        <v>0</v>
      </c>
      <c r="J24" s="16">
        <f>[29]Resumen!$J$25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[30]Resumen!$B$25</f>
        <v>0</v>
      </c>
      <c r="C25" s="15">
        <f>[30]Resumen!$C$25</f>
        <v>0</v>
      </c>
      <c r="D25" s="16">
        <f>[30]Resumen!$D$25</f>
        <v>0</v>
      </c>
      <c r="E25" s="14">
        <f>[30]Resumen!$E$25</f>
        <v>0</v>
      </c>
      <c r="F25" s="15">
        <f>[30]Resumen!$F$25</f>
        <v>0</v>
      </c>
      <c r="G25" s="17">
        <f>[30]Resumen!$G$25</f>
        <v>0</v>
      </c>
      <c r="H25" s="18">
        <f>[30]Resumen!$H$25</f>
        <v>0</v>
      </c>
      <c r="I25" s="15">
        <f>[30]Resumen!$I$25</f>
        <v>0</v>
      </c>
      <c r="J25" s="16">
        <f>[30]Resumen!$J$25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[31]Resumen!$B$25</f>
        <v>0</v>
      </c>
      <c r="C26" s="15">
        <f>[31]Resumen!$C$25</f>
        <v>0</v>
      </c>
      <c r="D26" s="16">
        <f>[31]Resumen!$D$25</f>
        <v>0</v>
      </c>
      <c r="E26" s="14">
        <f>[31]Resumen!$E$25</f>
        <v>0</v>
      </c>
      <c r="F26" s="15">
        <f>[31]Resumen!$F$25</f>
        <v>0</v>
      </c>
      <c r="G26" s="17">
        <f>[31]Resumen!$G$25</f>
        <v>0</v>
      </c>
      <c r="H26" s="18">
        <f>[31]Resumen!$H$25</f>
        <v>0</v>
      </c>
      <c r="I26" s="15">
        <f>[31]Resumen!$I$25</f>
        <v>0</v>
      </c>
      <c r="J26" s="16">
        <f>[31]Resumen!$J$25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[1]Resumen!$B$25</f>
        <v>0</v>
      </c>
      <c r="C27" s="15">
        <f>[1]Resumen!$C$25</f>
        <v>0</v>
      </c>
      <c r="D27" s="16">
        <f>[1]Resumen!$D$25</f>
        <v>0</v>
      </c>
      <c r="E27" s="14">
        <f>[1]Resumen!$E$25</f>
        <v>0</v>
      </c>
      <c r="F27" s="15">
        <f>[1]Resumen!$F$25</f>
        <v>0</v>
      </c>
      <c r="G27" s="17">
        <f>[1]Resumen!$G$25</f>
        <v>0</v>
      </c>
      <c r="H27" s="18">
        <f>[1]Resumen!$H$25</f>
        <v>0</v>
      </c>
      <c r="I27" s="15">
        <f>[1]Resumen!$I$25</f>
        <v>0</v>
      </c>
      <c r="J27" s="16">
        <f>[1]Resumen!$J$25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[2]Resumen!$B$25</f>
        <v>0</v>
      </c>
      <c r="C28" s="15">
        <f>[2]Resumen!$C$25</f>
        <v>0</v>
      </c>
      <c r="D28" s="16">
        <f>[2]Resumen!$D$25</f>
        <v>0</v>
      </c>
      <c r="E28" s="14">
        <f>[2]Resumen!$E$25</f>
        <v>0</v>
      </c>
      <c r="F28" s="15">
        <f>[2]Resumen!$F$25</f>
        <v>0</v>
      </c>
      <c r="G28" s="17">
        <f>[2]Resumen!$G$25</f>
        <v>0</v>
      </c>
      <c r="H28" s="18">
        <f>[2]Resumen!$H$25</f>
        <v>0</v>
      </c>
      <c r="I28" s="15">
        <f>[2]Resumen!$I$25</f>
        <v>0</v>
      </c>
      <c r="J28" s="16">
        <f>[2]Resumen!$J$25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[3]Resumen!$B$25</f>
        <v>0</v>
      </c>
      <c r="C29" s="15">
        <f>[3]Resumen!$C$25</f>
        <v>0</v>
      </c>
      <c r="D29" s="16">
        <f>[3]Resumen!$D$25</f>
        <v>0</v>
      </c>
      <c r="E29" s="14">
        <f>[3]Resumen!$E$25</f>
        <v>0</v>
      </c>
      <c r="F29" s="15">
        <f>[3]Resumen!$F$25</f>
        <v>0</v>
      </c>
      <c r="G29" s="17">
        <f>[3]Resumen!$G$25</f>
        <v>0</v>
      </c>
      <c r="H29" s="18">
        <f>[3]Resumen!$H$25</f>
        <v>0</v>
      </c>
      <c r="I29" s="15">
        <f>[3]Resumen!$I$25</f>
        <v>0</v>
      </c>
      <c r="J29" s="16">
        <f>[3]Resumen!$J$25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[4]Resumen!$B$25</f>
        <v>0</v>
      </c>
      <c r="C30" s="15">
        <f>[4]Resumen!$C$25</f>
        <v>0</v>
      </c>
      <c r="D30" s="16">
        <f>[4]Resumen!$D$25</f>
        <v>0</v>
      </c>
      <c r="E30" s="14">
        <f>[4]Resumen!$E$25</f>
        <v>0</v>
      </c>
      <c r="F30" s="15">
        <f>[4]Resumen!$F$25</f>
        <v>0</v>
      </c>
      <c r="G30" s="17">
        <f>[4]Resumen!$G$25</f>
        <v>0</v>
      </c>
      <c r="H30" s="18">
        <f>[4]Resumen!$H$25</f>
        <v>0</v>
      </c>
      <c r="I30" s="15">
        <f>[4]Resumen!$I$25</f>
        <v>0</v>
      </c>
      <c r="J30" s="16">
        <f>[4]Resumen!$J$25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[5]Resumen!$B$25</f>
        <v>0</v>
      </c>
      <c r="C31" s="15">
        <f>[5]Resumen!$C$25</f>
        <v>0</v>
      </c>
      <c r="D31" s="16">
        <f>[5]Resumen!$D$25</f>
        <v>0</v>
      </c>
      <c r="E31" s="14">
        <f>[5]Resumen!$E$25</f>
        <v>0</v>
      </c>
      <c r="F31" s="15">
        <f>[5]Resumen!$F$25</f>
        <v>0</v>
      </c>
      <c r="G31" s="17">
        <f>[5]Resumen!$G$25</f>
        <v>0</v>
      </c>
      <c r="H31" s="18">
        <f>[5]Resumen!$H$25</f>
        <v>0</v>
      </c>
      <c r="I31" s="15">
        <f>[5]Resumen!$I$25</f>
        <v>0</v>
      </c>
      <c r="J31" s="16">
        <f>[5]Resumen!$J$25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[6]Resumen!$B$25</f>
        <v>0</v>
      </c>
      <c r="C32" s="15">
        <f>[6]Resumen!$C$25</f>
        <v>0</v>
      </c>
      <c r="D32" s="16">
        <f>[6]Resumen!$D$25</f>
        <v>0</v>
      </c>
      <c r="E32" s="14">
        <f>[6]Resumen!$E$25</f>
        <v>0</v>
      </c>
      <c r="F32" s="15">
        <f>[6]Resumen!$F$25</f>
        <v>0</v>
      </c>
      <c r="G32" s="17">
        <f>[6]Resumen!$G$25</f>
        <v>0</v>
      </c>
      <c r="H32" s="18">
        <f>[6]Resumen!$H$25</f>
        <v>0</v>
      </c>
      <c r="I32" s="15">
        <f>[6]Resumen!$I$25</f>
        <v>0</v>
      </c>
      <c r="J32" s="16">
        <f>[6]Resumen!$J$25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[7]Resumen!$B$25</f>
        <v>0</v>
      </c>
      <c r="C33" s="15">
        <f>[7]Resumen!$C$25</f>
        <v>0</v>
      </c>
      <c r="D33" s="16">
        <f>[7]Resumen!$D$25</f>
        <v>0</v>
      </c>
      <c r="E33" s="14">
        <f>[7]Resumen!$E$25</f>
        <v>0</v>
      </c>
      <c r="F33" s="15">
        <f>[7]Resumen!$F$25</f>
        <v>0</v>
      </c>
      <c r="G33" s="17">
        <f>[7]Resumen!$G$25</f>
        <v>0</v>
      </c>
      <c r="H33" s="18">
        <f>[7]Resumen!$H$25</f>
        <v>0</v>
      </c>
      <c r="I33" s="15">
        <f>[7]Resumen!$I$25</f>
        <v>0</v>
      </c>
      <c r="J33" s="16">
        <f>[7]Resumen!$J$25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[8]Resumen!$B$25</f>
        <v>0</v>
      </c>
      <c r="C34" s="15">
        <f>[8]Resumen!$C$25</f>
        <v>0</v>
      </c>
      <c r="D34" s="16">
        <f>[8]Resumen!$D$25</f>
        <v>0</v>
      </c>
      <c r="E34" s="14">
        <f>[8]Resumen!$E$25</f>
        <v>0</v>
      </c>
      <c r="F34" s="15">
        <f>[8]Resumen!$F$25</f>
        <v>0</v>
      </c>
      <c r="G34" s="17">
        <f>[8]Resumen!$G$25</f>
        <v>0</v>
      </c>
      <c r="H34" s="18">
        <f>[8]Resumen!$H$25</f>
        <v>0</v>
      </c>
      <c r="I34" s="15">
        <f>[8]Resumen!$I$25</f>
        <v>0</v>
      </c>
      <c r="J34" s="16">
        <f>[8]Resumen!$J$25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[9]Resumen!$B$25</f>
        <v>0</v>
      </c>
      <c r="C35" s="15">
        <f>[9]Resumen!$C$25</f>
        <v>0</v>
      </c>
      <c r="D35" s="16">
        <f>[9]Resumen!$D$25</f>
        <v>0</v>
      </c>
      <c r="E35" s="14">
        <f>[9]Resumen!$E$25</f>
        <v>0</v>
      </c>
      <c r="F35" s="15">
        <f>[9]Resumen!$F$25</f>
        <v>0</v>
      </c>
      <c r="G35" s="17">
        <f>[9]Resumen!$G$25</f>
        <v>0</v>
      </c>
      <c r="H35" s="18">
        <f>[9]Resumen!$H$25</f>
        <v>0</v>
      </c>
      <c r="I35" s="15">
        <f>[9]Resumen!$I$25</f>
        <v>0</v>
      </c>
      <c r="J35" s="16">
        <f>[9]Resumen!$J$25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+[10]Resumen!$B$25</f>
        <v>0</v>
      </c>
      <c r="C36" s="22">
        <f>+[10]Resumen!$C$25</f>
        <v>0</v>
      </c>
      <c r="D36" s="23">
        <f>+[10]Resumen!$D$25</f>
        <v>0</v>
      </c>
      <c r="E36" s="21">
        <f>+[10]Resumen!$E$25</f>
        <v>0</v>
      </c>
      <c r="F36" s="22">
        <f>+[10]Resumen!$F$25</f>
        <v>0</v>
      </c>
      <c r="G36" s="24">
        <f>+[10]Resumen!$G$25</f>
        <v>0</v>
      </c>
      <c r="H36" s="25">
        <f>+[10]Resumen!$H$25</f>
        <v>0</v>
      </c>
      <c r="I36" s="22">
        <f>+[10]Resumen!$I$25</f>
        <v>0</v>
      </c>
      <c r="J36" s="23">
        <f>+[10]Resumen!$J$25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74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[11]Vendedor24!$J$4</f>
        <v>0</v>
      </c>
      <c r="C6" s="81">
        <f>[11]Vendedor24!$K$4</f>
        <v>0</v>
      </c>
      <c r="D6" s="82">
        <f>[11]Vendedor24!$L$4</f>
        <v>0</v>
      </c>
      <c r="E6" s="14">
        <f>[11]Vendedor24!$J$5</f>
        <v>0</v>
      </c>
      <c r="F6" s="81">
        <f>[11]Vendedor24!$K$5</f>
        <v>0</v>
      </c>
      <c r="G6" s="85">
        <f>[11]Vendedor24!$L$5</f>
        <v>0</v>
      </c>
      <c r="H6" s="19">
        <f>[11]Vendedor24!$J$6</f>
        <v>0</v>
      </c>
      <c r="I6" s="15">
        <f>[11]Vendedor24!$K$6</f>
        <v>0</v>
      </c>
      <c r="J6" s="17">
        <f>[11]Vendedor24!$L$6</f>
        <v>0</v>
      </c>
      <c r="K6" s="19">
        <f t="shared" ref="K6:K36" si="0">+B6+E6+H6</f>
        <v>0</v>
      </c>
      <c r="L6" s="15">
        <f>C6+F6+I6</f>
        <v>0</v>
      </c>
      <c r="M6" s="15">
        <f t="shared" ref="M6:M36" si="1">+D6+G6+J6</f>
        <v>0</v>
      </c>
      <c r="N6" s="15">
        <v>0</v>
      </c>
      <c r="O6" s="17">
        <f t="shared" ref="O6:O36" si="2">+K6-L6-M6+N6</f>
        <v>0</v>
      </c>
    </row>
    <row r="7" spans="1:15" x14ac:dyDescent="0.35">
      <c r="A7" s="13" t="s">
        <v>50</v>
      </c>
      <c r="B7" s="14">
        <f>[12]Vendedor24!$J$4</f>
        <v>0</v>
      </c>
      <c r="C7" s="81">
        <f>[12]Vendedor24!$K$4</f>
        <v>0</v>
      </c>
      <c r="D7" s="82">
        <f>[12]Vendedor24!$L$4</f>
        <v>0</v>
      </c>
      <c r="E7" s="14">
        <f>[12]Vendedor24!$J$5</f>
        <v>0</v>
      </c>
      <c r="F7" s="81">
        <f>[12]Vendedor24!$K$5</f>
        <v>0</v>
      </c>
      <c r="G7" s="85">
        <f>[12]Vendedor24!$L$5</f>
        <v>0</v>
      </c>
      <c r="H7" s="19">
        <f>[12]Vendedor24!$J$6</f>
        <v>0</v>
      </c>
      <c r="I7" s="15">
        <f>[12]Vendedor24!$K$6</f>
        <v>0</v>
      </c>
      <c r="J7" s="17">
        <f>[12]Vendedor24!$L$6</f>
        <v>0</v>
      </c>
      <c r="K7" s="19">
        <f t="shared" si="0"/>
        <v>0</v>
      </c>
      <c r="L7" s="15">
        <f t="shared" ref="L7:L36" si="3">C7+F7+I7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[13]Vendedor24!$J$4</f>
        <v>0</v>
      </c>
      <c r="C8" s="81">
        <f>[13]Vendedor24!$K$4</f>
        <v>0</v>
      </c>
      <c r="D8" s="82">
        <f>[13]Vendedor24!$L$4</f>
        <v>0</v>
      </c>
      <c r="E8" s="14">
        <f>[13]Vendedor24!$J$5</f>
        <v>0</v>
      </c>
      <c r="F8" s="81">
        <f>[13]Vendedor24!$K$5</f>
        <v>0</v>
      </c>
      <c r="G8" s="85">
        <f>[13]Vendedor24!$L$5</f>
        <v>0</v>
      </c>
      <c r="H8" s="19">
        <f>[13]Vendedor24!$J$6</f>
        <v>0</v>
      </c>
      <c r="I8" s="15">
        <f>[13]Vendedor24!$K$6</f>
        <v>0</v>
      </c>
      <c r="J8" s="17">
        <f>[13]Vendedor24!$L$6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[14]Vendedor24!$J$4</f>
        <v>0</v>
      </c>
      <c r="C9" s="81">
        <f>[14]Vendedor24!$K$4</f>
        <v>0</v>
      </c>
      <c r="D9" s="82">
        <f>[14]Vendedor24!$L$4</f>
        <v>0</v>
      </c>
      <c r="E9" s="14">
        <f>[14]Vendedor24!$J$5</f>
        <v>0</v>
      </c>
      <c r="F9" s="81">
        <f>[14]Vendedor24!$K$5</f>
        <v>0</v>
      </c>
      <c r="G9" s="85">
        <f>[14]Vendedor24!$L$5</f>
        <v>0</v>
      </c>
      <c r="H9" s="19">
        <f>[14]Vendedor24!$J$6</f>
        <v>0</v>
      </c>
      <c r="I9" s="15">
        <f>[14]Vendedor24!$K$6</f>
        <v>0</v>
      </c>
      <c r="J9" s="17">
        <f>[14]Vendedor24!$L$6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[15]Vendedor24!$J$4</f>
        <v>0</v>
      </c>
      <c r="C10" s="81">
        <f>[15]Vendedor24!$K$4</f>
        <v>0</v>
      </c>
      <c r="D10" s="82">
        <f>[15]Vendedor24!$L$4</f>
        <v>0</v>
      </c>
      <c r="E10" s="14">
        <f>[15]Vendedor24!$J$5</f>
        <v>0</v>
      </c>
      <c r="F10" s="81">
        <f>[15]Vendedor24!$K$5</f>
        <v>0</v>
      </c>
      <c r="G10" s="85">
        <f>[15]Vendedor24!$L$5</f>
        <v>0</v>
      </c>
      <c r="H10" s="19">
        <f>[15]Vendedor24!$J$6</f>
        <v>0</v>
      </c>
      <c r="I10" s="15">
        <f>[15]Vendedor24!$K$6</f>
        <v>0</v>
      </c>
      <c r="J10" s="17">
        <f>[15]Vendedor24!$L$6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[16]Vendedor24!$J$4</f>
        <v>0</v>
      </c>
      <c r="C11" s="81">
        <f>[16]Vendedor24!$K$4</f>
        <v>0</v>
      </c>
      <c r="D11" s="82">
        <f>[16]Vendedor24!$L$4</f>
        <v>0</v>
      </c>
      <c r="E11" s="14">
        <f>[16]Vendedor24!$J$5</f>
        <v>0</v>
      </c>
      <c r="F11" s="81">
        <f>[16]Vendedor24!$K$5</f>
        <v>0</v>
      </c>
      <c r="G11" s="85">
        <f>[16]Vendedor24!$L$5</f>
        <v>0</v>
      </c>
      <c r="H11" s="19">
        <f>[16]Vendedor24!$J$6</f>
        <v>0</v>
      </c>
      <c r="I11" s="15">
        <f>[16]Vendedor24!$K$6</f>
        <v>0</v>
      </c>
      <c r="J11" s="17">
        <f>[16]Vendedor24!$L$6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[17]Vendedor24!$J$4</f>
        <v>0</v>
      </c>
      <c r="C12" s="81">
        <f>[17]Vendedor24!$K$4</f>
        <v>0</v>
      </c>
      <c r="D12" s="82">
        <f>[17]Vendedor24!$L$4</f>
        <v>0</v>
      </c>
      <c r="E12" s="14">
        <f>[17]Vendedor24!$J$5</f>
        <v>0</v>
      </c>
      <c r="F12" s="81">
        <f>[17]Vendedor24!$K$5</f>
        <v>0</v>
      </c>
      <c r="G12" s="85">
        <f>[17]Vendedor24!$L$5</f>
        <v>0</v>
      </c>
      <c r="H12" s="19">
        <f>[17]Vendedor24!$J$6</f>
        <v>0</v>
      </c>
      <c r="I12" s="15">
        <f>[17]Vendedor24!$K$6</f>
        <v>0</v>
      </c>
      <c r="J12" s="17">
        <f>[17]Vendedor24!$L$6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[18]Vendedor24!$J$4</f>
        <v>0</v>
      </c>
      <c r="C13" s="81">
        <f>[18]Vendedor24!$K$4</f>
        <v>0</v>
      </c>
      <c r="D13" s="82">
        <f>[18]Vendedor24!$L$4</f>
        <v>0</v>
      </c>
      <c r="E13" s="14">
        <f>[18]Vendedor24!$J$5</f>
        <v>0</v>
      </c>
      <c r="F13" s="81">
        <f>[18]Vendedor24!$K$5</f>
        <v>0</v>
      </c>
      <c r="G13" s="85">
        <f>[18]Vendedor24!$L$5</f>
        <v>0</v>
      </c>
      <c r="H13" s="19">
        <f>[18]Vendedor24!$J$6</f>
        <v>0</v>
      </c>
      <c r="I13" s="15">
        <f>[18]Vendedor24!$K$6</f>
        <v>0</v>
      </c>
      <c r="J13" s="17">
        <f>[18]Vendedor24!$L$6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[19]Vendedor24!$J$4</f>
        <v>0</v>
      </c>
      <c r="C14" s="81">
        <f>[19]Vendedor24!$K$4</f>
        <v>0</v>
      </c>
      <c r="D14" s="82">
        <f>[19]Vendedor24!$L$4</f>
        <v>0</v>
      </c>
      <c r="E14" s="14">
        <f>[19]Vendedor24!$J$5</f>
        <v>0</v>
      </c>
      <c r="F14" s="81">
        <f>[19]Vendedor24!$K$5</f>
        <v>0</v>
      </c>
      <c r="G14" s="85">
        <f>[19]Vendedor24!$L$5</f>
        <v>0</v>
      </c>
      <c r="H14" s="19">
        <f>[19]Vendedor24!$J$6</f>
        <v>0</v>
      </c>
      <c r="I14" s="15">
        <f>[19]Vendedor24!$K$6</f>
        <v>0</v>
      </c>
      <c r="J14" s="17">
        <f>[19]Vendedor24!$L$6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[20]Vendedor24!$J$4</f>
        <v>0</v>
      </c>
      <c r="C15" s="81">
        <f>[20]Vendedor24!$K$4</f>
        <v>0</v>
      </c>
      <c r="D15" s="82">
        <f>[20]Vendedor24!$L$4</f>
        <v>0</v>
      </c>
      <c r="E15" s="14">
        <f>[20]Vendedor24!$J$5</f>
        <v>0</v>
      </c>
      <c r="F15" s="81">
        <f>[20]Vendedor24!$K$5</f>
        <v>0</v>
      </c>
      <c r="G15" s="85">
        <f>[20]Vendedor24!$L$5</f>
        <v>0</v>
      </c>
      <c r="H15" s="19">
        <f>[20]Vendedor24!$J$6</f>
        <v>0</v>
      </c>
      <c r="I15" s="15">
        <f>[20]Vendedor24!$K$6</f>
        <v>0</v>
      </c>
      <c r="J15" s="17">
        <f>[20]Vendedor24!$L$6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[21]Vendedor24!$J$4</f>
        <v>0</v>
      </c>
      <c r="C16" s="81">
        <f>[21]Vendedor24!$K$4</f>
        <v>0</v>
      </c>
      <c r="D16" s="82">
        <f>[21]Vendedor24!$L$4</f>
        <v>0</v>
      </c>
      <c r="E16" s="14">
        <f>[21]Vendedor24!$J$5</f>
        <v>0</v>
      </c>
      <c r="F16" s="81">
        <f>[21]Vendedor24!$K$5</f>
        <v>0</v>
      </c>
      <c r="G16" s="85">
        <f>[21]Vendedor24!$L$5</f>
        <v>0</v>
      </c>
      <c r="H16" s="19">
        <f>[21]Vendedor24!$J$6</f>
        <v>0</v>
      </c>
      <c r="I16" s="15">
        <f>[21]Vendedor24!$K$6</f>
        <v>0</v>
      </c>
      <c r="J16" s="17">
        <f>[21]Vendedor24!$L$6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[22]Vendedor24!$J$4</f>
        <v>0</v>
      </c>
      <c r="C17" s="81">
        <f>[22]Vendedor24!$K$4</f>
        <v>0</v>
      </c>
      <c r="D17" s="82">
        <f>[22]Vendedor24!$L$4</f>
        <v>0</v>
      </c>
      <c r="E17" s="14">
        <f>[22]Vendedor24!$J$5</f>
        <v>0</v>
      </c>
      <c r="F17" s="81">
        <f>[22]Vendedor24!$K$5</f>
        <v>0</v>
      </c>
      <c r="G17" s="85">
        <f>[22]Vendedor24!$L$5</f>
        <v>0</v>
      </c>
      <c r="H17" s="19">
        <f>[22]Vendedor24!$J$6</f>
        <v>0</v>
      </c>
      <c r="I17" s="15">
        <f>[22]Vendedor24!$K$6</f>
        <v>0</v>
      </c>
      <c r="J17" s="17">
        <f>[22]Vendedor24!$L$6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[23]Vendedor24!$J$4</f>
        <v>0</v>
      </c>
      <c r="C18" s="81">
        <f>[23]Vendedor24!$K$4</f>
        <v>0</v>
      </c>
      <c r="D18" s="82">
        <f>[23]Vendedor24!$L$4</f>
        <v>0</v>
      </c>
      <c r="E18" s="14">
        <f>[23]Vendedor24!$J$5</f>
        <v>0</v>
      </c>
      <c r="F18" s="81">
        <f>[23]Vendedor24!$K$5</f>
        <v>0</v>
      </c>
      <c r="G18" s="85">
        <f>[23]Vendedor24!$L$5</f>
        <v>0</v>
      </c>
      <c r="H18" s="19">
        <f>[23]Vendedor24!$J$6</f>
        <v>0</v>
      </c>
      <c r="I18" s="15">
        <f>[23]Vendedor24!$K$6</f>
        <v>0</v>
      </c>
      <c r="J18" s="17">
        <f>[23]Vendedor24!$L$6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[24]Vendedor24!$J$4</f>
        <v>0</v>
      </c>
      <c r="C19" s="81">
        <f>[24]Vendedor24!$K$4</f>
        <v>0</v>
      </c>
      <c r="D19" s="82">
        <f>[24]Vendedor24!$L$4</f>
        <v>0</v>
      </c>
      <c r="E19" s="14">
        <f>[24]Vendedor24!$J$5</f>
        <v>0</v>
      </c>
      <c r="F19" s="81">
        <f>[24]Vendedor24!$K$5</f>
        <v>0</v>
      </c>
      <c r="G19" s="85">
        <f>[24]Vendedor24!$L$5</f>
        <v>0</v>
      </c>
      <c r="H19" s="19">
        <f>[24]Vendedor24!$J$6</f>
        <v>0</v>
      </c>
      <c r="I19" s="15">
        <f>[24]Vendedor24!$K$6</f>
        <v>0</v>
      </c>
      <c r="J19" s="17">
        <f>[24]Vendedor24!$L$6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[25]Vendedor24!$J$4</f>
        <v>0</v>
      </c>
      <c r="C20" s="81">
        <f>[25]Vendedor24!$K$4</f>
        <v>0</v>
      </c>
      <c r="D20" s="82">
        <f>[25]Vendedor24!$L$4</f>
        <v>0</v>
      </c>
      <c r="E20" s="14">
        <f>[25]Vendedor24!$J$5</f>
        <v>0</v>
      </c>
      <c r="F20" s="81">
        <f>[25]Vendedor24!$K$5</f>
        <v>0</v>
      </c>
      <c r="G20" s="85">
        <f>[25]Vendedor24!$L$5</f>
        <v>0</v>
      </c>
      <c r="H20" s="19">
        <f>[25]Vendedor24!$J$6</f>
        <v>0</v>
      </c>
      <c r="I20" s="15">
        <f>[25]Vendedor24!$K$6</f>
        <v>0</v>
      </c>
      <c r="J20" s="17">
        <f>[25]Vendedor24!$L$6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[26]Vendedor24!$J$4</f>
        <v>0</v>
      </c>
      <c r="C21" s="81">
        <f>[26]Vendedor24!$K$4</f>
        <v>0</v>
      </c>
      <c r="D21" s="82">
        <f>[26]Vendedor24!$L$4</f>
        <v>0</v>
      </c>
      <c r="E21" s="14">
        <f>[26]Vendedor24!$J$5</f>
        <v>0</v>
      </c>
      <c r="F21" s="81">
        <f>[26]Vendedor24!$K$5</f>
        <v>0</v>
      </c>
      <c r="G21" s="85">
        <f>[26]Vendedor24!$L$5</f>
        <v>0</v>
      </c>
      <c r="H21" s="19">
        <f>[26]Vendedor24!$J$6</f>
        <v>0</v>
      </c>
      <c r="I21" s="15">
        <f>[26]Vendedor24!$K$6</f>
        <v>0</v>
      </c>
      <c r="J21" s="17">
        <f>[26]Vendedor24!$L$6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[27]Vendedor24!$J$4</f>
        <v>0</v>
      </c>
      <c r="C22" s="81">
        <f>[27]Vendedor24!$K$4</f>
        <v>0</v>
      </c>
      <c r="D22" s="82">
        <f>[27]Vendedor24!$L$4</f>
        <v>0</v>
      </c>
      <c r="E22" s="14">
        <f>[27]Vendedor24!$J$5</f>
        <v>0</v>
      </c>
      <c r="F22" s="81">
        <f>[27]Vendedor24!$K$5</f>
        <v>0</v>
      </c>
      <c r="G22" s="85">
        <f>[27]Vendedor24!$L$5</f>
        <v>0</v>
      </c>
      <c r="H22" s="19">
        <f>[27]Vendedor24!$J$6</f>
        <v>0</v>
      </c>
      <c r="I22" s="15">
        <f>[27]Vendedor24!$K$6</f>
        <v>0</v>
      </c>
      <c r="J22" s="17">
        <f>[27]Vendedor24!$L$6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[28]Vendedor24!$J$4</f>
        <v>0</v>
      </c>
      <c r="C23" s="81">
        <f>[28]Vendedor24!$K$4</f>
        <v>0</v>
      </c>
      <c r="D23" s="82">
        <f>[28]Vendedor24!$L$4</f>
        <v>0</v>
      </c>
      <c r="E23" s="14">
        <f>[28]Vendedor24!$J$5</f>
        <v>0</v>
      </c>
      <c r="F23" s="81">
        <f>[28]Vendedor24!$K$5</f>
        <v>0</v>
      </c>
      <c r="G23" s="85">
        <f>[28]Vendedor24!$L$5</f>
        <v>0</v>
      </c>
      <c r="H23" s="19">
        <f>[28]Vendedor24!$J$6</f>
        <v>0</v>
      </c>
      <c r="I23" s="15">
        <f>[28]Vendedor24!$K$6</f>
        <v>0</v>
      </c>
      <c r="J23" s="17">
        <f>[28]Vendedor24!$L$6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[29]Vendedor24!$J$4</f>
        <v>0</v>
      </c>
      <c r="C24" s="81">
        <f>[29]Vendedor24!$K$4</f>
        <v>0</v>
      </c>
      <c r="D24" s="82">
        <f>[29]Vendedor24!$L$4</f>
        <v>0</v>
      </c>
      <c r="E24" s="14">
        <f>[29]Vendedor24!$J$5</f>
        <v>0</v>
      </c>
      <c r="F24" s="81">
        <f>[29]Vendedor24!$K$5</f>
        <v>0</v>
      </c>
      <c r="G24" s="85">
        <f>[29]Vendedor24!$L$5</f>
        <v>0</v>
      </c>
      <c r="H24" s="19">
        <f>[29]Vendedor24!$J$6</f>
        <v>0</v>
      </c>
      <c r="I24" s="15">
        <f>[29]Vendedor24!$K$6</f>
        <v>0</v>
      </c>
      <c r="J24" s="17">
        <f>[29]Vendedor24!$L$6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[30]Vendedor24!$J$4</f>
        <v>0</v>
      </c>
      <c r="C25" s="81">
        <f>[30]Vendedor24!$K$4</f>
        <v>0</v>
      </c>
      <c r="D25" s="82">
        <f>[30]Vendedor24!$L$4</f>
        <v>0</v>
      </c>
      <c r="E25" s="14">
        <f>[30]Vendedor24!$J$5</f>
        <v>0</v>
      </c>
      <c r="F25" s="81">
        <f>[30]Vendedor24!$K$5</f>
        <v>0</v>
      </c>
      <c r="G25" s="85">
        <f>[30]Vendedor24!$L$5</f>
        <v>0</v>
      </c>
      <c r="H25" s="19">
        <f>[30]Vendedor24!$J$6</f>
        <v>0</v>
      </c>
      <c r="I25" s="15">
        <f>[30]Vendedor24!$K$6</f>
        <v>0</v>
      </c>
      <c r="J25" s="17">
        <f>[30]Vendedor24!$L$6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[31]Vendedor24!$J$4</f>
        <v>0</v>
      </c>
      <c r="C26" s="81">
        <f>[31]Vendedor24!$K$4</f>
        <v>0</v>
      </c>
      <c r="D26" s="82">
        <f>[31]Vendedor24!$L$4</f>
        <v>0</v>
      </c>
      <c r="E26" s="14">
        <f>[31]Vendedor24!$J$5</f>
        <v>0</v>
      </c>
      <c r="F26" s="81">
        <f>[31]Vendedor24!$K$5</f>
        <v>0</v>
      </c>
      <c r="G26" s="85">
        <f>[31]Vendedor24!$L$5</f>
        <v>0</v>
      </c>
      <c r="H26" s="19">
        <f>[31]Vendedor24!$J$6</f>
        <v>0</v>
      </c>
      <c r="I26" s="15">
        <f>[31]Vendedor24!$K$6</f>
        <v>0</v>
      </c>
      <c r="J26" s="17">
        <f>[31]Vendedor24!$L$6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[1]Vendedor24!$J$4</f>
        <v>0</v>
      </c>
      <c r="C27" s="81">
        <f>[1]Vendedor24!$K$4</f>
        <v>0</v>
      </c>
      <c r="D27" s="82">
        <f>[1]Vendedor24!$L$4</f>
        <v>0</v>
      </c>
      <c r="E27" s="14">
        <f>[1]Vendedor24!$J$5</f>
        <v>0</v>
      </c>
      <c r="F27" s="81">
        <f>[1]Vendedor24!$K$5</f>
        <v>0</v>
      </c>
      <c r="G27" s="85">
        <f>[1]Vendedor24!$L$5</f>
        <v>0</v>
      </c>
      <c r="H27" s="19">
        <f>[1]Vendedor24!$J$6</f>
        <v>0</v>
      </c>
      <c r="I27" s="15">
        <f>[1]Vendedor24!$K$6</f>
        <v>0</v>
      </c>
      <c r="J27" s="17">
        <f>[1]Vendedor24!$L$6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[2]Vendedor24!$J$4</f>
        <v>0</v>
      </c>
      <c r="C28" s="81">
        <f>[2]Vendedor24!$K$4</f>
        <v>0</v>
      </c>
      <c r="D28" s="82">
        <f>[2]Vendedor24!$L$4</f>
        <v>0</v>
      </c>
      <c r="E28" s="14">
        <f>[2]Vendedor24!$J$5</f>
        <v>0</v>
      </c>
      <c r="F28" s="81">
        <f>[2]Vendedor24!$K$5</f>
        <v>0</v>
      </c>
      <c r="G28" s="85">
        <f>[2]Vendedor24!$L$5</f>
        <v>0</v>
      </c>
      <c r="H28" s="19">
        <f>[2]Vendedor24!$J$6</f>
        <v>0</v>
      </c>
      <c r="I28" s="15">
        <f>[2]Vendedor24!$K$6</f>
        <v>0</v>
      </c>
      <c r="J28" s="17">
        <f>[2]Vendedor24!$L$6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[3]Vendedor24!$J$4</f>
        <v>0</v>
      </c>
      <c r="C29" s="81">
        <f>[3]Vendedor24!$K$4</f>
        <v>0</v>
      </c>
      <c r="D29" s="82">
        <f>[3]Vendedor24!$L$4</f>
        <v>0</v>
      </c>
      <c r="E29" s="14">
        <f>[3]Vendedor24!$J$5</f>
        <v>0</v>
      </c>
      <c r="F29" s="81">
        <f>[3]Vendedor24!$K$5</f>
        <v>0</v>
      </c>
      <c r="G29" s="85">
        <f>[3]Vendedor24!$L$5</f>
        <v>0</v>
      </c>
      <c r="H29" s="19">
        <f>[3]Vendedor24!$J$6</f>
        <v>0</v>
      </c>
      <c r="I29" s="15">
        <f>[3]Vendedor24!$K$6</f>
        <v>0</v>
      </c>
      <c r="J29" s="17">
        <f>[3]Vendedor24!$L$6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[4]Vendedor24!$J$4</f>
        <v>0</v>
      </c>
      <c r="C30" s="81">
        <f>[4]Vendedor24!$K$4</f>
        <v>0</v>
      </c>
      <c r="D30" s="82">
        <f>[4]Vendedor24!$L$4</f>
        <v>0</v>
      </c>
      <c r="E30" s="14">
        <f>[4]Vendedor24!$J$5</f>
        <v>0</v>
      </c>
      <c r="F30" s="81">
        <f>[4]Vendedor24!$K$5</f>
        <v>0</v>
      </c>
      <c r="G30" s="85">
        <f>[4]Vendedor24!$L$5</f>
        <v>0</v>
      </c>
      <c r="H30" s="19">
        <f>[4]Vendedor24!$J$6</f>
        <v>0</v>
      </c>
      <c r="I30" s="15">
        <f>[4]Vendedor24!$K$6</f>
        <v>0</v>
      </c>
      <c r="J30" s="17">
        <f>[4]Vendedor24!$L$6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[5]Vendedor24!$J$4</f>
        <v>0</v>
      </c>
      <c r="C31" s="81">
        <f>[5]Vendedor24!$K$4</f>
        <v>0</v>
      </c>
      <c r="D31" s="82">
        <f>[5]Vendedor24!$L$4</f>
        <v>0</v>
      </c>
      <c r="E31" s="14">
        <f>[5]Vendedor24!$J$5</f>
        <v>0</v>
      </c>
      <c r="F31" s="81">
        <f>[5]Vendedor24!$K$5</f>
        <v>0</v>
      </c>
      <c r="G31" s="85">
        <f>[5]Vendedor24!$L$5</f>
        <v>0</v>
      </c>
      <c r="H31" s="19">
        <f>[5]Vendedor24!$J$6</f>
        <v>0</v>
      </c>
      <c r="I31" s="15">
        <f>[5]Vendedor24!$K$6</f>
        <v>0</v>
      </c>
      <c r="J31" s="17">
        <f>[5]Vendedor24!$L$6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[6]Vendedor24!$J$4</f>
        <v>0</v>
      </c>
      <c r="C32" s="81">
        <f>[6]Vendedor24!$K$4</f>
        <v>0</v>
      </c>
      <c r="D32" s="82">
        <f>[6]Vendedor24!$L$4</f>
        <v>0</v>
      </c>
      <c r="E32" s="14">
        <f>[6]Vendedor24!$J$5</f>
        <v>0</v>
      </c>
      <c r="F32" s="81">
        <f>[6]Vendedor24!$K$5</f>
        <v>0</v>
      </c>
      <c r="G32" s="85">
        <f>[6]Vendedor24!$L$5</f>
        <v>0</v>
      </c>
      <c r="H32" s="19">
        <f>[6]Vendedor24!$J$6</f>
        <v>0</v>
      </c>
      <c r="I32" s="15">
        <f>[6]Vendedor24!$K$6</f>
        <v>0</v>
      </c>
      <c r="J32" s="17">
        <f>[6]Vendedor24!$L$6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[7]Vendedor24!$J$4</f>
        <v>0</v>
      </c>
      <c r="C33" s="81">
        <f>[7]Vendedor24!$K$4</f>
        <v>0</v>
      </c>
      <c r="D33" s="82">
        <f>[7]Vendedor24!$L$4</f>
        <v>0</v>
      </c>
      <c r="E33" s="14">
        <f>[7]Vendedor24!$J$5</f>
        <v>0</v>
      </c>
      <c r="F33" s="81">
        <f>[7]Vendedor24!$K$5</f>
        <v>0</v>
      </c>
      <c r="G33" s="85">
        <f>[7]Vendedor24!$L$5</f>
        <v>0</v>
      </c>
      <c r="H33" s="19">
        <f>[7]Vendedor24!$J$6</f>
        <v>0</v>
      </c>
      <c r="I33" s="15">
        <f>[7]Vendedor24!$K$6</f>
        <v>0</v>
      </c>
      <c r="J33" s="17">
        <f>[7]Vendedor24!$L$6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[8]Vendedor24!$J$4</f>
        <v>0</v>
      </c>
      <c r="C34" s="81">
        <f>[8]Vendedor24!$K$4</f>
        <v>0</v>
      </c>
      <c r="D34" s="82">
        <f>[8]Vendedor24!$L$4</f>
        <v>0</v>
      </c>
      <c r="E34" s="14">
        <f>[8]Vendedor24!$J$5</f>
        <v>0</v>
      </c>
      <c r="F34" s="81">
        <f>[8]Vendedor24!$K$5</f>
        <v>0</v>
      </c>
      <c r="G34" s="85">
        <f>[8]Vendedor24!$L$5</f>
        <v>0</v>
      </c>
      <c r="H34" s="19">
        <f>[8]Vendedor24!$J$6</f>
        <v>0</v>
      </c>
      <c r="I34" s="15">
        <f>[8]Vendedor24!$K$6</f>
        <v>0</v>
      </c>
      <c r="J34" s="17">
        <f>[8]Vendedor24!$L$6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[9]Vendedor24!$J$4</f>
        <v>0</v>
      </c>
      <c r="C35" s="81">
        <f>[9]Vendedor24!$K$4</f>
        <v>0</v>
      </c>
      <c r="D35" s="82">
        <f>[9]Vendedor24!$L$4</f>
        <v>0</v>
      </c>
      <c r="E35" s="14">
        <f>[9]Vendedor24!$J$5</f>
        <v>0</v>
      </c>
      <c r="F35" s="81">
        <f>[9]Vendedor24!$K$5</f>
        <v>0</v>
      </c>
      <c r="G35" s="85">
        <f>[9]Vendedor24!$L$5</f>
        <v>0</v>
      </c>
      <c r="H35" s="19">
        <f>[9]Vendedor24!$J$6</f>
        <v>0</v>
      </c>
      <c r="I35" s="15">
        <f>[9]Vendedor24!$K$6</f>
        <v>0</v>
      </c>
      <c r="J35" s="17">
        <f>[9]Vendedor24!$L$6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[10]Vendedor24!$J$4</f>
        <v>0</v>
      </c>
      <c r="C36" s="83">
        <f>[10]Vendedor24!$K$4</f>
        <v>0</v>
      </c>
      <c r="D36" s="84">
        <f>[10]Vendedor24!$L$4</f>
        <v>0</v>
      </c>
      <c r="E36" s="21">
        <f>[10]Vendedor24!$J$5</f>
        <v>0</v>
      </c>
      <c r="F36" s="83">
        <f>[10]Vendedor24!$K$5</f>
        <v>0</v>
      </c>
      <c r="G36" s="86">
        <f>[10]Vendedor24!$L$5</f>
        <v>0</v>
      </c>
      <c r="H36" s="26">
        <f>[10]Vendedor24!$J$6</f>
        <v>0</v>
      </c>
      <c r="I36" s="22">
        <f>[10]Vendedor24!$K$6</f>
        <v>0</v>
      </c>
      <c r="J36" s="24">
        <f>[10]Vendedor24!$L$6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103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[11]Resumen!$B$27</f>
        <v>0</v>
      </c>
      <c r="C6" s="58">
        <f>[11]Resumen!$C$27</f>
        <v>0</v>
      </c>
      <c r="D6" s="54">
        <f>[11]Resumen!$D$27</f>
        <v>0</v>
      </c>
      <c r="E6" s="53">
        <f>[11]Resumen!$E$27</f>
        <v>0</v>
      </c>
      <c r="F6" s="58">
        <f>[11]Resumen!$F$27</f>
        <v>0</v>
      </c>
      <c r="G6" s="55">
        <f>[11]Resumen!$G$27</f>
        <v>0</v>
      </c>
      <c r="H6" s="61">
        <f>[11]Resumen!$H$27</f>
        <v>0</v>
      </c>
      <c r="I6" s="58">
        <f>[11]Resumen!$I$27</f>
        <v>0</v>
      </c>
      <c r="J6" s="54">
        <f>[11]Resumen!$J$27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[12]Resumen!$B$27</f>
        <v>0</v>
      </c>
      <c r="C7" s="15">
        <f>[12]Resumen!$C$27</f>
        <v>0</v>
      </c>
      <c r="D7" s="16">
        <f>[12]Resumen!$D$27</f>
        <v>0</v>
      </c>
      <c r="E7" s="14">
        <f>[12]Resumen!$E$27</f>
        <v>0</v>
      </c>
      <c r="F7" s="15">
        <f>[12]Resumen!$F$27</f>
        <v>0</v>
      </c>
      <c r="G7" s="17">
        <f>[12]Resumen!$G$27</f>
        <v>0</v>
      </c>
      <c r="H7" s="18">
        <f>[12]Resumen!$H$27</f>
        <v>0</v>
      </c>
      <c r="I7" s="15">
        <f>[12]Resumen!$I$27</f>
        <v>0</v>
      </c>
      <c r="J7" s="16">
        <f>[12]Resumen!$J$27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[13]Resumen!$B$27</f>
        <v>0</v>
      </c>
      <c r="C8" s="15">
        <f>[13]Resumen!$C$27</f>
        <v>0</v>
      </c>
      <c r="D8" s="16">
        <f>[13]Resumen!$D$27</f>
        <v>0</v>
      </c>
      <c r="E8" s="14">
        <f>[13]Resumen!$E$27</f>
        <v>0</v>
      </c>
      <c r="F8" s="15">
        <f>[13]Resumen!$F$27</f>
        <v>0</v>
      </c>
      <c r="G8" s="17">
        <f>[13]Resumen!$G$27</f>
        <v>0</v>
      </c>
      <c r="H8" s="18">
        <f>[13]Resumen!$H$27</f>
        <v>0</v>
      </c>
      <c r="I8" s="15">
        <f>[13]Resumen!$I$27</f>
        <v>0</v>
      </c>
      <c r="J8" s="16">
        <f>[13]Resumen!$J$27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[14]Resumen!$B$27</f>
        <v>0</v>
      </c>
      <c r="C9" s="15">
        <f>[14]Resumen!$C$27</f>
        <v>0</v>
      </c>
      <c r="D9" s="16">
        <f>[14]Resumen!$D$27</f>
        <v>0</v>
      </c>
      <c r="E9" s="14">
        <f>[14]Resumen!$E$27</f>
        <v>0</v>
      </c>
      <c r="F9" s="15">
        <f>[14]Resumen!$F$27</f>
        <v>0</v>
      </c>
      <c r="G9" s="17">
        <f>[14]Resumen!$G$27</f>
        <v>0</v>
      </c>
      <c r="H9" s="18">
        <f>[14]Resumen!$H$27</f>
        <v>0</v>
      </c>
      <c r="I9" s="15">
        <f>[14]Resumen!$I$27</f>
        <v>0</v>
      </c>
      <c r="J9" s="16">
        <f>[14]Resumen!$J$27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[15]Resumen!$B$27</f>
        <v>0</v>
      </c>
      <c r="C10" s="15">
        <f>[15]Resumen!$C$27</f>
        <v>0</v>
      </c>
      <c r="D10" s="16">
        <f>[15]Resumen!$D$27</f>
        <v>0</v>
      </c>
      <c r="E10" s="14">
        <f>[15]Resumen!$E$27</f>
        <v>0</v>
      </c>
      <c r="F10" s="15">
        <f>[15]Resumen!$F$27</f>
        <v>0</v>
      </c>
      <c r="G10" s="17">
        <f>[15]Resumen!$G$27</f>
        <v>0</v>
      </c>
      <c r="H10" s="18">
        <f>[15]Resumen!$H$27</f>
        <v>0</v>
      </c>
      <c r="I10" s="15">
        <f>[15]Resumen!$I$27</f>
        <v>0</v>
      </c>
      <c r="J10" s="16">
        <f>[15]Resumen!$J$27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[16]Resumen!$B$27</f>
        <v>0</v>
      </c>
      <c r="C11" s="15">
        <f>[16]Resumen!$C$27</f>
        <v>0</v>
      </c>
      <c r="D11" s="16">
        <f>[16]Resumen!$D$27</f>
        <v>0</v>
      </c>
      <c r="E11" s="14">
        <f>[16]Resumen!$E$27</f>
        <v>0</v>
      </c>
      <c r="F11" s="15">
        <f>[16]Resumen!$F$27</f>
        <v>0</v>
      </c>
      <c r="G11" s="17">
        <f>[16]Resumen!$G$27</f>
        <v>0</v>
      </c>
      <c r="H11" s="18">
        <f>[16]Resumen!$H$27</f>
        <v>0</v>
      </c>
      <c r="I11" s="15">
        <f>[16]Resumen!$I$27</f>
        <v>0</v>
      </c>
      <c r="J11" s="16">
        <f>[16]Resumen!$J$27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[17]Resumen!$B$27</f>
        <v>0</v>
      </c>
      <c r="C12" s="15">
        <f>[17]Resumen!$C$27</f>
        <v>0</v>
      </c>
      <c r="D12" s="16">
        <f>[17]Resumen!$D$27</f>
        <v>0</v>
      </c>
      <c r="E12" s="14">
        <f>[17]Resumen!$E$27</f>
        <v>0</v>
      </c>
      <c r="F12" s="15">
        <f>[17]Resumen!$F$27</f>
        <v>0</v>
      </c>
      <c r="G12" s="17">
        <f>[17]Resumen!$G$27</f>
        <v>0</v>
      </c>
      <c r="H12" s="18">
        <f>[17]Resumen!$H$27</f>
        <v>0</v>
      </c>
      <c r="I12" s="15">
        <f>[17]Resumen!$I$27</f>
        <v>0</v>
      </c>
      <c r="J12" s="16">
        <f>[17]Resumen!$J$27</f>
        <v>0</v>
      </c>
      <c r="K12" s="19">
        <f t="shared" si="0"/>
        <v>0</v>
      </c>
      <c r="L12" s="15">
        <f>IFERROR(MROUND(C12+F12+I12,50),MROUND(C12+F12+I12,-50))</f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[18]Resumen!$B$27</f>
        <v>0</v>
      </c>
      <c r="C13" s="15">
        <f>[18]Resumen!$C$27</f>
        <v>0</v>
      </c>
      <c r="D13" s="16">
        <f>[18]Resumen!$D$27</f>
        <v>0</v>
      </c>
      <c r="E13" s="14">
        <f>[18]Resumen!$E$27</f>
        <v>0</v>
      </c>
      <c r="F13" s="15">
        <f>[18]Resumen!$F$27</f>
        <v>0</v>
      </c>
      <c r="G13" s="17">
        <f>[18]Resumen!$G$27</f>
        <v>0</v>
      </c>
      <c r="H13" s="18">
        <f>[18]Resumen!$H$27</f>
        <v>0</v>
      </c>
      <c r="I13" s="15">
        <f>[18]Resumen!$I$27</f>
        <v>0</v>
      </c>
      <c r="J13" s="16">
        <f>[18]Resumen!$J$27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[19]Resumen!$B$27</f>
        <v>0</v>
      </c>
      <c r="C14" s="15">
        <f>[19]Resumen!$C$27</f>
        <v>0</v>
      </c>
      <c r="D14" s="16">
        <f>[19]Resumen!$D$27</f>
        <v>0</v>
      </c>
      <c r="E14" s="14">
        <f>[19]Resumen!$E$27</f>
        <v>0</v>
      </c>
      <c r="F14" s="15">
        <f>[19]Resumen!$F$27</f>
        <v>0</v>
      </c>
      <c r="G14" s="17">
        <f>[19]Resumen!$G$27</f>
        <v>0</v>
      </c>
      <c r="H14" s="18">
        <f>[19]Resumen!$H$27</f>
        <v>0</v>
      </c>
      <c r="I14" s="15">
        <f>[19]Resumen!$I$27</f>
        <v>0</v>
      </c>
      <c r="J14" s="16">
        <f>[19]Resumen!$J$27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[20]Resumen!$B$27</f>
        <v>0</v>
      </c>
      <c r="C15" s="15">
        <f>[20]Resumen!$C$27</f>
        <v>0</v>
      </c>
      <c r="D15" s="16">
        <f>[20]Resumen!$D$27</f>
        <v>0</v>
      </c>
      <c r="E15" s="14">
        <f>[20]Resumen!$E$27</f>
        <v>0</v>
      </c>
      <c r="F15" s="15">
        <f>[20]Resumen!$F$27</f>
        <v>0</v>
      </c>
      <c r="G15" s="17">
        <f>[20]Resumen!$G$27</f>
        <v>0</v>
      </c>
      <c r="H15" s="18">
        <f>[20]Resumen!$H$27</f>
        <v>0</v>
      </c>
      <c r="I15" s="15">
        <f>[20]Resumen!$I$27</f>
        <v>0</v>
      </c>
      <c r="J15" s="16">
        <f>[20]Resumen!$J$27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[21]Resumen!$B$27</f>
        <v>0</v>
      </c>
      <c r="C16" s="15">
        <f>[21]Resumen!$C$27</f>
        <v>0</v>
      </c>
      <c r="D16" s="16">
        <f>[21]Resumen!$D$27</f>
        <v>0</v>
      </c>
      <c r="E16" s="14">
        <f>[21]Resumen!$E$27</f>
        <v>0</v>
      </c>
      <c r="F16" s="15">
        <f>[21]Resumen!$F$27</f>
        <v>0</v>
      </c>
      <c r="G16" s="17">
        <f>[21]Resumen!$G$27</f>
        <v>0</v>
      </c>
      <c r="H16" s="18">
        <f>[21]Resumen!$H$27</f>
        <v>0</v>
      </c>
      <c r="I16" s="15">
        <f>[21]Resumen!$I$27</f>
        <v>0</v>
      </c>
      <c r="J16" s="16">
        <f>[21]Resumen!$J$27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[22]Resumen!$B$27</f>
        <v>0</v>
      </c>
      <c r="C17" s="15">
        <f>[22]Resumen!$C$27</f>
        <v>0</v>
      </c>
      <c r="D17" s="16">
        <f>[22]Resumen!$D$27</f>
        <v>0</v>
      </c>
      <c r="E17" s="14">
        <f>[22]Resumen!$E$27</f>
        <v>0</v>
      </c>
      <c r="F17" s="15">
        <f>[22]Resumen!$F$27</f>
        <v>0</v>
      </c>
      <c r="G17" s="17">
        <f>[22]Resumen!$G$27</f>
        <v>0</v>
      </c>
      <c r="H17" s="18">
        <f>[22]Resumen!$H$27</f>
        <v>0</v>
      </c>
      <c r="I17" s="15">
        <f>[22]Resumen!$I$27</f>
        <v>0</v>
      </c>
      <c r="J17" s="16">
        <f>[22]Resumen!$J$27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[23]Resumen!$B$27</f>
        <v>0</v>
      </c>
      <c r="C18" s="15">
        <f>[23]Resumen!$C$27</f>
        <v>0</v>
      </c>
      <c r="D18" s="16">
        <f>[23]Resumen!$D$27</f>
        <v>0</v>
      </c>
      <c r="E18" s="14">
        <f>[23]Resumen!$E$27</f>
        <v>0</v>
      </c>
      <c r="F18" s="15">
        <f>[23]Resumen!$F$27</f>
        <v>0</v>
      </c>
      <c r="G18" s="17">
        <f>[23]Resumen!$G$27</f>
        <v>0</v>
      </c>
      <c r="H18" s="18">
        <f>[23]Resumen!$H$27</f>
        <v>0</v>
      </c>
      <c r="I18" s="15">
        <f>[23]Resumen!$I$27</f>
        <v>0</v>
      </c>
      <c r="J18" s="16">
        <f>[23]Resumen!$J$27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[24]Resumen!$B$27</f>
        <v>0</v>
      </c>
      <c r="C19" s="15">
        <f>[24]Resumen!$C$27</f>
        <v>0</v>
      </c>
      <c r="D19" s="16">
        <f>[24]Resumen!$D$27</f>
        <v>0</v>
      </c>
      <c r="E19" s="14">
        <f>[24]Resumen!$E$27</f>
        <v>0</v>
      </c>
      <c r="F19" s="15">
        <f>[24]Resumen!$F$27</f>
        <v>0</v>
      </c>
      <c r="G19" s="17">
        <f>[24]Resumen!$G$27</f>
        <v>0</v>
      </c>
      <c r="H19" s="18">
        <f>[24]Resumen!$H$27</f>
        <v>0</v>
      </c>
      <c r="I19" s="15">
        <f>[24]Resumen!$I$27</f>
        <v>0</v>
      </c>
      <c r="J19" s="16">
        <f>[24]Resumen!$J$27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[25]Resumen!$B$27</f>
        <v>0</v>
      </c>
      <c r="C20" s="15">
        <f>[25]Resumen!$C$27</f>
        <v>0</v>
      </c>
      <c r="D20" s="16">
        <f>[25]Resumen!$D$27</f>
        <v>0</v>
      </c>
      <c r="E20" s="14">
        <f>[25]Resumen!$E$27</f>
        <v>0</v>
      </c>
      <c r="F20" s="15">
        <f>[25]Resumen!$F$27</f>
        <v>0</v>
      </c>
      <c r="G20" s="17">
        <f>[25]Resumen!$G$27</f>
        <v>0</v>
      </c>
      <c r="H20" s="18">
        <f>[25]Resumen!$H$27</f>
        <v>0</v>
      </c>
      <c r="I20" s="15">
        <f>[25]Resumen!$I$27</f>
        <v>0</v>
      </c>
      <c r="J20" s="16">
        <f>[25]Resumen!$J$27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[26]Resumen!$B$27</f>
        <v>0</v>
      </c>
      <c r="C21" s="15">
        <f>[26]Resumen!$C$27</f>
        <v>0</v>
      </c>
      <c r="D21" s="16">
        <f>[26]Resumen!$D$27</f>
        <v>0</v>
      </c>
      <c r="E21" s="14">
        <f>[26]Resumen!$E$27</f>
        <v>0</v>
      </c>
      <c r="F21" s="15">
        <f>[26]Resumen!$F$27</f>
        <v>0</v>
      </c>
      <c r="G21" s="17">
        <f>[26]Resumen!$G$27</f>
        <v>0</v>
      </c>
      <c r="H21" s="18">
        <f>[26]Resumen!$H$27</f>
        <v>0</v>
      </c>
      <c r="I21" s="15">
        <f>[26]Resumen!$I$27</f>
        <v>0</v>
      </c>
      <c r="J21" s="16">
        <f>[26]Resumen!$J$27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[27]Resumen!$B$27</f>
        <v>0</v>
      </c>
      <c r="C22" s="15">
        <f>[27]Resumen!$C$27</f>
        <v>0</v>
      </c>
      <c r="D22" s="16">
        <f>[27]Resumen!$D$27</f>
        <v>0</v>
      </c>
      <c r="E22" s="14">
        <f>[27]Resumen!$E$27</f>
        <v>0</v>
      </c>
      <c r="F22" s="15">
        <f>[27]Resumen!$F$27</f>
        <v>0</v>
      </c>
      <c r="G22" s="17">
        <f>[27]Resumen!$G$27</f>
        <v>0</v>
      </c>
      <c r="H22" s="18">
        <f>[27]Resumen!$H$27</f>
        <v>0</v>
      </c>
      <c r="I22" s="15">
        <f>[27]Resumen!$I$27</f>
        <v>0</v>
      </c>
      <c r="J22" s="16">
        <f>[27]Resumen!$J$27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[28]Resumen!$B$27</f>
        <v>0</v>
      </c>
      <c r="C23" s="15">
        <f>[28]Resumen!$C$27</f>
        <v>0</v>
      </c>
      <c r="D23" s="16">
        <f>[28]Resumen!$D$27</f>
        <v>0</v>
      </c>
      <c r="E23" s="14">
        <f>[28]Resumen!$E$27</f>
        <v>0</v>
      </c>
      <c r="F23" s="15">
        <f>[28]Resumen!$F$27</f>
        <v>0</v>
      </c>
      <c r="G23" s="17">
        <f>[28]Resumen!$G$27</f>
        <v>0</v>
      </c>
      <c r="H23" s="18">
        <f>[28]Resumen!$H$27</f>
        <v>0</v>
      </c>
      <c r="I23" s="15">
        <f>[28]Resumen!$I$27</f>
        <v>0</v>
      </c>
      <c r="J23" s="16">
        <f>[28]Resumen!$J$27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[29]Resumen!$B$27</f>
        <v>0</v>
      </c>
      <c r="C24" s="15">
        <f>[29]Resumen!$C$27</f>
        <v>0</v>
      </c>
      <c r="D24" s="16">
        <f>[29]Resumen!$D$27</f>
        <v>0</v>
      </c>
      <c r="E24" s="14">
        <f>[29]Resumen!$E$27</f>
        <v>0</v>
      </c>
      <c r="F24" s="15">
        <f>[29]Resumen!$F$27</f>
        <v>0</v>
      </c>
      <c r="G24" s="17">
        <f>[29]Resumen!$G$27</f>
        <v>0</v>
      </c>
      <c r="H24" s="18">
        <f>[29]Resumen!$H$27</f>
        <v>0</v>
      </c>
      <c r="I24" s="15">
        <f>[29]Resumen!$I$27</f>
        <v>0</v>
      </c>
      <c r="J24" s="16">
        <f>[29]Resumen!$J$27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[30]Resumen!$B$27</f>
        <v>0</v>
      </c>
      <c r="C25" s="15">
        <f>[30]Resumen!$C$27</f>
        <v>0</v>
      </c>
      <c r="D25" s="16">
        <f>[30]Resumen!$D$27</f>
        <v>0</v>
      </c>
      <c r="E25" s="14">
        <f>[30]Resumen!$E$27</f>
        <v>0</v>
      </c>
      <c r="F25" s="15">
        <f>[30]Resumen!$F$27</f>
        <v>0</v>
      </c>
      <c r="G25" s="17">
        <f>[30]Resumen!$G$27</f>
        <v>0</v>
      </c>
      <c r="H25" s="18">
        <f>[30]Resumen!$H$27</f>
        <v>0</v>
      </c>
      <c r="I25" s="15">
        <f>[30]Resumen!$I$27</f>
        <v>0</v>
      </c>
      <c r="J25" s="16">
        <f>[30]Resumen!$J$27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[31]Resumen!$B$27</f>
        <v>0</v>
      </c>
      <c r="C26" s="15">
        <f>[31]Resumen!$C$27</f>
        <v>0</v>
      </c>
      <c r="D26" s="16">
        <f>[31]Resumen!$D$27</f>
        <v>0</v>
      </c>
      <c r="E26" s="14">
        <f>[31]Resumen!$E$27</f>
        <v>0</v>
      </c>
      <c r="F26" s="15">
        <f>[31]Resumen!$F$27</f>
        <v>0</v>
      </c>
      <c r="G26" s="17">
        <f>[31]Resumen!$G$27</f>
        <v>0</v>
      </c>
      <c r="H26" s="18">
        <f>[31]Resumen!$H$27</f>
        <v>0</v>
      </c>
      <c r="I26" s="15">
        <f>[31]Resumen!$I$27</f>
        <v>0</v>
      </c>
      <c r="J26" s="16">
        <f>[31]Resumen!$J$27</f>
        <v>0</v>
      </c>
      <c r="K26" s="19">
        <f t="shared" si="0"/>
        <v>0</v>
      </c>
      <c r="L26" s="15">
        <f>IFERROR(MROUND(C26+F26+I26,50),MROUND(C26+F26+I26,-50))</f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[1]Resumen!$B$27</f>
        <v>0</v>
      </c>
      <c r="C27" s="15">
        <f>[1]Resumen!$C$27</f>
        <v>0</v>
      </c>
      <c r="D27" s="16">
        <f>[1]Resumen!$D$27</f>
        <v>0</v>
      </c>
      <c r="E27" s="14">
        <f>[1]Resumen!$E$27</f>
        <v>0</v>
      </c>
      <c r="F27" s="15">
        <f>[1]Resumen!$F$27</f>
        <v>0</v>
      </c>
      <c r="G27" s="17">
        <f>[1]Resumen!$G$27</f>
        <v>0</v>
      </c>
      <c r="H27" s="18">
        <f>[1]Resumen!$H$27</f>
        <v>0</v>
      </c>
      <c r="I27" s="15">
        <f>[1]Resumen!$I$27</f>
        <v>0</v>
      </c>
      <c r="J27" s="16">
        <f>[1]Resumen!$J$27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[2]Resumen!$B$27</f>
        <v>0</v>
      </c>
      <c r="C28" s="15">
        <f>[2]Resumen!$C$27</f>
        <v>0</v>
      </c>
      <c r="D28" s="16">
        <f>[2]Resumen!$D$27</f>
        <v>0</v>
      </c>
      <c r="E28" s="14">
        <f>[2]Resumen!$E$27</f>
        <v>0</v>
      </c>
      <c r="F28" s="15">
        <f>[2]Resumen!$F$27</f>
        <v>0</v>
      </c>
      <c r="G28" s="17">
        <f>[2]Resumen!$G$27</f>
        <v>0</v>
      </c>
      <c r="H28" s="18">
        <f>[2]Resumen!$H$27</f>
        <v>0</v>
      </c>
      <c r="I28" s="15">
        <f>[2]Resumen!$I$27</f>
        <v>0</v>
      </c>
      <c r="J28" s="16">
        <f>[2]Resumen!$J$27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[3]Resumen!$B$27</f>
        <v>0</v>
      </c>
      <c r="C29" s="15">
        <f>[3]Resumen!$C$27</f>
        <v>0</v>
      </c>
      <c r="D29" s="16">
        <f>[3]Resumen!$D$27</f>
        <v>0</v>
      </c>
      <c r="E29" s="14">
        <f>[3]Resumen!$E$27</f>
        <v>0</v>
      </c>
      <c r="F29" s="15">
        <f>[3]Resumen!$F$27</f>
        <v>0</v>
      </c>
      <c r="G29" s="17">
        <f>[3]Resumen!$G$27</f>
        <v>0</v>
      </c>
      <c r="H29" s="18">
        <f>[3]Resumen!$H$27</f>
        <v>0</v>
      </c>
      <c r="I29" s="15">
        <f>[3]Resumen!$I$27</f>
        <v>0</v>
      </c>
      <c r="J29" s="16">
        <f>[3]Resumen!$J$27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[4]Resumen!$B$27</f>
        <v>0</v>
      </c>
      <c r="C30" s="15">
        <f>[4]Resumen!$C$27</f>
        <v>0</v>
      </c>
      <c r="D30" s="16">
        <f>[4]Resumen!$D$27</f>
        <v>0</v>
      </c>
      <c r="E30" s="14">
        <f>[4]Resumen!$E$27</f>
        <v>0</v>
      </c>
      <c r="F30" s="15">
        <f>[4]Resumen!$F$27</f>
        <v>0</v>
      </c>
      <c r="G30" s="17">
        <f>[4]Resumen!$G$27</f>
        <v>0</v>
      </c>
      <c r="H30" s="18">
        <f>[4]Resumen!$H$27</f>
        <v>0</v>
      </c>
      <c r="I30" s="15">
        <f>[4]Resumen!$I$27</f>
        <v>0</v>
      </c>
      <c r="J30" s="16">
        <f>[4]Resumen!$J$27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[5]Resumen!$B$27</f>
        <v>0</v>
      </c>
      <c r="C31" s="15">
        <f>[5]Resumen!$C$27</f>
        <v>0</v>
      </c>
      <c r="D31" s="16">
        <f>[5]Resumen!$D$27</f>
        <v>0</v>
      </c>
      <c r="E31" s="14">
        <f>[5]Resumen!$E$27</f>
        <v>0</v>
      </c>
      <c r="F31" s="15">
        <f>[5]Resumen!$F$27</f>
        <v>0</v>
      </c>
      <c r="G31" s="17">
        <f>[5]Resumen!$G$27</f>
        <v>0</v>
      </c>
      <c r="H31" s="18">
        <f>[5]Resumen!$H$27</f>
        <v>0</v>
      </c>
      <c r="I31" s="15">
        <f>[5]Resumen!$I$27</f>
        <v>0</v>
      </c>
      <c r="J31" s="16">
        <f>[5]Resumen!$J$27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[6]Resumen!$B$27</f>
        <v>0</v>
      </c>
      <c r="C32" s="15">
        <f>[6]Resumen!$C$27</f>
        <v>0</v>
      </c>
      <c r="D32" s="16">
        <f>[6]Resumen!$D$27</f>
        <v>0</v>
      </c>
      <c r="E32" s="14">
        <f>[6]Resumen!$E$27</f>
        <v>0</v>
      </c>
      <c r="F32" s="15">
        <f>[6]Resumen!$F$27</f>
        <v>0</v>
      </c>
      <c r="G32" s="17">
        <f>[6]Resumen!$G$27</f>
        <v>0</v>
      </c>
      <c r="H32" s="18">
        <f>[6]Resumen!$H$27</f>
        <v>0</v>
      </c>
      <c r="I32" s="15">
        <f>[6]Resumen!$I$27</f>
        <v>0</v>
      </c>
      <c r="J32" s="16">
        <f>[6]Resumen!$J$27</f>
        <v>0</v>
      </c>
      <c r="K32" s="19">
        <f t="shared" si="0"/>
        <v>0</v>
      </c>
      <c r="L32" s="15">
        <f>IFERROR(MROUND(C32+F32+I32,50),MROUND(C32+F32+I32,-50))</f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[7]Resumen!$B$27</f>
        <v>0</v>
      </c>
      <c r="C33" s="15">
        <f>[7]Resumen!$C$27</f>
        <v>0</v>
      </c>
      <c r="D33" s="16">
        <f>[7]Resumen!$D$27</f>
        <v>0</v>
      </c>
      <c r="E33" s="14">
        <f>[7]Resumen!$E$27</f>
        <v>0</v>
      </c>
      <c r="F33" s="15">
        <f>[7]Resumen!$F$27</f>
        <v>0</v>
      </c>
      <c r="G33" s="17">
        <f>[7]Resumen!$G$27</f>
        <v>0</v>
      </c>
      <c r="H33" s="18">
        <f>[7]Resumen!$H$27</f>
        <v>0</v>
      </c>
      <c r="I33" s="15">
        <f>[7]Resumen!$I$27</f>
        <v>0</v>
      </c>
      <c r="J33" s="16">
        <f>[7]Resumen!$J$27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[8]Resumen!$B$27</f>
        <v>0</v>
      </c>
      <c r="C34" s="15">
        <f>[8]Resumen!$C$27</f>
        <v>0</v>
      </c>
      <c r="D34" s="16">
        <f>[8]Resumen!$D$27</f>
        <v>0</v>
      </c>
      <c r="E34" s="14">
        <f>[8]Resumen!$E$27</f>
        <v>0</v>
      </c>
      <c r="F34" s="15">
        <f>[8]Resumen!$F$27</f>
        <v>0</v>
      </c>
      <c r="G34" s="17">
        <f>[8]Resumen!$G$27</f>
        <v>0</v>
      </c>
      <c r="H34" s="18">
        <f>[8]Resumen!$H$27</f>
        <v>0</v>
      </c>
      <c r="I34" s="15">
        <f>[8]Resumen!$I$27</f>
        <v>0</v>
      </c>
      <c r="J34" s="16">
        <f>[8]Resumen!$J$27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[9]Resumen!$B$27</f>
        <v>0</v>
      </c>
      <c r="C35" s="15">
        <f>[9]Resumen!$C$27</f>
        <v>0</v>
      </c>
      <c r="D35" s="16">
        <f>[9]Resumen!$D$27</f>
        <v>0</v>
      </c>
      <c r="E35" s="14">
        <f>[9]Resumen!$E$27</f>
        <v>0</v>
      </c>
      <c r="F35" s="15">
        <f>[9]Resumen!$F$27</f>
        <v>0</v>
      </c>
      <c r="G35" s="17">
        <f>[9]Resumen!$G$27</f>
        <v>0</v>
      </c>
      <c r="H35" s="18">
        <f>[9]Resumen!$H$27</f>
        <v>0</v>
      </c>
      <c r="I35" s="15">
        <f>[9]Resumen!$I$27</f>
        <v>0</v>
      </c>
      <c r="J35" s="16">
        <f>[9]Resumen!$J$27</f>
        <v>0</v>
      </c>
      <c r="K35" s="19">
        <f t="shared" si="0"/>
        <v>0</v>
      </c>
      <c r="L35" s="15">
        <f>IFERROR(MROUND(C35+F35+I35,50),MROUND(C35+F35+I35,-50))</f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+[10]Resumen!$B$27</f>
        <v>0</v>
      </c>
      <c r="C36" s="22">
        <f>+[10]Resumen!$C$27</f>
        <v>0</v>
      </c>
      <c r="D36" s="23">
        <f>+[10]Resumen!$D$27</f>
        <v>0</v>
      </c>
      <c r="E36" s="21">
        <f>+[10]Resumen!$E$27</f>
        <v>0</v>
      </c>
      <c r="F36" s="22">
        <f>+[10]Resumen!$F$27</f>
        <v>0</v>
      </c>
      <c r="G36" s="24">
        <f>+[10]Resumen!$G$27</f>
        <v>0</v>
      </c>
      <c r="H36" s="25">
        <f>+[10]Resumen!$H$27</f>
        <v>0</v>
      </c>
      <c r="I36" s="22">
        <f>+[10]Resumen!$I$27</f>
        <v>0</v>
      </c>
      <c r="J36" s="23">
        <f>+[10]Resumen!$J$27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103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[11]Vendedor26!$J$4</f>
        <v>0</v>
      </c>
      <c r="C5" s="81">
        <f>[11]Vendedor26!$K$4</f>
        <v>0</v>
      </c>
      <c r="D5" s="82">
        <f>[11]Vendedor26!$L$4</f>
        <v>0</v>
      </c>
      <c r="E5" s="14">
        <f>[11]Vendedor26!$J$5</f>
        <v>0</v>
      </c>
      <c r="F5" s="81">
        <f>[11]Vendedor26!$K$5</f>
        <v>0</v>
      </c>
      <c r="G5" s="85">
        <f>[11]Vendedor26!$L$5</f>
        <v>0</v>
      </c>
      <c r="H5" s="19">
        <f>[11]Vendedor26!$J$6</f>
        <v>0</v>
      </c>
      <c r="I5" s="15">
        <f>[11]Vendedor26!$K$6</f>
        <v>0</v>
      </c>
      <c r="J5" s="17">
        <f>[11]Vendedor26!$L$6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[12]Vendedor26!$J$4</f>
        <v>0</v>
      </c>
      <c r="C6" s="81">
        <f>[12]Vendedor26!$K$4</f>
        <v>0</v>
      </c>
      <c r="D6" s="82">
        <f>[12]Vendedor26!$L$4</f>
        <v>0</v>
      </c>
      <c r="E6" s="14">
        <f>[12]Vendedor26!$J$5</f>
        <v>0</v>
      </c>
      <c r="F6" s="81">
        <f>[12]Vendedor26!$K$5</f>
        <v>0</v>
      </c>
      <c r="G6" s="85">
        <f>[12]Vendedor26!$L$5</f>
        <v>0</v>
      </c>
      <c r="H6" s="19">
        <f>[12]Vendedor26!$J$6</f>
        <v>0</v>
      </c>
      <c r="I6" s="15">
        <f>[12]Vendedor26!$K$6</f>
        <v>0</v>
      </c>
      <c r="J6" s="17">
        <f>[12]Vendedor26!$L$6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[13]Vendedor26!$J$4</f>
        <v>0</v>
      </c>
      <c r="C7" s="81">
        <f>[13]Vendedor26!$K$4</f>
        <v>0</v>
      </c>
      <c r="D7" s="82">
        <f>[13]Vendedor26!$L$4</f>
        <v>0</v>
      </c>
      <c r="E7" s="14">
        <f>[13]Vendedor26!$J$5</f>
        <v>0</v>
      </c>
      <c r="F7" s="81">
        <f>[13]Vendedor26!$K$5</f>
        <v>0</v>
      </c>
      <c r="G7" s="85">
        <f>[13]Vendedor26!$L$5</f>
        <v>0</v>
      </c>
      <c r="H7" s="19">
        <f>[13]Vendedor26!$J$6</f>
        <v>0</v>
      </c>
      <c r="I7" s="15">
        <f>[13]Vendedor26!$K$6</f>
        <v>0</v>
      </c>
      <c r="J7" s="17">
        <f>[13]Vendedor26!$L$6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[14]Vendedor26!$J$4</f>
        <v>0</v>
      </c>
      <c r="C8" s="81">
        <f>[14]Vendedor26!$K$4</f>
        <v>0</v>
      </c>
      <c r="D8" s="82">
        <f>[14]Vendedor26!$L$4</f>
        <v>0</v>
      </c>
      <c r="E8" s="14">
        <f>[14]Vendedor26!$J$5</f>
        <v>0</v>
      </c>
      <c r="F8" s="81">
        <f>[14]Vendedor26!$K$5</f>
        <v>0</v>
      </c>
      <c r="G8" s="85">
        <f>[14]Vendedor26!$L$5</f>
        <v>0</v>
      </c>
      <c r="H8" s="19">
        <f>[14]Vendedor26!$J$6</f>
        <v>0</v>
      </c>
      <c r="I8" s="15">
        <f>[14]Vendedor26!$K$6</f>
        <v>0</v>
      </c>
      <c r="J8" s="17">
        <f>[14]Vendedor26!$L$6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[15]Vendedor26!$J$4</f>
        <v>0</v>
      </c>
      <c r="C9" s="81">
        <f>[15]Vendedor26!$K$4</f>
        <v>0</v>
      </c>
      <c r="D9" s="82">
        <f>[15]Vendedor26!$L$4</f>
        <v>0</v>
      </c>
      <c r="E9" s="14">
        <f>[15]Vendedor26!$J$5</f>
        <v>0</v>
      </c>
      <c r="F9" s="81">
        <f>[15]Vendedor26!$K$5</f>
        <v>0</v>
      </c>
      <c r="G9" s="85">
        <f>[15]Vendedor26!$L$5</f>
        <v>0</v>
      </c>
      <c r="H9" s="19">
        <f>[15]Vendedor26!$J$6</f>
        <v>0</v>
      </c>
      <c r="I9" s="15">
        <f>[15]Vendedor26!$K$6</f>
        <v>0</v>
      </c>
      <c r="J9" s="17">
        <f>[15]Vendedor26!$L$6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[16]Vendedor26!$J$4</f>
        <v>0</v>
      </c>
      <c r="C10" s="81">
        <f>[16]Vendedor26!$K$4</f>
        <v>0</v>
      </c>
      <c r="D10" s="82">
        <f>[16]Vendedor26!$L$4</f>
        <v>0</v>
      </c>
      <c r="E10" s="14">
        <f>[16]Vendedor26!$J$5</f>
        <v>0</v>
      </c>
      <c r="F10" s="81">
        <f>[16]Vendedor26!$K$5</f>
        <v>0</v>
      </c>
      <c r="G10" s="85">
        <f>[16]Vendedor26!$L$5</f>
        <v>0</v>
      </c>
      <c r="H10" s="19">
        <f>[16]Vendedor26!$J$6</f>
        <v>0</v>
      </c>
      <c r="I10" s="15">
        <f>[16]Vendedor26!$K$6</f>
        <v>0</v>
      </c>
      <c r="J10" s="17">
        <f>[16]Vendedor26!$L$6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[17]Vendedor26!$J$4</f>
        <v>0</v>
      </c>
      <c r="C11" s="81">
        <f>[17]Vendedor26!$K$4</f>
        <v>0</v>
      </c>
      <c r="D11" s="82">
        <f>[17]Vendedor26!$L$4</f>
        <v>0</v>
      </c>
      <c r="E11" s="14">
        <f>[17]Vendedor26!$J$5</f>
        <v>0</v>
      </c>
      <c r="F11" s="81">
        <f>[17]Vendedor26!$K$5</f>
        <v>0</v>
      </c>
      <c r="G11" s="85">
        <f>[17]Vendedor26!$L$5</f>
        <v>0</v>
      </c>
      <c r="H11" s="19">
        <f>[17]Vendedor26!$J$6</f>
        <v>0</v>
      </c>
      <c r="I11" s="15">
        <f>[17]Vendedor26!$K$6</f>
        <v>0</v>
      </c>
      <c r="J11" s="17">
        <f>[17]Vendedor26!$L$6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[18]Vendedor26!$J$4</f>
        <v>0</v>
      </c>
      <c r="C12" s="81">
        <f>[18]Vendedor26!$K$4</f>
        <v>0</v>
      </c>
      <c r="D12" s="82">
        <f>[18]Vendedor26!$L$4</f>
        <v>0</v>
      </c>
      <c r="E12" s="14">
        <f>[18]Vendedor26!$J$5</f>
        <v>0</v>
      </c>
      <c r="F12" s="81">
        <f>[18]Vendedor26!$K$5</f>
        <v>0</v>
      </c>
      <c r="G12" s="85">
        <f>[18]Vendedor26!$L$5</f>
        <v>0</v>
      </c>
      <c r="H12" s="19">
        <f>[18]Vendedor26!$J$6</f>
        <v>0</v>
      </c>
      <c r="I12" s="15">
        <f>[18]Vendedor26!$K$6</f>
        <v>0</v>
      </c>
      <c r="J12" s="17">
        <f>[18]Vendedor26!$L$6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[19]Vendedor26!$J$4</f>
        <v>0</v>
      </c>
      <c r="C13" s="81">
        <f>[19]Vendedor26!$K$4</f>
        <v>0</v>
      </c>
      <c r="D13" s="82">
        <f>[19]Vendedor26!$L$4</f>
        <v>0</v>
      </c>
      <c r="E13" s="14">
        <f>[19]Vendedor26!$J$5</f>
        <v>0</v>
      </c>
      <c r="F13" s="81">
        <f>[19]Vendedor26!$K$5</f>
        <v>0</v>
      </c>
      <c r="G13" s="85">
        <f>[19]Vendedor26!$L$5</f>
        <v>0</v>
      </c>
      <c r="H13" s="19">
        <f>[19]Vendedor26!$J$6</f>
        <v>0</v>
      </c>
      <c r="I13" s="15">
        <f>[19]Vendedor26!$K$6</f>
        <v>0</v>
      </c>
      <c r="J13" s="17">
        <f>[19]Vendedor26!$L$6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[20]Vendedor26!$J$4</f>
        <v>0</v>
      </c>
      <c r="C14" s="81">
        <f>[20]Vendedor26!$K$4</f>
        <v>0</v>
      </c>
      <c r="D14" s="82">
        <f>[20]Vendedor26!$L$4</f>
        <v>0</v>
      </c>
      <c r="E14" s="14">
        <f>[20]Vendedor26!$J$5</f>
        <v>0</v>
      </c>
      <c r="F14" s="81">
        <f>[20]Vendedor26!$K$5</f>
        <v>0</v>
      </c>
      <c r="G14" s="85">
        <f>[20]Vendedor26!$L$5</f>
        <v>0</v>
      </c>
      <c r="H14" s="19">
        <f>[20]Vendedor26!$J$6</f>
        <v>0</v>
      </c>
      <c r="I14" s="15">
        <f>[20]Vendedor26!$K$6</f>
        <v>0</v>
      </c>
      <c r="J14" s="17">
        <f>[20]Vendedor26!$L$6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[21]Vendedor26!$J$4</f>
        <v>0</v>
      </c>
      <c r="C15" s="81">
        <f>[21]Vendedor26!$K$4</f>
        <v>0</v>
      </c>
      <c r="D15" s="82">
        <f>[21]Vendedor26!$L$4</f>
        <v>0</v>
      </c>
      <c r="E15" s="14">
        <f>[21]Vendedor26!$J$5</f>
        <v>0</v>
      </c>
      <c r="F15" s="81">
        <f>[21]Vendedor26!$K$5</f>
        <v>0</v>
      </c>
      <c r="G15" s="85">
        <f>[21]Vendedor26!$L$5</f>
        <v>0</v>
      </c>
      <c r="H15" s="19">
        <f>[21]Vendedor26!$J$6</f>
        <v>0</v>
      </c>
      <c r="I15" s="15">
        <f>[21]Vendedor26!$K$6</f>
        <v>0</v>
      </c>
      <c r="J15" s="17">
        <f>[21]Vendedor26!$L$6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[22]Vendedor26!$J$4</f>
        <v>0</v>
      </c>
      <c r="C16" s="81">
        <f>[22]Vendedor26!$K$4</f>
        <v>0</v>
      </c>
      <c r="D16" s="82">
        <f>[22]Vendedor26!$L$4</f>
        <v>0</v>
      </c>
      <c r="E16" s="14">
        <f>[22]Vendedor26!$J$5</f>
        <v>0</v>
      </c>
      <c r="F16" s="81">
        <f>[22]Vendedor26!$K$5</f>
        <v>0</v>
      </c>
      <c r="G16" s="85">
        <f>[22]Vendedor26!$L$5</f>
        <v>0</v>
      </c>
      <c r="H16" s="19">
        <f>[22]Vendedor26!$J$6</f>
        <v>0</v>
      </c>
      <c r="I16" s="15">
        <f>[22]Vendedor26!$K$6</f>
        <v>0</v>
      </c>
      <c r="J16" s="17">
        <f>[22]Vendedor26!$L$6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[23]Vendedor26!$J$4</f>
        <v>0</v>
      </c>
      <c r="C17" s="81">
        <f>[23]Vendedor26!$K$4</f>
        <v>0</v>
      </c>
      <c r="D17" s="82">
        <f>[23]Vendedor26!$L$4</f>
        <v>0</v>
      </c>
      <c r="E17" s="14">
        <f>[23]Vendedor26!$J$5</f>
        <v>0</v>
      </c>
      <c r="F17" s="81">
        <f>[23]Vendedor26!$K$5</f>
        <v>0</v>
      </c>
      <c r="G17" s="85">
        <f>[23]Vendedor26!$L$5</f>
        <v>0</v>
      </c>
      <c r="H17" s="19">
        <f>[23]Vendedor26!$J$6</f>
        <v>0</v>
      </c>
      <c r="I17" s="15">
        <f>[23]Vendedor26!$K$6</f>
        <v>0</v>
      </c>
      <c r="J17" s="17">
        <f>[23]Vendedor26!$L$6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[24]Vendedor26!$J$4</f>
        <v>0</v>
      </c>
      <c r="C18" s="81">
        <f>[24]Vendedor26!$K$4</f>
        <v>0</v>
      </c>
      <c r="D18" s="82">
        <f>[24]Vendedor26!$L$4</f>
        <v>0</v>
      </c>
      <c r="E18" s="14">
        <f>[24]Vendedor26!$J$5</f>
        <v>0</v>
      </c>
      <c r="F18" s="81">
        <f>[24]Vendedor26!$K$5</f>
        <v>0</v>
      </c>
      <c r="G18" s="85">
        <f>[24]Vendedor26!$L$5</f>
        <v>0</v>
      </c>
      <c r="H18" s="19">
        <f>[24]Vendedor26!$J$6</f>
        <v>0</v>
      </c>
      <c r="I18" s="15">
        <f>[24]Vendedor26!$K$6</f>
        <v>0</v>
      </c>
      <c r="J18" s="17">
        <f>[24]Vendedor26!$L$6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[25]Vendedor26!$J$4</f>
        <v>0</v>
      </c>
      <c r="C19" s="81">
        <f>[25]Vendedor26!$K$4</f>
        <v>0</v>
      </c>
      <c r="D19" s="82">
        <f>[25]Vendedor26!$L$4</f>
        <v>0</v>
      </c>
      <c r="E19" s="14">
        <f>[25]Vendedor26!$J$5</f>
        <v>0</v>
      </c>
      <c r="F19" s="81">
        <f>[25]Vendedor26!$K$5</f>
        <v>0</v>
      </c>
      <c r="G19" s="85">
        <f>[25]Vendedor26!$L$5</f>
        <v>0</v>
      </c>
      <c r="H19" s="19">
        <f>[25]Vendedor26!$J$6</f>
        <v>0</v>
      </c>
      <c r="I19" s="15">
        <f>[25]Vendedor26!$K$6</f>
        <v>0</v>
      </c>
      <c r="J19" s="17">
        <f>[25]Vendedor26!$L$6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[26]Vendedor26!$J$4</f>
        <v>0</v>
      </c>
      <c r="C20" s="81">
        <f>[26]Vendedor26!$K$4</f>
        <v>0</v>
      </c>
      <c r="D20" s="82">
        <f>[26]Vendedor26!$L$4</f>
        <v>0</v>
      </c>
      <c r="E20" s="14">
        <f>[26]Vendedor26!$J$5</f>
        <v>0</v>
      </c>
      <c r="F20" s="81">
        <f>[26]Vendedor26!$K$5</f>
        <v>0</v>
      </c>
      <c r="G20" s="85">
        <f>[26]Vendedor26!$L$5</f>
        <v>0</v>
      </c>
      <c r="H20" s="19">
        <f>[26]Vendedor26!$J$6</f>
        <v>0</v>
      </c>
      <c r="I20" s="15">
        <f>[26]Vendedor26!$K$6</f>
        <v>0</v>
      </c>
      <c r="J20" s="17">
        <f>[26]Vendedor26!$L$6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[27]Vendedor26!$J$4</f>
        <v>0</v>
      </c>
      <c r="C21" s="81">
        <f>[27]Vendedor26!$K$4</f>
        <v>0</v>
      </c>
      <c r="D21" s="82">
        <f>[27]Vendedor26!$L$4</f>
        <v>0</v>
      </c>
      <c r="E21" s="14">
        <f>[27]Vendedor26!$J$5</f>
        <v>0</v>
      </c>
      <c r="F21" s="81">
        <f>[27]Vendedor26!$K$5</f>
        <v>0</v>
      </c>
      <c r="G21" s="85">
        <f>[27]Vendedor26!$L$5</f>
        <v>0</v>
      </c>
      <c r="H21" s="19">
        <f>[27]Vendedor26!$J$6</f>
        <v>0</v>
      </c>
      <c r="I21" s="15">
        <f>[27]Vendedor26!$K$6</f>
        <v>0</v>
      </c>
      <c r="J21" s="17">
        <f>[27]Vendedor26!$L$6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[28]Vendedor26!$J$4</f>
        <v>0</v>
      </c>
      <c r="C22" s="81">
        <f>[28]Vendedor26!$K$4</f>
        <v>0</v>
      </c>
      <c r="D22" s="82">
        <f>[28]Vendedor26!$L$4</f>
        <v>0</v>
      </c>
      <c r="E22" s="14">
        <f>[28]Vendedor26!$J$5</f>
        <v>0</v>
      </c>
      <c r="F22" s="81">
        <f>[28]Vendedor26!$K$5</f>
        <v>0</v>
      </c>
      <c r="G22" s="85">
        <f>[28]Vendedor26!$L$5</f>
        <v>0</v>
      </c>
      <c r="H22" s="19">
        <f>[28]Vendedor26!$J$6</f>
        <v>0</v>
      </c>
      <c r="I22" s="15">
        <f>[28]Vendedor26!$K$6</f>
        <v>0</v>
      </c>
      <c r="J22" s="17">
        <f>[28]Vendedor26!$L$6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[29]Vendedor26!$J$4</f>
        <v>0</v>
      </c>
      <c r="C23" s="81">
        <f>[29]Vendedor26!$K$4</f>
        <v>0</v>
      </c>
      <c r="D23" s="82">
        <f>[29]Vendedor26!$L$4</f>
        <v>0</v>
      </c>
      <c r="E23" s="14">
        <f>[29]Vendedor26!$J$5</f>
        <v>0</v>
      </c>
      <c r="F23" s="81">
        <f>[29]Vendedor26!$K$5</f>
        <v>0</v>
      </c>
      <c r="G23" s="85">
        <f>[29]Vendedor26!$L$5</f>
        <v>0</v>
      </c>
      <c r="H23" s="19">
        <f>[29]Vendedor26!$J$6</f>
        <v>0</v>
      </c>
      <c r="I23" s="15">
        <f>[29]Vendedor26!$K$6</f>
        <v>0</v>
      </c>
      <c r="J23" s="17">
        <f>[29]Vendedor26!$L$6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[30]Vendedor26!$J$4</f>
        <v>0</v>
      </c>
      <c r="C24" s="81">
        <f>[30]Vendedor26!$K$4</f>
        <v>0</v>
      </c>
      <c r="D24" s="82">
        <f>[30]Vendedor26!$L$4</f>
        <v>0</v>
      </c>
      <c r="E24" s="14">
        <f>[30]Vendedor26!$J$5</f>
        <v>0</v>
      </c>
      <c r="F24" s="81">
        <f>[30]Vendedor26!$K$5</f>
        <v>0</v>
      </c>
      <c r="G24" s="85">
        <f>[30]Vendedor26!$L$5</f>
        <v>0</v>
      </c>
      <c r="H24" s="19">
        <f>[30]Vendedor26!$J$6</f>
        <v>0</v>
      </c>
      <c r="I24" s="15">
        <f>[30]Vendedor26!$K$6</f>
        <v>0</v>
      </c>
      <c r="J24" s="17">
        <f>[30]Vendedor26!$L$6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[31]Vendedor26!$J$4</f>
        <v>0</v>
      </c>
      <c r="C25" s="81">
        <f>[31]Vendedor26!$K$4</f>
        <v>0</v>
      </c>
      <c r="D25" s="82">
        <f>[31]Vendedor26!$L$4</f>
        <v>0</v>
      </c>
      <c r="E25" s="14">
        <f>[31]Vendedor26!$J$5</f>
        <v>0</v>
      </c>
      <c r="F25" s="81">
        <f>[31]Vendedor26!$K$5</f>
        <v>0</v>
      </c>
      <c r="G25" s="85">
        <f>[31]Vendedor26!$L$5</f>
        <v>0</v>
      </c>
      <c r="H25" s="19">
        <f>[31]Vendedor26!$J$6</f>
        <v>0</v>
      </c>
      <c r="I25" s="15">
        <f>[31]Vendedor26!$K$6</f>
        <v>0</v>
      </c>
      <c r="J25" s="17">
        <f>[31]Vendedor26!$L$6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[1]Vendedor26!$J$4</f>
        <v>0</v>
      </c>
      <c r="C26" s="81">
        <f>[1]Vendedor26!$K$4</f>
        <v>0</v>
      </c>
      <c r="D26" s="82">
        <f>[1]Vendedor26!$L$4</f>
        <v>0</v>
      </c>
      <c r="E26" s="14">
        <f>[1]Vendedor26!$J$5</f>
        <v>0</v>
      </c>
      <c r="F26" s="81">
        <f>[1]Vendedor26!$K$5</f>
        <v>0</v>
      </c>
      <c r="G26" s="85">
        <f>[1]Vendedor26!$L$5</f>
        <v>0</v>
      </c>
      <c r="H26" s="19">
        <f>[1]Vendedor26!$J$6</f>
        <v>0</v>
      </c>
      <c r="I26" s="15">
        <f>[1]Vendedor26!$K$6</f>
        <v>0</v>
      </c>
      <c r="J26" s="17">
        <f>[1]Vendedor26!$L$6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[2]Vendedor26!$J$4</f>
        <v>0</v>
      </c>
      <c r="C27" s="81">
        <f>[2]Vendedor26!$K$4</f>
        <v>0</v>
      </c>
      <c r="D27" s="82">
        <f>[2]Vendedor26!$L$4</f>
        <v>0</v>
      </c>
      <c r="E27" s="14">
        <f>[2]Vendedor26!$J$5</f>
        <v>0</v>
      </c>
      <c r="F27" s="81">
        <f>[2]Vendedor26!$K$5</f>
        <v>0</v>
      </c>
      <c r="G27" s="85">
        <f>[2]Vendedor26!$L$5</f>
        <v>0</v>
      </c>
      <c r="H27" s="19">
        <f>[2]Vendedor26!$J$6</f>
        <v>0</v>
      </c>
      <c r="I27" s="15">
        <f>[2]Vendedor26!$K$6</f>
        <v>0</v>
      </c>
      <c r="J27" s="17">
        <f>[2]Vendedor26!$L$6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[3]Vendedor26!$J$4</f>
        <v>0</v>
      </c>
      <c r="C28" s="81">
        <f>[3]Vendedor26!$K$4</f>
        <v>0</v>
      </c>
      <c r="D28" s="82">
        <f>[3]Vendedor26!$L$4</f>
        <v>0</v>
      </c>
      <c r="E28" s="14">
        <f>[3]Vendedor26!$J$5</f>
        <v>0</v>
      </c>
      <c r="F28" s="81">
        <f>[3]Vendedor26!$K$5</f>
        <v>0</v>
      </c>
      <c r="G28" s="85">
        <f>[3]Vendedor26!$L$5</f>
        <v>0</v>
      </c>
      <c r="H28" s="19">
        <f>[3]Vendedor26!$J$6</f>
        <v>0</v>
      </c>
      <c r="I28" s="15">
        <f>[3]Vendedor26!$K$6</f>
        <v>0</v>
      </c>
      <c r="J28" s="17">
        <f>[3]Vendedor26!$L$6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[4]Vendedor26!$J$4</f>
        <v>0</v>
      </c>
      <c r="C29" s="81">
        <f>[4]Vendedor26!$K$4</f>
        <v>0</v>
      </c>
      <c r="D29" s="82">
        <f>[4]Vendedor26!$L$4</f>
        <v>0</v>
      </c>
      <c r="E29" s="14">
        <f>[4]Vendedor26!$J$5</f>
        <v>0</v>
      </c>
      <c r="F29" s="81">
        <f>[4]Vendedor26!$K$5</f>
        <v>0</v>
      </c>
      <c r="G29" s="85">
        <f>[4]Vendedor26!$L$5</f>
        <v>0</v>
      </c>
      <c r="H29" s="19">
        <f>[4]Vendedor26!$J$6</f>
        <v>0</v>
      </c>
      <c r="I29" s="15">
        <f>[4]Vendedor26!$K$6</f>
        <v>0</v>
      </c>
      <c r="J29" s="17">
        <f>[4]Vendedor26!$L$6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[5]Vendedor26!$J$4</f>
        <v>0</v>
      </c>
      <c r="C30" s="81">
        <f>[5]Vendedor26!$K$4</f>
        <v>0</v>
      </c>
      <c r="D30" s="82">
        <f>[5]Vendedor26!$L$4</f>
        <v>0</v>
      </c>
      <c r="E30" s="14">
        <f>[5]Vendedor26!$J$5</f>
        <v>0</v>
      </c>
      <c r="F30" s="81">
        <f>[5]Vendedor26!$K$5</f>
        <v>0</v>
      </c>
      <c r="G30" s="85">
        <f>[5]Vendedor26!$L$5</f>
        <v>0</v>
      </c>
      <c r="H30" s="19">
        <f>[5]Vendedor26!$J$6</f>
        <v>0</v>
      </c>
      <c r="I30" s="15">
        <f>[5]Vendedor26!$K$6</f>
        <v>0</v>
      </c>
      <c r="J30" s="17">
        <f>[5]Vendedor26!$L$6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[6]Vendedor26!$J$4</f>
        <v>0</v>
      </c>
      <c r="C31" s="81">
        <f>[6]Vendedor26!$K$4</f>
        <v>0</v>
      </c>
      <c r="D31" s="82">
        <f>[6]Vendedor26!$L$4</f>
        <v>0</v>
      </c>
      <c r="E31" s="14">
        <f>[6]Vendedor26!$J$5</f>
        <v>0</v>
      </c>
      <c r="F31" s="81">
        <f>[6]Vendedor26!$K$5</f>
        <v>0</v>
      </c>
      <c r="G31" s="85">
        <f>[6]Vendedor26!$L$5</f>
        <v>0</v>
      </c>
      <c r="H31" s="19">
        <f>[6]Vendedor26!$J$6</f>
        <v>0</v>
      </c>
      <c r="I31" s="15">
        <f>[6]Vendedor26!$K$6</f>
        <v>0</v>
      </c>
      <c r="J31" s="17">
        <f>[6]Vendedor26!$L$6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[7]Vendedor26!$J$4</f>
        <v>0</v>
      </c>
      <c r="C32" s="81">
        <f>[7]Vendedor26!$K$4</f>
        <v>0</v>
      </c>
      <c r="D32" s="82">
        <f>[7]Vendedor26!$L$4</f>
        <v>0</v>
      </c>
      <c r="E32" s="14">
        <f>[7]Vendedor26!$J$5</f>
        <v>0</v>
      </c>
      <c r="F32" s="81">
        <f>[7]Vendedor26!$K$5</f>
        <v>0</v>
      </c>
      <c r="G32" s="85">
        <f>[7]Vendedor26!$L$5</f>
        <v>0</v>
      </c>
      <c r="H32" s="19">
        <f>[7]Vendedor26!$J$6</f>
        <v>0</v>
      </c>
      <c r="I32" s="15">
        <f>[7]Vendedor26!$K$6</f>
        <v>0</v>
      </c>
      <c r="J32" s="17">
        <f>[7]Vendedor26!$L$6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[8]Vendedor26!$J$4</f>
        <v>0</v>
      </c>
      <c r="C33" s="81">
        <f>[8]Vendedor26!$K$4</f>
        <v>0</v>
      </c>
      <c r="D33" s="82">
        <f>[8]Vendedor26!$L$4</f>
        <v>0</v>
      </c>
      <c r="E33" s="14">
        <f>[8]Vendedor26!$J$5</f>
        <v>0</v>
      </c>
      <c r="F33" s="81">
        <f>[8]Vendedor26!$K$5</f>
        <v>0</v>
      </c>
      <c r="G33" s="85">
        <f>[8]Vendedor26!$L$5</f>
        <v>0</v>
      </c>
      <c r="H33" s="19">
        <f>[8]Vendedor26!$J$6</f>
        <v>0</v>
      </c>
      <c r="I33" s="15">
        <f>[8]Vendedor26!$K$6</f>
        <v>0</v>
      </c>
      <c r="J33" s="17">
        <f>[8]Vendedor26!$L$6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[9]Vendedor26!$J$4</f>
        <v>0</v>
      </c>
      <c r="C34" s="81">
        <f>[9]Vendedor26!$K$4</f>
        <v>0</v>
      </c>
      <c r="D34" s="82">
        <f>[9]Vendedor26!$L$4</f>
        <v>0</v>
      </c>
      <c r="E34" s="14">
        <f>[9]Vendedor26!$J$5</f>
        <v>0</v>
      </c>
      <c r="F34" s="81">
        <f>[9]Vendedor26!$K$5</f>
        <v>0</v>
      </c>
      <c r="G34" s="85">
        <f>[9]Vendedor26!$L$5</f>
        <v>0</v>
      </c>
      <c r="H34" s="19">
        <f>[9]Vendedor26!$J$6</f>
        <v>0</v>
      </c>
      <c r="I34" s="15">
        <f>[9]Vendedor26!$K$6</f>
        <v>0</v>
      </c>
      <c r="J34" s="17">
        <f>[9]Vendedor26!$L$6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[10]Vendedor26!$J$4</f>
        <v>0</v>
      </c>
      <c r="C35" s="83">
        <f>[10]Vendedor26!$K$4</f>
        <v>0</v>
      </c>
      <c r="D35" s="84">
        <f>[10]Vendedor26!$L$4</f>
        <v>0</v>
      </c>
      <c r="E35" s="21">
        <f>[10]Vendedor26!$J$5</f>
        <v>0</v>
      </c>
      <c r="F35" s="83">
        <f>[10]Vendedor26!$K$5</f>
        <v>0</v>
      </c>
      <c r="G35" s="86">
        <f>[10]Vendedor26!$L$5</f>
        <v>0</v>
      </c>
      <c r="H35" s="26">
        <f>[10]Vendedor26!$J$6</f>
        <v>0</v>
      </c>
      <c r="I35" s="22">
        <f>[10]Vendedor26!$K$6</f>
        <v>0</v>
      </c>
      <c r="J35" s="24">
        <f>[10]Vendedor26!$L$6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70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[11]Resumen!$B$29</f>
        <v>0</v>
      </c>
      <c r="C5" s="58">
        <f>[11]Resumen!$C$29</f>
        <v>0</v>
      </c>
      <c r="D5" s="54">
        <f>[11]Resumen!$D$29</f>
        <v>0</v>
      </c>
      <c r="E5" s="53">
        <f>[11]Resumen!$E$29</f>
        <v>0</v>
      </c>
      <c r="F5" s="58">
        <f>[11]Resumen!$F$29</f>
        <v>0</v>
      </c>
      <c r="G5" s="55">
        <f>[11]Resumen!$G$29</f>
        <v>0</v>
      </c>
      <c r="H5" s="61">
        <f>[11]Resumen!$H$29</f>
        <v>0</v>
      </c>
      <c r="I5" s="58">
        <f>[11]Resumen!$I$29</f>
        <v>0</v>
      </c>
      <c r="J5" s="54">
        <f>[11]Resumen!$J$29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[12]Resumen!$B$29</f>
        <v>0</v>
      </c>
      <c r="C6" s="15">
        <f>[12]Resumen!$C$29</f>
        <v>0</v>
      </c>
      <c r="D6" s="16">
        <f>[12]Resumen!$D$29</f>
        <v>0</v>
      </c>
      <c r="E6" s="14">
        <f>[12]Resumen!$E$29</f>
        <v>0</v>
      </c>
      <c r="F6" s="15">
        <f>[12]Resumen!$F$29</f>
        <v>0</v>
      </c>
      <c r="G6" s="17">
        <f>[12]Resumen!$G$29</f>
        <v>0</v>
      </c>
      <c r="H6" s="18">
        <f>[12]Resumen!$H$29</f>
        <v>0</v>
      </c>
      <c r="I6" s="15">
        <f>[12]Resumen!$I$29</f>
        <v>0</v>
      </c>
      <c r="J6" s="16">
        <f>[12]Resumen!$J$29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[13]Resumen!$B$29</f>
        <v>0</v>
      </c>
      <c r="C7" s="15">
        <f>[13]Resumen!$C$29</f>
        <v>0</v>
      </c>
      <c r="D7" s="16">
        <f>[13]Resumen!$D$29</f>
        <v>0</v>
      </c>
      <c r="E7" s="14">
        <f>[13]Resumen!$E$29</f>
        <v>0</v>
      </c>
      <c r="F7" s="15">
        <f>[13]Resumen!$F$29</f>
        <v>0</v>
      </c>
      <c r="G7" s="17">
        <f>[13]Resumen!$G$29</f>
        <v>0</v>
      </c>
      <c r="H7" s="18">
        <f>[13]Resumen!$H$29</f>
        <v>0</v>
      </c>
      <c r="I7" s="15">
        <f>[13]Resumen!$I$29</f>
        <v>0</v>
      </c>
      <c r="J7" s="16">
        <f>[13]Resumen!$J$29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[14]Resumen!$B$29</f>
        <v>0</v>
      </c>
      <c r="C8" s="15">
        <f>[14]Resumen!$C$29</f>
        <v>0</v>
      </c>
      <c r="D8" s="16">
        <f>[14]Resumen!$D$29</f>
        <v>0</v>
      </c>
      <c r="E8" s="14">
        <f>[14]Resumen!$E$29</f>
        <v>0</v>
      </c>
      <c r="F8" s="15">
        <f>[14]Resumen!$F$29</f>
        <v>0</v>
      </c>
      <c r="G8" s="17">
        <f>[14]Resumen!$G$29</f>
        <v>0</v>
      </c>
      <c r="H8" s="18">
        <f>[14]Resumen!$H$29</f>
        <v>0</v>
      </c>
      <c r="I8" s="15">
        <f>[14]Resumen!$I$29</f>
        <v>0</v>
      </c>
      <c r="J8" s="16">
        <f>[14]Resumen!$J$29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[15]Resumen!$B$29</f>
        <v>0</v>
      </c>
      <c r="C9" s="15">
        <f>[15]Resumen!$C$29</f>
        <v>0</v>
      </c>
      <c r="D9" s="16">
        <f>[15]Resumen!$D$29</f>
        <v>0</v>
      </c>
      <c r="E9" s="14">
        <f>[15]Resumen!$E$29</f>
        <v>0</v>
      </c>
      <c r="F9" s="15">
        <f>[15]Resumen!$F$29</f>
        <v>0</v>
      </c>
      <c r="G9" s="17">
        <f>[15]Resumen!$G$29</f>
        <v>0</v>
      </c>
      <c r="H9" s="18">
        <f>[15]Resumen!$H$29</f>
        <v>0</v>
      </c>
      <c r="I9" s="15">
        <f>[15]Resumen!$I$29</f>
        <v>0</v>
      </c>
      <c r="J9" s="16">
        <f>[15]Resumen!$J$29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[16]Resumen!$B$29</f>
        <v>0</v>
      </c>
      <c r="C10" s="15">
        <f>[16]Resumen!$C$29</f>
        <v>0</v>
      </c>
      <c r="D10" s="16">
        <f>[16]Resumen!$D$29</f>
        <v>0</v>
      </c>
      <c r="E10" s="14">
        <f>[16]Resumen!$E$29</f>
        <v>0</v>
      </c>
      <c r="F10" s="15">
        <f>[16]Resumen!$F$29</f>
        <v>0</v>
      </c>
      <c r="G10" s="17">
        <f>[16]Resumen!$G$29</f>
        <v>0</v>
      </c>
      <c r="H10" s="18">
        <f>[16]Resumen!$H$29</f>
        <v>0</v>
      </c>
      <c r="I10" s="15">
        <f>[16]Resumen!$I$29</f>
        <v>0</v>
      </c>
      <c r="J10" s="16">
        <f>[16]Resumen!$J$29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[17]Resumen!$B$29</f>
        <v>0</v>
      </c>
      <c r="C11" s="15">
        <f>[17]Resumen!$C$29</f>
        <v>0</v>
      </c>
      <c r="D11" s="16">
        <f>[17]Resumen!$D$29</f>
        <v>0</v>
      </c>
      <c r="E11" s="14">
        <f>[17]Resumen!$E$29</f>
        <v>0</v>
      </c>
      <c r="F11" s="15">
        <f>[17]Resumen!$F$29</f>
        <v>0</v>
      </c>
      <c r="G11" s="17">
        <f>[17]Resumen!$G$29</f>
        <v>0</v>
      </c>
      <c r="H11" s="18">
        <f>[17]Resumen!$H$29</f>
        <v>0</v>
      </c>
      <c r="I11" s="15">
        <f>[17]Resumen!$I$29</f>
        <v>0</v>
      </c>
      <c r="J11" s="16">
        <f>[17]Resumen!$J$29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[18]Resumen!$B$29</f>
        <v>0</v>
      </c>
      <c r="C12" s="15">
        <f>[18]Resumen!$C$29</f>
        <v>0</v>
      </c>
      <c r="D12" s="16">
        <f>[18]Resumen!$D$29</f>
        <v>0</v>
      </c>
      <c r="E12" s="14">
        <f>[18]Resumen!$E$29</f>
        <v>0</v>
      </c>
      <c r="F12" s="15">
        <f>[18]Resumen!$F$29</f>
        <v>0</v>
      </c>
      <c r="G12" s="17">
        <f>[18]Resumen!$G$29</f>
        <v>0</v>
      </c>
      <c r="H12" s="18">
        <f>[18]Resumen!$H$29</f>
        <v>0</v>
      </c>
      <c r="I12" s="15">
        <f>[18]Resumen!$I$29</f>
        <v>0</v>
      </c>
      <c r="J12" s="16">
        <f>[18]Resumen!$J$29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[19]Resumen!$B$29</f>
        <v>0</v>
      </c>
      <c r="C13" s="15">
        <f>[19]Resumen!$C$29</f>
        <v>0</v>
      </c>
      <c r="D13" s="16">
        <f>[19]Resumen!$D$29</f>
        <v>0</v>
      </c>
      <c r="E13" s="14">
        <f>[19]Resumen!$E$29</f>
        <v>0</v>
      </c>
      <c r="F13" s="15">
        <f>[19]Resumen!$F$29</f>
        <v>0</v>
      </c>
      <c r="G13" s="17">
        <f>[19]Resumen!$G$29</f>
        <v>0</v>
      </c>
      <c r="H13" s="18">
        <f>[19]Resumen!$H$29</f>
        <v>0</v>
      </c>
      <c r="I13" s="15">
        <f>[19]Resumen!$I$29</f>
        <v>0</v>
      </c>
      <c r="J13" s="16">
        <f>[19]Resumen!$J$29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[20]Resumen!$B$29</f>
        <v>0</v>
      </c>
      <c r="C14" s="15">
        <f>[20]Resumen!$C$29</f>
        <v>0</v>
      </c>
      <c r="D14" s="16">
        <f>[20]Resumen!$D$29</f>
        <v>0</v>
      </c>
      <c r="E14" s="14">
        <f>[20]Resumen!$E$29</f>
        <v>0</v>
      </c>
      <c r="F14" s="15">
        <f>[20]Resumen!$F$29</f>
        <v>0</v>
      </c>
      <c r="G14" s="17">
        <f>[20]Resumen!$G$29</f>
        <v>0</v>
      </c>
      <c r="H14" s="18">
        <f>[20]Resumen!$H$29</f>
        <v>0</v>
      </c>
      <c r="I14" s="15">
        <f>[20]Resumen!$I$29</f>
        <v>0</v>
      </c>
      <c r="J14" s="16">
        <f>[20]Resumen!$J$29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[21]Resumen!$B$29</f>
        <v>0</v>
      </c>
      <c r="C15" s="15">
        <f>[21]Resumen!$C$29</f>
        <v>0</v>
      </c>
      <c r="D15" s="16">
        <f>[21]Resumen!$D$29</f>
        <v>0</v>
      </c>
      <c r="E15" s="14">
        <f>[21]Resumen!$E$29</f>
        <v>0</v>
      </c>
      <c r="F15" s="15">
        <f>[21]Resumen!$F$29</f>
        <v>0</v>
      </c>
      <c r="G15" s="17">
        <f>[21]Resumen!$G$29</f>
        <v>0</v>
      </c>
      <c r="H15" s="18">
        <f>[21]Resumen!$H$29</f>
        <v>0</v>
      </c>
      <c r="I15" s="15">
        <f>[21]Resumen!$I$29</f>
        <v>0</v>
      </c>
      <c r="J15" s="16">
        <f>[21]Resumen!$J$29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[22]Resumen!$B$29</f>
        <v>0</v>
      </c>
      <c r="C16" s="15">
        <f>[22]Resumen!$C$29</f>
        <v>0</v>
      </c>
      <c r="D16" s="16">
        <f>[22]Resumen!$D$29</f>
        <v>0</v>
      </c>
      <c r="E16" s="14">
        <f>[22]Resumen!$E$29</f>
        <v>0</v>
      </c>
      <c r="F16" s="15">
        <f>[22]Resumen!$F$29</f>
        <v>0</v>
      </c>
      <c r="G16" s="17">
        <f>[22]Resumen!$G$29</f>
        <v>0</v>
      </c>
      <c r="H16" s="18">
        <f>[22]Resumen!$H$29</f>
        <v>0</v>
      </c>
      <c r="I16" s="15">
        <f>[22]Resumen!$I$29</f>
        <v>0</v>
      </c>
      <c r="J16" s="16">
        <f>[22]Resumen!$J$29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[23]Resumen!$B$29</f>
        <v>0</v>
      </c>
      <c r="C17" s="15">
        <f>[23]Resumen!$C$29</f>
        <v>0</v>
      </c>
      <c r="D17" s="16">
        <f>[23]Resumen!$D$29</f>
        <v>0</v>
      </c>
      <c r="E17" s="14">
        <f>[23]Resumen!$E$29</f>
        <v>0</v>
      </c>
      <c r="F17" s="15">
        <f>[23]Resumen!$F$29</f>
        <v>0</v>
      </c>
      <c r="G17" s="17">
        <f>[23]Resumen!$G$29</f>
        <v>0</v>
      </c>
      <c r="H17" s="18">
        <f>[23]Resumen!$H$29</f>
        <v>0</v>
      </c>
      <c r="I17" s="15">
        <f>[23]Resumen!$I$29</f>
        <v>0</v>
      </c>
      <c r="J17" s="16">
        <f>[23]Resumen!$J$29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[24]Resumen!$B$29</f>
        <v>0</v>
      </c>
      <c r="C18" s="15">
        <f>[24]Resumen!$C$29</f>
        <v>0</v>
      </c>
      <c r="D18" s="16">
        <f>[24]Resumen!$D$29</f>
        <v>0</v>
      </c>
      <c r="E18" s="14">
        <f>[24]Resumen!$E$29</f>
        <v>0</v>
      </c>
      <c r="F18" s="15">
        <f>[24]Resumen!$F$29</f>
        <v>0</v>
      </c>
      <c r="G18" s="17">
        <f>[24]Resumen!$G$29</f>
        <v>0</v>
      </c>
      <c r="H18" s="18">
        <f>[24]Resumen!$H$29</f>
        <v>0</v>
      </c>
      <c r="I18" s="15">
        <f>[24]Resumen!$I$29</f>
        <v>0</v>
      </c>
      <c r="J18" s="16">
        <f>[24]Resumen!$J$29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[25]Resumen!$B$29</f>
        <v>0</v>
      </c>
      <c r="C19" s="15">
        <f>[25]Resumen!$C$29</f>
        <v>0</v>
      </c>
      <c r="D19" s="16">
        <f>[25]Resumen!$D$29</f>
        <v>0</v>
      </c>
      <c r="E19" s="14">
        <f>[25]Resumen!$E$29</f>
        <v>0</v>
      </c>
      <c r="F19" s="15">
        <f>[25]Resumen!$F$29</f>
        <v>0</v>
      </c>
      <c r="G19" s="17">
        <f>[25]Resumen!$G$29</f>
        <v>0</v>
      </c>
      <c r="H19" s="18">
        <f>[25]Resumen!$H$29</f>
        <v>0</v>
      </c>
      <c r="I19" s="15">
        <f>[25]Resumen!$I$29</f>
        <v>0</v>
      </c>
      <c r="J19" s="16">
        <f>[25]Resumen!$J$29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[26]Resumen!$B$29</f>
        <v>0</v>
      </c>
      <c r="C20" s="15">
        <f>[26]Resumen!$C$29</f>
        <v>0</v>
      </c>
      <c r="D20" s="16">
        <f>[26]Resumen!$D$29</f>
        <v>0</v>
      </c>
      <c r="E20" s="14">
        <f>[26]Resumen!$E$29</f>
        <v>0</v>
      </c>
      <c r="F20" s="15">
        <f>[26]Resumen!$F$29</f>
        <v>0</v>
      </c>
      <c r="G20" s="17">
        <f>[26]Resumen!$G$29</f>
        <v>0</v>
      </c>
      <c r="H20" s="18">
        <f>[26]Resumen!$H$29</f>
        <v>0</v>
      </c>
      <c r="I20" s="15">
        <f>[26]Resumen!$I$29</f>
        <v>0</v>
      </c>
      <c r="J20" s="16">
        <f>[26]Resumen!$J$29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[27]Resumen!$B$29</f>
        <v>0</v>
      </c>
      <c r="C21" s="15">
        <f>[27]Resumen!$C$29</f>
        <v>0</v>
      </c>
      <c r="D21" s="16">
        <f>[27]Resumen!$D$29</f>
        <v>0</v>
      </c>
      <c r="E21" s="14">
        <f>[27]Resumen!$E$29</f>
        <v>0</v>
      </c>
      <c r="F21" s="15">
        <f>[27]Resumen!$F$29</f>
        <v>0</v>
      </c>
      <c r="G21" s="17">
        <f>[27]Resumen!$G$29</f>
        <v>0</v>
      </c>
      <c r="H21" s="18">
        <f>[27]Resumen!$H$29</f>
        <v>0</v>
      </c>
      <c r="I21" s="15">
        <f>[27]Resumen!$I$29</f>
        <v>0</v>
      </c>
      <c r="J21" s="16">
        <f>[27]Resumen!$J$29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[28]Resumen!$B$29</f>
        <v>0</v>
      </c>
      <c r="C22" s="15">
        <f>[28]Resumen!$C$29</f>
        <v>0</v>
      </c>
      <c r="D22" s="16">
        <f>[28]Resumen!$D$29</f>
        <v>0</v>
      </c>
      <c r="E22" s="14">
        <f>[28]Resumen!$E$29</f>
        <v>0</v>
      </c>
      <c r="F22" s="15">
        <f>[28]Resumen!$F$29</f>
        <v>0</v>
      </c>
      <c r="G22" s="17">
        <f>[28]Resumen!$G$29</f>
        <v>0</v>
      </c>
      <c r="H22" s="18">
        <f>[28]Resumen!$H$29</f>
        <v>0</v>
      </c>
      <c r="I22" s="15">
        <f>[28]Resumen!$I$29</f>
        <v>0</v>
      </c>
      <c r="J22" s="16">
        <f>[28]Resumen!$J$29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[29]Resumen!$B$29</f>
        <v>0</v>
      </c>
      <c r="C23" s="15">
        <f>[29]Resumen!$C$29</f>
        <v>0</v>
      </c>
      <c r="D23" s="16">
        <f>[29]Resumen!$D$29</f>
        <v>0</v>
      </c>
      <c r="E23" s="14">
        <f>[29]Resumen!$E$29</f>
        <v>0</v>
      </c>
      <c r="F23" s="15">
        <f>[29]Resumen!$F$29</f>
        <v>0</v>
      </c>
      <c r="G23" s="17">
        <f>[29]Resumen!$G$29</f>
        <v>0</v>
      </c>
      <c r="H23" s="18">
        <f>[29]Resumen!$H$29</f>
        <v>0</v>
      </c>
      <c r="I23" s="15">
        <f>[29]Resumen!$I$29</f>
        <v>0</v>
      </c>
      <c r="J23" s="16">
        <f>[29]Resumen!$J$29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[30]Resumen!$B$29</f>
        <v>0</v>
      </c>
      <c r="C24" s="15">
        <f>[30]Resumen!$C$29</f>
        <v>0</v>
      </c>
      <c r="D24" s="16">
        <f>[30]Resumen!$D$29</f>
        <v>0</v>
      </c>
      <c r="E24" s="14">
        <f>[30]Resumen!$E$29</f>
        <v>0</v>
      </c>
      <c r="F24" s="15">
        <f>[30]Resumen!$F$29</f>
        <v>0</v>
      </c>
      <c r="G24" s="17">
        <f>[30]Resumen!$G$29</f>
        <v>0</v>
      </c>
      <c r="H24" s="18">
        <f>[30]Resumen!$H$29</f>
        <v>0</v>
      </c>
      <c r="I24" s="15">
        <f>[30]Resumen!$I$29</f>
        <v>0</v>
      </c>
      <c r="J24" s="16">
        <f>[30]Resumen!$J$29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[31]Resumen!$B$29</f>
        <v>0</v>
      </c>
      <c r="C25" s="15">
        <f>[31]Resumen!$C$29</f>
        <v>0</v>
      </c>
      <c r="D25" s="16">
        <f>[31]Resumen!$D$29</f>
        <v>0</v>
      </c>
      <c r="E25" s="14">
        <f>[31]Resumen!$E$29</f>
        <v>0</v>
      </c>
      <c r="F25" s="15">
        <f>[31]Resumen!$F$29</f>
        <v>0</v>
      </c>
      <c r="G25" s="17">
        <f>[31]Resumen!$G$29</f>
        <v>0</v>
      </c>
      <c r="H25" s="18">
        <f>[31]Resumen!$H$29</f>
        <v>0</v>
      </c>
      <c r="I25" s="15">
        <f>[31]Resumen!$I$29</f>
        <v>0</v>
      </c>
      <c r="J25" s="16">
        <f>[31]Resumen!$J$29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[1]Resumen!$B$29</f>
        <v>0</v>
      </c>
      <c r="C26" s="15">
        <f>[1]Resumen!$C$29</f>
        <v>0</v>
      </c>
      <c r="D26" s="16">
        <f>[1]Resumen!$D$29</f>
        <v>0</v>
      </c>
      <c r="E26" s="14">
        <f>[1]Resumen!$E$29</f>
        <v>0</v>
      </c>
      <c r="F26" s="15">
        <f>[1]Resumen!$F$29</f>
        <v>0</v>
      </c>
      <c r="G26" s="17">
        <f>[1]Resumen!$G$29</f>
        <v>0</v>
      </c>
      <c r="H26" s="18">
        <f>[1]Resumen!$H$29</f>
        <v>0</v>
      </c>
      <c r="I26" s="15">
        <f>[1]Resumen!$I$29</f>
        <v>0</v>
      </c>
      <c r="J26" s="16">
        <f>[1]Resumen!$J$29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[2]Resumen!$B$29</f>
        <v>0</v>
      </c>
      <c r="C27" s="15">
        <f>[2]Resumen!$C$29</f>
        <v>0</v>
      </c>
      <c r="D27" s="16">
        <f>[2]Resumen!$D$29</f>
        <v>0</v>
      </c>
      <c r="E27" s="14">
        <f>[2]Resumen!$E$29</f>
        <v>0</v>
      </c>
      <c r="F27" s="15">
        <f>[2]Resumen!$F$29</f>
        <v>0</v>
      </c>
      <c r="G27" s="17">
        <f>[2]Resumen!$G$29</f>
        <v>0</v>
      </c>
      <c r="H27" s="18">
        <f>[2]Resumen!$H$29</f>
        <v>0</v>
      </c>
      <c r="I27" s="15">
        <f>[2]Resumen!$I$29</f>
        <v>0</v>
      </c>
      <c r="J27" s="16">
        <f>[2]Resumen!$J$29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[3]Resumen!$B$29</f>
        <v>0</v>
      </c>
      <c r="C28" s="15">
        <f>[3]Resumen!$C$29</f>
        <v>0</v>
      </c>
      <c r="D28" s="16">
        <f>[3]Resumen!$D$29</f>
        <v>0</v>
      </c>
      <c r="E28" s="14">
        <f>[3]Resumen!$E$29</f>
        <v>0</v>
      </c>
      <c r="F28" s="15">
        <f>[3]Resumen!$F$29</f>
        <v>0</v>
      </c>
      <c r="G28" s="17">
        <f>[3]Resumen!$G$29</f>
        <v>0</v>
      </c>
      <c r="H28" s="18">
        <f>[3]Resumen!$H$29</f>
        <v>0</v>
      </c>
      <c r="I28" s="15">
        <f>[3]Resumen!$I$29</f>
        <v>0</v>
      </c>
      <c r="J28" s="16">
        <f>[3]Resumen!$J$29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[4]Resumen!$B$29</f>
        <v>0</v>
      </c>
      <c r="C29" s="15">
        <f>[4]Resumen!$C$29</f>
        <v>0</v>
      </c>
      <c r="D29" s="16">
        <f>[4]Resumen!$D$29</f>
        <v>0</v>
      </c>
      <c r="E29" s="14">
        <f>[4]Resumen!$E$29</f>
        <v>0</v>
      </c>
      <c r="F29" s="15">
        <f>[4]Resumen!$F$29</f>
        <v>0</v>
      </c>
      <c r="G29" s="17">
        <f>[4]Resumen!$G$29</f>
        <v>0</v>
      </c>
      <c r="H29" s="18">
        <f>[4]Resumen!$H$29</f>
        <v>0</v>
      </c>
      <c r="I29" s="15">
        <f>[4]Resumen!$I$29</f>
        <v>0</v>
      </c>
      <c r="J29" s="16">
        <f>[4]Resumen!$J$29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[5]Resumen!$B$29</f>
        <v>0</v>
      </c>
      <c r="C30" s="15">
        <f>[5]Resumen!$C$29</f>
        <v>0</v>
      </c>
      <c r="D30" s="16">
        <f>[5]Resumen!$D$29</f>
        <v>0</v>
      </c>
      <c r="E30" s="14">
        <f>[5]Resumen!$E$29</f>
        <v>0</v>
      </c>
      <c r="F30" s="15">
        <f>[5]Resumen!$F$29</f>
        <v>0</v>
      </c>
      <c r="G30" s="17">
        <f>[5]Resumen!$G$29</f>
        <v>0</v>
      </c>
      <c r="H30" s="18">
        <f>[5]Resumen!$H$29</f>
        <v>0</v>
      </c>
      <c r="I30" s="15">
        <f>[5]Resumen!$I$29</f>
        <v>0</v>
      </c>
      <c r="J30" s="16">
        <f>[5]Resumen!$J$29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[6]Resumen!$B$29</f>
        <v>0</v>
      </c>
      <c r="C31" s="15">
        <f>[6]Resumen!$C$29</f>
        <v>0</v>
      </c>
      <c r="D31" s="16">
        <f>[6]Resumen!$D$29</f>
        <v>0</v>
      </c>
      <c r="E31" s="14">
        <f>[6]Resumen!$E$29</f>
        <v>0</v>
      </c>
      <c r="F31" s="15">
        <f>[6]Resumen!$F$29</f>
        <v>0</v>
      </c>
      <c r="G31" s="17">
        <f>[6]Resumen!$G$29</f>
        <v>0</v>
      </c>
      <c r="H31" s="18">
        <f>[6]Resumen!$H$29</f>
        <v>0</v>
      </c>
      <c r="I31" s="15">
        <f>[6]Resumen!$I$29</f>
        <v>0</v>
      </c>
      <c r="J31" s="16">
        <f>[6]Resumen!$J$29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[7]Resumen!$B$29</f>
        <v>0</v>
      </c>
      <c r="C32" s="15">
        <f>[7]Resumen!$C$29</f>
        <v>0</v>
      </c>
      <c r="D32" s="16">
        <f>[7]Resumen!$D$29</f>
        <v>0</v>
      </c>
      <c r="E32" s="14">
        <f>[7]Resumen!$E$29</f>
        <v>0</v>
      </c>
      <c r="F32" s="15">
        <f>[7]Resumen!$F$29</f>
        <v>0</v>
      </c>
      <c r="G32" s="17">
        <f>[7]Resumen!$G$29</f>
        <v>0</v>
      </c>
      <c r="H32" s="18">
        <f>[7]Resumen!$H$29</f>
        <v>0</v>
      </c>
      <c r="I32" s="15">
        <f>[7]Resumen!$I$29</f>
        <v>0</v>
      </c>
      <c r="J32" s="16">
        <f>[7]Resumen!$J$29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[8]Resumen!$B$29</f>
        <v>0</v>
      </c>
      <c r="C33" s="15">
        <f>[8]Resumen!$C$29</f>
        <v>0</v>
      </c>
      <c r="D33" s="16">
        <f>[8]Resumen!$D$29</f>
        <v>0</v>
      </c>
      <c r="E33" s="14">
        <f>[8]Resumen!$E$29</f>
        <v>0</v>
      </c>
      <c r="F33" s="15">
        <f>[8]Resumen!$F$29</f>
        <v>0</v>
      </c>
      <c r="G33" s="17">
        <f>[8]Resumen!$G$29</f>
        <v>0</v>
      </c>
      <c r="H33" s="18">
        <f>[8]Resumen!$H$29</f>
        <v>0</v>
      </c>
      <c r="I33" s="15">
        <f>[8]Resumen!$I$29</f>
        <v>0</v>
      </c>
      <c r="J33" s="16">
        <f>[8]Resumen!$J$29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[9]Resumen!$B$29</f>
        <v>0</v>
      </c>
      <c r="C34" s="15">
        <f>[9]Resumen!$C$29</f>
        <v>0</v>
      </c>
      <c r="D34" s="16">
        <f>[9]Resumen!$D$29</f>
        <v>0</v>
      </c>
      <c r="E34" s="14">
        <f>[9]Resumen!$E$29</f>
        <v>0</v>
      </c>
      <c r="F34" s="15">
        <f>[9]Resumen!$F$29</f>
        <v>0</v>
      </c>
      <c r="G34" s="17">
        <f>[9]Resumen!$G$29</f>
        <v>0</v>
      </c>
      <c r="H34" s="18">
        <f>[9]Resumen!$H$29</f>
        <v>0</v>
      </c>
      <c r="I34" s="15">
        <f>[9]Resumen!$I$29</f>
        <v>0</v>
      </c>
      <c r="J34" s="16">
        <f>[9]Resumen!$J$29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+[10]Resumen!$B$29</f>
        <v>0</v>
      </c>
      <c r="C35" s="22">
        <f>+[10]Resumen!$C$29</f>
        <v>0</v>
      </c>
      <c r="D35" s="23">
        <f>+[10]Resumen!$D$29</f>
        <v>0</v>
      </c>
      <c r="E35" s="21">
        <f>+[10]Resumen!$E$29</f>
        <v>0</v>
      </c>
      <c r="F35" s="22">
        <f>+[10]Resumen!$F$29</f>
        <v>0</v>
      </c>
      <c r="G35" s="24">
        <f>+[10]Resumen!$G$29</f>
        <v>0</v>
      </c>
      <c r="H35" s="25">
        <f>+[10]Resumen!$H$29</f>
        <v>0</v>
      </c>
      <c r="I35" s="22">
        <f>+[10]Resumen!$I$29</f>
        <v>0</v>
      </c>
      <c r="J35" s="23">
        <f>+[10]Resumen!$J$29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[11]Resumen!$B$30</f>
        <v>0</v>
      </c>
      <c r="C5" s="58">
        <f>[11]Resumen!$C$30</f>
        <v>0</v>
      </c>
      <c r="D5" s="54">
        <f>[11]Resumen!$D$30</f>
        <v>0</v>
      </c>
      <c r="E5" s="53">
        <f>[11]Resumen!$E$30</f>
        <v>0</v>
      </c>
      <c r="F5" s="58">
        <f>[11]Resumen!$F$30</f>
        <v>0</v>
      </c>
      <c r="G5" s="55">
        <f>[11]Resumen!$G$30</f>
        <v>0</v>
      </c>
      <c r="H5" s="61">
        <f>[11]Resumen!$H$30</f>
        <v>0</v>
      </c>
      <c r="I5" s="58">
        <f>[11]Resumen!$I$30</f>
        <v>0</v>
      </c>
      <c r="J5" s="54">
        <f>[11]Resumen!$J$30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[12]Resumen!$B$30</f>
        <v>0</v>
      </c>
      <c r="C6" s="15">
        <f>[12]Resumen!$C$30</f>
        <v>0</v>
      </c>
      <c r="D6" s="16">
        <f>[12]Resumen!$D$30</f>
        <v>0</v>
      </c>
      <c r="E6" s="14">
        <f>[12]Resumen!$E$30</f>
        <v>0</v>
      </c>
      <c r="F6" s="15">
        <f>[12]Resumen!$F$30</f>
        <v>0</v>
      </c>
      <c r="G6" s="17">
        <f>[12]Resumen!$G$30</f>
        <v>0</v>
      </c>
      <c r="H6" s="18">
        <f>[12]Resumen!$H$30</f>
        <v>0</v>
      </c>
      <c r="I6" s="15">
        <f>[12]Resumen!$I$30</f>
        <v>0</v>
      </c>
      <c r="J6" s="16">
        <f>[12]Resumen!$J$30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[13]Resumen!$B$30</f>
        <v>0</v>
      </c>
      <c r="C7" s="15">
        <f>[13]Resumen!$C$30</f>
        <v>0</v>
      </c>
      <c r="D7" s="16">
        <f>[13]Resumen!$D$30</f>
        <v>0</v>
      </c>
      <c r="E7" s="14">
        <f>[13]Resumen!$E$30</f>
        <v>0</v>
      </c>
      <c r="F7" s="15">
        <f>[13]Resumen!$F$30</f>
        <v>0</v>
      </c>
      <c r="G7" s="17">
        <f>[13]Resumen!$G$30</f>
        <v>0</v>
      </c>
      <c r="H7" s="18">
        <f>[13]Resumen!$H$30</f>
        <v>0</v>
      </c>
      <c r="I7" s="15">
        <f>[13]Resumen!$I$30</f>
        <v>0</v>
      </c>
      <c r="J7" s="16">
        <f>[13]Resumen!$J$30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[14]Resumen!$B$30</f>
        <v>0</v>
      </c>
      <c r="C8" s="15">
        <f>[14]Resumen!$C$30</f>
        <v>0</v>
      </c>
      <c r="D8" s="16">
        <f>[14]Resumen!$D$30</f>
        <v>0</v>
      </c>
      <c r="E8" s="14">
        <f>[14]Resumen!$E$30</f>
        <v>0</v>
      </c>
      <c r="F8" s="15">
        <f>[14]Resumen!$F$30</f>
        <v>0</v>
      </c>
      <c r="G8" s="17">
        <f>[14]Resumen!$G$30</f>
        <v>0</v>
      </c>
      <c r="H8" s="18">
        <f>[14]Resumen!$H$30</f>
        <v>0</v>
      </c>
      <c r="I8" s="15">
        <f>[14]Resumen!$I$30</f>
        <v>0</v>
      </c>
      <c r="J8" s="16">
        <f>[14]Resumen!$J$30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[15]Resumen!$B$30</f>
        <v>0</v>
      </c>
      <c r="C9" s="15">
        <f>[15]Resumen!$C$30</f>
        <v>0</v>
      </c>
      <c r="D9" s="16">
        <f>[15]Resumen!$D$30</f>
        <v>0</v>
      </c>
      <c r="E9" s="14">
        <f>[15]Resumen!$E$30</f>
        <v>0</v>
      </c>
      <c r="F9" s="15">
        <f>[15]Resumen!$F$30</f>
        <v>0</v>
      </c>
      <c r="G9" s="17">
        <f>[15]Resumen!$G$30</f>
        <v>0</v>
      </c>
      <c r="H9" s="18">
        <f>[15]Resumen!$H$30</f>
        <v>0</v>
      </c>
      <c r="I9" s="15">
        <f>[15]Resumen!$I$30</f>
        <v>0</v>
      </c>
      <c r="J9" s="16">
        <f>[15]Resumen!$J$30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[16]Resumen!$B$30</f>
        <v>0</v>
      </c>
      <c r="C10" s="15">
        <f>[16]Resumen!$C$30</f>
        <v>0</v>
      </c>
      <c r="D10" s="16">
        <f>[16]Resumen!$D$30</f>
        <v>0</v>
      </c>
      <c r="E10" s="14">
        <f>[16]Resumen!$E$30</f>
        <v>0</v>
      </c>
      <c r="F10" s="15">
        <f>[16]Resumen!$F$30</f>
        <v>0</v>
      </c>
      <c r="G10" s="17">
        <f>[16]Resumen!$G$30</f>
        <v>0</v>
      </c>
      <c r="H10" s="18">
        <f>[16]Resumen!$H$30</f>
        <v>0</v>
      </c>
      <c r="I10" s="15">
        <f>[16]Resumen!$I$30</f>
        <v>0</v>
      </c>
      <c r="J10" s="16">
        <f>[16]Resumen!$J$30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[17]Resumen!$B$30</f>
        <v>0</v>
      </c>
      <c r="C11" s="15">
        <f>[17]Resumen!$C$30</f>
        <v>0</v>
      </c>
      <c r="D11" s="16">
        <f>[17]Resumen!$D$30</f>
        <v>0</v>
      </c>
      <c r="E11" s="14">
        <f>[17]Resumen!$E$30</f>
        <v>0</v>
      </c>
      <c r="F11" s="15">
        <f>[17]Resumen!$F$30</f>
        <v>0</v>
      </c>
      <c r="G11" s="17">
        <f>[17]Resumen!$G$30</f>
        <v>0</v>
      </c>
      <c r="H11" s="18">
        <f>[17]Resumen!$H$30</f>
        <v>0</v>
      </c>
      <c r="I11" s="15">
        <f>[17]Resumen!$I$30</f>
        <v>0</v>
      </c>
      <c r="J11" s="16">
        <f>[17]Resumen!$J$30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[18]Resumen!$B$30</f>
        <v>0</v>
      </c>
      <c r="C12" s="15">
        <f>[18]Resumen!$C$30</f>
        <v>0</v>
      </c>
      <c r="D12" s="16">
        <f>[18]Resumen!$D$30</f>
        <v>0</v>
      </c>
      <c r="E12" s="14">
        <f>[18]Resumen!$E$30</f>
        <v>0</v>
      </c>
      <c r="F12" s="15">
        <f>[18]Resumen!$F$30</f>
        <v>0</v>
      </c>
      <c r="G12" s="17">
        <f>[18]Resumen!$G$30</f>
        <v>0</v>
      </c>
      <c r="H12" s="18">
        <f>[18]Resumen!$H$30</f>
        <v>0</v>
      </c>
      <c r="I12" s="15">
        <f>[18]Resumen!$I$30</f>
        <v>0</v>
      </c>
      <c r="J12" s="16">
        <f>[18]Resumen!$J$30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[19]Resumen!$B$30</f>
        <v>0</v>
      </c>
      <c r="C13" s="15">
        <f>[19]Resumen!$C$30</f>
        <v>0</v>
      </c>
      <c r="D13" s="16">
        <f>[19]Resumen!$D$30</f>
        <v>0</v>
      </c>
      <c r="E13" s="14">
        <f>[19]Resumen!$E$30</f>
        <v>0</v>
      </c>
      <c r="F13" s="15">
        <f>[19]Resumen!$F$30</f>
        <v>0</v>
      </c>
      <c r="G13" s="17">
        <f>[19]Resumen!$G$30</f>
        <v>0</v>
      </c>
      <c r="H13" s="18">
        <f>[19]Resumen!$H$30</f>
        <v>0</v>
      </c>
      <c r="I13" s="15">
        <f>[19]Resumen!$I$30</f>
        <v>0</v>
      </c>
      <c r="J13" s="16">
        <f>[19]Resumen!$J$30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[20]Resumen!$B$30</f>
        <v>0</v>
      </c>
      <c r="C14" s="15">
        <f>[20]Resumen!$C$30</f>
        <v>0</v>
      </c>
      <c r="D14" s="16">
        <f>[20]Resumen!$D$30</f>
        <v>0</v>
      </c>
      <c r="E14" s="14">
        <f>[20]Resumen!$E$30</f>
        <v>0</v>
      </c>
      <c r="F14" s="15">
        <f>[20]Resumen!$F$30</f>
        <v>0</v>
      </c>
      <c r="G14" s="17">
        <f>[20]Resumen!$G$30</f>
        <v>0</v>
      </c>
      <c r="H14" s="18">
        <f>[20]Resumen!$H$30</f>
        <v>0</v>
      </c>
      <c r="I14" s="15">
        <f>[20]Resumen!$I$30</f>
        <v>0</v>
      </c>
      <c r="J14" s="16">
        <f>[20]Resumen!$J$30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[21]Resumen!$B$30</f>
        <v>0</v>
      </c>
      <c r="C15" s="15">
        <f>[21]Resumen!$C$30</f>
        <v>0</v>
      </c>
      <c r="D15" s="16">
        <f>[21]Resumen!$D$30</f>
        <v>0</v>
      </c>
      <c r="E15" s="14">
        <f>[21]Resumen!$E$30</f>
        <v>0</v>
      </c>
      <c r="F15" s="15">
        <f>[21]Resumen!$F$30</f>
        <v>0</v>
      </c>
      <c r="G15" s="17">
        <f>[21]Resumen!$G$30</f>
        <v>0</v>
      </c>
      <c r="H15" s="18">
        <f>[21]Resumen!$H$30</f>
        <v>0</v>
      </c>
      <c r="I15" s="15">
        <f>[21]Resumen!$I$30</f>
        <v>0</v>
      </c>
      <c r="J15" s="16">
        <f>[21]Resumen!$J$30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[22]Resumen!$B$30</f>
        <v>0</v>
      </c>
      <c r="C16" s="15">
        <f>[22]Resumen!$C$30</f>
        <v>0</v>
      </c>
      <c r="D16" s="16">
        <f>[22]Resumen!$D$30</f>
        <v>0</v>
      </c>
      <c r="E16" s="14">
        <f>[22]Resumen!$E$30</f>
        <v>0</v>
      </c>
      <c r="F16" s="15">
        <f>[22]Resumen!$F$30</f>
        <v>0</v>
      </c>
      <c r="G16" s="17">
        <f>[22]Resumen!$G$30</f>
        <v>0</v>
      </c>
      <c r="H16" s="18">
        <f>[22]Resumen!$H$30</f>
        <v>0</v>
      </c>
      <c r="I16" s="15">
        <f>[22]Resumen!$I$30</f>
        <v>0</v>
      </c>
      <c r="J16" s="16">
        <f>[22]Resumen!$J$30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[23]Resumen!$B$30</f>
        <v>0</v>
      </c>
      <c r="C17" s="15">
        <f>[23]Resumen!$C$30</f>
        <v>0</v>
      </c>
      <c r="D17" s="16">
        <f>[23]Resumen!$D$30</f>
        <v>0</v>
      </c>
      <c r="E17" s="14">
        <f>[23]Resumen!$E$30</f>
        <v>0</v>
      </c>
      <c r="F17" s="15">
        <f>[23]Resumen!$F$30</f>
        <v>0</v>
      </c>
      <c r="G17" s="17">
        <f>[23]Resumen!$G$30</f>
        <v>0</v>
      </c>
      <c r="H17" s="18">
        <f>[23]Resumen!$H$30</f>
        <v>0</v>
      </c>
      <c r="I17" s="15">
        <f>[23]Resumen!$I$30</f>
        <v>0</v>
      </c>
      <c r="J17" s="16">
        <f>[23]Resumen!$J$30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[24]Resumen!$B$30</f>
        <v>0</v>
      </c>
      <c r="C18" s="15">
        <f>[24]Resumen!$C$30</f>
        <v>0</v>
      </c>
      <c r="D18" s="16">
        <f>[24]Resumen!$D$30</f>
        <v>0</v>
      </c>
      <c r="E18" s="14">
        <f>[24]Resumen!$E$30</f>
        <v>0</v>
      </c>
      <c r="F18" s="15">
        <f>[24]Resumen!$F$30</f>
        <v>0</v>
      </c>
      <c r="G18" s="17">
        <f>[24]Resumen!$G$30</f>
        <v>0</v>
      </c>
      <c r="H18" s="18">
        <f>[24]Resumen!$H$30</f>
        <v>0</v>
      </c>
      <c r="I18" s="15">
        <f>[24]Resumen!$I$30</f>
        <v>0</v>
      </c>
      <c r="J18" s="16">
        <f>[24]Resumen!$J$30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[25]Resumen!$B$30</f>
        <v>0</v>
      </c>
      <c r="C19" s="15">
        <f>[25]Resumen!$C$30</f>
        <v>0</v>
      </c>
      <c r="D19" s="16">
        <f>[25]Resumen!$D$30</f>
        <v>0</v>
      </c>
      <c r="E19" s="14">
        <f>[25]Resumen!$E$30</f>
        <v>0</v>
      </c>
      <c r="F19" s="15">
        <f>[25]Resumen!$F$30</f>
        <v>0</v>
      </c>
      <c r="G19" s="17">
        <f>[25]Resumen!$G$30</f>
        <v>0</v>
      </c>
      <c r="H19" s="18">
        <f>[25]Resumen!$H$30</f>
        <v>0</v>
      </c>
      <c r="I19" s="15">
        <f>[25]Resumen!$I$30</f>
        <v>0</v>
      </c>
      <c r="J19" s="16">
        <f>[25]Resumen!$J$30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[26]Resumen!$B$30</f>
        <v>0</v>
      </c>
      <c r="C20" s="15">
        <f>[26]Resumen!$C$30</f>
        <v>0</v>
      </c>
      <c r="D20" s="16">
        <f>[26]Resumen!$D$30</f>
        <v>0</v>
      </c>
      <c r="E20" s="14">
        <f>[26]Resumen!$E$30</f>
        <v>0</v>
      </c>
      <c r="F20" s="15">
        <f>[26]Resumen!$F$30</f>
        <v>0</v>
      </c>
      <c r="G20" s="17">
        <f>[26]Resumen!$G$30</f>
        <v>0</v>
      </c>
      <c r="H20" s="18">
        <f>[26]Resumen!$H$30</f>
        <v>0</v>
      </c>
      <c r="I20" s="15">
        <f>[26]Resumen!$I$30</f>
        <v>0</v>
      </c>
      <c r="J20" s="16">
        <f>[26]Resumen!$J$30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[27]Resumen!$B$30</f>
        <v>0</v>
      </c>
      <c r="C21" s="15">
        <f>[27]Resumen!$C$30</f>
        <v>0</v>
      </c>
      <c r="D21" s="16">
        <f>[27]Resumen!$D$30</f>
        <v>0</v>
      </c>
      <c r="E21" s="14">
        <f>[27]Resumen!$E$30</f>
        <v>0</v>
      </c>
      <c r="F21" s="15">
        <f>[27]Resumen!$F$30</f>
        <v>0</v>
      </c>
      <c r="G21" s="17">
        <f>[27]Resumen!$G$30</f>
        <v>0</v>
      </c>
      <c r="H21" s="18">
        <f>[27]Resumen!$H$30</f>
        <v>0</v>
      </c>
      <c r="I21" s="15">
        <f>[27]Resumen!$I$30</f>
        <v>0</v>
      </c>
      <c r="J21" s="16">
        <f>[27]Resumen!$J$30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[28]Resumen!$B$30</f>
        <v>0</v>
      </c>
      <c r="C22" s="15">
        <f>[28]Resumen!$C$30</f>
        <v>0</v>
      </c>
      <c r="D22" s="16">
        <f>[28]Resumen!$D$30</f>
        <v>0</v>
      </c>
      <c r="E22" s="14">
        <f>[28]Resumen!$E$30</f>
        <v>0</v>
      </c>
      <c r="F22" s="15">
        <f>[28]Resumen!$F$30</f>
        <v>0</v>
      </c>
      <c r="G22" s="17">
        <f>[28]Resumen!$G$30</f>
        <v>0</v>
      </c>
      <c r="H22" s="18">
        <f>[28]Resumen!$H$30</f>
        <v>0</v>
      </c>
      <c r="I22" s="15">
        <f>[28]Resumen!$I$30</f>
        <v>0</v>
      </c>
      <c r="J22" s="16">
        <f>[28]Resumen!$J$30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[29]Resumen!$B$30</f>
        <v>0</v>
      </c>
      <c r="C23" s="15">
        <f>[29]Resumen!$C$30</f>
        <v>0</v>
      </c>
      <c r="D23" s="16">
        <f>[29]Resumen!$D$30</f>
        <v>0</v>
      </c>
      <c r="E23" s="14">
        <f>[29]Resumen!$E$30</f>
        <v>0</v>
      </c>
      <c r="F23" s="15">
        <f>[29]Resumen!$F$30</f>
        <v>0</v>
      </c>
      <c r="G23" s="17">
        <f>[29]Resumen!$G$30</f>
        <v>0</v>
      </c>
      <c r="H23" s="18">
        <f>[29]Resumen!$H$30</f>
        <v>0</v>
      </c>
      <c r="I23" s="15">
        <f>[29]Resumen!$I$30</f>
        <v>0</v>
      </c>
      <c r="J23" s="16">
        <f>[29]Resumen!$J$30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[30]Resumen!$B$30</f>
        <v>0</v>
      </c>
      <c r="C24" s="15">
        <f>[30]Resumen!$C$30</f>
        <v>0</v>
      </c>
      <c r="D24" s="16">
        <f>[30]Resumen!$D$30</f>
        <v>0</v>
      </c>
      <c r="E24" s="14">
        <f>[30]Resumen!$E$30</f>
        <v>0</v>
      </c>
      <c r="F24" s="15">
        <f>[30]Resumen!$F$30</f>
        <v>0</v>
      </c>
      <c r="G24" s="17">
        <f>[30]Resumen!$G$30</f>
        <v>0</v>
      </c>
      <c r="H24" s="18">
        <f>[30]Resumen!$H$30</f>
        <v>0</v>
      </c>
      <c r="I24" s="15">
        <f>[30]Resumen!$I$30</f>
        <v>0</v>
      </c>
      <c r="J24" s="16">
        <f>[30]Resumen!$J$30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[31]Resumen!$B$30</f>
        <v>0</v>
      </c>
      <c r="C25" s="15">
        <f>[31]Resumen!$C$30</f>
        <v>0</v>
      </c>
      <c r="D25" s="16">
        <f>[31]Resumen!$D$30</f>
        <v>0</v>
      </c>
      <c r="E25" s="14">
        <f>[31]Resumen!$E$30</f>
        <v>0</v>
      </c>
      <c r="F25" s="15">
        <f>[31]Resumen!$F$30</f>
        <v>0</v>
      </c>
      <c r="G25" s="17">
        <f>[31]Resumen!$G$30</f>
        <v>0</v>
      </c>
      <c r="H25" s="18">
        <f>[31]Resumen!$H$30</f>
        <v>0</v>
      </c>
      <c r="I25" s="15">
        <f>[31]Resumen!$I$30</f>
        <v>0</v>
      </c>
      <c r="J25" s="16">
        <f>[31]Resumen!$J$30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[1]Resumen!$B$30</f>
        <v>0</v>
      </c>
      <c r="C26" s="15">
        <f>[1]Resumen!$C$30</f>
        <v>0</v>
      </c>
      <c r="D26" s="16">
        <f>[1]Resumen!$D$30</f>
        <v>0</v>
      </c>
      <c r="E26" s="14">
        <f>[1]Resumen!$E$30</f>
        <v>0</v>
      </c>
      <c r="F26" s="15">
        <f>[1]Resumen!$F$30</f>
        <v>0</v>
      </c>
      <c r="G26" s="17">
        <f>[1]Resumen!$G$30</f>
        <v>0</v>
      </c>
      <c r="H26" s="18">
        <f>[1]Resumen!$H$30</f>
        <v>0</v>
      </c>
      <c r="I26" s="15">
        <f>[1]Resumen!$I$30</f>
        <v>0</v>
      </c>
      <c r="J26" s="16">
        <f>[1]Resumen!$J$30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[2]Resumen!$B$30</f>
        <v>0</v>
      </c>
      <c r="C27" s="15">
        <f>[2]Resumen!$C$30</f>
        <v>0</v>
      </c>
      <c r="D27" s="16">
        <f>[2]Resumen!$D$30</f>
        <v>0</v>
      </c>
      <c r="E27" s="14">
        <f>[2]Resumen!$E$30</f>
        <v>0</v>
      </c>
      <c r="F27" s="15">
        <f>[2]Resumen!$F$30</f>
        <v>0</v>
      </c>
      <c r="G27" s="17">
        <f>[2]Resumen!$G$30</f>
        <v>0</v>
      </c>
      <c r="H27" s="18">
        <f>[2]Resumen!$H$30</f>
        <v>0</v>
      </c>
      <c r="I27" s="15">
        <f>[2]Resumen!$I$30</f>
        <v>0</v>
      </c>
      <c r="J27" s="16">
        <f>[2]Resumen!$J$30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[3]Resumen!$B$30</f>
        <v>0</v>
      </c>
      <c r="C28" s="15">
        <f>[3]Resumen!$C$30</f>
        <v>0</v>
      </c>
      <c r="D28" s="16">
        <f>[3]Resumen!$D$30</f>
        <v>0</v>
      </c>
      <c r="E28" s="14">
        <f>[3]Resumen!$E$30</f>
        <v>0</v>
      </c>
      <c r="F28" s="15">
        <f>[3]Resumen!$F$30</f>
        <v>0</v>
      </c>
      <c r="G28" s="17">
        <f>[3]Resumen!$G$30</f>
        <v>0</v>
      </c>
      <c r="H28" s="18">
        <f>[3]Resumen!$H$30</f>
        <v>0</v>
      </c>
      <c r="I28" s="15">
        <f>[3]Resumen!$I$30</f>
        <v>0</v>
      </c>
      <c r="J28" s="16">
        <f>[3]Resumen!$J$30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[4]Resumen!$B$30</f>
        <v>0</v>
      </c>
      <c r="C29" s="15">
        <f>[4]Resumen!$C$30</f>
        <v>0</v>
      </c>
      <c r="D29" s="16">
        <f>[4]Resumen!$D$30</f>
        <v>0</v>
      </c>
      <c r="E29" s="14">
        <f>[4]Resumen!$E$30</f>
        <v>0</v>
      </c>
      <c r="F29" s="15">
        <f>[4]Resumen!$F$30</f>
        <v>0</v>
      </c>
      <c r="G29" s="17">
        <f>[4]Resumen!$G$30</f>
        <v>0</v>
      </c>
      <c r="H29" s="18">
        <f>[4]Resumen!$H$30</f>
        <v>0</v>
      </c>
      <c r="I29" s="15">
        <f>[4]Resumen!$I$30</f>
        <v>0</v>
      </c>
      <c r="J29" s="16">
        <f>[4]Resumen!$J$30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[5]Resumen!$B$30</f>
        <v>0</v>
      </c>
      <c r="C30" s="15">
        <f>[5]Resumen!$C$30</f>
        <v>0</v>
      </c>
      <c r="D30" s="16">
        <f>[5]Resumen!$D$30</f>
        <v>0</v>
      </c>
      <c r="E30" s="14">
        <f>[5]Resumen!$E$30</f>
        <v>0</v>
      </c>
      <c r="F30" s="15">
        <f>[5]Resumen!$F$30</f>
        <v>0</v>
      </c>
      <c r="G30" s="17">
        <f>[5]Resumen!$G$30</f>
        <v>0</v>
      </c>
      <c r="H30" s="18">
        <f>[5]Resumen!$H$30</f>
        <v>0</v>
      </c>
      <c r="I30" s="15">
        <f>[5]Resumen!$I$30</f>
        <v>0</v>
      </c>
      <c r="J30" s="16">
        <f>[5]Resumen!$J$30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[6]Resumen!$B$30</f>
        <v>0</v>
      </c>
      <c r="C31" s="15">
        <f>[6]Resumen!$C$30</f>
        <v>0</v>
      </c>
      <c r="D31" s="16">
        <f>[6]Resumen!$D$30</f>
        <v>0</v>
      </c>
      <c r="E31" s="14">
        <f>[6]Resumen!$E$30</f>
        <v>0</v>
      </c>
      <c r="F31" s="15">
        <f>[6]Resumen!$F$30</f>
        <v>0</v>
      </c>
      <c r="G31" s="17">
        <f>[6]Resumen!$G$30</f>
        <v>0</v>
      </c>
      <c r="H31" s="18">
        <f>[6]Resumen!$H$30</f>
        <v>0</v>
      </c>
      <c r="I31" s="15">
        <f>[6]Resumen!$I$30</f>
        <v>0</v>
      </c>
      <c r="J31" s="16">
        <f>[6]Resumen!$J$30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[7]Resumen!$B$30</f>
        <v>0</v>
      </c>
      <c r="C32" s="15">
        <f>[7]Resumen!$C$30</f>
        <v>0</v>
      </c>
      <c r="D32" s="16">
        <f>[7]Resumen!$D$30</f>
        <v>0</v>
      </c>
      <c r="E32" s="14">
        <f>[7]Resumen!$E$30</f>
        <v>0</v>
      </c>
      <c r="F32" s="15">
        <f>[7]Resumen!$F$30</f>
        <v>0</v>
      </c>
      <c r="G32" s="17">
        <f>[7]Resumen!$G$30</f>
        <v>0</v>
      </c>
      <c r="H32" s="18">
        <f>[7]Resumen!$H$30</f>
        <v>0</v>
      </c>
      <c r="I32" s="15">
        <f>[7]Resumen!$I$30</f>
        <v>0</v>
      </c>
      <c r="J32" s="16">
        <f>[7]Resumen!$J$30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[8]Resumen!$B$30</f>
        <v>0</v>
      </c>
      <c r="C33" s="15">
        <f>[8]Resumen!$C$30</f>
        <v>0</v>
      </c>
      <c r="D33" s="16">
        <f>[8]Resumen!$D$30</f>
        <v>0</v>
      </c>
      <c r="E33" s="14">
        <f>[8]Resumen!$E$30</f>
        <v>0</v>
      </c>
      <c r="F33" s="15">
        <f>[8]Resumen!$F$30</f>
        <v>0</v>
      </c>
      <c r="G33" s="17">
        <f>[8]Resumen!$G$30</f>
        <v>0</v>
      </c>
      <c r="H33" s="18">
        <f>[8]Resumen!$H$30</f>
        <v>0</v>
      </c>
      <c r="I33" s="15">
        <f>[8]Resumen!$I$30</f>
        <v>0</v>
      </c>
      <c r="J33" s="16">
        <f>[8]Resumen!$J$30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[9]Resumen!$B$30</f>
        <v>0</v>
      </c>
      <c r="C34" s="15">
        <f>[9]Resumen!$C$30</f>
        <v>0</v>
      </c>
      <c r="D34" s="16">
        <f>[9]Resumen!$D$30</f>
        <v>0</v>
      </c>
      <c r="E34" s="14">
        <f>[9]Resumen!$E$30</f>
        <v>0</v>
      </c>
      <c r="F34" s="15">
        <f>[9]Resumen!$F$30</f>
        <v>0</v>
      </c>
      <c r="G34" s="17">
        <f>[9]Resumen!$G$30</f>
        <v>0</v>
      </c>
      <c r="H34" s="18">
        <f>[9]Resumen!$H$30</f>
        <v>0</v>
      </c>
      <c r="I34" s="15">
        <f>[9]Resumen!$I$30</f>
        <v>0</v>
      </c>
      <c r="J34" s="16">
        <f>[9]Resumen!$J$30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+[10]Resumen!$B$30</f>
        <v>0</v>
      </c>
      <c r="C35" s="22">
        <f>+[10]Resumen!$C$30</f>
        <v>0</v>
      </c>
      <c r="D35" s="23">
        <f>+[10]Resumen!$D$30</f>
        <v>0</v>
      </c>
      <c r="E35" s="21">
        <f>+[10]Resumen!$E$30</f>
        <v>0</v>
      </c>
      <c r="F35" s="22">
        <f>+[10]Resumen!$F$30</f>
        <v>0</v>
      </c>
      <c r="G35" s="24">
        <f>+[10]Resumen!$G$30</f>
        <v>0</v>
      </c>
      <c r="H35" s="25">
        <f>+[10]Resumen!$H$30</f>
        <v>0</v>
      </c>
      <c r="I35" s="22">
        <f>+[10]Resumen!$I$30</f>
        <v>0</v>
      </c>
      <c r="J35" s="23">
        <f>+[10]Resumen!$J$30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66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[11]Resumen!$B$31</f>
        <v>0</v>
      </c>
      <c r="C5" s="58">
        <f>[11]Resumen!$C$31</f>
        <v>0</v>
      </c>
      <c r="D5" s="54">
        <f>[11]Resumen!$D$31</f>
        <v>0</v>
      </c>
      <c r="E5" s="53">
        <f>[11]Resumen!$E$31</f>
        <v>0</v>
      </c>
      <c r="F5" s="58">
        <f>[11]Resumen!$F$31</f>
        <v>0</v>
      </c>
      <c r="G5" s="55">
        <f>[11]Resumen!$G$31</f>
        <v>0</v>
      </c>
      <c r="H5" s="61">
        <f>[11]Resumen!$H$31</f>
        <v>0</v>
      </c>
      <c r="I5" s="58">
        <f>[11]Resumen!$I$31</f>
        <v>0</v>
      </c>
      <c r="J5" s="54">
        <f>[11]Resumen!$J$31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[12]Resumen!$B$31</f>
        <v>0</v>
      </c>
      <c r="C6" s="15">
        <f>[12]Resumen!$C$31</f>
        <v>0</v>
      </c>
      <c r="D6" s="16">
        <f>[12]Resumen!$D$31</f>
        <v>0</v>
      </c>
      <c r="E6" s="14">
        <f>[12]Resumen!$E$31</f>
        <v>0</v>
      </c>
      <c r="F6" s="15">
        <f>[12]Resumen!$F$31</f>
        <v>0</v>
      </c>
      <c r="G6" s="17">
        <f>[12]Resumen!$G$31</f>
        <v>0</v>
      </c>
      <c r="H6" s="18">
        <f>[12]Resumen!$H$31</f>
        <v>0</v>
      </c>
      <c r="I6" s="15">
        <f>[12]Resumen!$I$31</f>
        <v>0</v>
      </c>
      <c r="J6" s="16">
        <f>[12]Resumen!$J$31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[13]Resumen!$B$31</f>
        <v>0</v>
      </c>
      <c r="C7" s="15">
        <f>[13]Resumen!$C$31</f>
        <v>0</v>
      </c>
      <c r="D7" s="16">
        <f>[13]Resumen!$D$31</f>
        <v>0</v>
      </c>
      <c r="E7" s="14">
        <f>[13]Resumen!$E$31</f>
        <v>0</v>
      </c>
      <c r="F7" s="15">
        <f>[13]Resumen!$F$31</f>
        <v>0</v>
      </c>
      <c r="G7" s="17">
        <f>[13]Resumen!$G$31</f>
        <v>0</v>
      </c>
      <c r="H7" s="18">
        <f>[13]Resumen!$H$31</f>
        <v>0</v>
      </c>
      <c r="I7" s="15">
        <f>[13]Resumen!$I$31</f>
        <v>0</v>
      </c>
      <c r="J7" s="16">
        <f>[13]Resumen!$J$31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[14]Resumen!$B$31</f>
        <v>0</v>
      </c>
      <c r="C8" s="15">
        <f>[14]Resumen!$C$31</f>
        <v>0</v>
      </c>
      <c r="D8" s="16">
        <f>[14]Resumen!$D$31</f>
        <v>0</v>
      </c>
      <c r="E8" s="14">
        <f>[14]Resumen!$E$31</f>
        <v>0</v>
      </c>
      <c r="F8" s="15">
        <f>[14]Resumen!$F$31</f>
        <v>0</v>
      </c>
      <c r="G8" s="17">
        <f>[14]Resumen!$G$31</f>
        <v>0</v>
      </c>
      <c r="H8" s="18">
        <f>[14]Resumen!$H$31</f>
        <v>0</v>
      </c>
      <c r="I8" s="15">
        <f>[14]Resumen!$I$31</f>
        <v>0</v>
      </c>
      <c r="J8" s="16">
        <f>[14]Resumen!$J$31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[15]Resumen!$B$31</f>
        <v>0</v>
      </c>
      <c r="C9" s="15">
        <f>[15]Resumen!$C$31</f>
        <v>0</v>
      </c>
      <c r="D9" s="16">
        <f>[15]Resumen!$D$31</f>
        <v>0</v>
      </c>
      <c r="E9" s="14">
        <f>[15]Resumen!$E$31</f>
        <v>0</v>
      </c>
      <c r="F9" s="15">
        <f>[15]Resumen!$F$31</f>
        <v>0</v>
      </c>
      <c r="G9" s="17">
        <f>[15]Resumen!$G$31</f>
        <v>0</v>
      </c>
      <c r="H9" s="18">
        <f>[15]Resumen!$H$31</f>
        <v>0</v>
      </c>
      <c r="I9" s="15">
        <f>[15]Resumen!$I$31</f>
        <v>0</v>
      </c>
      <c r="J9" s="16">
        <f>[15]Resumen!$J$31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[16]Resumen!$B$31</f>
        <v>0</v>
      </c>
      <c r="C10" s="15">
        <f>[16]Resumen!$C$31</f>
        <v>0</v>
      </c>
      <c r="D10" s="16">
        <f>[16]Resumen!$D$31</f>
        <v>0</v>
      </c>
      <c r="E10" s="14">
        <f>[16]Resumen!$E$31</f>
        <v>0</v>
      </c>
      <c r="F10" s="15">
        <f>[16]Resumen!$F$31</f>
        <v>0</v>
      </c>
      <c r="G10" s="17">
        <f>[16]Resumen!$G$31</f>
        <v>0</v>
      </c>
      <c r="H10" s="18">
        <f>[16]Resumen!$H$31</f>
        <v>0</v>
      </c>
      <c r="I10" s="15">
        <f>[16]Resumen!$I$31</f>
        <v>0</v>
      </c>
      <c r="J10" s="16">
        <f>[16]Resumen!$J$31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[17]Resumen!$B$31</f>
        <v>0</v>
      </c>
      <c r="C11" s="15">
        <f>[17]Resumen!$C$31</f>
        <v>0</v>
      </c>
      <c r="D11" s="16">
        <f>[17]Resumen!$D$31</f>
        <v>0</v>
      </c>
      <c r="E11" s="14">
        <f>[17]Resumen!$E$31</f>
        <v>0</v>
      </c>
      <c r="F11" s="15">
        <f>[17]Resumen!$F$31</f>
        <v>0</v>
      </c>
      <c r="G11" s="17">
        <f>[17]Resumen!$G$31</f>
        <v>0</v>
      </c>
      <c r="H11" s="18">
        <f>[17]Resumen!$H$31</f>
        <v>0</v>
      </c>
      <c r="I11" s="15">
        <f>[17]Resumen!$I$31</f>
        <v>0</v>
      </c>
      <c r="J11" s="16">
        <f>[17]Resumen!$J$31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[18]Resumen!$B$31</f>
        <v>0</v>
      </c>
      <c r="C12" s="15">
        <f>[18]Resumen!$C$31</f>
        <v>0</v>
      </c>
      <c r="D12" s="16">
        <f>[18]Resumen!$D$31</f>
        <v>0</v>
      </c>
      <c r="E12" s="14">
        <f>[18]Resumen!$E$31</f>
        <v>0</v>
      </c>
      <c r="F12" s="15">
        <f>[18]Resumen!$F$31</f>
        <v>0</v>
      </c>
      <c r="G12" s="17">
        <f>[18]Resumen!$G$31</f>
        <v>0</v>
      </c>
      <c r="H12" s="18">
        <f>[18]Resumen!$H$31</f>
        <v>0</v>
      </c>
      <c r="I12" s="15">
        <f>[18]Resumen!$I$31</f>
        <v>0</v>
      </c>
      <c r="J12" s="16">
        <f>[18]Resumen!$J$31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[19]Resumen!$B$31</f>
        <v>0</v>
      </c>
      <c r="C13" s="15">
        <f>[19]Resumen!$C$31</f>
        <v>0</v>
      </c>
      <c r="D13" s="16">
        <f>[19]Resumen!$D$31</f>
        <v>0</v>
      </c>
      <c r="E13" s="14">
        <f>[19]Resumen!$E$31</f>
        <v>0</v>
      </c>
      <c r="F13" s="15">
        <f>[19]Resumen!$F$31</f>
        <v>0</v>
      </c>
      <c r="G13" s="17">
        <f>[19]Resumen!$G$31</f>
        <v>0</v>
      </c>
      <c r="H13" s="18">
        <f>[19]Resumen!$H$31</f>
        <v>0</v>
      </c>
      <c r="I13" s="15">
        <f>[19]Resumen!$I$31</f>
        <v>0</v>
      </c>
      <c r="J13" s="16">
        <f>[19]Resumen!$J$31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[20]Resumen!$B$31</f>
        <v>0</v>
      </c>
      <c r="C14" s="15">
        <f>[20]Resumen!$C$31</f>
        <v>0</v>
      </c>
      <c r="D14" s="16">
        <f>[20]Resumen!$D$31</f>
        <v>0</v>
      </c>
      <c r="E14" s="14">
        <f>[20]Resumen!$E$31</f>
        <v>0</v>
      </c>
      <c r="F14" s="15">
        <f>[20]Resumen!$F$31</f>
        <v>0</v>
      </c>
      <c r="G14" s="17">
        <f>[20]Resumen!$G$31</f>
        <v>0</v>
      </c>
      <c r="H14" s="18">
        <f>[20]Resumen!$H$31</f>
        <v>0</v>
      </c>
      <c r="I14" s="15">
        <f>[20]Resumen!$I$31</f>
        <v>0</v>
      </c>
      <c r="J14" s="16">
        <f>[20]Resumen!$J$31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[21]Resumen!$B$31</f>
        <v>0</v>
      </c>
      <c r="C15" s="15">
        <f>[21]Resumen!$C$31</f>
        <v>0</v>
      </c>
      <c r="D15" s="16">
        <f>[21]Resumen!$D$31</f>
        <v>0</v>
      </c>
      <c r="E15" s="14">
        <f>[21]Resumen!$E$31</f>
        <v>0</v>
      </c>
      <c r="F15" s="15">
        <f>[21]Resumen!$F$31</f>
        <v>0</v>
      </c>
      <c r="G15" s="17">
        <f>[21]Resumen!$G$31</f>
        <v>0</v>
      </c>
      <c r="H15" s="18">
        <f>[21]Resumen!$H$31</f>
        <v>0</v>
      </c>
      <c r="I15" s="15">
        <f>[21]Resumen!$I$31</f>
        <v>0</v>
      </c>
      <c r="J15" s="16">
        <f>[21]Resumen!$J$31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[22]Resumen!$B$31</f>
        <v>0</v>
      </c>
      <c r="C16" s="15">
        <f>[22]Resumen!$C$31</f>
        <v>0</v>
      </c>
      <c r="D16" s="16">
        <f>[22]Resumen!$D$31</f>
        <v>0</v>
      </c>
      <c r="E16" s="14">
        <f>[22]Resumen!$E$31</f>
        <v>0</v>
      </c>
      <c r="F16" s="15">
        <f>[22]Resumen!$F$31</f>
        <v>0</v>
      </c>
      <c r="G16" s="17">
        <f>[22]Resumen!$G$31</f>
        <v>0</v>
      </c>
      <c r="H16" s="18">
        <f>[22]Resumen!$H$31</f>
        <v>0</v>
      </c>
      <c r="I16" s="15">
        <f>[22]Resumen!$I$31</f>
        <v>0</v>
      </c>
      <c r="J16" s="16">
        <f>[22]Resumen!$J$31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[23]Resumen!$B$31</f>
        <v>0</v>
      </c>
      <c r="C17" s="15">
        <f>[23]Resumen!$C$31</f>
        <v>0</v>
      </c>
      <c r="D17" s="16">
        <f>[23]Resumen!$D$31</f>
        <v>0</v>
      </c>
      <c r="E17" s="14">
        <f>[23]Resumen!$E$31</f>
        <v>0</v>
      </c>
      <c r="F17" s="15">
        <f>[23]Resumen!$F$31</f>
        <v>0</v>
      </c>
      <c r="G17" s="17">
        <f>[23]Resumen!$G$31</f>
        <v>0</v>
      </c>
      <c r="H17" s="18">
        <f>[23]Resumen!$H$31</f>
        <v>0</v>
      </c>
      <c r="I17" s="15">
        <f>[23]Resumen!$I$31</f>
        <v>0</v>
      </c>
      <c r="J17" s="16">
        <f>[23]Resumen!$J$31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[24]Resumen!$B$31</f>
        <v>0</v>
      </c>
      <c r="C18" s="15">
        <f>[24]Resumen!$C$31</f>
        <v>0</v>
      </c>
      <c r="D18" s="16">
        <f>[24]Resumen!$D$31</f>
        <v>0</v>
      </c>
      <c r="E18" s="14">
        <f>[24]Resumen!$E$31</f>
        <v>0</v>
      </c>
      <c r="F18" s="15">
        <f>[24]Resumen!$F$31</f>
        <v>0</v>
      </c>
      <c r="G18" s="17">
        <f>[24]Resumen!$G$31</f>
        <v>0</v>
      </c>
      <c r="H18" s="18">
        <f>[24]Resumen!$H$31</f>
        <v>0</v>
      </c>
      <c r="I18" s="15">
        <f>[24]Resumen!$I$31</f>
        <v>0</v>
      </c>
      <c r="J18" s="16">
        <f>[24]Resumen!$J$31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[25]Resumen!$B$31</f>
        <v>0</v>
      </c>
      <c r="C19" s="15">
        <f>[25]Resumen!$C$31</f>
        <v>0</v>
      </c>
      <c r="D19" s="16">
        <f>[25]Resumen!$D$31</f>
        <v>0</v>
      </c>
      <c r="E19" s="14">
        <f>[25]Resumen!$E$31</f>
        <v>0</v>
      </c>
      <c r="F19" s="15">
        <f>[25]Resumen!$F$31</f>
        <v>0</v>
      </c>
      <c r="G19" s="17">
        <f>[25]Resumen!$G$31</f>
        <v>0</v>
      </c>
      <c r="H19" s="18">
        <f>[25]Resumen!$H$31</f>
        <v>0</v>
      </c>
      <c r="I19" s="15">
        <f>[25]Resumen!$I$31</f>
        <v>0</v>
      </c>
      <c r="J19" s="16">
        <f>[25]Resumen!$J$31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[26]Resumen!$B$31</f>
        <v>0</v>
      </c>
      <c r="C20" s="15">
        <f>[26]Resumen!$C$31</f>
        <v>0</v>
      </c>
      <c r="D20" s="16">
        <f>[26]Resumen!$D$31</f>
        <v>0</v>
      </c>
      <c r="E20" s="14">
        <f>[26]Resumen!$E$31</f>
        <v>0</v>
      </c>
      <c r="F20" s="15">
        <f>[26]Resumen!$F$31</f>
        <v>0</v>
      </c>
      <c r="G20" s="17">
        <f>[26]Resumen!$G$31</f>
        <v>0</v>
      </c>
      <c r="H20" s="18">
        <f>[26]Resumen!$H$31</f>
        <v>0</v>
      </c>
      <c r="I20" s="15">
        <f>[26]Resumen!$I$31</f>
        <v>0</v>
      </c>
      <c r="J20" s="16">
        <f>[26]Resumen!$J$31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[27]Resumen!$B$31</f>
        <v>0</v>
      </c>
      <c r="C21" s="15">
        <f>[27]Resumen!$C$31</f>
        <v>0</v>
      </c>
      <c r="D21" s="16">
        <f>[27]Resumen!$D$31</f>
        <v>0</v>
      </c>
      <c r="E21" s="14">
        <f>[27]Resumen!$E$31</f>
        <v>0</v>
      </c>
      <c r="F21" s="15">
        <f>[27]Resumen!$F$31</f>
        <v>0</v>
      </c>
      <c r="G21" s="17">
        <f>[27]Resumen!$G$31</f>
        <v>0</v>
      </c>
      <c r="H21" s="18">
        <f>[27]Resumen!$H$31</f>
        <v>0</v>
      </c>
      <c r="I21" s="15">
        <f>[27]Resumen!$I$31</f>
        <v>0</v>
      </c>
      <c r="J21" s="16">
        <f>[27]Resumen!$J$31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[28]Resumen!$B$31</f>
        <v>0</v>
      </c>
      <c r="C22" s="15">
        <f>[28]Resumen!$C$31</f>
        <v>0</v>
      </c>
      <c r="D22" s="16">
        <f>[28]Resumen!$D$31</f>
        <v>0</v>
      </c>
      <c r="E22" s="14">
        <f>[28]Resumen!$E$31</f>
        <v>0</v>
      </c>
      <c r="F22" s="15">
        <f>[28]Resumen!$F$31</f>
        <v>0</v>
      </c>
      <c r="G22" s="17">
        <f>[28]Resumen!$G$31</f>
        <v>0</v>
      </c>
      <c r="H22" s="18">
        <f>[28]Resumen!$H$31</f>
        <v>0</v>
      </c>
      <c r="I22" s="15">
        <f>[28]Resumen!$I$31</f>
        <v>0</v>
      </c>
      <c r="J22" s="16">
        <f>[28]Resumen!$J$31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[29]Resumen!$B$31</f>
        <v>0</v>
      </c>
      <c r="C23" s="15">
        <f>[29]Resumen!$C$31</f>
        <v>0</v>
      </c>
      <c r="D23" s="16">
        <f>[29]Resumen!$D$31</f>
        <v>0</v>
      </c>
      <c r="E23" s="14">
        <f>[29]Resumen!$E$31</f>
        <v>0</v>
      </c>
      <c r="F23" s="15">
        <f>[29]Resumen!$F$31</f>
        <v>0</v>
      </c>
      <c r="G23" s="17">
        <f>[29]Resumen!$G$31</f>
        <v>0</v>
      </c>
      <c r="H23" s="18">
        <f>[29]Resumen!$H$31</f>
        <v>0</v>
      </c>
      <c r="I23" s="15">
        <f>[29]Resumen!$I$31</f>
        <v>0</v>
      </c>
      <c r="J23" s="16">
        <f>[29]Resumen!$J$31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[30]Resumen!$B$31</f>
        <v>0</v>
      </c>
      <c r="C24" s="15">
        <f>[30]Resumen!$C$31</f>
        <v>0</v>
      </c>
      <c r="D24" s="16">
        <f>[30]Resumen!$D$31</f>
        <v>0</v>
      </c>
      <c r="E24" s="14">
        <f>[30]Resumen!$E$31</f>
        <v>0</v>
      </c>
      <c r="F24" s="15">
        <f>[30]Resumen!$F$31</f>
        <v>0</v>
      </c>
      <c r="G24" s="17">
        <f>[30]Resumen!$G$31</f>
        <v>0</v>
      </c>
      <c r="H24" s="18">
        <f>[30]Resumen!$H$31</f>
        <v>0</v>
      </c>
      <c r="I24" s="15">
        <f>[30]Resumen!$I$31</f>
        <v>0</v>
      </c>
      <c r="J24" s="16">
        <f>[30]Resumen!$J$31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[31]Resumen!$B$31</f>
        <v>0</v>
      </c>
      <c r="C25" s="15">
        <f>[31]Resumen!$C$31</f>
        <v>0</v>
      </c>
      <c r="D25" s="16">
        <f>[31]Resumen!$D$31</f>
        <v>0</v>
      </c>
      <c r="E25" s="14">
        <f>[31]Resumen!$E$31</f>
        <v>0</v>
      </c>
      <c r="F25" s="15">
        <f>[31]Resumen!$F$31</f>
        <v>0</v>
      </c>
      <c r="G25" s="17">
        <f>[31]Resumen!$G$31</f>
        <v>0</v>
      </c>
      <c r="H25" s="18">
        <f>[31]Resumen!$H$31</f>
        <v>0</v>
      </c>
      <c r="I25" s="15">
        <f>[31]Resumen!$I$31</f>
        <v>0</v>
      </c>
      <c r="J25" s="16">
        <f>[31]Resumen!$J$31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[1]Resumen!$B$31</f>
        <v>0</v>
      </c>
      <c r="C26" s="15">
        <f>[1]Resumen!$C$31</f>
        <v>0</v>
      </c>
      <c r="D26" s="16">
        <f>[1]Resumen!$D$31</f>
        <v>0</v>
      </c>
      <c r="E26" s="14">
        <f>[1]Resumen!$E$31</f>
        <v>0</v>
      </c>
      <c r="F26" s="15">
        <f>[1]Resumen!$F$31</f>
        <v>0</v>
      </c>
      <c r="G26" s="17">
        <f>[1]Resumen!$G$31</f>
        <v>0</v>
      </c>
      <c r="H26" s="18">
        <f>[1]Resumen!$H$31</f>
        <v>0</v>
      </c>
      <c r="I26" s="15">
        <f>[1]Resumen!$I$31</f>
        <v>0</v>
      </c>
      <c r="J26" s="16">
        <f>[1]Resumen!$J$31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[2]Resumen!$B$31</f>
        <v>0</v>
      </c>
      <c r="C27" s="15">
        <f>[2]Resumen!$C$31</f>
        <v>0</v>
      </c>
      <c r="D27" s="16">
        <f>[2]Resumen!$D$31</f>
        <v>0</v>
      </c>
      <c r="E27" s="14">
        <f>[2]Resumen!$E$31</f>
        <v>0</v>
      </c>
      <c r="F27" s="15">
        <f>[2]Resumen!$F$31</f>
        <v>0</v>
      </c>
      <c r="G27" s="17">
        <f>[2]Resumen!$G$31</f>
        <v>0</v>
      </c>
      <c r="H27" s="18">
        <f>[2]Resumen!$H$31</f>
        <v>0</v>
      </c>
      <c r="I27" s="15">
        <f>[2]Resumen!$I$31</f>
        <v>0</v>
      </c>
      <c r="J27" s="16">
        <f>[2]Resumen!$J$31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[3]Resumen!$B$31</f>
        <v>0</v>
      </c>
      <c r="C28" s="15">
        <f>[3]Resumen!$C$31</f>
        <v>0</v>
      </c>
      <c r="D28" s="16">
        <f>[3]Resumen!$D$31</f>
        <v>0</v>
      </c>
      <c r="E28" s="14">
        <f>[3]Resumen!$E$31</f>
        <v>0</v>
      </c>
      <c r="F28" s="15">
        <f>[3]Resumen!$F$31</f>
        <v>0</v>
      </c>
      <c r="G28" s="17">
        <f>[3]Resumen!$G$31</f>
        <v>0</v>
      </c>
      <c r="H28" s="18">
        <f>[3]Resumen!$H$31</f>
        <v>0</v>
      </c>
      <c r="I28" s="15">
        <f>[3]Resumen!$I$31</f>
        <v>0</v>
      </c>
      <c r="J28" s="16">
        <f>[3]Resumen!$J$31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[4]Resumen!$B$31</f>
        <v>0</v>
      </c>
      <c r="C29" s="15">
        <f>[4]Resumen!$C$31</f>
        <v>0</v>
      </c>
      <c r="D29" s="16">
        <f>[4]Resumen!$D$31</f>
        <v>0</v>
      </c>
      <c r="E29" s="14">
        <f>[4]Resumen!$E$31</f>
        <v>0</v>
      </c>
      <c r="F29" s="15">
        <f>[4]Resumen!$F$31</f>
        <v>0</v>
      </c>
      <c r="G29" s="17">
        <f>[4]Resumen!$G$31</f>
        <v>0</v>
      </c>
      <c r="H29" s="18">
        <f>[4]Resumen!$H$31</f>
        <v>0</v>
      </c>
      <c r="I29" s="15">
        <f>[4]Resumen!$I$31</f>
        <v>0</v>
      </c>
      <c r="J29" s="16">
        <f>[4]Resumen!$J$31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[5]Resumen!$B$31</f>
        <v>0</v>
      </c>
      <c r="C30" s="15">
        <f>[5]Resumen!$C$31</f>
        <v>0</v>
      </c>
      <c r="D30" s="16">
        <f>[5]Resumen!$D$31</f>
        <v>0</v>
      </c>
      <c r="E30" s="14">
        <f>[5]Resumen!$E$31</f>
        <v>0</v>
      </c>
      <c r="F30" s="15">
        <f>[5]Resumen!$F$31</f>
        <v>0</v>
      </c>
      <c r="G30" s="17">
        <f>[5]Resumen!$G$31</f>
        <v>0</v>
      </c>
      <c r="H30" s="18">
        <f>[5]Resumen!$H$31</f>
        <v>0</v>
      </c>
      <c r="I30" s="15">
        <f>[5]Resumen!$I$31</f>
        <v>0</v>
      </c>
      <c r="J30" s="16">
        <f>[5]Resumen!$J$31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[6]Resumen!$B$31</f>
        <v>0</v>
      </c>
      <c r="C31" s="15">
        <f>[6]Resumen!$C$31</f>
        <v>0</v>
      </c>
      <c r="D31" s="16">
        <f>[6]Resumen!$D$31</f>
        <v>0</v>
      </c>
      <c r="E31" s="14">
        <f>[6]Resumen!$E$31</f>
        <v>0</v>
      </c>
      <c r="F31" s="15">
        <f>[6]Resumen!$F$31</f>
        <v>0</v>
      </c>
      <c r="G31" s="17">
        <f>[6]Resumen!$G$31</f>
        <v>0</v>
      </c>
      <c r="H31" s="18">
        <f>[6]Resumen!$H$31</f>
        <v>0</v>
      </c>
      <c r="I31" s="15">
        <f>[6]Resumen!$I$31</f>
        <v>0</v>
      </c>
      <c r="J31" s="16">
        <f>[6]Resumen!$J$31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[7]Resumen!$B$31</f>
        <v>0</v>
      </c>
      <c r="C32" s="15">
        <f>[7]Resumen!$C$31</f>
        <v>0</v>
      </c>
      <c r="D32" s="16">
        <f>[7]Resumen!$D$31</f>
        <v>0</v>
      </c>
      <c r="E32" s="14">
        <f>[7]Resumen!$E$31</f>
        <v>0</v>
      </c>
      <c r="F32" s="15">
        <f>[7]Resumen!$F$31</f>
        <v>0</v>
      </c>
      <c r="G32" s="17">
        <f>[7]Resumen!$G$31</f>
        <v>0</v>
      </c>
      <c r="H32" s="18">
        <f>[7]Resumen!$H$31</f>
        <v>0</v>
      </c>
      <c r="I32" s="15">
        <f>[7]Resumen!$I$31</f>
        <v>0</v>
      </c>
      <c r="J32" s="16">
        <f>[7]Resumen!$J$31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[8]Resumen!$B$31</f>
        <v>0</v>
      </c>
      <c r="C33" s="15">
        <f>[8]Resumen!$C$31</f>
        <v>0</v>
      </c>
      <c r="D33" s="16">
        <f>[8]Resumen!$D$31</f>
        <v>0</v>
      </c>
      <c r="E33" s="14">
        <f>[8]Resumen!$E$31</f>
        <v>0</v>
      </c>
      <c r="F33" s="15">
        <f>[8]Resumen!$F$31</f>
        <v>0</v>
      </c>
      <c r="G33" s="17">
        <f>[8]Resumen!$G$31</f>
        <v>0</v>
      </c>
      <c r="H33" s="18">
        <f>[8]Resumen!$H$31</f>
        <v>0</v>
      </c>
      <c r="I33" s="15">
        <f>[8]Resumen!$I$31</f>
        <v>0</v>
      </c>
      <c r="J33" s="16">
        <f>[8]Resumen!$J$31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[9]Resumen!$B$31</f>
        <v>0</v>
      </c>
      <c r="C34" s="15">
        <f>[9]Resumen!$C$31</f>
        <v>0</v>
      </c>
      <c r="D34" s="16">
        <f>[9]Resumen!$D$31</f>
        <v>0</v>
      </c>
      <c r="E34" s="14">
        <f>[9]Resumen!$E$31</f>
        <v>0</v>
      </c>
      <c r="F34" s="15">
        <f>[9]Resumen!$F$31</f>
        <v>0</v>
      </c>
      <c r="G34" s="17">
        <f>[9]Resumen!$G$31</f>
        <v>0</v>
      </c>
      <c r="H34" s="18">
        <f>[9]Resumen!$H$31</f>
        <v>0</v>
      </c>
      <c r="I34" s="15">
        <f>[9]Resumen!$I$31</f>
        <v>0</v>
      </c>
      <c r="J34" s="16">
        <f>[9]Resumen!$J$31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+[10]Resumen!$B$31</f>
        <v>0</v>
      </c>
      <c r="C35" s="22">
        <f>+[10]Resumen!$C$31</f>
        <v>0</v>
      </c>
      <c r="D35" s="23">
        <f>+[10]Resumen!$D$31</f>
        <v>0</v>
      </c>
      <c r="E35" s="21">
        <f>+[10]Resumen!$E$31</f>
        <v>0</v>
      </c>
      <c r="F35" s="22">
        <f>+[10]Resumen!$F$31</f>
        <v>0</v>
      </c>
      <c r="G35" s="24">
        <f>+[10]Resumen!$G$31</f>
        <v>0</v>
      </c>
      <c r="H35" s="25">
        <f>+[10]Resumen!$H$31</f>
        <v>0</v>
      </c>
      <c r="I35" s="22">
        <f>+[10]Resumen!$I$31</f>
        <v>0</v>
      </c>
      <c r="J35" s="23">
        <f>+[10]Resumen!$J$31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60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[11]Resumen!$B$32</f>
        <v>0</v>
      </c>
      <c r="C5" s="58">
        <f>[11]Resumen!$C$32</f>
        <v>0</v>
      </c>
      <c r="D5" s="54">
        <f>[11]Resumen!$D$32</f>
        <v>0</v>
      </c>
      <c r="E5" s="53">
        <f>[11]Resumen!$E$32</f>
        <v>0</v>
      </c>
      <c r="F5" s="58">
        <f>[11]Resumen!$F$32</f>
        <v>0</v>
      </c>
      <c r="G5" s="55">
        <f>[11]Resumen!$G$32</f>
        <v>0</v>
      </c>
      <c r="H5" s="61">
        <f>[11]Resumen!$H$32</f>
        <v>0</v>
      </c>
      <c r="I5" s="58">
        <f>[11]Resumen!$I$32</f>
        <v>0</v>
      </c>
      <c r="J5" s="54">
        <f>[11]Resumen!$J$32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[12]Resumen!$B$32</f>
        <v>0</v>
      </c>
      <c r="C6" s="15">
        <f>[12]Resumen!$C$32</f>
        <v>0</v>
      </c>
      <c r="D6" s="16">
        <f>[12]Resumen!$D$32</f>
        <v>0</v>
      </c>
      <c r="E6" s="14">
        <f>[12]Resumen!$E$32</f>
        <v>0</v>
      </c>
      <c r="F6" s="15">
        <f>[12]Resumen!$F$32</f>
        <v>0</v>
      </c>
      <c r="G6" s="17">
        <f>[12]Resumen!$G$32</f>
        <v>0</v>
      </c>
      <c r="H6" s="18">
        <f>[12]Resumen!$H$32</f>
        <v>0</v>
      </c>
      <c r="I6" s="15">
        <f>[12]Resumen!$I$32</f>
        <v>0</v>
      </c>
      <c r="J6" s="16">
        <f>[12]Resumen!$J$32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[13]Resumen!$B$32</f>
        <v>0</v>
      </c>
      <c r="C7" s="15">
        <f>[13]Resumen!$C$32</f>
        <v>0</v>
      </c>
      <c r="D7" s="16">
        <f>[13]Resumen!$D$32</f>
        <v>0</v>
      </c>
      <c r="E7" s="14">
        <f>[13]Resumen!$E$32</f>
        <v>0</v>
      </c>
      <c r="F7" s="15">
        <f>[13]Resumen!$F$32</f>
        <v>0</v>
      </c>
      <c r="G7" s="17">
        <f>[13]Resumen!$G$32</f>
        <v>0</v>
      </c>
      <c r="H7" s="18">
        <f>[13]Resumen!$H$32</f>
        <v>0</v>
      </c>
      <c r="I7" s="15">
        <f>[13]Resumen!$I$32</f>
        <v>0</v>
      </c>
      <c r="J7" s="16">
        <f>[13]Resumen!$J$32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[14]Resumen!$B$32</f>
        <v>0</v>
      </c>
      <c r="C8" s="15">
        <f>[14]Resumen!$C$32</f>
        <v>0</v>
      </c>
      <c r="D8" s="16">
        <f>[14]Resumen!$D$32</f>
        <v>0</v>
      </c>
      <c r="E8" s="14">
        <f>[14]Resumen!$E$32</f>
        <v>0</v>
      </c>
      <c r="F8" s="15">
        <f>[14]Resumen!$F$32</f>
        <v>0</v>
      </c>
      <c r="G8" s="17">
        <f>[14]Resumen!$G$32</f>
        <v>0</v>
      </c>
      <c r="H8" s="18">
        <f>[14]Resumen!$H$32</f>
        <v>0</v>
      </c>
      <c r="I8" s="15">
        <f>[14]Resumen!$I$32</f>
        <v>0</v>
      </c>
      <c r="J8" s="16">
        <f>[14]Resumen!$J$32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[15]Resumen!$B$32</f>
        <v>0</v>
      </c>
      <c r="C9" s="15">
        <f>[15]Resumen!$C$32</f>
        <v>0</v>
      </c>
      <c r="D9" s="16">
        <f>[15]Resumen!$D$32</f>
        <v>0</v>
      </c>
      <c r="E9" s="14">
        <f>[15]Resumen!$E$32</f>
        <v>0</v>
      </c>
      <c r="F9" s="15">
        <f>[15]Resumen!$F$32</f>
        <v>0</v>
      </c>
      <c r="G9" s="17">
        <f>[15]Resumen!$G$32</f>
        <v>0</v>
      </c>
      <c r="H9" s="18">
        <f>[15]Resumen!$H$32</f>
        <v>0</v>
      </c>
      <c r="I9" s="15">
        <f>[15]Resumen!$I$32</f>
        <v>0</v>
      </c>
      <c r="J9" s="16">
        <f>[15]Resumen!$J$32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[16]Resumen!$B$32</f>
        <v>0</v>
      </c>
      <c r="C10" s="15">
        <f>[16]Resumen!$C$32</f>
        <v>0</v>
      </c>
      <c r="D10" s="16">
        <f>[16]Resumen!$D$32</f>
        <v>0</v>
      </c>
      <c r="E10" s="14">
        <f>[16]Resumen!$E$32</f>
        <v>0</v>
      </c>
      <c r="F10" s="15">
        <f>[16]Resumen!$F$32</f>
        <v>0</v>
      </c>
      <c r="G10" s="17">
        <f>[16]Resumen!$G$32</f>
        <v>0</v>
      </c>
      <c r="H10" s="18">
        <f>[16]Resumen!$H$32</f>
        <v>0</v>
      </c>
      <c r="I10" s="15">
        <f>[16]Resumen!$I$32</f>
        <v>0</v>
      </c>
      <c r="J10" s="16">
        <f>[16]Resumen!$J$32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[17]Resumen!$B$32</f>
        <v>0</v>
      </c>
      <c r="C11" s="15">
        <f>[17]Resumen!$C$32</f>
        <v>0</v>
      </c>
      <c r="D11" s="16">
        <f>[17]Resumen!$D$32</f>
        <v>0</v>
      </c>
      <c r="E11" s="14">
        <f>[17]Resumen!$E$32</f>
        <v>0</v>
      </c>
      <c r="F11" s="15">
        <f>[17]Resumen!$F$32</f>
        <v>0</v>
      </c>
      <c r="G11" s="17">
        <f>[17]Resumen!$G$32</f>
        <v>0</v>
      </c>
      <c r="H11" s="18">
        <f>[17]Resumen!$H$32</f>
        <v>0</v>
      </c>
      <c r="I11" s="15">
        <f>[17]Resumen!$I$32</f>
        <v>0</v>
      </c>
      <c r="J11" s="16">
        <f>[17]Resumen!$J$32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[18]Resumen!$B$32</f>
        <v>0</v>
      </c>
      <c r="C12" s="15">
        <f>[18]Resumen!$C$32</f>
        <v>0</v>
      </c>
      <c r="D12" s="16">
        <f>[18]Resumen!$D$32</f>
        <v>0</v>
      </c>
      <c r="E12" s="14">
        <f>[18]Resumen!$E$32</f>
        <v>0</v>
      </c>
      <c r="F12" s="15">
        <f>[18]Resumen!$F$32</f>
        <v>0</v>
      </c>
      <c r="G12" s="17">
        <f>[18]Resumen!$G$32</f>
        <v>0</v>
      </c>
      <c r="H12" s="18">
        <f>[18]Resumen!$H$32</f>
        <v>0</v>
      </c>
      <c r="I12" s="15">
        <f>[18]Resumen!$I$32</f>
        <v>0</v>
      </c>
      <c r="J12" s="16">
        <f>[18]Resumen!$J$32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[19]Resumen!$B$32</f>
        <v>0</v>
      </c>
      <c r="C13" s="15">
        <f>[19]Resumen!$C$32</f>
        <v>0</v>
      </c>
      <c r="D13" s="16">
        <f>[19]Resumen!$D$32</f>
        <v>0</v>
      </c>
      <c r="E13" s="14">
        <f>[19]Resumen!$E$32</f>
        <v>0</v>
      </c>
      <c r="F13" s="15">
        <f>[19]Resumen!$F$32</f>
        <v>0</v>
      </c>
      <c r="G13" s="17">
        <f>[19]Resumen!$G$32</f>
        <v>0</v>
      </c>
      <c r="H13" s="18">
        <f>[19]Resumen!$H$32</f>
        <v>0</v>
      </c>
      <c r="I13" s="15">
        <f>[19]Resumen!$I$32</f>
        <v>0</v>
      </c>
      <c r="J13" s="16">
        <f>[19]Resumen!$J$32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[20]Resumen!$B$32</f>
        <v>0</v>
      </c>
      <c r="C14" s="15">
        <f>[20]Resumen!$C$32</f>
        <v>0</v>
      </c>
      <c r="D14" s="16">
        <f>[20]Resumen!$D$32</f>
        <v>0</v>
      </c>
      <c r="E14" s="14">
        <f>[20]Resumen!$E$32</f>
        <v>0</v>
      </c>
      <c r="F14" s="15">
        <f>[20]Resumen!$F$32</f>
        <v>0</v>
      </c>
      <c r="G14" s="17">
        <f>[20]Resumen!$G$32</f>
        <v>0</v>
      </c>
      <c r="H14" s="18">
        <f>[20]Resumen!$H$32</f>
        <v>0</v>
      </c>
      <c r="I14" s="15">
        <f>[20]Resumen!$I$32</f>
        <v>0</v>
      </c>
      <c r="J14" s="16">
        <f>[20]Resumen!$J$32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[21]Resumen!$B$32</f>
        <v>0</v>
      </c>
      <c r="C15" s="15">
        <f>[21]Resumen!$C$32</f>
        <v>0</v>
      </c>
      <c r="D15" s="16">
        <f>[21]Resumen!$D$32</f>
        <v>0</v>
      </c>
      <c r="E15" s="14">
        <f>[21]Resumen!$E$32</f>
        <v>0</v>
      </c>
      <c r="F15" s="15">
        <f>[21]Resumen!$F$32</f>
        <v>0</v>
      </c>
      <c r="G15" s="17">
        <f>[21]Resumen!$G$32</f>
        <v>0</v>
      </c>
      <c r="H15" s="18">
        <f>[21]Resumen!$H$32</f>
        <v>0</v>
      </c>
      <c r="I15" s="15">
        <f>[21]Resumen!$I$32</f>
        <v>0</v>
      </c>
      <c r="J15" s="16">
        <f>[21]Resumen!$J$32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[22]Resumen!$B$32</f>
        <v>0</v>
      </c>
      <c r="C16" s="15">
        <f>[22]Resumen!$C$32</f>
        <v>0</v>
      </c>
      <c r="D16" s="16">
        <f>[22]Resumen!$D$32</f>
        <v>0</v>
      </c>
      <c r="E16" s="14">
        <f>[22]Resumen!$E$32</f>
        <v>0</v>
      </c>
      <c r="F16" s="15">
        <f>[22]Resumen!$F$32</f>
        <v>0</v>
      </c>
      <c r="G16" s="17">
        <f>[22]Resumen!$G$32</f>
        <v>0</v>
      </c>
      <c r="H16" s="18">
        <f>[22]Resumen!$H$32</f>
        <v>0</v>
      </c>
      <c r="I16" s="15">
        <f>[22]Resumen!$I$32</f>
        <v>0</v>
      </c>
      <c r="J16" s="16">
        <f>[22]Resumen!$J$32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[23]Resumen!$B$32</f>
        <v>0</v>
      </c>
      <c r="C17" s="15">
        <f>[23]Resumen!$C$32</f>
        <v>0</v>
      </c>
      <c r="D17" s="16">
        <f>[23]Resumen!$D$32</f>
        <v>0</v>
      </c>
      <c r="E17" s="14">
        <f>[23]Resumen!$E$32</f>
        <v>0</v>
      </c>
      <c r="F17" s="15">
        <f>[23]Resumen!$F$32</f>
        <v>0</v>
      </c>
      <c r="G17" s="17">
        <f>[23]Resumen!$G$32</f>
        <v>0</v>
      </c>
      <c r="H17" s="18">
        <f>[23]Resumen!$H$32</f>
        <v>0</v>
      </c>
      <c r="I17" s="15">
        <f>[23]Resumen!$I$32</f>
        <v>0</v>
      </c>
      <c r="J17" s="16">
        <f>[23]Resumen!$J$32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[24]Resumen!$B$32</f>
        <v>0</v>
      </c>
      <c r="C18" s="15">
        <f>[24]Resumen!$C$32</f>
        <v>0</v>
      </c>
      <c r="D18" s="16">
        <f>[24]Resumen!$D$32</f>
        <v>0</v>
      </c>
      <c r="E18" s="14">
        <f>[24]Resumen!$E$32</f>
        <v>0</v>
      </c>
      <c r="F18" s="15">
        <f>[24]Resumen!$F$32</f>
        <v>0</v>
      </c>
      <c r="G18" s="17">
        <f>[24]Resumen!$G$32</f>
        <v>0</v>
      </c>
      <c r="H18" s="18">
        <f>[24]Resumen!$H$32</f>
        <v>0</v>
      </c>
      <c r="I18" s="15">
        <f>[24]Resumen!$I$32</f>
        <v>0</v>
      </c>
      <c r="J18" s="16">
        <f>[24]Resumen!$J$32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[25]Resumen!$B$32</f>
        <v>0</v>
      </c>
      <c r="C19" s="15">
        <f>[25]Resumen!$C$32</f>
        <v>0</v>
      </c>
      <c r="D19" s="16">
        <f>[25]Resumen!$D$32</f>
        <v>0</v>
      </c>
      <c r="E19" s="14">
        <f>[25]Resumen!$E$32</f>
        <v>0</v>
      </c>
      <c r="F19" s="15">
        <f>[25]Resumen!$F$32</f>
        <v>0</v>
      </c>
      <c r="G19" s="17">
        <f>[25]Resumen!$G$32</f>
        <v>0</v>
      </c>
      <c r="H19" s="18">
        <f>[25]Resumen!$H$32</f>
        <v>0</v>
      </c>
      <c r="I19" s="15">
        <f>[25]Resumen!$I$32</f>
        <v>0</v>
      </c>
      <c r="J19" s="16">
        <f>[25]Resumen!$J$32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[26]Resumen!$B$32</f>
        <v>0</v>
      </c>
      <c r="C20" s="15">
        <f>[26]Resumen!$C$32</f>
        <v>0</v>
      </c>
      <c r="D20" s="16">
        <f>[26]Resumen!$D$32</f>
        <v>0</v>
      </c>
      <c r="E20" s="14">
        <f>[26]Resumen!$E$32</f>
        <v>0</v>
      </c>
      <c r="F20" s="15">
        <f>[26]Resumen!$F$32</f>
        <v>0</v>
      </c>
      <c r="G20" s="17">
        <f>[26]Resumen!$G$32</f>
        <v>0</v>
      </c>
      <c r="H20" s="18">
        <f>[26]Resumen!$H$32</f>
        <v>0</v>
      </c>
      <c r="I20" s="15">
        <f>[26]Resumen!$I$32</f>
        <v>0</v>
      </c>
      <c r="J20" s="16">
        <f>[26]Resumen!$J$32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[27]Resumen!$B$32</f>
        <v>0</v>
      </c>
      <c r="C21" s="15">
        <f>[27]Resumen!$C$32</f>
        <v>0</v>
      </c>
      <c r="D21" s="16">
        <f>[27]Resumen!$D$32</f>
        <v>0</v>
      </c>
      <c r="E21" s="14">
        <f>[27]Resumen!$E$32</f>
        <v>0</v>
      </c>
      <c r="F21" s="15">
        <f>[27]Resumen!$F$32</f>
        <v>0</v>
      </c>
      <c r="G21" s="17">
        <f>[27]Resumen!$G$32</f>
        <v>0</v>
      </c>
      <c r="H21" s="18">
        <f>[27]Resumen!$H$32</f>
        <v>0</v>
      </c>
      <c r="I21" s="15">
        <f>[27]Resumen!$I$32</f>
        <v>0</v>
      </c>
      <c r="J21" s="16">
        <f>[27]Resumen!$J$32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[28]Resumen!$B$32</f>
        <v>0</v>
      </c>
      <c r="C22" s="15">
        <f>[28]Resumen!$C$32</f>
        <v>0</v>
      </c>
      <c r="D22" s="16">
        <f>[28]Resumen!$D$32</f>
        <v>0</v>
      </c>
      <c r="E22" s="14">
        <f>[28]Resumen!$E$32</f>
        <v>0</v>
      </c>
      <c r="F22" s="15">
        <f>[28]Resumen!$F$32</f>
        <v>0</v>
      </c>
      <c r="G22" s="17">
        <f>[28]Resumen!$G$32</f>
        <v>0</v>
      </c>
      <c r="H22" s="18">
        <f>[28]Resumen!$H$32</f>
        <v>0</v>
      </c>
      <c r="I22" s="15">
        <f>[28]Resumen!$I$32</f>
        <v>0</v>
      </c>
      <c r="J22" s="16">
        <f>[28]Resumen!$J$32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[29]Resumen!$B$32</f>
        <v>0</v>
      </c>
      <c r="C23" s="15">
        <f>[29]Resumen!$C$32</f>
        <v>0</v>
      </c>
      <c r="D23" s="16">
        <f>[29]Resumen!$D$32</f>
        <v>0</v>
      </c>
      <c r="E23" s="14">
        <f>[29]Resumen!$E$32</f>
        <v>0</v>
      </c>
      <c r="F23" s="15">
        <f>[29]Resumen!$F$32</f>
        <v>0</v>
      </c>
      <c r="G23" s="17">
        <f>[29]Resumen!$G$32</f>
        <v>0</v>
      </c>
      <c r="H23" s="18">
        <f>[29]Resumen!$H$32</f>
        <v>0</v>
      </c>
      <c r="I23" s="15">
        <f>[29]Resumen!$I$32</f>
        <v>0</v>
      </c>
      <c r="J23" s="16">
        <f>[29]Resumen!$J$32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[30]Resumen!$B$32</f>
        <v>0</v>
      </c>
      <c r="C24" s="15">
        <f>[30]Resumen!$C$32</f>
        <v>0</v>
      </c>
      <c r="D24" s="16">
        <f>[30]Resumen!$D$32</f>
        <v>0</v>
      </c>
      <c r="E24" s="14">
        <f>[30]Resumen!$E$32</f>
        <v>0</v>
      </c>
      <c r="F24" s="15">
        <f>[30]Resumen!$F$32</f>
        <v>0</v>
      </c>
      <c r="G24" s="17">
        <f>[30]Resumen!$G$32</f>
        <v>0</v>
      </c>
      <c r="H24" s="18">
        <f>[30]Resumen!$H$32</f>
        <v>0</v>
      </c>
      <c r="I24" s="15">
        <f>[30]Resumen!$I$32</f>
        <v>0</v>
      </c>
      <c r="J24" s="16">
        <f>[30]Resumen!$J$32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[31]Resumen!$B$32</f>
        <v>0</v>
      </c>
      <c r="C25" s="15">
        <f>[31]Resumen!$C$32</f>
        <v>0</v>
      </c>
      <c r="D25" s="16">
        <f>[31]Resumen!$D$32</f>
        <v>0</v>
      </c>
      <c r="E25" s="14">
        <f>[31]Resumen!$E$32</f>
        <v>0</v>
      </c>
      <c r="F25" s="15">
        <f>[31]Resumen!$F$32</f>
        <v>0</v>
      </c>
      <c r="G25" s="17">
        <f>[31]Resumen!$G$32</f>
        <v>0</v>
      </c>
      <c r="H25" s="18">
        <f>[31]Resumen!$H$32</f>
        <v>0</v>
      </c>
      <c r="I25" s="15">
        <f>[31]Resumen!$I$32</f>
        <v>0</v>
      </c>
      <c r="J25" s="16">
        <f>[31]Resumen!$J$32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[1]Resumen!$B$32</f>
        <v>0</v>
      </c>
      <c r="C26" s="15">
        <f>[1]Resumen!$C$32</f>
        <v>0</v>
      </c>
      <c r="D26" s="16">
        <f>[1]Resumen!$D$32</f>
        <v>0</v>
      </c>
      <c r="E26" s="14">
        <f>[1]Resumen!$E$32</f>
        <v>0</v>
      </c>
      <c r="F26" s="15">
        <f>[1]Resumen!$F$32</f>
        <v>0</v>
      </c>
      <c r="G26" s="17">
        <f>[1]Resumen!$G$32</f>
        <v>0</v>
      </c>
      <c r="H26" s="18">
        <f>[1]Resumen!$H$32</f>
        <v>0</v>
      </c>
      <c r="I26" s="15">
        <f>[1]Resumen!$I$32</f>
        <v>0</v>
      </c>
      <c r="J26" s="16">
        <f>[1]Resumen!$J$32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[2]Resumen!$B$32</f>
        <v>0</v>
      </c>
      <c r="C27" s="15">
        <f>[2]Resumen!$C$32</f>
        <v>0</v>
      </c>
      <c r="D27" s="16">
        <f>[2]Resumen!$D$32</f>
        <v>0</v>
      </c>
      <c r="E27" s="14">
        <f>[2]Resumen!$E$32</f>
        <v>0</v>
      </c>
      <c r="F27" s="15">
        <f>[2]Resumen!$F$32</f>
        <v>0</v>
      </c>
      <c r="G27" s="17">
        <f>[2]Resumen!$G$32</f>
        <v>0</v>
      </c>
      <c r="H27" s="18">
        <f>[2]Resumen!$H$32</f>
        <v>0</v>
      </c>
      <c r="I27" s="15">
        <f>[2]Resumen!$I$32</f>
        <v>0</v>
      </c>
      <c r="J27" s="16">
        <f>[2]Resumen!$J$32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[3]Resumen!$B$32</f>
        <v>0</v>
      </c>
      <c r="C28" s="15">
        <f>[3]Resumen!$C$32</f>
        <v>0</v>
      </c>
      <c r="D28" s="16">
        <f>[3]Resumen!$D$32</f>
        <v>0</v>
      </c>
      <c r="E28" s="14">
        <f>[3]Resumen!$E$32</f>
        <v>0</v>
      </c>
      <c r="F28" s="15">
        <f>[3]Resumen!$F$32</f>
        <v>0</v>
      </c>
      <c r="G28" s="17">
        <f>[3]Resumen!$G$32</f>
        <v>0</v>
      </c>
      <c r="H28" s="18">
        <f>[3]Resumen!$H$32</f>
        <v>0</v>
      </c>
      <c r="I28" s="15">
        <f>[3]Resumen!$I$32</f>
        <v>0</v>
      </c>
      <c r="J28" s="16">
        <f>[3]Resumen!$J$32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[4]Resumen!$B$32</f>
        <v>0</v>
      </c>
      <c r="C29" s="15">
        <f>[4]Resumen!$C$32</f>
        <v>0</v>
      </c>
      <c r="D29" s="16">
        <f>[4]Resumen!$D$32</f>
        <v>0</v>
      </c>
      <c r="E29" s="14">
        <f>[4]Resumen!$E$32</f>
        <v>0</v>
      </c>
      <c r="F29" s="15">
        <f>[4]Resumen!$F$32</f>
        <v>0</v>
      </c>
      <c r="G29" s="17">
        <f>[4]Resumen!$G$32</f>
        <v>0</v>
      </c>
      <c r="H29" s="18">
        <f>[4]Resumen!$H$32</f>
        <v>0</v>
      </c>
      <c r="I29" s="15">
        <f>[4]Resumen!$I$32</f>
        <v>0</v>
      </c>
      <c r="J29" s="16">
        <f>[4]Resumen!$J$32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[5]Resumen!$B$32</f>
        <v>0</v>
      </c>
      <c r="C30" s="15">
        <f>[5]Resumen!$C$32</f>
        <v>0</v>
      </c>
      <c r="D30" s="16">
        <f>[5]Resumen!$D$32</f>
        <v>0</v>
      </c>
      <c r="E30" s="14">
        <f>[5]Resumen!$E$32</f>
        <v>0</v>
      </c>
      <c r="F30" s="15">
        <f>[5]Resumen!$F$32</f>
        <v>0</v>
      </c>
      <c r="G30" s="17">
        <f>[5]Resumen!$G$32</f>
        <v>0</v>
      </c>
      <c r="H30" s="18">
        <f>[5]Resumen!$H$32</f>
        <v>0</v>
      </c>
      <c r="I30" s="15">
        <f>[5]Resumen!$I$32</f>
        <v>0</v>
      </c>
      <c r="J30" s="16">
        <f>[5]Resumen!$J$32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[6]Resumen!$B$32</f>
        <v>0</v>
      </c>
      <c r="C31" s="15">
        <f>[6]Resumen!$C$32</f>
        <v>0</v>
      </c>
      <c r="D31" s="16">
        <f>[6]Resumen!$D$32</f>
        <v>0</v>
      </c>
      <c r="E31" s="14">
        <f>[6]Resumen!$E$32</f>
        <v>0</v>
      </c>
      <c r="F31" s="15">
        <f>[6]Resumen!$F$32</f>
        <v>0</v>
      </c>
      <c r="G31" s="17">
        <f>[6]Resumen!$G$32</f>
        <v>0</v>
      </c>
      <c r="H31" s="18">
        <f>[6]Resumen!$H$32</f>
        <v>0</v>
      </c>
      <c r="I31" s="15">
        <f>[6]Resumen!$I$32</f>
        <v>0</v>
      </c>
      <c r="J31" s="16">
        <f>[6]Resumen!$J$32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[7]Resumen!$B$32</f>
        <v>0</v>
      </c>
      <c r="C32" s="15">
        <f>[7]Resumen!$C$32</f>
        <v>0</v>
      </c>
      <c r="D32" s="16">
        <f>[7]Resumen!$D$32</f>
        <v>0</v>
      </c>
      <c r="E32" s="14">
        <f>[7]Resumen!$E$32</f>
        <v>0</v>
      </c>
      <c r="F32" s="15">
        <f>[7]Resumen!$F$32</f>
        <v>0</v>
      </c>
      <c r="G32" s="17">
        <f>[7]Resumen!$G$32</f>
        <v>0</v>
      </c>
      <c r="H32" s="18">
        <f>[7]Resumen!$H$32</f>
        <v>0</v>
      </c>
      <c r="I32" s="15">
        <f>[7]Resumen!$I$32</f>
        <v>0</v>
      </c>
      <c r="J32" s="16">
        <f>[7]Resumen!$J$32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[8]Resumen!$B$32</f>
        <v>0</v>
      </c>
      <c r="C33" s="15">
        <f>[8]Resumen!$C$32</f>
        <v>0</v>
      </c>
      <c r="D33" s="16">
        <f>[8]Resumen!$D$32</f>
        <v>0</v>
      </c>
      <c r="E33" s="14">
        <f>[8]Resumen!$E$32</f>
        <v>0</v>
      </c>
      <c r="F33" s="15">
        <f>[8]Resumen!$F$32</f>
        <v>0</v>
      </c>
      <c r="G33" s="17">
        <f>[8]Resumen!$G$32</f>
        <v>0</v>
      </c>
      <c r="H33" s="18">
        <f>[8]Resumen!$H$32</f>
        <v>0</v>
      </c>
      <c r="I33" s="15">
        <f>[8]Resumen!$I$32</f>
        <v>0</v>
      </c>
      <c r="J33" s="16">
        <f>[8]Resumen!$J$32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[9]Resumen!$B$32</f>
        <v>0</v>
      </c>
      <c r="C34" s="15">
        <f>[9]Resumen!$C$32</f>
        <v>0</v>
      </c>
      <c r="D34" s="16">
        <f>[9]Resumen!$D$32</f>
        <v>0</v>
      </c>
      <c r="E34" s="14">
        <f>[9]Resumen!$E$32</f>
        <v>0</v>
      </c>
      <c r="F34" s="15">
        <f>[9]Resumen!$F$32</f>
        <v>0</v>
      </c>
      <c r="G34" s="17">
        <f>[9]Resumen!$G$32</f>
        <v>0</v>
      </c>
      <c r="H34" s="18">
        <f>[9]Resumen!$H$32</f>
        <v>0</v>
      </c>
      <c r="I34" s="15">
        <f>[9]Resumen!$I$32</f>
        <v>0</v>
      </c>
      <c r="J34" s="16">
        <f>[9]Resumen!$J$32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+[10]Resumen!$B$32</f>
        <v>0</v>
      </c>
      <c r="C35" s="22">
        <f>+[10]Resumen!$C$32</f>
        <v>0</v>
      </c>
      <c r="D35" s="23">
        <f>+[10]Resumen!$D$32</f>
        <v>0</v>
      </c>
      <c r="E35" s="21">
        <f>+[10]Resumen!$E$32</f>
        <v>0</v>
      </c>
      <c r="F35" s="22">
        <f>+[10]Resumen!$F$32</f>
        <v>0</v>
      </c>
      <c r="G35" s="24">
        <f>+[10]Resumen!$G$32</f>
        <v>0</v>
      </c>
      <c r="H35" s="25">
        <f>+[10]Resumen!$H$32</f>
        <v>0</v>
      </c>
      <c r="I35" s="22">
        <f>+[10]Resumen!$I$32</f>
        <v>0</v>
      </c>
      <c r="J35" s="23">
        <f>+[10]Resumen!$J$32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[11]Resumen!$B$33</f>
        <v>0</v>
      </c>
      <c r="C5" s="58">
        <f>[11]Resumen!$C$33</f>
        <v>0</v>
      </c>
      <c r="D5" s="54">
        <f>[11]Resumen!$D$33</f>
        <v>0</v>
      </c>
      <c r="E5" s="53">
        <f>[11]Resumen!$E$33</f>
        <v>0</v>
      </c>
      <c r="F5" s="58">
        <f>[11]Resumen!$F$33</f>
        <v>0</v>
      </c>
      <c r="G5" s="55">
        <f>[11]Resumen!$G$33</f>
        <v>0</v>
      </c>
      <c r="H5" s="61">
        <f>[11]Resumen!$H$33</f>
        <v>0</v>
      </c>
      <c r="I5" s="58">
        <f>[11]Resumen!$I$33</f>
        <v>0</v>
      </c>
      <c r="J5" s="54">
        <f>[11]Resumen!$J$33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[12]Resumen!$B$33</f>
        <v>0</v>
      </c>
      <c r="C6" s="15">
        <f>[12]Resumen!$C$33</f>
        <v>0</v>
      </c>
      <c r="D6" s="16">
        <f>[12]Resumen!$D$33</f>
        <v>0</v>
      </c>
      <c r="E6" s="14">
        <f>[12]Resumen!$E$33</f>
        <v>0</v>
      </c>
      <c r="F6" s="15">
        <f>[12]Resumen!$F$33</f>
        <v>0</v>
      </c>
      <c r="G6" s="17">
        <f>[12]Resumen!$G$33</f>
        <v>0</v>
      </c>
      <c r="H6" s="18">
        <f>[12]Resumen!$H$33</f>
        <v>0</v>
      </c>
      <c r="I6" s="15">
        <f>[12]Resumen!$I$33</f>
        <v>0</v>
      </c>
      <c r="J6" s="16">
        <f>[12]Resumen!$J$33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[13]Resumen!$B$33</f>
        <v>0</v>
      </c>
      <c r="C7" s="15">
        <f>[13]Resumen!$C$33</f>
        <v>0</v>
      </c>
      <c r="D7" s="16">
        <f>[13]Resumen!$D$33</f>
        <v>0</v>
      </c>
      <c r="E7" s="14">
        <f>[13]Resumen!$E$33</f>
        <v>0</v>
      </c>
      <c r="F7" s="15">
        <f>[13]Resumen!$F$33</f>
        <v>0</v>
      </c>
      <c r="G7" s="17">
        <f>[13]Resumen!$G$33</f>
        <v>0</v>
      </c>
      <c r="H7" s="18">
        <f>[13]Resumen!$H$33</f>
        <v>0</v>
      </c>
      <c r="I7" s="15">
        <f>[13]Resumen!$I$33</f>
        <v>0</v>
      </c>
      <c r="J7" s="16">
        <f>[13]Resumen!$J$33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[14]Resumen!$B$33</f>
        <v>0</v>
      </c>
      <c r="C8" s="15">
        <f>[14]Resumen!$C$33</f>
        <v>0</v>
      </c>
      <c r="D8" s="16">
        <f>[14]Resumen!$D$33</f>
        <v>0</v>
      </c>
      <c r="E8" s="14">
        <f>[14]Resumen!$E$33</f>
        <v>0</v>
      </c>
      <c r="F8" s="15">
        <f>[14]Resumen!$F$33</f>
        <v>0</v>
      </c>
      <c r="G8" s="17">
        <f>[14]Resumen!$G$33</f>
        <v>0</v>
      </c>
      <c r="H8" s="18">
        <f>[14]Resumen!$H$33</f>
        <v>0</v>
      </c>
      <c r="I8" s="15">
        <f>[14]Resumen!$I$33</f>
        <v>0</v>
      </c>
      <c r="J8" s="16">
        <f>[14]Resumen!$J$33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[15]Resumen!$B$33</f>
        <v>0</v>
      </c>
      <c r="C9" s="15">
        <f>[15]Resumen!$C$33</f>
        <v>0</v>
      </c>
      <c r="D9" s="16">
        <f>[15]Resumen!$D$33</f>
        <v>0</v>
      </c>
      <c r="E9" s="14">
        <f>[15]Resumen!$E$33</f>
        <v>0</v>
      </c>
      <c r="F9" s="15">
        <f>[15]Resumen!$F$33</f>
        <v>0</v>
      </c>
      <c r="G9" s="17">
        <f>[15]Resumen!$G$33</f>
        <v>0</v>
      </c>
      <c r="H9" s="18">
        <f>[15]Resumen!$H$33</f>
        <v>0</v>
      </c>
      <c r="I9" s="15">
        <f>[15]Resumen!$I$33</f>
        <v>0</v>
      </c>
      <c r="J9" s="16">
        <f>[15]Resumen!$J$33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[16]Resumen!$B$33</f>
        <v>0</v>
      </c>
      <c r="C10" s="15">
        <f>[16]Resumen!$C$33</f>
        <v>0</v>
      </c>
      <c r="D10" s="16">
        <f>[16]Resumen!$D$33</f>
        <v>0</v>
      </c>
      <c r="E10" s="14">
        <f>[16]Resumen!$E$33</f>
        <v>0</v>
      </c>
      <c r="F10" s="15">
        <f>[16]Resumen!$F$33</f>
        <v>0</v>
      </c>
      <c r="G10" s="17">
        <f>[16]Resumen!$G$33</f>
        <v>0</v>
      </c>
      <c r="H10" s="18">
        <f>[16]Resumen!$H$33</f>
        <v>0</v>
      </c>
      <c r="I10" s="15">
        <f>[16]Resumen!$I$33</f>
        <v>0</v>
      </c>
      <c r="J10" s="16">
        <f>[16]Resumen!$J$33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[17]Resumen!$B$33</f>
        <v>0</v>
      </c>
      <c r="C11" s="15">
        <f>[17]Resumen!$C$33</f>
        <v>0</v>
      </c>
      <c r="D11" s="16">
        <f>[17]Resumen!$D$33</f>
        <v>0</v>
      </c>
      <c r="E11" s="14">
        <f>[17]Resumen!$E$33</f>
        <v>0</v>
      </c>
      <c r="F11" s="15">
        <f>[17]Resumen!$F$33</f>
        <v>0</v>
      </c>
      <c r="G11" s="17">
        <f>[17]Resumen!$G$33</f>
        <v>0</v>
      </c>
      <c r="H11" s="18">
        <f>[17]Resumen!$H$33</f>
        <v>0</v>
      </c>
      <c r="I11" s="15">
        <f>[17]Resumen!$I$33</f>
        <v>0</v>
      </c>
      <c r="J11" s="16">
        <f>[17]Resumen!$J$33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[18]Resumen!$B$33</f>
        <v>0</v>
      </c>
      <c r="C12" s="15">
        <f>[18]Resumen!$C$33</f>
        <v>0</v>
      </c>
      <c r="D12" s="16">
        <f>[18]Resumen!$D$33</f>
        <v>0</v>
      </c>
      <c r="E12" s="14">
        <f>[18]Resumen!$E$33</f>
        <v>0</v>
      </c>
      <c r="F12" s="15">
        <f>[18]Resumen!$F$33</f>
        <v>0</v>
      </c>
      <c r="G12" s="17">
        <f>[18]Resumen!$G$33</f>
        <v>0</v>
      </c>
      <c r="H12" s="18">
        <f>[18]Resumen!$H$33</f>
        <v>0</v>
      </c>
      <c r="I12" s="15">
        <f>[18]Resumen!$I$33</f>
        <v>0</v>
      </c>
      <c r="J12" s="16">
        <f>[18]Resumen!$J$33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[19]Resumen!$B$33</f>
        <v>0</v>
      </c>
      <c r="C13" s="15">
        <f>[19]Resumen!$C$33</f>
        <v>0</v>
      </c>
      <c r="D13" s="16">
        <f>[19]Resumen!$D$33</f>
        <v>0</v>
      </c>
      <c r="E13" s="14">
        <f>[19]Resumen!$E$33</f>
        <v>0</v>
      </c>
      <c r="F13" s="15">
        <f>[19]Resumen!$F$33</f>
        <v>0</v>
      </c>
      <c r="G13" s="17">
        <f>[19]Resumen!$G$33</f>
        <v>0</v>
      </c>
      <c r="H13" s="18">
        <f>[19]Resumen!$H$33</f>
        <v>0</v>
      </c>
      <c r="I13" s="15">
        <f>[19]Resumen!$I$33</f>
        <v>0</v>
      </c>
      <c r="J13" s="16">
        <f>[19]Resumen!$J$33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[20]Resumen!$B$33</f>
        <v>0</v>
      </c>
      <c r="C14" s="15">
        <f>[20]Resumen!$C$33</f>
        <v>0</v>
      </c>
      <c r="D14" s="16">
        <f>[20]Resumen!$D$33</f>
        <v>0</v>
      </c>
      <c r="E14" s="14">
        <f>[20]Resumen!$E$33</f>
        <v>0</v>
      </c>
      <c r="F14" s="15">
        <f>[20]Resumen!$F$33</f>
        <v>0</v>
      </c>
      <c r="G14" s="17">
        <f>[20]Resumen!$G$33</f>
        <v>0</v>
      </c>
      <c r="H14" s="18">
        <f>[20]Resumen!$H$33</f>
        <v>0</v>
      </c>
      <c r="I14" s="15">
        <f>[20]Resumen!$I$33</f>
        <v>0</v>
      </c>
      <c r="J14" s="16">
        <f>[20]Resumen!$J$33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[21]Resumen!$B$33</f>
        <v>0</v>
      </c>
      <c r="C15" s="15">
        <f>[21]Resumen!$C$33</f>
        <v>0</v>
      </c>
      <c r="D15" s="16">
        <f>[21]Resumen!$D$33</f>
        <v>0</v>
      </c>
      <c r="E15" s="14">
        <f>[21]Resumen!$E$33</f>
        <v>0</v>
      </c>
      <c r="F15" s="15">
        <f>[21]Resumen!$F$33</f>
        <v>0</v>
      </c>
      <c r="G15" s="17">
        <f>[21]Resumen!$G$33</f>
        <v>0</v>
      </c>
      <c r="H15" s="18">
        <f>[21]Resumen!$H$33</f>
        <v>0</v>
      </c>
      <c r="I15" s="15">
        <f>[21]Resumen!$I$33</f>
        <v>0</v>
      </c>
      <c r="J15" s="16">
        <f>[21]Resumen!$J$33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[22]Resumen!$B$33</f>
        <v>0</v>
      </c>
      <c r="C16" s="15">
        <f>[22]Resumen!$C$33</f>
        <v>0</v>
      </c>
      <c r="D16" s="16">
        <f>[22]Resumen!$D$33</f>
        <v>0</v>
      </c>
      <c r="E16" s="14">
        <f>[22]Resumen!$E$33</f>
        <v>0</v>
      </c>
      <c r="F16" s="15">
        <f>[22]Resumen!$F$33</f>
        <v>0</v>
      </c>
      <c r="G16" s="17">
        <f>[22]Resumen!$G$33</f>
        <v>0</v>
      </c>
      <c r="H16" s="18">
        <f>[22]Resumen!$H$33</f>
        <v>0</v>
      </c>
      <c r="I16" s="15">
        <f>[22]Resumen!$I$33</f>
        <v>0</v>
      </c>
      <c r="J16" s="16">
        <f>[22]Resumen!$J$33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[23]Resumen!$B$33</f>
        <v>0</v>
      </c>
      <c r="C17" s="15">
        <f>[23]Resumen!$C$33</f>
        <v>0</v>
      </c>
      <c r="D17" s="16">
        <f>[23]Resumen!$D$33</f>
        <v>0</v>
      </c>
      <c r="E17" s="14">
        <f>[23]Resumen!$E$33</f>
        <v>0</v>
      </c>
      <c r="F17" s="15">
        <f>[23]Resumen!$F$33</f>
        <v>0</v>
      </c>
      <c r="G17" s="17">
        <f>[23]Resumen!$G$33</f>
        <v>0</v>
      </c>
      <c r="H17" s="18">
        <f>[23]Resumen!$H$33</f>
        <v>0</v>
      </c>
      <c r="I17" s="15">
        <f>[23]Resumen!$I$33</f>
        <v>0</v>
      </c>
      <c r="J17" s="16">
        <f>[23]Resumen!$J$33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[24]Resumen!$B$33</f>
        <v>0</v>
      </c>
      <c r="C18" s="15">
        <f>[24]Resumen!$C$33</f>
        <v>0</v>
      </c>
      <c r="D18" s="16">
        <f>[24]Resumen!$D$33</f>
        <v>0</v>
      </c>
      <c r="E18" s="14">
        <f>[24]Resumen!$E$33</f>
        <v>0</v>
      </c>
      <c r="F18" s="15">
        <f>[24]Resumen!$F$33</f>
        <v>0</v>
      </c>
      <c r="G18" s="17">
        <f>[24]Resumen!$G$33</f>
        <v>0</v>
      </c>
      <c r="H18" s="18">
        <f>[24]Resumen!$H$33</f>
        <v>0</v>
      </c>
      <c r="I18" s="15">
        <f>[24]Resumen!$I$33</f>
        <v>0</v>
      </c>
      <c r="J18" s="16">
        <f>[24]Resumen!$J$33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[25]Resumen!$B$33</f>
        <v>0</v>
      </c>
      <c r="C19" s="15">
        <f>[25]Resumen!$C$33</f>
        <v>0</v>
      </c>
      <c r="D19" s="16">
        <f>[25]Resumen!$D$33</f>
        <v>0</v>
      </c>
      <c r="E19" s="14">
        <f>[25]Resumen!$E$33</f>
        <v>0</v>
      </c>
      <c r="F19" s="15">
        <f>[25]Resumen!$F$33</f>
        <v>0</v>
      </c>
      <c r="G19" s="17">
        <f>[25]Resumen!$G$33</f>
        <v>0</v>
      </c>
      <c r="H19" s="18">
        <f>[25]Resumen!$H$33</f>
        <v>0</v>
      </c>
      <c r="I19" s="15">
        <f>[25]Resumen!$I$33</f>
        <v>0</v>
      </c>
      <c r="J19" s="16">
        <f>[25]Resumen!$J$33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[26]Resumen!$B$33</f>
        <v>0</v>
      </c>
      <c r="C20" s="15">
        <f>[26]Resumen!$C$33</f>
        <v>0</v>
      </c>
      <c r="D20" s="16">
        <f>[26]Resumen!$D$33</f>
        <v>0</v>
      </c>
      <c r="E20" s="14">
        <f>[26]Resumen!$E$33</f>
        <v>0</v>
      </c>
      <c r="F20" s="15">
        <f>[26]Resumen!$F$33</f>
        <v>0</v>
      </c>
      <c r="G20" s="17">
        <f>[26]Resumen!$G$33</f>
        <v>0</v>
      </c>
      <c r="H20" s="18">
        <f>[26]Resumen!$H$33</f>
        <v>0</v>
      </c>
      <c r="I20" s="15">
        <f>[26]Resumen!$I$33</f>
        <v>0</v>
      </c>
      <c r="J20" s="16">
        <f>[26]Resumen!$J$33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[27]Resumen!$B$33</f>
        <v>0</v>
      </c>
      <c r="C21" s="15">
        <f>[27]Resumen!$C$33</f>
        <v>0</v>
      </c>
      <c r="D21" s="16">
        <f>[27]Resumen!$D$33</f>
        <v>0</v>
      </c>
      <c r="E21" s="14">
        <f>[27]Resumen!$E$33</f>
        <v>0</v>
      </c>
      <c r="F21" s="15">
        <f>[27]Resumen!$F$33</f>
        <v>0</v>
      </c>
      <c r="G21" s="17">
        <f>[27]Resumen!$G$33</f>
        <v>0</v>
      </c>
      <c r="H21" s="18">
        <f>[27]Resumen!$H$33</f>
        <v>0</v>
      </c>
      <c r="I21" s="15">
        <f>[27]Resumen!$I$33</f>
        <v>0</v>
      </c>
      <c r="J21" s="16">
        <f>[27]Resumen!$J$33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[28]Resumen!$B$33</f>
        <v>0</v>
      </c>
      <c r="C22" s="15">
        <f>[28]Resumen!$C$33</f>
        <v>0</v>
      </c>
      <c r="D22" s="16">
        <f>[28]Resumen!$D$33</f>
        <v>0</v>
      </c>
      <c r="E22" s="14">
        <f>[28]Resumen!$E$33</f>
        <v>0</v>
      </c>
      <c r="F22" s="15">
        <f>[28]Resumen!$F$33</f>
        <v>0</v>
      </c>
      <c r="G22" s="17">
        <f>[28]Resumen!$G$33</f>
        <v>0</v>
      </c>
      <c r="H22" s="18">
        <f>[28]Resumen!$H$33</f>
        <v>0</v>
      </c>
      <c r="I22" s="15">
        <f>[28]Resumen!$I$33</f>
        <v>0</v>
      </c>
      <c r="J22" s="16">
        <f>[28]Resumen!$J$33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[29]Resumen!$B$33</f>
        <v>0</v>
      </c>
      <c r="C23" s="15">
        <f>[29]Resumen!$C$33</f>
        <v>0</v>
      </c>
      <c r="D23" s="16">
        <f>[29]Resumen!$D$33</f>
        <v>0</v>
      </c>
      <c r="E23" s="14">
        <f>[29]Resumen!$E$33</f>
        <v>0</v>
      </c>
      <c r="F23" s="15">
        <f>[29]Resumen!$F$33</f>
        <v>0</v>
      </c>
      <c r="G23" s="17">
        <f>[29]Resumen!$G$33</f>
        <v>0</v>
      </c>
      <c r="H23" s="18">
        <f>[29]Resumen!$H$33</f>
        <v>0</v>
      </c>
      <c r="I23" s="15">
        <f>[29]Resumen!$I$33</f>
        <v>0</v>
      </c>
      <c r="J23" s="16">
        <f>[29]Resumen!$J$33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[30]Resumen!$B$33</f>
        <v>0</v>
      </c>
      <c r="C24" s="15">
        <f>[30]Resumen!$C$33</f>
        <v>0</v>
      </c>
      <c r="D24" s="16">
        <f>[30]Resumen!$D$33</f>
        <v>0</v>
      </c>
      <c r="E24" s="14">
        <f>[30]Resumen!$E$33</f>
        <v>0</v>
      </c>
      <c r="F24" s="15">
        <f>[30]Resumen!$F$33</f>
        <v>0</v>
      </c>
      <c r="G24" s="17">
        <f>[30]Resumen!$G$33</f>
        <v>0</v>
      </c>
      <c r="H24" s="18">
        <f>[30]Resumen!$H$33</f>
        <v>0</v>
      </c>
      <c r="I24" s="15">
        <f>[30]Resumen!$I$33</f>
        <v>0</v>
      </c>
      <c r="J24" s="16">
        <f>[30]Resumen!$J$33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[31]Resumen!$B$33</f>
        <v>0</v>
      </c>
      <c r="C25" s="15">
        <f>[31]Resumen!$C$33</f>
        <v>0</v>
      </c>
      <c r="D25" s="16">
        <f>[31]Resumen!$D$33</f>
        <v>0</v>
      </c>
      <c r="E25" s="14">
        <f>[31]Resumen!$E$33</f>
        <v>0</v>
      </c>
      <c r="F25" s="15">
        <f>[31]Resumen!$F$33</f>
        <v>0</v>
      </c>
      <c r="G25" s="17">
        <f>[31]Resumen!$G$33</f>
        <v>0</v>
      </c>
      <c r="H25" s="18">
        <f>[31]Resumen!$H$33</f>
        <v>0</v>
      </c>
      <c r="I25" s="15">
        <f>[31]Resumen!$I$33</f>
        <v>0</v>
      </c>
      <c r="J25" s="16">
        <f>[31]Resumen!$J$33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[1]Resumen!$B$33</f>
        <v>0</v>
      </c>
      <c r="C26" s="15">
        <f>[1]Resumen!$C$33</f>
        <v>0</v>
      </c>
      <c r="D26" s="16">
        <f>[1]Resumen!$D$33</f>
        <v>0</v>
      </c>
      <c r="E26" s="14">
        <f>[1]Resumen!$E$33</f>
        <v>0</v>
      </c>
      <c r="F26" s="15">
        <f>[1]Resumen!$F$33</f>
        <v>0</v>
      </c>
      <c r="G26" s="17">
        <f>[1]Resumen!$G$33</f>
        <v>0</v>
      </c>
      <c r="H26" s="18">
        <f>[1]Resumen!$H$33</f>
        <v>0</v>
      </c>
      <c r="I26" s="15">
        <f>[1]Resumen!$I$33</f>
        <v>0</v>
      </c>
      <c r="J26" s="16">
        <f>[1]Resumen!$J$33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[2]Resumen!$B$33</f>
        <v>0</v>
      </c>
      <c r="C27" s="15">
        <f>[2]Resumen!$C$33</f>
        <v>0</v>
      </c>
      <c r="D27" s="16">
        <f>[2]Resumen!$D$33</f>
        <v>0</v>
      </c>
      <c r="E27" s="14">
        <f>[2]Resumen!$E$33</f>
        <v>0</v>
      </c>
      <c r="F27" s="15">
        <f>[2]Resumen!$F$33</f>
        <v>0</v>
      </c>
      <c r="G27" s="17">
        <f>[2]Resumen!$G$33</f>
        <v>0</v>
      </c>
      <c r="H27" s="18">
        <f>[2]Resumen!$H$33</f>
        <v>0</v>
      </c>
      <c r="I27" s="15">
        <f>[2]Resumen!$I$33</f>
        <v>0</v>
      </c>
      <c r="J27" s="16">
        <f>[2]Resumen!$J$33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[3]Resumen!$B$33</f>
        <v>0</v>
      </c>
      <c r="C28" s="15">
        <f>[3]Resumen!$C$33</f>
        <v>0</v>
      </c>
      <c r="D28" s="16">
        <f>[3]Resumen!$D$33</f>
        <v>0</v>
      </c>
      <c r="E28" s="14">
        <f>[3]Resumen!$E$33</f>
        <v>0</v>
      </c>
      <c r="F28" s="15">
        <f>[3]Resumen!$F$33</f>
        <v>0</v>
      </c>
      <c r="G28" s="17">
        <f>[3]Resumen!$G$33</f>
        <v>0</v>
      </c>
      <c r="H28" s="18">
        <f>[3]Resumen!$H$33</f>
        <v>0</v>
      </c>
      <c r="I28" s="15">
        <f>[3]Resumen!$I$33</f>
        <v>0</v>
      </c>
      <c r="J28" s="16">
        <f>[3]Resumen!$J$33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[4]Resumen!$B$33</f>
        <v>0</v>
      </c>
      <c r="C29" s="15">
        <f>[4]Resumen!$C$33</f>
        <v>0</v>
      </c>
      <c r="D29" s="16">
        <f>[4]Resumen!$D$33</f>
        <v>0</v>
      </c>
      <c r="E29" s="14">
        <f>[4]Resumen!$E$33</f>
        <v>0</v>
      </c>
      <c r="F29" s="15">
        <f>[4]Resumen!$F$33</f>
        <v>0</v>
      </c>
      <c r="G29" s="17">
        <f>[4]Resumen!$G$33</f>
        <v>0</v>
      </c>
      <c r="H29" s="18">
        <f>[4]Resumen!$H$33</f>
        <v>0</v>
      </c>
      <c r="I29" s="15">
        <f>[4]Resumen!$I$33</f>
        <v>0</v>
      </c>
      <c r="J29" s="16">
        <f>[4]Resumen!$J$33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[5]Resumen!$B$33</f>
        <v>0</v>
      </c>
      <c r="C30" s="15">
        <f>[5]Resumen!$C$33</f>
        <v>0</v>
      </c>
      <c r="D30" s="16">
        <f>[5]Resumen!$D$33</f>
        <v>0</v>
      </c>
      <c r="E30" s="14">
        <f>[5]Resumen!$E$33</f>
        <v>0</v>
      </c>
      <c r="F30" s="15">
        <f>[5]Resumen!$F$33</f>
        <v>0</v>
      </c>
      <c r="G30" s="17">
        <f>[5]Resumen!$G$33</f>
        <v>0</v>
      </c>
      <c r="H30" s="18">
        <f>[5]Resumen!$H$33</f>
        <v>0</v>
      </c>
      <c r="I30" s="15">
        <f>[5]Resumen!$I$33</f>
        <v>0</v>
      </c>
      <c r="J30" s="16">
        <f>[5]Resumen!$J$33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[6]Resumen!$B$33</f>
        <v>0</v>
      </c>
      <c r="C31" s="15">
        <f>[6]Resumen!$C$33</f>
        <v>0</v>
      </c>
      <c r="D31" s="16">
        <f>[6]Resumen!$D$33</f>
        <v>0</v>
      </c>
      <c r="E31" s="14">
        <f>[6]Resumen!$E$33</f>
        <v>0</v>
      </c>
      <c r="F31" s="15">
        <f>[6]Resumen!$F$33</f>
        <v>0</v>
      </c>
      <c r="G31" s="17">
        <f>[6]Resumen!$G$33</f>
        <v>0</v>
      </c>
      <c r="H31" s="18">
        <f>[6]Resumen!$H$33</f>
        <v>0</v>
      </c>
      <c r="I31" s="15">
        <f>[6]Resumen!$I$33</f>
        <v>0</v>
      </c>
      <c r="J31" s="16">
        <f>[6]Resumen!$J$33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[7]Resumen!$B$33</f>
        <v>0</v>
      </c>
      <c r="C32" s="15">
        <f>[7]Resumen!$C$33</f>
        <v>0</v>
      </c>
      <c r="D32" s="16">
        <f>[7]Resumen!$D$33</f>
        <v>0</v>
      </c>
      <c r="E32" s="14">
        <f>[7]Resumen!$E$33</f>
        <v>0</v>
      </c>
      <c r="F32" s="15">
        <f>[7]Resumen!$F$33</f>
        <v>0</v>
      </c>
      <c r="G32" s="17">
        <f>[7]Resumen!$G$33</f>
        <v>0</v>
      </c>
      <c r="H32" s="18">
        <f>[7]Resumen!$H$33</f>
        <v>0</v>
      </c>
      <c r="I32" s="15">
        <f>[7]Resumen!$I$33</f>
        <v>0</v>
      </c>
      <c r="J32" s="16">
        <f>[7]Resumen!$J$33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[8]Resumen!$B$33</f>
        <v>0</v>
      </c>
      <c r="C33" s="15">
        <f>[8]Resumen!$C$33</f>
        <v>0</v>
      </c>
      <c r="D33" s="16">
        <f>[8]Resumen!$D$33</f>
        <v>0</v>
      </c>
      <c r="E33" s="14">
        <f>[8]Resumen!$E$33</f>
        <v>0</v>
      </c>
      <c r="F33" s="15">
        <f>[8]Resumen!$F$33</f>
        <v>0</v>
      </c>
      <c r="G33" s="17">
        <f>[8]Resumen!$G$33</f>
        <v>0</v>
      </c>
      <c r="H33" s="18">
        <f>[8]Resumen!$H$33</f>
        <v>0</v>
      </c>
      <c r="I33" s="15">
        <f>[8]Resumen!$I$33</f>
        <v>0</v>
      </c>
      <c r="J33" s="16">
        <f>[8]Resumen!$J$33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[9]Resumen!$B$33</f>
        <v>0</v>
      </c>
      <c r="C34" s="15">
        <f>[9]Resumen!$C$33</f>
        <v>0</v>
      </c>
      <c r="D34" s="16">
        <f>[9]Resumen!$D$33</f>
        <v>0</v>
      </c>
      <c r="E34" s="14">
        <f>[9]Resumen!$E$33</f>
        <v>0</v>
      </c>
      <c r="F34" s="15">
        <f>[9]Resumen!$F$33</f>
        <v>0</v>
      </c>
      <c r="G34" s="17">
        <f>[9]Resumen!$G$33</f>
        <v>0</v>
      </c>
      <c r="H34" s="18">
        <f>[9]Resumen!$H$33</f>
        <v>0</v>
      </c>
      <c r="I34" s="15">
        <f>[9]Resumen!$I$33</f>
        <v>0</v>
      </c>
      <c r="J34" s="16">
        <f>[9]Resumen!$J$33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+[10]Resumen!$B$33</f>
        <v>0</v>
      </c>
      <c r="C35" s="22">
        <f>+[10]Resumen!$C$33</f>
        <v>0</v>
      </c>
      <c r="D35" s="23">
        <f>+[10]Resumen!$D$33</f>
        <v>0</v>
      </c>
      <c r="E35" s="21">
        <f>+[10]Resumen!$E$33</f>
        <v>0</v>
      </c>
      <c r="F35" s="22">
        <f>+[10]Resumen!$F$33</f>
        <v>0</v>
      </c>
      <c r="G35" s="24">
        <f>+[10]Resumen!$G$33</f>
        <v>0</v>
      </c>
      <c r="H35" s="25">
        <f>+[10]Resumen!$H$33</f>
        <v>0</v>
      </c>
      <c r="I35" s="22">
        <f>+[10]Resumen!$I$33</f>
        <v>0</v>
      </c>
      <c r="J35" s="23">
        <f>+[10]Resumen!$J$33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43" t="s">
        <v>0</v>
      </c>
      <c r="J1" s="143"/>
      <c r="K1" s="143"/>
      <c r="L1" s="143"/>
      <c r="M1" s="143"/>
      <c r="N1" s="143"/>
    </row>
    <row r="2" spans="1:17" ht="18.5" x14ac:dyDescent="0.45">
      <c r="A2" s="2" t="s">
        <v>1</v>
      </c>
      <c r="B2" s="142" t="s">
        <v>64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[11]Resumen!$B$34</f>
        <v>0</v>
      </c>
      <c r="C5" s="58">
        <f>[11]Resumen!$C$34</f>
        <v>0</v>
      </c>
      <c r="D5" s="54">
        <f>[11]Resumen!$D$34</f>
        <v>0</v>
      </c>
      <c r="E5" s="53">
        <f>[11]Resumen!$E$34</f>
        <v>0</v>
      </c>
      <c r="F5" s="58">
        <f>[11]Resumen!$F$34</f>
        <v>0</v>
      </c>
      <c r="G5" s="55">
        <f>[11]Resumen!$G$34</f>
        <v>0</v>
      </c>
      <c r="H5" s="61">
        <f>[11]Resumen!$H$34</f>
        <v>0</v>
      </c>
      <c r="I5" s="58">
        <f>[11]Resumen!$I$34</f>
        <v>0</v>
      </c>
      <c r="J5" s="54">
        <f>[11]Resumen!$J$34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[12]Resumen!$B$34</f>
        <v>0</v>
      </c>
      <c r="C6" s="15">
        <f>[12]Resumen!$C$34</f>
        <v>0</v>
      </c>
      <c r="D6" s="16">
        <f>[12]Resumen!$D$34</f>
        <v>0</v>
      </c>
      <c r="E6" s="14">
        <f>[12]Resumen!$E$34</f>
        <v>0</v>
      </c>
      <c r="F6" s="15">
        <f>[12]Resumen!$F$34</f>
        <v>0</v>
      </c>
      <c r="G6" s="17">
        <f>[12]Resumen!$G$34</f>
        <v>0</v>
      </c>
      <c r="H6" s="18">
        <f>[12]Resumen!$H$34</f>
        <v>0</v>
      </c>
      <c r="I6" s="15">
        <f>[12]Resumen!$I$34</f>
        <v>0</v>
      </c>
      <c r="J6" s="16">
        <f>[12]Resumen!$J$34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[13]Resumen!$B$34</f>
        <v>0</v>
      </c>
      <c r="C7" s="15">
        <f>[13]Resumen!$C$34</f>
        <v>0</v>
      </c>
      <c r="D7" s="16">
        <f>[13]Resumen!$D$34</f>
        <v>0</v>
      </c>
      <c r="E7" s="14">
        <f>[13]Resumen!$E$34</f>
        <v>0</v>
      </c>
      <c r="F7" s="15">
        <f>[13]Resumen!$F$34</f>
        <v>0</v>
      </c>
      <c r="G7" s="17">
        <f>[13]Resumen!$G$34</f>
        <v>0</v>
      </c>
      <c r="H7" s="18">
        <f>[13]Resumen!$H$34</f>
        <v>0</v>
      </c>
      <c r="I7" s="15">
        <f>[13]Resumen!$I$34</f>
        <v>0</v>
      </c>
      <c r="J7" s="16">
        <f>[13]Resumen!$J$34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[14]Resumen!$B$34</f>
        <v>0</v>
      </c>
      <c r="C8" s="15">
        <f>[14]Resumen!$C$34</f>
        <v>0</v>
      </c>
      <c r="D8" s="16">
        <f>[14]Resumen!$D$34</f>
        <v>0</v>
      </c>
      <c r="E8" s="14">
        <f>[14]Resumen!$E$34</f>
        <v>0</v>
      </c>
      <c r="F8" s="15">
        <f>[14]Resumen!$F$34</f>
        <v>0</v>
      </c>
      <c r="G8" s="17">
        <f>[14]Resumen!$G$34</f>
        <v>0</v>
      </c>
      <c r="H8" s="18">
        <f>[14]Resumen!$H$34</f>
        <v>0</v>
      </c>
      <c r="I8" s="15">
        <f>[14]Resumen!$I$34</f>
        <v>0</v>
      </c>
      <c r="J8" s="16">
        <f>[14]Resumen!$J$34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[15]Resumen!$B$34</f>
        <v>0</v>
      </c>
      <c r="C9" s="15">
        <f>[15]Resumen!$C$34</f>
        <v>0</v>
      </c>
      <c r="D9" s="16">
        <f>[15]Resumen!$D$34</f>
        <v>0</v>
      </c>
      <c r="E9" s="14">
        <f>[15]Resumen!$E$34</f>
        <v>0</v>
      </c>
      <c r="F9" s="15">
        <f>[15]Resumen!$F$34</f>
        <v>0</v>
      </c>
      <c r="G9" s="17">
        <f>[15]Resumen!$G$34</f>
        <v>0</v>
      </c>
      <c r="H9" s="18">
        <f>[15]Resumen!$H$34</f>
        <v>0</v>
      </c>
      <c r="I9" s="15">
        <f>[15]Resumen!$I$34</f>
        <v>0</v>
      </c>
      <c r="J9" s="16">
        <f>[15]Resumen!$J$34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[16]Resumen!$B$34</f>
        <v>0</v>
      </c>
      <c r="C10" s="15">
        <f>[16]Resumen!$C$34</f>
        <v>0</v>
      </c>
      <c r="D10" s="16">
        <f>[16]Resumen!$D$34</f>
        <v>0</v>
      </c>
      <c r="E10" s="14">
        <f>[16]Resumen!$E$34</f>
        <v>0</v>
      </c>
      <c r="F10" s="15">
        <f>[16]Resumen!$F$34</f>
        <v>0</v>
      </c>
      <c r="G10" s="17">
        <f>[16]Resumen!$G$34</f>
        <v>0</v>
      </c>
      <c r="H10" s="18">
        <f>[16]Resumen!$H$34</f>
        <v>0</v>
      </c>
      <c r="I10" s="15">
        <f>[16]Resumen!$I$34</f>
        <v>0</v>
      </c>
      <c r="J10" s="16">
        <f>[16]Resumen!$J$34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[17]Resumen!$B$34</f>
        <v>0</v>
      </c>
      <c r="C11" s="15">
        <f>[17]Resumen!$C$34</f>
        <v>0</v>
      </c>
      <c r="D11" s="16">
        <f>[17]Resumen!$D$34</f>
        <v>0</v>
      </c>
      <c r="E11" s="14">
        <f>[17]Resumen!$E$34</f>
        <v>0</v>
      </c>
      <c r="F11" s="15">
        <f>[17]Resumen!$F$34</f>
        <v>0</v>
      </c>
      <c r="G11" s="17">
        <f>[17]Resumen!$G$34</f>
        <v>0</v>
      </c>
      <c r="H11" s="18">
        <f>[17]Resumen!$H$34</f>
        <v>0</v>
      </c>
      <c r="I11" s="15">
        <f>[17]Resumen!$I$34</f>
        <v>0</v>
      </c>
      <c r="J11" s="16">
        <f>[17]Resumen!$J$34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[18]Resumen!$B$34</f>
        <v>0</v>
      </c>
      <c r="C12" s="15">
        <f>[18]Resumen!$C$34</f>
        <v>0</v>
      </c>
      <c r="D12" s="16">
        <f>[18]Resumen!$D$34</f>
        <v>0</v>
      </c>
      <c r="E12" s="14">
        <f>[18]Resumen!$E$34</f>
        <v>0</v>
      </c>
      <c r="F12" s="15">
        <f>[18]Resumen!$F$34</f>
        <v>0</v>
      </c>
      <c r="G12" s="17">
        <f>[18]Resumen!$G$34</f>
        <v>0</v>
      </c>
      <c r="H12" s="18">
        <f>[18]Resumen!$H$34</f>
        <v>0</v>
      </c>
      <c r="I12" s="15">
        <f>[18]Resumen!$I$34</f>
        <v>0</v>
      </c>
      <c r="J12" s="16">
        <f>[18]Resumen!$J$34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[19]Resumen!$B$34</f>
        <v>0</v>
      </c>
      <c r="C13" s="15">
        <f>[19]Resumen!$C$34</f>
        <v>0</v>
      </c>
      <c r="D13" s="16">
        <f>[19]Resumen!$D$34</f>
        <v>0</v>
      </c>
      <c r="E13" s="14">
        <f>[19]Resumen!$E$34</f>
        <v>0</v>
      </c>
      <c r="F13" s="15">
        <f>[19]Resumen!$F$34</f>
        <v>0</v>
      </c>
      <c r="G13" s="17">
        <f>[19]Resumen!$G$34</f>
        <v>0</v>
      </c>
      <c r="H13" s="18">
        <f>[19]Resumen!$H$34</f>
        <v>0</v>
      </c>
      <c r="I13" s="15">
        <f>[19]Resumen!$I$34</f>
        <v>0</v>
      </c>
      <c r="J13" s="16">
        <f>[19]Resumen!$J$34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[20]Resumen!$B$34</f>
        <v>0</v>
      </c>
      <c r="C14" s="15">
        <f>[20]Resumen!$C$34</f>
        <v>0</v>
      </c>
      <c r="D14" s="16">
        <f>[20]Resumen!$D$34</f>
        <v>0</v>
      </c>
      <c r="E14" s="14">
        <f>[20]Resumen!$E$34</f>
        <v>0</v>
      </c>
      <c r="F14" s="15">
        <f>[20]Resumen!$F$34</f>
        <v>0</v>
      </c>
      <c r="G14" s="17">
        <f>[20]Resumen!$G$34</f>
        <v>0</v>
      </c>
      <c r="H14" s="18">
        <f>[20]Resumen!$H$34</f>
        <v>0</v>
      </c>
      <c r="I14" s="15">
        <f>[20]Resumen!$I$34</f>
        <v>0</v>
      </c>
      <c r="J14" s="16">
        <f>[20]Resumen!$J$34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[21]Resumen!$B$34</f>
        <v>0</v>
      </c>
      <c r="C15" s="15">
        <f>[21]Resumen!$C$34</f>
        <v>0</v>
      </c>
      <c r="D15" s="16">
        <f>[21]Resumen!$D$34</f>
        <v>0</v>
      </c>
      <c r="E15" s="14">
        <f>[21]Resumen!$E$34</f>
        <v>0</v>
      </c>
      <c r="F15" s="15">
        <f>[21]Resumen!$F$34</f>
        <v>0</v>
      </c>
      <c r="G15" s="17">
        <f>[21]Resumen!$G$34</f>
        <v>0</v>
      </c>
      <c r="H15" s="18">
        <f>[21]Resumen!$H$34</f>
        <v>0</v>
      </c>
      <c r="I15" s="15">
        <f>[21]Resumen!$I$34</f>
        <v>0</v>
      </c>
      <c r="J15" s="16">
        <f>[21]Resumen!$J$34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[22]Resumen!$B$34</f>
        <v>0</v>
      </c>
      <c r="C16" s="15">
        <f>[22]Resumen!$C$34</f>
        <v>0</v>
      </c>
      <c r="D16" s="16">
        <f>[22]Resumen!$D$34</f>
        <v>0</v>
      </c>
      <c r="E16" s="14">
        <f>[22]Resumen!$E$34</f>
        <v>0</v>
      </c>
      <c r="F16" s="15">
        <f>[22]Resumen!$F$34</f>
        <v>0</v>
      </c>
      <c r="G16" s="17">
        <f>[22]Resumen!$G$34</f>
        <v>0</v>
      </c>
      <c r="H16" s="18">
        <f>[22]Resumen!$H$34</f>
        <v>0</v>
      </c>
      <c r="I16" s="15">
        <f>[22]Resumen!$I$34</f>
        <v>0</v>
      </c>
      <c r="J16" s="16">
        <f>[22]Resumen!$J$34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[23]Resumen!$B$34</f>
        <v>0</v>
      </c>
      <c r="C17" s="15">
        <f>[23]Resumen!$C$34</f>
        <v>0</v>
      </c>
      <c r="D17" s="16">
        <f>[23]Resumen!$D$34</f>
        <v>0</v>
      </c>
      <c r="E17" s="14">
        <f>[23]Resumen!$E$34</f>
        <v>0</v>
      </c>
      <c r="F17" s="15">
        <f>[23]Resumen!$F$34</f>
        <v>0</v>
      </c>
      <c r="G17" s="17">
        <f>[23]Resumen!$G$34</f>
        <v>0</v>
      </c>
      <c r="H17" s="18">
        <f>[23]Resumen!$H$34</f>
        <v>0</v>
      </c>
      <c r="I17" s="15">
        <f>[23]Resumen!$I$34</f>
        <v>0</v>
      </c>
      <c r="J17" s="16">
        <f>[23]Resumen!$J$34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[24]Resumen!$B$34</f>
        <v>0</v>
      </c>
      <c r="C18" s="15">
        <f>[24]Resumen!$C$34</f>
        <v>0</v>
      </c>
      <c r="D18" s="16">
        <f>[24]Resumen!$D$34</f>
        <v>0</v>
      </c>
      <c r="E18" s="14">
        <f>[24]Resumen!$E$34</f>
        <v>0</v>
      </c>
      <c r="F18" s="15">
        <f>[24]Resumen!$F$34</f>
        <v>0</v>
      </c>
      <c r="G18" s="17">
        <f>[24]Resumen!$G$34</f>
        <v>0</v>
      </c>
      <c r="H18" s="18">
        <f>[24]Resumen!$H$34</f>
        <v>0</v>
      </c>
      <c r="I18" s="15">
        <f>[24]Resumen!$I$34</f>
        <v>0</v>
      </c>
      <c r="J18" s="16">
        <f>[24]Resumen!$J$34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[25]Resumen!$B$34</f>
        <v>0</v>
      </c>
      <c r="C19" s="15">
        <f>[25]Resumen!$C$34</f>
        <v>0</v>
      </c>
      <c r="D19" s="16">
        <f>[25]Resumen!$D$34</f>
        <v>0</v>
      </c>
      <c r="E19" s="14">
        <f>[25]Resumen!$E$34</f>
        <v>0</v>
      </c>
      <c r="F19" s="15">
        <f>[25]Resumen!$F$34</f>
        <v>0</v>
      </c>
      <c r="G19" s="17">
        <f>[25]Resumen!$G$34</f>
        <v>0</v>
      </c>
      <c r="H19" s="18">
        <f>[25]Resumen!$H$34</f>
        <v>0</v>
      </c>
      <c r="I19" s="15">
        <f>[25]Resumen!$I$34</f>
        <v>0</v>
      </c>
      <c r="J19" s="16">
        <f>[25]Resumen!$J$34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[26]Resumen!$B$34</f>
        <v>0</v>
      </c>
      <c r="C20" s="15">
        <f>[26]Resumen!$C$34</f>
        <v>0</v>
      </c>
      <c r="D20" s="16">
        <f>[26]Resumen!$D$34</f>
        <v>0</v>
      </c>
      <c r="E20" s="14">
        <f>[26]Resumen!$E$34</f>
        <v>0</v>
      </c>
      <c r="F20" s="15">
        <f>[26]Resumen!$F$34</f>
        <v>0</v>
      </c>
      <c r="G20" s="17">
        <f>[26]Resumen!$G$34</f>
        <v>0</v>
      </c>
      <c r="H20" s="18">
        <f>[26]Resumen!$H$34</f>
        <v>0</v>
      </c>
      <c r="I20" s="15">
        <f>[26]Resumen!$I$34</f>
        <v>0</v>
      </c>
      <c r="J20" s="16">
        <f>[26]Resumen!$J$34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[27]Resumen!$B$34</f>
        <v>0</v>
      </c>
      <c r="C21" s="15">
        <f>[27]Resumen!$C$34</f>
        <v>0</v>
      </c>
      <c r="D21" s="16">
        <f>[27]Resumen!$D$34</f>
        <v>0</v>
      </c>
      <c r="E21" s="14">
        <f>[27]Resumen!$E$34</f>
        <v>0</v>
      </c>
      <c r="F21" s="15">
        <f>[27]Resumen!$F$34</f>
        <v>0</v>
      </c>
      <c r="G21" s="17">
        <f>[27]Resumen!$G$34</f>
        <v>0</v>
      </c>
      <c r="H21" s="18">
        <f>[27]Resumen!$H$34</f>
        <v>0</v>
      </c>
      <c r="I21" s="15">
        <f>[27]Resumen!$I$34</f>
        <v>0</v>
      </c>
      <c r="J21" s="16">
        <f>[27]Resumen!$J$34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[28]Resumen!$B$34</f>
        <v>0</v>
      </c>
      <c r="C22" s="15">
        <f>[28]Resumen!$C$34</f>
        <v>0</v>
      </c>
      <c r="D22" s="16">
        <f>[28]Resumen!$D$34</f>
        <v>0</v>
      </c>
      <c r="E22" s="14">
        <f>[28]Resumen!$E$34</f>
        <v>0</v>
      </c>
      <c r="F22" s="15">
        <f>[28]Resumen!$F$34</f>
        <v>0</v>
      </c>
      <c r="G22" s="17">
        <f>[28]Resumen!$G$34</f>
        <v>0</v>
      </c>
      <c r="H22" s="18">
        <f>[28]Resumen!$H$34</f>
        <v>0</v>
      </c>
      <c r="I22" s="15">
        <f>[28]Resumen!$I$34</f>
        <v>0</v>
      </c>
      <c r="J22" s="16">
        <f>[28]Resumen!$J$34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[29]Resumen!$B$34</f>
        <v>0</v>
      </c>
      <c r="C23" s="15">
        <f>[29]Resumen!$C$34</f>
        <v>0</v>
      </c>
      <c r="D23" s="16">
        <f>[29]Resumen!$D$34</f>
        <v>0</v>
      </c>
      <c r="E23" s="14">
        <f>[29]Resumen!$E$34</f>
        <v>0</v>
      </c>
      <c r="F23" s="15">
        <f>[29]Resumen!$F$34</f>
        <v>0</v>
      </c>
      <c r="G23" s="17">
        <f>[29]Resumen!$G$34</f>
        <v>0</v>
      </c>
      <c r="H23" s="18">
        <f>[29]Resumen!$H$34</f>
        <v>0</v>
      </c>
      <c r="I23" s="15">
        <f>[29]Resumen!$I$34</f>
        <v>0</v>
      </c>
      <c r="J23" s="16">
        <f>[29]Resumen!$J$34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[30]Resumen!$B$34</f>
        <v>0</v>
      </c>
      <c r="C24" s="15">
        <f>[30]Resumen!$C$34</f>
        <v>0</v>
      </c>
      <c r="D24" s="16">
        <f>[30]Resumen!$D$34</f>
        <v>0</v>
      </c>
      <c r="E24" s="14">
        <f>[30]Resumen!$E$34</f>
        <v>0</v>
      </c>
      <c r="F24" s="15">
        <f>[30]Resumen!$F$34</f>
        <v>0</v>
      </c>
      <c r="G24" s="17">
        <f>[30]Resumen!$G$34</f>
        <v>0</v>
      </c>
      <c r="H24" s="18">
        <f>[30]Resumen!$H$34</f>
        <v>0</v>
      </c>
      <c r="I24" s="15">
        <f>[30]Resumen!$I$34</f>
        <v>0</v>
      </c>
      <c r="J24" s="16">
        <f>[30]Resumen!$J$34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[31]Resumen!$B$34</f>
        <v>0</v>
      </c>
      <c r="C25" s="15">
        <f>[31]Resumen!$C$34</f>
        <v>0</v>
      </c>
      <c r="D25" s="16">
        <f>[31]Resumen!$D$34</f>
        <v>0</v>
      </c>
      <c r="E25" s="14">
        <f>[31]Resumen!$E$34</f>
        <v>0</v>
      </c>
      <c r="F25" s="15">
        <f>[31]Resumen!$F$34</f>
        <v>0</v>
      </c>
      <c r="G25" s="17">
        <f>[31]Resumen!$G$34</f>
        <v>0</v>
      </c>
      <c r="H25" s="18">
        <f>[31]Resumen!$H$34</f>
        <v>0</v>
      </c>
      <c r="I25" s="15">
        <f>[31]Resumen!$I$34</f>
        <v>0</v>
      </c>
      <c r="J25" s="16">
        <f>[31]Resumen!$J$34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[1]Resumen!$B$34</f>
        <v>0</v>
      </c>
      <c r="C26" s="15">
        <f>[1]Resumen!$C$34</f>
        <v>0</v>
      </c>
      <c r="D26" s="16">
        <f>[1]Resumen!$D$34</f>
        <v>0</v>
      </c>
      <c r="E26" s="14">
        <f>[1]Resumen!$E$34</f>
        <v>0</v>
      </c>
      <c r="F26" s="15">
        <f>[1]Resumen!$F$34</f>
        <v>0</v>
      </c>
      <c r="G26" s="17">
        <f>[1]Resumen!$G$34</f>
        <v>0</v>
      </c>
      <c r="H26" s="18">
        <f>[1]Resumen!$H$34</f>
        <v>0</v>
      </c>
      <c r="I26" s="15">
        <f>[1]Resumen!$I$34</f>
        <v>0</v>
      </c>
      <c r="J26" s="16">
        <f>[1]Resumen!$J$34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[2]Resumen!$B$34</f>
        <v>0</v>
      </c>
      <c r="C27" s="15">
        <f>[2]Resumen!$C$34</f>
        <v>0</v>
      </c>
      <c r="D27" s="16">
        <f>[2]Resumen!$D$34</f>
        <v>0</v>
      </c>
      <c r="E27" s="14">
        <f>[2]Resumen!$E$34</f>
        <v>0</v>
      </c>
      <c r="F27" s="15">
        <f>[2]Resumen!$F$34</f>
        <v>0</v>
      </c>
      <c r="G27" s="17">
        <f>[2]Resumen!$G$34</f>
        <v>0</v>
      </c>
      <c r="H27" s="18">
        <f>[2]Resumen!$H$34</f>
        <v>0</v>
      </c>
      <c r="I27" s="15">
        <f>[2]Resumen!$I$34</f>
        <v>0</v>
      </c>
      <c r="J27" s="16">
        <f>[2]Resumen!$J$34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[3]Resumen!$B$34</f>
        <v>0</v>
      </c>
      <c r="C28" s="15">
        <f>[3]Resumen!$C$34</f>
        <v>0</v>
      </c>
      <c r="D28" s="16">
        <f>[3]Resumen!$D$34</f>
        <v>0</v>
      </c>
      <c r="E28" s="14">
        <f>[3]Resumen!$E$34</f>
        <v>0</v>
      </c>
      <c r="F28" s="15">
        <f>[3]Resumen!$F$34</f>
        <v>0</v>
      </c>
      <c r="G28" s="17">
        <f>[3]Resumen!$G$34</f>
        <v>0</v>
      </c>
      <c r="H28" s="18">
        <f>[3]Resumen!$H$34</f>
        <v>0</v>
      </c>
      <c r="I28" s="15">
        <f>[3]Resumen!$I$34</f>
        <v>0</v>
      </c>
      <c r="J28" s="16">
        <f>[3]Resumen!$J$34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[4]Resumen!$B$34</f>
        <v>0</v>
      </c>
      <c r="C29" s="15">
        <f>[4]Resumen!$C$34</f>
        <v>0</v>
      </c>
      <c r="D29" s="16">
        <f>[4]Resumen!$D$34</f>
        <v>0</v>
      </c>
      <c r="E29" s="14">
        <f>[4]Resumen!$E$34</f>
        <v>0</v>
      </c>
      <c r="F29" s="15">
        <f>[4]Resumen!$F$34</f>
        <v>0</v>
      </c>
      <c r="G29" s="17">
        <f>[4]Resumen!$G$34</f>
        <v>0</v>
      </c>
      <c r="H29" s="18">
        <f>[4]Resumen!$H$34</f>
        <v>0</v>
      </c>
      <c r="I29" s="15">
        <f>[4]Resumen!$I$34</f>
        <v>0</v>
      </c>
      <c r="J29" s="16">
        <f>[4]Resumen!$J$34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[5]Resumen!$B$34</f>
        <v>0</v>
      </c>
      <c r="C30" s="15">
        <f>[5]Resumen!$C$34</f>
        <v>0</v>
      </c>
      <c r="D30" s="16">
        <f>[5]Resumen!$D$34</f>
        <v>0</v>
      </c>
      <c r="E30" s="14">
        <f>[5]Resumen!$E$34</f>
        <v>0</v>
      </c>
      <c r="F30" s="15">
        <f>[5]Resumen!$F$34</f>
        <v>0</v>
      </c>
      <c r="G30" s="17">
        <f>[5]Resumen!$G$34</f>
        <v>0</v>
      </c>
      <c r="H30" s="18">
        <f>[5]Resumen!$H$34</f>
        <v>0</v>
      </c>
      <c r="I30" s="15">
        <f>[5]Resumen!$I$34</f>
        <v>0</v>
      </c>
      <c r="J30" s="16">
        <f>[5]Resumen!$J$34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[6]Resumen!$B$34</f>
        <v>0</v>
      </c>
      <c r="C31" s="15">
        <f>[6]Resumen!$C$34</f>
        <v>0</v>
      </c>
      <c r="D31" s="16">
        <f>[6]Resumen!$D$34</f>
        <v>0</v>
      </c>
      <c r="E31" s="14">
        <f>[6]Resumen!$E$34</f>
        <v>0</v>
      </c>
      <c r="F31" s="15">
        <f>[6]Resumen!$F$34</f>
        <v>0</v>
      </c>
      <c r="G31" s="17">
        <f>[6]Resumen!$G$34</f>
        <v>0</v>
      </c>
      <c r="H31" s="18">
        <f>[6]Resumen!$H$34</f>
        <v>0</v>
      </c>
      <c r="I31" s="15">
        <f>[6]Resumen!$I$34</f>
        <v>0</v>
      </c>
      <c r="J31" s="16">
        <f>[6]Resumen!$J$34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[7]Resumen!$B$34</f>
        <v>0</v>
      </c>
      <c r="C32" s="15">
        <f>[7]Resumen!$C$34</f>
        <v>0</v>
      </c>
      <c r="D32" s="16">
        <f>[7]Resumen!$D$34</f>
        <v>0</v>
      </c>
      <c r="E32" s="14">
        <f>[7]Resumen!$E$34</f>
        <v>0</v>
      </c>
      <c r="F32" s="15">
        <f>[7]Resumen!$F$34</f>
        <v>0</v>
      </c>
      <c r="G32" s="17">
        <f>[7]Resumen!$G$34</f>
        <v>0</v>
      </c>
      <c r="H32" s="18">
        <f>[7]Resumen!$H$34</f>
        <v>0</v>
      </c>
      <c r="I32" s="15">
        <f>[7]Resumen!$I$34</f>
        <v>0</v>
      </c>
      <c r="J32" s="16">
        <f>[7]Resumen!$J$34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[8]Resumen!$B$34</f>
        <v>0</v>
      </c>
      <c r="C33" s="15">
        <f>[8]Resumen!$C$34</f>
        <v>0</v>
      </c>
      <c r="D33" s="16">
        <f>[8]Resumen!$D$34</f>
        <v>0</v>
      </c>
      <c r="E33" s="14">
        <f>[8]Resumen!$E$34</f>
        <v>0</v>
      </c>
      <c r="F33" s="15">
        <f>[8]Resumen!$F$34</f>
        <v>0</v>
      </c>
      <c r="G33" s="17">
        <f>[8]Resumen!$G$34</f>
        <v>0</v>
      </c>
      <c r="H33" s="18">
        <f>[8]Resumen!$H$34</f>
        <v>0</v>
      </c>
      <c r="I33" s="15">
        <f>[8]Resumen!$I$34</f>
        <v>0</v>
      </c>
      <c r="J33" s="16">
        <f>[8]Resumen!$J$34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[9]Resumen!$B$34</f>
        <v>0</v>
      </c>
      <c r="C34" s="15">
        <f>[9]Resumen!$C$34</f>
        <v>0</v>
      </c>
      <c r="D34" s="16">
        <f>[9]Resumen!$D$34</f>
        <v>0</v>
      </c>
      <c r="E34" s="14">
        <f>[9]Resumen!$E$34</f>
        <v>0</v>
      </c>
      <c r="F34" s="15">
        <f>[9]Resumen!$F$34</f>
        <v>0</v>
      </c>
      <c r="G34" s="17">
        <f>[9]Resumen!$G$34</f>
        <v>0</v>
      </c>
      <c r="H34" s="18">
        <f>[9]Resumen!$H$34</f>
        <v>0</v>
      </c>
      <c r="I34" s="15">
        <f>[9]Resumen!$I$34</f>
        <v>0</v>
      </c>
      <c r="J34" s="16">
        <f>[9]Resumen!$J$34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+[10]Resumen!$B$34</f>
        <v>0</v>
      </c>
      <c r="C35" s="22">
        <f>+[10]Resumen!$C$34</f>
        <v>0</v>
      </c>
      <c r="D35" s="23">
        <f>+[10]Resumen!$D$34</f>
        <v>0</v>
      </c>
      <c r="E35" s="21">
        <f>+[10]Resumen!$E$34</f>
        <v>0</v>
      </c>
      <c r="F35" s="22">
        <f>+[10]Resumen!$F$34</f>
        <v>0</v>
      </c>
      <c r="G35" s="24">
        <f>+[10]Resumen!$G$34</f>
        <v>0</v>
      </c>
      <c r="H35" s="25">
        <f>+[10]Resumen!$H$34</f>
        <v>0</v>
      </c>
      <c r="I35" s="22">
        <f>+[10]Resumen!$I$34</f>
        <v>0</v>
      </c>
      <c r="J35" s="23">
        <f>+[10]Resumen!$J$34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71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[11]Resumen!$B$35</f>
        <v>0</v>
      </c>
      <c r="C5" s="58">
        <f>[11]Resumen!$C$35</f>
        <v>0</v>
      </c>
      <c r="D5" s="54">
        <f>[11]Resumen!$D$35</f>
        <v>0</v>
      </c>
      <c r="E5" s="53">
        <f>[11]Resumen!$E$35</f>
        <v>0</v>
      </c>
      <c r="F5" s="58">
        <f>[11]Resumen!$F$35</f>
        <v>0</v>
      </c>
      <c r="G5" s="55">
        <f>[11]Resumen!$G$35</f>
        <v>0</v>
      </c>
      <c r="H5" s="61">
        <f>[11]Resumen!$H$35</f>
        <v>0</v>
      </c>
      <c r="I5" s="58">
        <f>[11]Resumen!$I$35</f>
        <v>0</v>
      </c>
      <c r="J5" s="54">
        <f>[11]Resumen!$J$35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[12]Resumen!$B$35</f>
        <v>0</v>
      </c>
      <c r="C6" s="15">
        <f>[12]Resumen!$C$35</f>
        <v>0</v>
      </c>
      <c r="D6" s="16">
        <f>[12]Resumen!$D$35</f>
        <v>0</v>
      </c>
      <c r="E6" s="14">
        <f>[12]Resumen!$E$35</f>
        <v>0</v>
      </c>
      <c r="F6" s="15">
        <f>[12]Resumen!$F$35</f>
        <v>0</v>
      </c>
      <c r="G6" s="17">
        <f>[12]Resumen!$G$35</f>
        <v>0</v>
      </c>
      <c r="H6" s="18">
        <f>[12]Resumen!$H$35</f>
        <v>0</v>
      </c>
      <c r="I6" s="15">
        <f>[12]Resumen!$I$35</f>
        <v>0</v>
      </c>
      <c r="J6" s="16">
        <f>[12]Resumen!$J$35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[13]Resumen!$B$35</f>
        <v>0</v>
      </c>
      <c r="C7" s="15">
        <f>[13]Resumen!$C$35</f>
        <v>0</v>
      </c>
      <c r="D7" s="16">
        <f>[13]Resumen!$D$35</f>
        <v>0</v>
      </c>
      <c r="E7" s="14">
        <f>[13]Resumen!$E$35</f>
        <v>0</v>
      </c>
      <c r="F7" s="15">
        <f>[13]Resumen!$F$35</f>
        <v>0</v>
      </c>
      <c r="G7" s="17">
        <f>[13]Resumen!$G$35</f>
        <v>0</v>
      </c>
      <c r="H7" s="18">
        <f>[13]Resumen!$H$35</f>
        <v>0</v>
      </c>
      <c r="I7" s="15">
        <f>[13]Resumen!$I$35</f>
        <v>0</v>
      </c>
      <c r="J7" s="16">
        <f>[13]Resumen!$J$35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[14]Resumen!$B$35</f>
        <v>0</v>
      </c>
      <c r="C8" s="15">
        <f>[14]Resumen!$C$35</f>
        <v>0</v>
      </c>
      <c r="D8" s="16">
        <f>[14]Resumen!$D$35</f>
        <v>0</v>
      </c>
      <c r="E8" s="14">
        <f>[14]Resumen!$E$35</f>
        <v>0</v>
      </c>
      <c r="F8" s="15">
        <f>[14]Resumen!$F$35</f>
        <v>0</v>
      </c>
      <c r="G8" s="17">
        <f>[14]Resumen!$G$35</f>
        <v>0</v>
      </c>
      <c r="H8" s="18">
        <f>[14]Resumen!$H$35</f>
        <v>0</v>
      </c>
      <c r="I8" s="15">
        <f>[14]Resumen!$I$35</f>
        <v>0</v>
      </c>
      <c r="J8" s="16">
        <f>[14]Resumen!$J$35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[15]Resumen!$B$35</f>
        <v>0</v>
      </c>
      <c r="C9" s="15">
        <f>[15]Resumen!$C$35</f>
        <v>0</v>
      </c>
      <c r="D9" s="16">
        <f>[15]Resumen!$D$35</f>
        <v>0</v>
      </c>
      <c r="E9" s="14">
        <f>[15]Resumen!$E$35</f>
        <v>0</v>
      </c>
      <c r="F9" s="15">
        <f>[15]Resumen!$F$35</f>
        <v>0</v>
      </c>
      <c r="G9" s="17">
        <f>[15]Resumen!$G$35</f>
        <v>0</v>
      </c>
      <c r="H9" s="18">
        <f>[15]Resumen!$H$35</f>
        <v>0</v>
      </c>
      <c r="I9" s="15">
        <f>[15]Resumen!$I$35</f>
        <v>0</v>
      </c>
      <c r="J9" s="16">
        <f>[15]Resumen!$J$35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[16]Resumen!$B$35</f>
        <v>0</v>
      </c>
      <c r="C10" s="15">
        <f>[16]Resumen!$C$35</f>
        <v>0</v>
      </c>
      <c r="D10" s="16">
        <f>[16]Resumen!$D$35</f>
        <v>0</v>
      </c>
      <c r="E10" s="14">
        <f>[16]Resumen!$E$35</f>
        <v>0</v>
      </c>
      <c r="F10" s="15">
        <f>[16]Resumen!$F$35</f>
        <v>0</v>
      </c>
      <c r="G10" s="17">
        <f>[16]Resumen!$G$35</f>
        <v>0</v>
      </c>
      <c r="H10" s="18">
        <f>[16]Resumen!$H$35</f>
        <v>0</v>
      </c>
      <c r="I10" s="15">
        <f>[16]Resumen!$I$35</f>
        <v>0</v>
      </c>
      <c r="J10" s="16">
        <f>[16]Resumen!$J$35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[17]Resumen!$B$35</f>
        <v>0</v>
      </c>
      <c r="C11" s="15">
        <f>[17]Resumen!$C$35</f>
        <v>0</v>
      </c>
      <c r="D11" s="16">
        <f>[17]Resumen!$D$35</f>
        <v>0</v>
      </c>
      <c r="E11" s="14">
        <f>[17]Resumen!$E$35</f>
        <v>0</v>
      </c>
      <c r="F11" s="15">
        <f>[17]Resumen!$F$35</f>
        <v>0</v>
      </c>
      <c r="G11" s="17">
        <f>[17]Resumen!$G$35</f>
        <v>0</v>
      </c>
      <c r="H11" s="18">
        <f>[17]Resumen!$H$35</f>
        <v>0</v>
      </c>
      <c r="I11" s="15">
        <f>[17]Resumen!$I$35</f>
        <v>0</v>
      </c>
      <c r="J11" s="16">
        <f>[17]Resumen!$J$35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[18]Resumen!$B$35</f>
        <v>0</v>
      </c>
      <c r="C12" s="15">
        <f>[18]Resumen!$C$35</f>
        <v>0</v>
      </c>
      <c r="D12" s="16">
        <f>[18]Resumen!$D$35</f>
        <v>0</v>
      </c>
      <c r="E12" s="14">
        <f>[18]Resumen!$E$35</f>
        <v>0</v>
      </c>
      <c r="F12" s="15">
        <f>[18]Resumen!$F$35</f>
        <v>0</v>
      </c>
      <c r="G12" s="17">
        <f>[18]Resumen!$G$35</f>
        <v>0</v>
      </c>
      <c r="H12" s="18">
        <f>[18]Resumen!$H$35</f>
        <v>0</v>
      </c>
      <c r="I12" s="15">
        <f>[18]Resumen!$I$35</f>
        <v>0</v>
      </c>
      <c r="J12" s="16">
        <f>[18]Resumen!$J$35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[19]Resumen!$B$35</f>
        <v>0</v>
      </c>
      <c r="C13" s="15">
        <f>[19]Resumen!$C$35</f>
        <v>0</v>
      </c>
      <c r="D13" s="16">
        <f>[19]Resumen!$D$35</f>
        <v>0</v>
      </c>
      <c r="E13" s="14">
        <f>[19]Resumen!$E$35</f>
        <v>0</v>
      </c>
      <c r="F13" s="15">
        <f>[19]Resumen!$F$35</f>
        <v>0</v>
      </c>
      <c r="G13" s="17">
        <f>[19]Resumen!$G$35</f>
        <v>0</v>
      </c>
      <c r="H13" s="18">
        <f>[19]Resumen!$H$35</f>
        <v>0</v>
      </c>
      <c r="I13" s="15">
        <f>[19]Resumen!$I$35</f>
        <v>0</v>
      </c>
      <c r="J13" s="16">
        <f>[19]Resumen!$J$35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[20]Resumen!$B$35</f>
        <v>0</v>
      </c>
      <c r="C14" s="15">
        <f>[20]Resumen!$C$35</f>
        <v>0</v>
      </c>
      <c r="D14" s="16">
        <f>[20]Resumen!$D$35</f>
        <v>0</v>
      </c>
      <c r="E14" s="14">
        <f>[20]Resumen!$E$35</f>
        <v>0</v>
      </c>
      <c r="F14" s="15">
        <f>[20]Resumen!$F$35</f>
        <v>0</v>
      </c>
      <c r="G14" s="17">
        <f>[20]Resumen!$G$35</f>
        <v>0</v>
      </c>
      <c r="H14" s="18">
        <f>[20]Resumen!$H$35</f>
        <v>0</v>
      </c>
      <c r="I14" s="15">
        <f>[20]Resumen!$I$35</f>
        <v>0</v>
      </c>
      <c r="J14" s="16">
        <f>[20]Resumen!$J$35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[21]Resumen!$B$35</f>
        <v>0</v>
      </c>
      <c r="C15" s="15">
        <f>[21]Resumen!$C$35</f>
        <v>0</v>
      </c>
      <c r="D15" s="16">
        <f>[21]Resumen!$D$35</f>
        <v>0</v>
      </c>
      <c r="E15" s="14">
        <f>[21]Resumen!$E$35</f>
        <v>0</v>
      </c>
      <c r="F15" s="15">
        <f>[21]Resumen!$F$35</f>
        <v>0</v>
      </c>
      <c r="G15" s="17">
        <f>[21]Resumen!$G$35</f>
        <v>0</v>
      </c>
      <c r="H15" s="18">
        <f>[21]Resumen!$H$35</f>
        <v>0</v>
      </c>
      <c r="I15" s="15">
        <f>[21]Resumen!$I$35</f>
        <v>0</v>
      </c>
      <c r="J15" s="16">
        <f>[21]Resumen!$J$35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[22]Resumen!$B$35</f>
        <v>0</v>
      </c>
      <c r="C16" s="15">
        <f>[22]Resumen!$C$35</f>
        <v>0</v>
      </c>
      <c r="D16" s="16">
        <f>[22]Resumen!$D$35</f>
        <v>0</v>
      </c>
      <c r="E16" s="14">
        <f>[22]Resumen!$E$35</f>
        <v>0</v>
      </c>
      <c r="F16" s="15">
        <f>[22]Resumen!$F$35</f>
        <v>0</v>
      </c>
      <c r="G16" s="17">
        <f>[22]Resumen!$G$35</f>
        <v>0</v>
      </c>
      <c r="H16" s="18">
        <f>[22]Resumen!$H$35</f>
        <v>0</v>
      </c>
      <c r="I16" s="15">
        <f>[22]Resumen!$I$35</f>
        <v>0</v>
      </c>
      <c r="J16" s="16">
        <f>[22]Resumen!$J$35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[23]Resumen!$B$35</f>
        <v>0</v>
      </c>
      <c r="C17" s="15">
        <f>[23]Resumen!$C$35</f>
        <v>0</v>
      </c>
      <c r="D17" s="16">
        <f>[23]Resumen!$D$35</f>
        <v>0</v>
      </c>
      <c r="E17" s="14">
        <f>[23]Resumen!$E$35</f>
        <v>0</v>
      </c>
      <c r="F17" s="15">
        <f>[23]Resumen!$F$35</f>
        <v>0</v>
      </c>
      <c r="G17" s="17">
        <f>[23]Resumen!$G$35</f>
        <v>0</v>
      </c>
      <c r="H17" s="18">
        <f>[23]Resumen!$H$35</f>
        <v>0</v>
      </c>
      <c r="I17" s="15">
        <f>[23]Resumen!$I$35</f>
        <v>0</v>
      </c>
      <c r="J17" s="16">
        <f>[23]Resumen!$J$35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[24]Resumen!$B$35</f>
        <v>0</v>
      </c>
      <c r="C18" s="15">
        <f>[24]Resumen!$C$35</f>
        <v>0</v>
      </c>
      <c r="D18" s="16">
        <f>[24]Resumen!$D$35</f>
        <v>0</v>
      </c>
      <c r="E18" s="14">
        <f>[24]Resumen!$E$35</f>
        <v>0</v>
      </c>
      <c r="F18" s="15">
        <f>[24]Resumen!$F$35</f>
        <v>0</v>
      </c>
      <c r="G18" s="17">
        <f>[24]Resumen!$G$35</f>
        <v>0</v>
      </c>
      <c r="H18" s="18">
        <f>[24]Resumen!$H$35</f>
        <v>0</v>
      </c>
      <c r="I18" s="15">
        <f>[24]Resumen!$I$35</f>
        <v>0</v>
      </c>
      <c r="J18" s="16">
        <f>[24]Resumen!$J$35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[25]Resumen!$B$35</f>
        <v>0</v>
      </c>
      <c r="C19" s="15">
        <f>[25]Resumen!$C$35</f>
        <v>0</v>
      </c>
      <c r="D19" s="16">
        <f>[25]Resumen!$D$35</f>
        <v>0</v>
      </c>
      <c r="E19" s="14">
        <f>[25]Resumen!$E$35</f>
        <v>0</v>
      </c>
      <c r="F19" s="15">
        <f>[25]Resumen!$F$35</f>
        <v>0</v>
      </c>
      <c r="G19" s="17">
        <f>[25]Resumen!$G$35</f>
        <v>0</v>
      </c>
      <c r="H19" s="18">
        <f>[25]Resumen!$H$35</f>
        <v>0</v>
      </c>
      <c r="I19" s="15">
        <f>[25]Resumen!$I$35</f>
        <v>0</v>
      </c>
      <c r="J19" s="16">
        <f>[25]Resumen!$J$35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[26]Resumen!$B$35</f>
        <v>0</v>
      </c>
      <c r="C20" s="15">
        <f>[26]Resumen!$C$35</f>
        <v>0</v>
      </c>
      <c r="D20" s="16">
        <f>[26]Resumen!$D$35</f>
        <v>0</v>
      </c>
      <c r="E20" s="14">
        <f>[26]Resumen!$E$35</f>
        <v>0</v>
      </c>
      <c r="F20" s="15">
        <f>[26]Resumen!$F$35</f>
        <v>0</v>
      </c>
      <c r="G20" s="17">
        <f>[26]Resumen!$G$35</f>
        <v>0</v>
      </c>
      <c r="H20" s="18">
        <f>[26]Resumen!$H$35</f>
        <v>0</v>
      </c>
      <c r="I20" s="15">
        <f>[26]Resumen!$I$35</f>
        <v>0</v>
      </c>
      <c r="J20" s="16">
        <f>[26]Resumen!$J$35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[27]Resumen!$B$35</f>
        <v>0</v>
      </c>
      <c r="C21" s="15">
        <f>[27]Resumen!$C$35</f>
        <v>0</v>
      </c>
      <c r="D21" s="16">
        <f>[27]Resumen!$D$35</f>
        <v>0</v>
      </c>
      <c r="E21" s="14">
        <f>[27]Resumen!$E$35</f>
        <v>0</v>
      </c>
      <c r="F21" s="15">
        <f>[27]Resumen!$F$35</f>
        <v>0</v>
      </c>
      <c r="G21" s="17">
        <f>[27]Resumen!$G$35</f>
        <v>0</v>
      </c>
      <c r="H21" s="18">
        <f>[27]Resumen!$H$35</f>
        <v>0</v>
      </c>
      <c r="I21" s="15">
        <f>[27]Resumen!$I$35</f>
        <v>0</v>
      </c>
      <c r="J21" s="16">
        <f>[27]Resumen!$J$35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[28]Resumen!$B$35</f>
        <v>0</v>
      </c>
      <c r="C22" s="15">
        <f>[28]Resumen!$C$35</f>
        <v>0</v>
      </c>
      <c r="D22" s="16">
        <f>[28]Resumen!$D$35</f>
        <v>0</v>
      </c>
      <c r="E22" s="14">
        <f>[28]Resumen!$E$35</f>
        <v>0</v>
      </c>
      <c r="F22" s="15">
        <f>[28]Resumen!$F$35</f>
        <v>0</v>
      </c>
      <c r="G22" s="17">
        <f>[28]Resumen!$G$35</f>
        <v>0</v>
      </c>
      <c r="H22" s="18">
        <f>[28]Resumen!$H$35</f>
        <v>0</v>
      </c>
      <c r="I22" s="15">
        <f>[28]Resumen!$I$35</f>
        <v>0</v>
      </c>
      <c r="J22" s="16">
        <f>[28]Resumen!$J$35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[29]Resumen!$B$35</f>
        <v>0</v>
      </c>
      <c r="C23" s="15">
        <f>[29]Resumen!$C$35</f>
        <v>0</v>
      </c>
      <c r="D23" s="16">
        <f>[29]Resumen!$D$35</f>
        <v>0</v>
      </c>
      <c r="E23" s="14">
        <f>[29]Resumen!$E$35</f>
        <v>0</v>
      </c>
      <c r="F23" s="15">
        <f>[29]Resumen!$F$35</f>
        <v>0</v>
      </c>
      <c r="G23" s="17">
        <f>[29]Resumen!$G$35</f>
        <v>0</v>
      </c>
      <c r="H23" s="18">
        <f>[29]Resumen!$H$35</f>
        <v>0</v>
      </c>
      <c r="I23" s="15">
        <f>[29]Resumen!$I$35</f>
        <v>0</v>
      </c>
      <c r="J23" s="16">
        <f>[29]Resumen!$J$35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[30]Resumen!$B$35</f>
        <v>0</v>
      </c>
      <c r="C24" s="15">
        <f>[30]Resumen!$C$35</f>
        <v>0</v>
      </c>
      <c r="D24" s="16">
        <f>[30]Resumen!$D$35</f>
        <v>0</v>
      </c>
      <c r="E24" s="14">
        <f>[30]Resumen!$E$35</f>
        <v>0</v>
      </c>
      <c r="F24" s="15">
        <f>[30]Resumen!$F$35</f>
        <v>0</v>
      </c>
      <c r="G24" s="17">
        <f>[30]Resumen!$G$35</f>
        <v>0</v>
      </c>
      <c r="H24" s="18">
        <f>[30]Resumen!$H$35</f>
        <v>0</v>
      </c>
      <c r="I24" s="15">
        <f>[30]Resumen!$I$35</f>
        <v>0</v>
      </c>
      <c r="J24" s="16">
        <f>[30]Resumen!$J$35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[31]Resumen!$B$35</f>
        <v>0</v>
      </c>
      <c r="C25" s="15">
        <f>[31]Resumen!$C$35</f>
        <v>0</v>
      </c>
      <c r="D25" s="16">
        <f>[31]Resumen!$D$35</f>
        <v>0</v>
      </c>
      <c r="E25" s="14">
        <f>[31]Resumen!$E$35</f>
        <v>0</v>
      </c>
      <c r="F25" s="15">
        <f>[31]Resumen!$F$35</f>
        <v>0</v>
      </c>
      <c r="G25" s="17">
        <f>[31]Resumen!$G$35</f>
        <v>0</v>
      </c>
      <c r="H25" s="18">
        <f>[31]Resumen!$H$35</f>
        <v>0</v>
      </c>
      <c r="I25" s="15">
        <f>[31]Resumen!$I$35</f>
        <v>0</v>
      </c>
      <c r="J25" s="16">
        <f>[31]Resumen!$J$35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[1]Resumen!$B$35</f>
        <v>0</v>
      </c>
      <c r="C26" s="15">
        <f>[1]Resumen!$C$35</f>
        <v>0</v>
      </c>
      <c r="D26" s="16">
        <f>[1]Resumen!$D$35</f>
        <v>0</v>
      </c>
      <c r="E26" s="14">
        <f>[1]Resumen!$E$35</f>
        <v>0</v>
      </c>
      <c r="F26" s="15">
        <f>[1]Resumen!$F$35</f>
        <v>0</v>
      </c>
      <c r="G26" s="17">
        <f>[1]Resumen!$G$35</f>
        <v>0</v>
      </c>
      <c r="H26" s="18">
        <f>[1]Resumen!$H$35</f>
        <v>0</v>
      </c>
      <c r="I26" s="15">
        <f>[1]Resumen!$I$35</f>
        <v>0</v>
      </c>
      <c r="J26" s="16">
        <f>[1]Resumen!$J$35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[2]Resumen!$B$35</f>
        <v>0</v>
      </c>
      <c r="C27" s="15">
        <f>[2]Resumen!$C$35</f>
        <v>0</v>
      </c>
      <c r="D27" s="16">
        <f>[2]Resumen!$D$35</f>
        <v>0</v>
      </c>
      <c r="E27" s="14">
        <f>[2]Resumen!$E$35</f>
        <v>0</v>
      </c>
      <c r="F27" s="15">
        <f>[2]Resumen!$F$35</f>
        <v>0</v>
      </c>
      <c r="G27" s="17">
        <f>[2]Resumen!$G$35</f>
        <v>0</v>
      </c>
      <c r="H27" s="18">
        <f>[2]Resumen!$H$35</f>
        <v>0</v>
      </c>
      <c r="I27" s="15">
        <f>[2]Resumen!$I$35</f>
        <v>0</v>
      </c>
      <c r="J27" s="16">
        <f>[2]Resumen!$J$35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[3]Resumen!$B$35</f>
        <v>0</v>
      </c>
      <c r="C28" s="15">
        <f>[3]Resumen!$C$35</f>
        <v>0</v>
      </c>
      <c r="D28" s="16">
        <f>[3]Resumen!$D$35</f>
        <v>0</v>
      </c>
      <c r="E28" s="14">
        <f>[3]Resumen!$E$35</f>
        <v>0</v>
      </c>
      <c r="F28" s="15">
        <f>[3]Resumen!$F$35</f>
        <v>0</v>
      </c>
      <c r="G28" s="17">
        <f>[3]Resumen!$G$35</f>
        <v>0</v>
      </c>
      <c r="H28" s="18">
        <f>[3]Resumen!$H$35</f>
        <v>0</v>
      </c>
      <c r="I28" s="15">
        <f>[3]Resumen!$I$35</f>
        <v>0</v>
      </c>
      <c r="J28" s="16">
        <f>[3]Resumen!$J$35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[4]Resumen!$B$35</f>
        <v>0</v>
      </c>
      <c r="C29" s="15">
        <f>[4]Resumen!$C$35</f>
        <v>0</v>
      </c>
      <c r="D29" s="16">
        <f>[4]Resumen!$D$35</f>
        <v>0</v>
      </c>
      <c r="E29" s="14">
        <f>[4]Resumen!$E$35</f>
        <v>0</v>
      </c>
      <c r="F29" s="15">
        <f>[4]Resumen!$F$35</f>
        <v>0</v>
      </c>
      <c r="G29" s="17">
        <f>[4]Resumen!$G$35</f>
        <v>0</v>
      </c>
      <c r="H29" s="18">
        <f>[4]Resumen!$H$35</f>
        <v>0</v>
      </c>
      <c r="I29" s="15">
        <f>[4]Resumen!$I$35</f>
        <v>0</v>
      </c>
      <c r="J29" s="16">
        <f>[4]Resumen!$J$35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[5]Resumen!$B$35</f>
        <v>0</v>
      </c>
      <c r="C30" s="15">
        <f>[5]Resumen!$C$35</f>
        <v>0</v>
      </c>
      <c r="D30" s="16">
        <f>[5]Resumen!$D$35</f>
        <v>0</v>
      </c>
      <c r="E30" s="14">
        <f>[5]Resumen!$E$35</f>
        <v>0</v>
      </c>
      <c r="F30" s="15">
        <f>[5]Resumen!$F$35</f>
        <v>0</v>
      </c>
      <c r="G30" s="17">
        <f>[5]Resumen!$G$35</f>
        <v>0</v>
      </c>
      <c r="H30" s="18">
        <f>[5]Resumen!$H$35</f>
        <v>0</v>
      </c>
      <c r="I30" s="15">
        <f>[5]Resumen!$I$35</f>
        <v>0</v>
      </c>
      <c r="J30" s="16">
        <f>[5]Resumen!$J$35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[6]Resumen!$B$35</f>
        <v>0</v>
      </c>
      <c r="C31" s="15">
        <f>[6]Resumen!$C$35</f>
        <v>0</v>
      </c>
      <c r="D31" s="16">
        <f>[6]Resumen!$D$35</f>
        <v>0</v>
      </c>
      <c r="E31" s="14">
        <f>[6]Resumen!$E$35</f>
        <v>0</v>
      </c>
      <c r="F31" s="15">
        <f>[6]Resumen!$F$35</f>
        <v>0</v>
      </c>
      <c r="G31" s="17">
        <f>[6]Resumen!$G$35</f>
        <v>0</v>
      </c>
      <c r="H31" s="18">
        <f>[6]Resumen!$H$35</f>
        <v>0</v>
      </c>
      <c r="I31" s="15">
        <f>[6]Resumen!$I$35</f>
        <v>0</v>
      </c>
      <c r="J31" s="16">
        <f>[6]Resumen!$J$35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[7]Resumen!$B$35</f>
        <v>0</v>
      </c>
      <c r="C32" s="15">
        <f>[7]Resumen!$C$35</f>
        <v>0</v>
      </c>
      <c r="D32" s="16">
        <f>[7]Resumen!$D$35</f>
        <v>0</v>
      </c>
      <c r="E32" s="14">
        <f>[7]Resumen!$E$35</f>
        <v>0</v>
      </c>
      <c r="F32" s="15">
        <f>[7]Resumen!$F$35</f>
        <v>0</v>
      </c>
      <c r="G32" s="17">
        <f>[7]Resumen!$G$35</f>
        <v>0</v>
      </c>
      <c r="H32" s="18">
        <f>[7]Resumen!$H$35</f>
        <v>0</v>
      </c>
      <c r="I32" s="15">
        <f>[7]Resumen!$I$35</f>
        <v>0</v>
      </c>
      <c r="J32" s="16">
        <f>[7]Resumen!$J$35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[8]Resumen!$B$35</f>
        <v>0</v>
      </c>
      <c r="C33" s="15">
        <f>[8]Resumen!$C$35</f>
        <v>0</v>
      </c>
      <c r="D33" s="16">
        <f>[8]Resumen!$D$35</f>
        <v>0</v>
      </c>
      <c r="E33" s="14">
        <f>[8]Resumen!$E$35</f>
        <v>0</v>
      </c>
      <c r="F33" s="15">
        <f>[8]Resumen!$F$35</f>
        <v>0</v>
      </c>
      <c r="G33" s="17">
        <f>[8]Resumen!$G$35</f>
        <v>0</v>
      </c>
      <c r="H33" s="18">
        <f>[8]Resumen!$H$35</f>
        <v>0</v>
      </c>
      <c r="I33" s="15">
        <f>[8]Resumen!$I$35</f>
        <v>0</v>
      </c>
      <c r="J33" s="16">
        <f>[8]Resumen!$J$35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[9]Resumen!$B$35</f>
        <v>0</v>
      </c>
      <c r="C34" s="15">
        <f>[9]Resumen!$C$35</f>
        <v>0</v>
      </c>
      <c r="D34" s="16">
        <f>[9]Resumen!$D$35</f>
        <v>0</v>
      </c>
      <c r="E34" s="14">
        <f>[9]Resumen!$E$35</f>
        <v>0</v>
      </c>
      <c r="F34" s="15">
        <f>[9]Resumen!$F$35</f>
        <v>0</v>
      </c>
      <c r="G34" s="17">
        <f>[9]Resumen!$G$35</f>
        <v>0</v>
      </c>
      <c r="H34" s="18">
        <f>[9]Resumen!$H$35</f>
        <v>0</v>
      </c>
      <c r="I34" s="15">
        <f>[9]Resumen!$I$35</f>
        <v>0</v>
      </c>
      <c r="J34" s="16">
        <f>[9]Resumen!$J$35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+[10]Resumen!$B$35</f>
        <v>0</v>
      </c>
      <c r="C35" s="22">
        <f>+[10]Resumen!$C$35</f>
        <v>0</v>
      </c>
      <c r="D35" s="23">
        <f>+[10]Resumen!$D$35</f>
        <v>0</v>
      </c>
      <c r="E35" s="21">
        <f>+[10]Resumen!$E$35</f>
        <v>0</v>
      </c>
      <c r="F35" s="22">
        <f>+[10]Resumen!$F$35</f>
        <v>0</v>
      </c>
      <c r="G35" s="24">
        <f>+[10]Resumen!$G$35</f>
        <v>0</v>
      </c>
      <c r="H35" s="25">
        <f>+[10]Resumen!$H$35</f>
        <v>0</v>
      </c>
      <c r="I35" s="22">
        <f>+[10]Resumen!$I$35</f>
        <v>0</v>
      </c>
      <c r="J35" s="23">
        <f>+[10]Resumen!$J$35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72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[11]Resumen!$B$36</f>
        <v>0</v>
      </c>
      <c r="C5" s="58">
        <f>[11]Resumen!$C$36</f>
        <v>0</v>
      </c>
      <c r="D5" s="54">
        <f>[11]Resumen!$D$36</f>
        <v>0</v>
      </c>
      <c r="E5" s="53">
        <f>[11]Resumen!$E$36</f>
        <v>0</v>
      </c>
      <c r="F5" s="58">
        <f>[11]Resumen!$F$36</f>
        <v>0</v>
      </c>
      <c r="G5" s="55">
        <f>[11]Resumen!$G$36</f>
        <v>0</v>
      </c>
      <c r="H5" s="61">
        <f>[11]Resumen!$H$36</f>
        <v>0</v>
      </c>
      <c r="I5" s="58">
        <f>[11]Resumen!$I$36</f>
        <v>0</v>
      </c>
      <c r="J5" s="54">
        <f>[11]Resumen!$J$36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[12]Resumen!$B$36</f>
        <v>0</v>
      </c>
      <c r="C6" s="15">
        <f>[12]Resumen!$C$36</f>
        <v>0</v>
      </c>
      <c r="D6" s="16">
        <f>[12]Resumen!$D$36</f>
        <v>0</v>
      </c>
      <c r="E6" s="14">
        <f>[12]Resumen!$E$36</f>
        <v>0</v>
      </c>
      <c r="F6" s="15">
        <f>[12]Resumen!$F$36</f>
        <v>0</v>
      </c>
      <c r="G6" s="17">
        <f>[12]Resumen!$G$36</f>
        <v>0</v>
      </c>
      <c r="H6" s="18">
        <f>[12]Resumen!$H$36</f>
        <v>0</v>
      </c>
      <c r="I6" s="15">
        <f>[12]Resumen!$I$36</f>
        <v>0</v>
      </c>
      <c r="J6" s="16">
        <f>[12]Resumen!$J$36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[13]Resumen!$B$36</f>
        <v>0</v>
      </c>
      <c r="C7" s="15">
        <f>[13]Resumen!$C$36</f>
        <v>0</v>
      </c>
      <c r="D7" s="16">
        <f>[13]Resumen!$D$36</f>
        <v>0</v>
      </c>
      <c r="E7" s="14">
        <f>[13]Resumen!$E$36</f>
        <v>0</v>
      </c>
      <c r="F7" s="15">
        <f>[13]Resumen!$F$36</f>
        <v>0</v>
      </c>
      <c r="G7" s="17">
        <f>[13]Resumen!$G$36</f>
        <v>0</v>
      </c>
      <c r="H7" s="18">
        <f>[13]Resumen!$H$36</f>
        <v>0</v>
      </c>
      <c r="I7" s="15">
        <f>[13]Resumen!$I$36</f>
        <v>0</v>
      </c>
      <c r="J7" s="16">
        <f>[13]Resumen!$J$36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[14]Resumen!$B$36</f>
        <v>0</v>
      </c>
      <c r="C8" s="15">
        <f>[14]Resumen!$C$36</f>
        <v>0</v>
      </c>
      <c r="D8" s="16">
        <f>[14]Resumen!$D$36</f>
        <v>0</v>
      </c>
      <c r="E8" s="14">
        <f>[14]Resumen!$E$36</f>
        <v>0</v>
      </c>
      <c r="F8" s="15">
        <f>[14]Resumen!$F$36</f>
        <v>0</v>
      </c>
      <c r="G8" s="17">
        <f>[14]Resumen!$G$36</f>
        <v>0</v>
      </c>
      <c r="H8" s="18">
        <f>[14]Resumen!$H$36</f>
        <v>0</v>
      </c>
      <c r="I8" s="15">
        <f>[14]Resumen!$I$36</f>
        <v>0</v>
      </c>
      <c r="J8" s="16">
        <f>[14]Resumen!$J$36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[15]Resumen!$B$36</f>
        <v>0</v>
      </c>
      <c r="C9" s="15">
        <f>[15]Resumen!$C$36</f>
        <v>0</v>
      </c>
      <c r="D9" s="16">
        <f>[15]Resumen!$D$36</f>
        <v>0</v>
      </c>
      <c r="E9" s="14">
        <f>[15]Resumen!$E$36</f>
        <v>0</v>
      </c>
      <c r="F9" s="15">
        <f>[15]Resumen!$F$36</f>
        <v>0</v>
      </c>
      <c r="G9" s="17">
        <f>[15]Resumen!$G$36</f>
        <v>0</v>
      </c>
      <c r="H9" s="18">
        <f>[15]Resumen!$H$36</f>
        <v>0</v>
      </c>
      <c r="I9" s="15">
        <f>[15]Resumen!$I$36</f>
        <v>0</v>
      </c>
      <c r="J9" s="16">
        <f>[15]Resumen!$J$36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[16]Resumen!$B$36</f>
        <v>0</v>
      </c>
      <c r="C10" s="15">
        <f>[16]Resumen!$C$36</f>
        <v>0</v>
      </c>
      <c r="D10" s="16">
        <f>[16]Resumen!$D$36</f>
        <v>0</v>
      </c>
      <c r="E10" s="14">
        <f>[16]Resumen!$E$36</f>
        <v>0</v>
      </c>
      <c r="F10" s="15">
        <f>[16]Resumen!$F$36</f>
        <v>0</v>
      </c>
      <c r="G10" s="17">
        <f>[16]Resumen!$G$36</f>
        <v>0</v>
      </c>
      <c r="H10" s="18">
        <f>[16]Resumen!$H$36</f>
        <v>0</v>
      </c>
      <c r="I10" s="15">
        <f>[16]Resumen!$I$36</f>
        <v>0</v>
      </c>
      <c r="J10" s="16">
        <f>[16]Resumen!$J$36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[17]Resumen!$B$36</f>
        <v>0</v>
      </c>
      <c r="C11" s="15">
        <f>[17]Resumen!$C$36</f>
        <v>0</v>
      </c>
      <c r="D11" s="16">
        <f>[17]Resumen!$D$36</f>
        <v>0</v>
      </c>
      <c r="E11" s="14">
        <f>[17]Resumen!$E$36</f>
        <v>0</v>
      </c>
      <c r="F11" s="15">
        <f>[17]Resumen!$F$36</f>
        <v>0</v>
      </c>
      <c r="G11" s="17">
        <f>[17]Resumen!$G$36</f>
        <v>0</v>
      </c>
      <c r="H11" s="18">
        <f>[17]Resumen!$H$36</f>
        <v>0</v>
      </c>
      <c r="I11" s="15">
        <f>[17]Resumen!$I$36</f>
        <v>0</v>
      </c>
      <c r="J11" s="16">
        <f>[17]Resumen!$J$36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[18]Resumen!$B$36</f>
        <v>0</v>
      </c>
      <c r="C12" s="15">
        <f>[18]Resumen!$C$36</f>
        <v>0</v>
      </c>
      <c r="D12" s="16">
        <f>[18]Resumen!$D$36</f>
        <v>0</v>
      </c>
      <c r="E12" s="14">
        <f>[18]Resumen!$E$36</f>
        <v>0</v>
      </c>
      <c r="F12" s="15">
        <f>[18]Resumen!$F$36</f>
        <v>0</v>
      </c>
      <c r="G12" s="17">
        <f>[18]Resumen!$G$36</f>
        <v>0</v>
      </c>
      <c r="H12" s="18">
        <f>[18]Resumen!$H$36</f>
        <v>0</v>
      </c>
      <c r="I12" s="15">
        <f>[18]Resumen!$I$36</f>
        <v>0</v>
      </c>
      <c r="J12" s="16">
        <f>[18]Resumen!$J$36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[19]Resumen!$B$36</f>
        <v>0</v>
      </c>
      <c r="C13" s="15">
        <f>[19]Resumen!$C$36</f>
        <v>0</v>
      </c>
      <c r="D13" s="16">
        <f>[19]Resumen!$D$36</f>
        <v>0</v>
      </c>
      <c r="E13" s="14">
        <f>[19]Resumen!$E$36</f>
        <v>0</v>
      </c>
      <c r="F13" s="15">
        <f>[19]Resumen!$F$36</f>
        <v>0</v>
      </c>
      <c r="G13" s="17">
        <f>[19]Resumen!$G$36</f>
        <v>0</v>
      </c>
      <c r="H13" s="18">
        <f>[19]Resumen!$H$36</f>
        <v>0</v>
      </c>
      <c r="I13" s="15">
        <f>[19]Resumen!$I$36</f>
        <v>0</v>
      </c>
      <c r="J13" s="16">
        <f>[19]Resumen!$J$36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[20]Resumen!$B$36</f>
        <v>0</v>
      </c>
      <c r="C14" s="15">
        <f>[20]Resumen!$C$36</f>
        <v>0</v>
      </c>
      <c r="D14" s="16">
        <f>[20]Resumen!$D$36</f>
        <v>0</v>
      </c>
      <c r="E14" s="14">
        <f>[20]Resumen!$E$36</f>
        <v>0</v>
      </c>
      <c r="F14" s="15">
        <f>[20]Resumen!$F$36</f>
        <v>0</v>
      </c>
      <c r="G14" s="17">
        <f>[20]Resumen!$G$36</f>
        <v>0</v>
      </c>
      <c r="H14" s="18">
        <f>[20]Resumen!$H$36</f>
        <v>0</v>
      </c>
      <c r="I14" s="15">
        <f>[20]Resumen!$I$36</f>
        <v>0</v>
      </c>
      <c r="J14" s="16">
        <f>[20]Resumen!$J$36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[21]Resumen!$B$36</f>
        <v>0</v>
      </c>
      <c r="C15" s="15">
        <f>[21]Resumen!$C$36</f>
        <v>0</v>
      </c>
      <c r="D15" s="16">
        <f>[21]Resumen!$D$36</f>
        <v>0</v>
      </c>
      <c r="E15" s="14">
        <f>[21]Resumen!$E$36</f>
        <v>0</v>
      </c>
      <c r="F15" s="15">
        <f>[21]Resumen!$F$36</f>
        <v>0</v>
      </c>
      <c r="G15" s="17">
        <f>[21]Resumen!$G$36</f>
        <v>0</v>
      </c>
      <c r="H15" s="18">
        <f>[21]Resumen!$H$36</f>
        <v>0</v>
      </c>
      <c r="I15" s="15">
        <f>[21]Resumen!$I$36</f>
        <v>0</v>
      </c>
      <c r="J15" s="16">
        <f>[21]Resumen!$J$36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[22]Resumen!$B$36</f>
        <v>0</v>
      </c>
      <c r="C16" s="15">
        <f>[22]Resumen!$C$36</f>
        <v>0</v>
      </c>
      <c r="D16" s="16">
        <f>[22]Resumen!$D$36</f>
        <v>0</v>
      </c>
      <c r="E16" s="14">
        <f>[22]Resumen!$E$36</f>
        <v>0</v>
      </c>
      <c r="F16" s="15">
        <f>[22]Resumen!$F$36</f>
        <v>0</v>
      </c>
      <c r="G16" s="17">
        <f>[22]Resumen!$G$36</f>
        <v>0</v>
      </c>
      <c r="H16" s="18">
        <f>[22]Resumen!$H$36</f>
        <v>0</v>
      </c>
      <c r="I16" s="15">
        <f>[22]Resumen!$I$36</f>
        <v>0</v>
      </c>
      <c r="J16" s="16">
        <f>[22]Resumen!$J$36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[23]Resumen!$B$36</f>
        <v>0</v>
      </c>
      <c r="C17" s="15">
        <f>[23]Resumen!$C$36</f>
        <v>0</v>
      </c>
      <c r="D17" s="16">
        <f>[23]Resumen!$D$36</f>
        <v>0</v>
      </c>
      <c r="E17" s="14">
        <f>[23]Resumen!$E$36</f>
        <v>0</v>
      </c>
      <c r="F17" s="15">
        <f>[23]Resumen!$F$36</f>
        <v>0</v>
      </c>
      <c r="G17" s="17">
        <f>[23]Resumen!$G$36</f>
        <v>0</v>
      </c>
      <c r="H17" s="18">
        <f>[23]Resumen!$H$36</f>
        <v>0</v>
      </c>
      <c r="I17" s="15">
        <f>[23]Resumen!$I$36</f>
        <v>0</v>
      </c>
      <c r="J17" s="16">
        <f>[23]Resumen!$J$36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[24]Resumen!$B$36</f>
        <v>0</v>
      </c>
      <c r="C18" s="15">
        <f>[24]Resumen!$C$36</f>
        <v>0</v>
      </c>
      <c r="D18" s="16">
        <f>[24]Resumen!$D$36</f>
        <v>0</v>
      </c>
      <c r="E18" s="14">
        <f>[24]Resumen!$E$36</f>
        <v>0</v>
      </c>
      <c r="F18" s="15">
        <f>[24]Resumen!$F$36</f>
        <v>0</v>
      </c>
      <c r="G18" s="17">
        <f>[24]Resumen!$G$36</f>
        <v>0</v>
      </c>
      <c r="H18" s="18">
        <f>[24]Resumen!$H$36</f>
        <v>0</v>
      </c>
      <c r="I18" s="15">
        <f>[24]Resumen!$I$36</f>
        <v>0</v>
      </c>
      <c r="J18" s="16">
        <f>[24]Resumen!$J$36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[25]Resumen!$B$36</f>
        <v>0</v>
      </c>
      <c r="C19" s="15">
        <f>[25]Resumen!$C$36</f>
        <v>0</v>
      </c>
      <c r="D19" s="16">
        <f>[25]Resumen!$D$36</f>
        <v>0</v>
      </c>
      <c r="E19" s="14">
        <f>[25]Resumen!$E$36</f>
        <v>0</v>
      </c>
      <c r="F19" s="15">
        <f>[25]Resumen!$F$36</f>
        <v>0</v>
      </c>
      <c r="G19" s="17">
        <f>[25]Resumen!$G$36</f>
        <v>0</v>
      </c>
      <c r="H19" s="18">
        <f>[25]Resumen!$H$36</f>
        <v>0</v>
      </c>
      <c r="I19" s="15">
        <f>[25]Resumen!$I$36</f>
        <v>0</v>
      </c>
      <c r="J19" s="16">
        <f>[25]Resumen!$J$36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[26]Resumen!$B$36</f>
        <v>0</v>
      </c>
      <c r="C20" s="15">
        <f>[26]Resumen!$C$36</f>
        <v>0</v>
      </c>
      <c r="D20" s="16">
        <f>[26]Resumen!$D$36</f>
        <v>0</v>
      </c>
      <c r="E20" s="14">
        <f>[26]Resumen!$E$36</f>
        <v>0</v>
      </c>
      <c r="F20" s="15">
        <f>[26]Resumen!$F$36</f>
        <v>0</v>
      </c>
      <c r="G20" s="17">
        <f>[26]Resumen!$G$36</f>
        <v>0</v>
      </c>
      <c r="H20" s="18">
        <f>[26]Resumen!$H$36</f>
        <v>0</v>
      </c>
      <c r="I20" s="15">
        <f>[26]Resumen!$I$36</f>
        <v>0</v>
      </c>
      <c r="J20" s="16">
        <f>[26]Resumen!$J$36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[27]Resumen!$B$36</f>
        <v>0</v>
      </c>
      <c r="C21" s="15">
        <f>[27]Resumen!$C$36</f>
        <v>0</v>
      </c>
      <c r="D21" s="16">
        <f>[27]Resumen!$D$36</f>
        <v>0</v>
      </c>
      <c r="E21" s="14">
        <f>[27]Resumen!$E$36</f>
        <v>0</v>
      </c>
      <c r="F21" s="15">
        <f>[27]Resumen!$F$36</f>
        <v>0</v>
      </c>
      <c r="G21" s="17">
        <f>[27]Resumen!$G$36</f>
        <v>0</v>
      </c>
      <c r="H21" s="18">
        <f>[27]Resumen!$H$36</f>
        <v>0</v>
      </c>
      <c r="I21" s="15">
        <f>[27]Resumen!$I$36</f>
        <v>0</v>
      </c>
      <c r="J21" s="16">
        <f>[27]Resumen!$J$36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[28]Resumen!$B$36</f>
        <v>0</v>
      </c>
      <c r="C22" s="15">
        <f>[28]Resumen!$C$36</f>
        <v>0</v>
      </c>
      <c r="D22" s="16">
        <f>[28]Resumen!$D$36</f>
        <v>0</v>
      </c>
      <c r="E22" s="14">
        <f>[28]Resumen!$E$36</f>
        <v>0</v>
      </c>
      <c r="F22" s="15">
        <f>[28]Resumen!$F$36</f>
        <v>0</v>
      </c>
      <c r="G22" s="17">
        <f>[28]Resumen!$G$36</f>
        <v>0</v>
      </c>
      <c r="H22" s="18">
        <f>[28]Resumen!$H$36</f>
        <v>0</v>
      </c>
      <c r="I22" s="15">
        <f>[28]Resumen!$I$36</f>
        <v>0</v>
      </c>
      <c r="J22" s="16">
        <f>[28]Resumen!$J$36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[29]Resumen!$B$36</f>
        <v>0</v>
      </c>
      <c r="C23" s="15">
        <f>[29]Resumen!$C$36</f>
        <v>0</v>
      </c>
      <c r="D23" s="16">
        <f>[29]Resumen!$D$36</f>
        <v>0</v>
      </c>
      <c r="E23" s="14">
        <f>[29]Resumen!$E$36</f>
        <v>0</v>
      </c>
      <c r="F23" s="15">
        <f>[29]Resumen!$F$36</f>
        <v>0</v>
      </c>
      <c r="G23" s="17">
        <f>[29]Resumen!$G$36</f>
        <v>0</v>
      </c>
      <c r="H23" s="18">
        <f>[29]Resumen!$H$36</f>
        <v>0</v>
      </c>
      <c r="I23" s="15">
        <f>[29]Resumen!$I$36</f>
        <v>0</v>
      </c>
      <c r="J23" s="16">
        <f>[29]Resumen!$J$36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[30]Resumen!$B$36</f>
        <v>0</v>
      </c>
      <c r="C24" s="15">
        <f>[30]Resumen!$C$36</f>
        <v>0</v>
      </c>
      <c r="D24" s="16">
        <f>[30]Resumen!$D$36</f>
        <v>0</v>
      </c>
      <c r="E24" s="14">
        <f>[30]Resumen!$E$36</f>
        <v>0</v>
      </c>
      <c r="F24" s="15">
        <f>[30]Resumen!$F$36</f>
        <v>0</v>
      </c>
      <c r="G24" s="17">
        <f>[30]Resumen!$G$36</f>
        <v>0</v>
      </c>
      <c r="H24" s="18">
        <f>[30]Resumen!$H$36</f>
        <v>0</v>
      </c>
      <c r="I24" s="15">
        <f>[30]Resumen!$I$36</f>
        <v>0</v>
      </c>
      <c r="J24" s="16">
        <f>[30]Resumen!$J$36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[31]Resumen!$B$36</f>
        <v>0</v>
      </c>
      <c r="C25" s="15">
        <f>[31]Resumen!$C$36</f>
        <v>0</v>
      </c>
      <c r="D25" s="16">
        <f>[31]Resumen!$D$36</f>
        <v>0</v>
      </c>
      <c r="E25" s="14">
        <f>[31]Resumen!$E$36</f>
        <v>0</v>
      </c>
      <c r="F25" s="15">
        <f>[31]Resumen!$F$36</f>
        <v>0</v>
      </c>
      <c r="G25" s="17">
        <f>[31]Resumen!$G$36</f>
        <v>0</v>
      </c>
      <c r="H25" s="18">
        <f>[31]Resumen!$H$36</f>
        <v>0</v>
      </c>
      <c r="I25" s="15">
        <f>[31]Resumen!$I$36</f>
        <v>0</v>
      </c>
      <c r="J25" s="16">
        <f>[31]Resumen!$J$36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[1]Resumen!$B$36</f>
        <v>0</v>
      </c>
      <c r="C26" s="15">
        <f>[1]Resumen!$C$36</f>
        <v>0</v>
      </c>
      <c r="D26" s="16">
        <f>[1]Resumen!$D$36</f>
        <v>0</v>
      </c>
      <c r="E26" s="14">
        <f>[1]Resumen!$E$36</f>
        <v>0</v>
      </c>
      <c r="F26" s="15">
        <f>[1]Resumen!$F$36</f>
        <v>0</v>
      </c>
      <c r="G26" s="17">
        <f>[1]Resumen!$G$36</f>
        <v>0</v>
      </c>
      <c r="H26" s="18">
        <f>[1]Resumen!$H$36</f>
        <v>0</v>
      </c>
      <c r="I26" s="15">
        <f>[1]Resumen!$I$36</f>
        <v>0</v>
      </c>
      <c r="J26" s="16">
        <f>[1]Resumen!$J$36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[2]Resumen!$B$36</f>
        <v>0</v>
      </c>
      <c r="C27" s="15">
        <f>[2]Resumen!$C$36</f>
        <v>0</v>
      </c>
      <c r="D27" s="16">
        <f>[2]Resumen!$D$36</f>
        <v>0</v>
      </c>
      <c r="E27" s="14">
        <f>[2]Resumen!$E$36</f>
        <v>0</v>
      </c>
      <c r="F27" s="15">
        <f>[2]Resumen!$F$36</f>
        <v>0</v>
      </c>
      <c r="G27" s="17">
        <f>[2]Resumen!$G$36</f>
        <v>0</v>
      </c>
      <c r="H27" s="18">
        <f>[2]Resumen!$H$36</f>
        <v>0</v>
      </c>
      <c r="I27" s="15">
        <f>[2]Resumen!$I$36</f>
        <v>0</v>
      </c>
      <c r="J27" s="16">
        <f>[2]Resumen!$J$36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[3]Resumen!$B$36</f>
        <v>0</v>
      </c>
      <c r="C28" s="15">
        <f>[3]Resumen!$C$36</f>
        <v>0</v>
      </c>
      <c r="D28" s="16">
        <f>[3]Resumen!$D$36</f>
        <v>0</v>
      </c>
      <c r="E28" s="14">
        <f>[3]Resumen!$E$36</f>
        <v>0</v>
      </c>
      <c r="F28" s="15">
        <f>[3]Resumen!$F$36</f>
        <v>0</v>
      </c>
      <c r="G28" s="17">
        <f>[3]Resumen!$G$36</f>
        <v>0</v>
      </c>
      <c r="H28" s="18">
        <f>[3]Resumen!$H$36</f>
        <v>0</v>
      </c>
      <c r="I28" s="15">
        <f>[3]Resumen!$I$36</f>
        <v>0</v>
      </c>
      <c r="J28" s="16">
        <f>[3]Resumen!$J$36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[4]Resumen!$B$36</f>
        <v>0</v>
      </c>
      <c r="C29" s="15">
        <f>[4]Resumen!$C$36</f>
        <v>0</v>
      </c>
      <c r="D29" s="16">
        <f>[4]Resumen!$D$36</f>
        <v>0</v>
      </c>
      <c r="E29" s="14">
        <f>[4]Resumen!$E$36</f>
        <v>0</v>
      </c>
      <c r="F29" s="15">
        <f>[4]Resumen!$F$36</f>
        <v>0</v>
      </c>
      <c r="G29" s="17">
        <f>[4]Resumen!$G$36</f>
        <v>0</v>
      </c>
      <c r="H29" s="18">
        <f>[4]Resumen!$H$36</f>
        <v>0</v>
      </c>
      <c r="I29" s="15">
        <f>[4]Resumen!$I$36</f>
        <v>0</v>
      </c>
      <c r="J29" s="16">
        <f>[4]Resumen!$J$36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[5]Resumen!$B$36</f>
        <v>0</v>
      </c>
      <c r="C30" s="15">
        <f>[5]Resumen!$C$36</f>
        <v>0</v>
      </c>
      <c r="D30" s="16">
        <f>[5]Resumen!$D$36</f>
        <v>0</v>
      </c>
      <c r="E30" s="14">
        <f>[5]Resumen!$E$36</f>
        <v>0</v>
      </c>
      <c r="F30" s="15">
        <f>[5]Resumen!$F$36</f>
        <v>0</v>
      </c>
      <c r="G30" s="17">
        <f>[5]Resumen!$G$36</f>
        <v>0</v>
      </c>
      <c r="H30" s="18">
        <f>[5]Resumen!$H$36</f>
        <v>0</v>
      </c>
      <c r="I30" s="15">
        <f>[5]Resumen!$I$36</f>
        <v>0</v>
      </c>
      <c r="J30" s="16">
        <f>[5]Resumen!$J$36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[6]Resumen!$B$36</f>
        <v>0</v>
      </c>
      <c r="C31" s="15">
        <f>[6]Resumen!$C$36</f>
        <v>0</v>
      </c>
      <c r="D31" s="16">
        <f>[6]Resumen!$D$36</f>
        <v>0</v>
      </c>
      <c r="E31" s="14">
        <f>[6]Resumen!$E$36</f>
        <v>0</v>
      </c>
      <c r="F31" s="15">
        <f>[6]Resumen!$F$36</f>
        <v>0</v>
      </c>
      <c r="G31" s="17">
        <f>[6]Resumen!$G$36</f>
        <v>0</v>
      </c>
      <c r="H31" s="18">
        <f>[6]Resumen!$H$36</f>
        <v>0</v>
      </c>
      <c r="I31" s="15">
        <f>[6]Resumen!$I$36</f>
        <v>0</v>
      </c>
      <c r="J31" s="16">
        <f>[6]Resumen!$J$36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[7]Resumen!$B$36</f>
        <v>0</v>
      </c>
      <c r="C32" s="15">
        <f>[7]Resumen!$C$36</f>
        <v>0</v>
      </c>
      <c r="D32" s="16">
        <f>[7]Resumen!$D$36</f>
        <v>0</v>
      </c>
      <c r="E32" s="14">
        <f>[7]Resumen!$E$36</f>
        <v>0</v>
      </c>
      <c r="F32" s="15">
        <f>[7]Resumen!$F$36</f>
        <v>0</v>
      </c>
      <c r="G32" s="17">
        <f>[7]Resumen!$G$36</f>
        <v>0</v>
      </c>
      <c r="H32" s="18">
        <f>[7]Resumen!$H$36</f>
        <v>0</v>
      </c>
      <c r="I32" s="15">
        <f>[7]Resumen!$I$36</f>
        <v>0</v>
      </c>
      <c r="J32" s="16">
        <f>[7]Resumen!$J$36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[8]Resumen!$B$36</f>
        <v>0</v>
      </c>
      <c r="C33" s="15">
        <f>[8]Resumen!$C$36</f>
        <v>0</v>
      </c>
      <c r="D33" s="16">
        <f>[8]Resumen!$D$36</f>
        <v>0</v>
      </c>
      <c r="E33" s="14">
        <f>[8]Resumen!$E$36</f>
        <v>0</v>
      </c>
      <c r="F33" s="15">
        <f>[8]Resumen!$F$36</f>
        <v>0</v>
      </c>
      <c r="G33" s="17">
        <f>[8]Resumen!$G$36</f>
        <v>0</v>
      </c>
      <c r="H33" s="18">
        <f>[8]Resumen!$H$36</f>
        <v>0</v>
      </c>
      <c r="I33" s="15">
        <f>[8]Resumen!$I$36</f>
        <v>0</v>
      </c>
      <c r="J33" s="16">
        <f>[8]Resumen!$J$36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[9]Resumen!$B$36</f>
        <v>0</v>
      </c>
      <c r="C34" s="15">
        <f>[9]Resumen!$C$36</f>
        <v>0</v>
      </c>
      <c r="D34" s="16">
        <f>[9]Resumen!$D$36</f>
        <v>0</v>
      </c>
      <c r="E34" s="14">
        <f>[9]Resumen!$E$36</f>
        <v>0</v>
      </c>
      <c r="F34" s="15">
        <f>[9]Resumen!$F$36</f>
        <v>0</v>
      </c>
      <c r="G34" s="17">
        <f>[9]Resumen!$G$36</f>
        <v>0</v>
      </c>
      <c r="H34" s="18">
        <f>[9]Resumen!$H$36</f>
        <v>0</v>
      </c>
      <c r="I34" s="15">
        <f>[9]Resumen!$I$36</f>
        <v>0</v>
      </c>
      <c r="J34" s="16">
        <f>[9]Resumen!$J$36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+[10]Resumen!$B$36</f>
        <v>0</v>
      </c>
      <c r="C35" s="22">
        <f>+[10]Resumen!$C$36</f>
        <v>0</v>
      </c>
      <c r="D35" s="23">
        <f>+[10]Resumen!$D$36</f>
        <v>0</v>
      </c>
      <c r="E35" s="21">
        <f>+[10]Resumen!$E$36</f>
        <v>0</v>
      </c>
      <c r="F35" s="22">
        <f>+[10]Resumen!$F$36</f>
        <v>0</v>
      </c>
      <c r="G35" s="24">
        <f>+[10]Resumen!$G$36</f>
        <v>0</v>
      </c>
      <c r="H35" s="25">
        <f>+[10]Resumen!$H$36</f>
        <v>0</v>
      </c>
      <c r="I35" s="22">
        <f>+[10]Resumen!$I$36</f>
        <v>0</v>
      </c>
      <c r="J35" s="23">
        <f>+[10]Resumen!$J$36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[11]Resumen!$B$37</f>
        <v>0</v>
      </c>
      <c r="C5" s="58">
        <f>[11]Resumen!$C$37</f>
        <v>0</v>
      </c>
      <c r="D5" s="54">
        <f>[11]Resumen!$D$37</f>
        <v>0</v>
      </c>
      <c r="E5" s="53">
        <f>[11]Resumen!$E$37</f>
        <v>0</v>
      </c>
      <c r="F5" s="58">
        <f>[11]Resumen!$F$37</f>
        <v>0</v>
      </c>
      <c r="G5" s="55">
        <f>[11]Resumen!$G$37</f>
        <v>0</v>
      </c>
      <c r="H5" s="61">
        <f>[11]Resumen!$H$37</f>
        <v>0</v>
      </c>
      <c r="I5" s="58">
        <f>[11]Resumen!$I$37</f>
        <v>0</v>
      </c>
      <c r="J5" s="54">
        <f>[11]Resumen!$J$37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[12]Resumen!$B$37</f>
        <v>0</v>
      </c>
      <c r="C6" s="15">
        <f>[12]Resumen!$C$37</f>
        <v>0</v>
      </c>
      <c r="D6" s="16">
        <f>[12]Resumen!$D$37</f>
        <v>0</v>
      </c>
      <c r="E6" s="14">
        <f>[12]Resumen!$E$37</f>
        <v>0</v>
      </c>
      <c r="F6" s="15">
        <f>[12]Resumen!$F$37</f>
        <v>0</v>
      </c>
      <c r="G6" s="17">
        <f>[12]Resumen!$G$37</f>
        <v>0</v>
      </c>
      <c r="H6" s="18">
        <f>[12]Resumen!$H$37</f>
        <v>0</v>
      </c>
      <c r="I6" s="15">
        <f>[12]Resumen!$I$37</f>
        <v>0</v>
      </c>
      <c r="J6" s="16">
        <f>[12]Resumen!$J$37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[13]Resumen!$B$37</f>
        <v>0</v>
      </c>
      <c r="C7" s="15">
        <f>[13]Resumen!$C$37</f>
        <v>0</v>
      </c>
      <c r="D7" s="16">
        <f>[13]Resumen!$D$37</f>
        <v>0</v>
      </c>
      <c r="E7" s="14">
        <f>[13]Resumen!$E$37</f>
        <v>0</v>
      </c>
      <c r="F7" s="15">
        <f>[13]Resumen!$F$37</f>
        <v>0</v>
      </c>
      <c r="G7" s="17">
        <f>[13]Resumen!$G$37</f>
        <v>0</v>
      </c>
      <c r="H7" s="18">
        <f>[13]Resumen!$H$37</f>
        <v>0</v>
      </c>
      <c r="I7" s="15">
        <f>[13]Resumen!$I$37</f>
        <v>0</v>
      </c>
      <c r="J7" s="16">
        <f>[13]Resumen!$J$37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[14]Resumen!$B$37</f>
        <v>0</v>
      </c>
      <c r="C8" s="15">
        <f>[14]Resumen!$C$37</f>
        <v>0</v>
      </c>
      <c r="D8" s="16">
        <f>[14]Resumen!$D$37</f>
        <v>0</v>
      </c>
      <c r="E8" s="14">
        <f>[14]Resumen!$E$37</f>
        <v>0</v>
      </c>
      <c r="F8" s="15">
        <f>[14]Resumen!$F$37</f>
        <v>0</v>
      </c>
      <c r="G8" s="17">
        <f>[14]Resumen!$G$37</f>
        <v>0</v>
      </c>
      <c r="H8" s="18">
        <f>[14]Resumen!$H$37</f>
        <v>0</v>
      </c>
      <c r="I8" s="15">
        <f>[14]Resumen!$I$37</f>
        <v>0</v>
      </c>
      <c r="J8" s="16">
        <f>[14]Resumen!$J$37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[15]Resumen!$B$37</f>
        <v>0</v>
      </c>
      <c r="C9" s="15">
        <f>[15]Resumen!$C$37</f>
        <v>0</v>
      </c>
      <c r="D9" s="16">
        <f>[15]Resumen!$D$37</f>
        <v>0</v>
      </c>
      <c r="E9" s="14">
        <f>[15]Resumen!$E$37</f>
        <v>0</v>
      </c>
      <c r="F9" s="15">
        <f>[15]Resumen!$F$37</f>
        <v>0</v>
      </c>
      <c r="G9" s="17">
        <f>[15]Resumen!$G$37</f>
        <v>0</v>
      </c>
      <c r="H9" s="18">
        <f>[15]Resumen!$H$37</f>
        <v>0</v>
      </c>
      <c r="I9" s="15">
        <f>[15]Resumen!$I$37</f>
        <v>0</v>
      </c>
      <c r="J9" s="16">
        <f>[15]Resumen!$J$37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[16]Resumen!$B$37</f>
        <v>0</v>
      </c>
      <c r="C10" s="15">
        <f>[16]Resumen!$C$37</f>
        <v>0</v>
      </c>
      <c r="D10" s="16">
        <f>[16]Resumen!$D$37</f>
        <v>0</v>
      </c>
      <c r="E10" s="14">
        <f>[16]Resumen!$E$37</f>
        <v>0</v>
      </c>
      <c r="F10" s="15">
        <f>[16]Resumen!$F$37</f>
        <v>0</v>
      </c>
      <c r="G10" s="17">
        <f>[16]Resumen!$G$37</f>
        <v>0</v>
      </c>
      <c r="H10" s="18">
        <f>[16]Resumen!$H$37</f>
        <v>0</v>
      </c>
      <c r="I10" s="15">
        <f>[16]Resumen!$I$37</f>
        <v>0</v>
      </c>
      <c r="J10" s="16">
        <f>[16]Resumen!$J$37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[17]Resumen!$B$37</f>
        <v>0</v>
      </c>
      <c r="C11" s="15">
        <f>[17]Resumen!$C$37</f>
        <v>0</v>
      </c>
      <c r="D11" s="16">
        <f>[17]Resumen!$D$37</f>
        <v>0</v>
      </c>
      <c r="E11" s="14">
        <f>[17]Resumen!$E$37</f>
        <v>0</v>
      </c>
      <c r="F11" s="15">
        <f>[17]Resumen!$F$37</f>
        <v>0</v>
      </c>
      <c r="G11" s="17">
        <f>[17]Resumen!$G$37</f>
        <v>0</v>
      </c>
      <c r="H11" s="18">
        <f>[17]Resumen!$H$37</f>
        <v>0</v>
      </c>
      <c r="I11" s="15">
        <f>[17]Resumen!$I$37</f>
        <v>0</v>
      </c>
      <c r="J11" s="16">
        <f>[17]Resumen!$J$37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[18]Resumen!$B$37</f>
        <v>0</v>
      </c>
      <c r="C12" s="15">
        <f>[18]Resumen!$C$37</f>
        <v>0</v>
      </c>
      <c r="D12" s="16">
        <f>[18]Resumen!$D$37</f>
        <v>0</v>
      </c>
      <c r="E12" s="14">
        <f>[18]Resumen!$E$37</f>
        <v>0</v>
      </c>
      <c r="F12" s="15">
        <f>[18]Resumen!$F$37</f>
        <v>0</v>
      </c>
      <c r="G12" s="17">
        <f>[18]Resumen!$G$37</f>
        <v>0</v>
      </c>
      <c r="H12" s="18">
        <f>[18]Resumen!$H$37</f>
        <v>0</v>
      </c>
      <c r="I12" s="15">
        <f>[18]Resumen!$I$37</f>
        <v>0</v>
      </c>
      <c r="J12" s="16">
        <f>[18]Resumen!$J$37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[19]Resumen!$B$37</f>
        <v>0</v>
      </c>
      <c r="C13" s="15">
        <f>[19]Resumen!$C$37</f>
        <v>0</v>
      </c>
      <c r="D13" s="16">
        <f>[19]Resumen!$D$37</f>
        <v>0</v>
      </c>
      <c r="E13" s="14">
        <f>[19]Resumen!$E$37</f>
        <v>0</v>
      </c>
      <c r="F13" s="15">
        <f>[19]Resumen!$F$37</f>
        <v>0</v>
      </c>
      <c r="G13" s="17">
        <f>[19]Resumen!$G$37</f>
        <v>0</v>
      </c>
      <c r="H13" s="18">
        <f>[19]Resumen!$H$37</f>
        <v>0</v>
      </c>
      <c r="I13" s="15">
        <f>[19]Resumen!$I$37</f>
        <v>0</v>
      </c>
      <c r="J13" s="16">
        <f>[19]Resumen!$J$37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[20]Resumen!$B$37</f>
        <v>0</v>
      </c>
      <c r="C14" s="15">
        <f>[20]Resumen!$C$37</f>
        <v>0</v>
      </c>
      <c r="D14" s="16">
        <f>[20]Resumen!$D$37</f>
        <v>0</v>
      </c>
      <c r="E14" s="14">
        <f>[20]Resumen!$E$37</f>
        <v>0</v>
      </c>
      <c r="F14" s="15">
        <f>[20]Resumen!$F$37</f>
        <v>0</v>
      </c>
      <c r="G14" s="17">
        <f>[20]Resumen!$G$37</f>
        <v>0</v>
      </c>
      <c r="H14" s="18">
        <f>[20]Resumen!$H$37</f>
        <v>0</v>
      </c>
      <c r="I14" s="15">
        <f>[20]Resumen!$I$37</f>
        <v>0</v>
      </c>
      <c r="J14" s="16">
        <f>[20]Resumen!$J$37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[21]Resumen!$B$37</f>
        <v>0</v>
      </c>
      <c r="C15" s="15">
        <f>[21]Resumen!$C$37</f>
        <v>0</v>
      </c>
      <c r="D15" s="16">
        <f>[21]Resumen!$D$37</f>
        <v>0</v>
      </c>
      <c r="E15" s="14">
        <f>[21]Resumen!$E$37</f>
        <v>0</v>
      </c>
      <c r="F15" s="15">
        <f>[21]Resumen!$F$37</f>
        <v>0</v>
      </c>
      <c r="G15" s="17">
        <f>[21]Resumen!$G$37</f>
        <v>0</v>
      </c>
      <c r="H15" s="18">
        <f>[21]Resumen!$H$37</f>
        <v>0</v>
      </c>
      <c r="I15" s="15">
        <f>[21]Resumen!$I$37</f>
        <v>0</v>
      </c>
      <c r="J15" s="16">
        <f>[21]Resumen!$J$37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[22]Resumen!$B$37</f>
        <v>0</v>
      </c>
      <c r="C16" s="15">
        <f>[22]Resumen!$C$37</f>
        <v>0</v>
      </c>
      <c r="D16" s="16">
        <f>[22]Resumen!$D$37</f>
        <v>0</v>
      </c>
      <c r="E16" s="14">
        <f>[22]Resumen!$E$37</f>
        <v>0</v>
      </c>
      <c r="F16" s="15">
        <f>[22]Resumen!$F$37</f>
        <v>0</v>
      </c>
      <c r="G16" s="17">
        <f>[22]Resumen!$G$37</f>
        <v>0</v>
      </c>
      <c r="H16" s="18">
        <f>[22]Resumen!$H$37</f>
        <v>0</v>
      </c>
      <c r="I16" s="15">
        <f>[22]Resumen!$I$37</f>
        <v>0</v>
      </c>
      <c r="J16" s="16">
        <f>[22]Resumen!$J$37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[23]Resumen!$B$37</f>
        <v>0</v>
      </c>
      <c r="C17" s="15">
        <f>[23]Resumen!$C$37</f>
        <v>0</v>
      </c>
      <c r="D17" s="16">
        <f>[23]Resumen!$D$37</f>
        <v>0</v>
      </c>
      <c r="E17" s="14">
        <f>[23]Resumen!$E$37</f>
        <v>0</v>
      </c>
      <c r="F17" s="15">
        <f>[23]Resumen!$F$37</f>
        <v>0</v>
      </c>
      <c r="G17" s="17">
        <f>[23]Resumen!$G$37</f>
        <v>0</v>
      </c>
      <c r="H17" s="18">
        <f>[23]Resumen!$H$37</f>
        <v>0</v>
      </c>
      <c r="I17" s="15">
        <f>[23]Resumen!$I$37</f>
        <v>0</v>
      </c>
      <c r="J17" s="16">
        <f>[23]Resumen!$J$37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[24]Resumen!$B$37</f>
        <v>0</v>
      </c>
      <c r="C18" s="15">
        <f>[24]Resumen!$C$37</f>
        <v>0</v>
      </c>
      <c r="D18" s="16">
        <f>[24]Resumen!$D$37</f>
        <v>0</v>
      </c>
      <c r="E18" s="14">
        <f>[24]Resumen!$E$37</f>
        <v>0</v>
      </c>
      <c r="F18" s="15">
        <f>[24]Resumen!$F$37</f>
        <v>0</v>
      </c>
      <c r="G18" s="17">
        <f>[24]Resumen!$G$37</f>
        <v>0</v>
      </c>
      <c r="H18" s="18">
        <f>[24]Resumen!$H$37</f>
        <v>0</v>
      </c>
      <c r="I18" s="15">
        <f>[24]Resumen!$I$37</f>
        <v>0</v>
      </c>
      <c r="J18" s="16">
        <f>[24]Resumen!$J$37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[25]Resumen!$B$37</f>
        <v>0</v>
      </c>
      <c r="C19" s="15">
        <f>[25]Resumen!$C$37</f>
        <v>0</v>
      </c>
      <c r="D19" s="16">
        <f>[25]Resumen!$D$37</f>
        <v>0</v>
      </c>
      <c r="E19" s="14">
        <f>[25]Resumen!$E$37</f>
        <v>0</v>
      </c>
      <c r="F19" s="15">
        <f>[25]Resumen!$F$37</f>
        <v>0</v>
      </c>
      <c r="G19" s="17">
        <f>[25]Resumen!$G$37</f>
        <v>0</v>
      </c>
      <c r="H19" s="18">
        <f>[25]Resumen!$H$37</f>
        <v>0</v>
      </c>
      <c r="I19" s="15">
        <f>[25]Resumen!$I$37</f>
        <v>0</v>
      </c>
      <c r="J19" s="16">
        <f>[25]Resumen!$J$37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[26]Resumen!$B$37</f>
        <v>0</v>
      </c>
      <c r="C20" s="15">
        <f>[26]Resumen!$C$37</f>
        <v>0</v>
      </c>
      <c r="D20" s="16">
        <f>[26]Resumen!$D$37</f>
        <v>0</v>
      </c>
      <c r="E20" s="14">
        <f>[26]Resumen!$E$37</f>
        <v>0</v>
      </c>
      <c r="F20" s="15">
        <f>[26]Resumen!$F$37</f>
        <v>0</v>
      </c>
      <c r="G20" s="17">
        <f>[26]Resumen!$G$37</f>
        <v>0</v>
      </c>
      <c r="H20" s="18">
        <f>[26]Resumen!$H$37</f>
        <v>0</v>
      </c>
      <c r="I20" s="15">
        <f>[26]Resumen!$I$37</f>
        <v>0</v>
      </c>
      <c r="J20" s="16">
        <f>[26]Resumen!$J$37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[27]Resumen!$B$37</f>
        <v>0</v>
      </c>
      <c r="C21" s="15">
        <f>[27]Resumen!$C$37</f>
        <v>0</v>
      </c>
      <c r="D21" s="16">
        <f>[27]Resumen!$D$37</f>
        <v>0</v>
      </c>
      <c r="E21" s="14">
        <f>[27]Resumen!$E$37</f>
        <v>0</v>
      </c>
      <c r="F21" s="15">
        <f>[27]Resumen!$F$37</f>
        <v>0</v>
      </c>
      <c r="G21" s="17">
        <f>[27]Resumen!$G$37</f>
        <v>0</v>
      </c>
      <c r="H21" s="18">
        <f>[27]Resumen!$H$37</f>
        <v>0</v>
      </c>
      <c r="I21" s="15">
        <f>[27]Resumen!$I$37</f>
        <v>0</v>
      </c>
      <c r="J21" s="16">
        <f>[27]Resumen!$J$37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[28]Resumen!$B$37</f>
        <v>0</v>
      </c>
      <c r="C22" s="15">
        <f>[28]Resumen!$C$37</f>
        <v>0</v>
      </c>
      <c r="D22" s="16">
        <f>[28]Resumen!$D$37</f>
        <v>0</v>
      </c>
      <c r="E22" s="14">
        <f>[28]Resumen!$E$37</f>
        <v>0</v>
      </c>
      <c r="F22" s="15">
        <f>[28]Resumen!$F$37</f>
        <v>0</v>
      </c>
      <c r="G22" s="17">
        <f>[28]Resumen!$G$37</f>
        <v>0</v>
      </c>
      <c r="H22" s="18">
        <f>[28]Resumen!$H$37</f>
        <v>0</v>
      </c>
      <c r="I22" s="15">
        <f>[28]Resumen!$I$37</f>
        <v>0</v>
      </c>
      <c r="J22" s="16">
        <f>[28]Resumen!$J$37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[29]Resumen!$B$37</f>
        <v>0</v>
      </c>
      <c r="C23" s="15">
        <f>[29]Resumen!$C$37</f>
        <v>0</v>
      </c>
      <c r="D23" s="16">
        <f>[29]Resumen!$D$37</f>
        <v>0</v>
      </c>
      <c r="E23" s="14">
        <f>[29]Resumen!$E$37</f>
        <v>0</v>
      </c>
      <c r="F23" s="15">
        <f>[29]Resumen!$F$37</f>
        <v>0</v>
      </c>
      <c r="G23" s="17">
        <f>[29]Resumen!$G$37</f>
        <v>0</v>
      </c>
      <c r="H23" s="18">
        <f>[29]Resumen!$H$37</f>
        <v>0</v>
      </c>
      <c r="I23" s="15">
        <f>[29]Resumen!$I$37</f>
        <v>0</v>
      </c>
      <c r="J23" s="16">
        <f>[29]Resumen!$J$37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[30]Resumen!$B$37</f>
        <v>0</v>
      </c>
      <c r="C24" s="15">
        <f>[30]Resumen!$C$37</f>
        <v>0</v>
      </c>
      <c r="D24" s="16">
        <f>[30]Resumen!$D$37</f>
        <v>0</v>
      </c>
      <c r="E24" s="14">
        <f>[30]Resumen!$E$37</f>
        <v>0</v>
      </c>
      <c r="F24" s="15">
        <f>[30]Resumen!$F$37</f>
        <v>0</v>
      </c>
      <c r="G24" s="17">
        <f>[30]Resumen!$G$37</f>
        <v>0</v>
      </c>
      <c r="H24" s="18">
        <f>[30]Resumen!$H$37</f>
        <v>0</v>
      </c>
      <c r="I24" s="15">
        <f>[30]Resumen!$I$37</f>
        <v>0</v>
      </c>
      <c r="J24" s="16">
        <f>[30]Resumen!$J$37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[31]Resumen!$B$37</f>
        <v>0</v>
      </c>
      <c r="C25" s="15">
        <f>[31]Resumen!$C$37</f>
        <v>0</v>
      </c>
      <c r="D25" s="16">
        <f>[31]Resumen!$D$37</f>
        <v>0</v>
      </c>
      <c r="E25" s="14">
        <f>[31]Resumen!$E$37</f>
        <v>0</v>
      </c>
      <c r="F25" s="15">
        <f>[31]Resumen!$F$37</f>
        <v>0</v>
      </c>
      <c r="G25" s="17">
        <f>[31]Resumen!$G$37</f>
        <v>0</v>
      </c>
      <c r="H25" s="18">
        <f>[31]Resumen!$H$37</f>
        <v>0</v>
      </c>
      <c r="I25" s="15">
        <f>[31]Resumen!$I$37</f>
        <v>0</v>
      </c>
      <c r="J25" s="16">
        <f>[31]Resumen!$J$37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[1]Resumen!$B$37</f>
        <v>0</v>
      </c>
      <c r="C26" s="15">
        <f>[1]Resumen!$C$37</f>
        <v>0</v>
      </c>
      <c r="D26" s="16">
        <f>[1]Resumen!$D$37</f>
        <v>0</v>
      </c>
      <c r="E26" s="14">
        <f>[1]Resumen!$E$37</f>
        <v>0</v>
      </c>
      <c r="F26" s="15">
        <f>[1]Resumen!$F$37</f>
        <v>0</v>
      </c>
      <c r="G26" s="17">
        <f>[1]Resumen!$G$37</f>
        <v>0</v>
      </c>
      <c r="H26" s="18">
        <f>[1]Resumen!$H$37</f>
        <v>0</v>
      </c>
      <c r="I26" s="15">
        <f>[1]Resumen!$I$37</f>
        <v>0</v>
      </c>
      <c r="J26" s="16">
        <f>[1]Resumen!$J$37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[2]Resumen!$B$37</f>
        <v>0</v>
      </c>
      <c r="C27" s="15">
        <f>[2]Resumen!$C$37</f>
        <v>0</v>
      </c>
      <c r="D27" s="16">
        <f>[2]Resumen!$D$37</f>
        <v>0</v>
      </c>
      <c r="E27" s="14">
        <f>[2]Resumen!$E$37</f>
        <v>0</v>
      </c>
      <c r="F27" s="15">
        <f>[2]Resumen!$F$37</f>
        <v>0</v>
      </c>
      <c r="G27" s="17">
        <f>[2]Resumen!$G$37</f>
        <v>0</v>
      </c>
      <c r="H27" s="18">
        <f>[2]Resumen!$H$37</f>
        <v>0</v>
      </c>
      <c r="I27" s="15">
        <f>[2]Resumen!$I$37</f>
        <v>0</v>
      </c>
      <c r="J27" s="16">
        <f>[2]Resumen!$J$37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[3]Resumen!$B$37</f>
        <v>0</v>
      </c>
      <c r="C28" s="15">
        <f>[3]Resumen!$C$37</f>
        <v>0</v>
      </c>
      <c r="D28" s="16">
        <f>[3]Resumen!$D$37</f>
        <v>0</v>
      </c>
      <c r="E28" s="14">
        <f>[3]Resumen!$E$37</f>
        <v>0</v>
      </c>
      <c r="F28" s="15">
        <f>[3]Resumen!$F$37</f>
        <v>0</v>
      </c>
      <c r="G28" s="17">
        <f>[3]Resumen!$G$37</f>
        <v>0</v>
      </c>
      <c r="H28" s="18">
        <f>[3]Resumen!$H$37</f>
        <v>0</v>
      </c>
      <c r="I28" s="15">
        <f>[3]Resumen!$I$37</f>
        <v>0</v>
      </c>
      <c r="J28" s="16">
        <f>[3]Resumen!$J$37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[4]Resumen!$B$37</f>
        <v>0</v>
      </c>
      <c r="C29" s="15">
        <f>[4]Resumen!$C$37</f>
        <v>0</v>
      </c>
      <c r="D29" s="16">
        <f>[4]Resumen!$D$37</f>
        <v>0</v>
      </c>
      <c r="E29" s="14">
        <f>[4]Resumen!$E$37</f>
        <v>0</v>
      </c>
      <c r="F29" s="15">
        <f>[4]Resumen!$F$37</f>
        <v>0</v>
      </c>
      <c r="G29" s="17">
        <f>[4]Resumen!$G$37</f>
        <v>0</v>
      </c>
      <c r="H29" s="18">
        <f>[4]Resumen!$H$37</f>
        <v>0</v>
      </c>
      <c r="I29" s="15">
        <f>[4]Resumen!$I$37</f>
        <v>0</v>
      </c>
      <c r="J29" s="16">
        <f>[4]Resumen!$J$37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[5]Resumen!$B$37</f>
        <v>0</v>
      </c>
      <c r="C30" s="15">
        <f>[5]Resumen!$C$37</f>
        <v>0</v>
      </c>
      <c r="D30" s="16">
        <f>[5]Resumen!$D$37</f>
        <v>0</v>
      </c>
      <c r="E30" s="14">
        <f>[5]Resumen!$E$37</f>
        <v>0</v>
      </c>
      <c r="F30" s="15">
        <f>[5]Resumen!$F$37</f>
        <v>0</v>
      </c>
      <c r="G30" s="17">
        <f>[5]Resumen!$G$37</f>
        <v>0</v>
      </c>
      <c r="H30" s="18">
        <f>[5]Resumen!$H$37</f>
        <v>0</v>
      </c>
      <c r="I30" s="15">
        <f>[5]Resumen!$I$37</f>
        <v>0</v>
      </c>
      <c r="J30" s="16">
        <f>[5]Resumen!$J$37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[6]Resumen!$B$37</f>
        <v>0</v>
      </c>
      <c r="C31" s="15">
        <f>[6]Resumen!$C$37</f>
        <v>0</v>
      </c>
      <c r="D31" s="16">
        <f>[6]Resumen!$D$37</f>
        <v>0</v>
      </c>
      <c r="E31" s="14">
        <f>[6]Resumen!$E$37</f>
        <v>0</v>
      </c>
      <c r="F31" s="15">
        <f>[6]Resumen!$F$37</f>
        <v>0</v>
      </c>
      <c r="G31" s="17">
        <f>[6]Resumen!$G$37</f>
        <v>0</v>
      </c>
      <c r="H31" s="18">
        <f>[6]Resumen!$H$37</f>
        <v>0</v>
      </c>
      <c r="I31" s="15">
        <f>[6]Resumen!$I$37</f>
        <v>0</v>
      </c>
      <c r="J31" s="16">
        <f>[6]Resumen!$J$37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[7]Resumen!$B$37</f>
        <v>0</v>
      </c>
      <c r="C32" s="15">
        <f>[7]Resumen!$C$37</f>
        <v>0</v>
      </c>
      <c r="D32" s="16">
        <f>[7]Resumen!$D$37</f>
        <v>0</v>
      </c>
      <c r="E32" s="14">
        <f>[7]Resumen!$E$37</f>
        <v>0</v>
      </c>
      <c r="F32" s="15">
        <f>[7]Resumen!$F$37</f>
        <v>0</v>
      </c>
      <c r="G32" s="17">
        <f>[7]Resumen!$G$37</f>
        <v>0</v>
      </c>
      <c r="H32" s="18">
        <f>[7]Resumen!$H$37</f>
        <v>0</v>
      </c>
      <c r="I32" s="15">
        <f>[7]Resumen!$I$37</f>
        <v>0</v>
      </c>
      <c r="J32" s="16">
        <f>[7]Resumen!$J$37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[8]Resumen!$B$37</f>
        <v>0</v>
      </c>
      <c r="C33" s="15">
        <f>[8]Resumen!$C$37</f>
        <v>0</v>
      </c>
      <c r="D33" s="16">
        <f>[8]Resumen!$D$37</f>
        <v>0</v>
      </c>
      <c r="E33" s="14">
        <f>[8]Resumen!$E$37</f>
        <v>0</v>
      </c>
      <c r="F33" s="15">
        <f>[8]Resumen!$F$37</f>
        <v>0</v>
      </c>
      <c r="G33" s="17">
        <f>[8]Resumen!$G$37</f>
        <v>0</v>
      </c>
      <c r="H33" s="18">
        <f>[8]Resumen!$H$37</f>
        <v>0</v>
      </c>
      <c r="I33" s="15">
        <f>[8]Resumen!$I$37</f>
        <v>0</v>
      </c>
      <c r="J33" s="16">
        <f>[8]Resumen!$J$37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[9]Resumen!$B$37</f>
        <v>0</v>
      </c>
      <c r="C34" s="15">
        <f>[9]Resumen!$C$37</f>
        <v>0</v>
      </c>
      <c r="D34" s="16">
        <f>[9]Resumen!$D$37</f>
        <v>0</v>
      </c>
      <c r="E34" s="14">
        <f>[9]Resumen!$E$37</f>
        <v>0</v>
      </c>
      <c r="F34" s="15">
        <f>[9]Resumen!$F$37</f>
        <v>0</v>
      </c>
      <c r="G34" s="17">
        <f>[9]Resumen!$G$37</f>
        <v>0</v>
      </c>
      <c r="H34" s="18">
        <f>[9]Resumen!$H$37</f>
        <v>0</v>
      </c>
      <c r="I34" s="15">
        <f>[9]Resumen!$I$37</f>
        <v>0</v>
      </c>
      <c r="J34" s="16">
        <f>[9]Resumen!$J$37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+[10]Resumen!$B$37</f>
        <v>0</v>
      </c>
      <c r="C35" s="22">
        <f>+[10]Resumen!$C$37</f>
        <v>0</v>
      </c>
      <c r="D35" s="23">
        <f>+[10]Resumen!$D$37</f>
        <v>0</v>
      </c>
      <c r="E35" s="21">
        <f>+[10]Resumen!$E$37</f>
        <v>0</v>
      </c>
      <c r="F35" s="22">
        <f>+[10]Resumen!$F$37</f>
        <v>0</v>
      </c>
      <c r="G35" s="24">
        <f>+[10]Resumen!$G$37</f>
        <v>0</v>
      </c>
      <c r="H35" s="25">
        <f>+[10]Resumen!$H$37</f>
        <v>0</v>
      </c>
      <c r="I35" s="22">
        <f>+[10]Resumen!$I$37</f>
        <v>0</v>
      </c>
      <c r="J35" s="23">
        <f>+[10]Resumen!$J$37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65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[11]Resumen!$B$38</f>
        <v>0</v>
      </c>
      <c r="C5" s="58">
        <f>[11]Resumen!$C$38</f>
        <v>0</v>
      </c>
      <c r="D5" s="54">
        <f>[11]Resumen!$D$38</f>
        <v>0</v>
      </c>
      <c r="E5" s="53">
        <f>[11]Resumen!$E$38</f>
        <v>0</v>
      </c>
      <c r="F5" s="58">
        <f>[11]Resumen!$F$38</f>
        <v>0</v>
      </c>
      <c r="G5" s="55">
        <f>[11]Resumen!$G$38</f>
        <v>0</v>
      </c>
      <c r="H5" s="61">
        <f>[11]Resumen!$H$38</f>
        <v>0</v>
      </c>
      <c r="I5" s="58">
        <f>[11]Resumen!$I$38</f>
        <v>0</v>
      </c>
      <c r="J5" s="54">
        <f>[11]Resumen!$J$38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[12]Resumen!$B$38</f>
        <v>0</v>
      </c>
      <c r="C6" s="15">
        <f>[12]Resumen!$C$38</f>
        <v>0</v>
      </c>
      <c r="D6" s="16">
        <f>[12]Resumen!$D$38</f>
        <v>0</v>
      </c>
      <c r="E6" s="14">
        <f>[12]Resumen!$E$38</f>
        <v>0</v>
      </c>
      <c r="F6" s="15">
        <f>[12]Resumen!$F$38</f>
        <v>0</v>
      </c>
      <c r="G6" s="17">
        <f>[12]Resumen!$G$38</f>
        <v>0</v>
      </c>
      <c r="H6" s="18">
        <f>[12]Resumen!$H$38</f>
        <v>0</v>
      </c>
      <c r="I6" s="15">
        <f>[12]Resumen!$I$38</f>
        <v>0</v>
      </c>
      <c r="J6" s="16">
        <f>[12]Resumen!$J$38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[13]Resumen!$B$38</f>
        <v>0</v>
      </c>
      <c r="C7" s="15">
        <f>[13]Resumen!$C$38</f>
        <v>0</v>
      </c>
      <c r="D7" s="16">
        <f>[13]Resumen!$D$38</f>
        <v>0</v>
      </c>
      <c r="E7" s="14">
        <f>[13]Resumen!$E$38</f>
        <v>0</v>
      </c>
      <c r="F7" s="15">
        <f>[13]Resumen!$F$38</f>
        <v>0</v>
      </c>
      <c r="G7" s="17">
        <f>[13]Resumen!$G$38</f>
        <v>0</v>
      </c>
      <c r="H7" s="18">
        <f>[13]Resumen!$H$38</f>
        <v>0</v>
      </c>
      <c r="I7" s="15">
        <f>[13]Resumen!$I$38</f>
        <v>0</v>
      </c>
      <c r="J7" s="16">
        <f>[13]Resumen!$J$38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[14]Resumen!$B$38</f>
        <v>0</v>
      </c>
      <c r="C8" s="15">
        <f>[14]Resumen!$C$38</f>
        <v>0</v>
      </c>
      <c r="D8" s="16">
        <f>[14]Resumen!$D$38</f>
        <v>0</v>
      </c>
      <c r="E8" s="14">
        <f>[14]Resumen!$E$38</f>
        <v>0</v>
      </c>
      <c r="F8" s="15">
        <f>[14]Resumen!$F$38</f>
        <v>0</v>
      </c>
      <c r="G8" s="17">
        <f>[14]Resumen!$G$38</f>
        <v>0</v>
      </c>
      <c r="H8" s="18">
        <f>[14]Resumen!$H$38</f>
        <v>0</v>
      </c>
      <c r="I8" s="15">
        <f>[14]Resumen!$I$38</f>
        <v>0</v>
      </c>
      <c r="J8" s="16">
        <f>[14]Resumen!$J$38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[15]Resumen!$B$38</f>
        <v>0</v>
      </c>
      <c r="C9" s="15">
        <f>[15]Resumen!$C$38</f>
        <v>0</v>
      </c>
      <c r="D9" s="16">
        <f>[15]Resumen!$D$38</f>
        <v>0</v>
      </c>
      <c r="E9" s="14">
        <f>[15]Resumen!$E$38</f>
        <v>0</v>
      </c>
      <c r="F9" s="15">
        <f>[15]Resumen!$F$38</f>
        <v>0</v>
      </c>
      <c r="G9" s="17">
        <f>[15]Resumen!$G$38</f>
        <v>0</v>
      </c>
      <c r="H9" s="18">
        <f>[15]Resumen!$H$38</f>
        <v>0</v>
      </c>
      <c r="I9" s="15">
        <f>[15]Resumen!$I$38</f>
        <v>0</v>
      </c>
      <c r="J9" s="16">
        <f>[15]Resumen!$J$38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[16]Resumen!$B$38</f>
        <v>0</v>
      </c>
      <c r="C10" s="15">
        <f>[16]Resumen!$C$38</f>
        <v>0</v>
      </c>
      <c r="D10" s="16">
        <f>[16]Resumen!$D$38</f>
        <v>0</v>
      </c>
      <c r="E10" s="14">
        <f>[16]Resumen!$E$38</f>
        <v>0</v>
      </c>
      <c r="F10" s="15">
        <f>[16]Resumen!$F$38</f>
        <v>0</v>
      </c>
      <c r="G10" s="17">
        <f>[16]Resumen!$G$38</f>
        <v>0</v>
      </c>
      <c r="H10" s="18">
        <f>[16]Resumen!$H$38</f>
        <v>0</v>
      </c>
      <c r="I10" s="15">
        <f>[16]Resumen!$I$38</f>
        <v>0</v>
      </c>
      <c r="J10" s="16">
        <f>[16]Resumen!$J$38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[17]Resumen!$B$38</f>
        <v>0</v>
      </c>
      <c r="C11" s="15">
        <f>[17]Resumen!$C$38</f>
        <v>0</v>
      </c>
      <c r="D11" s="16">
        <f>[17]Resumen!$D$38</f>
        <v>0</v>
      </c>
      <c r="E11" s="14">
        <f>[17]Resumen!$E$38</f>
        <v>0</v>
      </c>
      <c r="F11" s="15">
        <f>[17]Resumen!$F$38</f>
        <v>0</v>
      </c>
      <c r="G11" s="17">
        <f>[17]Resumen!$G$38</f>
        <v>0</v>
      </c>
      <c r="H11" s="18">
        <f>[17]Resumen!$H$38</f>
        <v>0</v>
      </c>
      <c r="I11" s="15">
        <f>[17]Resumen!$I$38</f>
        <v>0</v>
      </c>
      <c r="J11" s="16">
        <f>[17]Resumen!$J$38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[18]Resumen!$B$38</f>
        <v>0</v>
      </c>
      <c r="C12" s="15">
        <f>[18]Resumen!$C$38</f>
        <v>0</v>
      </c>
      <c r="D12" s="16">
        <f>[18]Resumen!$D$38</f>
        <v>0</v>
      </c>
      <c r="E12" s="14">
        <f>[18]Resumen!$E$38</f>
        <v>0</v>
      </c>
      <c r="F12" s="15">
        <f>[18]Resumen!$F$38</f>
        <v>0</v>
      </c>
      <c r="G12" s="17">
        <f>[18]Resumen!$G$38</f>
        <v>0</v>
      </c>
      <c r="H12" s="18">
        <f>[18]Resumen!$H$38</f>
        <v>0</v>
      </c>
      <c r="I12" s="15">
        <f>[18]Resumen!$I$38</f>
        <v>0</v>
      </c>
      <c r="J12" s="16">
        <f>[18]Resumen!$J$38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[19]Resumen!$B$38</f>
        <v>0</v>
      </c>
      <c r="C13" s="15">
        <f>[19]Resumen!$C$38</f>
        <v>0</v>
      </c>
      <c r="D13" s="16">
        <f>[19]Resumen!$D$38</f>
        <v>0</v>
      </c>
      <c r="E13" s="14">
        <f>[19]Resumen!$E$38</f>
        <v>0</v>
      </c>
      <c r="F13" s="15">
        <f>[19]Resumen!$F$38</f>
        <v>0</v>
      </c>
      <c r="G13" s="17">
        <f>[19]Resumen!$G$38</f>
        <v>0</v>
      </c>
      <c r="H13" s="18">
        <f>[19]Resumen!$H$38</f>
        <v>0</v>
      </c>
      <c r="I13" s="15">
        <f>[19]Resumen!$I$38</f>
        <v>0</v>
      </c>
      <c r="J13" s="16">
        <f>[19]Resumen!$J$38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[20]Resumen!$B$38</f>
        <v>0</v>
      </c>
      <c r="C14" s="15">
        <f>[20]Resumen!$C$38</f>
        <v>0</v>
      </c>
      <c r="D14" s="16">
        <f>[20]Resumen!$D$38</f>
        <v>0</v>
      </c>
      <c r="E14" s="14">
        <f>[20]Resumen!$E$38</f>
        <v>0</v>
      </c>
      <c r="F14" s="15">
        <f>[20]Resumen!$F$38</f>
        <v>0</v>
      </c>
      <c r="G14" s="17">
        <f>[20]Resumen!$G$38</f>
        <v>0</v>
      </c>
      <c r="H14" s="18">
        <f>[20]Resumen!$H$38</f>
        <v>0</v>
      </c>
      <c r="I14" s="15">
        <f>[20]Resumen!$I$38</f>
        <v>0</v>
      </c>
      <c r="J14" s="16">
        <f>[20]Resumen!$J$38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[21]Resumen!$B$38</f>
        <v>0</v>
      </c>
      <c r="C15" s="15">
        <f>[21]Resumen!$C$38</f>
        <v>0</v>
      </c>
      <c r="D15" s="16">
        <f>[21]Resumen!$D$38</f>
        <v>0</v>
      </c>
      <c r="E15" s="14">
        <f>[21]Resumen!$E$38</f>
        <v>0</v>
      </c>
      <c r="F15" s="15">
        <f>[21]Resumen!$F$38</f>
        <v>0</v>
      </c>
      <c r="G15" s="17">
        <f>[21]Resumen!$G$38</f>
        <v>0</v>
      </c>
      <c r="H15" s="18">
        <f>[21]Resumen!$H$38</f>
        <v>0</v>
      </c>
      <c r="I15" s="15">
        <f>[21]Resumen!$I$38</f>
        <v>0</v>
      </c>
      <c r="J15" s="16">
        <f>[21]Resumen!$J$38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[22]Resumen!$B$38</f>
        <v>0</v>
      </c>
      <c r="C16" s="15">
        <f>[22]Resumen!$C$38</f>
        <v>0</v>
      </c>
      <c r="D16" s="16">
        <f>[22]Resumen!$D$38</f>
        <v>0</v>
      </c>
      <c r="E16" s="14">
        <f>[22]Resumen!$E$38</f>
        <v>0</v>
      </c>
      <c r="F16" s="15">
        <f>[22]Resumen!$F$38</f>
        <v>0</v>
      </c>
      <c r="G16" s="17">
        <f>[22]Resumen!$G$38</f>
        <v>0</v>
      </c>
      <c r="H16" s="18">
        <f>[22]Resumen!$H$38</f>
        <v>0</v>
      </c>
      <c r="I16" s="15">
        <f>[22]Resumen!$I$38</f>
        <v>0</v>
      </c>
      <c r="J16" s="16">
        <f>[22]Resumen!$J$38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[23]Resumen!$B$38</f>
        <v>0</v>
      </c>
      <c r="C17" s="15">
        <f>[23]Resumen!$C$38</f>
        <v>0</v>
      </c>
      <c r="D17" s="16">
        <f>[23]Resumen!$D$38</f>
        <v>0</v>
      </c>
      <c r="E17" s="14">
        <f>[23]Resumen!$E$38</f>
        <v>0</v>
      </c>
      <c r="F17" s="15">
        <f>[23]Resumen!$F$38</f>
        <v>0</v>
      </c>
      <c r="G17" s="17">
        <f>[23]Resumen!$G$38</f>
        <v>0</v>
      </c>
      <c r="H17" s="18">
        <f>[23]Resumen!$H$38</f>
        <v>0</v>
      </c>
      <c r="I17" s="15">
        <f>[23]Resumen!$I$38</f>
        <v>0</v>
      </c>
      <c r="J17" s="16">
        <f>[23]Resumen!$J$38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[24]Resumen!$B$38</f>
        <v>0</v>
      </c>
      <c r="C18" s="15">
        <f>[24]Resumen!$C$38</f>
        <v>0</v>
      </c>
      <c r="D18" s="16">
        <f>[24]Resumen!$D$38</f>
        <v>0</v>
      </c>
      <c r="E18" s="14">
        <f>[24]Resumen!$E$38</f>
        <v>0</v>
      </c>
      <c r="F18" s="15">
        <f>[24]Resumen!$F$38</f>
        <v>0</v>
      </c>
      <c r="G18" s="17">
        <f>[24]Resumen!$G$38</f>
        <v>0</v>
      </c>
      <c r="H18" s="18">
        <f>[24]Resumen!$H$38</f>
        <v>0</v>
      </c>
      <c r="I18" s="15">
        <f>[24]Resumen!$I$38</f>
        <v>0</v>
      </c>
      <c r="J18" s="16">
        <f>[24]Resumen!$J$38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[25]Resumen!$B$38</f>
        <v>0</v>
      </c>
      <c r="C19" s="15">
        <f>[25]Resumen!$C$38</f>
        <v>0</v>
      </c>
      <c r="D19" s="16">
        <f>[25]Resumen!$D$38</f>
        <v>0</v>
      </c>
      <c r="E19" s="14">
        <f>[25]Resumen!$E$38</f>
        <v>0</v>
      </c>
      <c r="F19" s="15">
        <f>[25]Resumen!$F$38</f>
        <v>0</v>
      </c>
      <c r="G19" s="17">
        <f>[25]Resumen!$G$38</f>
        <v>0</v>
      </c>
      <c r="H19" s="18">
        <f>[25]Resumen!$H$38</f>
        <v>0</v>
      </c>
      <c r="I19" s="15">
        <f>[25]Resumen!$I$38</f>
        <v>0</v>
      </c>
      <c r="J19" s="16">
        <f>[25]Resumen!$J$38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[26]Resumen!$B$38</f>
        <v>0</v>
      </c>
      <c r="C20" s="15">
        <f>[26]Resumen!$C$38</f>
        <v>0</v>
      </c>
      <c r="D20" s="16">
        <f>[26]Resumen!$D$38</f>
        <v>0</v>
      </c>
      <c r="E20" s="14">
        <f>[26]Resumen!$E$38</f>
        <v>0</v>
      </c>
      <c r="F20" s="15">
        <f>[26]Resumen!$F$38</f>
        <v>0</v>
      </c>
      <c r="G20" s="17">
        <f>[26]Resumen!$G$38</f>
        <v>0</v>
      </c>
      <c r="H20" s="18">
        <f>[26]Resumen!$H$38</f>
        <v>0</v>
      </c>
      <c r="I20" s="15">
        <f>[26]Resumen!$I$38</f>
        <v>0</v>
      </c>
      <c r="J20" s="16">
        <f>[26]Resumen!$J$38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[27]Resumen!$B$38</f>
        <v>0</v>
      </c>
      <c r="C21" s="15">
        <f>[27]Resumen!$C$38</f>
        <v>0</v>
      </c>
      <c r="D21" s="16">
        <f>[27]Resumen!$D$38</f>
        <v>0</v>
      </c>
      <c r="E21" s="14">
        <f>[27]Resumen!$E$38</f>
        <v>0</v>
      </c>
      <c r="F21" s="15">
        <f>[27]Resumen!$F$38</f>
        <v>0</v>
      </c>
      <c r="G21" s="17">
        <f>[27]Resumen!$G$38</f>
        <v>0</v>
      </c>
      <c r="H21" s="18">
        <f>[27]Resumen!$H$38</f>
        <v>0</v>
      </c>
      <c r="I21" s="15">
        <f>[27]Resumen!$I$38</f>
        <v>0</v>
      </c>
      <c r="J21" s="16">
        <f>[27]Resumen!$J$38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[28]Resumen!$B$38</f>
        <v>0</v>
      </c>
      <c r="C22" s="15">
        <f>[28]Resumen!$C$38</f>
        <v>0</v>
      </c>
      <c r="D22" s="16">
        <f>[28]Resumen!$D$38</f>
        <v>0</v>
      </c>
      <c r="E22" s="14">
        <f>[28]Resumen!$E$38</f>
        <v>0</v>
      </c>
      <c r="F22" s="15">
        <f>[28]Resumen!$F$38</f>
        <v>0</v>
      </c>
      <c r="G22" s="17">
        <f>[28]Resumen!$G$38</f>
        <v>0</v>
      </c>
      <c r="H22" s="18">
        <f>[28]Resumen!$H$38</f>
        <v>0</v>
      </c>
      <c r="I22" s="15">
        <f>[28]Resumen!$I$38</f>
        <v>0</v>
      </c>
      <c r="J22" s="16">
        <f>[28]Resumen!$J$38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[29]Resumen!$B$38</f>
        <v>0</v>
      </c>
      <c r="C23" s="15">
        <f>[29]Resumen!$C$38</f>
        <v>0</v>
      </c>
      <c r="D23" s="16">
        <f>[29]Resumen!$D$38</f>
        <v>0</v>
      </c>
      <c r="E23" s="14">
        <f>[29]Resumen!$E$38</f>
        <v>0</v>
      </c>
      <c r="F23" s="15">
        <f>[29]Resumen!$F$38</f>
        <v>0</v>
      </c>
      <c r="G23" s="17">
        <f>[29]Resumen!$G$38</f>
        <v>0</v>
      </c>
      <c r="H23" s="18">
        <f>[29]Resumen!$H$38</f>
        <v>0</v>
      </c>
      <c r="I23" s="15">
        <f>[29]Resumen!$I$38</f>
        <v>0</v>
      </c>
      <c r="J23" s="16">
        <f>[29]Resumen!$J$38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[30]Resumen!$B$38</f>
        <v>0</v>
      </c>
      <c r="C24" s="15">
        <f>[30]Resumen!$C$38</f>
        <v>0</v>
      </c>
      <c r="D24" s="16">
        <f>[30]Resumen!$D$38</f>
        <v>0</v>
      </c>
      <c r="E24" s="14">
        <f>[30]Resumen!$E$38</f>
        <v>0</v>
      </c>
      <c r="F24" s="15">
        <f>[30]Resumen!$F$38</f>
        <v>0</v>
      </c>
      <c r="G24" s="17">
        <f>[30]Resumen!$G$38</f>
        <v>0</v>
      </c>
      <c r="H24" s="18">
        <f>[30]Resumen!$H$38</f>
        <v>0</v>
      </c>
      <c r="I24" s="15">
        <f>[30]Resumen!$I$38</f>
        <v>0</v>
      </c>
      <c r="J24" s="16">
        <f>[30]Resumen!$J$38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[31]Resumen!$B$38</f>
        <v>0</v>
      </c>
      <c r="C25" s="15">
        <f>[31]Resumen!$C$38</f>
        <v>0</v>
      </c>
      <c r="D25" s="16">
        <f>[31]Resumen!$D$38</f>
        <v>0</v>
      </c>
      <c r="E25" s="14">
        <f>[31]Resumen!$E$38</f>
        <v>0</v>
      </c>
      <c r="F25" s="15">
        <f>[31]Resumen!$F$38</f>
        <v>0</v>
      </c>
      <c r="G25" s="17">
        <f>[31]Resumen!$G$38</f>
        <v>0</v>
      </c>
      <c r="H25" s="18">
        <f>[31]Resumen!$H$38</f>
        <v>0</v>
      </c>
      <c r="I25" s="15">
        <f>[31]Resumen!$I$38</f>
        <v>0</v>
      </c>
      <c r="J25" s="16">
        <f>[31]Resumen!$J$38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[1]Resumen!$B$38</f>
        <v>0</v>
      </c>
      <c r="C26" s="15">
        <f>[1]Resumen!$C$38</f>
        <v>0</v>
      </c>
      <c r="D26" s="16">
        <f>[1]Resumen!$D$38</f>
        <v>0</v>
      </c>
      <c r="E26" s="14">
        <f>[1]Resumen!$E$38</f>
        <v>0</v>
      </c>
      <c r="F26" s="15">
        <f>[1]Resumen!$F$38</f>
        <v>0</v>
      </c>
      <c r="G26" s="17">
        <f>[1]Resumen!$G$38</f>
        <v>0</v>
      </c>
      <c r="H26" s="18">
        <f>[1]Resumen!$H$38</f>
        <v>0</v>
      </c>
      <c r="I26" s="15">
        <f>[1]Resumen!$I$38</f>
        <v>0</v>
      </c>
      <c r="J26" s="16">
        <f>[1]Resumen!$J$38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[2]Resumen!$B$38</f>
        <v>0</v>
      </c>
      <c r="C27" s="15">
        <f>[2]Resumen!$C$38</f>
        <v>0</v>
      </c>
      <c r="D27" s="16">
        <f>[2]Resumen!$D$38</f>
        <v>0</v>
      </c>
      <c r="E27" s="14">
        <f>[2]Resumen!$E$38</f>
        <v>0</v>
      </c>
      <c r="F27" s="15">
        <f>[2]Resumen!$F$38</f>
        <v>0</v>
      </c>
      <c r="G27" s="17">
        <f>[2]Resumen!$G$38</f>
        <v>0</v>
      </c>
      <c r="H27" s="18">
        <f>[2]Resumen!$H$38</f>
        <v>0</v>
      </c>
      <c r="I27" s="15">
        <f>[2]Resumen!$I$38</f>
        <v>0</v>
      </c>
      <c r="J27" s="16">
        <f>[2]Resumen!$J$38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[3]Resumen!$B$38</f>
        <v>0</v>
      </c>
      <c r="C28" s="15">
        <f>[3]Resumen!$C$38</f>
        <v>0</v>
      </c>
      <c r="D28" s="16">
        <f>[3]Resumen!$D$38</f>
        <v>0</v>
      </c>
      <c r="E28" s="14">
        <f>[3]Resumen!$E$38</f>
        <v>0</v>
      </c>
      <c r="F28" s="15">
        <f>[3]Resumen!$F$38</f>
        <v>0</v>
      </c>
      <c r="G28" s="17">
        <f>[3]Resumen!$G$38</f>
        <v>0</v>
      </c>
      <c r="H28" s="18">
        <f>[3]Resumen!$H$38</f>
        <v>0</v>
      </c>
      <c r="I28" s="15">
        <f>[3]Resumen!$I$38</f>
        <v>0</v>
      </c>
      <c r="J28" s="16">
        <f>[3]Resumen!$J$38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[4]Resumen!$B$38</f>
        <v>0</v>
      </c>
      <c r="C29" s="15">
        <f>[4]Resumen!$C$38</f>
        <v>0</v>
      </c>
      <c r="D29" s="16">
        <f>[4]Resumen!$D$38</f>
        <v>0</v>
      </c>
      <c r="E29" s="14">
        <f>[4]Resumen!$E$38</f>
        <v>0</v>
      </c>
      <c r="F29" s="15">
        <f>[4]Resumen!$F$38</f>
        <v>0</v>
      </c>
      <c r="G29" s="17">
        <f>[4]Resumen!$G$38</f>
        <v>0</v>
      </c>
      <c r="H29" s="18">
        <f>[4]Resumen!$H$38</f>
        <v>0</v>
      </c>
      <c r="I29" s="15">
        <f>[4]Resumen!$I$38</f>
        <v>0</v>
      </c>
      <c r="J29" s="16">
        <f>[4]Resumen!$J$38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[5]Resumen!$B$38</f>
        <v>0</v>
      </c>
      <c r="C30" s="15">
        <f>[5]Resumen!$C$38</f>
        <v>0</v>
      </c>
      <c r="D30" s="16">
        <f>[5]Resumen!$D$38</f>
        <v>0</v>
      </c>
      <c r="E30" s="14">
        <f>[5]Resumen!$E$38</f>
        <v>0</v>
      </c>
      <c r="F30" s="15">
        <f>[5]Resumen!$F$38</f>
        <v>0</v>
      </c>
      <c r="G30" s="17">
        <f>[5]Resumen!$G$38</f>
        <v>0</v>
      </c>
      <c r="H30" s="18">
        <f>[5]Resumen!$H$38</f>
        <v>0</v>
      </c>
      <c r="I30" s="15">
        <f>[5]Resumen!$I$38</f>
        <v>0</v>
      </c>
      <c r="J30" s="16">
        <f>[5]Resumen!$J$38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[6]Resumen!$B$38</f>
        <v>0</v>
      </c>
      <c r="C31" s="15">
        <f>[6]Resumen!$C$38</f>
        <v>0</v>
      </c>
      <c r="D31" s="16">
        <f>[6]Resumen!$D$38</f>
        <v>0</v>
      </c>
      <c r="E31" s="14">
        <f>[6]Resumen!$E$38</f>
        <v>0</v>
      </c>
      <c r="F31" s="15">
        <f>[6]Resumen!$F$38</f>
        <v>0</v>
      </c>
      <c r="G31" s="17">
        <f>[6]Resumen!$G$38</f>
        <v>0</v>
      </c>
      <c r="H31" s="18">
        <f>[6]Resumen!$H$38</f>
        <v>0</v>
      </c>
      <c r="I31" s="15">
        <f>[6]Resumen!$I$38</f>
        <v>0</v>
      </c>
      <c r="J31" s="16">
        <f>[6]Resumen!$J$38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[7]Resumen!$B$38</f>
        <v>0</v>
      </c>
      <c r="C32" s="15">
        <f>[7]Resumen!$C$38</f>
        <v>0</v>
      </c>
      <c r="D32" s="16">
        <f>[7]Resumen!$D$38</f>
        <v>0</v>
      </c>
      <c r="E32" s="14">
        <f>[7]Resumen!$E$38</f>
        <v>0</v>
      </c>
      <c r="F32" s="15">
        <f>[7]Resumen!$F$38</f>
        <v>0</v>
      </c>
      <c r="G32" s="17">
        <f>[7]Resumen!$G$38</f>
        <v>0</v>
      </c>
      <c r="H32" s="18">
        <f>[7]Resumen!$H$38</f>
        <v>0</v>
      </c>
      <c r="I32" s="15">
        <f>[7]Resumen!$I$38</f>
        <v>0</v>
      </c>
      <c r="J32" s="16">
        <f>[7]Resumen!$J$38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[8]Resumen!$B$38</f>
        <v>0</v>
      </c>
      <c r="C33" s="15">
        <f>[8]Resumen!$C$38</f>
        <v>0</v>
      </c>
      <c r="D33" s="16">
        <f>[8]Resumen!$D$38</f>
        <v>0</v>
      </c>
      <c r="E33" s="14">
        <f>[8]Resumen!$E$38</f>
        <v>0</v>
      </c>
      <c r="F33" s="15">
        <f>[8]Resumen!$F$38</f>
        <v>0</v>
      </c>
      <c r="G33" s="17">
        <f>[8]Resumen!$G$38</f>
        <v>0</v>
      </c>
      <c r="H33" s="18">
        <f>[8]Resumen!$H$38</f>
        <v>0</v>
      </c>
      <c r="I33" s="15">
        <f>[8]Resumen!$I$38</f>
        <v>0</v>
      </c>
      <c r="J33" s="16">
        <f>[8]Resumen!$J$38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[9]Resumen!$B$38</f>
        <v>0</v>
      </c>
      <c r="C34" s="15">
        <f>[9]Resumen!$C$38</f>
        <v>0</v>
      </c>
      <c r="D34" s="16">
        <f>[9]Resumen!$D$38</f>
        <v>0</v>
      </c>
      <c r="E34" s="14">
        <f>[9]Resumen!$E$38</f>
        <v>0</v>
      </c>
      <c r="F34" s="15">
        <f>[9]Resumen!$F$38</f>
        <v>0</v>
      </c>
      <c r="G34" s="17">
        <f>[9]Resumen!$G$38</f>
        <v>0</v>
      </c>
      <c r="H34" s="18">
        <f>[9]Resumen!$H$38</f>
        <v>0</v>
      </c>
      <c r="I34" s="15">
        <f>[9]Resumen!$I$38</f>
        <v>0</v>
      </c>
      <c r="J34" s="16">
        <f>[9]Resumen!$J$38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+[10]Resumen!$B$38</f>
        <v>0</v>
      </c>
      <c r="C35" s="22">
        <f>+[10]Resumen!$C$38</f>
        <v>0</v>
      </c>
      <c r="D35" s="23">
        <f>+[10]Resumen!$D$38</f>
        <v>0</v>
      </c>
      <c r="E35" s="21">
        <f>+[10]Resumen!$E$38</f>
        <v>0</v>
      </c>
      <c r="F35" s="22">
        <f>+[10]Resumen!$F$38</f>
        <v>0</v>
      </c>
      <c r="G35" s="24">
        <f>+[10]Resumen!$G$38</f>
        <v>0</v>
      </c>
      <c r="H35" s="25">
        <f>+[10]Resumen!$H$38</f>
        <v>0</v>
      </c>
      <c r="I35" s="22">
        <f>+[10]Resumen!$I$38</f>
        <v>0</v>
      </c>
      <c r="J35" s="23">
        <f>+[10]Resumen!$J$38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57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[11]Resumen!$B$39</f>
        <v>0</v>
      </c>
      <c r="C5" s="58">
        <f>[11]Resumen!$C$39</f>
        <v>0</v>
      </c>
      <c r="D5" s="54">
        <f>[11]Resumen!$D$39</f>
        <v>0</v>
      </c>
      <c r="E5" s="53">
        <f>[11]Resumen!$E$39</f>
        <v>0</v>
      </c>
      <c r="F5" s="58">
        <f>[11]Resumen!$F$39</f>
        <v>0</v>
      </c>
      <c r="G5" s="55">
        <f>[11]Resumen!$G$39</f>
        <v>0</v>
      </c>
      <c r="H5" s="61">
        <f>[11]Resumen!$H$39</f>
        <v>0</v>
      </c>
      <c r="I5" s="58">
        <f>[11]Resumen!$I$39</f>
        <v>0</v>
      </c>
      <c r="J5" s="54">
        <f>[11]Resumen!$J$39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[12]Resumen!$B$39</f>
        <v>0</v>
      </c>
      <c r="C6" s="15">
        <f>[12]Resumen!$C$39</f>
        <v>0</v>
      </c>
      <c r="D6" s="16">
        <f>[12]Resumen!$D$39</f>
        <v>0</v>
      </c>
      <c r="E6" s="14">
        <f>[12]Resumen!$E$39</f>
        <v>0</v>
      </c>
      <c r="F6" s="15">
        <f>[12]Resumen!$F$39</f>
        <v>0</v>
      </c>
      <c r="G6" s="17">
        <f>[12]Resumen!$G$39</f>
        <v>0</v>
      </c>
      <c r="H6" s="18">
        <f>[12]Resumen!$H$39</f>
        <v>0</v>
      </c>
      <c r="I6" s="15">
        <f>[12]Resumen!$I$39</f>
        <v>0</v>
      </c>
      <c r="J6" s="16">
        <f>[12]Resumen!$J$39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[13]Resumen!$B$39</f>
        <v>0</v>
      </c>
      <c r="C7" s="15">
        <f>[13]Resumen!$C$39</f>
        <v>0</v>
      </c>
      <c r="D7" s="16">
        <f>[13]Resumen!$D$39</f>
        <v>0</v>
      </c>
      <c r="E7" s="14">
        <f>[13]Resumen!$E$39</f>
        <v>0</v>
      </c>
      <c r="F7" s="15">
        <f>[13]Resumen!$F$39</f>
        <v>0</v>
      </c>
      <c r="G7" s="17">
        <f>[13]Resumen!$G$39</f>
        <v>0</v>
      </c>
      <c r="H7" s="18">
        <f>[13]Resumen!$H$39</f>
        <v>0</v>
      </c>
      <c r="I7" s="15">
        <f>[13]Resumen!$I$39</f>
        <v>0</v>
      </c>
      <c r="J7" s="16">
        <f>[13]Resumen!$J$39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[14]Resumen!$B$39</f>
        <v>0</v>
      </c>
      <c r="C8" s="15">
        <f>[14]Resumen!$C$39</f>
        <v>0</v>
      </c>
      <c r="D8" s="16">
        <f>[14]Resumen!$D$39</f>
        <v>0</v>
      </c>
      <c r="E8" s="14">
        <f>[14]Resumen!$E$39</f>
        <v>0</v>
      </c>
      <c r="F8" s="15">
        <f>[14]Resumen!$F$39</f>
        <v>0</v>
      </c>
      <c r="G8" s="17">
        <f>[14]Resumen!$G$39</f>
        <v>0</v>
      </c>
      <c r="H8" s="18">
        <f>[14]Resumen!$H$39</f>
        <v>0</v>
      </c>
      <c r="I8" s="15">
        <f>[14]Resumen!$I$39</f>
        <v>0</v>
      </c>
      <c r="J8" s="16">
        <f>[14]Resumen!$J$39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[15]Resumen!$B$39</f>
        <v>0</v>
      </c>
      <c r="C9" s="15">
        <f>[15]Resumen!$C$39</f>
        <v>0</v>
      </c>
      <c r="D9" s="16">
        <f>[15]Resumen!$D$39</f>
        <v>0</v>
      </c>
      <c r="E9" s="14">
        <f>[15]Resumen!$E$39</f>
        <v>0</v>
      </c>
      <c r="F9" s="15">
        <f>[15]Resumen!$F$39</f>
        <v>0</v>
      </c>
      <c r="G9" s="17">
        <f>[15]Resumen!$G$39</f>
        <v>0</v>
      </c>
      <c r="H9" s="18">
        <f>[15]Resumen!$H$39</f>
        <v>0</v>
      </c>
      <c r="I9" s="15">
        <f>[15]Resumen!$I$39</f>
        <v>0</v>
      </c>
      <c r="J9" s="16">
        <f>[15]Resumen!$J$39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[16]Resumen!$B$39</f>
        <v>0</v>
      </c>
      <c r="C10" s="15">
        <f>[16]Resumen!$C$39</f>
        <v>0</v>
      </c>
      <c r="D10" s="16">
        <f>[16]Resumen!$D$39</f>
        <v>0</v>
      </c>
      <c r="E10" s="14">
        <f>[16]Resumen!$E$39</f>
        <v>0</v>
      </c>
      <c r="F10" s="15">
        <f>[16]Resumen!$F$39</f>
        <v>0</v>
      </c>
      <c r="G10" s="17">
        <f>[16]Resumen!$G$39</f>
        <v>0</v>
      </c>
      <c r="H10" s="18">
        <f>[16]Resumen!$H$39</f>
        <v>0</v>
      </c>
      <c r="I10" s="15">
        <f>[16]Resumen!$I$39</f>
        <v>0</v>
      </c>
      <c r="J10" s="16">
        <f>[16]Resumen!$J$39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[17]Resumen!$B$39</f>
        <v>0</v>
      </c>
      <c r="C11" s="15">
        <f>[17]Resumen!$C$39</f>
        <v>0</v>
      </c>
      <c r="D11" s="16">
        <f>[17]Resumen!$D$39</f>
        <v>0</v>
      </c>
      <c r="E11" s="14">
        <f>[17]Resumen!$E$39</f>
        <v>0</v>
      </c>
      <c r="F11" s="15">
        <f>[17]Resumen!$F$39</f>
        <v>0</v>
      </c>
      <c r="G11" s="17">
        <f>[17]Resumen!$G$39</f>
        <v>0</v>
      </c>
      <c r="H11" s="18">
        <f>[17]Resumen!$H$39</f>
        <v>0</v>
      </c>
      <c r="I11" s="15">
        <f>[17]Resumen!$I$39</f>
        <v>0</v>
      </c>
      <c r="J11" s="16">
        <f>[17]Resumen!$J$39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[18]Resumen!$B$39</f>
        <v>0</v>
      </c>
      <c r="C12" s="15">
        <f>[18]Resumen!$C$39</f>
        <v>0</v>
      </c>
      <c r="D12" s="16">
        <f>[18]Resumen!$D$39</f>
        <v>0</v>
      </c>
      <c r="E12" s="14">
        <f>[18]Resumen!$E$39</f>
        <v>0</v>
      </c>
      <c r="F12" s="15">
        <f>[18]Resumen!$F$39</f>
        <v>0</v>
      </c>
      <c r="G12" s="17">
        <f>[18]Resumen!$G$39</f>
        <v>0</v>
      </c>
      <c r="H12" s="18">
        <f>[18]Resumen!$H$39</f>
        <v>0</v>
      </c>
      <c r="I12" s="15">
        <f>[18]Resumen!$I$39</f>
        <v>0</v>
      </c>
      <c r="J12" s="16">
        <f>[18]Resumen!$J$39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[19]Resumen!$B$39</f>
        <v>0</v>
      </c>
      <c r="C13" s="15">
        <f>[19]Resumen!$C$39</f>
        <v>0</v>
      </c>
      <c r="D13" s="16">
        <f>[19]Resumen!$D$39</f>
        <v>0</v>
      </c>
      <c r="E13" s="14">
        <f>[19]Resumen!$E$39</f>
        <v>0</v>
      </c>
      <c r="F13" s="15">
        <f>[19]Resumen!$F$39</f>
        <v>0</v>
      </c>
      <c r="G13" s="17">
        <f>[19]Resumen!$G$39</f>
        <v>0</v>
      </c>
      <c r="H13" s="18">
        <f>[19]Resumen!$H$39</f>
        <v>0</v>
      </c>
      <c r="I13" s="15">
        <f>[19]Resumen!$I$39</f>
        <v>0</v>
      </c>
      <c r="J13" s="16">
        <f>[19]Resumen!$J$39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[20]Resumen!$B$39</f>
        <v>0</v>
      </c>
      <c r="C14" s="15">
        <f>[20]Resumen!$C$39</f>
        <v>0</v>
      </c>
      <c r="D14" s="16">
        <f>[20]Resumen!$D$39</f>
        <v>0</v>
      </c>
      <c r="E14" s="14">
        <f>[20]Resumen!$E$39</f>
        <v>0</v>
      </c>
      <c r="F14" s="15">
        <f>[20]Resumen!$F$39</f>
        <v>0</v>
      </c>
      <c r="G14" s="17">
        <f>[20]Resumen!$G$39</f>
        <v>0</v>
      </c>
      <c r="H14" s="18">
        <f>[20]Resumen!$H$39</f>
        <v>0</v>
      </c>
      <c r="I14" s="15">
        <f>[20]Resumen!$I$39</f>
        <v>0</v>
      </c>
      <c r="J14" s="16">
        <f>[20]Resumen!$J$39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[21]Resumen!$B$39</f>
        <v>0</v>
      </c>
      <c r="C15" s="15">
        <f>[21]Resumen!$C$39</f>
        <v>0</v>
      </c>
      <c r="D15" s="16">
        <f>[21]Resumen!$D$39</f>
        <v>0</v>
      </c>
      <c r="E15" s="14">
        <f>[21]Resumen!$E$39</f>
        <v>0</v>
      </c>
      <c r="F15" s="15">
        <f>[21]Resumen!$F$39</f>
        <v>0</v>
      </c>
      <c r="G15" s="17">
        <f>[21]Resumen!$G$39</f>
        <v>0</v>
      </c>
      <c r="H15" s="18">
        <f>[21]Resumen!$H$39</f>
        <v>0</v>
      </c>
      <c r="I15" s="15">
        <f>[21]Resumen!$I$39</f>
        <v>0</v>
      </c>
      <c r="J15" s="16">
        <f>[21]Resumen!$J$39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[22]Resumen!$B$39</f>
        <v>0</v>
      </c>
      <c r="C16" s="15">
        <f>[22]Resumen!$C$39</f>
        <v>0</v>
      </c>
      <c r="D16" s="16">
        <f>[22]Resumen!$D$39</f>
        <v>0</v>
      </c>
      <c r="E16" s="14">
        <f>[22]Resumen!$E$39</f>
        <v>0</v>
      </c>
      <c r="F16" s="15">
        <f>[22]Resumen!$F$39</f>
        <v>0</v>
      </c>
      <c r="G16" s="17">
        <f>[22]Resumen!$G$39</f>
        <v>0</v>
      </c>
      <c r="H16" s="18">
        <f>[22]Resumen!$H$39</f>
        <v>0</v>
      </c>
      <c r="I16" s="15">
        <f>[22]Resumen!$I$39</f>
        <v>0</v>
      </c>
      <c r="J16" s="16">
        <f>[22]Resumen!$J$39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[23]Resumen!$B$39</f>
        <v>0</v>
      </c>
      <c r="C17" s="15">
        <f>[23]Resumen!$C$39</f>
        <v>0</v>
      </c>
      <c r="D17" s="16">
        <f>[23]Resumen!$D$39</f>
        <v>0</v>
      </c>
      <c r="E17" s="14">
        <f>[23]Resumen!$E$39</f>
        <v>0</v>
      </c>
      <c r="F17" s="15">
        <f>[23]Resumen!$F$39</f>
        <v>0</v>
      </c>
      <c r="G17" s="17">
        <f>[23]Resumen!$G$39</f>
        <v>0</v>
      </c>
      <c r="H17" s="18">
        <f>[23]Resumen!$H$39</f>
        <v>0</v>
      </c>
      <c r="I17" s="15">
        <f>[23]Resumen!$I$39</f>
        <v>0</v>
      </c>
      <c r="J17" s="16">
        <f>[23]Resumen!$J$39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[24]Resumen!$B$39</f>
        <v>0</v>
      </c>
      <c r="C18" s="15">
        <f>[24]Resumen!$C$39</f>
        <v>0</v>
      </c>
      <c r="D18" s="16">
        <f>[24]Resumen!$D$39</f>
        <v>0</v>
      </c>
      <c r="E18" s="14">
        <f>[24]Resumen!$E$39</f>
        <v>0</v>
      </c>
      <c r="F18" s="15">
        <f>[24]Resumen!$F$39</f>
        <v>0</v>
      </c>
      <c r="G18" s="17">
        <f>[24]Resumen!$G$39</f>
        <v>0</v>
      </c>
      <c r="H18" s="18">
        <f>[24]Resumen!$H$39</f>
        <v>0</v>
      </c>
      <c r="I18" s="15">
        <f>[24]Resumen!$I$39</f>
        <v>0</v>
      </c>
      <c r="J18" s="16">
        <f>[24]Resumen!$J$39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[25]Resumen!$B$39</f>
        <v>0</v>
      </c>
      <c r="C19" s="15">
        <f>[25]Resumen!$C$39</f>
        <v>0</v>
      </c>
      <c r="D19" s="16">
        <f>[25]Resumen!$D$39</f>
        <v>0</v>
      </c>
      <c r="E19" s="14">
        <f>[25]Resumen!$E$39</f>
        <v>0</v>
      </c>
      <c r="F19" s="15">
        <f>[25]Resumen!$F$39</f>
        <v>0</v>
      </c>
      <c r="G19" s="17">
        <f>[25]Resumen!$G$39</f>
        <v>0</v>
      </c>
      <c r="H19" s="18">
        <f>[25]Resumen!$H$39</f>
        <v>0</v>
      </c>
      <c r="I19" s="15">
        <f>[25]Resumen!$I$39</f>
        <v>0</v>
      </c>
      <c r="J19" s="16">
        <f>[25]Resumen!$J$39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[26]Resumen!$B$39</f>
        <v>0</v>
      </c>
      <c r="C20" s="15">
        <f>[26]Resumen!$C$39</f>
        <v>0</v>
      </c>
      <c r="D20" s="16">
        <f>[26]Resumen!$D$39</f>
        <v>0</v>
      </c>
      <c r="E20" s="14">
        <f>[26]Resumen!$E$39</f>
        <v>0</v>
      </c>
      <c r="F20" s="15">
        <f>[26]Resumen!$F$39</f>
        <v>0</v>
      </c>
      <c r="G20" s="17">
        <f>[26]Resumen!$G$39</f>
        <v>0</v>
      </c>
      <c r="H20" s="18">
        <f>[26]Resumen!$H$39</f>
        <v>0</v>
      </c>
      <c r="I20" s="15">
        <f>[26]Resumen!$I$39</f>
        <v>0</v>
      </c>
      <c r="J20" s="16">
        <f>[26]Resumen!$J$39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[27]Resumen!$B$39</f>
        <v>0</v>
      </c>
      <c r="C21" s="15">
        <f>[27]Resumen!$C$39</f>
        <v>0</v>
      </c>
      <c r="D21" s="16">
        <f>[27]Resumen!$D$39</f>
        <v>0</v>
      </c>
      <c r="E21" s="14">
        <f>[27]Resumen!$E$39</f>
        <v>0</v>
      </c>
      <c r="F21" s="15">
        <f>[27]Resumen!$F$39</f>
        <v>0</v>
      </c>
      <c r="G21" s="17">
        <f>[27]Resumen!$G$39</f>
        <v>0</v>
      </c>
      <c r="H21" s="18">
        <f>[27]Resumen!$H$39</f>
        <v>0</v>
      </c>
      <c r="I21" s="15">
        <f>[27]Resumen!$I$39</f>
        <v>0</v>
      </c>
      <c r="J21" s="16">
        <f>[27]Resumen!$J$39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[28]Resumen!$B$39</f>
        <v>0</v>
      </c>
      <c r="C22" s="15">
        <f>[28]Resumen!$C$39</f>
        <v>0</v>
      </c>
      <c r="D22" s="16">
        <f>[28]Resumen!$D$39</f>
        <v>0</v>
      </c>
      <c r="E22" s="14">
        <f>[28]Resumen!$E$39</f>
        <v>0</v>
      </c>
      <c r="F22" s="15">
        <f>[28]Resumen!$F$39</f>
        <v>0</v>
      </c>
      <c r="G22" s="17">
        <f>[28]Resumen!$G$39</f>
        <v>0</v>
      </c>
      <c r="H22" s="18">
        <f>[28]Resumen!$H$39</f>
        <v>0</v>
      </c>
      <c r="I22" s="15">
        <f>[28]Resumen!$I$39</f>
        <v>0</v>
      </c>
      <c r="J22" s="16">
        <f>[28]Resumen!$J$39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[29]Resumen!$B$39</f>
        <v>0</v>
      </c>
      <c r="C23" s="15">
        <f>[29]Resumen!$C$39</f>
        <v>0</v>
      </c>
      <c r="D23" s="16">
        <f>[29]Resumen!$D$39</f>
        <v>0</v>
      </c>
      <c r="E23" s="14">
        <f>[29]Resumen!$E$39</f>
        <v>0</v>
      </c>
      <c r="F23" s="15">
        <f>[29]Resumen!$F$39</f>
        <v>0</v>
      </c>
      <c r="G23" s="17">
        <f>[29]Resumen!$G$39</f>
        <v>0</v>
      </c>
      <c r="H23" s="18">
        <f>[29]Resumen!$H$39</f>
        <v>0</v>
      </c>
      <c r="I23" s="15">
        <f>[29]Resumen!$I$39</f>
        <v>0</v>
      </c>
      <c r="J23" s="16">
        <f>[29]Resumen!$J$39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[30]Resumen!$B$39</f>
        <v>0</v>
      </c>
      <c r="C24" s="15">
        <f>[30]Resumen!$C$39</f>
        <v>0</v>
      </c>
      <c r="D24" s="16">
        <f>[30]Resumen!$D$39</f>
        <v>0</v>
      </c>
      <c r="E24" s="14">
        <f>[30]Resumen!$E$39</f>
        <v>0</v>
      </c>
      <c r="F24" s="15">
        <f>[30]Resumen!$F$39</f>
        <v>0</v>
      </c>
      <c r="G24" s="17">
        <f>[30]Resumen!$G$39</f>
        <v>0</v>
      </c>
      <c r="H24" s="18">
        <f>[30]Resumen!$H$39</f>
        <v>0</v>
      </c>
      <c r="I24" s="15">
        <f>[30]Resumen!$I$39</f>
        <v>0</v>
      </c>
      <c r="J24" s="16">
        <f>[30]Resumen!$J$39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[31]Resumen!$B$39</f>
        <v>0</v>
      </c>
      <c r="C25" s="15">
        <f>[31]Resumen!$C$39</f>
        <v>0</v>
      </c>
      <c r="D25" s="16">
        <f>[31]Resumen!$D$39</f>
        <v>0</v>
      </c>
      <c r="E25" s="14">
        <f>[31]Resumen!$E$39</f>
        <v>0</v>
      </c>
      <c r="F25" s="15">
        <f>[31]Resumen!$F$39</f>
        <v>0</v>
      </c>
      <c r="G25" s="17">
        <f>[31]Resumen!$G$39</f>
        <v>0</v>
      </c>
      <c r="H25" s="18">
        <f>[31]Resumen!$H$39</f>
        <v>0</v>
      </c>
      <c r="I25" s="15">
        <f>[31]Resumen!$I$39</f>
        <v>0</v>
      </c>
      <c r="J25" s="16">
        <f>[31]Resumen!$J$39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[1]Resumen!$B$39</f>
        <v>0</v>
      </c>
      <c r="C26" s="15">
        <f>[1]Resumen!$C$39</f>
        <v>0</v>
      </c>
      <c r="D26" s="16">
        <f>[1]Resumen!$D$39</f>
        <v>0</v>
      </c>
      <c r="E26" s="14">
        <f>[1]Resumen!$E$39</f>
        <v>0</v>
      </c>
      <c r="F26" s="15">
        <f>[1]Resumen!$F$39</f>
        <v>0</v>
      </c>
      <c r="G26" s="17">
        <f>[1]Resumen!$G$39</f>
        <v>0</v>
      </c>
      <c r="H26" s="18">
        <f>[1]Resumen!$H$39</f>
        <v>0</v>
      </c>
      <c r="I26" s="15">
        <f>[1]Resumen!$I$39</f>
        <v>0</v>
      </c>
      <c r="J26" s="16">
        <f>[1]Resumen!$J$39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[2]Resumen!$B$39</f>
        <v>0</v>
      </c>
      <c r="C27" s="15">
        <f>[2]Resumen!$C$39</f>
        <v>0</v>
      </c>
      <c r="D27" s="16">
        <f>[2]Resumen!$D$39</f>
        <v>0</v>
      </c>
      <c r="E27" s="14">
        <f>[2]Resumen!$E$39</f>
        <v>0</v>
      </c>
      <c r="F27" s="15">
        <f>[2]Resumen!$F$39</f>
        <v>0</v>
      </c>
      <c r="G27" s="17">
        <f>[2]Resumen!$G$39</f>
        <v>0</v>
      </c>
      <c r="H27" s="18">
        <f>[2]Resumen!$H$39</f>
        <v>0</v>
      </c>
      <c r="I27" s="15">
        <f>[2]Resumen!$I$39</f>
        <v>0</v>
      </c>
      <c r="J27" s="16">
        <f>[2]Resumen!$J$39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[3]Resumen!$B$39</f>
        <v>0</v>
      </c>
      <c r="C28" s="15">
        <f>[3]Resumen!$C$39</f>
        <v>0</v>
      </c>
      <c r="D28" s="16">
        <f>[3]Resumen!$D$39</f>
        <v>0</v>
      </c>
      <c r="E28" s="14">
        <f>[3]Resumen!$E$39</f>
        <v>0</v>
      </c>
      <c r="F28" s="15">
        <f>[3]Resumen!$F$39</f>
        <v>0</v>
      </c>
      <c r="G28" s="17">
        <f>[3]Resumen!$G$39</f>
        <v>0</v>
      </c>
      <c r="H28" s="18">
        <f>[3]Resumen!$H$39</f>
        <v>0</v>
      </c>
      <c r="I28" s="15">
        <f>[3]Resumen!$I$39</f>
        <v>0</v>
      </c>
      <c r="J28" s="16">
        <f>[3]Resumen!$J$39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[4]Resumen!$B$39</f>
        <v>0</v>
      </c>
      <c r="C29" s="15">
        <f>[4]Resumen!$C$39</f>
        <v>0</v>
      </c>
      <c r="D29" s="16">
        <f>[4]Resumen!$D$39</f>
        <v>0</v>
      </c>
      <c r="E29" s="14">
        <f>[4]Resumen!$E$39</f>
        <v>0</v>
      </c>
      <c r="F29" s="15">
        <f>[4]Resumen!$F$39</f>
        <v>0</v>
      </c>
      <c r="G29" s="17">
        <f>[4]Resumen!$G$39</f>
        <v>0</v>
      </c>
      <c r="H29" s="18">
        <f>[4]Resumen!$H$39</f>
        <v>0</v>
      </c>
      <c r="I29" s="15">
        <f>[4]Resumen!$I$39</f>
        <v>0</v>
      </c>
      <c r="J29" s="16">
        <f>[4]Resumen!$J$39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[5]Resumen!$B$39</f>
        <v>0</v>
      </c>
      <c r="C30" s="15">
        <f>[5]Resumen!$C$39</f>
        <v>0</v>
      </c>
      <c r="D30" s="16">
        <f>[5]Resumen!$D$39</f>
        <v>0</v>
      </c>
      <c r="E30" s="14">
        <f>[5]Resumen!$E$39</f>
        <v>0</v>
      </c>
      <c r="F30" s="15">
        <f>[5]Resumen!$F$39</f>
        <v>0</v>
      </c>
      <c r="G30" s="17">
        <f>[5]Resumen!$G$39</f>
        <v>0</v>
      </c>
      <c r="H30" s="18">
        <f>[5]Resumen!$H$39</f>
        <v>0</v>
      </c>
      <c r="I30" s="15">
        <f>[5]Resumen!$I$39</f>
        <v>0</v>
      </c>
      <c r="J30" s="16">
        <f>[5]Resumen!$J$39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[6]Resumen!$B$39</f>
        <v>0</v>
      </c>
      <c r="C31" s="15">
        <f>[6]Resumen!$C$39</f>
        <v>0</v>
      </c>
      <c r="D31" s="16">
        <f>[6]Resumen!$D$39</f>
        <v>0</v>
      </c>
      <c r="E31" s="14">
        <f>[6]Resumen!$E$39</f>
        <v>0</v>
      </c>
      <c r="F31" s="15">
        <f>[6]Resumen!$F$39</f>
        <v>0</v>
      </c>
      <c r="G31" s="17">
        <f>[6]Resumen!$G$39</f>
        <v>0</v>
      </c>
      <c r="H31" s="18">
        <f>[6]Resumen!$H$39</f>
        <v>0</v>
      </c>
      <c r="I31" s="15">
        <f>[6]Resumen!$I$39</f>
        <v>0</v>
      </c>
      <c r="J31" s="16">
        <f>[6]Resumen!$J$39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[7]Resumen!$B$39</f>
        <v>0</v>
      </c>
      <c r="C32" s="15">
        <f>[7]Resumen!$C$39</f>
        <v>0</v>
      </c>
      <c r="D32" s="16">
        <f>[7]Resumen!$D$39</f>
        <v>0</v>
      </c>
      <c r="E32" s="14">
        <f>[7]Resumen!$E$39</f>
        <v>0</v>
      </c>
      <c r="F32" s="15">
        <f>[7]Resumen!$F$39</f>
        <v>0</v>
      </c>
      <c r="G32" s="17">
        <f>[7]Resumen!$G$39</f>
        <v>0</v>
      </c>
      <c r="H32" s="18">
        <f>[7]Resumen!$H$39</f>
        <v>0</v>
      </c>
      <c r="I32" s="15">
        <f>[7]Resumen!$I$39</f>
        <v>0</v>
      </c>
      <c r="J32" s="16">
        <f>[7]Resumen!$J$39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[8]Resumen!$B$39</f>
        <v>0</v>
      </c>
      <c r="C33" s="15">
        <f>[8]Resumen!$C$39</f>
        <v>0</v>
      </c>
      <c r="D33" s="16">
        <f>[8]Resumen!$D$39</f>
        <v>0</v>
      </c>
      <c r="E33" s="14">
        <f>[8]Resumen!$E$39</f>
        <v>0</v>
      </c>
      <c r="F33" s="15">
        <f>[8]Resumen!$F$39</f>
        <v>0</v>
      </c>
      <c r="G33" s="17">
        <f>[8]Resumen!$G$39</f>
        <v>0</v>
      </c>
      <c r="H33" s="18">
        <f>[8]Resumen!$H$39</f>
        <v>0</v>
      </c>
      <c r="I33" s="15">
        <f>[8]Resumen!$I$39</f>
        <v>0</v>
      </c>
      <c r="J33" s="16">
        <f>[8]Resumen!$J$39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[9]Resumen!$B$39</f>
        <v>0</v>
      </c>
      <c r="C34" s="15">
        <f>[9]Resumen!$C$39</f>
        <v>0</v>
      </c>
      <c r="D34" s="16">
        <f>[9]Resumen!$D$39</f>
        <v>0</v>
      </c>
      <c r="E34" s="14">
        <f>[9]Resumen!$E$39</f>
        <v>0</v>
      </c>
      <c r="F34" s="15">
        <f>[9]Resumen!$F$39</f>
        <v>0</v>
      </c>
      <c r="G34" s="17">
        <f>[9]Resumen!$G$39</f>
        <v>0</v>
      </c>
      <c r="H34" s="18">
        <f>[9]Resumen!$H$39</f>
        <v>0</v>
      </c>
      <c r="I34" s="15">
        <f>[9]Resumen!$I$39</f>
        <v>0</v>
      </c>
      <c r="J34" s="16">
        <f>[9]Resumen!$J$39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+[10]Resumen!$B$39</f>
        <v>0</v>
      </c>
      <c r="C35" s="22">
        <f>+[10]Resumen!$C$39</f>
        <v>0</v>
      </c>
      <c r="D35" s="23">
        <f>+[10]Resumen!$D$39</f>
        <v>0</v>
      </c>
      <c r="E35" s="21">
        <f>+[10]Resumen!$E$39</f>
        <v>0</v>
      </c>
      <c r="F35" s="22">
        <f>+[10]Resumen!$F$39</f>
        <v>0</v>
      </c>
      <c r="G35" s="24">
        <f>+[10]Resumen!$G$39</f>
        <v>0</v>
      </c>
      <c r="H35" s="25">
        <f>+[10]Resumen!$H$39</f>
        <v>0</v>
      </c>
      <c r="I35" s="22">
        <f>+[10]Resumen!$I$39</f>
        <v>0</v>
      </c>
      <c r="J35" s="23">
        <f>+[10]Resumen!$J$39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67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[11]Resumen!$B$40</f>
        <v>0</v>
      </c>
      <c r="C5" s="58">
        <f>[11]Resumen!$C$40</f>
        <v>0</v>
      </c>
      <c r="D5" s="54">
        <f>[11]Resumen!$D$40</f>
        <v>0</v>
      </c>
      <c r="E5" s="53">
        <f>[11]Resumen!$E$40</f>
        <v>0</v>
      </c>
      <c r="F5" s="58">
        <f>[11]Resumen!$F$40</f>
        <v>0</v>
      </c>
      <c r="G5" s="55">
        <f>[11]Resumen!$G$40</f>
        <v>0</v>
      </c>
      <c r="H5" s="61">
        <f>[11]Resumen!$H$40</f>
        <v>0</v>
      </c>
      <c r="I5" s="58">
        <f>[11]Resumen!$I$40</f>
        <v>0</v>
      </c>
      <c r="J5" s="54">
        <f>[11]Resumen!$J$40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[12]Resumen!$B$40</f>
        <v>0</v>
      </c>
      <c r="C6" s="15">
        <f>[12]Resumen!$C$40</f>
        <v>0</v>
      </c>
      <c r="D6" s="16">
        <f>[12]Resumen!$D$40</f>
        <v>0</v>
      </c>
      <c r="E6" s="14">
        <f>[12]Resumen!$E$40</f>
        <v>0</v>
      </c>
      <c r="F6" s="15">
        <f>[12]Resumen!$F$40</f>
        <v>0</v>
      </c>
      <c r="G6" s="17">
        <f>[12]Resumen!$G$40</f>
        <v>0</v>
      </c>
      <c r="H6" s="18">
        <f>[12]Resumen!$H$40</f>
        <v>0</v>
      </c>
      <c r="I6" s="15">
        <f>[12]Resumen!$I$40</f>
        <v>0</v>
      </c>
      <c r="J6" s="16">
        <f>[12]Resumen!$J$40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[13]Resumen!$B$40</f>
        <v>0</v>
      </c>
      <c r="C7" s="15">
        <f>[13]Resumen!$C$40</f>
        <v>0</v>
      </c>
      <c r="D7" s="16">
        <f>[13]Resumen!$D$40</f>
        <v>0</v>
      </c>
      <c r="E7" s="14">
        <f>[13]Resumen!$E$40</f>
        <v>0</v>
      </c>
      <c r="F7" s="15">
        <f>[13]Resumen!$F$40</f>
        <v>0</v>
      </c>
      <c r="G7" s="17">
        <f>[13]Resumen!$G$40</f>
        <v>0</v>
      </c>
      <c r="H7" s="18">
        <f>[13]Resumen!$H$40</f>
        <v>0</v>
      </c>
      <c r="I7" s="15">
        <f>[13]Resumen!$I$40</f>
        <v>0</v>
      </c>
      <c r="J7" s="16">
        <f>[13]Resumen!$J$40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[14]Resumen!$B$40</f>
        <v>0</v>
      </c>
      <c r="C8" s="15">
        <f>[14]Resumen!$C$40</f>
        <v>0</v>
      </c>
      <c r="D8" s="16">
        <f>[14]Resumen!$D$40</f>
        <v>0</v>
      </c>
      <c r="E8" s="14">
        <f>[14]Resumen!$E$40</f>
        <v>0</v>
      </c>
      <c r="F8" s="15">
        <f>[14]Resumen!$F$40</f>
        <v>0</v>
      </c>
      <c r="G8" s="17">
        <f>[14]Resumen!$G$40</f>
        <v>0</v>
      </c>
      <c r="H8" s="18">
        <f>[14]Resumen!$H$40</f>
        <v>0</v>
      </c>
      <c r="I8" s="15">
        <f>[14]Resumen!$I$40</f>
        <v>0</v>
      </c>
      <c r="J8" s="16">
        <f>[14]Resumen!$J$40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[15]Resumen!$B$40</f>
        <v>0</v>
      </c>
      <c r="C9" s="15">
        <f>[15]Resumen!$C$40</f>
        <v>0</v>
      </c>
      <c r="D9" s="16">
        <f>[15]Resumen!$D$40</f>
        <v>0</v>
      </c>
      <c r="E9" s="14">
        <f>[15]Resumen!$E$40</f>
        <v>0</v>
      </c>
      <c r="F9" s="15">
        <f>[15]Resumen!$F$40</f>
        <v>0</v>
      </c>
      <c r="G9" s="17">
        <f>[15]Resumen!$G$40</f>
        <v>0</v>
      </c>
      <c r="H9" s="18">
        <f>[15]Resumen!$H$40</f>
        <v>0</v>
      </c>
      <c r="I9" s="15">
        <f>[15]Resumen!$I$40</f>
        <v>0</v>
      </c>
      <c r="J9" s="16">
        <f>[15]Resumen!$J$40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[16]Resumen!$B$40</f>
        <v>0</v>
      </c>
      <c r="C10" s="15">
        <f>[16]Resumen!$C$40</f>
        <v>0</v>
      </c>
      <c r="D10" s="16">
        <f>[16]Resumen!$D$40</f>
        <v>0</v>
      </c>
      <c r="E10" s="14">
        <f>[16]Resumen!$E$40</f>
        <v>0</v>
      </c>
      <c r="F10" s="15">
        <f>[16]Resumen!$F$40</f>
        <v>0</v>
      </c>
      <c r="G10" s="17">
        <f>[16]Resumen!$G$40</f>
        <v>0</v>
      </c>
      <c r="H10" s="18">
        <f>[16]Resumen!$H$40</f>
        <v>0</v>
      </c>
      <c r="I10" s="15">
        <f>[16]Resumen!$I$40</f>
        <v>0</v>
      </c>
      <c r="J10" s="16">
        <f>[16]Resumen!$J$40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[17]Resumen!$B$40</f>
        <v>0</v>
      </c>
      <c r="C11" s="15">
        <f>[17]Resumen!$C$40</f>
        <v>0</v>
      </c>
      <c r="D11" s="16">
        <f>[17]Resumen!$D$40</f>
        <v>0</v>
      </c>
      <c r="E11" s="14">
        <f>[17]Resumen!$E$40</f>
        <v>0</v>
      </c>
      <c r="F11" s="15">
        <f>[17]Resumen!$F$40</f>
        <v>0</v>
      </c>
      <c r="G11" s="17">
        <f>[17]Resumen!$G$40</f>
        <v>0</v>
      </c>
      <c r="H11" s="18">
        <f>[17]Resumen!$H$40</f>
        <v>0</v>
      </c>
      <c r="I11" s="15">
        <f>[17]Resumen!$I$40</f>
        <v>0</v>
      </c>
      <c r="J11" s="16">
        <f>[17]Resumen!$J$40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[18]Resumen!$B$40</f>
        <v>0</v>
      </c>
      <c r="C12" s="15">
        <f>[18]Resumen!$C$40</f>
        <v>0</v>
      </c>
      <c r="D12" s="16">
        <f>[18]Resumen!$D$40</f>
        <v>0</v>
      </c>
      <c r="E12" s="14">
        <f>[18]Resumen!$E$40</f>
        <v>0</v>
      </c>
      <c r="F12" s="15">
        <f>[18]Resumen!$F$40</f>
        <v>0</v>
      </c>
      <c r="G12" s="17">
        <f>[18]Resumen!$G$40</f>
        <v>0</v>
      </c>
      <c r="H12" s="18">
        <f>[18]Resumen!$H$40</f>
        <v>0</v>
      </c>
      <c r="I12" s="15">
        <f>[18]Resumen!$I$40</f>
        <v>0</v>
      </c>
      <c r="J12" s="16">
        <f>[18]Resumen!$J$40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[19]Resumen!$B$40</f>
        <v>0</v>
      </c>
      <c r="C13" s="15">
        <f>[19]Resumen!$C$40</f>
        <v>0</v>
      </c>
      <c r="D13" s="16">
        <f>[19]Resumen!$D$40</f>
        <v>0</v>
      </c>
      <c r="E13" s="14">
        <f>[19]Resumen!$E$40</f>
        <v>0</v>
      </c>
      <c r="F13" s="15">
        <f>[19]Resumen!$F$40</f>
        <v>0</v>
      </c>
      <c r="G13" s="17">
        <f>[19]Resumen!$G$40</f>
        <v>0</v>
      </c>
      <c r="H13" s="18">
        <f>[19]Resumen!$H$40</f>
        <v>0</v>
      </c>
      <c r="I13" s="15">
        <f>[19]Resumen!$I$40</f>
        <v>0</v>
      </c>
      <c r="J13" s="16">
        <f>[19]Resumen!$J$40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[20]Resumen!$B$40</f>
        <v>0</v>
      </c>
      <c r="C14" s="15">
        <f>[20]Resumen!$C$40</f>
        <v>0</v>
      </c>
      <c r="D14" s="16">
        <f>[20]Resumen!$D$40</f>
        <v>0</v>
      </c>
      <c r="E14" s="14">
        <f>[20]Resumen!$E$40</f>
        <v>0</v>
      </c>
      <c r="F14" s="15">
        <f>[20]Resumen!$F$40</f>
        <v>0</v>
      </c>
      <c r="G14" s="17">
        <f>[20]Resumen!$G$40</f>
        <v>0</v>
      </c>
      <c r="H14" s="18">
        <f>[20]Resumen!$H$40</f>
        <v>0</v>
      </c>
      <c r="I14" s="15">
        <f>[20]Resumen!$I$40</f>
        <v>0</v>
      </c>
      <c r="J14" s="16">
        <f>[20]Resumen!$J$40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[21]Resumen!$B$40</f>
        <v>0</v>
      </c>
      <c r="C15" s="15">
        <f>[21]Resumen!$C$40</f>
        <v>0</v>
      </c>
      <c r="D15" s="16">
        <f>[21]Resumen!$D$40</f>
        <v>0</v>
      </c>
      <c r="E15" s="14">
        <f>[21]Resumen!$E$40</f>
        <v>0</v>
      </c>
      <c r="F15" s="15">
        <f>[21]Resumen!$F$40</f>
        <v>0</v>
      </c>
      <c r="G15" s="17">
        <f>[21]Resumen!$G$40</f>
        <v>0</v>
      </c>
      <c r="H15" s="18">
        <f>[21]Resumen!$H$40</f>
        <v>0</v>
      </c>
      <c r="I15" s="15">
        <f>[21]Resumen!$I$40</f>
        <v>0</v>
      </c>
      <c r="J15" s="16">
        <f>[21]Resumen!$J$40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[22]Resumen!$B$40</f>
        <v>0</v>
      </c>
      <c r="C16" s="15">
        <f>[22]Resumen!$C$40</f>
        <v>0</v>
      </c>
      <c r="D16" s="16">
        <f>[22]Resumen!$D$40</f>
        <v>0</v>
      </c>
      <c r="E16" s="14">
        <f>[22]Resumen!$E$40</f>
        <v>0</v>
      </c>
      <c r="F16" s="15">
        <f>[22]Resumen!$F$40</f>
        <v>0</v>
      </c>
      <c r="G16" s="17">
        <f>[22]Resumen!$G$40</f>
        <v>0</v>
      </c>
      <c r="H16" s="18">
        <f>[22]Resumen!$H$40</f>
        <v>0</v>
      </c>
      <c r="I16" s="15">
        <f>[22]Resumen!$I$40</f>
        <v>0</v>
      </c>
      <c r="J16" s="16">
        <f>[22]Resumen!$J$40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[23]Resumen!$B$40</f>
        <v>0</v>
      </c>
      <c r="C17" s="15">
        <f>[23]Resumen!$C$40</f>
        <v>0</v>
      </c>
      <c r="D17" s="16">
        <f>[23]Resumen!$D$40</f>
        <v>0</v>
      </c>
      <c r="E17" s="14">
        <f>[23]Resumen!$E$40</f>
        <v>0</v>
      </c>
      <c r="F17" s="15">
        <f>[23]Resumen!$F$40</f>
        <v>0</v>
      </c>
      <c r="G17" s="17">
        <f>[23]Resumen!$G$40</f>
        <v>0</v>
      </c>
      <c r="H17" s="18">
        <f>[23]Resumen!$H$40</f>
        <v>0</v>
      </c>
      <c r="I17" s="15">
        <f>[23]Resumen!$I$40</f>
        <v>0</v>
      </c>
      <c r="J17" s="16">
        <f>[23]Resumen!$J$40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[24]Resumen!$B$40</f>
        <v>0</v>
      </c>
      <c r="C18" s="15">
        <f>[24]Resumen!$C$40</f>
        <v>0</v>
      </c>
      <c r="D18" s="16">
        <f>[24]Resumen!$D$40</f>
        <v>0</v>
      </c>
      <c r="E18" s="14">
        <f>[24]Resumen!$E$40</f>
        <v>0</v>
      </c>
      <c r="F18" s="15">
        <f>[24]Resumen!$F$40</f>
        <v>0</v>
      </c>
      <c r="G18" s="17">
        <f>[24]Resumen!$G$40</f>
        <v>0</v>
      </c>
      <c r="H18" s="18">
        <f>[24]Resumen!$H$40</f>
        <v>0</v>
      </c>
      <c r="I18" s="15">
        <f>[24]Resumen!$I$40</f>
        <v>0</v>
      </c>
      <c r="J18" s="16">
        <f>[24]Resumen!$J$40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[25]Resumen!$B$40</f>
        <v>0</v>
      </c>
      <c r="C19" s="15">
        <f>[25]Resumen!$C$40</f>
        <v>0</v>
      </c>
      <c r="D19" s="16">
        <f>[25]Resumen!$D$40</f>
        <v>0</v>
      </c>
      <c r="E19" s="14">
        <f>[25]Resumen!$E$40</f>
        <v>0</v>
      </c>
      <c r="F19" s="15">
        <f>[25]Resumen!$F$40</f>
        <v>0</v>
      </c>
      <c r="G19" s="17">
        <f>[25]Resumen!$G$40</f>
        <v>0</v>
      </c>
      <c r="H19" s="18">
        <f>[25]Resumen!$H$40</f>
        <v>0</v>
      </c>
      <c r="I19" s="15">
        <f>[25]Resumen!$I$40</f>
        <v>0</v>
      </c>
      <c r="J19" s="16">
        <f>[25]Resumen!$J$40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[26]Resumen!$B$40</f>
        <v>0</v>
      </c>
      <c r="C20" s="15">
        <f>[26]Resumen!$C$40</f>
        <v>0</v>
      </c>
      <c r="D20" s="16">
        <f>[26]Resumen!$D$40</f>
        <v>0</v>
      </c>
      <c r="E20" s="14">
        <f>[26]Resumen!$E$40</f>
        <v>0</v>
      </c>
      <c r="F20" s="15">
        <f>[26]Resumen!$F$40</f>
        <v>0</v>
      </c>
      <c r="G20" s="17">
        <f>[26]Resumen!$G$40</f>
        <v>0</v>
      </c>
      <c r="H20" s="18">
        <f>[26]Resumen!$H$40</f>
        <v>0</v>
      </c>
      <c r="I20" s="15">
        <f>[26]Resumen!$I$40</f>
        <v>0</v>
      </c>
      <c r="J20" s="16">
        <f>[26]Resumen!$J$40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[27]Resumen!$B$40</f>
        <v>0</v>
      </c>
      <c r="C21" s="15">
        <f>[27]Resumen!$C$40</f>
        <v>0</v>
      </c>
      <c r="D21" s="16">
        <f>[27]Resumen!$D$40</f>
        <v>0</v>
      </c>
      <c r="E21" s="14">
        <f>[27]Resumen!$E$40</f>
        <v>0</v>
      </c>
      <c r="F21" s="15">
        <f>[27]Resumen!$F$40</f>
        <v>0</v>
      </c>
      <c r="G21" s="17">
        <f>[27]Resumen!$G$40</f>
        <v>0</v>
      </c>
      <c r="H21" s="18">
        <f>[27]Resumen!$H$40</f>
        <v>0</v>
      </c>
      <c r="I21" s="15">
        <f>[27]Resumen!$I$40</f>
        <v>0</v>
      </c>
      <c r="J21" s="16">
        <f>[27]Resumen!$J$40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[28]Resumen!$B$40</f>
        <v>0</v>
      </c>
      <c r="C22" s="15">
        <f>[28]Resumen!$C$40</f>
        <v>0</v>
      </c>
      <c r="D22" s="16">
        <f>[28]Resumen!$D$40</f>
        <v>0</v>
      </c>
      <c r="E22" s="14">
        <f>[28]Resumen!$E$40</f>
        <v>0</v>
      </c>
      <c r="F22" s="15">
        <f>[28]Resumen!$F$40</f>
        <v>0</v>
      </c>
      <c r="G22" s="17">
        <f>[28]Resumen!$G$40</f>
        <v>0</v>
      </c>
      <c r="H22" s="18">
        <f>[28]Resumen!$H$40</f>
        <v>0</v>
      </c>
      <c r="I22" s="15">
        <f>[28]Resumen!$I$40</f>
        <v>0</v>
      </c>
      <c r="J22" s="16">
        <f>[28]Resumen!$J$40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[29]Resumen!$B$40</f>
        <v>0</v>
      </c>
      <c r="C23" s="15">
        <f>[29]Resumen!$C$40</f>
        <v>0</v>
      </c>
      <c r="D23" s="16">
        <f>[29]Resumen!$D$40</f>
        <v>0</v>
      </c>
      <c r="E23" s="14">
        <f>[29]Resumen!$E$40</f>
        <v>0</v>
      </c>
      <c r="F23" s="15">
        <f>[29]Resumen!$F$40</f>
        <v>0</v>
      </c>
      <c r="G23" s="17">
        <f>[29]Resumen!$G$40</f>
        <v>0</v>
      </c>
      <c r="H23" s="18">
        <f>[29]Resumen!$H$40</f>
        <v>0</v>
      </c>
      <c r="I23" s="15">
        <f>[29]Resumen!$I$40</f>
        <v>0</v>
      </c>
      <c r="J23" s="16">
        <f>[29]Resumen!$J$40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[30]Resumen!$B$40</f>
        <v>0</v>
      </c>
      <c r="C24" s="15">
        <f>[30]Resumen!$C$40</f>
        <v>0</v>
      </c>
      <c r="D24" s="16">
        <f>[30]Resumen!$D$40</f>
        <v>0</v>
      </c>
      <c r="E24" s="14">
        <f>[30]Resumen!$E$40</f>
        <v>0</v>
      </c>
      <c r="F24" s="15">
        <f>[30]Resumen!$F$40</f>
        <v>0</v>
      </c>
      <c r="G24" s="17">
        <f>[30]Resumen!$G$40</f>
        <v>0</v>
      </c>
      <c r="H24" s="18">
        <f>[30]Resumen!$H$40</f>
        <v>0</v>
      </c>
      <c r="I24" s="15">
        <f>[30]Resumen!$I$40</f>
        <v>0</v>
      </c>
      <c r="J24" s="16">
        <f>[30]Resumen!$J$40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[31]Resumen!$B$40</f>
        <v>0</v>
      </c>
      <c r="C25" s="15">
        <f>[31]Resumen!$C$40</f>
        <v>0</v>
      </c>
      <c r="D25" s="16">
        <f>[31]Resumen!$D$40</f>
        <v>0</v>
      </c>
      <c r="E25" s="14">
        <f>[31]Resumen!$E$40</f>
        <v>0</v>
      </c>
      <c r="F25" s="15">
        <f>[31]Resumen!$F$40</f>
        <v>0</v>
      </c>
      <c r="G25" s="17">
        <f>[31]Resumen!$G$40</f>
        <v>0</v>
      </c>
      <c r="H25" s="18">
        <f>[31]Resumen!$H$40</f>
        <v>0</v>
      </c>
      <c r="I25" s="15">
        <f>[31]Resumen!$I$40</f>
        <v>0</v>
      </c>
      <c r="J25" s="16">
        <f>[31]Resumen!$J$40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[1]Resumen!$B$40</f>
        <v>0</v>
      </c>
      <c r="C26" s="15">
        <f>[1]Resumen!$C$40</f>
        <v>0</v>
      </c>
      <c r="D26" s="16">
        <f>[1]Resumen!$D$40</f>
        <v>0</v>
      </c>
      <c r="E26" s="14">
        <f>[1]Resumen!$E$40</f>
        <v>0</v>
      </c>
      <c r="F26" s="15">
        <f>[1]Resumen!$F$40</f>
        <v>0</v>
      </c>
      <c r="G26" s="17">
        <f>[1]Resumen!$G$40</f>
        <v>0</v>
      </c>
      <c r="H26" s="18">
        <f>[1]Resumen!$H$40</f>
        <v>0</v>
      </c>
      <c r="I26" s="15">
        <f>[1]Resumen!$I$40</f>
        <v>0</v>
      </c>
      <c r="J26" s="16">
        <f>[1]Resumen!$J$40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[2]Resumen!$B$40</f>
        <v>0</v>
      </c>
      <c r="C27" s="15">
        <f>[2]Resumen!$C$40</f>
        <v>0</v>
      </c>
      <c r="D27" s="16">
        <f>[2]Resumen!$D$40</f>
        <v>0</v>
      </c>
      <c r="E27" s="14">
        <f>[2]Resumen!$E$40</f>
        <v>0</v>
      </c>
      <c r="F27" s="15">
        <f>[2]Resumen!$F$40</f>
        <v>0</v>
      </c>
      <c r="G27" s="17">
        <f>[2]Resumen!$G$40</f>
        <v>0</v>
      </c>
      <c r="H27" s="18">
        <f>[2]Resumen!$H$40</f>
        <v>0</v>
      </c>
      <c r="I27" s="15">
        <f>[2]Resumen!$I$40</f>
        <v>0</v>
      </c>
      <c r="J27" s="16">
        <f>[2]Resumen!$J$40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[3]Resumen!$B$40</f>
        <v>0</v>
      </c>
      <c r="C28" s="15">
        <f>[3]Resumen!$C$40</f>
        <v>0</v>
      </c>
      <c r="D28" s="16">
        <f>[3]Resumen!$D$40</f>
        <v>0</v>
      </c>
      <c r="E28" s="14">
        <f>[3]Resumen!$E$40</f>
        <v>0</v>
      </c>
      <c r="F28" s="15">
        <f>[3]Resumen!$F$40</f>
        <v>0</v>
      </c>
      <c r="G28" s="17">
        <f>[3]Resumen!$G$40</f>
        <v>0</v>
      </c>
      <c r="H28" s="18">
        <f>[3]Resumen!$H$40</f>
        <v>0</v>
      </c>
      <c r="I28" s="15">
        <f>[3]Resumen!$I$40</f>
        <v>0</v>
      </c>
      <c r="J28" s="16">
        <f>[3]Resumen!$J$40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[4]Resumen!$B$40</f>
        <v>0</v>
      </c>
      <c r="C29" s="15">
        <f>[4]Resumen!$C$40</f>
        <v>0</v>
      </c>
      <c r="D29" s="16">
        <f>[4]Resumen!$D$40</f>
        <v>0</v>
      </c>
      <c r="E29" s="14">
        <f>[4]Resumen!$E$40</f>
        <v>0</v>
      </c>
      <c r="F29" s="15">
        <f>[4]Resumen!$F$40</f>
        <v>0</v>
      </c>
      <c r="G29" s="17">
        <f>[4]Resumen!$G$40</f>
        <v>0</v>
      </c>
      <c r="H29" s="18">
        <f>[4]Resumen!$H$40</f>
        <v>0</v>
      </c>
      <c r="I29" s="15">
        <f>[4]Resumen!$I$40</f>
        <v>0</v>
      </c>
      <c r="J29" s="16">
        <f>[4]Resumen!$J$40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[5]Resumen!$B$40</f>
        <v>0</v>
      </c>
      <c r="C30" s="15">
        <f>[5]Resumen!$C$40</f>
        <v>0</v>
      </c>
      <c r="D30" s="16">
        <f>[5]Resumen!$D$40</f>
        <v>0</v>
      </c>
      <c r="E30" s="14">
        <f>[5]Resumen!$E$40</f>
        <v>0</v>
      </c>
      <c r="F30" s="15">
        <f>[5]Resumen!$F$40</f>
        <v>0</v>
      </c>
      <c r="G30" s="17">
        <f>[5]Resumen!$G$40</f>
        <v>0</v>
      </c>
      <c r="H30" s="18">
        <f>[5]Resumen!$H$40</f>
        <v>0</v>
      </c>
      <c r="I30" s="15">
        <f>[5]Resumen!$I$40</f>
        <v>0</v>
      </c>
      <c r="J30" s="16">
        <f>[5]Resumen!$J$40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[6]Resumen!$B$40</f>
        <v>0</v>
      </c>
      <c r="C31" s="15">
        <f>[6]Resumen!$C$40</f>
        <v>0</v>
      </c>
      <c r="D31" s="16">
        <f>[6]Resumen!$D$40</f>
        <v>0</v>
      </c>
      <c r="E31" s="14">
        <f>[6]Resumen!$E$40</f>
        <v>0</v>
      </c>
      <c r="F31" s="15">
        <f>[6]Resumen!$F$40</f>
        <v>0</v>
      </c>
      <c r="G31" s="17">
        <f>[6]Resumen!$G$40</f>
        <v>0</v>
      </c>
      <c r="H31" s="18">
        <f>[6]Resumen!$H$40</f>
        <v>0</v>
      </c>
      <c r="I31" s="15">
        <f>[6]Resumen!$I$40</f>
        <v>0</v>
      </c>
      <c r="J31" s="16">
        <f>[6]Resumen!$J$40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[7]Resumen!$B$40</f>
        <v>0</v>
      </c>
      <c r="C32" s="15">
        <f>[7]Resumen!$C$40</f>
        <v>0</v>
      </c>
      <c r="D32" s="16">
        <f>[7]Resumen!$D$40</f>
        <v>0</v>
      </c>
      <c r="E32" s="14">
        <f>[7]Resumen!$E$40</f>
        <v>0</v>
      </c>
      <c r="F32" s="15">
        <f>[7]Resumen!$F$40</f>
        <v>0</v>
      </c>
      <c r="G32" s="17">
        <f>[7]Resumen!$G$40</f>
        <v>0</v>
      </c>
      <c r="H32" s="18">
        <f>[7]Resumen!$H$40</f>
        <v>0</v>
      </c>
      <c r="I32" s="15">
        <f>[7]Resumen!$I$40</f>
        <v>0</v>
      </c>
      <c r="J32" s="16">
        <f>[7]Resumen!$J$40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[8]Resumen!$B$40</f>
        <v>0</v>
      </c>
      <c r="C33" s="15">
        <f>[8]Resumen!$C$40</f>
        <v>0</v>
      </c>
      <c r="D33" s="16">
        <f>[8]Resumen!$D$40</f>
        <v>0</v>
      </c>
      <c r="E33" s="14">
        <f>[8]Resumen!$E$40</f>
        <v>0</v>
      </c>
      <c r="F33" s="15">
        <f>[8]Resumen!$F$40</f>
        <v>0</v>
      </c>
      <c r="G33" s="17">
        <f>[8]Resumen!$G$40</f>
        <v>0</v>
      </c>
      <c r="H33" s="18">
        <f>[8]Resumen!$H$40</f>
        <v>0</v>
      </c>
      <c r="I33" s="15">
        <f>[8]Resumen!$I$40</f>
        <v>0</v>
      </c>
      <c r="J33" s="16">
        <f>[8]Resumen!$J$40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[9]Resumen!$B$40</f>
        <v>0</v>
      </c>
      <c r="C34" s="15">
        <f>[9]Resumen!$C$40</f>
        <v>0</v>
      </c>
      <c r="D34" s="16">
        <f>[9]Resumen!$D$40</f>
        <v>0</v>
      </c>
      <c r="E34" s="14">
        <f>[9]Resumen!$E$40</f>
        <v>0</v>
      </c>
      <c r="F34" s="15">
        <f>[9]Resumen!$F$40</f>
        <v>0</v>
      </c>
      <c r="G34" s="17">
        <f>[9]Resumen!$G$40</f>
        <v>0</v>
      </c>
      <c r="H34" s="18">
        <f>[9]Resumen!$H$40</f>
        <v>0</v>
      </c>
      <c r="I34" s="15">
        <f>[9]Resumen!$I$40</f>
        <v>0</v>
      </c>
      <c r="J34" s="16">
        <f>[9]Resumen!$J$40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+[10]Resumen!$B$40</f>
        <v>0</v>
      </c>
      <c r="C35" s="22">
        <f>+[10]Resumen!$C$40</f>
        <v>0</v>
      </c>
      <c r="D35" s="23">
        <f>+[10]Resumen!$D$40</f>
        <v>0</v>
      </c>
      <c r="E35" s="21">
        <f>+[10]Resumen!$E$40</f>
        <v>0</v>
      </c>
      <c r="F35" s="22">
        <f>+[10]Resumen!$F$40</f>
        <v>0</v>
      </c>
      <c r="G35" s="24">
        <f>+[10]Resumen!$G$40</f>
        <v>0</v>
      </c>
      <c r="H35" s="25">
        <f>+[10]Resumen!$H$40</f>
        <v>0</v>
      </c>
      <c r="I35" s="22">
        <f>+[10]Resumen!$I$40</f>
        <v>0</v>
      </c>
      <c r="J35" s="23">
        <f>+[10]Resumen!$J$40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[11]Resumen!$B$41</f>
        <v>0</v>
      </c>
      <c r="C5" s="58">
        <f>[11]Resumen!$C$41</f>
        <v>0</v>
      </c>
      <c r="D5" s="54">
        <f>[11]Resumen!$D$41</f>
        <v>0</v>
      </c>
      <c r="E5" s="53">
        <f>[11]Resumen!$E$41</f>
        <v>0</v>
      </c>
      <c r="F5" s="58">
        <f>[11]Resumen!$F$41</f>
        <v>0</v>
      </c>
      <c r="G5" s="55">
        <f>[11]Resumen!$G$41</f>
        <v>0</v>
      </c>
      <c r="H5" s="61">
        <f>[11]Resumen!$H$41</f>
        <v>0</v>
      </c>
      <c r="I5" s="58">
        <f>[11]Resumen!$I$41</f>
        <v>0</v>
      </c>
      <c r="J5" s="54">
        <f>[11]Resumen!$J$41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[12]Resumen!$B$41</f>
        <v>0</v>
      </c>
      <c r="C6" s="15">
        <f>[12]Resumen!$C$41</f>
        <v>0</v>
      </c>
      <c r="D6" s="16">
        <f>[12]Resumen!$D$41</f>
        <v>0</v>
      </c>
      <c r="E6" s="14">
        <f>[12]Resumen!$E$41</f>
        <v>0</v>
      </c>
      <c r="F6" s="15">
        <f>[12]Resumen!$F$41</f>
        <v>0</v>
      </c>
      <c r="G6" s="17">
        <f>[12]Resumen!$G$41</f>
        <v>0</v>
      </c>
      <c r="H6" s="18">
        <f>[12]Resumen!$H$41</f>
        <v>0</v>
      </c>
      <c r="I6" s="15">
        <f>[12]Resumen!$I$41</f>
        <v>0</v>
      </c>
      <c r="J6" s="16">
        <f>[12]Resumen!$J$41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[13]Resumen!$B$41</f>
        <v>0</v>
      </c>
      <c r="C7" s="15">
        <f>[13]Resumen!$C$41</f>
        <v>0</v>
      </c>
      <c r="D7" s="16">
        <f>[13]Resumen!$D$41</f>
        <v>0</v>
      </c>
      <c r="E7" s="14">
        <f>[13]Resumen!$E$41</f>
        <v>0</v>
      </c>
      <c r="F7" s="15">
        <f>[13]Resumen!$F$41</f>
        <v>0</v>
      </c>
      <c r="G7" s="17">
        <f>[13]Resumen!$G$41</f>
        <v>0</v>
      </c>
      <c r="H7" s="18">
        <f>[13]Resumen!$H$41</f>
        <v>0</v>
      </c>
      <c r="I7" s="15">
        <f>[13]Resumen!$I$41</f>
        <v>0</v>
      </c>
      <c r="J7" s="16">
        <f>[13]Resumen!$J$41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[14]Resumen!$B$41</f>
        <v>0</v>
      </c>
      <c r="C8" s="15">
        <f>[14]Resumen!$C$41</f>
        <v>0</v>
      </c>
      <c r="D8" s="16">
        <f>[14]Resumen!$D$41</f>
        <v>0</v>
      </c>
      <c r="E8" s="14">
        <f>[14]Resumen!$E$41</f>
        <v>0</v>
      </c>
      <c r="F8" s="15">
        <f>[14]Resumen!$F$41</f>
        <v>0</v>
      </c>
      <c r="G8" s="17">
        <f>[14]Resumen!$G$41</f>
        <v>0</v>
      </c>
      <c r="H8" s="18">
        <f>[14]Resumen!$H$41</f>
        <v>0</v>
      </c>
      <c r="I8" s="15">
        <f>[14]Resumen!$I$41</f>
        <v>0</v>
      </c>
      <c r="J8" s="16">
        <f>[14]Resumen!$J$41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[15]Resumen!$B$41</f>
        <v>0</v>
      </c>
      <c r="C9" s="15">
        <f>[15]Resumen!$C$41</f>
        <v>0</v>
      </c>
      <c r="D9" s="16">
        <f>[15]Resumen!$D$41</f>
        <v>0</v>
      </c>
      <c r="E9" s="14">
        <f>[15]Resumen!$E$41</f>
        <v>0</v>
      </c>
      <c r="F9" s="15">
        <f>[15]Resumen!$F$41</f>
        <v>0</v>
      </c>
      <c r="G9" s="17">
        <f>[15]Resumen!$G$41</f>
        <v>0</v>
      </c>
      <c r="H9" s="18">
        <f>[15]Resumen!$H$41</f>
        <v>0</v>
      </c>
      <c r="I9" s="15">
        <f>[15]Resumen!$I$41</f>
        <v>0</v>
      </c>
      <c r="J9" s="16">
        <f>[15]Resumen!$J$41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[16]Resumen!$B$41</f>
        <v>0</v>
      </c>
      <c r="C10" s="15">
        <f>[16]Resumen!$C$41</f>
        <v>0</v>
      </c>
      <c r="D10" s="16">
        <f>[16]Resumen!$D$41</f>
        <v>0</v>
      </c>
      <c r="E10" s="14">
        <f>[16]Resumen!$E$41</f>
        <v>0</v>
      </c>
      <c r="F10" s="15">
        <f>[16]Resumen!$F$41</f>
        <v>0</v>
      </c>
      <c r="G10" s="17">
        <f>[16]Resumen!$G$41</f>
        <v>0</v>
      </c>
      <c r="H10" s="18">
        <f>[16]Resumen!$H$41</f>
        <v>0</v>
      </c>
      <c r="I10" s="15">
        <f>[16]Resumen!$I$41</f>
        <v>0</v>
      </c>
      <c r="J10" s="16">
        <f>[16]Resumen!$J$41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[17]Resumen!$B$41</f>
        <v>0</v>
      </c>
      <c r="C11" s="15">
        <f>[17]Resumen!$C$41</f>
        <v>0</v>
      </c>
      <c r="D11" s="16">
        <f>[17]Resumen!$D$41</f>
        <v>0</v>
      </c>
      <c r="E11" s="14">
        <f>[17]Resumen!$E$41</f>
        <v>0</v>
      </c>
      <c r="F11" s="15">
        <f>[17]Resumen!$F$41</f>
        <v>0</v>
      </c>
      <c r="G11" s="17">
        <f>[17]Resumen!$G$41</f>
        <v>0</v>
      </c>
      <c r="H11" s="18">
        <f>[17]Resumen!$H$41</f>
        <v>0</v>
      </c>
      <c r="I11" s="15">
        <f>[17]Resumen!$I$41</f>
        <v>0</v>
      </c>
      <c r="J11" s="16">
        <f>[17]Resumen!$J$41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[18]Resumen!$B$41</f>
        <v>0</v>
      </c>
      <c r="C12" s="15">
        <f>[18]Resumen!$C$41</f>
        <v>0</v>
      </c>
      <c r="D12" s="16">
        <f>[18]Resumen!$D$41</f>
        <v>0</v>
      </c>
      <c r="E12" s="14">
        <f>[18]Resumen!$E$41</f>
        <v>0</v>
      </c>
      <c r="F12" s="15">
        <f>[18]Resumen!$F$41</f>
        <v>0</v>
      </c>
      <c r="G12" s="17">
        <f>[18]Resumen!$G$41</f>
        <v>0</v>
      </c>
      <c r="H12" s="18">
        <f>[18]Resumen!$H$41</f>
        <v>0</v>
      </c>
      <c r="I12" s="15">
        <f>[18]Resumen!$I$41</f>
        <v>0</v>
      </c>
      <c r="J12" s="16">
        <f>[18]Resumen!$J$41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[19]Resumen!$B$41</f>
        <v>0</v>
      </c>
      <c r="C13" s="15">
        <f>[19]Resumen!$C$41</f>
        <v>0</v>
      </c>
      <c r="D13" s="16">
        <f>[19]Resumen!$D$41</f>
        <v>0</v>
      </c>
      <c r="E13" s="14">
        <f>[19]Resumen!$E$41</f>
        <v>0</v>
      </c>
      <c r="F13" s="15">
        <f>[19]Resumen!$F$41</f>
        <v>0</v>
      </c>
      <c r="G13" s="17">
        <f>[19]Resumen!$G$41</f>
        <v>0</v>
      </c>
      <c r="H13" s="18">
        <f>[19]Resumen!$H$41</f>
        <v>0</v>
      </c>
      <c r="I13" s="15">
        <f>[19]Resumen!$I$41</f>
        <v>0</v>
      </c>
      <c r="J13" s="16">
        <f>[19]Resumen!$J$41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[20]Resumen!$B$41</f>
        <v>0</v>
      </c>
      <c r="C14" s="15">
        <f>[20]Resumen!$C$41</f>
        <v>0</v>
      </c>
      <c r="D14" s="16">
        <f>[20]Resumen!$D$41</f>
        <v>0</v>
      </c>
      <c r="E14" s="14">
        <f>[20]Resumen!$E$41</f>
        <v>0</v>
      </c>
      <c r="F14" s="15">
        <f>[20]Resumen!$F$41</f>
        <v>0</v>
      </c>
      <c r="G14" s="17">
        <f>[20]Resumen!$G$41</f>
        <v>0</v>
      </c>
      <c r="H14" s="18">
        <f>[20]Resumen!$H$41</f>
        <v>0</v>
      </c>
      <c r="I14" s="15">
        <f>[20]Resumen!$I$41</f>
        <v>0</v>
      </c>
      <c r="J14" s="16">
        <f>[20]Resumen!$J$41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[21]Resumen!$B$41</f>
        <v>0</v>
      </c>
      <c r="C15" s="15">
        <f>[21]Resumen!$C$41</f>
        <v>0</v>
      </c>
      <c r="D15" s="16">
        <f>[21]Resumen!$D$41</f>
        <v>0</v>
      </c>
      <c r="E15" s="14">
        <f>[21]Resumen!$E$41</f>
        <v>0</v>
      </c>
      <c r="F15" s="15">
        <f>[21]Resumen!$F$41</f>
        <v>0</v>
      </c>
      <c r="G15" s="17">
        <f>[21]Resumen!$G$41</f>
        <v>0</v>
      </c>
      <c r="H15" s="18">
        <f>[21]Resumen!$H$41</f>
        <v>0</v>
      </c>
      <c r="I15" s="15">
        <f>[21]Resumen!$I$41</f>
        <v>0</v>
      </c>
      <c r="J15" s="16">
        <f>[21]Resumen!$J$41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[22]Resumen!$B$41</f>
        <v>0</v>
      </c>
      <c r="C16" s="15">
        <f>[22]Resumen!$C$41</f>
        <v>0</v>
      </c>
      <c r="D16" s="16">
        <f>[22]Resumen!$D$41</f>
        <v>0</v>
      </c>
      <c r="E16" s="14">
        <f>[22]Resumen!$E$41</f>
        <v>0</v>
      </c>
      <c r="F16" s="15">
        <f>[22]Resumen!$F$41</f>
        <v>0</v>
      </c>
      <c r="G16" s="17">
        <f>[22]Resumen!$G$41</f>
        <v>0</v>
      </c>
      <c r="H16" s="18">
        <f>[22]Resumen!$H$41</f>
        <v>0</v>
      </c>
      <c r="I16" s="15">
        <f>[22]Resumen!$I$41</f>
        <v>0</v>
      </c>
      <c r="J16" s="16">
        <f>[22]Resumen!$J$41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[23]Resumen!$B$41</f>
        <v>0</v>
      </c>
      <c r="C17" s="15">
        <f>[23]Resumen!$C$41</f>
        <v>0</v>
      </c>
      <c r="D17" s="16">
        <f>[23]Resumen!$D$41</f>
        <v>0</v>
      </c>
      <c r="E17" s="14">
        <f>[23]Resumen!$E$41</f>
        <v>0</v>
      </c>
      <c r="F17" s="15">
        <f>[23]Resumen!$F$41</f>
        <v>0</v>
      </c>
      <c r="G17" s="17">
        <f>[23]Resumen!$G$41</f>
        <v>0</v>
      </c>
      <c r="H17" s="18">
        <f>[23]Resumen!$H$41</f>
        <v>0</v>
      </c>
      <c r="I17" s="15">
        <f>[23]Resumen!$I$41</f>
        <v>0</v>
      </c>
      <c r="J17" s="16">
        <f>[23]Resumen!$J$41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[24]Resumen!$B$41</f>
        <v>0</v>
      </c>
      <c r="C18" s="15">
        <f>[24]Resumen!$C$41</f>
        <v>0</v>
      </c>
      <c r="D18" s="16">
        <f>[24]Resumen!$D$41</f>
        <v>0</v>
      </c>
      <c r="E18" s="14">
        <f>[24]Resumen!$E$41</f>
        <v>0</v>
      </c>
      <c r="F18" s="15">
        <f>[24]Resumen!$F$41</f>
        <v>0</v>
      </c>
      <c r="G18" s="17">
        <f>[24]Resumen!$G$41</f>
        <v>0</v>
      </c>
      <c r="H18" s="18">
        <f>[24]Resumen!$H$41</f>
        <v>0</v>
      </c>
      <c r="I18" s="15">
        <f>[24]Resumen!$I$41</f>
        <v>0</v>
      </c>
      <c r="J18" s="16">
        <f>[24]Resumen!$J$41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[25]Resumen!$B$41</f>
        <v>0</v>
      </c>
      <c r="C19" s="15">
        <f>[25]Resumen!$C$41</f>
        <v>0</v>
      </c>
      <c r="D19" s="16">
        <f>[25]Resumen!$D$41</f>
        <v>0</v>
      </c>
      <c r="E19" s="14">
        <f>[25]Resumen!$E$41</f>
        <v>0</v>
      </c>
      <c r="F19" s="15">
        <f>[25]Resumen!$F$41</f>
        <v>0</v>
      </c>
      <c r="G19" s="17">
        <f>[25]Resumen!$G$41</f>
        <v>0</v>
      </c>
      <c r="H19" s="18">
        <f>[25]Resumen!$H$41</f>
        <v>0</v>
      </c>
      <c r="I19" s="15">
        <f>[25]Resumen!$I$41</f>
        <v>0</v>
      </c>
      <c r="J19" s="16">
        <f>[25]Resumen!$J$41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[26]Resumen!$B$41</f>
        <v>0</v>
      </c>
      <c r="C20" s="15">
        <f>[26]Resumen!$C$41</f>
        <v>0</v>
      </c>
      <c r="D20" s="16">
        <f>[26]Resumen!$D$41</f>
        <v>0</v>
      </c>
      <c r="E20" s="14">
        <f>[26]Resumen!$E$41</f>
        <v>0</v>
      </c>
      <c r="F20" s="15">
        <f>[26]Resumen!$F$41</f>
        <v>0</v>
      </c>
      <c r="G20" s="17">
        <f>[26]Resumen!$G$41</f>
        <v>0</v>
      </c>
      <c r="H20" s="18">
        <f>[26]Resumen!$H$41</f>
        <v>0</v>
      </c>
      <c r="I20" s="15">
        <f>[26]Resumen!$I$41</f>
        <v>0</v>
      </c>
      <c r="J20" s="16">
        <f>[26]Resumen!$J$41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[27]Resumen!$B$41</f>
        <v>0</v>
      </c>
      <c r="C21" s="15">
        <f>[27]Resumen!$C$41</f>
        <v>0</v>
      </c>
      <c r="D21" s="16">
        <f>[27]Resumen!$D$41</f>
        <v>0</v>
      </c>
      <c r="E21" s="14">
        <f>[27]Resumen!$E$41</f>
        <v>0</v>
      </c>
      <c r="F21" s="15">
        <f>[27]Resumen!$F$41</f>
        <v>0</v>
      </c>
      <c r="G21" s="17">
        <f>[27]Resumen!$G$41</f>
        <v>0</v>
      </c>
      <c r="H21" s="18">
        <f>[27]Resumen!$H$41</f>
        <v>0</v>
      </c>
      <c r="I21" s="15">
        <f>[27]Resumen!$I$41</f>
        <v>0</v>
      </c>
      <c r="J21" s="16">
        <f>[27]Resumen!$J$41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[28]Resumen!$B$41</f>
        <v>0</v>
      </c>
      <c r="C22" s="15">
        <f>[28]Resumen!$C$41</f>
        <v>0</v>
      </c>
      <c r="D22" s="16">
        <f>[28]Resumen!$D$41</f>
        <v>0</v>
      </c>
      <c r="E22" s="14">
        <f>[28]Resumen!$E$41</f>
        <v>0</v>
      </c>
      <c r="F22" s="15">
        <f>[28]Resumen!$F$41</f>
        <v>0</v>
      </c>
      <c r="G22" s="17">
        <f>[28]Resumen!$G$41</f>
        <v>0</v>
      </c>
      <c r="H22" s="18">
        <f>[28]Resumen!$H$41</f>
        <v>0</v>
      </c>
      <c r="I22" s="15">
        <f>[28]Resumen!$I$41</f>
        <v>0</v>
      </c>
      <c r="J22" s="16">
        <f>[28]Resumen!$J$41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[29]Resumen!$B$41</f>
        <v>0</v>
      </c>
      <c r="C23" s="15">
        <f>[29]Resumen!$C$41</f>
        <v>0</v>
      </c>
      <c r="D23" s="16">
        <f>[29]Resumen!$D$41</f>
        <v>0</v>
      </c>
      <c r="E23" s="14">
        <f>[29]Resumen!$E$41</f>
        <v>0</v>
      </c>
      <c r="F23" s="15">
        <f>[29]Resumen!$F$41</f>
        <v>0</v>
      </c>
      <c r="G23" s="17">
        <f>[29]Resumen!$G$41</f>
        <v>0</v>
      </c>
      <c r="H23" s="18">
        <f>[29]Resumen!$H$41</f>
        <v>0</v>
      </c>
      <c r="I23" s="15">
        <f>[29]Resumen!$I$41</f>
        <v>0</v>
      </c>
      <c r="J23" s="16">
        <f>[29]Resumen!$J$41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[30]Resumen!$B$41</f>
        <v>0</v>
      </c>
      <c r="C24" s="15">
        <f>[30]Resumen!$C$41</f>
        <v>0</v>
      </c>
      <c r="D24" s="16">
        <f>[30]Resumen!$D$41</f>
        <v>0</v>
      </c>
      <c r="E24" s="14">
        <f>[30]Resumen!$E$41</f>
        <v>0</v>
      </c>
      <c r="F24" s="15">
        <f>[30]Resumen!$F$41</f>
        <v>0</v>
      </c>
      <c r="G24" s="17">
        <f>[30]Resumen!$G$41</f>
        <v>0</v>
      </c>
      <c r="H24" s="18">
        <f>[30]Resumen!$H$41</f>
        <v>0</v>
      </c>
      <c r="I24" s="15">
        <f>[30]Resumen!$I$41</f>
        <v>0</v>
      </c>
      <c r="J24" s="16">
        <f>[30]Resumen!$J$41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[31]Resumen!$B$41</f>
        <v>0</v>
      </c>
      <c r="C25" s="15">
        <f>[31]Resumen!$C$41</f>
        <v>0</v>
      </c>
      <c r="D25" s="16">
        <f>[31]Resumen!$D$41</f>
        <v>0</v>
      </c>
      <c r="E25" s="14">
        <f>[31]Resumen!$E$41</f>
        <v>0</v>
      </c>
      <c r="F25" s="15">
        <f>[31]Resumen!$F$41</f>
        <v>0</v>
      </c>
      <c r="G25" s="17">
        <f>[31]Resumen!$G$41</f>
        <v>0</v>
      </c>
      <c r="H25" s="18">
        <f>[31]Resumen!$H$41</f>
        <v>0</v>
      </c>
      <c r="I25" s="15">
        <f>[31]Resumen!$I$41</f>
        <v>0</v>
      </c>
      <c r="J25" s="16">
        <f>[31]Resumen!$J$41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[1]Resumen!$B$41</f>
        <v>0</v>
      </c>
      <c r="C26" s="15">
        <f>[1]Resumen!$C$41</f>
        <v>0</v>
      </c>
      <c r="D26" s="16">
        <f>[1]Resumen!$D$41</f>
        <v>0</v>
      </c>
      <c r="E26" s="14">
        <f>[1]Resumen!$E$41</f>
        <v>0</v>
      </c>
      <c r="F26" s="15">
        <f>[1]Resumen!$F$41</f>
        <v>0</v>
      </c>
      <c r="G26" s="17">
        <f>[1]Resumen!$G$41</f>
        <v>0</v>
      </c>
      <c r="H26" s="18">
        <f>[1]Resumen!$H$41</f>
        <v>0</v>
      </c>
      <c r="I26" s="15">
        <f>[1]Resumen!$I$41</f>
        <v>0</v>
      </c>
      <c r="J26" s="16">
        <f>[1]Resumen!$J$41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[2]Resumen!$B$41</f>
        <v>0</v>
      </c>
      <c r="C27" s="15">
        <f>[2]Resumen!$C$41</f>
        <v>0</v>
      </c>
      <c r="D27" s="16">
        <f>[2]Resumen!$D$41</f>
        <v>0</v>
      </c>
      <c r="E27" s="14">
        <f>[2]Resumen!$E$41</f>
        <v>0</v>
      </c>
      <c r="F27" s="15">
        <f>[2]Resumen!$F$41</f>
        <v>0</v>
      </c>
      <c r="G27" s="17">
        <f>[2]Resumen!$G$41</f>
        <v>0</v>
      </c>
      <c r="H27" s="18">
        <f>[2]Resumen!$H$41</f>
        <v>0</v>
      </c>
      <c r="I27" s="15">
        <f>[2]Resumen!$I$41</f>
        <v>0</v>
      </c>
      <c r="J27" s="16">
        <f>[2]Resumen!$J$41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[3]Resumen!$B$41</f>
        <v>0</v>
      </c>
      <c r="C28" s="15">
        <f>[3]Resumen!$C$41</f>
        <v>0</v>
      </c>
      <c r="D28" s="16">
        <f>[3]Resumen!$D$41</f>
        <v>0</v>
      </c>
      <c r="E28" s="14">
        <f>[3]Resumen!$E$41</f>
        <v>0</v>
      </c>
      <c r="F28" s="15">
        <f>[3]Resumen!$F$41</f>
        <v>0</v>
      </c>
      <c r="G28" s="17">
        <f>[3]Resumen!$G$41</f>
        <v>0</v>
      </c>
      <c r="H28" s="18">
        <f>[3]Resumen!$H$41</f>
        <v>0</v>
      </c>
      <c r="I28" s="15">
        <f>[3]Resumen!$I$41</f>
        <v>0</v>
      </c>
      <c r="J28" s="16">
        <f>[3]Resumen!$J$41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[4]Resumen!$B$41</f>
        <v>0</v>
      </c>
      <c r="C29" s="15">
        <f>[4]Resumen!$C$41</f>
        <v>0</v>
      </c>
      <c r="D29" s="16">
        <f>[4]Resumen!$D$41</f>
        <v>0</v>
      </c>
      <c r="E29" s="14">
        <f>[4]Resumen!$E$41</f>
        <v>0</v>
      </c>
      <c r="F29" s="15">
        <f>[4]Resumen!$F$41</f>
        <v>0</v>
      </c>
      <c r="G29" s="17">
        <f>[4]Resumen!$G$41</f>
        <v>0</v>
      </c>
      <c r="H29" s="18">
        <f>[4]Resumen!$H$41</f>
        <v>0</v>
      </c>
      <c r="I29" s="15">
        <f>[4]Resumen!$I$41</f>
        <v>0</v>
      </c>
      <c r="J29" s="16">
        <f>[4]Resumen!$J$41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[5]Resumen!$B$41</f>
        <v>0</v>
      </c>
      <c r="C30" s="15">
        <f>[5]Resumen!$C$41</f>
        <v>0</v>
      </c>
      <c r="D30" s="16">
        <f>[5]Resumen!$D$41</f>
        <v>0</v>
      </c>
      <c r="E30" s="14">
        <f>[5]Resumen!$E$41</f>
        <v>0</v>
      </c>
      <c r="F30" s="15">
        <f>[5]Resumen!$F$41</f>
        <v>0</v>
      </c>
      <c r="G30" s="17">
        <f>[5]Resumen!$G$41</f>
        <v>0</v>
      </c>
      <c r="H30" s="18">
        <f>[5]Resumen!$H$41</f>
        <v>0</v>
      </c>
      <c r="I30" s="15">
        <f>[5]Resumen!$I$41</f>
        <v>0</v>
      </c>
      <c r="J30" s="16">
        <f>[5]Resumen!$J$41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[6]Resumen!$B$41</f>
        <v>0</v>
      </c>
      <c r="C31" s="15">
        <f>[6]Resumen!$C$41</f>
        <v>0</v>
      </c>
      <c r="D31" s="16">
        <f>[6]Resumen!$D$41</f>
        <v>0</v>
      </c>
      <c r="E31" s="14">
        <f>[6]Resumen!$E$41</f>
        <v>0</v>
      </c>
      <c r="F31" s="15">
        <f>[6]Resumen!$F$41</f>
        <v>0</v>
      </c>
      <c r="G31" s="17">
        <f>[6]Resumen!$G$41</f>
        <v>0</v>
      </c>
      <c r="H31" s="18">
        <f>[6]Resumen!$H$41</f>
        <v>0</v>
      </c>
      <c r="I31" s="15">
        <f>[6]Resumen!$I$41</f>
        <v>0</v>
      </c>
      <c r="J31" s="16">
        <f>[6]Resumen!$J$41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[7]Resumen!$B$41</f>
        <v>0</v>
      </c>
      <c r="C32" s="15">
        <f>[7]Resumen!$C$41</f>
        <v>0</v>
      </c>
      <c r="D32" s="16">
        <f>[7]Resumen!$D$41</f>
        <v>0</v>
      </c>
      <c r="E32" s="14">
        <f>[7]Resumen!$E$41</f>
        <v>0</v>
      </c>
      <c r="F32" s="15">
        <f>[7]Resumen!$F$41</f>
        <v>0</v>
      </c>
      <c r="G32" s="17">
        <f>[7]Resumen!$G$41</f>
        <v>0</v>
      </c>
      <c r="H32" s="18">
        <f>[7]Resumen!$H$41</f>
        <v>0</v>
      </c>
      <c r="I32" s="15">
        <f>[7]Resumen!$I$41</f>
        <v>0</v>
      </c>
      <c r="J32" s="16">
        <f>[7]Resumen!$J$41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[8]Resumen!$B$41</f>
        <v>0</v>
      </c>
      <c r="C33" s="15">
        <f>[8]Resumen!$C$41</f>
        <v>0</v>
      </c>
      <c r="D33" s="16">
        <f>[8]Resumen!$D$41</f>
        <v>0</v>
      </c>
      <c r="E33" s="14">
        <f>[8]Resumen!$E$41</f>
        <v>0</v>
      </c>
      <c r="F33" s="15">
        <f>[8]Resumen!$F$41</f>
        <v>0</v>
      </c>
      <c r="G33" s="17">
        <f>[8]Resumen!$G$41</f>
        <v>0</v>
      </c>
      <c r="H33" s="18">
        <f>[8]Resumen!$H$41</f>
        <v>0</v>
      </c>
      <c r="I33" s="15">
        <f>[8]Resumen!$I$41</f>
        <v>0</v>
      </c>
      <c r="J33" s="16">
        <f>[8]Resumen!$J$41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[9]Resumen!$B$41</f>
        <v>0</v>
      </c>
      <c r="C34" s="15">
        <f>[9]Resumen!$C$41</f>
        <v>0</v>
      </c>
      <c r="D34" s="16">
        <f>[9]Resumen!$D$41</f>
        <v>0</v>
      </c>
      <c r="E34" s="14">
        <f>[9]Resumen!$E$41</f>
        <v>0</v>
      </c>
      <c r="F34" s="15">
        <f>[9]Resumen!$F$41</f>
        <v>0</v>
      </c>
      <c r="G34" s="17">
        <f>[9]Resumen!$G$41</f>
        <v>0</v>
      </c>
      <c r="H34" s="18">
        <f>[9]Resumen!$H$41</f>
        <v>0</v>
      </c>
      <c r="I34" s="15">
        <f>[9]Resumen!$I$41</f>
        <v>0</v>
      </c>
      <c r="J34" s="16">
        <f>[9]Resumen!$J$41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+[10]Resumen!$B$41</f>
        <v>0</v>
      </c>
      <c r="C35" s="22">
        <f>+[10]Resumen!$C$41</f>
        <v>0</v>
      </c>
      <c r="D35" s="23">
        <f>+[10]Resumen!$D$41</f>
        <v>0</v>
      </c>
      <c r="E35" s="21">
        <f>+[10]Resumen!$E$41</f>
        <v>0</v>
      </c>
      <c r="F35" s="22">
        <f>+[10]Resumen!$F$41</f>
        <v>0</v>
      </c>
      <c r="G35" s="24">
        <f>+[10]Resumen!$G$41</f>
        <v>0</v>
      </c>
      <c r="H35" s="25">
        <f>+[10]Resumen!$H$41</f>
        <v>0</v>
      </c>
      <c r="I35" s="22">
        <f>+[10]Resumen!$I$41</f>
        <v>0</v>
      </c>
      <c r="J35" s="23">
        <f>+[10]Resumen!$J$41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[11]Resumen!$B$42</f>
        <v>0</v>
      </c>
      <c r="C5" s="58">
        <f>[11]Resumen!$C$42</f>
        <v>0</v>
      </c>
      <c r="D5" s="54">
        <f>[11]Resumen!$D$42</f>
        <v>0</v>
      </c>
      <c r="E5" s="53">
        <f>[11]Resumen!$E$42</f>
        <v>0</v>
      </c>
      <c r="F5" s="58">
        <f>[11]Resumen!$F$42</f>
        <v>0</v>
      </c>
      <c r="G5" s="55">
        <f>[11]Resumen!$G$42</f>
        <v>0</v>
      </c>
      <c r="H5" s="61">
        <f>[11]Resumen!$H$42</f>
        <v>0</v>
      </c>
      <c r="I5" s="58">
        <f>[11]Resumen!$I$42</f>
        <v>0</v>
      </c>
      <c r="J5" s="54">
        <f>[11]Resumen!$J$42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[12]Resumen!$B$42</f>
        <v>0</v>
      </c>
      <c r="C6" s="15">
        <f>[12]Resumen!$C$42</f>
        <v>0</v>
      </c>
      <c r="D6" s="16">
        <f>[12]Resumen!$D$42</f>
        <v>0</v>
      </c>
      <c r="E6" s="14">
        <f>[12]Resumen!$E$42</f>
        <v>0</v>
      </c>
      <c r="F6" s="15">
        <f>[12]Resumen!$F$42</f>
        <v>0</v>
      </c>
      <c r="G6" s="17">
        <f>[12]Resumen!$G$42</f>
        <v>0</v>
      </c>
      <c r="H6" s="18">
        <f>[12]Resumen!$H$42</f>
        <v>0</v>
      </c>
      <c r="I6" s="15">
        <f>[12]Resumen!$I$42</f>
        <v>0</v>
      </c>
      <c r="J6" s="16">
        <f>[12]Resumen!$J$42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[13]Resumen!$B$42</f>
        <v>0</v>
      </c>
      <c r="C7" s="15">
        <f>[13]Resumen!$C$42</f>
        <v>0</v>
      </c>
      <c r="D7" s="16">
        <f>[13]Resumen!$D$42</f>
        <v>0</v>
      </c>
      <c r="E7" s="14">
        <f>[13]Resumen!$E$42</f>
        <v>0</v>
      </c>
      <c r="F7" s="15">
        <f>[13]Resumen!$F$42</f>
        <v>0</v>
      </c>
      <c r="G7" s="17">
        <f>[13]Resumen!$G$42</f>
        <v>0</v>
      </c>
      <c r="H7" s="18">
        <f>[13]Resumen!$H$42</f>
        <v>0</v>
      </c>
      <c r="I7" s="15">
        <f>[13]Resumen!$I$42</f>
        <v>0</v>
      </c>
      <c r="J7" s="16">
        <f>[13]Resumen!$J$42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[14]Resumen!$B$42</f>
        <v>0</v>
      </c>
      <c r="C8" s="15">
        <f>[14]Resumen!$C$42</f>
        <v>0</v>
      </c>
      <c r="D8" s="16">
        <f>[14]Resumen!$D$42</f>
        <v>0</v>
      </c>
      <c r="E8" s="14">
        <f>[14]Resumen!$E$42</f>
        <v>0</v>
      </c>
      <c r="F8" s="15">
        <f>[14]Resumen!$F$42</f>
        <v>0</v>
      </c>
      <c r="G8" s="17">
        <f>[14]Resumen!$G$42</f>
        <v>0</v>
      </c>
      <c r="H8" s="18">
        <f>[14]Resumen!$H$42</f>
        <v>0</v>
      </c>
      <c r="I8" s="15">
        <f>[14]Resumen!$I$42</f>
        <v>0</v>
      </c>
      <c r="J8" s="16">
        <f>[14]Resumen!$J$42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[15]Resumen!$B$42</f>
        <v>0</v>
      </c>
      <c r="C9" s="15">
        <f>[15]Resumen!$C$42</f>
        <v>0</v>
      </c>
      <c r="D9" s="16">
        <f>[15]Resumen!$D$42</f>
        <v>0</v>
      </c>
      <c r="E9" s="14">
        <f>[15]Resumen!$E$42</f>
        <v>0</v>
      </c>
      <c r="F9" s="15">
        <f>[15]Resumen!$F$42</f>
        <v>0</v>
      </c>
      <c r="G9" s="17">
        <f>[15]Resumen!$G$42</f>
        <v>0</v>
      </c>
      <c r="H9" s="18">
        <f>[15]Resumen!$H$42</f>
        <v>0</v>
      </c>
      <c r="I9" s="15">
        <f>[15]Resumen!$I$42</f>
        <v>0</v>
      </c>
      <c r="J9" s="16">
        <f>[15]Resumen!$J$42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[16]Resumen!$B$42</f>
        <v>0</v>
      </c>
      <c r="C10" s="15">
        <f>[16]Resumen!$C$42</f>
        <v>0</v>
      </c>
      <c r="D10" s="16">
        <f>[16]Resumen!$D$42</f>
        <v>0</v>
      </c>
      <c r="E10" s="14">
        <f>[16]Resumen!$E$42</f>
        <v>0</v>
      </c>
      <c r="F10" s="15">
        <f>[16]Resumen!$F$42</f>
        <v>0</v>
      </c>
      <c r="G10" s="17">
        <f>[16]Resumen!$G$42</f>
        <v>0</v>
      </c>
      <c r="H10" s="18">
        <f>[16]Resumen!$H$42</f>
        <v>0</v>
      </c>
      <c r="I10" s="15">
        <f>[16]Resumen!$I$42</f>
        <v>0</v>
      </c>
      <c r="J10" s="16">
        <f>[16]Resumen!$J$42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[17]Resumen!$B$42</f>
        <v>0</v>
      </c>
      <c r="C11" s="15">
        <f>[17]Resumen!$C$42</f>
        <v>0</v>
      </c>
      <c r="D11" s="16">
        <f>[17]Resumen!$D$42</f>
        <v>0</v>
      </c>
      <c r="E11" s="14">
        <f>[17]Resumen!$E$42</f>
        <v>0</v>
      </c>
      <c r="F11" s="15">
        <f>[17]Resumen!$F$42</f>
        <v>0</v>
      </c>
      <c r="G11" s="17">
        <f>[17]Resumen!$G$42</f>
        <v>0</v>
      </c>
      <c r="H11" s="18">
        <f>[17]Resumen!$H$42</f>
        <v>0</v>
      </c>
      <c r="I11" s="15">
        <f>[17]Resumen!$I$42</f>
        <v>0</v>
      </c>
      <c r="J11" s="16">
        <f>[17]Resumen!$J$42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[18]Resumen!$B$42</f>
        <v>0</v>
      </c>
      <c r="C12" s="15">
        <f>[18]Resumen!$C$42</f>
        <v>0</v>
      </c>
      <c r="D12" s="16">
        <f>[18]Resumen!$D$42</f>
        <v>0</v>
      </c>
      <c r="E12" s="14">
        <f>[18]Resumen!$E$42</f>
        <v>0</v>
      </c>
      <c r="F12" s="15">
        <f>[18]Resumen!$F$42</f>
        <v>0</v>
      </c>
      <c r="G12" s="17">
        <f>[18]Resumen!$G$42</f>
        <v>0</v>
      </c>
      <c r="H12" s="18">
        <f>[18]Resumen!$H$42</f>
        <v>0</v>
      </c>
      <c r="I12" s="15">
        <f>[18]Resumen!$I$42</f>
        <v>0</v>
      </c>
      <c r="J12" s="16">
        <f>[18]Resumen!$J$42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[19]Resumen!$B$42</f>
        <v>0</v>
      </c>
      <c r="C13" s="15">
        <f>[19]Resumen!$C$42</f>
        <v>0</v>
      </c>
      <c r="D13" s="16">
        <f>[19]Resumen!$D$42</f>
        <v>0</v>
      </c>
      <c r="E13" s="14">
        <f>[19]Resumen!$E$42</f>
        <v>0</v>
      </c>
      <c r="F13" s="15">
        <f>[19]Resumen!$F$42</f>
        <v>0</v>
      </c>
      <c r="G13" s="17">
        <f>[19]Resumen!$G$42</f>
        <v>0</v>
      </c>
      <c r="H13" s="18">
        <f>[19]Resumen!$H$42</f>
        <v>0</v>
      </c>
      <c r="I13" s="15">
        <f>[19]Resumen!$I$42</f>
        <v>0</v>
      </c>
      <c r="J13" s="16">
        <f>[19]Resumen!$J$42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[20]Resumen!$B$42</f>
        <v>0</v>
      </c>
      <c r="C14" s="15">
        <f>[20]Resumen!$C$42</f>
        <v>0</v>
      </c>
      <c r="D14" s="16">
        <f>[20]Resumen!$D$42</f>
        <v>0</v>
      </c>
      <c r="E14" s="14">
        <f>[20]Resumen!$E$42</f>
        <v>0</v>
      </c>
      <c r="F14" s="15">
        <f>[20]Resumen!$F$42</f>
        <v>0</v>
      </c>
      <c r="G14" s="17">
        <f>[20]Resumen!$G$42</f>
        <v>0</v>
      </c>
      <c r="H14" s="18">
        <f>[20]Resumen!$H$42</f>
        <v>0</v>
      </c>
      <c r="I14" s="15">
        <f>[20]Resumen!$I$42</f>
        <v>0</v>
      </c>
      <c r="J14" s="16">
        <f>[20]Resumen!$J$42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[21]Resumen!$B$42</f>
        <v>0</v>
      </c>
      <c r="C15" s="15">
        <f>[21]Resumen!$C$42</f>
        <v>0</v>
      </c>
      <c r="D15" s="16">
        <f>[21]Resumen!$D$42</f>
        <v>0</v>
      </c>
      <c r="E15" s="14">
        <f>[21]Resumen!$E$42</f>
        <v>0</v>
      </c>
      <c r="F15" s="15">
        <f>[21]Resumen!$F$42</f>
        <v>0</v>
      </c>
      <c r="G15" s="17">
        <f>[21]Resumen!$G$42</f>
        <v>0</v>
      </c>
      <c r="H15" s="18">
        <f>[21]Resumen!$H$42</f>
        <v>0</v>
      </c>
      <c r="I15" s="15">
        <f>[21]Resumen!$I$42</f>
        <v>0</v>
      </c>
      <c r="J15" s="16">
        <f>[21]Resumen!$J$42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[22]Resumen!$B$42</f>
        <v>0</v>
      </c>
      <c r="C16" s="15">
        <f>[22]Resumen!$C$42</f>
        <v>0</v>
      </c>
      <c r="D16" s="16">
        <f>[22]Resumen!$D$42</f>
        <v>0</v>
      </c>
      <c r="E16" s="14">
        <f>[22]Resumen!$E$42</f>
        <v>0</v>
      </c>
      <c r="F16" s="15">
        <f>[22]Resumen!$F$42</f>
        <v>0</v>
      </c>
      <c r="G16" s="17">
        <f>[22]Resumen!$G$42</f>
        <v>0</v>
      </c>
      <c r="H16" s="18">
        <f>[22]Resumen!$H$42</f>
        <v>0</v>
      </c>
      <c r="I16" s="15">
        <f>[22]Resumen!$I$42</f>
        <v>0</v>
      </c>
      <c r="J16" s="16">
        <f>[22]Resumen!$J$42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[23]Resumen!$B$42</f>
        <v>0</v>
      </c>
      <c r="C17" s="15">
        <f>[23]Resumen!$C$42</f>
        <v>0</v>
      </c>
      <c r="D17" s="16">
        <f>[23]Resumen!$D$42</f>
        <v>0</v>
      </c>
      <c r="E17" s="14">
        <f>[23]Resumen!$E$42</f>
        <v>0</v>
      </c>
      <c r="F17" s="15">
        <f>[23]Resumen!$F$42</f>
        <v>0</v>
      </c>
      <c r="G17" s="17">
        <f>[23]Resumen!$G$42</f>
        <v>0</v>
      </c>
      <c r="H17" s="18">
        <f>[23]Resumen!$H$42</f>
        <v>0</v>
      </c>
      <c r="I17" s="15">
        <f>[23]Resumen!$I$42</f>
        <v>0</v>
      </c>
      <c r="J17" s="16">
        <f>[23]Resumen!$J$42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[24]Resumen!$B$42</f>
        <v>0</v>
      </c>
      <c r="C18" s="15">
        <f>[24]Resumen!$C$42</f>
        <v>0</v>
      </c>
      <c r="D18" s="16">
        <f>[24]Resumen!$D$42</f>
        <v>0</v>
      </c>
      <c r="E18" s="14">
        <f>[24]Resumen!$E$42</f>
        <v>0</v>
      </c>
      <c r="F18" s="15">
        <f>[24]Resumen!$F$42</f>
        <v>0</v>
      </c>
      <c r="G18" s="17">
        <f>[24]Resumen!$G$42</f>
        <v>0</v>
      </c>
      <c r="H18" s="18">
        <f>[24]Resumen!$H$42</f>
        <v>0</v>
      </c>
      <c r="I18" s="15">
        <f>[24]Resumen!$I$42</f>
        <v>0</v>
      </c>
      <c r="J18" s="16">
        <f>[24]Resumen!$J$42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[25]Resumen!$B$42</f>
        <v>0</v>
      </c>
      <c r="C19" s="15">
        <f>[25]Resumen!$C$42</f>
        <v>0</v>
      </c>
      <c r="D19" s="16">
        <f>[25]Resumen!$D$42</f>
        <v>0</v>
      </c>
      <c r="E19" s="14">
        <f>[25]Resumen!$E$42</f>
        <v>0</v>
      </c>
      <c r="F19" s="15">
        <f>[25]Resumen!$F$42</f>
        <v>0</v>
      </c>
      <c r="G19" s="17">
        <f>[25]Resumen!$G$42</f>
        <v>0</v>
      </c>
      <c r="H19" s="18">
        <f>[25]Resumen!$H$42</f>
        <v>0</v>
      </c>
      <c r="I19" s="15">
        <f>[25]Resumen!$I$42</f>
        <v>0</v>
      </c>
      <c r="J19" s="16">
        <f>[25]Resumen!$J$42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[26]Resumen!$B$42</f>
        <v>0</v>
      </c>
      <c r="C20" s="15">
        <f>[26]Resumen!$C$42</f>
        <v>0</v>
      </c>
      <c r="D20" s="16">
        <f>[26]Resumen!$D$42</f>
        <v>0</v>
      </c>
      <c r="E20" s="14">
        <f>[26]Resumen!$E$42</f>
        <v>0</v>
      </c>
      <c r="F20" s="15">
        <f>[26]Resumen!$F$42</f>
        <v>0</v>
      </c>
      <c r="G20" s="17">
        <f>[26]Resumen!$G$42</f>
        <v>0</v>
      </c>
      <c r="H20" s="18">
        <f>[26]Resumen!$H$42</f>
        <v>0</v>
      </c>
      <c r="I20" s="15">
        <f>[26]Resumen!$I$42</f>
        <v>0</v>
      </c>
      <c r="J20" s="16">
        <f>[26]Resumen!$J$42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[27]Resumen!$B$42</f>
        <v>0</v>
      </c>
      <c r="C21" s="15">
        <f>[27]Resumen!$C$42</f>
        <v>0</v>
      </c>
      <c r="D21" s="16">
        <f>[27]Resumen!$D$42</f>
        <v>0</v>
      </c>
      <c r="E21" s="14">
        <f>[27]Resumen!$E$42</f>
        <v>0</v>
      </c>
      <c r="F21" s="15">
        <f>[27]Resumen!$F$42</f>
        <v>0</v>
      </c>
      <c r="G21" s="17">
        <f>[27]Resumen!$G$42</f>
        <v>0</v>
      </c>
      <c r="H21" s="18">
        <f>[27]Resumen!$H$42</f>
        <v>0</v>
      </c>
      <c r="I21" s="15">
        <f>[27]Resumen!$I$42</f>
        <v>0</v>
      </c>
      <c r="J21" s="16">
        <f>[27]Resumen!$J$42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[28]Resumen!$B$42</f>
        <v>0</v>
      </c>
      <c r="C22" s="15">
        <f>[28]Resumen!$C$42</f>
        <v>0</v>
      </c>
      <c r="D22" s="16">
        <f>[28]Resumen!$D$42</f>
        <v>0</v>
      </c>
      <c r="E22" s="14">
        <f>[28]Resumen!$E$42</f>
        <v>0</v>
      </c>
      <c r="F22" s="15">
        <f>[28]Resumen!$F$42</f>
        <v>0</v>
      </c>
      <c r="G22" s="17">
        <f>[28]Resumen!$G$42</f>
        <v>0</v>
      </c>
      <c r="H22" s="18">
        <f>[28]Resumen!$H$42</f>
        <v>0</v>
      </c>
      <c r="I22" s="15">
        <f>[28]Resumen!$I$42</f>
        <v>0</v>
      </c>
      <c r="J22" s="16">
        <f>[28]Resumen!$J$42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[29]Resumen!$B$42</f>
        <v>0</v>
      </c>
      <c r="C23" s="15">
        <f>[29]Resumen!$C$42</f>
        <v>0</v>
      </c>
      <c r="D23" s="16">
        <f>[29]Resumen!$D$42</f>
        <v>0</v>
      </c>
      <c r="E23" s="14">
        <f>[29]Resumen!$E$42</f>
        <v>0</v>
      </c>
      <c r="F23" s="15">
        <f>[29]Resumen!$F$42</f>
        <v>0</v>
      </c>
      <c r="G23" s="17">
        <f>[29]Resumen!$G$42</f>
        <v>0</v>
      </c>
      <c r="H23" s="18">
        <f>[29]Resumen!$H$42</f>
        <v>0</v>
      </c>
      <c r="I23" s="15">
        <f>[29]Resumen!$I$42</f>
        <v>0</v>
      </c>
      <c r="J23" s="16">
        <f>[29]Resumen!$J$42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[30]Resumen!$B$42</f>
        <v>0</v>
      </c>
      <c r="C24" s="15">
        <f>[30]Resumen!$C$42</f>
        <v>0</v>
      </c>
      <c r="D24" s="16">
        <f>[30]Resumen!$D$42</f>
        <v>0</v>
      </c>
      <c r="E24" s="14">
        <f>[30]Resumen!$E$42</f>
        <v>0</v>
      </c>
      <c r="F24" s="15">
        <f>[30]Resumen!$F$42</f>
        <v>0</v>
      </c>
      <c r="G24" s="17">
        <f>[30]Resumen!$G$42</f>
        <v>0</v>
      </c>
      <c r="H24" s="18">
        <f>[30]Resumen!$H$42</f>
        <v>0</v>
      </c>
      <c r="I24" s="15">
        <f>[30]Resumen!$I$42</f>
        <v>0</v>
      </c>
      <c r="J24" s="16">
        <f>[30]Resumen!$J$42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[31]Resumen!$B$42</f>
        <v>0</v>
      </c>
      <c r="C25" s="15">
        <f>[31]Resumen!$C$42</f>
        <v>0</v>
      </c>
      <c r="D25" s="16">
        <f>[31]Resumen!$D$42</f>
        <v>0</v>
      </c>
      <c r="E25" s="14">
        <f>[31]Resumen!$E$42</f>
        <v>0</v>
      </c>
      <c r="F25" s="15">
        <f>[31]Resumen!$F$42</f>
        <v>0</v>
      </c>
      <c r="G25" s="17">
        <f>[31]Resumen!$G$42</f>
        <v>0</v>
      </c>
      <c r="H25" s="18">
        <f>[31]Resumen!$H$42</f>
        <v>0</v>
      </c>
      <c r="I25" s="15">
        <f>[31]Resumen!$I$42</f>
        <v>0</v>
      </c>
      <c r="J25" s="16">
        <f>[31]Resumen!$J$42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[1]Resumen!$B$42</f>
        <v>0</v>
      </c>
      <c r="C26" s="15">
        <f>[1]Resumen!$C$42</f>
        <v>0</v>
      </c>
      <c r="D26" s="16">
        <f>[1]Resumen!$D$42</f>
        <v>0</v>
      </c>
      <c r="E26" s="14">
        <f>[1]Resumen!$E$42</f>
        <v>0</v>
      </c>
      <c r="F26" s="15">
        <f>[1]Resumen!$F$42</f>
        <v>0</v>
      </c>
      <c r="G26" s="17">
        <f>[1]Resumen!$G$42</f>
        <v>0</v>
      </c>
      <c r="H26" s="18">
        <f>[1]Resumen!$H$42</f>
        <v>0</v>
      </c>
      <c r="I26" s="15">
        <f>[1]Resumen!$I$42</f>
        <v>0</v>
      </c>
      <c r="J26" s="16">
        <f>[1]Resumen!$J$42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[2]Resumen!$B$42</f>
        <v>0</v>
      </c>
      <c r="C27" s="15">
        <f>[2]Resumen!$C$42</f>
        <v>0</v>
      </c>
      <c r="D27" s="16">
        <f>[2]Resumen!$D$42</f>
        <v>0</v>
      </c>
      <c r="E27" s="14">
        <f>[2]Resumen!$E$42</f>
        <v>0</v>
      </c>
      <c r="F27" s="15">
        <f>[2]Resumen!$F$42</f>
        <v>0</v>
      </c>
      <c r="G27" s="17">
        <f>[2]Resumen!$G$42</f>
        <v>0</v>
      </c>
      <c r="H27" s="18">
        <f>[2]Resumen!$H$42</f>
        <v>0</v>
      </c>
      <c r="I27" s="15">
        <f>[2]Resumen!$I$42</f>
        <v>0</v>
      </c>
      <c r="J27" s="16">
        <f>[2]Resumen!$J$42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[3]Resumen!$B$42</f>
        <v>0</v>
      </c>
      <c r="C28" s="15">
        <f>[3]Resumen!$C$42</f>
        <v>0</v>
      </c>
      <c r="D28" s="16">
        <f>[3]Resumen!$D$42</f>
        <v>0</v>
      </c>
      <c r="E28" s="14">
        <f>[3]Resumen!$E$42</f>
        <v>0</v>
      </c>
      <c r="F28" s="15">
        <f>[3]Resumen!$F$42</f>
        <v>0</v>
      </c>
      <c r="G28" s="17">
        <f>[3]Resumen!$G$42</f>
        <v>0</v>
      </c>
      <c r="H28" s="18">
        <f>[3]Resumen!$H$42</f>
        <v>0</v>
      </c>
      <c r="I28" s="15">
        <f>[3]Resumen!$I$42</f>
        <v>0</v>
      </c>
      <c r="J28" s="16">
        <f>[3]Resumen!$J$42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[4]Resumen!$B$42</f>
        <v>0</v>
      </c>
      <c r="C29" s="15">
        <f>[4]Resumen!$C$42</f>
        <v>0</v>
      </c>
      <c r="D29" s="16">
        <f>[4]Resumen!$D$42</f>
        <v>0</v>
      </c>
      <c r="E29" s="14">
        <f>[4]Resumen!$E$42</f>
        <v>0</v>
      </c>
      <c r="F29" s="15">
        <f>[4]Resumen!$F$42</f>
        <v>0</v>
      </c>
      <c r="G29" s="17">
        <f>[4]Resumen!$G$42</f>
        <v>0</v>
      </c>
      <c r="H29" s="18">
        <f>[4]Resumen!$H$42</f>
        <v>0</v>
      </c>
      <c r="I29" s="15">
        <f>[4]Resumen!$I$42</f>
        <v>0</v>
      </c>
      <c r="J29" s="16">
        <f>[4]Resumen!$J$42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[5]Resumen!$B$42</f>
        <v>0</v>
      </c>
      <c r="C30" s="15">
        <f>[5]Resumen!$C$42</f>
        <v>0</v>
      </c>
      <c r="D30" s="16">
        <f>[5]Resumen!$D$42</f>
        <v>0</v>
      </c>
      <c r="E30" s="14">
        <f>[5]Resumen!$E$42</f>
        <v>0</v>
      </c>
      <c r="F30" s="15">
        <f>[5]Resumen!$F$42</f>
        <v>0</v>
      </c>
      <c r="G30" s="17">
        <f>[5]Resumen!$G$42</f>
        <v>0</v>
      </c>
      <c r="H30" s="18">
        <f>[5]Resumen!$H$42</f>
        <v>0</v>
      </c>
      <c r="I30" s="15">
        <f>[5]Resumen!$I$42</f>
        <v>0</v>
      </c>
      <c r="J30" s="16">
        <f>[5]Resumen!$J$42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[6]Resumen!$B$42</f>
        <v>0</v>
      </c>
      <c r="C31" s="15">
        <f>[6]Resumen!$C$42</f>
        <v>0</v>
      </c>
      <c r="D31" s="16">
        <f>[6]Resumen!$D$42</f>
        <v>0</v>
      </c>
      <c r="E31" s="14">
        <f>[6]Resumen!$E$42</f>
        <v>0</v>
      </c>
      <c r="F31" s="15">
        <f>[6]Resumen!$F$42</f>
        <v>0</v>
      </c>
      <c r="G31" s="17">
        <f>[6]Resumen!$G$42</f>
        <v>0</v>
      </c>
      <c r="H31" s="18">
        <f>[6]Resumen!$H$42</f>
        <v>0</v>
      </c>
      <c r="I31" s="15">
        <f>[6]Resumen!$I$42</f>
        <v>0</v>
      </c>
      <c r="J31" s="16">
        <f>[6]Resumen!$J$42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[7]Resumen!$B$42</f>
        <v>0</v>
      </c>
      <c r="C32" s="15">
        <f>[7]Resumen!$C$42</f>
        <v>0</v>
      </c>
      <c r="D32" s="16">
        <f>[7]Resumen!$D$42</f>
        <v>0</v>
      </c>
      <c r="E32" s="14">
        <f>[7]Resumen!$E$42</f>
        <v>0</v>
      </c>
      <c r="F32" s="15">
        <f>[7]Resumen!$F$42</f>
        <v>0</v>
      </c>
      <c r="G32" s="17">
        <f>[7]Resumen!$G$42</f>
        <v>0</v>
      </c>
      <c r="H32" s="18">
        <f>[7]Resumen!$H$42</f>
        <v>0</v>
      </c>
      <c r="I32" s="15">
        <f>[7]Resumen!$I$42</f>
        <v>0</v>
      </c>
      <c r="J32" s="16">
        <f>[7]Resumen!$J$42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[8]Resumen!$B$42</f>
        <v>0</v>
      </c>
      <c r="C33" s="15">
        <f>[8]Resumen!$C$42</f>
        <v>0</v>
      </c>
      <c r="D33" s="16">
        <f>[8]Resumen!$D$42</f>
        <v>0</v>
      </c>
      <c r="E33" s="14">
        <f>[8]Resumen!$E$42</f>
        <v>0</v>
      </c>
      <c r="F33" s="15">
        <f>[8]Resumen!$F$42</f>
        <v>0</v>
      </c>
      <c r="G33" s="17">
        <f>[8]Resumen!$G$42</f>
        <v>0</v>
      </c>
      <c r="H33" s="18">
        <f>[8]Resumen!$H$42</f>
        <v>0</v>
      </c>
      <c r="I33" s="15">
        <f>[8]Resumen!$I$42</f>
        <v>0</v>
      </c>
      <c r="J33" s="16">
        <f>[8]Resumen!$J$42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[9]Resumen!$B$42</f>
        <v>0</v>
      </c>
      <c r="C34" s="15">
        <f>[9]Resumen!$C$42</f>
        <v>0</v>
      </c>
      <c r="D34" s="16">
        <f>[9]Resumen!$D$42</f>
        <v>0</v>
      </c>
      <c r="E34" s="14">
        <f>[9]Resumen!$E$42</f>
        <v>0</v>
      </c>
      <c r="F34" s="15">
        <f>[9]Resumen!$F$42</f>
        <v>0</v>
      </c>
      <c r="G34" s="17">
        <f>[9]Resumen!$G$42</f>
        <v>0</v>
      </c>
      <c r="H34" s="18">
        <f>[9]Resumen!$H$42</f>
        <v>0</v>
      </c>
      <c r="I34" s="15">
        <f>[9]Resumen!$I$42</f>
        <v>0</v>
      </c>
      <c r="J34" s="16">
        <f>[9]Resumen!$J$42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+[10]Resumen!$B$42</f>
        <v>0</v>
      </c>
      <c r="C35" s="22">
        <f>+[10]Resumen!$C$42</f>
        <v>0</v>
      </c>
      <c r="D35" s="23">
        <f>+[10]Resumen!$D$42</f>
        <v>0</v>
      </c>
      <c r="E35" s="21">
        <f>+[10]Resumen!$E$42</f>
        <v>0</v>
      </c>
      <c r="F35" s="22">
        <f>+[10]Resumen!$F$42</f>
        <v>0</v>
      </c>
      <c r="G35" s="24">
        <f>+[10]Resumen!$G$42</f>
        <v>0</v>
      </c>
      <c r="H35" s="25">
        <f>+[10]Resumen!$H$42</f>
        <v>0</v>
      </c>
      <c r="I35" s="22">
        <f>+[10]Resumen!$I$42</f>
        <v>0</v>
      </c>
      <c r="J35" s="23">
        <f>+[10]Resumen!$J$42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115</v>
      </c>
      <c r="B3" t="s">
        <v>126</v>
      </c>
      <c r="C3" t="s">
        <v>127</v>
      </c>
      <c r="D3" t="s">
        <v>128</v>
      </c>
    </row>
    <row r="4" spans="1:4" x14ac:dyDescent="0.35">
      <c r="A4" s="132" t="s">
        <v>117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118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120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119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121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122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123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124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125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116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43" t="s">
        <v>0</v>
      </c>
      <c r="L1" s="143"/>
      <c r="M1" s="143"/>
      <c r="N1" s="143"/>
      <c r="O1" s="143"/>
      <c r="P1" s="143"/>
    </row>
    <row r="2" spans="1:17" ht="19" thickBot="1" x14ac:dyDescent="0.5">
      <c r="A2" s="2" t="s">
        <v>1</v>
      </c>
      <c r="B2" s="142" t="s">
        <v>104</v>
      </c>
      <c r="C2" s="142"/>
      <c r="D2" s="142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105</v>
      </c>
      <c r="E4" s="126" t="s">
        <v>108</v>
      </c>
      <c r="F4" s="126" t="s">
        <v>110</v>
      </c>
      <c r="G4" s="126" t="s">
        <v>107</v>
      </c>
      <c r="H4" s="126" t="s">
        <v>109</v>
      </c>
      <c r="I4" s="126" t="s">
        <v>111</v>
      </c>
      <c r="J4" s="126" t="s">
        <v>106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117</v>
      </c>
      <c r="B5" s="99">
        <f>+'[11]Cta ALI'!$D$19</f>
        <v>489750</v>
      </c>
      <c r="C5" s="100">
        <f>+'[11]Cta ALI'!$E$19</f>
        <v>63667.5</v>
      </c>
      <c r="D5" s="101">
        <f>'[11]Cta ALI'!$F$19+'[11]Cta ALI'!$F$10</f>
        <v>30000</v>
      </c>
      <c r="E5" s="115">
        <f t="shared" ref="E5" si="0">+C5-D5</f>
        <v>33667.5</v>
      </c>
      <c r="F5" s="101">
        <f>+'[11]Cta ALI'!$G$11</f>
        <v>34023.5</v>
      </c>
      <c r="G5" s="101">
        <f>+'[11]Cta ALI'!$G$12</f>
        <v>35000</v>
      </c>
      <c r="H5" s="115">
        <f t="shared" ref="H5" si="1">+F5-G5</f>
        <v>-976.5</v>
      </c>
      <c r="I5" s="127">
        <f>+'[11]Cta ALI'!$G$22</f>
        <v>0</v>
      </c>
      <c r="J5" s="111">
        <f>+E5+H5+I5</f>
        <v>32691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118</v>
      </c>
      <c r="B6" s="102">
        <f>+'[12]Cta ALI'!$D$19</f>
        <v>417100</v>
      </c>
      <c r="C6" s="103">
        <f>+'[12]Cta ALI'!$E$19</f>
        <v>54223</v>
      </c>
      <c r="D6" s="104">
        <f>+'[12]Cta ALI'!$F$19</f>
        <v>30000</v>
      </c>
      <c r="E6" s="116">
        <f>+C6-D6</f>
        <v>24223</v>
      </c>
      <c r="F6" s="104">
        <f>+'[12]Cta ALI'!$G$11</f>
        <v>41621</v>
      </c>
      <c r="G6" s="104">
        <f>+'[12]Cta ALI'!$G$12</f>
        <v>35000</v>
      </c>
      <c r="H6" s="116">
        <f>+F6-G6</f>
        <v>6621</v>
      </c>
      <c r="I6" s="128">
        <f>+'[12]Cta ALI'!$G$22</f>
        <v>0</v>
      </c>
      <c r="J6" s="112">
        <f t="shared" ref="J6:J35" si="2">+E6+H6+I6</f>
        <v>30844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120</v>
      </c>
      <c r="B7" s="102">
        <f>+'[13]Cta ALI'!$D$19</f>
        <v>388600</v>
      </c>
      <c r="C7" s="103">
        <f>+'[13]Cta ALI'!$E$19</f>
        <v>50518</v>
      </c>
      <c r="D7" s="104">
        <f>+'[13]Cta ALI'!$F$19</f>
        <v>30000</v>
      </c>
      <c r="E7" s="116">
        <f t="shared" ref="E7:E35" si="3">+C7-D7</f>
        <v>20518</v>
      </c>
      <c r="F7" s="104">
        <f>+'[13]Cta ALI'!$G$11</f>
        <v>31301.5</v>
      </c>
      <c r="G7" s="104">
        <f>+'[13]Cta ALI'!$G$12</f>
        <v>35000</v>
      </c>
      <c r="H7" s="116">
        <f t="shared" ref="H7:H35" si="4">+F7-G7</f>
        <v>-3698.5</v>
      </c>
      <c r="I7" s="128">
        <f>+'[13]Cta ALI'!$G$22</f>
        <v>0</v>
      </c>
      <c r="J7" s="112">
        <f t="shared" si="2"/>
        <v>16819.5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119</v>
      </c>
      <c r="B8" s="102">
        <f>+'[14]Cta ALI'!$D$19</f>
        <v>443300</v>
      </c>
      <c r="C8" s="103">
        <f>+'[14]Cta ALI'!$E$19</f>
        <v>57629</v>
      </c>
      <c r="D8" s="104">
        <f>+'[14]Cta ALI'!$F$19</f>
        <v>30000</v>
      </c>
      <c r="E8" s="116">
        <f t="shared" si="3"/>
        <v>27629</v>
      </c>
      <c r="F8" s="104">
        <f>+'[14]Cta ALI'!$G$11</f>
        <v>45659.5</v>
      </c>
      <c r="G8" s="104">
        <f>+'[14]Cta ALI'!$G$12</f>
        <v>20000</v>
      </c>
      <c r="H8" s="116">
        <f t="shared" si="4"/>
        <v>25659.5</v>
      </c>
      <c r="I8" s="128">
        <f>+'[14]Cta ALI'!$G$22</f>
        <v>0</v>
      </c>
      <c r="J8" s="112">
        <f t="shared" si="2"/>
        <v>53288.5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121</v>
      </c>
      <c r="B9" s="102">
        <f>+'[15]Cta ALI'!$D$19</f>
        <v>527850</v>
      </c>
      <c r="C9" s="103">
        <f>+'[15]Cta ALI'!$E$19</f>
        <v>68620.5</v>
      </c>
      <c r="D9" s="104">
        <f>+'[15]Cta ALI'!$F$19</f>
        <v>30000</v>
      </c>
      <c r="E9" s="116">
        <f t="shared" si="3"/>
        <v>38620.5</v>
      </c>
      <c r="F9" s="104">
        <f>+'[15]Cta ALI'!$G$11</f>
        <v>45106.5</v>
      </c>
      <c r="G9" s="104">
        <f>+'[15]Cta ALI'!$G$12</f>
        <v>20000</v>
      </c>
      <c r="H9" s="116">
        <f t="shared" si="4"/>
        <v>25106.5</v>
      </c>
      <c r="I9" s="128">
        <f>+'[15]Cta ALI'!$G$22</f>
        <v>0</v>
      </c>
      <c r="J9" s="112">
        <f t="shared" si="2"/>
        <v>63727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122</v>
      </c>
      <c r="B10" s="102">
        <f>+'[16]Cta ALI'!$D$19</f>
        <v>431900</v>
      </c>
      <c r="C10" s="103">
        <f>+'[16]Cta ALI'!$E$19</f>
        <v>56147</v>
      </c>
      <c r="D10" s="104">
        <f>+'[16]Cta ALI'!$F$19</f>
        <v>30000</v>
      </c>
      <c r="E10" s="116">
        <f t="shared" si="3"/>
        <v>26147</v>
      </c>
      <c r="F10" s="104">
        <f>+'[16]Cta ALI'!$G$11</f>
        <v>44106.5</v>
      </c>
      <c r="G10" s="104">
        <f>+'[16]Cta ALI'!$G$12</f>
        <v>35000</v>
      </c>
      <c r="H10" s="116">
        <f t="shared" si="4"/>
        <v>9106.5</v>
      </c>
      <c r="I10" s="128">
        <f>+'[16]Cta ALI'!$G$22</f>
        <v>0</v>
      </c>
      <c r="J10" s="112">
        <f t="shared" si="2"/>
        <v>35253.5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123</v>
      </c>
      <c r="B11" s="102">
        <f>+'[17]Cta ALI'!$D$19</f>
        <v>372700</v>
      </c>
      <c r="C11" s="103">
        <f>+'[17]Cta ALI'!$E$19</f>
        <v>48451</v>
      </c>
      <c r="D11" s="104">
        <f>+'[17]Cta ALI'!$F$19</f>
        <v>30000</v>
      </c>
      <c r="E11" s="116">
        <f t="shared" si="3"/>
        <v>18451</v>
      </c>
      <c r="F11" s="104">
        <f>+'[17]Cta ALI'!$G$11</f>
        <v>41819.5</v>
      </c>
      <c r="G11" s="104">
        <f>+'[17]Cta ALI'!$G$12</f>
        <v>35000</v>
      </c>
      <c r="H11" s="116">
        <f t="shared" si="4"/>
        <v>6819.5</v>
      </c>
      <c r="I11" s="128">
        <f>+'[17]Cta ALI'!$G$22</f>
        <v>0</v>
      </c>
      <c r="J11" s="112">
        <f t="shared" si="2"/>
        <v>25270.5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124</v>
      </c>
      <c r="B12" s="102">
        <f>+'[18]Cta ALI'!$D$19</f>
        <v>415250</v>
      </c>
      <c r="C12" s="103">
        <f>+'[18]Cta ALI'!$E$19</f>
        <v>53982.5</v>
      </c>
      <c r="D12" s="104">
        <f>+'[18]Cta ALI'!$F$19</f>
        <v>30000</v>
      </c>
      <c r="E12" s="116">
        <f t="shared" si="3"/>
        <v>23982.5</v>
      </c>
      <c r="F12" s="104">
        <f>+'[18]Cta ALI'!$G$11</f>
        <v>37226.5</v>
      </c>
      <c r="G12" s="104">
        <f>+'[18]Cta ALI'!$G$12</f>
        <v>35000</v>
      </c>
      <c r="H12" s="116">
        <f t="shared" si="4"/>
        <v>2226.5</v>
      </c>
      <c r="I12" s="128">
        <f>+'[18]Cta ALI'!$G$22</f>
        <v>0</v>
      </c>
      <c r="J12" s="112">
        <f t="shared" si="2"/>
        <v>26209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125</v>
      </c>
      <c r="B13" s="102">
        <f>+'[19]Cta ALI'!$D$19</f>
        <v>376875</v>
      </c>
      <c r="C13" s="103">
        <f>+'[19]Cta ALI'!$E$19</f>
        <v>48993.75</v>
      </c>
      <c r="D13" s="104">
        <f>+'[19]Cta ALI'!$F$19</f>
        <v>30000</v>
      </c>
      <c r="E13" s="116">
        <f t="shared" si="3"/>
        <v>18993.75</v>
      </c>
      <c r="F13" s="104">
        <f>+'[19]Cta ALI'!$G$11</f>
        <v>25511.75</v>
      </c>
      <c r="G13" s="104">
        <f>+'[19]Cta ALI'!$G$12</f>
        <v>35000</v>
      </c>
      <c r="H13" s="116">
        <f t="shared" si="4"/>
        <v>-9488.25</v>
      </c>
      <c r="I13" s="128">
        <f>+'[19]Cta ALI'!$G$22</f>
        <v>0</v>
      </c>
      <c r="J13" s="112">
        <f t="shared" si="2"/>
        <v>9505.5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+'[20]Cta ALI'!$D$19</f>
        <v>519600</v>
      </c>
      <c r="C14" s="103">
        <f>+'[20]Cta ALI'!$E$19</f>
        <v>67548</v>
      </c>
      <c r="D14" s="104">
        <f>+'[20]Cta ALI'!$F$19</f>
        <v>30000</v>
      </c>
      <c r="E14" s="116">
        <f t="shared" si="3"/>
        <v>37548</v>
      </c>
      <c r="F14" s="104">
        <f>+'[20]Cta ALI'!$G$11</f>
        <v>20055.5</v>
      </c>
      <c r="G14" s="104">
        <f>+'[20]Cta ALI'!$G$12</f>
        <v>35000</v>
      </c>
      <c r="H14" s="116">
        <f t="shared" si="4"/>
        <v>-14944.5</v>
      </c>
      <c r="I14" s="128">
        <f>+'[20]Cta ALI'!$G$22</f>
        <v>0</v>
      </c>
      <c r="J14" s="112">
        <f t="shared" si="2"/>
        <v>22603.5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+'[21]Cta ALI'!$D$19</f>
        <v>572550</v>
      </c>
      <c r="C15" s="103">
        <f>+'[21]Cta ALI'!$E$19</f>
        <v>74431.5</v>
      </c>
      <c r="D15" s="104">
        <f>+'[21]Cta ALI'!$F$19</f>
        <v>30000</v>
      </c>
      <c r="E15" s="116">
        <f t="shared" si="3"/>
        <v>44431.5</v>
      </c>
      <c r="F15" s="104">
        <f>+'[21]Cta ALI'!$G$11</f>
        <v>36925</v>
      </c>
      <c r="G15" s="104">
        <f>+'[21]Cta ALI'!$G$12</f>
        <v>20000</v>
      </c>
      <c r="H15" s="116">
        <f t="shared" si="4"/>
        <v>16925</v>
      </c>
      <c r="I15" s="128">
        <f>+'[21]Cta ALI'!$G$22</f>
        <v>0</v>
      </c>
      <c r="J15" s="112">
        <f t="shared" si="2"/>
        <v>61356.5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+'[22]Cta ALI'!$D$19</f>
        <v>429700</v>
      </c>
      <c r="C16" s="103">
        <f>+'[22]Cta ALI'!$E$19</f>
        <v>55861</v>
      </c>
      <c r="D16" s="104">
        <f>+'[22]Cta ALI'!$F$19</f>
        <v>30000</v>
      </c>
      <c r="E16" s="116">
        <f t="shared" si="3"/>
        <v>25861</v>
      </c>
      <c r="F16" s="104">
        <f>+'[22]Cta ALI'!$G$11</f>
        <v>22148</v>
      </c>
      <c r="G16" s="104">
        <f>+'[22]Cta ALI'!$G$12</f>
        <v>15000</v>
      </c>
      <c r="H16" s="116">
        <f t="shared" si="4"/>
        <v>7148</v>
      </c>
      <c r="I16" s="128">
        <f>+'[22]Cta ALI'!$G$22</f>
        <v>0</v>
      </c>
      <c r="J16" s="112">
        <f t="shared" si="2"/>
        <v>33009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+'[23]Cta ALI'!$D$19</f>
        <v>393650</v>
      </c>
      <c r="C17" s="103">
        <f>+'[23]Cta ALI'!$E$19</f>
        <v>51174.5</v>
      </c>
      <c r="D17" s="104">
        <f>+'[23]Cta ALI'!$F$19</f>
        <v>30000</v>
      </c>
      <c r="E17" s="116">
        <f t="shared" si="3"/>
        <v>21174.5</v>
      </c>
      <c r="F17" s="104">
        <f>+'[23]Cta ALI'!$G$11</f>
        <v>28481.5</v>
      </c>
      <c r="G17" s="104">
        <f>+'[23]Cta ALI'!$G$12</f>
        <v>35000</v>
      </c>
      <c r="H17" s="116">
        <f t="shared" si="4"/>
        <v>-6518.5</v>
      </c>
      <c r="I17" s="128">
        <f>+'[23]Cta ALI'!$G$22</f>
        <v>0</v>
      </c>
      <c r="J17" s="112">
        <f t="shared" si="2"/>
        <v>14656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+'[24]Cta ALI'!$D$19</f>
        <v>430350</v>
      </c>
      <c r="C18" s="103">
        <f>+'[24]Cta ALI'!$E$19</f>
        <v>55945.5</v>
      </c>
      <c r="D18" s="104">
        <f>+'[24]Cta ALI'!$F$19</f>
        <v>30000</v>
      </c>
      <c r="E18" s="116">
        <f t="shared" si="3"/>
        <v>25945.5</v>
      </c>
      <c r="F18" s="104">
        <f>+'[24]Cta ALI'!$G$11</f>
        <v>16823</v>
      </c>
      <c r="G18" s="104">
        <f>+'[24]Cta ALI'!$G$12</f>
        <v>35000</v>
      </c>
      <c r="H18" s="116">
        <f t="shared" si="4"/>
        <v>-18177</v>
      </c>
      <c r="I18" s="128">
        <f>+'[24]Cta ALI'!$G$22</f>
        <v>0</v>
      </c>
      <c r="J18" s="112">
        <f t="shared" si="2"/>
        <v>7768.5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+'[25]Cta ALI'!$D$19</f>
        <v>404000</v>
      </c>
      <c r="C19" s="103">
        <f>+'[25]Cta ALI'!$E$19</f>
        <v>52520</v>
      </c>
      <c r="D19" s="104">
        <f>+'[25]Cta ALI'!$F$19</f>
        <v>30000</v>
      </c>
      <c r="E19" s="116">
        <f t="shared" si="3"/>
        <v>22520</v>
      </c>
      <c r="F19" s="104">
        <f>+'[25]Cta ALI'!$G$11</f>
        <v>7304</v>
      </c>
      <c r="G19" s="104">
        <f>+'[25]Cta ALI'!$G$12</f>
        <v>35000</v>
      </c>
      <c r="H19" s="116">
        <f t="shared" si="4"/>
        <v>-27696</v>
      </c>
      <c r="I19" s="128">
        <f>+'[25]Cta ALI'!$G$22</f>
        <v>0</v>
      </c>
      <c r="J19" s="112">
        <f t="shared" si="2"/>
        <v>-5176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+'[26]Cta ALI'!$D$19</f>
        <v>373250</v>
      </c>
      <c r="C20" s="105">
        <f>+'[26]Cta ALI'!$E$19</f>
        <v>48522.5</v>
      </c>
      <c r="D20" s="106">
        <f>+'[26]Cta ALI'!$F$19</f>
        <v>30000</v>
      </c>
      <c r="E20" s="117">
        <f t="shared" si="3"/>
        <v>18522.5</v>
      </c>
      <c r="F20" s="106">
        <f>+'[26]Cta ALI'!$G$11</f>
        <v>33062</v>
      </c>
      <c r="G20" s="106">
        <f>+'[26]Cta ALI'!$G$12</f>
        <v>35000</v>
      </c>
      <c r="H20" s="117">
        <f t="shared" si="4"/>
        <v>-1938</v>
      </c>
      <c r="I20" s="129">
        <f>+'[26]Cta ALI'!$G$22</f>
        <v>-1760</v>
      </c>
      <c r="J20" s="113">
        <f t="shared" si="2"/>
        <v>14824.5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+'[27]Cta ALI'!$D$19</f>
        <v>448850</v>
      </c>
      <c r="C21" s="105">
        <f>+'[27]Cta ALI'!$E$19</f>
        <v>58350.5</v>
      </c>
      <c r="D21" s="106">
        <f>+'[27]Cta ALI'!$F$19</f>
        <v>30000</v>
      </c>
      <c r="E21" s="117">
        <f t="shared" si="3"/>
        <v>28350.5</v>
      </c>
      <c r="F21" s="106">
        <f>+'[27]Cta ALI'!$G$11</f>
        <v>26740</v>
      </c>
      <c r="G21" s="106">
        <f>+'[27]Cta ALI'!$G$12</f>
        <v>35000</v>
      </c>
      <c r="H21" s="117">
        <f t="shared" si="4"/>
        <v>-8260</v>
      </c>
      <c r="I21" s="129">
        <f>+'[27]Cta ALI'!$G$22</f>
        <v>0</v>
      </c>
      <c r="J21" s="113">
        <f t="shared" si="2"/>
        <v>20090.5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+'[28]Cta ALI'!$D$19</f>
        <v>636600</v>
      </c>
      <c r="C22" s="105">
        <f>+'[28]Cta ALI'!$E$19</f>
        <v>82758</v>
      </c>
      <c r="D22" s="106">
        <f>+'[28]Cta ALI'!$F$19</f>
        <v>30000</v>
      </c>
      <c r="E22" s="117">
        <f t="shared" si="3"/>
        <v>52758</v>
      </c>
      <c r="F22" s="106">
        <f>+'[28]Cta ALI'!$G$11</f>
        <v>30259.75</v>
      </c>
      <c r="G22" s="106">
        <f>+'[28]Cta ALI'!$G$12</f>
        <v>20000</v>
      </c>
      <c r="H22" s="117">
        <f t="shared" si="4"/>
        <v>10259.75</v>
      </c>
      <c r="I22" s="129">
        <f>+'[28]Cta ALI'!$G$22</f>
        <v>0</v>
      </c>
      <c r="J22" s="113">
        <f t="shared" si="2"/>
        <v>63017.75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+'[29]Cta ALI'!$D$19</f>
        <v>512550</v>
      </c>
      <c r="C23" s="105">
        <f>+'[29]Cta ALI'!$E$19</f>
        <v>66631.5</v>
      </c>
      <c r="D23" s="106">
        <f>+'[29]Cta ALI'!$F$19</f>
        <v>30000</v>
      </c>
      <c r="E23" s="117">
        <f t="shared" si="3"/>
        <v>36631.5</v>
      </c>
      <c r="F23" s="106">
        <f>+'[29]Cta ALI'!$G$11</f>
        <v>17814</v>
      </c>
      <c r="G23" s="106">
        <f>+'[29]Cta ALI'!$G$12</f>
        <v>15000</v>
      </c>
      <c r="H23" s="117">
        <f t="shared" si="4"/>
        <v>2814</v>
      </c>
      <c r="I23" s="129">
        <f>+'[29]Cta ALI'!$G$22</f>
        <v>1980</v>
      </c>
      <c r="J23" s="113">
        <f t="shared" si="2"/>
        <v>41425.5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+'[30]Cta ALI'!$D$19</f>
        <v>404200</v>
      </c>
      <c r="C24" s="105">
        <f>+'[30]Cta ALI'!$E$19</f>
        <v>52546</v>
      </c>
      <c r="D24" s="106">
        <f>+'[30]Cta ALI'!$F$19</f>
        <v>30000</v>
      </c>
      <c r="E24" s="117">
        <f t="shared" si="3"/>
        <v>22546</v>
      </c>
      <c r="F24" s="106">
        <f>+'[30]Cta ALI'!$G$11</f>
        <v>56540.5</v>
      </c>
      <c r="G24" s="106">
        <f>+'[30]Cta ALI'!$G$12</f>
        <v>20000</v>
      </c>
      <c r="H24" s="117">
        <f t="shared" si="4"/>
        <v>36540.5</v>
      </c>
      <c r="I24" s="129">
        <f>+'[30]Cta ALI'!$G$22</f>
        <v>0</v>
      </c>
      <c r="J24" s="113">
        <f t="shared" si="2"/>
        <v>59086.5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+'[31]Cta ALI'!$D$19</f>
        <v>361550</v>
      </c>
      <c r="C25" s="105">
        <f>+'[31]Cta ALI'!$E$19</f>
        <v>47001.5</v>
      </c>
      <c r="D25" s="106">
        <f>+'[31]Cta ALI'!$F$19</f>
        <v>30000</v>
      </c>
      <c r="E25" s="117">
        <f t="shared" si="3"/>
        <v>17001.5</v>
      </c>
      <c r="F25" s="106">
        <f>+'[31]Cta ALI'!$G$11</f>
        <v>29094.5</v>
      </c>
      <c r="G25" s="106">
        <f>+'[31]Cta ALI'!$G$12</f>
        <v>35000</v>
      </c>
      <c r="H25" s="117">
        <f t="shared" si="4"/>
        <v>-5905.5</v>
      </c>
      <c r="I25" s="129">
        <f>+'[31]Cta ALI'!$G$22</f>
        <v>0</v>
      </c>
      <c r="J25" s="113">
        <f t="shared" si="2"/>
        <v>11096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+'[1]Cta ALI'!$D$19</f>
        <v>400800</v>
      </c>
      <c r="C26" s="105">
        <f>+'[1]Cta ALI'!$E$19</f>
        <v>52104</v>
      </c>
      <c r="D26" s="106">
        <f>+'[1]Cta ALI'!$F$19</f>
        <v>30000</v>
      </c>
      <c r="E26" s="117">
        <f t="shared" si="3"/>
        <v>22104</v>
      </c>
      <c r="F26" s="106">
        <f>+'[1]Cta ALI'!$G$11</f>
        <v>28067</v>
      </c>
      <c r="G26" s="106">
        <f>+'[1]Cta ALI'!$G$12</f>
        <v>35000</v>
      </c>
      <c r="H26" s="117">
        <f t="shared" si="4"/>
        <v>-6933</v>
      </c>
      <c r="I26" s="129">
        <f>+'[1]Cta ALI'!$G$22</f>
        <v>0</v>
      </c>
      <c r="J26" s="113">
        <f t="shared" si="2"/>
        <v>15171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+'[2]Cta ALI'!$D$19</f>
        <v>345700</v>
      </c>
      <c r="C27" s="105">
        <f>+'[2]Cta ALI'!$E$19</f>
        <v>44941</v>
      </c>
      <c r="D27" s="106">
        <f>+'[2]Cta ALI'!$F$19</f>
        <v>30000</v>
      </c>
      <c r="E27" s="117">
        <f t="shared" si="3"/>
        <v>14941</v>
      </c>
      <c r="F27" s="106">
        <f>+'[2]Cta ALI'!$G$11</f>
        <v>31356.5</v>
      </c>
      <c r="G27" s="106">
        <f>+'[2]Cta ALI'!$G$12</f>
        <v>35000</v>
      </c>
      <c r="H27" s="117">
        <f t="shared" si="4"/>
        <v>-3643.5</v>
      </c>
      <c r="I27" s="129">
        <f>+'[2]Cta ALI'!$G$22</f>
        <v>0</v>
      </c>
      <c r="J27" s="113">
        <f t="shared" si="2"/>
        <v>11297.5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+'[3]Cta ALI'!$D$19</f>
        <v>400350</v>
      </c>
      <c r="C28" s="105">
        <f>+'[3]Cta ALI'!$E$19</f>
        <v>52045.5</v>
      </c>
      <c r="D28" s="106">
        <f>+'[3]Cta ALI'!$F$19</f>
        <v>30000</v>
      </c>
      <c r="E28" s="117">
        <f t="shared" si="3"/>
        <v>22045.5</v>
      </c>
      <c r="F28" s="106">
        <f>+'[3]Cta ALI'!$G$11</f>
        <v>51315</v>
      </c>
      <c r="G28" s="106">
        <f>+'[3]Cta ALI'!$G$12</f>
        <v>35000</v>
      </c>
      <c r="H28" s="117">
        <f t="shared" si="4"/>
        <v>16315</v>
      </c>
      <c r="I28" s="129">
        <f>+'[3]Cta ALI'!$G$22</f>
        <v>0</v>
      </c>
      <c r="J28" s="113">
        <f t="shared" si="2"/>
        <v>38360.5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+'[4]Cta ALI'!$D$19</f>
        <v>527350</v>
      </c>
      <c r="C29" s="105">
        <f>+'[4]Cta ALI'!$E$19</f>
        <v>68555.5</v>
      </c>
      <c r="D29" s="106">
        <f>+'[4]Cta ALI'!$F$19</f>
        <v>30000</v>
      </c>
      <c r="E29" s="117">
        <f t="shared" si="3"/>
        <v>38555.5</v>
      </c>
      <c r="F29" s="106">
        <f>+'[4]Cta ALI'!$G$11</f>
        <v>33560.5</v>
      </c>
      <c r="G29" s="106">
        <f>+'[4]Cta ALI'!$G$12</f>
        <v>20000</v>
      </c>
      <c r="H29" s="117">
        <f t="shared" si="4"/>
        <v>13560.5</v>
      </c>
      <c r="I29" s="129">
        <f>+'[4]Cta ALI'!$G$22</f>
        <v>0</v>
      </c>
      <c r="J29" s="113">
        <f t="shared" si="2"/>
        <v>52116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+'[5]Cta ALI'!$D$19</f>
        <v>491700</v>
      </c>
      <c r="C30" s="105">
        <f>+'[5]Cta ALI'!$E$19</f>
        <v>63921</v>
      </c>
      <c r="D30" s="106">
        <f>+'[5]Cta ALI'!$F$19</f>
        <v>30000</v>
      </c>
      <c r="E30" s="117">
        <f t="shared" si="3"/>
        <v>33921</v>
      </c>
      <c r="F30" s="106">
        <f>+'[5]Cta ALI'!$G$11</f>
        <v>44111.5</v>
      </c>
      <c r="G30" s="106">
        <f>+'[5]Cta ALI'!$G$12</f>
        <v>15000</v>
      </c>
      <c r="H30" s="117">
        <f t="shared" si="4"/>
        <v>29111.5</v>
      </c>
      <c r="I30" s="129">
        <f>+'[5]Cta ALI'!$G$22</f>
        <v>0</v>
      </c>
      <c r="J30" s="113">
        <f t="shared" si="2"/>
        <v>63032.5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+'[6]Cta ALI'!$D$19</f>
        <v>434450</v>
      </c>
      <c r="C31" s="105">
        <f>+'[6]Cta ALI'!$E$19</f>
        <v>56478.5</v>
      </c>
      <c r="D31" s="106">
        <f>+'[6]Cta ALI'!$F$19</f>
        <v>30000</v>
      </c>
      <c r="E31" s="117">
        <f t="shared" si="3"/>
        <v>26478.5</v>
      </c>
      <c r="F31" s="106">
        <f>+'[6]Cta ALI'!$G$11</f>
        <v>20062</v>
      </c>
      <c r="G31" s="106">
        <f>+'[6]Cta ALI'!$G$12</f>
        <v>35000</v>
      </c>
      <c r="H31" s="117">
        <f t="shared" si="4"/>
        <v>-14938</v>
      </c>
      <c r="I31" s="129">
        <f>+'[6]Cta ALI'!$G$22</f>
        <v>0</v>
      </c>
      <c r="J31" s="113">
        <f t="shared" si="2"/>
        <v>11540.5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+'[7]Cta ALI'!$D$19</f>
        <v>432300</v>
      </c>
      <c r="C32" s="105">
        <f>+'[7]Cta ALI'!$E$19</f>
        <v>56199</v>
      </c>
      <c r="D32" s="106">
        <f>+'[7]Cta ALI'!$F$19</f>
        <v>30000</v>
      </c>
      <c r="E32" s="117">
        <f t="shared" si="3"/>
        <v>26199</v>
      </c>
      <c r="F32" s="106">
        <f>+'[7]Cta ALI'!$G$11</f>
        <v>32406</v>
      </c>
      <c r="G32" s="106">
        <f>+'[7]Cta ALI'!$G$12</f>
        <v>35000</v>
      </c>
      <c r="H32" s="117">
        <f t="shared" si="4"/>
        <v>-2594</v>
      </c>
      <c r="I32" s="129">
        <f>+'[7]Cta ALI'!$G$22</f>
        <v>14330</v>
      </c>
      <c r="J32" s="113">
        <f t="shared" si="2"/>
        <v>37935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+'[8]Cta ALI'!$D$19</f>
        <v>365200</v>
      </c>
      <c r="C33" s="105">
        <f>+'[8]Cta ALI'!$E$19</f>
        <v>47476</v>
      </c>
      <c r="D33" s="106">
        <f>+'[8]Cta ALI'!$F$19</f>
        <v>30000</v>
      </c>
      <c r="E33" s="117">
        <f t="shared" si="3"/>
        <v>17476</v>
      </c>
      <c r="F33" s="106">
        <f>+'[8]Cta ALI'!$G$11</f>
        <v>33441.5</v>
      </c>
      <c r="G33" s="106">
        <f>+'[8]Cta ALI'!$G$12</f>
        <v>35000</v>
      </c>
      <c r="H33" s="117">
        <f t="shared" si="4"/>
        <v>-1558.5</v>
      </c>
      <c r="I33" s="129">
        <f>+'[8]Cta ALI'!$G$22</f>
        <v>0</v>
      </c>
      <c r="J33" s="113">
        <f t="shared" si="2"/>
        <v>15917.5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+'[9]Cta ALI'!$D$19</f>
        <v>375200</v>
      </c>
      <c r="C34" s="105">
        <f>+'[9]Cta ALI'!$E$19</f>
        <v>48776</v>
      </c>
      <c r="D34" s="106">
        <f>+'[9]Cta ALI'!$F$19</f>
        <v>30000</v>
      </c>
      <c r="E34" s="117">
        <f t="shared" si="3"/>
        <v>18776</v>
      </c>
      <c r="F34" s="106">
        <f>+'[9]Cta ALI'!$G$11</f>
        <v>34291</v>
      </c>
      <c r="G34" s="106">
        <f>+'[9]Cta ALI'!$G$12</f>
        <v>35000</v>
      </c>
      <c r="H34" s="117">
        <f t="shared" si="4"/>
        <v>-709</v>
      </c>
      <c r="I34" s="129">
        <f>+'[9]Cta ALI'!$G$22</f>
        <v>0</v>
      </c>
      <c r="J34" s="113">
        <f t="shared" si="2"/>
        <v>18067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+'[10]Cta ALI'!$D$19</f>
        <v>505650</v>
      </c>
      <c r="C35" s="108">
        <f>+'[10]Cta ALI'!$E$19</f>
        <v>65734.5</v>
      </c>
      <c r="D35" s="109">
        <f>+'[10]Cta ALI'!$F$19</f>
        <v>30000</v>
      </c>
      <c r="E35" s="118">
        <f t="shared" si="3"/>
        <v>35734.5</v>
      </c>
      <c r="F35" s="109">
        <f>+'[10]Cta ALI'!$G$11</f>
        <v>58444.359999999986</v>
      </c>
      <c r="G35" s="109">
        <f>+'[10]Cta ALI'!$G$12</f>
        <v>35000</v>
      </c>
      <c r="H35" s="118">
        <f t="shared" si="4"/>
        <v>23444.359999999986</v>
      </c>
      <c r="I35" s="130">
        <f>+'[10]Cta ALI'!$G$22</f>
        <v>0</v>
      </c>
      <c r="J35" s="114">
        <f t="shared" si="2"/>
        <v>59178.859999999986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13628875</v>
      </c>
      <c r="C36" s="120">
        <f t="shared" ref="C36:D36" si="5">SUM(C5:C35)</f>
        <v>1771753.75</v>
      </c>
      <c r="D36" s="121">
        <f t="shared" si="5"/>
        <v>930000</v>
      </c>
      <c r="E36" s="122">
        <f t="shared" ref="E36" si="6">SUM(E5:E35)</f>
        <v>841753.75</v>
      </c>
      <c r="F36" s="121">
        <f t="shared" ref="F36" si="7">SUM(F5:F35)</f>
        <v>1038679.36</v>
      </c>
      <c r="G36" s="121">
        <f t="shared" ref="G36:I36" si="8">SUM(G5:G35)</f>
        <v>935000</v>
      </c>
      <c r="H36" s="122">
        <f t="shared" ref="H36" si="9">SUM(H5:H35)</f>
        <v>103679.35999999999</v>
      </c>
      <c r="I36" s="121">
        <f t="shared" si="8"/>
        <v>14550</v>
      </c>
      <c r="J36" s="121">
        <f t="shared" ref="J36" si="10">SUM(J5:J35)</f>
        <v>959983.11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9"/>
      <c r="M38" s="149"/>
      <c r="N38" s="96"/>
    </row>
    <row r="39" spans="1:17" s="1" customFormat="1" x14ac:dyDescent="0.35">
      <c r="B39" s="1">
        <f>+B36/16</f>
        <v>851804.6875</v>
      </c>
      <c r="L39" s="149"/>
      <c r="M39" s="149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45</vt:i4>
      </vt:variant>
      <vt:variant>
        <vt:lpstr>Gráficos</vt:lpstr>
      </vt:variant>
      <vt:variant>
        <vt:i4>1</vt:i4>
      </vt:variant>
    </vt:vector>
  </HeadingPairs>
  <TitlesOfParts>
    <vt:vector size="46" baseType="lpstr">
      <vt:lpstr>Vendedor13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2026-08-03T18:22:58Z</dcterms:modified>
  <dc:language>es-CR</dc:language>
</cp:coreProperties>
</file>
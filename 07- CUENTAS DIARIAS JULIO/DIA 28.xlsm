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7- CUENTAS DIARIAS JULIO/"/>
    </mc:Choice>
  </mc:AlternateContent>
  <xr:revisionPtr revIDLastSave="61" documentId="11_104984F511DF3B75DAF82EFAD7A376828D525B0B" xr6:coauthVersionLast="47" xr6:coauthVersionMax="47" xr10:uidLastSave="{AA04FF6D-EF1E-4A8C-9A7A-DCEA34F5F48B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G10" i="64"/>
  <c r="G10" i="62"/>
  <c r="I10" i="61"/>
  <c r="G10" i="60"/>
  <c r="G11" i="60"/>
  <c r="F10" i="62"/>
  <c r="E10" i="62"/>
  <c r="C10" i="62"/>
  <c r="E10" i="61"/>
  <c r="F10" i="60"/>
  <c r="E10" i="60"/>
  <c r="D10" i="60"/>
  <c r="C10" i="60"/>
  <c r="C11" i="60"/>
  <c r="D10" i="61" l="1"/>
  <c r="C10" i="61"/>
  <c r="D10" i="65"/>
  <c r="C10" i="65"/>
  <c r="D18" i="64" l="1"/>
  <c r="D18" i="65"/>
  <c r="D11" i="65"/>
  <c r="D18" i="61"/>
  <c r="D17" i="61"/>
  <c r="D9" i="61"/>
  <c r="D8" i="61"/>
  <c r="C23" i="15"/>
  <c r="G16" i="71" s="1"/>
  <c r="C22" i="15"/>
  <c r="D22" i="15" s="1"/>
  <c r="C21" i="15"/>
  <c r="C16" i="71" s="1"/>
  <c r="H16" i="64"/>
  <c r="E23" i="15" s="1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7" i="65"/>
  <c r="D16" i="65"/>
  <c r="D15" i="65"/>
  <c r="D14" i="65"/>
  <c r="D13" i="65"/>
  <c r="D9" i="65"/>
  <c r="D7" i="65"/>
  <c r="D6" i="65"/>
  <c r="D5" i="65"/>
  <c r="F14" i="19"/>
  <c r="F10" i="19"/>
  <c r="F6" i="19"/>
  <c r="F14" i="8"/>
  <c r="F10" i="8"/>
  <c r="F6" i="8"/>
  <c r="H12" i="69"/>
  <c r="H9" i="69"/>
  <c r="F23" i="15" l="1"/>
  <c r="H16" i="71"/>
  <c r="D23" i="15"/>
  <c r="E16" i="71"/>
  <c r="F21" i="15"/>
  <c r="D16" i="71"/>
  <c r="D21" i="15"/>
  <c r="K8" i="15" s="1"/>
  <c r="G23" i="15"/>
  <c r="J8" i="15"/>
  <c r="K15" i="15" l="1"/>
  <c r="G36" i="60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2" i="61"/>
  <c r="D11" i="61"/>
  <c r="E5" i="16" s="1"/>
  <c r="D7" i="61"/>
  <c r="D6" i="61"/>
  <c r="D4" i="61"/>
  <c r="D27" i="60"/>
  <c r="D36" i="60" s="1"/>
  <c r="D26" i="60"/>
  <c r="D25" i="60"/>
  <c r="D24" i="60"/>
  <c r="D23" i="60"/>
  <c r="D22" i="60"/>
  <c r="D21" i="60"/>
  <c r="D20" i="60"/>
  <c r="D19" i="60"/>
  <c r="D18" i="60"/>
  <c r="D17" i="60"/>
  <c r="D16" i="60"/>
  <c r="D15" i="60"/>
  <c r="D14" i="60"/>
  <c r="D13" i="60"/>
  <c r="D11" i="60"/>
  <c r="D9" i="60"/>
  <c r="D8" i="60"/>
  <c r="D7" i="60"/>
  <c r="D4" i="60"/>
  <c r="F18" i="23"/>
  <c r="F14" i="23"/>
  <c r="F10" i="23"/>
  <c r="F6" i="23"/>
  <c r="F6" i="14"/>
  <c r="F10" i="14"/>
  <c r="F14" i="14"/>
  <c r="F18" i="14"/>
  <c r="D10" i="66"/>
  <c r="H10" i="64"/>
  <c r="F17" i="64"/>
  <c r="F17" i="65"/>
  <c r="F8" i="65"/>
  <c r="F18" i="62"/>
  <c r="F17" i="61"/>
  <c r="F18" i="61"/>
  <c r="F16" i="61"/>
  <c r="J17" i="61"/>
  <c r="D6" i="60"/>
  <c r="F18" i="60"/>
  <c r="F17" i="60"/>
  <c r="F15" i="60"/>
  <c r="F14" i="60"/>
  <c r="F12" i="60"/>
  <c r="F11" i="60"/>
  <c r="F35" i="60" s="1"/>
  <c r="F9" i="60"/>
  <c r="F7" i="60"/>
  <c r="F6" i="60"/>
  <c r="F34" i="60" s="1"/>
  <c r="H17" i="60"/>
  <c r="H16" i="60"/>
  <c r="H15" i="60"/>
  <c r="H13" i="60"/>
  <c r="H9" i="60"/>
  <c r="H7" i="60"/>
  <c r="H6" i="60"/>
  <c r="H5" i="60"/>
  <c r="H4" i="60"/>
  <c r="F18" i="21"/>
  <c r="F14" i="21"/>
  <c r="F10" i="21"/>
  <c r="F6" i="21"/>
  <c r="D17" i="64"/>
  <c r="F18" i="65"/>
  <c r="F16" i="65"/>
  <c r="F15" i="65"/>
  <c r="F14" i="65"/>
  <c r="F13" i="65"/>
  <c r="F12" i="65"/>
  <c r="D16" i="62"/>
  <c r="D15" i="62"/>
  <c r="D14" i="62"/>
  <c r="D13" i="62"/>
  <c r="D11" i="62"/>
  <c r="D10" i="62"/>
  <c r="J16" i="61"/>
  <c r="J15" i="61"/>
  <c r="J14" i="61"/>
  <c r="J13" i="61"/>
  <c r="J12" i="61"/>
  <c r="J11" i="61"/>
  <c r="J9" i="61"/>
  <c r="J8" i="61"/>
  <c r="J7" i="61"/>
  <c r="F15" i="61"/>
  <c r="F14" i="61"/>
  <c r="F13" i="61"/>
  <c r="F12" i="61"/>
  <c r="F11" i="61"/>
  <c r="E9" i="16" s="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8" i="61"/>
  <c r="F7" i="61"/>
  <c r="F6" i="61"/>
  <c r="F5" i="61"/>
  <c r="F4" i="61"/>
  <c r="H34" i="60" l="1"/>
  <c r="D34" i="60"/>
  <c r="D35" i="60"/>
  <c r="J8" i="14"/>
  <c r="D21" i="14"/>
  <c r="C12" i="71"/>
  <c r="D22" i="14"/>
  <c r="G12" i="71"/>
  <c r="E19" i="16"/>
  <c r="D4" i="65"/>
  <c r="D20" i="16"/>
  <c r="F18" i="64"/>
  <c r="F17" i="62"/>
  <c r="E11" i="16"/>
  <c r="H17" i="64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0" i="62"/>
  <c r="H18" i="61"/>
  <c r="H17" i="61"/>
  <c r="H16" i="61"/>
  <c r="H15" i="61"/>
  <c r="H14" i="61"/>
  <c r="H13" i="61"/>
  <c r="H12" i="61"/>
  <c r="H11" i="61"/>
  <c r="E13" i="16" s="1"/>
  <c r="H10" i="61"/>
  <c r="H18" i="60"/>
  <c r="H35" i="60" s="1"/>
  <c r="K15" i="14" l="1"/>
  <c r="G21" i="15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 s="1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36" i="60" s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M8" i="61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29" i="73"/>
  <c r="I29" i="73" s="1"/>
  <c r="F28" i="73"/>
  <c r="H22" i="73"/>
  <c r="I22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4" i="73"/>
  <c r="F20" i="73"/>
  <c r="F16" i="73"/>
  <c r="F15" i="73"/>
  <c r="F14" i="73"/>
  <c r="G14" i="73" s="1"/>
  <c r="L14" i="73" s="1"/>
  <c r="F13" i="73"/>
  <c r="F12" i="73"/>
  <c r="F11" i="73"/>
  <c r="F9" i="73"/>
  <c r="F8" i="73"/>
  <c r="G8" i="73" s="1"/>
  <c r="L8" i="73" s="1"/>
  <c r="F7" i="73"/>
  <c r="F6" i="73"/>
  <c r="F5" i="73"/>
  <c r="F4" i="73"/>
  <c r="D31" i="73"/>
  <c r="H31" i="73" s="1"/>
  <c r="I31" i="73" s="1"/>
  <c r="C31" i="73"/>
  <c r="F31" i="73" s="1"/>
  <c r="B31" i="73"/>
  <c r="D30" i="73"/>
  <c r="H30" i="73" s="1"/>
  <c r="I30" i="73" s="1"/>
  <c r="C30" i="73"/>
  <c r="F30" i="73" s="1"/>
  <c r="B30" i="73"/>
  <c r="D29" i="73"/>
  <c r="C29" i="73"/>
  <c r="F29" i="73" s="1"/>
  <c r="B29" i="73"/>
  <c r="D28" i="73"/>
  <c r="H28" i="73" s="1"/>
  <c r="I28" i="73" s="1"/>
  <c r="C28" i="73"/>
  <c r="B28" i="73"/>
  <c r="B27" i="73"/>
  <c r="D26" i="73"/>
  <c r="H26" i="73" s="1"/>
  <c r="I26" i="73" s="1"/>
  <c r="C26" i="73"/>
  <c r="F26" i="73" s="1"/>
  <c r="L26" i="73" s="1"/>
  <c r="B26" i="73"/>
  <c r="D25" i="73"/>
  <c r="H25" i="73" s="1"/>
  <c r="I25" i="73" s="1"/>
  <c r="C25" i="73"/>
  <c r="F25" i="73" s="1"/>
  <c r="B25" i="73"/>
  <c r="D24" i="73"/>
  <c r="H24" i="73" s="1"/>
  <c r="I24" i="73" s="1"/>
  <c r="C24" i="73"/>
  <c r="B24" i="73"/>
  <c r="D23" i="73"/>
  <c r="H23" i="73" s="1"/>
  <c r="I23" i="73" s="1"/>
  <c r="C23" i="73"/>
  <c r="F23" i="73" s="1"/>
  <c r="B23" i="73"/>
  <c r="D22" i="73"/>
  <c r="C22" i="73"/>
  <c r="F22" i="73" s="1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7" i="73"/>
  <c r="L7" i="73" s="1"/>
  <c r="B7" i="73"/>
  <c r="B6" i="73"/>
  <c r="B5" i="73"/>
  <c r="G4" i="73"/>
  <c r="B4" i="73"/>
  <c r="H18" i="72"/>
  <c r="H17" i="72"/>
  <c r="F31" i="72"/>
  <c r="E31" i="72"/>
  <c r="D31" i="72"/>
  <c r="C31" i="72"/>
  <c r="B31" i="72"/>
  <c r="H30" i="72"/>
  <c r="F30" i="72"/>
  <c r="E30" i="72"/>
  <c r="D30" i="72"/>
  <c r="J30" i="72" s="1"/>
  <c r="K30" i="72" s="1"/>
  <c r="C30" i="72"/>
  <c r="B30" i="72"/>
  <c r="F29" i="72"/>
  <c r="E29" i="72"/>
  <c r="D29" i="72"/>
  <c r="J29" i="72" s="1"/>
  <c r="K29" i="72" s="1"/>
  <c r="C29" i="72"/>
  <c r="H29" i="72" s="1"/>
  <c r="I29" i="72" s="1"/>
  <c r="B29" i="72"/>
  <c r="F28" i="72"/>
  <c r="E28" i="72"/>
  <c r="D28" i="72"/>
  <c r="J28" i="72" s="1"/>
  <c r="K28" i="72" s="1"/>
  <c r="C28" i="72"/>
  <c r="B28" i="72"/>
  <c r="B27" i="72"/>
  <c r="F26" i="72"/>
  <c r="E26" i="72"/>
  <c r="D26" i="72"/>
  <c r="C26" i="72"/>
  <c r="H26" i="72" s="1"/>
  <c r="N26" i="72" s="1"/>
  <c r="B26" i="72"/>
  <c r="F25" i="72"/>
  <c r="E25" i="72"/>
  <c r="D25" i="72"/>
  <c r="J25" i="72" s="1"/>
  <c r="K25" i="72" s="1"/>
  <c r="C25" i="72"/>
  <c r="H25" i="72" s="1"/>
  <c r="B25" i="72"/>
  <c r="F24" i="72"/>
  <c r="E24" i="72"/>
  <c r="D24" i="72"/>
  <c r="J24" i="72" s="1"/>
  <c r="K24" i="72" s="1"/>
  <c r="C24" i="72"/>
  <c r="B24" i="72"/>
  <c r="F23" i="72"/>
  <c r="E23" i="72"/>
  <c r="D23" i="72"/>
  <c r="C23" i="72"/>
  <c r="H23" i="72" s="1"/>
  <c r="B23" i="72"/>
  <c r="F22" i="72"/>
  <c r="E22" i="72"/>
  <c r="H22" i="72" s="1"/>
  <c r="D22" i="72"/>
  <c r="J22" i="72" s="1"/>
  <c r="K22" i="72" s="1"/>
  <c r="C22" i="72"/>
  <c r="B22" i="72"/>
  <c r="F21" i="72"/>
  <c r="E21" i="72"/>
  <c r="H21" i="72" s="1"/>
  <c r="D21" i="72"/>
  <c r="C21" i="72"/>
  <c r="B21" i="72"/>
  <c r="J20" i="72"/>
  <c r="K20" i="72" s="1"/>
  <c r="F20" i="72"/>
  <c r="E20" i="72"/>
  <c r="D20" i="72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H15" i="72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I11" i="72"/>
  <c r="N11" i="72" s="1"/>
  <c r="H11" i="72"/>
  <c r="B10" i="72"/>
  <c r="J9" i="72"/>
  <c r="K9" i="72" s="1"/>
  <c r="H9" i="72"/>
  <c r="I9" i="72" s="1"/>
  <c r="N9" i="72" s="1"/>
  <c r="B9" i="72"/>
  <c r="J8" i="72"/>
  <c r="K8" i="72" s="1"/>
  <c r="H8" i="72"/>
  <c r="I8" i="72" s="1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B30" i="71"/>
  <c r="H29" i="71"/>
  <c r="G29" i="71"/>
  <c r="F29" i="71"/>
  <c r="E29" i="71"/>
  <c r="D29" i="71"/>
  <c r="C29" i="7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C25" i="71"/>
  <c r="B25" i="71"/>
  <c r="H24" i="71"/>
  <c r="G24" i="71"/>
  <c r="F24" i="71"/>
  <c r="L24" i="71" s="1"/>
  <c r="M24" i="71" s="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D22" i="71"/>
  <c r="L22" i="71" s="1"/>
  <c r="M22" i="71" s="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L20" i="71" s="1"/>
  <c r="M20" i="71" s="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H29" i="70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E24" i="19" s="1"/>
  <c r="F24" i="19" s="1"/>
  <c r="D17" i="66"/>
  <c r="E24" i="8" s="1"/>
  <c r="F24" i="8" s="1"/>
  <c r="D16" i="66"/>
  <c r="I16" i="66" s="1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K20" i="64" s="1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5" i="66"/>
  <c r="I14" i="66"/>
  <c r="I13" i="66"/>
  <c r="I12" i="66"/>
  <c r="I11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H31" i="70" s="1"/>
  <c r="B31" i="70"/>
  <c r="F30" i="70"/>
  <c r="E30" i="70"/>
  <c r="D30" i="70"/>
  <c r="J30" i="70" s="1"/>
  <c r="C30" i="70"/>
  <c r="H30" i="70" s="1"/>
  <c r="B30" i="70"/>
  <c r="F29" i="70"/>
  <c r="E29" i="70"/>
  <c r="D29" i="70"/>
  <c r="J29" i="70" s="1"/>
  <c r="C29" i="70"/>
  <c r="B29" i="70"/>
  <c r="F28" i="70"/>
  <c r="E28" i="70"/>
  <c r="D28" i="70"/>
  <c r="J28" i="70" s="1"/>
  <c r="C28" i="70"/>
  <c r="H28" i="70" s="1"/>
  <c r="B28" i="70"/>
  <c r="B27" i="70"/>
  <c r="F26" i="70"/>
  <c r="E26" i="70"/>
  <c r="D26" i="70"/>
  <c r="J26" i="70" s="1"/>
  <c r="K26" i="70" s="1"/>
  <c r="C26" i="70"/>
  <c r="B26" i="70"/>
  <c r="F25" i="70"/>
  <c r="E25" i="70"/>
  <c r="D25" i="70"/>
  <c r="C25" i="70"/>
  <c r="B25" i="70"/>
  <c r="F24" i="70"/>
  <c r="E24" i="70"/>
  <c r="D24" i="70"/>
  <c r="J24" i="70" s="1"/>
  <c r="K24" i="70" s="1"/>
  <c r="C24" i="70"/>
  <c r="B24" i="70"/>
  <c r="F23" i="70"/>
  <c r="E23" i="70"/>
  <c r="D23" i="70"/>
  <c r="J23" i="70" s="1"/>
  <c r="K23" i="70" s="1"/>
  <c r="C23" i="70"/>
  <c r="H23" i="70" s="1"/>
  <c r="B23" i="70"/>
  <c r="F22" i="70"/>
  <c r="E22" i="70"/>
  <c r="D22" i="70"/>
  <c r="C22" i="70"/>
  <c r="B22" i="70"/>
  <c r="F21" i="70"/>
  <c r="E21" i="70"/>
  <c r="D21" i="70"/>
  <c r="C21" i="70"/>
  <c r="H21" i="70" s="1"/>
  <c r="B21" i="70"/>
  <c r="F20" i="70"/>
  <c r="E20" i="70"/>
  <c r="D20" i="70"/>
  <c r="J20" i="70" s="1"/>
  <c r="K20" i="70" s="1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I9" i="66" s="1"/>
  <c r="F8" i="66"/>
  <c r="D8" i="66"/>
  <c r="I8" i="66" s="1"/>
  <c r="F7" i="66"/>
  <c r="D7" i="66"/>
  <c r="I7" i="66" s="1"/>
  <c r="F6" i="66"/>
  <c r="D6" i="66"/>
  <c r="I6" i="66" s="1"/>
  <c r="B6" i="66"/>
  <c r="F5" i="66"/>
  <c r="D5" i="66"/>
  <c r="I5" i="66" s="1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H32" i="64"/>
  <c r="G32" i="64"/>
  <c r="F32" i="64"/>
  <c r="E32" i="64"/>
  <c r="D32" i="64"/>
  <c r="C32" i="64"/>
  <c r="B32" i="64"/>
  <c r="H31" i="64"/>
  <c r="G31" i="64"/>
  <c r="F31" i="64"/>
  <c r="E31" i="64"/>
  <c r="D31" i="64"/>
  <c r="C31" i="64"/>
  <c r="B31" i="64"/>
  <c r="H30" i="64"/>
  <c r="G30" i="64"/>
  <c r="F30" i="64"/>
  <c r="E30" i="64"/>
  <c r="D30" i="64"/>
  <c r="C30" i="64"/>
  <c r="B30" i="64"/>
  <c r="H29" i="64"/>
  <c r="G29" i="64"/>
  <c r="G33" i="64" s="1"/>
  <c r="F29" i="64"/>
  <c r="E29" i="64"/>
  <c r="D29" i="64"/>
  <c r="C29" i="64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I25" i="72" l="1"/>
  <c r="N25" i="72" s="1"/>
  <c r="F25" i="29"/>
  <c r="F27" i="72"/>
  <c r="J32" i="64"/>
  <c r="L6" i="6"/>
  <c r="K20" i="19"/>
  <c r="K9" i="19"/>
  <c r="L21" i="71"/>
  <c r="M21" i="71" s="1"/>
  <c r="J22" i="71"/>
  <c r="J31" i="71"/>
  <c r="J26" i="72"/>
  <c r="K26" i="72" s="1"/>
  <c r="D18" i="72"/>
  <c r="J31" i="64"/>
  <c r="H22" i="70"/>
  <c r="I22" i="70" s="1"/>
  <c r="J25" i="70"/>
  <c r="K25" i="70" s="1"/>
  <c r="J30" i="71"/>
  <c r="K30" i="71" s="1"/>
  <c r="I15" i="72"/>
  <c r="N15" i="72" s="1"/>
  <c r="H24" i="72"/>
  <c r="H31" i="72"/>
  <c r="E27" i="72"/>
  <c r="L7" i="23"/>
  <c r="J22" i="70"/>
  <c r="K22" i="70" s="1"/>
  <c r="D26" i="21"/>
  <c r="J10" i="21"/>
  <c r="C17" i="73"/>
  <c r="F17" i="73" s="1"/>
  <c r="J10" i="8"/>
  <c r="D26" i="19"/>
  <c r="J10" i="19"/>
  <c r="J29" i="71"/>
  <c r="K29" i="71" s="1"/>
  <c r="J21" i="72"/>
  <c r="K21" i="72" s="1"/>
  <c r="J31" i="72"/>
  <c r="K31" i="72" s="1"/>
  <c r="J29" i="64"/>
  <c r="H24" i="70"/>
  <c r="J7" i="19"/>
  <c r="F25" i="19"/>
  <c r="L9" i="19" s="1"/>
  <c r="F18" i="72"/>
  <c r="J26" i="71"/>
  <c r="L29" i="71"/>
  <c r="M29" i="71" s="1"/>
  <c r="J21" i="70"/>
  <c r="K21" i="70" s="1"/>
  <c r="F16" i="71"/>
  <c r="L16" i="71" s="1"/>
  <c r="M16" i="71" s="1"/>
  <c r="F22" i="15"/>
  <c r="L8" i="15" s="1"/>
  <c r="G22" i="15"/>
  <c r="L25" i="71"/>
  <c r="M25" i="71" s="1"/>
  <c r="J23" i="72"/>
  <c r="K23" i="72" s="1"/>
  <c r="H32" i="66"/>
  <c r="K28" i="70"/>
  <c r="H28" i="72"/>
  <c r="D17" i="72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G25" i="21" s="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L27" i="71" s="1"/>
  <c r="M27" i="71" s="1"/>
  <c r="E27" i="71"/>
  <c r="J27" i="71" s="1"/>
  <c r="K27" i="71" s="1"/>
  <c r="F19" i="29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L30" i="71"/>
  <c r="M30" i="71" s="1"/>
  <c r="L31" i="71"/>
  <c r="M31" i="71" s="1"/>
  <c r="J23" i="71"/>
  <c r="J20" i="71"/>
  <c r="K20" i="71" s="1"/>
  <c r="J21" i="71"/>
  <c r="K21" i="71" s="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 s="1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K21" i="8" l="1"/>
  <c r="K10" i="8"/>
  <c r="P26" i="71"/>
  <c r="K21" i="19"/>
  <c r="K10" i="19"/>
  <c r="N27" i="71"/>
  <c r="N27" i="72"/>
  <c r="K12" i="17"/>
  <c r="K20" i="21"/>
  <c r="K10" i="21"/>
  <c r="L27" i="70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M26" i="52" s="1"/>
  <c r="C26" i="52"/>
  <c r="G25" i="52"/>
  <c r="F25" i="52"/>
  <c r="E25" i="52"/>
  <c r="D25" i="52"/>
  <c r="C25" i="52"/>
  <c r="G24" i="52"/>
  <c r="F24" i="52"/>
  <c r="E24" i="52"/>
  <c r="D24" i="52"/>
  <c r="M24" i="52" s="1"/>
  <c r="C24" i="52"/>
  <c r="G23" i="52"/>
  <c r="F23" i="52"/>
  <c r="E23" i="52"/>
  <c r="D23" i="52"/>
  <c r="M23" i="52" s="1"/>
  <c r="C23" i="52"/>
  <c r="G22" i="52"/>
  <c r="F22" i="52"/>
  <c r="E22" i="52"/>
  <c r="D22" i="52"/>
  <c r="M22" i="52" s="1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E7" i="23"/>
  <c r="F7" i="23" s="1"/>
  <c r="L4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J6" i="23" s="1"/>
  <c r="C7" i="23"/>
  <c r="J4" i="23" s="1"/>
  <c r="C5" i="23"/>
  <c r="L6" i="23" l="1"/>
  <c r="F17" i="52"/>
  <c r="F12" i="8"/>
  <c r="J5" i="23"/>
  <c r="J5" i="19"/>
  <c r="M20" i="52"/>
  <c r="M25" i="52"/>
  <c r="C24" i="15"/>
  <c r="M21" i="52"/>
  <c r="N17" i="71"/>
  <c r="F5" i="15"/>
  <c r="E24" i="15"/>
  <c r="J6" i="15"/>
  <c r="J6" i="8"/>
  <c r="J6" i="19"/>
  <c r="J6" i="21"/>
  <c r="J4" i="8"/>
  <c r="J4" i="19"/>
  <c r="L5" i="8"/>
  <c r="J5" i="8"/>
  <c r="L5" i="19"/>
  <c r="J4" i="13"/>
  <c r="J4" i="15"/>
  <c r="J4" i="10"/>
  <c r="J4" i="24"/>
  <c r="J5" i="15"/>
  <c r="L18" i="70"/>
  <c r="L10" i="72"/>
  <c r="L32" i="72" s="1"/>
  <c r="E9" i="74" s="1"/>
  <c r="L9" i="21"/>
  <c r="L5" i="21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D19" i="7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9" s="1"/>
  <c r="G7" i="20"/>
  <c r="D7" i="20"/>
  <c r="D19" i="58"/>
  <c r="F7" i="20"/>
  <c r="D27" i="52"/>
  <c r="M27" i="52" s="1"/>
  <c r="D8" i="29"/>
  <c r="G8" i="29"/>
  <c r="C27" i="58"/>
  <c r="D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I13" i="59"/>
  <c r="D17" i="24"/>
  <c r="G17" i="24" s="1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L6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D29" i="61"/>
  <c r="C29" i="61"/>
  <c r="B29" i="61"/>
  <c r="J28" i="61"/>
  <c r="J32" i="61" s="1"/>
  <c r="I28" i="61"/>
  <c r="H28" i="61"/>
  <c r="H32" i="61" s="1"/>
  <c r="G28" i="61"/>
  <c r="F28" i="61"/>
  <c r="E28" i="61"/>
  <c r="E32" i="61" s="1"/>
  <c r="D28" i="6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D29" i="60"/>
  <c r="C29" i="60"/>
  <c r="B29" i="60"/>
  <c r="H28" i="60"/>
  <c r="G28" i="60"/>
  <c r="F28" i="60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K6" i="23" l="1"/>
  <c r="E32" i="60"/>
  <c r="I32" i="61"/>
  <c r="F32" i="60"/>
  <c r="D32" i="61"/>
  <c r="K4" i="23"/>
  <c r="G32" i="60"/>
  <c r="L19" i="71"/>
  <c r="M19" i="71" s="1"/>
  <c r="H32" i="60"/>
  <c r="H33" i="60" s="1"/>
  <c r="K5" i="23"/>
  <c r="J19" i="70"/>
  <c r="K19" i="70" s="1"/>
  <c r="G32" i="61"/>
  <c r="F32" i="61"/>
  <c r="L6" i="25"/>
  <c r="D24" i="15"/>
  <c r="L5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K6" i="25" s="1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K6" i="22" l="1"/>
  <c r="M4" i="52"/>
  <c r="R29" i="59"/>
  <c r="M6" i="52"/>
  <c r="M5" i="52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4" i="58" l="1"/>
  <c r="P22" i="58"/>
  <c r="P20" i="58"/>
  <c r="P25" i="58"/>
  <c r="P23" i="58"/>
  <c r="P21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2" i="52" l="1"/>
  <c r="C21" i="1" s="1"/>
  <c r="B21" i="1"/>
  <c r="K25" i="52"/>
  <c r="C24" i="1" s="1"/>
  <c r="B24" i="1"/>
  <c r="K26" i="52"/>
  <c r="C25" i="1" s="1"/>
  <c r="B25" i="1"/>
  <c r="K24" i="52"/>
  <c r="C23" i="1" s="1"/>
  <c r="B23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F12" i="14" l="1"/>
  <c r="F12" i="15"/>
  <c r="K4" i="52"/>
  <c r="C3" i="1" s="1"/>
  <c r="B3" i="1"/>
  <c r="K23" i="52"/>
  <c r="C22" i="1" s="1"/>
  <c r="B22" i="1"/>
  <c r="K5" i="52"/>
  <c r="C4" i="1" s="1"/>
  <c r="B4" i="1"/>
  <c r="K6" i="52"/>
  <c r="C5" i="1" s="1"/>
  <c r="B5" i="1"/>
  <c r="K20" i="52"/>
  <c r="C19" i="1" s="1"/>
  <c r="B19" i="1"/>
  <c r="K21" i="52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G24" i="15" l="1"/>
  <c r="L6" i="15"/>
  <c r="F24" i="15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D33" i="52" s="1"/>
  <c r="D34" i="52" s="1"/>
  <c r="D39" i="52" s="1"/>
  <c r="D7" i="69" s="1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<sst xmlns="http://schemas.openxmlformats.org/spreadsheetml/2006/main" count="1293" uniqueCount="160">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</sst>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9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0" fillId="12" borderId="0" xfId="0" applyFill="1"/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241750</v>
      </c>
      <c r="C3" s="9">
        <f>+HojaTICA!K4+HojaNICA!M4+HojaREVENTADO!K4+HojaPrimera!I4+HojaHonduras!K4+HojaDominicana!I4+HojaPANA!G4</f>
        <v>31400</v>
      </c>
      <c r="D3" s="9">
        <f>+HojaTICA!N4+HojaNICA!P4+HojaREVENTADO!O4+HojaPrimera!L4+HojaHonduras!N4+HojaDominicana!L4+HojaPANA!J4</f>
        <v>72250</v>
      </c>
      <c r="F3" s="10">
        <f t="shared" ref="F3:F27" si="0">+B3-C3-D3</f>
        <v>138100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190550</v>
      </c>
      <c r="C4" s="9">
        <f>+HojaTICA!K5+HojaNICA!M5+HojaREVENTADO!K5+HojaPrimera!I5+HojaHonduras!K5+HojaDominicana!I5+HojaPANA!G5</f>
        <v>24750</v>
      </c>
      <c r="D4" s="9">
        <f>+HojaTICA!N5+HojaNICA!P5+HojaREVENTADO!O5+HojaPrimera!L5+HojaHonduras!N5+HojaDominicana!L5+HojaPANA!J5</f>
        <v>254250</v>
      </c>
      <c r="F4" s="14">
        <f t="shared" si="0"/>
        <v>-88450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374450</v>
      </c>
      <c r="C7" s="9">
        <f>+HojaTICA!K8+HojaNICA!M8+HojaREVENTADO!K8+HojaPrimera!I8+HojaHonduras!K8+HojaDominicana!I8+HojaPANA!G8</f>
        <v>44950</v>
      </c>
      <c r="D7" s="9">
        <f>+HojaTICA!N8+HojaNICA!P8+HojaREVENTADO!O8+HojaPrimera!L8+HojaHonduras!N8+HojaDominicana!L8+HojaPANA!J8</f>
        <v>312500</v>
      </c>
      <c r="F7" s="14">
        <f t="shared" si="0"/>
        <v>17000</v>
      </c>
    </row>
    <row r="8" spans="1:7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757550</v>
      </c>
      <c r="C9" s="9">
        <f>+HojaTICA!K10+HojaNICA!M10+HojaREVENTADO!K10+HojaPrimera!I10+HojaHonduras!K10+HojaDominicana!I10+HojaPANA!G10</f>
        <v>90150</v>
      </c>
      <c r="D9" s="9">
        <f>+HojaTICA!N10+HojaNICA!P10+HojaREVENTADO!O10+HojaPrimera!L10+HojaHonduras!N10+HojaDominicana!L10+HojaPANA!J10</f>
        <v>425000</v>
      </c>
      <c r="F9" s="14">
        <f t="shared" si="0"/>
        <v>242400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9500</v>
      </c>
      <c r="C10" s="9">
        <f>+HojaTICA!K11+HojaNICA!M11+HojaREVENTADO!K11+HojaPrimera!I11+HojaHonduras!K11+HojaDominicana!I11+HojaPANA!G11</f>
        <v>1150</v>
      </c>
      <c r="D10" s="9">
        <f>+HojaTICA!N11+HojaNICA!P11+HojaREVENTADO!O11+HojaPrimera!L11+HojaHonduras!N11+HojaDominicana!L11+HojaPANA!J11</f>
        <v>85000</v>
      </c>
      <c r="F10" s="14">
        <f t="shared" si="0"/>
        <v>-76650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191600</v>
      </c>
      <c r="C11" s="9">
        <f>+HojaTICA!K12+HojaNICA!M12+HojaREVENTADO!K12+HojaPrimera!I12+HojaHonduras!K12+HojaDominicana!I12+HojaPANA!G12</f>
        <v>22925</v>
      </c>
      <c r="D11" s="9">
        <f>+HojaTICA!N12+HojaNICA!P12+HojaREVENTADO!O12+HojaPrimera!L12+HojaHonduras!N12+HojaDominicana!L12+HojaPANA!J12</f>
        <v>173250</v>
      </c>
      <c r="F11" s="14">
        <f t="shared" si="0"/>
        <v>-4575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101100</v>
      </c>
      <c r="C12" s="9">
        <f>+HojaTICA!K13+HojaNICA!M13+HojaREVENTADO!K13+HojaPrimera!I13+HojaHonduras!K13+HojaDominicana!I13+HojaPANA!G13</f>
        <v>12150</v>
      </c>
      <c r="D12" s="9">
        <f>+HojaTICA!N13+HojaNICA!P13+HojaREVENTADO!O13+HojaPrimera!L13+HojaHonduras!N13+HojaDominicana!L13+HojaPANA!J13</f>
        <v>42500</v>
      </c>
      <c r="F12" s="14">
        <f t="shared" si="0"/>
        <v>46450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82150</v>
      </c>
      <c r="C13" s="9">
        <f>+HojaTICA!K14+HojaNICA!M14+HojaREVENTADO!K14+HojaPrimera!I14+HojaHonduras!K14+HojaDominicana!I14+HojaPANA!G14</f>
        <v>12300</v>
      </c>
      <c r="D13" s="9">
        <f>+HojaTICA!N14+HojaNICA!P14+HojaREVENTADO!O14+HojaPrimera!L14+HojaHonduras!N14+HojaDominicana!L14+HojaPANA!J14</f>
        <v>48000</v>
      </c>
      <c r="F13" s="14">
        <f t="shared" si="0"/>
        <v>21850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99550</v>
      </c>
      <c r="C15" s="9">
        <f>+HojaTICA!K16+HojaNICA!M16+HojaREVENTADO!K16+HojaPrimera!I16+HojaHonduras!K16+HojaDominicana!I16+HojaPANA!G16</f>
        <v>11900</v>
      </c>
      <c r="D15" s="9">
        <f>+HojaTICA!N16+HojaNICA!P16+HojaREVENTADO!O16+HojaPrimera!L16+HojaHonduras!N16+HojaDominicana!L16+HojaPANA!J16</f>
        <v>42500</v>
      </c>
      <c r="F15" s="14">
        <f t="shared" si="0"/>
        <v>45150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0</v>
      </c>
      <c r="C16" s="9">
        <f>+HojaTICA!K17+HojaNICA!M17+HojaREVENTADO!K17+HojaPrimera!I17+HojaHonduras!K17+HojaDominicana!I17+HojaPANA!G17</f>
        <v>0</v>
      </c>
      <c r="D16" s="9">
        <f>+HojaTICA!N17+HojaNICA!P17+HojaREVENTADO!O17+HojaPrimera!L17+HojaHonduras!N17+HojaDominicana!L17+HojaPANA!J17</f>
        <v>0</v>
      </c>
      <c r="F16" s="14">
        <f t="shared" si="0"/>
        <v>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0</v>
      </c>
      <c r="C17" s="9">
        <f>+HojaTICA!K18+HojaNICA!M18+HojaREVENTADO!K18+HojaPrimera!I18+HojaHonduras!K18+HojaDominicana!I18+HojaPANA!G18</f>
        <v>0</v>
      </c>
      <c r="D17" s="9">
        <f>+HojaTICA!N18+HojaNICA!P18+HojaREVENTADO!O18+HojaPrimera!L18+HojaHonduras!N18+HojaDominicana!L18+HojaPANA!J18</f>
        <v>0</v>
      </c>
      <c r="F17" s="14">
        <f t="shared" si="0"/>
        <v>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-16250</v>
      </c>
      <c r="C26" s="9">
        <f>+HojaTICA!K27+HojaNICA!M27+HojaREVENTADO!K27+HojaPrimera!I27+HojaHonduras!K27+HojaDominicana!I27+HojaPANA!G27</f>
        <v>-1900</v>
      </c>
      <c r="D26" s="9">
        <f>+HojaTICA!N27+HojaNICA!P27+HojaREVENTADO!O27+HojaPrimera!L27+HojaHonduras!N27+HojaDominicana!L27+HojaPANA!J27</f>
        <v>0</v>
      </c>
      <c r="F26" s="14">
        <f t="shared" si="0"/>
        <v>-14350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2031950</v>
      </c>
      <c r="C28" s="17">
        <f t="shared" si="1"/>
        <v>249775</v>
      </c>
      <c r="D28" s="18">
        <f t="shared" si="1"/>
        <v>1455250</v>
      </c>
      <c r="F28" s="20">
        <f>SUM(F3:F27)</f>
        <v>326925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6" sqref="C16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4" t="s">
        <v>6</v>
      </c>
      <c r="B2" s="265"/>
      <c r="C2" s="265"/>
      <c r="D2" s="266"/>
      <c r="E2" s="266"/>
      <c r="F2" s="266"/>
      <c r="G2" s="117"/>
      <c r="I2" s="259" t="s">
        <v>7</v>
      </c>
      <c r="J2" s="259"/>
      <c r="K2" s="259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>
        <v>53</v>
      </c>
      <c r="C5" s="132"/>
      <c r="D5" s="137"/>
      <c r="E5" s="30">
        <v>80</v>
      </c>
      <c r="F5" s="30">
        <v>85</v>
      </c>
      <c r="G5" s="30">
        <v>85</v>
      </c>
      <c r="I5" s="260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60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75</v>
      </c>
      <c r="C7" s="132"/>
      <c r="D7" s="137"/>
      <c r="E7" s="30">
        <v>80</v>
      </c>
      <c r="F7" s="30">
        <v>85</v>
      </c>
      <c r="G7" s="30">
        <v>85</v>
      </c>
      <c r="I7" s="260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Roja</v>
      </c>
      <c r="C8" s="136"/>
      <c r="D8" s="137" t="s">
        <v>65</v>
      </c>
      <c r="E8" s="30">
        <f>IF(D8=J$10,K$10,IF(D8=J$11,K$11,IF(D8=J$12,K$12,"")))</f>
        <v>200</v>
      </c>
      <c r="F8" s="30">
        <f>IF($D8=$J$10,$L$10,IF($D8=$J$11,$L$11,IF($D8=$J$12,$L$12,"")))</f>
        <v>200</v>
      </c>
      <c r="G8" s="30">
        <f>IF($D8=$J$10,$M$10,IF($D8=$J$11,$M$11,IF($D8=$J$12,$M$12,"")))</f>
        <v>200</v>
      </c>
      <c r="I8" s="260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36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1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23</v>
      </c>
      <c r="C11" s="132"/>
      <c r="D11" s="137"/>
      <c r="E11" s="30">
        <v>80</v>
      </c>
      <c r="F11" s="30">
        <v>85</v>
      </c>
      <c r="G11" s="30">
        <v>85</v>
      </c>
      <c r="I11" s="262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Blanca</v>
      </c>
      <c r="C12" s="136"/>
      <c r="D12" s="137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3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>
        <v>37</v>
      </c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>
        <v>61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Blanca</v>
      </c>
      <c r="C16" s="136"/>
      <c r="D16" s="137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3">
        <v>34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19</v>
      </c>
      <c r="C19" s="132">
        <v>76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 t="s">
        <v>159</v>
      </c>
      <c r="C20" s="163">
        <v>98</v>
      </c>
      <c r="D20" s="166">
        <v>17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60</v>
      </c>
      <c r="C21" s="164">
        <v>50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6" x14ac:dyDescent="0.35">
      <c r="C2" s="268">
        <f>DigitaTICA!C2</f>
        <v>75</v>
      </c>
      <c r="D2" s="269"/>
      <c r="E2" s="268">
        <f>DigitaTICA!E2</f>
        <v>23</v>
      </c>
      <c r="F2" s="269"/>
      <c r="G2" s="268">
        <f>DigitaTICA!G2</f>
        <v>61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57500</v>
      </c>
      <c r="D4" s="30">
        <f>IF(Vendedor1!$E$7="",0,Vendedor1!$E$7)</f>
        <v>0</v>
      </c>
      <c r="E4" s="180">
        <f>IF(Vendedor1!$C$11="",0,Vendedor1!$C$11)</f>
        <v>51100</v>
      </c>
      <c r="F4" s="30">
        <f>IF(Vendedor1!$E$11="",0,Vendedor1!$E$11)</f>
        <v>850</v>
      </c>
      <c r="G4" s="180">
        <f>IF(Vendedor1!$C$15="",0,Vendedor1!$C$15)</f>
        <v>81450</v>
      </c>
      <c r="H4" s="30">
        <f>IF(Vendedor1!$E$15="",0,Vendedor1!$E$15)</f>
        <v>0</v>
      </c>
      <c r="J4" s="42">
        <f t="shared" ref="J4:J7" si="0">+C4+E4+G4</f>
        <v>190050</v>
      </c>
      <c r="K4" s="41">
        <f>MROUND(J4*Vendedor1!J$9,50)</f>
        <v>24700</v>
      </c>
      <c r="L4" s="42">
        <f t="shared" ref="L4:L7" si="1">+D4+F4+H4</f>
        <v>850</v>
      </c>
      <c r="M4" s="42">
        <f t="shared" ref="M4:M7" si="2">+L4*85</f>
        <v>72250</v>
      </c>
      <c r="N4" s="42">
        <f>Vendedor1!$F$7+Vendedor1!$F$11+Vendedor1!$F$15</f>
        <v>72250</v>
      </c>
      <c r="P4" s="42">
        <f t="shared" ref="P4:P7" si="3">+J4-K4-N4</f>
        <v>93100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62200</v>
      </c>
      <c r="D5" s="30">
        <f>IF(Vendedor2!$E$7="",0,Vendedor2!$E$7)</f>
        <v>1500</v>
      </c>
      <c r="E5" s="180">
        <f>IF(Vendedor2!$C$11="",0,Vendedor2!$C$11)</f>
        <v>25600</v>
      </c>
      <c r="F5" s="30">
        <f>IF(Vendedor2!$E$11="",0,Vendedor2!$E$11)</f>
        <v>550</v>
      </c>
      <c r="G5" s="180">
        <f>IF(Vendedor2!$C$15="",0,Vendedor2!$C$15)</f>
        <v>60400</v>
      </c>
      <c r="H5" s="30">
        <f>IF(Vendedor2!$E$15="",0,Vendedor2!$E$15)</f>
        <v>0</v>
      </c>
      <c r="J5" s="42">
        <f t="shared" si="0"/>
        <v>148200</v>
      </c>
      <c r="K5" s="41">
        <f>MROUND(J5*Vendedor2!J$9,50)</f>
        <v>19250</v>
      </c>
      <c r="L5" s="42">
        <f t="shared" si="1"/>
        <v>2050</v>
      </c>
      <c r="M5" s="42">
        <f t="shared" si="2"/>
        <v>174250</v>
      </c>
      <c r="N5" s="42">
        <f>Vendedor2!$F$7+Vendedor2!$F$11+Vendedor2!$F$15</f>
        <v>174250</v>
      </c>
      <c r="P5" s="42">
        <f t="shared" si="3"/>
        <v>-45300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53050</v>
      </c>
      <c r="D8" s="30">
        <f>IF(Vendedor5!$E$7="",0,Vendedor5!$E$7)</f>
        <v>0</v>
      </c>
      <c r="E8" s="180">
        <f>IF(Vendedor5!$C$11="",0,Vendedor5!$C$11)</f>
        <v>45150</v>
      </c>
      <c r="F8" s="30">
        <f>IF(Vendedor5!$E$11="",0,Vendedor5!$E$11)</f>
        <v>2000</v>
      </c>
      <c r="G8" s="180">
        <f>IF(Vendedor5!$C$15="",0,Vendedor5!$C$15)</f>
        <v>53350</v>
      </c>
      <c r="H8" s="30">
        <f>IF(Vendedor5!$E$15="",0,Vendedor5!$E$15)</f>
        <v>500</v>
      </c>
      <c r="J8" s="42">
        <f t="shared" ref="J8" si="4">+C8+E8+G8</f>
        <v>151550</v>
      </c>
      <c r="K8" s="41">
        <f>MROUND(J8*Vendedor5!J$11,50)</f>
        <v>18200</v>
      </c>
      <c r="L8" s="42">
        <f t="shared" ref="L8" si="5">+D8+F8+H8</f>
        <v>2500</v>
      </c>
      <c r="M8" s="42">
        <f t="shared" ref="M8" si="6">+L8*85</f>
        <v>212500</v>
      </c>
      <c r="N8" s="42">
        <f>Vendedor5!$F$7+Vendedor5!$F$11+Vendedor5!$F$15</f>
        <v>212500</v>
      </c>
      <c r="P8" s="42">
        <f t="shared" ref="P8" si="7">+J8-K8-N8</f>
        <v>-79150</v>
      </c>
    </row>
    <row r="9" spans="1:16" x14ac:dyDescent="0.35">
      <c r="A9" s="41">
        <v>6</v>
      </c>
      <c r="B9" s="178" t="str">
        <f>Vendedor6!$B$2</f>
        <v>MARTA ROSA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132800</v>
      </c>
      <c r="D10" s="30">
        <f>IF(Vendedor7!$E$7="",0,Vendedor7!$E$7)</f>
        <v>500</v>
      </c>
      <c r="E10" s="180">
        <f>IF(Vendedor7!$C$11="",0,Vendedor7!$C$11)</f>
        <v>95400</v>
      </c>
      <c r="F10" s="30">
        <f>IF(Vendedor7!$E$11="",0,Vendedor7!$E$11)</f>
        <v>1650</v>
      </c>
      <c r="G10" s="180">
        <f>IF(Vendedor7!$C$15="",0,Vendedor7!$C$15)</f>
        <v>116350</v>
      </c>
      <c r="H10" s="30">
        <f>IF(Vendedor7!$E$15="",0,Vendedor7!$E$15)</f>
        <v>300</v>
      </c>
      <c r="J10" s="42">
        <f t="shared" si="8"/>
        <v>344550</v>
      </c>
      <c r="K10" s="41">
        <f>MROUND(J10*Vendedor7!J$14,50)</f>
        <v>41350</v>
      </c>
      <c r="L10" s="42">
        <f t="shared" si="9"/>
        <v>2450</v>
      </c>
      <c r="M10" s="42">
        <f t="shared" si="10"/>
        <v>208250</v>
      </c>
      <c r="N10" s="42">
        <f>Vendedor7!$F$7+Vendedor7!$F$11+Vendedor7!$F$15</f>
        <v>208250</v>
      </c>
      <c r="P10" s="42">
        <f t="shared" si="11"/>
        <v>94950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2500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7000</v>
      </c>
      <c r="H11" s="30">
        <f>IF(Vendedor8!$E$15="",0,Vendedor8!$E$15)</f>
        <v>1000</v>
      </c>
      <c r="J11" s="42">
        <f t="shared" si="8"/>
        <v>9500</v>
      </c>
      <c r="K11" s="41">
        <f>MROUND(J11*Vendedor8!J$11,50)</f>
        <v>1150</v>
      </c>
      <c r="L11" s="42">
        <f t="shared" si="9"/>
        <v>1000</v>
      </c>
      <c r="M11" s="42">
        <f t="shared" si="10"/>
        <v>85000</v>
      </c>
      <c r="N11" s="42">
        <f>Vendedor8!$F$7+Vendedor8!$F$11+Vendedor8!$F$15</f>
        <v>85000</v>
      </c>
      <c r="P11" s="42">
        <f t="shared" si="11"/>
        <v>-76650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38400</v>
      </c>
      <c r="D12" s="30">
        <f>IF(Vendedor9!$E$7="",0,Vendedor9!$E$7)</f>
        <v>250</v>
      </c>
      <c r="E12" s="180">
        <f>IF(Vendedor9!$C$11="",0,Vendedor9!$C$11)</f>
        <v>24550</v>
      </c>
      <c r="F12" s="30">
        <f>IF(Vendedor9!$E$11="",0,Vendedor9!$E$11)</f>
        <v>0</v>
      </c>
      <c r="G12" s="180">
        <f>IF(Vendedor9!$C$15="",0,Vendedor9!$C$15)</f>
        <v>24550</v>
      </c>
      <c r="H12" s="30">
        <f>IF(Vendedor9!$E$15="",0,Vendedor9!$E$15)</f>
        <v>1000</v>
      </c>
      <c r="J12" s="42">
        <f t="shared" si="8"/>
        <v>87500</v>
      </c>
      <c r="K12" s="41">
        <f>MROUND(J12*Vendedor9!J$11,50)</f>
        <v>10500</v>
      </c>
      <c r="L12" s="42">
        <f t="shared" si="9"/>
        <v>1250</v>
      </c>
      <c r="M12" s="42">
        <f t="shared" si="10"/>
        <v>106250</v>
      </c>
      <c r="N12" s="42">
        <f>Vendedor9!$F$7+Vendedor9!$F$11+Vendedor9!$F$15</f>
        <v>106250</v>
      </c>
      <c r="P12" s="42">
        <f t="shared" si="11"/>
        <v>-29250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24100</v>
      </c>
      <c r="D13" s="30">
        <f>IF(Vendedor10!$E$7="",0,Vendedor10!$E$7)</f>
        <v>0</v>
      </c>
      <c r="E13" s="180">
        <f>IF(Vendedor10!$C$11="",0,Vendedor10!$C$11)</f>
        <v>11050</v>
      </c>
      <c r="F13" s="30">
        <f>IF(Vendedor10!$E$11="",0,Vendedor10!$E$11)</f>
        <v>500</v>
      </c>
      <c r="G13" s="180">
        <f>IF(Vendedor10!$C$15="",0,Vendedor10!$C$15)</f>
        <v>44450</v>
      </c>
      <c r="H13" s="30">
        <f>IF(Vendedor10!$E$15="",0,Vendedor10!$E$15)</f>
        <v>0</v>
      </c>
      <c r="J13" s="42">
        <f t="shared" si="8"/>
        <v>79600</v>
      </c>
      <c r="K13" s="41">
        <f>MROUND(J13*Vendedor10!J$9,50)</f>
        <v>9550</v>
      </c>
      <c r="L13" s="42">
        <f t="shared" si="9"/>
        <v>500</v>
      </c>
      <c r="M13" s="42">
        <f t="shared" si="10"/>
        <v>42500</v>
      </c>
      <c r="N13" s="42">
        <f>Vendedor10!$F$7+Vendedor10!$F$11+Vendedor10!$F$15</f>
        <v>42500</v>
      </c>
      <c r="P13" s="42">
        <f t="shared" si="11"/>
        <v>27550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37800</v>
      </c>
      <c r="D14" s="30">
        <f>IF(Vendedor11!$E$7="",0,Vendedor11!$E$7)</f>
        <v>0</v>
      </c>
      <c r="E14" s="180">
        <f>IF(Vendedor11!$C$11="",0,Vendedor11!$C$11)</f>
        <v>16650</v>
      </c>
      <c r="F14" s="30">
        <f>IF(Vendedor11!$E$11="",0,Vendedor11!$E$11)</f>
        <v>0</v>
      </c>
      <c r="G14" s="180">
        <f>IF(Vendedor11!$C$15="",0,Vendedor11!$C$15)</f>
        <v>27700</v>
      </c>
      <c r="H14" s="30">
        <f>IF(Vendedor11!$E$15="",0,Vendedor11!$E$15)</f>
        <v>600</v>
      </c>
      <c r="J14" s="42">
        <f t="shared" si="8"/>
        <v>82150</v>
      </c>
      <c r="K14" s="41">
        <f>MROUND(J14*Vendedor11!J$9,50)</f>
        <v>12300</v>
      </c>
      <c r="L14" s="42">
        <f t="shared" si="9"/>
        <v>600</v>
      </c>
      <c r="M14" s="42">
        <f t="shared" si="10"/>
        <v>51000</v>
      </c>
      <c r="N14" s="42">
        <f>Vendedor11!$F$7+Vendedor11!$F$11+Vendedor11!$F$15</f>
        <v>48000</v>
      </c>
      <c r="P14" s="42">
        <f t="shared" si="11"/>
        <v>21850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14750</v>
      </c>
      <c r="D16" s="30">
        <f>IF(Vendedor13!$E$7="",0,Vendedor13!$E$7)</f>
        <v>0</v>
      </c>
      <c r="E16" s="180">
        <f>IF(Vendedor13!$C$11="",0,Vendedor13!$C$11)</f>
        <v>19850</v>
      </c>
      <c r="F16" s="30">
        <f>IF(Vendedor13!$E$11="",0,Vendedor13!$E$11)</f>
        <v>500</v>
      </c>
      <c r="G16" s="180">
        <f>IF(Vendedor13!$C$15="",0,Vendedor13!$C$15)</f>
        <v>24050</v>
      </c>
      <c r="H16" s="30">
        <f>IF(Vendedor13!$E$15="",0,Vendedor13!$E$15)</f>
        <v>0</v>
      </c>
      <c r="J16" s="42">
        <f t="shared" si="8"/>
        <v>58650</v>
      </c>
      <c r="K16" s="41">
        <f>MROUND(J16*Vendedor13!J$11,50)</f>
        <v>7050</v>
      </c>
      <c r="L16" s="42">
        <f t="shared" si="9"/>
        <v>500</v>
      </c>
      <c r="M16" s="42">
        <f t="shared" si="10"/>
        <v>42500</v>
      </c>
      <c r="N16" s="42">
        <f>Vendedor13!$F$7+Vendedor13!$F$11+Vendedor13!$F$15</f>
        <v>42500</v>
      </c>
      <c r="P16" s="42">
        <f t="shared" si="11"/>
        <v>9100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0</v>
      </c>
      <c r="D17" s="30">
        <f>IF(Vendedor14!$E$7="",0,Vendedor14!$E$7)</f>
        <v>0</v>
      </c>
      <c r="E17" s="180">
        <f>IF(Vendedor14!$C$11="",0,Vendedor14!$C$11)</f>
        <v>0</v>
      </c>
      <c r="F17" s="30">
        <f>IF(Vendedor14!$E$11="",0,Vendedor14!$E$11)</f>
        <v>0</v>
      </c>
      <c r="G17" s="180">
        <f>IF(Vendedor14!$C$15="",0,Vendedor14!$C$15)</f>
        <v>0</v>
      </c>
      <c r="H17" s="30">
        <f>IF(Vendedor14!$E$15="",0,Vendedor14!$E$15)</f>
        <v>0</v>
      </c>
      <c r="J17" s="42">
        <f t="shared" si="8"/>
        <v>0</v>
      </c>
      <c r="K17" s="41">
        <f>MROUND(J17*Vendedor14!J$15,50)</f>
        <v>0</v>
      </c>
      <c r="L17" s="42">
        <f t="shared" si="9"/>
        <v>0</v>
      </c>
      <c r="M17" s="42">
        <f t="shared" si="10"/>
        <v>0</v>
      </c>
      <c r="N17" s="42">
        <f>Vendedor14!$F$7+Vendedor14!$F$11+Vendedor14!$F$15</f>
        <v>0</v>
      </c>
      <c r="P17" s="42">
        <f t="shared" si="11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0</v>
      </c>
      <c r="D18" s="30">
        <f>IF(Vendedor15!$E$7="",0,Vendedor15!$E$7)</f>
        <v>0</v>
      </c>
      <c r="E18" s="180">
        <f>IF(Vendedor15!$C$11="",0,Vendedor15!$C$11)</f>
        <v>0</v>
      </c>
      <c r="F18" s="30">
        <f>IF(Vendedor15!$E$11="",0,Vendedor15!$E$11)</f>
        <v>0</v>
      </c>
      <c r="G18" s="180">
        <f>IF(Vendedor15!$C$15="",0,Vendedor15!$C$15)</f>
        <v>0</v>
      </c>
      <c r="H18" s="30">
        <f>IF(Vendedor15!$E$15="",0,Vendedor15!$E$15)</f>
        <v>0</v>
      </c>
      <c r="J18" s="42">
        <f t="shared" ref="J18" si="12">+C18+E18+G18</f>
        <v>0</v>
      </c>
      <c r="K18" s="41">
        <f>MROUND(J18*Vendedor15!J$15,50)</f>
        <v>0</v>
      </c>
      <c r="L18" s="42">
        <f t="shared" ref="L18" si="13">+D18+F18+H18</f>
        <v>0</v>
      </c>
      <c r="M18" s="42">
        <f t="shared" ref="M18" si="14">+L18*85</f>
        <v>0</v>
      </c>
      <c r="N18" s="42">
        <f>Vendedor15!$F$7+Vendedor15!$F$11+Vendedor15!$F$15</f>
        <v>0</v>
      </c>
      <c r="P18" s="42">
        <f t="shared" ref="P18" si="15">+J18-K18-N18</f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-14750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-14750</v>
      </c>
      <c r="K27" s="41">
        <f>IF(J27*Vendedor24!J$9&gt;0,MROUND(J27*Vendedor24!J$9,50),MROUND(J27*Vendedor24!J$9,-50))</f>
        <v>-1750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-13000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408350</v>
      </c>
      <c r="D32" s="44">
        <f t="shared" si="16"/>
        <v>2250</v>
      </c>
      <c r="E32" s="43">
        <f t="shared" si="16"/>
        <v>289350</v>
      </c>
      <c r="F32" s="44">
        <f t="shared" si="16"/>
        <v>6050</v>
      </c>
      <c r="G32" s="43">
        <f t="shared" si="16"/>
        <v>439300</v>
      </c>
      <c r="H32" s="44">
        <f t="shared" si="16"/>
        <v>3400</v>
      </c>
      <c r="J32" s="95">
        <f>SUM(J4:J31)</f>
        <v>1137000</v>
      </c>
      <c r="K32" s="45">
        <f>SUM(K7:K31)</f>
        <v>98350</v>
      </c>
      <c r="L32" s="95">
        <f>SUM(L4:L31)</f>
        <v>11700</v>
      </c>
      <c r="M32" s="95">
        <f>SUM(M4:M31)</f>
        <v>994500</v>
      </c>
      <c r="N32" s="95">
        <f>SUM(N4:N31)</f>
        <v>991500</v>
      </c>
      <c r="P32" s="79">
        <f>SUM(P4:P31)</f>
        <v>3200</v>
      </c>
    </row>
    <row r="33" spans="3:13" x14ac:dyDescent="0.35">
      <c r="D33" s="99">
        <f>+D32*85</f>
        <v>191250</v>
      </c>
      <c r="F33" s="99">
        <f>+F32*85</f>
        <v>514250</v>
      </c>
      <c r="H33" s="99">
        <f>+H32*85</f>
        <v>289000</v>
      </c>
    </row>
    <row r="34" spans="3:13" ht="15" thickBot="1" x14ac:dyDescent="0.4">
      <c r="L34" s="149"/>
      <c r="M34" s="43"/>
    </row>
    <row r="35" spans="3:13" x14ac:dyDescent="0.35">
      <c r="C35" s="267" t="s">
        <v>89</v>
      </c>
      <c r="D35" s="267"/>
    </row>
    <row r="36" spans="3:13" x14ac:dyDescent="0.35">
      <c r="C36" s="47" t="s">
        <v>28</v>
      </c>
      <c r="D36" s="30">
        <f>+C32+E32+G32</f>
        <v>1137000</v>
      </c>
      <c r="E36" s="43">
        <f>+D36-J4-J5-J6</f>
        <v>798750</v>
      </c>
      <c r="G36" s="101"/>
    </row>
    <row r="37" spans="3:13" x14ac:dyDescent="0.35">
      <c r="C37" s="47" t="s">
        <v>33</v>
      </c>
      <c r="D37" s="48">
        <f>D36*13%</f>
        <v>147810</v>
      </c>
      <c r="E37">
        <f>+D37-K4-K5-K6</f>
        <v>103860</v>
      </c>
      <c r="G37" s="100"/>
      <c r="H37" s="100"/>
    </row>
    <row r="38" spans="3:13" ht="15" thickBot="1" x14ac:dyDescent="0.4">
      <c r="C38" s="47" t="s">
        <v>30</v>
      </c>
      <c r="D38" s="30">
        <f>M32</f>
        <v>994500</v>
      </c>
      <c r="G38" s="100"/>
      <c r="H38" s="100"/>
    </row>
    <row r="39" spans="3:13" ht="15" thickBot="1" x14ac:dyDescent="0.4">
      <c r="C39" s="49" t="s">
        <v>4</v>
      </c>
      <c r="D39" s="80">
        <f>+D36-D37-D38</f>
        <v>-5310</v>
      </c>
      <c r="F39" s="98">
        <f>+P32-D39</f>
        <v>8510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-5310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79" t="s">
        <v>22</v>
      </c>
      <c r="B1" s="79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8" x14ac:dyDescent="0.35">
      <c r="C2" s="268">
        <f>DigitaNICA!C2</f>
        <v>53</v>
      </c>
      <c r="D2" s="269"/>
      <c r="E2" s="268">
        <f>DigitaNICA!E2</f>
        <v>36</v>
      </c>
      <c r="F2" s="269"/>
      <c r="G2" s="268">
        <f>DigitaNICA!G2</f>
        <v>37</v>
      </c>
      <c r="H2" s="269"/>
      <c r="I2" s="268">
        <f>DigitaNICA!I2</f>
        <v>34</v>
      </c>
      <c r="J2" s="269"/>
    </row>
    <row r="3" spans="1:18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18000</v>
      </c>
      <c r="D4" s="78">
        <f>IF(Vendedor1!$E$5="",0,Vendedor1!$E$5)</f>
        <v>0</v>
      </c>
      <c r="E4" s="189">
        <f>IF(Vendedor1!$C$9="",0,Vendedor1!$C$9)</f>
        <v>11450</v>
      </c>
      <c r="F4" s="78">
        <f>IF(Vendedor1!$E$9="",0,Vendedor1!$E$9)</f>
        <v>0</v>
      </c>
      <c r="G4" s="189">
        <f>IF(Vendedor1!$C$13="",0,Vendedor1!$C$13)</f>
        <v>7500</v>
      </c>
      <c r="H4" s="78">
        <f>IF(Vendedor1!$E$13="",0,Vendedor1!$E$13)</f>
        <v>0</v>
      </c>
      <c r="I4" s="189">
        <f>IF(Vendedor1!$C$17="",0,Vendedor1!$C$17)</f>
        <v>3950</v>
      </c>
      <c r="J4" s="78">
        <f>IF(Vendedor1!$E$17="",0,Vendedor1!$E$17)</f>
        <v>0</v>
      </c>
      <c r="L4" s="42">
        <f t="shared" ref="L4:L7" si="0">C4+E4+G4+I4</f>
        <v>40900</v>
      </c>
      <c r="M4" s="41">
        <f>MROUND(L4*Vendedor1!J$10,50)</f>
        <v>5300</v>
      </c>
      <c r="N4" s="42">
        <f t="shared" ref="N4:N7" si="1">D4+F4+H4+J4</f>
        <v>0</v>
      </c>
      <c r="O4" s="41">
        <f>IFERROR(N4*85,0)</f>
        <v>0</v>
      </c>
      <c r="P4" s="42">
        <f>Vendedor1!$F$5+Vendedor1!$F$9+Vendedor1!$F$13+Vendedor1!$F$17</f>
        <v>0</v>
      </c>
      <c r="R4" s="41">
        <f t="shared" ref="R4:R7" si="2">+L4-M4-O4</f>
        <v>35600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14200</v>
      </c>
      <c r="D5" s="30">
        <f>IF(Vendedor2!$E$5="",0,Vendedor2!$E$5)</f>
        <v>1000</v>
      </c>
      <c r="E5" s="180">
        <f>IF(Vendedor2!$C$9="",0,Vendedor2!$C$9)</f>
        <v>16150</v>
      </c>
      <c r="F5" s="30">
        <f>IF(Vendedor2!$E$9="",0,Vendedor2!$E$9)</f>
        <v>0</v>
      </c>
      <c r="G5" s="180">
        <f>IF(Vendedor2!$C$13="",0,Vendedor2!$C$13)</f>
        <v>0</v>
      </c>
      <c r="H5" s="30">
        <f>IF(Vendedor2!$E$13="",0,Vendedor2!$E$13)</f>
        <v>0</v>
      </c>
      <c r="I5" s="180">
        <f>IF(Vendedor2!$C$17="",0,Vendedor2!$C$17)</f>
        <v>4000</v>
      </c>
      <c r="J5" s="30">
        <f>IF(Vendedor2!$E$17="",0,Vendedor2!$E$17)</f>
        <v>0</v>
      </c>
      <c r="L5" s="42">
        <f t="shared" si="0"/>
        <v>34350</v>
      </c>
      <c r="M5" s="41">
        <f>MROUND(L5*Vendedor2!J$10,50)</f>
        <v>4450</v>
      </c>
      <c r="N5" s="42">
        <f t="shared" si="1"/>
        <v>1000</v>
      </c>
      <c r="O5" s="41">
        <f t="shared" ref="O5:O27" si="3">IFERROR(N5*85,0)</f>
        <v>85000</v>
      </c>
      <c r="P5" s="42">
        <f>Vendedor2!$F$5+Vendedor2!$F$9+Vendedor2!$F$13+Vendedor2!$F$17</f>
        <v>80000</v>
      </c>
      <c r="Q5">
        <v>5</v>
      </c>
      <c r="R5" s="41">
        <f t="shared" si="2"/>
        <v>-55100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50750</v>
      </c>
      <c r="D8" s="30">
        <f>IF(Vendedor5!$E$5="",0,Vendedor5!$E$5)</f>
        <v>0</v>
      </c>
      <c r="E8" s="180">
        <f>IF(Vendedor5!$C$9="",0,Vendedor5!$C$9)</f>
        <v>49600</v>
      </c>
      <c r="F8" s="30">
        <f>IF(Vendedor5!$E$9="",0,Vendedor5!$E$9)</f>
        <v>0</v>
      </c>
      <c r="G8" s="180">
        <f>IF(Vendedor5!$C$13="",0,Vendedor5!$C$13)</f>
        <v>14400</v>
      </c>
      <c r="H8" s="30">
        <f>IF(Vendedor5!$E$13="",0,Vendedor5!$E$13)</f>
        <v>250</v>
      </c>
      <c r="I8" s="180">
        <f>IF(Vendedor5!$C$17="",0,Vendedor5!$C$17)</f>
        <v>50900</v>
      </c>
      <c r="J8" s="30">
        <f>IF(Vendedor5!$E$17="",0,Vendedor5!$E$17)</f>
        <v>0</v>
      </c>
      <c r="L8" s="42">
        <f t="shared" ref="L8" si="4">C8+E8+G8+I8</f>
        <v>165650</v>
      </c>
      <c r="M8" s="41">
        <f>MROUND(L8*Vendedor5!J$12,50)</f>
        <v>19900</v>
      </c>
      <c r="N8" s="42">
        <f t="shared" ref="N8" si="5">D8+F8+H8+J8</f>
        <v>250</v>
      </c>
      <c r="O8" s="41">
        <f t="shared" si="3"/>
        <v>21250</v>
      </c>
      <c r="P8" s="42">
        <f>Vendedor5!$F$5+Vendedor5!$F$9+Vendedor5!$F$13+Vendedor5!$F$17</f>
        <v>20000</v>
      </c>
      <c r="Q8">
        <v>17</v>
      </c>
      <c r="R8" s="41">
        <f t="shared" ref="R8" si="6">+L8-M8-O8</f>
        <v>124500</v>
      </c>
    </row>
    <row r="9" spans="1:18" x14ac:dyDescent="0.35">
      <c r="A9" s="47">
        <v>6</v>
      </c>
      <c r="B9" s="178" t="str">
        <f>Vendedor6!$B$2</f>
        <v>MARTA ROSA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42650</v>
      </c>
      <c r="D10" s="30">
        <f>IF(Vendedor7!$E$5="",0,Vendedor7!$E$5)</f>
        <v>1400</v>
      </c>
      <c r="E10" s="180">
        <f>IF(Vendedor7!$C$9="",0,Vendedor7!$C$9)</f>
        <v>50300</v>
      </c>
      <c r="F10" s="30">
        <f>IF(Vendedor7!$E$9="",0,Vendedor7!$E$9)</f>
        <v>200</v>
      </c>
      <c r="G10" s="180">
        <f>IF(Vendedor7!$C$13="",0,Vendedor7!$C$13)</f>
        <v>50500</v>
      </c>
      <c r="H10" s="30">
        <f>IF(Vendedor7!$E$13="",0,Vendedor7!$E$13)</f>
        <v>0</v>
      </c>
      <c r="I10" s="180">
        <f>IF(Vendedor7!$C$17="",0,Vendedor7!$C$17)</f>
        <v>48400</v>
      </c>
      <c r="J10" s="30">
        <f>IF(Vendedor7!$E$17="",0,Vendedor7!$E$17)</f>
        <v>150</v>
      </c>
      <c r="L10" s="42">
        <f t="shared" si="7"/>
        <v>191850</v>
      </c>
      <c r="M10" s="41">
        <f>MROUND(L10*Vendedor7!J$15,50)</f>
        <v>23000</v>
      </c>
      <c r="N10" s="42">
        <f t="shared" ref="N10:N27" si="9">D10+F10+H10+J10</f>
        <v>1750</v>
      </c>
      <c r="O10" s="41">
        <f t="shared" si="3"/>
        <v>148750</v>
      </c>
      <c r="P10" s="42">
        <f>Vendedor7!$F$5+Vendedor7!$F$9+Vendedor7!$F$13+Vendedor7!$F$17</f>
        <v>148750</v>
      </c>
      <c r="R10" s="41">
        <f t="shared" si="8"/>
        <v>20100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34150</v>
      </c>
      <c r="D12" s="30">
        <f>IF(Vendedor9!$E$5="",0,Vendedor9!$E$5)</f>
        <v>0</v>
      </c>
      <c r="E12" s="180">
        <f>IF(Vendedor9!$C$9="",0,Vendedor9!$C$9)</f>
        <v>22200</v>
      </c>
      <c r="F12" s="30">
        <f>IF(Vendedor9!$E$9="",0,Vendedor9!$E$9)</f>
        <v>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56350</v>
      </c>
      <c r="M12" s="41">
        <f>MROUND(L12*Vendedor9!J$12,50)</f>
        <v>6750</v>
      </c>
      <c r="N12" s="42">
        <f t="shared" si="9"/>
        <v>0</v>
      </c>
      <c r="O12" s="41">
        <f t="shared" si="3"/>
        <v>0</v>
      </c>
      <c r="P12" s="42">
        <f>Vendedor9!$F$5+Vendedor9!$F$9+Vendedor9!$F$13+Vendedor9!$F$17</f>
        <v>0</v>
      </c>
      <c r="R12" s="41">
        <f t="shared" si="8"/>
        <v>49600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9600</v>
      </c>
      <c r="D13" s="30">
        <f>IF(Vendedor10!$E$5="",0,Vendedor10!$E$5)</f>
        <v>0</v>
      </c>
      <c r="E13" s="180">
        <f>IF(Vendedor10!$C$9="",0,Vendedor10!$C$9)</f>
        <v>11400</v>
      </c>
      <c r="F13" s="30">
        <f>IF(Vendedor10!$E$9="",0,Vendedor10!$E$9)</f>
        <v>0</v>
      </c>
      <c r="G13" s="180">
        <f>IF(Vendedor10!$C$13="",0,Vendedor10!$C$13)</f>
        <v>0</v>
      </c>
      <c r="H13" s="30">
        <f>IF(Vendedor10!$E$13="",0,Vendedor10!$E$13)</f>
        <v>0</v>
      </c>
      <c r="I13" s="180">
        <f>IF(Vendedor10!$C$17="",0,Vendedor10!$C$17)</f>
        <v>500</v>
      </c>
      <c r="J13" s="30">
        <f>IF(Vendedor10!$E$17="",0,Vendedor10!$E$17)</f>
        <v>0</v>
      </c>
      <c r="L13" s="42">
        <f t="shared" si="7"/>
        <v>21500</v>
      </c>
      <c r="M13" s="41">
        <f>MROUND(L13*Vendedor10!J$10,50)</f>
        <v>2600</v>
      </c>
      <c r="N13" s="42">
        <f t="shared" si="9"/>
        <v>0</v>
      </c>
      <c r="O13" s="41">
        <f t="shared" si="3"/>
        <v>0</v>
      </c>
      <c r="P13" s="42">
        <f>Vendedor10!$F$5+Vendedor10!$F$9+Vendedor10!$F$13+Vendedor10!$F$17</f>
        <v>0</v>
      </c>
      <c r="R13" s="41">
        <f t="shared" si="8"/>
        <v>18900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3300</v>
      </c>
      <c r="D16" s="30">
        <f>IF(Vendedor13!$E$5="",0,Vendedor13!$E$5)</f>
        <v>0</v>
      </c>
      <c r="E16" s="180">
        <f>IF(Vendedor13!$C$9="",0,Vendedor13!$C$9)</f>
        <v>2100</v>
      </c>
      <c r="F16" s="30">
        <f>IF(Vendedor13!$E$9="",0,Vendedor13!$E$9)</f>
        <v>0</v>
      </c>
      <c r="G16" s="180">
        <f>IF(Vendedor13!$C$13="",0,Vendedor13!$C$13)</f>
        <v>0</v>
      </c>
      <c r="H16" s="30">
        <f>IF(Vendedor13!$E$13="",0,Vendedor13!$E$13)</f>
        <v>0</v>
      </c>
      <c r="I16" s="180">
        <f>IF(Vendedor13!$C$17="",0,Vendedor13!$C$17)</f>
        <v>29800</v>
      </c>
      <c r="J16" s="30">
        <f>IF(Vendedor13!$E$17="",0,Vendedor13!$E$17)</f>
        <v>0</v>
      </c>
      <c r="L16" s="42">
        <f t="shared" si="7"/>
        <v>35200</v>
      </c>
      <c r="M16" s="41">
        <f>MROUND(L16*Vendedor13!J$12,50)</f>
        <v>4200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31000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0</v>
      </c>
      <c r="D17" s="30">
        <f>IF(Vendedor14!$E$5="",0,Vendedor14!$E$5)</f>
        <v>0</v>
      </c>
      <c r="E17" s="180">
        <f>IF(Vendedor14!$C$9="",0,Vendedor14!$C$9)</f>
        <v>0</v>
      </c>
      <c r="F17" s="30">
        <f>IF(Vendedor14!$E$9="",0,Vendedor14!$E$9)</f>
        <v>0</v>
      </c>
      <c r="G17" s="180">
        <f>IF(Vendedor14!$C$13="",0,Vendedor14!$C$13)</f>
        <v>0</v>
      </c>
      <c r="H17" s="30">
        <f>IF(Vendedor14!$E$13="",0,Vendedor14!$E$13)</f>
        <v>0</v>
      </c>
      <c r="I17" s="180">
        <f>IF(Vendedor14!$C$17="",0,Vendedor14!$C$17)</f>
        <v>0</v>
      </c>
      <c r="J17" s="30">
        <f>IF(Vendedor14!$E$17="",0,Vendedor14!$E$17)</f>
        <v>0</v>
      </c>
      <c r="L17" s="42">
        <f>C17+E17+G17+I17</f>
        <v>0</v>
      </c>
      <c r="M17" s="41">
        <f>MROUND(L17*Vendedor14!J$16,50)</f>
        <v>0</v>
      </c>
      <c r="N17" s="42">
        <f t="shared" si="9"/>
        <v>0</v>
      </c>
      <c r="O17" s="41">
        <f t="shared" si="3"/>
        <v>0</v>
      </c>
      <c r="P17" s="42">
        <f>Vendedor14!$F$5+Vendedor14!$F$9+Vendedor14!$F$13+Vendedor14!$F$17</f>
        <v>0</v>
      </c>
      <c r="R17" s="41">
        <f t="shared" si="8"/>
        <v>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0</v>
      </c>
      <c r="D18" s="30">
        <f>IF(Vendedor15!$E$5="",0,Vendedor15!$E$5)</f>
        <v>0</v>
      </c>
      <c r="E18" s="180">
        <f>IF(Vendedor15!$C$9="",0,Vendedor15!$C$9)</f>
        <v>0</v>
      </c>
      <c r="F18" s="30">
        <f>IF(Vendedor15!$E$9="",0,Vendedor15!$E$9)</f>
        <v>0</v>
      </c>
      <c r="G18" s="180">
        <f>IF(Vendedor15!$C$13="",0,Vendedor15!$C$13)</f>
        <v>0</v>
      </c>
      <c r="H18" s="30">
        <f>IF(Vendedor15!$E$13="",0,Vendedor15!$E$13)</f>
        <v>0</v>
      </c>
      <c r="I18" s="180">
        <f>IF(Vendedor15!$C$17="",0,Vendedor15!$C$17)</f>
        <v>0</v>
      </c>
      <c r="J18" s="30">
        <f>IF(Vendedor15!$E$17="",0,Vendedor15!$E$17)</f>
        <v>0</v>
      </c>
      <c r="L18" s="42">
        <f t="shared" ref="L18:L27" si="10">C18+E18+G18+I18</f>
        <v>0</v>
      </c>
      <c r="M18" s="41">
        <f>MROUND(L18*Vendedor15!J$16,50)</f>
        <v>0</v>
      </c>
      <c r="N18" s="42">
        <f t="shared" si="9"/>
        <v>0</v>
      </c>
      <c r="O18" s="41">
        <f t="shared" si="3"/>
        <v>0</v>
      </c>
      <c r="P18" s="42">
        <f>Vendedor15!$F$5+Vendedor15!$F$9+Vendedor15!$F$13+Vendedor15!$F$17</f>
        <v>0</v>
      </c>
      <c r="R18" s="41">
        <f t="shared" si="8"/>
        <v>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172650</v>
      </c>
      <c r="D32" s="44">
        <f t="shared" si="14"/>
        <v>2400</v>
      </c>
      <c r="E32" s="43">
        <f t="shared" si="14"/>
        <v>163200</v>
      </c>
      <c r="F32" s="44">
        <f t="shared" si="14"/>
        <v>200</v>
      </c>
      <c r="G32" s="43">
        <f t="shared" si="14"/>
        <v>72400</v>
      </c>
      <c r="H32" s="44">
        <f t="shared" si="14"/>
        <v>250</v>
      </c>
      <c r="I32" s="43">
        <f t="shared" si="14"/>
        <v>137550</v>
      </c>
      <c r="J32" s="44">
        <f t="shared" si="14"/>
        <v>150</v>
      </c>
      <c r="L32" s="45">
        <f>SUM(L4:L31)</f>
        <v>545800</v>
      </c>
      <c r="M32" s="45">
        <f>SUM(M7:M31)</f>
        <v>56450</v>
      </c>
      <c r="N32" s="95">
        <f>SUM(N4:N31)</f>
        <v>3000</v>
      </c>
      <c r="O32" s="46">
        <f>SUM(O4:O31)</f>
        <v>255000</v>
      </c>
      <c r="P32" s="140">
        <f>SUM(P4:P31)</f>
        <v>248750</v>
      </c>
      <c r="R32" s="79">
        <f>SUM(R4:R31)</f>
        <v>224600</v>
      </c>
    </row>
    <row r="33" spans="3:15" x14ac:dyDescent="0.35">
      <c r="D33" s="120">
        <f>+D32*85</f>
        <v>204000</v>
      </c>
      <c r="F33" s="120">
        <f>+F32*85</f>
        <v>17000</v>
      </c>
      <c r="H33" s="120">
        <f>+H32*85</f>
        <v>21250</v>
      </c>
      <c r="J33" s="120">
        <f>+J32*85</f>
        <v>12750</v>
      </c>
    </row>
    <row r="34" spans="3:15" ht="15" thickBot="1" x14ac:dyDescent="0.4"/>
    <row r="35" spans="3:15" x14ac:dyDescent="0.35">
      <c r="C35" s="267" t="s">
        <v>89</v>
      </c>
      <c r="D35" s="267"/>
      <c r="N35" s="149"/>
      <c r="O35" s="43"/>
    </row>
    <row r="36" spans="3:15" x14ac:dyDescent="0.35">
      <c r="C36" s="47" t="s">
        <v>28</v>
      </c>
      <c r="D36" s="30">
        <f>+C32+E32+G32+I32</f>
        <v>545800</v>
      </c>
      <c r="E36" s="43">
        <f>+D36-L4-L5-L6</f>
        <v>470550</v>
      </c>
    </row>
    <row r="37" spans="3:15" x14ac:dyDescent="0.35">
      <c r="C37" s="47" t="s">
        <v>33</v>
      </c>
      <c r="D37" s="48">
        <f>D36*13%</f>
        <v>70954</v>
      </c>
      <c r="E37">
        <f>+D37-M4-M5-M6</f>
        <v>61204</v>
      </c>
    </row>
    <row r="38" spans="3:15" x14ac:dyDescent="0.35">
      <c r="C38" s="47" t="s">
        <v>30</v>
      </c>
      <c r="D38" s="30">
        <f>SUM(O4:O27)</f>
        <v>255000</v>
      </c>
      <c r="G38" s="100"/>
    </row>
    <row r="39" spans="3:15" ht="15" thickBot="1" x14ac:dyDescent="0.4">
      <c r="C39" s="49" t="s">
        <v>4</v>
      </c>
      <c r="D39" s="80">
        <f>+D36-D37-D38</f>
        <v>219846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219846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79" t="s">
        <v>38</v>
      </c>
      <c r="B1" s="79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7" ht="14.5" customHeight="1" x14ac:dyDescent="0.35">
      <c r="C2" s="268" t="str">
        <f>IF(C33=0,"",CONCATENATE(PREMIOS!$B7," ",PREMIOS!$B8))</f>
        <v>75 Roja</v>
      </c>
      <c r="D2" s="269"/>
      <c r="E2" s="268" t="str">
        <f>IF(E33=0,"",CONCATENATE(PREMIOS!$B11," ",PREMIOS!$B12))</f>
        <v>23 Blanca</v>
      </c>
      <c r="F2" s="269"/>
      <c r="G2" s="268" t="str">
        <f>IF(G33=0,"",CONCATENATE(PREMIOS!$B15," ",PREMIOS!$B16))</f>
        <v>61 Blanca</v>
      </c>
      <c r="H2" s="269"/>
    </row>
    <row r="3" spans="1:17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MARTA ROSA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17300</v>
      </c>
      <c r="D10" s="30">
        <f>IF(Vendedor7!$E$8="",0,Vendedor7!$E$8)</f>
        <v>0</v>
      </c>
      <c r="E10" s="180">
        <f>IF(Vendedor7!$C$12="",0,Vendedor7!$C$12)</f>
        <v>7850</v>
      </c>
      <c r="F10" s="30">
        <f>IF(Vendedor7!$E$12="",0,Vendedor7!$E$12)</f>
        <v>850</v>
      </c>
      <c r="G10" s="180">
        <f>IF(Vendedor7!$C$16="",0,Vendedor7!$C$16)</f>
        <v>11850</v>
      </c>
      <c r="H10" s="30">
        <f>IF(Vendedor7!$E$16="",0,Vendedor7!$E$16)</f>
        <v>0</v>
      </c>
      <c r="J10" s="42">
        <f t="shared" si="1"/>
        <v>37000</v>
      </c>
      <c r="K10" s="41">
        <f>J10*Vendedor7!J$16</f>
        <v>3700</v>
      </c>
      <c r="L10" s="42">
        <f t="shared" si="2"/>
        <v>0</v>
      </c>
      <c r="M10" s="42">
        <f t="shared" si="3"/>
        <v>850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33300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2250</v>
      </c>
      <c r="D12" s="30">
        <f>IF(Vendedor9!$E$8="",0,Vendedor9!$E$8)</f>
        <v>250</v>
      </c>
      <c r="E12" s="180">
        <f>IF(Vendedor9!$C$12="",0,Vendedor9!$C$12)</f>
        <v>500</v>
      </c>
      <c r="F12" s="30">
        <f>IF(Vendedor9!$E$12="",0,Vendedor9!$E$12)</f>
        <v>0</v>
      </c>
      <c r="G12" s="180">
        <f>IF(Vendedor9!$C$16="",0,Vendedor9!$C$16)</f>
        <v>0</v>
      </c>
      <c r="H12" s="30">
        <f>IF(Vendedor9!$E$16="",0,Vendedor9!$E$16)</f>
        <v>0</v>
      </c>
      <c r="J12" s="42">
        <f t="shared" si="1"/>
        <v>2750</v>
      </c>
      <c r="K12" s="41">
        <f>J12*Vendedor9!J$13</f>
        <v>275</v>
      </c>
      <c r="L12" s="42">
        <f t="shared" si="2"/>
        <v>250</v>
      </c>
      <c r="M12" s="42">
        <f t="shared" si="3"/>
        <v>250</v>
      </c>
      <c r="N12" s="42">
        <f t="shared" si="0"/>
        <v>55000</v>
      </c>
      <c r="O12" s="42">
        <f>Vendedor9!$F$8+Vendedor9!$F$12+Vendedor9!$F$16</f>
        <v>50000</v>
      </c>
      <c r="Q12" s="42">
        <f t="shared" si="4"/>
        <v>-47525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1500</v>
      </c>
      <c r="D16" s="30">
        <f>IF(Vendedor13!$E$8="",0,Vendedor13!$E$8)</f>
        <v>0</v>
      </c>
      <c r="E16" s="180">
        <f>IF(Vendedor13!$C$12="",0,Vendedor13!$C$12)</f>
        <v>1000</v>
      </c>
      <c r="F16" s="30">
        <f>IF(Vendedor13!$E$12="",0,Vendedor13!$E$12)</f>
        <v>0</v>
      </c>
      <c r="G16" s="180">
        <f>IF(Vendedor13!$C$16="",0,Vendedor13!$C$16)</f>
        <v>0</v>
      </c>
      <c r="H16" s="30">
        <f>IF(Vendedor13!$E$16="",0,Vendedor13!$E$16)</f>
        <v>0</v>
      </c>
      <c r="J16" s="42">
        <f t="shared" si="1"/>
        <v>2500</v>
      </c>
      <c r="K16" s="41">
        <f>J16*Vendedor13!J$13</f>
        <v>250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2250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0</v>
      </c>
      <c r="D17" s="30">
        <f>IF(Vendedor14!$E$8="",0,Vendedor14!$E$8)</f>
        <v>0</v>
      </c>
      <c r="E17" s="180">
        <f>IF(Vendedor14!$C$12="",0,Vendedor14!$C$12)</f>
        <v>0</v>
      </c>
      <c r="F17" s="30">
        <f>IF(Vendedor14!$E$12="",0,Vendedor14!$E$12)</f>
        <v>0</v>
      </c>
      <c r="G17" s="180">
        <f>IF(Vendedor14!$C$16="",0,Vendedor14!$C$16)</f>
        <v>0</v>
      </c>
      <c r="H17" s="30">
        <f>IF(Vendedor14!$E$16="",0,Vendedor14!$E$16)</f>
        <v>0</v>
      </c>
      <c r="J17" s="42">
        <f t="shared" si="1"/>
        <v>0</v>
      </c>
      <c r="K17" s="41">
        <f>J17*Vendedor14!J$17</f>
        <v>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0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0</v>
      </c>
      <c r="D18" s="30">
        <f>IF(Vendedor15!$E$8="",0,Vendedor15!$E$8)</f>
        <v>0</v>
      </c>
      <c r="E18" s="180">
        <f>IF(Vendedor15!$C$12="",0,Vendedor15!$C$12)</f>
        <v>0</v>
      </c>
      <c r="F18" s="30">
        <f>IF(Vendedor15!$E$12="",0,Vendedor15!$E$12)</f>
        <v>0</v>
      </c>
      <c r="G18" s="180">
        <f>IF(Vendedor15!$C$16="",0,Vendedor15!$C$16)</f>
        <v>0</v>
      </c>
      <c r="H18" s="30">
        <f>IF(Vendedor15!$E$16="",0,Vendedor15!$E$16)</f>
        <v>0</v>
      </c>
      <c r="J18" s="42">
        <f t="shared" ref="J18" si="5">+C18+E18+G18</f>
        <v>0</v>
      </c>
      <c r="K18" s="41">
        <f>J18*Vendedor15!J$17</f>
        <v>0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0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-1500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-1500</v>
      </c>
      <c r="K27" s="41">
        <f>J27*Vendedor24!J$11</f>
        <v>-150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-1350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19550</v>
      </c>
      <c r="D33" s="44">
        <f>IF(PREMIOS!E8&lt;&gt;0,SUM(D4:D32),0)</f>
        <v>250</v>
      </c>
      <c r="E33" s="43">
        <f>SUM(E4:E32)</f>
        <v>9350</v>
      </c>
      <c r="F33" s="44">
        <f>IF(PREMIOS!E12&lt;&gt;0,SUM(F4:F32),0)</f>
        <v>0</v>
      </c>
      <c r="G33" s="43">
        <f>SUM(G4:G32)</f>
        <v>11850</v>
      </c>
      <c r="H33" s="44">
        <f>IF(PREMIOS!E16&lt;&gt;0,SUM(H4:H32),0)</f>
        <v>0</v>
      </c>
      <c r="J33" s="45">
        <f>SUM(J4:J32)</f>
        <v>40750</v>
      </c>
      <c r="K33" s="45">
        <f>SUM(K7:K32)</f>
        <v>4075</v>
      </c>
      <c r="L33" s="95">
        <f>SUM(L7:L32)</f>
        <v>250</v>
      </c>
      <c r="M33" s="95">
        <f>SUM(M7:M32)</f>
        <v>1100</v>
      </c>
      <c r="N33" s="95">
        <f>SUM(N4:N27)</f>
        <v>55000</v>
      </c>
      <c r="O33" s="95">
        <f>SUM(O4:O27)</f>
        <v>50000</v>
      </c>
      <c r="Q33" s="79">
        <f>SUM(Q4:Q32)</f>
        <v>-13325</v>
      </c>
    </row>
    <row r="34" spans="3:17" x14ac:dyDescent="0.35">
      <c r="D34" s="118">
        <f>IF(PREMIOS!$D8=PREMIOS!$J$10,D33*$G$38,IF(PREMIOS!$D8=PREMIOS!$J$11,D33*$F$38,IF(PREMIOS!$D8=PREMIOS!$J$12,0,"")))</f>
        <v>55000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4" t="s">
        <v>90</v>
      </c>
      <c r="D36" s="274"/>
      <c r="F36" s="275" t="s">
        <v>94</v>
      </c>
      <c r="G36" s="275" t="s">
        <v>95</v>
      </c>
    </row>
    <row r="37" spans="3:17" ht="14.5" customHeight="1" x14ac:dyDescent="0.35">
      <c r="C37" s="47" t="s">
        <v>28</v>
      </c>
      <c r="D37" s="30">
        <f>+C33+E33+G33</f>
        <v>40750</v>
      </c>
      <c r="E37" s="43">
        <f>+D37-J4-J5-J6</f>
        <v>40750</v>
      </c>
      <c r="F37" s="276"/>
      <c r="G37" s="276"/>
    </row>
    <row r="38" spans="3:17" ht="15" thickBot="1" x14ac:dyDescent="0.4">
      <c r="C38" s="47" t="s">
        <v>33</v>
      </c>
      <c r="D38" s="30">
        <f>D37*10%</f>
        <v>4075</v>
      </c>
      <c r="E38" s="43">
        <f>+D38-K4-K5-K6</f>
        <v>4075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55000</v>
      </c>
    </row>
    <row r="40" spans="3:17" ht="15" thickBot="1" x14ac:dyDescent="0.4">
      <c r="C40" s="49" t="s">
        <v>4</v>
      </c>
      <c r="D40" s="80">
        <f>+D37-D38-D39</f>
        <v>-18325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-18325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2" t="s">
        <v>113</v>
      </c>
      <c r="D1" s="273"/>
      <c r="E1" s="272" t="s">
        <v>98</v>
      </c>
      <c r="F1" s="273"/>
    </row>
    <row r="2" spans="1:14" ht="14.5" customHeight="1" x14ac:dyDescent="0.35">
      <c r="C2" s="268">
        <f>DigitaPRIMERA!C2</f>
        <v>19</v>
      </c>
      <c r="D2" s="269"/>
      <c r="E2" s="268">
        <f>DigitaPRIMERA!E2</f>
        <v>76</v>
      </c>
      <c r="F2" s="269"/>
    </row>
    <row r="3" spans="1:14" ht="14.5" customHeight="1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9800</v>
      </c>
      <c r="D4" s="78">
        <f>IF(Vendedor1!$E$19="",0,Vendedor1!$E$19)</f>
        <v>0</v>
      </c>
      <c r="E4" s="189">
        <f>IF(Vendedor1!$C$20="",0,Vendedor1!$C$20)</f>
        <v>1000</v>
      </c>
      <c r="F4" s="78">
        <f>IF(Vendedor1!$E$20="",0,Vendedor1!$E$20)</f>
        <v>0</v>
      </c>
      <c r="H4" s="42">
        <f>+C4+E4</f>
        <v>10800</v>
      </c>
      <c r="I4" s="41">
        <f>MROUND(H4*Vendedor1!J$9,50)</f>
        <v>1400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9400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8000</v>
      </c>
      <c r="D5" s="30">
        <f>IF(Vendedor2!$E$19="",0,Vendedor2!$E$19)</f>
        <v>0</v>
      </c>
      <c r="E5" s="180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8000</v>
      </c>
      <c r="I5" s="41">
        <f>MROUND(H5*Vendedor2!J$9,50)</f>
        <v>1050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6950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23950</v>
      </c>
      <c r="D8" s="30">
        <f>IF(Vendedor5!$E$19="",0,Vendedor5!$E$19)</f>
        <v>1000</v>
      </c>
      <c r="E8" s="180">
        <f>IF(Vendedor5!$C$20="",0,Vendedor5!$C$20)</f>
        <v>33300</v>
      </c>
      <c r="F8" s="30">
        <f>IF(Vendedor5!$E$20="",0,Vendedor5!$E$20)</f>
        <v>0</v>
      </c>
      <c r="H8" s="133">
        <f t="shared" si="1"/>
        <v>57250</v>
      </c>
      <c r="I8" s="148">
        <f>MROUND(H8*Vendedor5!J$11,50)</f>
        <v>6850</v>
      </c>
      <c r="J8" s="133">
        <f t="shared" si="2"/>
        <v>1000</v>
      </c>
      <c r="K8" s="133">
        <f t="shared" si="3"/>
        <v>85000</v>
      </c>
      <c r="L8" s="133">
        <f>Vendedor5!$F$19+Vendedor5!$F$20</f>
        <v>80000</v>
      </c>
      <c r="M8" s="155"/>
      <c r="N8" s="133">
        <f t="shared" si="0"/>
        <v>-29600</v>
      </c>
    </row>
    <row r="9" spans="1:14" x14ac:dyDescent="0.35">
      <c r="A9" s="203">
        <v>6</v>
      </c>
      <c r="B9" s="196" t="str">
        <f>Vendedor6!$B$2</f>
        <v>MARTA ROSA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33550</v>
      </c>
      <c r="D10" s="30">
        <f>IF(Vendedor7!$E$19="",0,Vendedor7!$E$19)</f>
        <v>350</v>
      </c>
      <c r="E10" s="180">
        <f>IF(Vendedor7!$C$20="",0,Vendedor7!$C$20)</f>
        <v>25550</v>
      </c>
      <c r="F10" s="30">
        <f>IF(Vendedor7!$E$20="",0,Vendedor7!$E$20)</f>
        <v>200</v>
      </c>
      <c r="H10" s="42">
        <f t="shared" si="1"/>
        <v>59100</v>
      </c>
      <c r="I10" s="41">
        <f>MROUND(H10*Vendedor7!J$14,50)</f>
        <v>7100</v>
      </c>
      <c r="J10" s="42">
        <f t="shared" si="2"/>
        <v>550</v>
      </c>
      <c r="K10" s="42">
        <f t="shared" si="3"/>
        <v>46750</v>
      </c>
      <c r="L10" s="42">
        <f>Vendedor7!$F$19+Vendedor7!$F$20</f>
        <v>46750</v>
      </c>
      <c r="N10" s="42">
        <f t="shared" si="0"/>
        <v>5250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45000</v>
      </c>
      <c r="D12" s="30">
        <f>IF(Vendedor9!$E$19="",0,Vendedor9!$E$19)</f>
        <v>200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45000</v>
      </c>
      <c r="I12" s="148">
        <f>MROUND(H12*Vendedor9!J$11,50)</f>
        <v>5400</v>
      </c>
      <c r="J12" s="133">
        <f t="shared" si="2"/>
        <v>200</v>
      </c>
      <c r="K12" s="133">
        <f t="shared" si="3"/>
        <v>17000</v>
      </c>
      <c r="L12" s="133">
        <f>Vendedor9!$F$19+Vendedor9!$F$20</f>
        <v>17000</v>
      </c>
      <c r="M12" s="155"/>
      <c r="N12" s="133">
        <f t="shared" si="0"/>
        <v>22600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2400</v>
      </c>
      <c r="D16" s="30">
        <f>IF(Vendedor13!$E$19="",0,Vendedor13!$E$19)</f>
        <v>0</v>
      </c>
      <c r="E16" s="180">
        <f>IF(Vendedor13!$C$20="",0,Vendedor13!$C$20)</f>
        <v>800</v>
      </c>
      <c r="F16" s="30">
        <f>IF(Vendedor13!$E$20="",0,Vendedor13!$E$20)</f>
        <v>0</v>
      </c>
      <c r="H16" s="133">
        <f t="shared" si="1"/>
        <v>3200</v>
      </c>
      <c r="I16" s="148">
        <f>MROUND(H16*Vendedor13!J$11,50)</f>
        <v>400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2800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0</v>
      </c>
      <c r="D17" s="30">
        <f>IF(Vendedor14!$E$19="",0,Vendedor14!$E$19)</f>
        <v>0</v>
      </c>
      <c r="E17" s="180">
        <f>IF(Vendedor14!$C$20="",0,Vendedor14!$C$20)</f>
        <v>0</v>
      </c>
      <c r="F17" s="30">
        <f>IF(Vendedor14!$E$20="",0,Vendedor14!$E$20)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Vendedor14!$F$19+Vendedor14!$F$20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0</v>
      </c>
      <c r="D18" s="30">
        <f>IF(Vendedor15!$E$19="",0,Vendedor15!$E$19)</f>
        <v>0</v>
      </c>
      <c r="E18" s="180">
        <f>IF(Vendedor15!$C$20="",0,Vendedor15!$C$20)</f>
        <v>0</v>
      </c>
      <c r="F18" s="30">
        <f>IF(Vendedor15!$E$20="",0,Vendedor15!$E$20)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Vendedor15!$F$19+Vendedor15!$F$20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122700</v>
      </c>
      <c r="D32" s="44">
        <f>SUM(D4:D31)</f>
        <v>1550</v>
      </c>
      <c r="E32" s="43">
        <f>SUM(E4:E31)</f>
        <v>60650</v>
      </c>
      <c r="F32" s="44">
        <f>SUM(F4:F31)</f>
        <v>200</v>
      </c>
      <c r="H32" s="95">
        <f>SUM(H4:H31)</f>
        <v>183350</v>
      </c>
      <c r="I32" s="45">
        <f>SUM(I7:I31)</f>
        <v>19750</v>
      </c>
      <c r="J32" s="95"/>
      <c r="K32" s="95">
        <f>SUM(K4:K31)</f>
        <v>148750</v>
      </c>
      <c r="L32" s="95">
        <f>SUM(L4:L31)</f>
        <v>143750</v>
      </c>
      <c r="N32" s="79">
        <f>SUM(N4:N31)</f>
        <v>17400</v>
      </c>
    </row>
    <row r="33" spans="3:6" x14ac:dyDescent="0.35">
      <c r="D33" s="99">
        <f>+D32*85</f>
        <v>131750</v>
      </c>
      <c r="F33" s="99">
        <f>+F32*85</f>
        <v>17000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183350</v>
      </c>
      <c r="E36" s="43">
        <f>+D36-H4-H5-H6</f>
        <v>164550</v>
      </c>
    </row>
    <row r="37" spans="3:6" x14ac:dyDescent="0.35">
      <c r="C37" s="47" t="s">
        <v>33</v>
      </c>
      <c r="D37" s="48">
        <f>D36*13%</f>
        <v>23835.5</v>
      </c>
      <c r="E37">
        <f>+D37-I4-I5-I6</f>
        <v>21385.5</v>
      </c>
    </row>
    <row r="38" spans="3:6" ht="15" thickBot="1" x14ac:dyDescent="0.4">
      <c r="C38" s="47" t="s">
        <v>30</v>
      </c>
      <c r="D38" s="30">
        <f>SUM(K4:K27)</f>
        <v>148750</v>
      </c>
    </row>
    <row r="39" spans="3:6" ht="15" thickBot="1" x14ac:dyDescent="0.4">
      <c r="C39" s="49" t="s">
        <v>4</v>
      </c>
      <c r="D39" s="80">
        <f>+D36-D37-D38</f>
        <v>10764.5</v>
      </c>
      <c r="F39" s="98">
        <f>+N32-D39</f>
        <v>6635.5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10764.5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2" t="s">
        <v>132</v>
      </c>
      <c r="D1" s="273"/>
      <c r="E1" s="272" t="s">
        <v>133</v>
      </c>
      <c r="F1" s="273"/>
      <c r="G1" s="272" t="s">
        <v>134</v>
      </c>
      <c r="H1" s="273"/>
    </row>
    <row r="2" spans="1:16" x14ac:dyDescent="0.35">
      <c r="C2" s="268" t="str">
        <f>DigitaHONDURAS!C2</f>
        <v>07</v>
      </c>
      <c r="D2" s="269"/>
      <c r="E2" s="268">
        <f>DigitaHONDURAS!E2</f>
        <v>98</v>
      </c>
      <c r="F2" s="269"/>
      <c r="G2" s="268">
        <f>DigitaHONDURAS!G2</f>
        <v>17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MARTA ROSA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12000</v>
      </c>
      <c r="D10" s="30">
        <f>IF(Vendedor7!$E$21="",0,Vendedor7!$E$21)</f>
        <v>250</v>
      </c>
      <c r="E10" s="180">
        <f>IF(Vendedor7!$C$22="",0,Vendedor7!$C$22)</f>
        <v>13000</v>
      </c>
      <c r="F10" s="30">
        <f>IF(Vendedor7!$E$22="",0,Vendedor7!$E$22)</f>
        <v>0</v>
      </c>
      <c r="G10" s="180">
        <f>IF(Vendedor7!$C$23="",0,Vendedor7!$C$23)</f>
        <v>19300</v>
      </c>
      <c r="H10" s="30">
        <f>IF(Vendedor7!$E$23="",0,Vendedor7!$E$23)</f>
        <v>0</v>
      </c>
      <c r="J10" s="42">
        <f t="shared" si="0"/>
        <v>44300</v>
      </c>
      <c r="K10" s="41">
        <f>MROUND(J10*Vendedor7!J$14,50)</f>
        <v>5300</v>
      </c>
      <c r="L10" s="42">
        <f t="shared" si="1"/>
        <v>250</v>
      </c>
      <c r="M10" s="42">
        <f t="shared" si="3"/>
        <v>21250</v>
      </c>
      <c r="N10" s="42">
        <f>Vendedor7!$F$21+Vendedor7!$F$22+Vendedor7!$F$23</f>
        <v>21250</v>
      </c>
      <c r="P10" s="42">
        <f t="shared" si="2"/>
        <v>17750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8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0</v>
      </c>
      <c r="D17" s="30">
        <f>IF(Vendedor14!$E$21="",0,Vendedor14!$E$21)</f>
        <v>0</v>
      </c>
      <c r="E17" s="180">
        <f>IF(Vendedor14!$C$22="",0,Vendedor14!$C$22)</f>
        <v>0</v>
      </c>
      <c r="F17" s="30">
        <f>IF(Vendedor14!$E$22="",0,Vendedor14!$E$22)</f>
        <v>0</v>
      </c>
      <c r="G17" s="180">
        <f>IF(Vendedor14!$C$23="",0,Vendedor14!$C$23)</f>
        <v>0</v>
      </c>
      <c r="H17" s="30">
        <f>IF(Vendedor14!$E$23="",0,Vendedor14!$E$23)</f>
        <v>0</v>
      </c>
      <c r="J17" s="42">
        <f t="shared" si="0"/>
        <v>0</v>
      </c>
      <c r="K17" s="41">
        <f>MROUND(J17*Vendedor14!J$15,50)</f>
        <v>0</v>
      </c>
      <c r="L17" s="42">
        <f t="shared" si="1"/>
        <v>0</v>
      </c>
      <c r="M17" s="42">
        <f t="shared" si="3"/>
        <v>0</v>
      </c>
      <c r="N17" s="42">
        <f>Vendedor14!$F$21+Vendedor14!$F$22+Vendedor14!$F$23</f>
        <v>0</v>
      </c>
      <c r="P17" s="42">
        <f t="shared" si="2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0</v>
      </c>
      <c r="D18" s="30">
        <f>IF(Vendedor15!$E$21="",0,Vendedor15!$E$21)</f>
        <v>0</v>
      </c>
      <c r="E18" s="180">
        <f>IF(Vendedor15!$C$22="",0,Vendedor15!$C$22)</f>
        <v>0</v>
      </c>
      <c r="F18" s="30">
        <f>IF(Vendedor15!$E$22="",0,Vendedor15!$E$22)</f>
        <v>0</v>
      </c>
      <c r="G18" s="180">
        <f>IF(Vendedor15!$C$23="",0,Vendedor15!$C$23)</f>
        <v>0</v>
      </c>
      <c r="H18" s="30">
        <f>IF(Vendedor15!$E$23="",0,Vendedor15!$E$23)</f>
        <v>0</v>
      </c>
      <c r="J18" s="42">
        <f t="shared" si="0"/>
        <v>0</v>
      </c>
      <c r="K18" s="41">
        <f>MROUND(J18*Vendedor15!J$15,50)</f>
        <v>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12000</v>
      </c>
      <c r="D32" s="44">
        <f t="shared" si="8"/>
        <v>250</v>
      </c>
      <c r="E32" s="43">
        <f t="shared" si="8"/>
        <v>13000</v>
      </c>
      <c r="F32" s="44">
        <f t="shared" si="8"/>
        <v>0</v>
      </c>
      <c r="G32" s="43">
        <f t="shared" si="8"/>
        <v>19300</v>
      </c>
      <c r="H32" s="44">
        <f t="shared" si="8"/>
        <v>0</v>
      </c>
      <c r="J32" s="95">
        <f>SUM(J4:J31)</f>
        <v>44300</v>
      </c>
      <c r="K32" s="45">
        <f>SUM(K7:K31)</f>
        <v>5300</v>
      </c>
      <c r="L32" s="95"/>
      <c r="M32" s="95">
        <f>SUM(M4:M31)</f>
        <v>21250</v>
      </c>
      <c r="N32" s="95">
        <f>SUM(N4:N31)</f>
        <v>21250</v>
      </c>
      <c r="P32" s="79">
        <f>SUM(P4:P31)</f>
        <v>17750</v>
      </c>
    </row>
    <row r="33" spans="3:8" x14ac:dyDescent="0.35">
      <c r="D33" s="99">
        <f>+D32*85</f>
        <v>21250</v>
      </c>
      <c r="F33" s="99">
        <f>+F32*85</f>
        <v>0</v>
      </c>
      <c r="H33" s="99">
        <f>+H32*85</f>
        <v>0</v>
      </c>
    </row>
    <row r="34" spans="3:8" ht="15" thickBot="1" x14ac:dyDescent="0.4"/>
    <row r="35" spans="3:8" x14ac:dyDescent="0.35">
      <c r="C35" s="267" t="s">
        <v>89</v>
      </c>
      <c r="D35" s="267"/>
    </row>
    <row r="36" spans="3:8" x14ac:dyDescent="0.35">
      <c r="C36" s="47" t="s">
        <v>28</v>
      </c>
      <c r="D36" s="30">
        <f>+C32+E32+G32</f>
        <v>44300</v>
      </c>
      <c r="E36" s="43">
        <f>+D36-J4-J5-J6</f>
        <v>44300</v>
      </c>
    </row>
    <row r="37" spans="3:8" x14ac:dyDescent="0.35">
      <c r="C37" s="47" t="s">
        <v>33</v>
      </c>
      <c r="D37" s="48">
        <f>D36*13%</f>
        <v>5759</v>
      </c>
      <c r="E37">
        <f>+D37-K4-K5-K6</f>
        <v>5759</v>
      </c>
    </row>
    <row r="38" spans="3:8" ht="15" thickBot="1" x14ac:dyDescent="0.4">
      <c r="C38" s="47" t="s">
        <v>30</v>
      </c>
      <c r="D38" s="30">
        <f>SUM(M4:M27)</f>
        <v>21250</v>
      </c>
      <c r="G38" s="100"/>
    </row>
    <row r="39" spans="3:8" ht="15" thickBot="1" x14ac:dyDescent="0.4">
      <c r="C39" s="49" t="s">
        <v>4</v>
      </c>
      <c r="D39" s="80">
        <f>+D36-D37-D38</f>
        <v>17291</v>
      </c>
      <c r="F39" s="98">
        <f>+P32-D39</f>
        <v>459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17291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2" t="s">
        <v>114</v>
      </c>
      <c r="D1" s="273"/>
      <c r="E1" s="272" t="s">
        <v>115</v>
      </c>
      <c r="F1" s="273"/>
    </row>
    <row r="2" spans="1:14" x14ac:dyDescent="0.35">
      <c r="C2" s="268">
        <f>DigitaDOMINICANA!C2</f>
        <v>60</v>
      </c>
      <c r="D2" s="269"/>
      <c r="E2" s="268">
        <f>DigitaDOMINICANA!E2</f>
        <v>50</v>
      </c>
      <c r="F2" s="269"/>
    </row>
    <row r="3" spans="1:14" ht="15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MARTA ROSA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37250</v>
      </c>
      <c r="D10" s="30">
        <f>IF(Vendedor7!$E$24="",0,Vendedor7!$E$24)</f>
        <v>0</v>
      </c>
      <c r="E10" s="180">
        <f>IF(Vendedor7!$C$25="",0,Vendedor7!$C$25)</f>
        <v>43500</v>
      </c>
      <c r="F10" s="30">
        <f>IF(Vendedor7!$E$25="",0,Vendedor7!$E$25)</f>
        <v>0</v>
      </c>
      <c r="H10" s="42">
        <f t="shared" si="1"/>
        <v>80750</v>
      </c>
      <c r="I10" s="41">
        <f>MROUND(H10*Vendedor7!J$14,50)</f>
        <v>9700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71050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37250</v>
      </c>
      <c r="D32" s="44">
        <f>SUM(D4:D31)</f>
        <v>0</v>
      </c>
      <c r="E32" s="43">
        <f>SUM(E4:E31)</f>
        <v>43500</v>
      </c>
      <c r="F32" s="44">
        <f>SUM(F4:F31)</f>
        <v>0</v>
      </c>
      <c r="H32" s="95">
        <f>SUM(H4:H31)</f>
        <v>80750</v>
      </c>
      <c r="I32" s="45">
        <f>SUM(I7:I31)</f>
        <v>9700</v>
      </c>
      <c r="J32" s="95"/>
      <c r="K32" s="95">
        <f>SUM(K4:K31)</f>
        <v>0</v>
      </c>
      <c r="L32" s="95">
        <f>SUM(L4:L31)</f>
        <v>0</v>
      </c>
      <c r="N32" s="79">
        <f>SUM(N4:N31)</f>
        <v>71050</v>
      </c>
    </row>
    <row r="33" spans="3:6" x14ac:dyDescent="0.35">
      <c r="D33" s="99">
        <f>+D32*85</f>
        <v>0</v>
      </c>
      <c r="F33" s="99">
        <f>+F32*85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80750</v>
      </c>
      <c r="E36" s="43">
        <f>+D36-H4-H5-H6</f>
        <v>80750</v>
      </c>
    </row>
    <row r="37" spans="3:6" x14ac:dyDescent="0.35">
      <c r="C37" s="47" t="s">
        <v>33</v>
      </c>
      <c r="D37" s="48">
        <f>D36*13%</f>
        <v>10497.5</v>
      </c>
      <c r="E37">
        <f>+D37-I4-I5-I6</f>
        <v>10497.5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0">
        <f>+D36-D37-D38</f>
        <v>70252.5</v>
      </c>
      <c r="F39" s="98">
        <f>+N32-D39</f>
        <v>797.5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70252.5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2" t="s">
        <v>109</v>
      </c>
      <c r="D1" s="273"/>
    </row>
    <row r="2" spans="1:12" x14ac:dyDescent="0.35">
      <c r="C2" s="268" t="str">
        <f>DigitaPANAMENA!C2</f>
        <v/>
      </c>
      <c r="D2" s="269"/>
    </row>
    <row r="3" spans="1:12" ht="15" thickBot="1" x14ac:dyDescent="0.4">
      <c r="C3" s="268"/>
      <c r="D3" s="269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MARTA ROSA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7" t="str">
        <f ca="1">CONCATENATE("Cuentas ALI ",TEXT('Ctas Banca'!I5,"dd-mm-yyyy"))</f>
        <v>Cuentas ALI 28-07-2026</v>
      </c>
      <c r="B1" s="277"/>
      <c r="C1" s="277"/>
      <c r="D1" s="277"/>
      <c r="E1" s="277"/>
      <c r="F1" s="277"/>
      <c r="G1" s="277"/>
      <c r="H1" s="21"/>
      <c r="I1" s="21"/>
    </row>
    <row r="2" spans="1:9" ht="15" thickBot="1" x14ac:dyDescent="0.4">
      <c r="A2" s="278" t="s">
        <v>137</v>
      </c>
      <c r="B2" s="278"/>
      <c r="C2" s="278"/>
      <c r="D2" s="278"/>
      <c r="E2" s="278"/>
      <c r="F2" s="278"/>
      <c r="G2" s="278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470550</v>
      </c>
      <c r="C4" s="157">
        <f>HojaNICA!M32</f>
        <v>56450</v>
      </c>
      <c r="D4" s="150">
        <f>HojaNICA!E37</f>
        <v>61204</v>
      </c>
      <c r="E4" s="150">
        <f>HojaNICA!P32</f>
        <v>248750</v>
      </c>
      <c r="F4" s="150">
        <f>HojaNICA!O32</f>
        <v>255000</v>
      </c>
      <c r="G4" s="151">
        <f t="shared" ref="G4:G10" si="0">+D4-C4+F4-E4</f>
        <v>11004</v>
      </c>
      <c r="H4" s="21"/>
      <c r="I4" s="182"/>
    </row>
    <row r="5" spans="1:9" x14ac:dyDescent="0.35">
      <c r="A5" s="28" t="s">
        <v>19</v>
      </c>
      <c r="B5" s="156">
        <f>HojaTICA!$E$36</f>
        <v>798750</v>
      </c>
      <c r="C5" s="157">
        <f>HojaTICA!K32</f>
        <v>98350</v>
      </c>
      <c r="D5" s="150">
        <f>HojaTICA!E37</f>
        <v>103860</v>
      </c>
      <c r="E5" s="150">
        <f>HojaTICA!N32</f>
        <v>991500</v>
      </c>
      <c r="F5" s="150">
        <f>HojaTICA!D38</f>
        <v>994500</v>
      </c>
      <c r="G5" s="151">
        <f t="shared" si="0"/>
        <v>8510</v>
      </c>
      <c r="H5" s="21"/>
      <c r="I5" s="182"/>
    </row>
    <row r="6" spans="1:9" x14ac:dyDescent="0.35">
      <c r="A6" s="28" t="s">
        <v>125</v>
      </c>
      <c r="B6" s="156">
        <f>HojaREVENTADO!$E$37</f>
        <v>40750</v>
      </c>
      <c r="C6" s="157">
        <f>HojaREVENTADO!K33</f>
        <v>4075</v>
      </c>
      <c r="D6" s="150">
        <f>HojaREVENTADO!E38</f>
        <v>4075</v>
      </c>
      <c r="E6" s="150">
        <f>HojaREVENTADO!O33</f>
        <v>50000</v>
      </c>
      <c r="F6" s="150">
        <f>HojaREVENTADO!N33</f>
        <v>55000</v>
      </c>
      <c r="G6" s="151">
        <f t="shared" si="0"/>
        <v>5000</v>
      </c>
      <c r="H6" s="21"/>
      <c r="I6" s="182"/>
    </row>
    <row r="7" spans="1:9" x14ac:dyDescent="0.35">
      <c r="A7" s="28" t="s">
        <v>96</v>
      </c>
      <c r="B7" s="156">
        <f>HojaPrimera!$E$36</f>
        <v>164550</v>
      </c>
      <c r="C7" s="157">
        <f>HojaPrimera!I32</f>
        <v>19750</v>
      </c>
      <c r="D7" s="150">
        <f>HojaPrimera!E37</f>
        <v>21385.5</v>
      </c>
      <c r="E7" s="150">
        <f>HojaPrimera!L32</f>
        <v>143750</v>
      </c>
      <c r="F7" s="150">
        <f>HojaPrimera!K32</f>
        <v>148750</v>
      </c>
      <c r="G7" s="151">
        <f t="shared" si="0"/>
        <v>6635.5</v>
      </c>
      <c r="H7" s="21"/>
      <c r="I7" s="21"/>
    </row>
    <row r="8" spans="1:9" x14ac:dyDescent="0.35">
      <c r="A8" s="28" t="s">
        <v>104</v>
      </c>
      <c r="B8" s="156">
        <f>HojaHonduras!$E$36</f>
        <v>44300</v>
      </c>
      <c r="C8" s="157">
        <f>HojaHonduras!K32</f>
        <v>5300</v>
      </c>
      <c r="D8" s="150">
        <f>HojaHonduras!E37</f>
        <v>5759</v>
      </c>
      <c r="E8" s="150">
        <f>HojaHonduras!N32</f>
        <v>21250</v>
      </c>
      <c r="F8" s="150">
        <f>HojaHonduras!M32</f>
        <v>21250</v>
      </c>
      <c r="G8" s="151">
        <f t="shared" si="0"/>
        <v>459</v>
      </c>
      <c r="H8" s="21"/>
      <c r="I8" s="21"/>
    </row>
    <row r="9" spans="1:9" x14ac:dyDescent="0.35">
      <c r="A9" s="28" t="s">
        <v>20</v>
      </c>
      <c r="B9" s="156">
        <f>HojaDominicana!$E$36</f>
        <v>80750</v>
      </c>
      <c r="C9" s="157">
        <f>HojaDominicana!I32</f>
        <v>9700</v>
      </c>
      <c r="D9" s="150">
        <f>HojaDominicana!E37</f>
        <v>10497.5</v>
      </c>
      <c r="E9" s="150">
        <f>HojaDominicana!L32</f>
        <v>0</v>
      </c>
      <c r="F9" s="150">
        <f>HojaDominicana!K32</f>
        <v>0</v>
      </c>
      <c r="G9" s="151">
        <f t="shared" si="0"/>
        <v>797.5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1599650</v>
      </c>
      <c r="C11" s="175">
        <f>SUM(C4:C10)</f>
        <v>193625</v>
      </c>
      <c r="D11" s="175">
        <f t="shared" ref="D11:F11" si="1">SUM(D4:D10)</f>
        <v>206781</v>
      </c>
      <c r="E11" s="175">
        <f t="shared" si="1"/>
        <v>1455250</v>
      </c>
      <c r="F11" s="175">
        <f t="shared" si="1"/>
        <v>1474500</v>
      </c>
      <c r="G11" s="176">
        <f>SUM(G4:G10)</f>
        <v>32406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f>IF(F16&lt;&gt;0,35000,0)</f>
        <v>35000</v>
      </c>
      <c r="H12" s="141">
        <f>+G11-G12</f>
        <v>-2594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8" t="s">
        <v>136</v>
      </c>
      <c r="D14" s="278"/>
      <c r="E14" s="278"/>
      <c r="F14" s="278"/>
      <c r="G14" s="278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241750</v>
      </c>
      <c r="E16" s="157">
        <f>+Vendedor1!D21</f>
        <v>31427.5</v>
      </c>
      <c r="F16" s="158">
        <f>IF(D16&lt;&gt;0,15000,0)</f>
        <v>15000</v>
      </c>
      <c r="G16" s="151">
        <f>+E16-F16</f>
        <v>16427.5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190550</v>
      </c>
      <c r="E17" s="157">
        <f>+Vendedor2!D21</f>
        <v>24771.5</v>
      </c>
      <c r="F17" s="158">
        <f>IF(D17&lt;&gt;0,15000,0)</f>
        <v>15000</v>
      </c>
      <c r="G17" s="151">
        <f>+E17-F17</f>
        <v>9771.5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432300</v>
      </c>
      <c r="E19" s="159">
        <f>SUM(E16:E18)</f>
        <v>56199</v>
      </c>
      <c r="F19" s="160">
        <f>SUM(F16:F18)</f>
        <v>30000</v>
      </c>
      <c r="G19" s="161">
        <f>SUM(G16:G18)</f>
        <v>26199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16250</v>
      </c>
      <c r="E22" s="157">
        <f>-Vendedor24!D27</f>
        <v>1920</v>
      </c>
      <c r="F22" s="158">
        <f>-Vendedor24!F27</f>
        <v>0</v>
      </c>
      <c r="G22" s="151">
        <f>+D22-E22-F22</f>
        <v>14330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37935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zoomScaleNormal="100" workbookViewId="0">
      <selection activeCell="K12" sqref="K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9" t="str">
        <f ca="1">CONCATENATE("Tiempos Pana ",TEXT(I5,"dd-mm-yyyy"))</f>
        <v>Tiempos Pana 28-07-2026</v>
      </c>
      <c r="B2" s="279"/>
      <c r="C2" s="279"/>
      <c r="D2" s="279"/>
      <c r="E2" s="279"/>
      <c r="F2" s="279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545800</v>
      </c>
      <c r="C5" s="150">
        <f>HojaNICA!D37</f>
        <v>70954</v>
      </c>
      <c r="D5" s="150">
        <f>HojaNICA!D38</f>
        <v>255000</v>
      </c>
      <c r="E5" s="150"/>
      <c r="F5" s="151">
        <f>+B5-C5-D5+E5</f>
        <v>219846</v>
      </c>
      <c r="H5" s="249" t="s">
        <v>105</v>
      </c>
      <c r="I5" s="243">
        <f ca="1">TODAY()-1</f>
        <v>46231</v>
      </c>
      <c r="O5" s="119"/>
    </row>
    <row r="6" spans="1:15" ht="15" thickBot="1" x14ac:dyDescent="0.4">
      <c r="A6" s="47" t="s">
        <v>36</v>
      </c>
      <c r="B6" s="150">
        <f>HojaTICA!D36</f>
        <v>1137000</v>
      </c>
      <c r="C6" s="150">
        <f>HojaTICA!D37</f>
        <v>147810</v>
      </c>
      <c r="D6" s="150">
        <f>HojaTICA!D38</f>
        <v>994500</v>
      </c>
      <c r="E6" s="150"/>
      <c r="F6" s="151">
        <f t="shared" ref="F6:F11" si="0">+B6-C6-D6+E6</f>
        <v>-5310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40750</v>
      </c>
      <c r="C7" s="150">
        <f>HojaREVENTADO!D38</f>
        <v>4075</v>
      </c>
      <c r="D7" s="150">
        <f>HojaREVENTADO!D39</f>
        <v>55000</v>
      </c>
      <c r="E7" s="150"/>
      <c r="F7" s="151">
        <f t="shared" si="0"/>
        <v>-18325</v>
      </c>
    </row>
    <row r="8" spans="1:15" x14ac:dyDescent="0.35">
      <c r="A8" s="47" t="s">
        <v>96</v>
      </c>
      <c r="B8" s="150">
        <f>HojaPrimera!$D36</f>
        <v>183350</v>
      </c>
      <c r="C8" s="150">
        <f>HojaPrimera!$D37</f>
        <v>23835.5</v>
      </c>
      <c r="D8" s="150">
        <f>HojaPrimera!$D38</f>
        <v>148750</v>
      </c>
      <c r="E8" s="150"/>
      <c r="F8" s="151">
        <f t="shared" si="0"/>
        <v>10764.5</v>
      </c>
      <c r="H8" s="249" t="s">
        <v>153</v>
      </c>
    </row>
    <row r="9" spans="1:15" ht="15" thickBot="1" x14ac:dyDescent="0.4">
      <c r="A9" s="47" t="s">
        <v>104</v>
      </c>
      <c r="B9" s="150">
        <f>HojaHonduras!$D36</f>
        <v>44300</v>
      </c>
      <c r="C9" s="150">
        <f>HojaHonduras!$D37</f>
        <v>5759</v>
      </c>
      <c r="D9" s="150">
        <f>HojaHonduras!$D38</f>
        <v>21250</v>
      </c>
      <c r="E9" s="150"/>
      <c r="F9" s="151">
        <f t="shared" si="0"/>
        <v>17291</v>
      </c>
      <c r="H9" s="250">
        <f>+K12-K10-H6</f>
        <v>294519</v>
      </c>
    </row>
    <row r="10" spans="1:15" ht="15" thickBot="1" x14ac:dyDescent="0.4">
      <c r="A10" s="47" t="s">
        <v>20</v>
      </c>
      <c r="B10" s="150">
        <f>HojaDominicana!$D36</f>
        <v>80750</v>
      </c>
      <c r="C10" s="150">
        <f>HojaDominicana!$D37</f>
        <v>10497.5</v>
      </c>
      <c r="D10" s="150">
        <f>HojaDominicana!$D38</f>
        <v>0</v>
      </c>
      <c r="E10" s="150"/>
      <c r="F10" s="151">
        <f t="shared" si="0"/>
        <v>70252.5</v>
      </c>
      <c r="H10" s="154"/>
      <c r="J10" t="s">
        <v>148</v>
      </c>
      <c r="K10" s="252">
        <v>4311763.59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154</v>
      </c>
      <c r="J11" t="s">
        <v>158</v>
      </c>
      <c r="K11" s="253">
        <f>+K10+F12+H6</f>
        <v>4606282.59</v>
      </c>
    </row>
    <row r="12" spans="1:15" ht="16" thickBot="1" x14ac:dyDescent="0.4">
      <c r="A12" s="144" t="s">
        <v>5</v>
      </c>
      <c r="B12" s="152">
        <f>SUM(B5:B11)</f>
        <v>2031950</v>
      </c>
      <c r="C12" s="152">
        <f>SUM(C5:C11)</f>
        <v>262931</v>
      </c>
      <c r="D12" s="152">
        <f>SUM(D5:D11)</f>
        <v>1474500</v>
      </c>
      <c r="E12" s="152"/>
      <c r="F12" s="255">
        <f>SUM(F5:F11)</f>
        <v>294519</v>
      </c>
      <c r="H12" s="251">
        <f>K12</f>
        <v>4606282.59</v>
      </c>
      <c r="J12" t="s">
        <v>140</v>
      </c>
      <c r="K12" s="254">
        <f>-1633887.48-266983.91+4233254.5+2273899.48</f>
        <v>4606282.59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VENTANA</v>
      </c>
      <c r="C2" s="281"/>
      <c r="D2" s="282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190050</v>
      </c>
      <c r="K4" s="231">
        <f t="shared" ref="K4" si="0">D7+D11+D15</f>
        <v>24706.5</v>
      </c>
      <c r="L4" s="220">
        <f>F7+F11+F15</f>
        <v>72250</v>
      </c>
    </row>
    <row r="5" spans="1:12" x14ac:dyDescent="0.35">
      <c r="A5" s="28" t="s">
        <v>43</v>
      </c>
      <c r="B5" s="132">
        <f>IF(DigitaNICA!C2&lt;&gt;"",DigitaNICA!C2,"")</f>
        <v>53</v>
      </c>
      <c r="C5" s="29">
        <f>IF(DigitaNICA!C4&lt;&gt;"",DigitaNICA!C4,"")</f>
        <v>18000</v>
      </c>
      <c r="D5" s="42">
        <f>IF(C5="",0,C5*J$10)</f>
        <v>2340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15660</v>
      </c>
      <c r="I5" s="241" t="s">
        <v>37</v>
      </c>
      <c r="J5" s="221">
        <f>SUM(IF(C5="",0,C5),IF(C9="",0,C9),IF(C13="",0,C13),IF(C17="",0,C17))</f>
        <v>40900</v>
      </c>
      <c r="K5" s="225">
        <f t="shared" ref="K5" si="2">D5+D9+D13+D17</f>
        <v>5317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10800</v>
      </c>
      <c r="K6" s="228">
        <f>D19+D20</f>
        <v>1404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75</v>
      </c>
      <c r="C7" s="29">
        <f>IF(DigitaTICA!C4&lt;&gt;"",DigitaTICA!C4,"")</f>
        <v>57500</v>
      </c>
      <c r="D7" s="42">
        <f>IF(C7="",0,C7*J$9)</f>
        <v>7475</v>
      </c>
      <c r="E7" s="29">
        <f>IF(DigitaTICA!D4&lt;&gt;"",DigitaTICA!D4,"")</f>
        <v>0</v>
      </c>
      <c r="F7" s="42">
        <f>IF(E7="",0,E7*PREMIOS!F7)</f>
        <v>0</v>
      </c>
      <c r="G7" s="30">
        <f t="shared" si="1"/>
        <v>50025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2">
        <f>IF(DigitaNICA!E2&lt;&gt;"",DigitaNICA!E2,"")</f>
        <v>36</v>
      </c>
      <c r="C9" s="29">
        <f>IF(DigitaNICA!E4&lt;&gt;"",DigitaNICA!E4,"")</f>
        <v>11450</v>
      </c>
      <c r="D9" s="42">
        <f>IF(C9="",0,C9*J$10)</f>
        <v>1488.5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9961.5</v>
      </c>
      <c r="I9" s="76" t="s">
        <v>36</v>
      </c>
      <c r="J9" s="77">
        <v>0.13</v>
      </c>
      <c r="K9" s="78">
        <f>MROUND(D7+D11+D15,50)</f>
        <v>24700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5300</v>
      </c>
    </row>
    <row r="11" spans="1:12" x14ac:dyDescent="0.35">
      <c r="A11" s="28" t="s">
        <v>59</v>
      </c>
      <c r="B11" s="132">
        <f>IF(DigitaTICA!E2&lt;&gt;"",DigitaTICA!E2,"")</f>
        <v>23</v>
      </c>
      <c r="C11" s="29">
        <f>IF(DigitaTICA!E4&lt;&gt;"",DigitaTICA!E4,"")</f>
        <v>51100</v>
      </c>
      <c r="D11" s="42">
        <f>IF(C11="",0,C11*J$9)</f>
        <v>6643</v>
      </c>
      <c r="E11" s="29">
        <f>IF(DigitaTICA!F4&lt;&gt;"",DigitaTICA!F4,"")</f>
        <v>850</v>
      </c>
      <c r="F11" s="42">
        <f>IF(E11="",0,E11*PREMIOS!F11)</f>
        <v>72250</v>
      </c>
      <c r="G11" s="30">
        <f t="shared" si="1"/>
        <v>-27793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1400</v>
      </c>
    </row>
    <row r="13" spans="1:12" x14ac:dyDescent="0.35">
      <c r="A13" s="28" t="s">
        <v>50</v>
      </c>
      <c r="B13" s="132">
        <f>IF(DigitaNICA!G2&lt;&gt;"",DigitaNICA!G2,"")</f>
        <v>37</v>
      </c>
      <c r="C13" s="29">
        <f>IF(DigitaNICA!G4&lt;&gt;"",DigitaNICA!G4,"")</f>
        <v>7500</v>
      </c>
      <c r="D13" s="42">
        <f>IF(C13="",0,C13*J$10)</f>
        <v>975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6525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61</v>
      </c>
      <c r="C15" s="29">
        <f>IF(DigitaTICA!G4&lt;&gt;"",DigitaTICA!G4,"")</f>
        <v>81450</v>
      </c>
      <c r="D15" s="42">
        <f>IF(C15="",0,C15*J$9)</f>
        <v>10588.5</v>
      </c>
      <c r="E15" s="29">
        <f>IF(DigitaTICA!H4&lt;&gt;"",DigitaTICA!H4,"")</f>
        <v>0</v>
      </c>
      <c r="F15" s="42">
        <f>IF(E15="",0,E15*PREMIOS!F15)</f>
        <v>0</v>
      </c>
      <c r="G15" s="30">
        <f t="shared" si="3"/>
        <v>70861.5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34</v>
      </c>
      <c r="C17" s="29">
        <f>IF(DigitaNICA!I4&lt;&gt;"",DigitaNICA!I4,"")</f>
        <v>3950</v>
      </c>
      <c r="D17" s="42">
        <f>IF(C17="",0,C17*J$10)</f>
        <v>513.5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3436.5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19</v>
      </c>
      <c r="C19" s="29">
        <f>IF(DigitaPRIMERA!C4&lt;&gt;"",DigitaPRIMERA!C4,"")</f>
        <v>9800</v>
      </c>
      <c r="D19" s="42">
        <f>IF(C19="",0,C19*J$12)</f>
        <v>1274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8526</v>
      </c>
    </row>
    <row r="20" spans="1:7" x14ac:dyDescent="0.35">
      <c r="A20" s="28" t="s">
        <v>98</v>
      </c>
      <c r="B20" s="132">
        <f>IF(DigitaPRIMERA!E2&lt;&gt;"",DigitaPRIMERA!E2,"")</f>
        <v>76</v>
      </c>
      <c r="C20" s="29">
        <f>IF(DigitaPRIMERA!E4&lt;&gt;"",DigitaPRIMERA!E4,"")</f>
        <v>1000</v>
      </c>
      <c r="D20" s="42">
        <f>IF(C20="",0,C20*J$12)</f>
        <v>130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870</v>
      </c>
    </row>
    <row r="21" spans="1:7" ht="15" thickBot="1" x14ac:dyDescent="0.4">
      <c r="A21" s="121" t="s">
        <v>5</v>
      </c>
      <c r="B21" s="128"/>
      <c r="C21" s="122">
        <f>SUM(C5:C20)</f>
        <v>241750</v>
      </c>
      <c r="D21" s="122">
        <f t="shared" ref="D21:G21" si="6">SUM(D5:D20)</f>
        <v>31427.5</v>
      </c>
      <c r="E21" s="122">
        <f t="shared" si="6"/>
        <v>850</v>
      </c>
      <c r="F21" s="122">
        <f t="shared" si="6"/>
        <v>72250</v>
      </c>
      <c r="G21" s="123">
        <f t="shared" si="6"/>
        <v>138072.5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PUESTO 2</v>
      </c>
      <c r="C2" s="281"/>
      <c r="D2" s="282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148200</v>
      </c>
      <c r="K4" s="231">
        <f t="shared" ref="K4" si="0">D7+D11+D15</f>
        <v>19266</v>
      </c>
      <c r="L4" s="220">
        <f>F7+F11+F15</f>
        <v>174250</v>
      </c>
    </row>
    <row r="5" spans="1:12" x14ac:dyDescent="0.35">
      <c r="A5" s="28" t="s">
        <v>43</v>
      </c>
      <c r="B5" s="132">
        <f>IF(DigitaNICA!C2&lt;&gt;"",DigitaNICA!C2,"")</f>
        <v>53</v>
      </c>
      <c r="C5" s="29">
        <f>IF(DigitaNICA!C5&lt;&gt;"",DigitaNICA!C5,"")</f>
        <v>14200</v>
      </c>
      <c r="D5" s="42">
        <f>IF(C5="",0,C5*J$10)</f>
        <v>1846</v>
      </c>
      <c r="E5" s="29">
        <f>IF(DigitaNICA!D5&lt;&gt;"",DigitaNICA!D5,"")</f>
        <v>1000</v>
      </c>
      <c r="F5" s="42">
        <f>IF(E5="",0,E5*PREMIOS!E5)</f>
        <v>80000</v>
      </c>
      <c r="G5" s="30">
        <f t="shared" ref="G5:G12" si="1">IF(OR(C5="",E5=""),0,C5-D5-F5)</f>
        <v>-67646</v>
      </c>
      <c r="I5" s="241" t="s">
        <v>37</v>
      </c>
      <c r="J5" s="221">
        <f>SUM(IF(C5="",0,C5),IF(C9="",0,C9),IF(C13="",0,C13),IF(C17="",0,C17))</f>
        <v>34350</v>
      </c>
      <c r="K5" s="225">
        <f t="shared" ref="K5" si="2">D5+D9+D13+D17</f>
        <v>4465.5</v>
      </c>
      <c r="L5" s="222">
        <f>F5+F9+F13+F17</f>
        <v>80000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8000</v>
      </c>
      <c r="K6" s="228">
        <f>D19+D20</f>
        <v>1040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75</v>
      </c>
      <c r="C7" s="29">
        <f>IF(DigitaTICA!C5&lt;&gt;"",DigitaTICA!C5,"")</f>
        <v>62200</v>
      </c>
      <c r="D7" s="42">
        <f>IF(C7="",0,C7*J$9)</f>
        <v>8086</v>
      </c>
      <c r="E7" s="29">
        <f>IF(DigitaTICA!D5&lt;&gt;"",DigitaTICA!D5,"")</f>
        <v>1500</v>
      </c>
      <c r="F7" s="42">
        <f>IF(E7="",0,E7*PREMIOS!F7)</f>
        <v>127500</v>
      </c>
      <c r="G7" s="30">
        <f t="shared" si="1"/>
        <v>-73386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2">
        <f>IF(DigitaNICA!E2&lt;&gt;"",DigitaNICA!E2,"")</f>
        <v>36</v>
      </c>
      <c r="C9" s="29">
        <f>IF(DigitaNICA!E5&lt;&gt;"",DigitaNICA!E5,"")</f>
        <v>16150</v>
      </c>
      <c r="D9" s="42">
        <f>IF(C9="",0,C9*J$10)</f>
        <v>2099.5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14050.5</v>
      </c>
      <c r="I9" s="60" t="s">
        <v>36</v>
      </c>
      <c r="J9" s="61">
        <v>0.13</v>
      </c>
      <c r="K9" s="62">
        <f>MROUND(D7+D11+D15,50)</f>
        <v>19250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4450</v>
      </c>
    </row>
    <row r="11" spans="1:12" x14ac:dyDescent="0.35">
      <c r="A11" s="28" t="s">
        <v>59</v>
      </c>
      <c r="B11" s="132">
        <f>IF(DigitaTICA!E2&lt;&gt;"",DigitaTICA!E2,"")</f>
        <v>23</v>
      </c>
      <c r="C11" s="29">
        <f>IF(DigitaTICA!E5&lt;&gt;"",DigitaTICA!E5,"")</f>
        <v>25600</v>
      </c>
      <c r="D11" s="42">
        <f>IF(C11="",0,C11*J$9)</f>
        <v>3328</v>
      </c>
      <c r="E11" s="29">
        <f>IF(DigitaTICA!F5&lt;&gt;"",DigitaTICA!F5,"")</f>
        <v>550</v>
      </c>
      <c r="F11" s="42">
        <f>IF(E11="",0,E11*PREMIOS!F11)</f>
        <v>46750</v>
      </c>
      <c r="G11" s="30">
        <f t="shared" si="1"/>
        <v>-24478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1050</v>
      </c>
    </row>
    <row r="13" spans="1:12" x14ac:dyDescent="0.35">
      <c r="A13" s="28" t="s">
        <v>50</v>
      </c>
      <c r="B13" s="132">
        <f>IF(DigitaNICA!G2&lt;&gt;"",DigitaNICA!G2,"")</f>
        <v>37</v>
      </c>
      <c r="C13" s="29" t="str">
        <f>IF(DigitaNICA!G5&lt;&gt;"",DigitaNICA!G5,"")</f>
        <v/>
      </c>
      <c r="D13" s="42">
        <f>IF(C13="",0,C13*J$10)</f>
        <v>0</v>
      </c>
      <c r="E13" s="29" t="str">
        <f>IF(DigitaNICA!H5&lt;&gt;"",DigitaNICA!H5,"")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61</v>
      </c>
      <c r="C15" s="29">
        <f>IF(DigitaTICA!G5&lt;&gt;"",DigitaTICA!G5,"")</f>
        <v>60400</v>
      </c>
      <c r="D15" s="42">
        <f>IF(C15="",0,C15*J$9)</f>
        <v>7852</v>
      </c>
      <c r="E15" s="29">
        <f>IF(DigitaTICA!H5&lt;&gt;"",DigitaTICA!H5,"")</f>
        <v>0</v>
      </c>
      <c r="F15" s="42">
        <f>IF(E15="",0,E15*PREMIOS!F15)</f>
        <v>0</v>
      </c>
      <c r="G15" s="30">
        <f t="shared" si="3"/>
        <v>52548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34</v>
      </c>
      <c r="C17" s="29">
        <f>IF(DigitaNICA!I5&lt;&gt;"",DigitaNICA!I5,"")</f>
        <v>4000</v>
      </c>
      <c r="D17" s="42">
        <f>IF(C17="",0,C17*J$10)</f>
        <v>520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3480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19</v>
      </c>
      <c r="C19" s="29">
        <f>IF(DigitaPRIMERA!C5&lt;&gt;"",DigitaPRIMERA!C5,"")</f>
        <v>8000</v>
      </c>
      <c r="D19" s="42">
        <f>IF(C19="",0,C19*J$12)</f>
        <v>1040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6960</v>
      </c>
    </row>
    <row r="20" spans="1:7" x14ac:dyDescent="0.35">
      <c r="A20" s="28" t="s">
        <v>98</v>
      </c>
      <c r="B20" s="132">
        <f>IF(DigitaPRIMERA!E2&lt;&gt;"",DigitaPRIMERA!E2,"")</f>
        <v>76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190550</v>
      </c>
      <c r="D21" s="68">
        <f t="shared" ref="D21:G21" si="4">SUM(D5:D20)</f>
        <v>24771.5</v>
      </c>
      <c r="E21" s="68">
        <f t="shared" si="4"/>
        <v>3050</v>
      </c>
      <c r="F21" s="68">
        <f t="shared" si="4"/>
        <v>254250</v>
      </c>
      <c r="G21" s="88">
        <f t="shared" si="4"/>
        <v>-88471.5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152</v>
      </c>
      <c r="C2" s="281"/>
      <c r="D2" s="282"/>
      <c r="J2" s="21" t="s">
        <v>152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53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75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2">
        <f>IF(DigitaNICA!E2&lt;&gt;"",DigitaNICA!E2,"")</f>
        <v>36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23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>
        <f>IF(DigitaNICA!G2&lt;&gt;"",DigitaNICA!G2,"")</f>
        <v>37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61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34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19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76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Nuevo 2</v>
      </c>
      <c r="C2" s="281"/>
      <c r="D2" s="282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53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75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2">
        <f>IF(DigitaNICA!E2&lt;&gt;"",DigitaNICA!E2,"")</f>
        <v>36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23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37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61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34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4" t="str">
        <f>J2</f>
        <v>YOYO</v>
      </c>
      <c r="C2" s="284"/>
      <c r="D2" s="285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151550</v>
      </c>
      <c r="K4" s="231">
        <f t="shared" ref="K4" si="0">D7+D11+D15</f>
        <v>18186</v>
      </c>
      <c r="L4" s="220">
        <f>F7+F11+F15</f>
        <v>212500</v>
      </c>
    </row>
    <row r="5" spans="1:12" x14ac:dyDescent="0.35">
      <c r="A5" s="28" t="s">
        <v>43</v>
      </c>
      <c r="B5" s="132">
        <f>IF(DigitaNICA!C2&lt;&gt;"",DigitaNICA!C2,"")</f>
        <v>53</v>
      </c>
      <c r="C5" s="29">
        <f>IF(DigitaNICA!C8&lt;&gt;"",DigitaNICA!C8,"")</f>
        <v>50750</v>
      </c>
      <c r="D5" s="42">
        <f>IF(C5="",0,C5*J$12)</f>
        <v>6090</v>
      </c>
      <c r="E5" s="29">
        <f>IF(DigitaNICA!D8&lt;&gt;"",DigitaNICA!D8,"")</f>
        <v>0</v>
      </c>
      <c r="F5" s="42">
        <f>IF(E5="",0,E5*PREMIOS!E5)</f>
        <v>0</v>
      </c>
      <c r="G5" s="30">
        <f t="shared" ref="G5:G12" si="1">IF(OR(C5="",E5=""),0,C5-D5-F5)</f>
        <v>44660</v>
      </c>
      <c r="I5" s="241" t="s">
        <v>37</v>
      </c>
      <c r="J5" s="221">
        <f>SUM(IF(C5="",0,C5),IF(C9="",0,C9),IF(C13="",0,C13),IF(C17="",0,C17))</f>
        <v>165650</v>
      </c>
      <c r="K5" s="225">
        <f t="shared" ref="K5" si="2">D5+D9+D13+D17</f>
        <v>19878</v>
      </c>
      <c r="L5" s="222">
        <f>F5+F9+F13+F17</f>
        <v>20000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75</v>
      </c>
      <c r="C7" s="29">
        <f>IF(DigitaTICA!C8&lt;&gt;"",DigitaTICA!C8,"")</f>
        <v>53050</v>
      </c>
      <c r="D7" s="42">
        <f>IF(C7="",0,C7*J$11)</f>
        <v>6366</v>
      </c>
      <c r="E7" s="29">
        <f>IF(DigitaTICA!D8&lt;&gt;"",DigitaTICA!D8,"")</f>
        <v>0</v>
      </c>
      <c r="F7" s="42">
        <f>IF(E7="",0,E7*PREMIOS!F7)</f>
        <v>0</v>
      </c>
      <c r="G7" s="30">
        <f t="shared" si="1"/>
        <v>46684</v>
      </c>
      <c r="I7" s="242" t="s">
        <v>96</v>
      </c>
      <c r="J7" s="224">
        <f>SUM(IF(C19="",0,C19),IF(C20="",0,C20))</f>
        <v>57250</v>
      </c>
      <c r="K7" s="228">
        <f>+D19+D20</f>
        <v>6870</v>
      </c>
      <c r="L7" s="229">
        <f>+F19+F20</f>
        <v>80000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36</v>
      </c>
      <c r="C9" s="29">
        <f>IF(DigitaNICA!E8&lt;&gt;"",DigitaNICA!E8,"")</f>
        <v>49600</v>
      </c>
      <c r="D9" s="42">
        <f>IF(C9="",0,C9*J$12)</f>
        <v>5952</v>
      </c>
      <c r="E9" s="29">
        <f>IF(DigitaNICA!F8&lt;&gt;"",DigitaNICA!F8,"")</f>
        <v>0</v>
      </c>
      <c r="F9" s="42">
        <f>IF(E9="",0,E9*PREMIOS!E9)</f>
        <v>0</v>
      </c>
      <c r="G9" s="30">
        <f t="shared" si="1"/>
        <v>43648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2">
        <f>IF(DigitaTICA!E2&lt;&gt;"",DigitaTICA!E2,"")</f>
        <v>23</v>
      </c>
      <c r="C11" s="29">
        <f>IF(DigitaTICA!E8&lt;&gt;"",DigitaTICA!E8,"")</f>
        <v>45150</v>
      </c>
      <c r="D11" s="42">
        <f>IF(C11="",0,C11*J$11)</f>
        <v>5418</v>
      </c>
      <c r="E11" s="29">
        <f>IF(DigitaTICA!F8&lt;&gt;"",DigitaTICA!F8,"")</f>
        <v>2000</v>
      </c>
      <c r="F11" s="42">
        <f>IF(E11="",0,E11*PREMIOS!F11)</f>
        <v>170000</v>
      </c>
      <c r="G11" s="30">
        <f t="shared" si="1"/>
        <v>-130268</v>
      </c>
      <c r="I11" s="60" t="s">
        <v>36</v>
      </c>
      <c r="J11" s="61">
        <v>0.12</v>
      </c>
      <c r="K11" s="62">
        <f>MROUND(D7+D11+D15,50)</f>
        <v>18200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19900</v>
      </c>
    </row>
    <row r="13" spans="1:12" x14ac:dyDescent="0.35">
      <c r="A13" s="28" t="s">
        <v>50</v>
      </c>
      <c r="B13" s="132">
        <f>IF(DigitaNICA!G2&lt;&gt;"",DigitaNICA!G2,"")</f>
        <v>37</v>
      </c>
      <c r="C13" s="29">
        <f>IF(DigitaNICA!G8&lt;&gt;"",DigitaNICA!G8,"")</f>
        <v>14400</v>
      </c>
      <c r="D13" s="42">
        <f>IF(C13="",0,C13*J$12)</f>
        <v>1728</v>
      </c>
      <c r="E13" s="29">
        <f>IF(DigitaNICA!H8&lt;&gt;"",DigitaNICA!H8,"")</f>
        <v>250</v>
      </c>
      <c r="F13" s="42">
        <f>IF(E13="",0,E13*PREMIOS!E13)</f>
        <v>20000</v>
      </c>
      <c r="G13" s="30">
        <f>IF(OR(C13="",E13=""),0,C13-D13-F13)</f>
        <v>-7328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6850</v>
      </c>
    </row>
    <row r="15" spans="1:12" x14ac:dyDescent="0.35">
      <c r="A15" s="28" t="s">
        <v>61</v>
      </c>
      <c r="B15" s="132">
        <f>IF(DigitaTICA!G2&lt;&gt;"",DigitaTICA!G2,"")</f>
        <v>61</v>
      </c>
      <c r="C15" s="29">
        <f>IF(DigitaTICA!G8&lt;&gt;"",DigitaTICA!G8,"")</f>
        <v>53350</v>
      </c>
      <c r="D15" s="42">
        <f>IF(C15="",0,C15*J$11)</f>
        <v>6402</v>
      </c>
      <c r="E15" s="29">
        <f>IF(DigitaTICA!H8&lt;&gt;"",DigitaTICA!H8,"")</f>
        <v>500</v>
      </c>
      <c r="F15" s="42">
        <f>IF(E15="",0,E15*PREMIOS!F15)</f>
        <v>42500</v>
      </c>
      <c r="G15" s="30">
        <f t="shared" si="4"/>
        <v>4448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34</v>
      </c>
      <c r="C17" s="29">
        <f>IF(DigitaNICA!I8&lt;&gt;"",DigitaNICA!I8,"")</f>
        <v>50900</v>
      </c>
      <c r="D17" s="42">
        <f>IF(C17="",0,C17*J$12)</f>
        <v>6108</v>
      </c>
      <c r="E17" s="29">
        <f>IF(DigitaNICA!J8&lt;&gt;"",DigitaNICA!J8,"")</f>
        <v>0</v>
      </c>
      <c r="F17" s="42">
        <f>IF(E17="",0,E17*PREMIOS!E17)</f>
        <v>0</v>
      </c>
      <c r="G17" s="30">
        <f t="shared" si="4"/>
        <v>44792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19</v>
      </c>
      <c r="C19" s="29">
        <f>IF(DigitaPRIMERA!C8&lt;&gt;"",DigitaPRIMERA!C8,"")</f>
        <v>23950</v>
      </c>
      <c r="D19" s="42">
        <f>IF(C19="",0,C19*J$14)</f>
        <v>2874</v>
      </c>
      <c r="E19" s="29">
        <f>IF(DigitaPRIMERA!D8&lt;&gt;"",DigitaPRIMERA!D8,"")</f>
        <v>1000</v>
      </c>
      <c r="F19" s="42">
        <f>IF(E19="",0,E19*PREMIOS!E19)</f>
        <v>80000</v>
      </c>
      <c r="G19" s="30">
        <f t="shared" si="4"/>
        <v>-58924</v>
      </c>
    </row>
    <row r="20" spans="1:7" x14ac:dyDescent="0.35">
      <c r="A20" s="28" t="s">
        <v>98</v>
      </c>
      <c r="B20" s="132">
        <f>IF(DigitaPRIMERA!E2&lt;&gt;"",DigitaPRIMERA!E2,"")</f>
        <v>76</v>
      </c>
      <c r="C20" s="29">
        <f>IF(DigitaPRIMERA!E8&lt;&gt;"",DigitaPRIMERA!E8,"")</f>
        <v>33300</v>
      </c>
      <c r="D20" s="42">
        <f>IF(C20="",0,C20*J$14)</f>
        <v>3996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29304</v>
      </c>
    </row>
    <row r="21" spans="1:7" ht="15" thickBot="1" x14ac:dyDescent="0.4">
      <c r="A21" s="121" t="s">
        <v>5</v>
      </c>
      <c r="B21" s="128"/>
      <c r="C21" s="122">
        <f>SUM(C5:C20)</f>
        <v>374450</v>
      </c>
      <c r="D21" s="122">
        <f t="shared" ref="D21:G21" si="5">SUM(D5:D20)</f>
        <v>44934</v>
      </c>
      <c r="E21" s="122">
        <f t="shared" si="5"/>
        <v>3750</v>
      </c>
      <c r="F21" s="122">
        <f t="shared" si="5"/>
        <v>312500</v>
      </c>
      <c r="G21" s="123">
        <f t="shared" si="5"/>
        <v>17016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MARTA ROSA</v>
      </c>
      <c r="C2" s="281"/>
      <c r="D2" s="282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53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75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36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2">
        <f>IF(DigitaTICA!E2&lt;&gt;"",DigitaTICA!E2,"")</f>
        <v>23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37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61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34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19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76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PIKIS</v>
      </c>
      <c r="C2" s="281"/>
      <c r="D2" s="282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344550</v>
      </c>
      <c r="K4" s="231">
        <f t="shared" ref="K4" si="0">D7+D11+D15</f>
        <v>41346</v>
      </c>
      <c r="L4" s="220">
        <f>F7+F11+F15</f>
        <v>208250</v>
      </c>
    </row>
    <row r="5" spans="1:12" x14ac:dyDescent="0.35">
      <c r="A5" s="28" t="s">
        <v>43</v>
      </c>
      <c r="B5" s="132">
        <f>IF(DigitaNICA!C2&lt;&gt;"",DigitaNICA!C2,"")</f>
        <v>53</v>
      </c>
      <c r="C5" s="29">
        <f>IF(DigitaNICA!C10&lt;&gt;"",DigitaNICA!C10,"")</f>
        <v>42650</v>
      </c>
      <c r="D5" s="42">
        <f>IF(C5="",0,C5*J$15)</f>
        <v>5118</v>
      </c>
      <c r="E5" s="29">
        <f>IF(DigitaNICA!D10&lt;&gt;"",DigitaNICA!D10,"")</f>
        <v>1400</v>
      </c>
      <c r="F5" s="42">
        <f>IF(E5="",0,E5*PREMIOS!F5)</f>
        <v>119000</v>
      </c>
      <c r="G5" s="30">
        <f t="shared" ref="G5:G12" si="1">IF(OR(C5="",E5=""),0,C5-D5-F5)</f>
        <v>-81468</v>
      </c>
      <c r="I5" s="217" t="s">
        <v>37</v>
      </c>
      <c r="J5" s="221">
        <f>SUM(IF(C5="",0,C5),IF(C9="",0,C9),IF(C13="",0,C13),IF(C17="",0,C17))</f>
        <v>191850</v>
      </c>
      <c r="K5" s="225">
        <f t="shared" ref="K5" si="2">D5+D9+D13+D17</f>
        <v>23022</v>
      </c>
      <c r="L5" s="222">
        <f>F5+F9+F13+F17</f>
        <v>148750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37000</v>
      </c>
      <c r="K6" s="226">
        <f t="shared" ref="K6" si="3">+D8+D12+D16</f>
        <v>3700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75</v>
      </c>
      <c r="C7" s="29">
        <f>IF(DigitaTICA!C10&lt;&gt;"",DigitaTICA!C10,"")</f>
        <v>132800</v>
      </c>
      <c r="D7" s="42">
        <f>IF(C7="",0,C7*J$14)</f>
        <v>15936</v>
      </c>
      <c r="E7" s="29">
        <f>IF(DigitaTICA!D10&lt;&gt;"",DigitaTICA!D10,"")</f>
        <v>500</v>
      </c>
      <c r="F7" s="42">
        <f>IF(E7="",0,E7*PREMIOS!F7)</f>
        <v>42500</v>
      </c>
      <c r="G7" s="30">
        <f t="shared" si="1"/>
        <v>74364</v>
      </c>
      <c r="I7" s="217" t="s">
        <v>96</v>
      </c>
      <c r="J7" s="223">
        <f>SUM(IF(C19="",0,C19),IF(C20="",0,C20))</f>
        <v>59100</v>
      </c>
      <c r="K7" s="226">
        <f>+D19+D20</f>
        <v>7092</v>
      </c>
      <c r="L7" s="227">
        <f>+F19+F20</f>
        <v>46750</v>
      </c>
    </row>
    <row r="8" spans="1:12" x14ac:dyDescent="0.35">
      <c r="A8" s="28" t="s">
        <v>47</v>
      </c>
      <c r="B8" s="132" t="str">
        <f>IF(B7&lt;&gt;"",PREMIOS!B8,"")</f>
        <v>Roja</v>
      </c>
      <c r="C8" s="29">
        <f>IF(DigitaREVENTADO!C10&lt;&gt;"",DigitaREVENTADO!C10,"")</f>
        <v>17300</v>
      </c>
      <c r="D8" s="42">
        <f>IF(C8="",0,C8*J$16)</f>
        <v>1730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15570</v>
      </c>
      <c r="I8" s="217" t="s">
        <v>104</v>
      </c>
      <c r="J8" s="223">
        <f>SUM(IF(C21="",0,C21),IF(C22="",0,C22),IF(C23="",0,C23))</f>
        <v>44300</v>
      </c>
      <c r="K8" s="226">
        <f t="shared" ref="K8" si="4">D21+D22+D23</f>
        <v>5316</v>
      </c>
      <c r="L8" s="227">
        <f>F21+F22+F23</f>
        <v>21250</v>
      </c>
    </row>
    <row r="9" spans="1:12" x14ac:dyDescent="0.35">
      <c r="A9" s="28" t="s">
        <v>48</v>
      </c>
      <c r="B9" s="132">
        <f>IF(DigitaNICA!E2&lt;&gt;"",DigitaNICA!E2,"")</f>
        <v>36</v>
      </c>
      <c r="C9" s="29">
        <f>IF(DigitaNICA!E10&lt;&gt;"",DigitaNICA!E10,"")</f>
        <v>50300</v>
      </c>
      <c r="D9" s="42">
        <f>IF(C9="",0,C9*J$15)</f>
        <v>6036</v>
      </c>
      <c r="E9" s="29">
        <f>IF(DigitaNICA!F10&lt;&gt;"",DigitaNICA!F10,"")</f>
        <v>200</v>
      </c>
      <c r="F9" s="42">
        <f>IF(E9="",0,E9*PREMIOS!F9)</f>
        <v>17000</v>
      </c>
      <c r="G9" s="30">
        <f t="shared" si="1"/>
        <v>27264</v>
      </c>
      <c r="I9" s="217" t="s">
        <v>20</v>
      </c>
      <c r="J9" s="223">
        <f>SUM(IF(C24="",0,C24),IF(C25="",0,C25))</f>
        <v>80750</v>
      </c>
      <c r="K9" s="226">
        <f t="shared" ref="K9" si="5">+D24+D25</f>
        <v>9690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23</v>
      </c>
      <c r="C11" s="29">
        <f>IF(DigitaTICA!E10&lt;&gt;"",DigitaTICA!E10,"")</f>
        <v>95400</v>
      </c>
      <c r="D11" s="42">
        <f>IF(C11="",0,C11*J$14)</f>
        <v>11448</v>
      </c>
      <c r="E11" s="29">
        <f>IF(DigitaTICA!F10&lt;&gt;"",DigitaTICA!F10,"")</f>
        <v>1650</v>
      </c>
      <c r="F11" s="42">
        <f>IF(E11="",0,E11*PREMIOS!F11)</f>
        <v>140250</v>
      </c>
      <c r="G11" s="30">
        <f t="shared" si="1"/>
        <v>-56298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>
        <f>IF(DigitaREVENTADO!E10&lt;&gt;"",DigitaREVENTADO!E10,"")</f>
        <v>7850</v>
      </c>
      <c r="D12" s="42">
        <f>IF(C12="",0,C12*J$16)</f>
        <v>785</v>
      </c>
      <c r="E12" s="29">
        <f>IF(DigitaREVENTADO!F10&lt;&gt;"",DigitaREVENTADO!F10,"")</f>
        <v>850</v>
      </c>
      <c r="F12" s="42">
        <f>IF(E12="",0,E12*PREMIOS!F12)</f>
        <v>0</v>
      </c>
      <c r="G12" s="30">
        <f t="shared" si="1"/>
        <v>7065</v>
      </c>
    </row>
    <row r="13" spans="1:12" ht="15" thickBot="1" x14ac:dyDescent="0.4">
      <c r="A13" s="28" t="s">
        <v>50</v>
      </c>
      <c r="B13" s="132">
        <f>IF(DigitaNICA!G2&lt;&gt;"",DigitaNICA!G2,"")</f>
        <v>37</v>
      </c>
      <c r="C13" s="29">
        <f>IF(DigitaNICA!G10&lt;&gt;"",DigitaNICA!G10,"")</f>
        <v>50500</v>
      </c>
      <c r="D13" s="42">
        <f>IF(C13="",0,C13*J$15)</f>
        <v>6060</v>
      </c>
      <c r="E13" s="29">
        <f>IF(DigitaNICA!H10&lt;&gt;"",DigitaNICA!H10,"")</f>
        <v>0</v>
      </c>
      <c r="F13" s="42">
        <f>IF(E13="",0,E13*PREMIOS!F13)</f>
        <v>0</v>
      </c>
      <c r="G13" s="30">
        <f>IF(OR(C13="",E13=""),0,C13-D13-F13)</f>
        <v>44440</v>
      </c>
      <c r="I13" s="280" t="s">
        <v>34</v>
      </c>
      <c r="J13" s="280"/>
      <c r="K13" s="280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41350</v>
      </c>
    </row>
    <row r="15" spans="1:12" x14ac:dyDescent="0.35">
      <c r="A15" s="28" t="s">
        <v>61</v>
      </c>
      <c r="B15" s="132">
        <f>IF(DigitaTICA!G2&lt;&gt;"",DigitaTICA!G2,"")</f>
        <v>61</v>
      </c>
      <c r="C15" s="29">
        <f>IF(DigitaTICA!G10&lt;&gt;"",DigitaTICA!G10,"")</f>
        <v>116350</v>
      </c>
      <c r="D15" s="42">
        <f>IF(C15="",0,C15*J$14)</f>
        <v>13962</v>
      </c>
      <c r="E15" s="29">
        <f>IF(DigitaTICA!H10&lt;&gt;"",DigitaTICA!H10,"")</f>
        <v>300</v>
      </c>
      <c r="F15" s="42">
        <f>IF(E15="",0,E15*PREMIOS!F15)</f>
        <v>25500</v>
      </c>
      <c r="G15" s="30">
        <f t="shared" si="6"/>
        <v>76888</v>
      </c>
      <c r="I15" s="63" t="s">
        <v>37</v>
      </c>
      <c r="J15" s="64">
        <v>0.12</v>
      </c>
      <c r="K15" s="30">
        <f>MROUND(D5+D9+D13+D17,50)</f>
        <v>23000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IF(DigitaREVENTADO!G10&lt;&gt;"",DigitaREVENTADO!G10,"")</f>
        <v>11850</v>
      </c>
      <c r="D16" s="42">
        <f>IF(C16="",0,C16*J$16)</f>
        <v>1185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10665</v>
      </c>
      <c r="I16" s="63" t="s">
        <v>38</v>
      </c>
      <c r="J16" s="64">
        <v>0.1</v>
      </c>
      <c r="K16" s="30">
        <f>MROUND(D6+D8+D10+D12+D14+D16+D18,50)</f>
        <v>3700</v>
      </c>
    </row>
    <row r="17" spans="1:11" x14ac:dyDescent="0.35">
      <c r="A17" s="28" t="s">
        <v>52</v>
      </c>
      <c r="B17" s="132">
        <f>IF(DigitaNICA!I2&lt;&gt;"",DigitaNICA!I2,"")</f>
        <v>34</v>
      </c>
      <c r="C17" s="29">
        <f>IF(DigitaNICA!I10&lt;&gt;"",DigitaNICA!I10,"")</f>
        <v>48400</v>
      </c>
      <c r="D17" s="42">
        <f>IF(C17="",0,C17*J$15)</f>
        <v>5808</v>
      </c>
      <c r="E17" s="29">
        <f>IF(DigitaNICA!J10&lt;&gt;"",DigitaNICA!J10,"")</f>
        <v>150</v>
      </c>
      <c r="F17" s="42">
        <f>IF(E17="",0,E17*PREMIOS!F17)</f>
        <v>12750</v>
      </c>
      <c r="G17" s="30">
        <f t="shared" si="6"/>
        <v>29842</v>
      </c>
      <c r="I17" s="63" t="s">
        <v>96</v>
      </c>
      <c r="J17" s="64">
        <v>0.12</v>
      </c>
      <c r="K17" s="30">
        <f>MROUND(D19+D20,50)</f>
        <v>7100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5300</v>
      </c>
    </row>
    <row r="19" spans="1:11" x14ac:dyDescent="0.35">
      <c r="A19" s="28" t="s">
        <v>97</v>
      </c>
      <c r="B19" s="132">
        <f>IF(DigitaPRIMERA!C2&lt;&gt;"",DigitaPRIMERA!C2,"")</f>
        <v>19</v>
      </c>
      <c r="C19" s="29">
        <f>IF(DigitaPRIMERA!$C$10&lt;&gt;"",DigitaPRIMERA!$C$10,"")</f>
        <v>33550</v>
      </c>
      <c r="D19" s="42">
        <f>IF(C19="",0,C19*J$17)</f>
        <v>4026</v>
      </c>
      <c r="E19" s="29">
        <f>IF(DigitaPRIMERA!$D$10&lt;&gt;"",DigitaPRIMERA!$D$10,"")</f>
        <v>350</v>
      </c>
      <c r="F19" s="42">
        <f>IF(E19="",0,E19*PREMIOS!F19)</f>
        <v>29750</v>
      </c>
      <c r="G19" s="30">
        <f t="shared" ref="G19:G22" si="7">IF(OR(C19="",E19=""),0,C19-D19-F19)</f>
        <v>-226</v>
      </c>
      <c r="I19" s="63" t="s">
        <v>20</v>
      </c>
      <c r="J19" s="64">
        <v>0.12</v>
      </c>
      <c r="K19" s="30">
        <f>MROUND(D24+D25,50)</f>
        <v>9700</v>
      </c>
    </row>
    <row r="20" spans="1:11" ht="15" thickBot="1" x14ac:dyDescent="0.4">
      <c r="A20" s="28" t="s">
        <v>98</v>
      </c>
      <c r="B20" s="132">
        <f>IF(DigitaPRIMERA!E2&lt;&gt;"",DigitaPRIMERA!E2,"")</f>
        <v>76</v>
      </c>
      <c r="C20" s="29">
        <f>IF(DigitaPRIMERA!$E$10&lt;&gt;"",DigitaPRIMERA!$E$10,"")</f>
        <v>25550</v>
      </c>
      <c r="D20" s="42">
        <f>IF(C20="",0,C20*J$17)</f>
        <v>3066</v>
      </c>
      <c r="E20" s="29">
        <f>IF(DigitaPRIMERA!$F$10&lt;&gt;"",DigitaPRIMERA!$F$10,"")</f>
        <v>200</v>
      </c>
      <c r="F20" s="42">
        <f>IF(E20="",0,E20*PREMIOS!F19)</f>
        <v>17000</v>
      </c>
      <c r="G20" s="30">
        <f t="shared" si="7"/>
        <v>5484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 t="str">
        <f>IF(DigitaHONDURAS!C2&lt;&gt;"",DigitaHONDURAS!C2,"")</f>
        <v>07</v>
      </c>
      <c r="C21" s="29">
        <f>IF(DigitaHONDURAS!$C$10&lt;&gt;"",DigitaHONDURAS!$C$10,"")</f>
        <v>12000</v>
      </c>
      <c r="D21" s="42">
        <f>IF(C21="",0,C21*J$18)</f>
        <v>1440</v>
      </c>
      <c r="E21" s="29">
        <f>IF(DigitaHONDURAS!$D$10&lt;&gt;"",DigitaHONDURAS!$D$10,"")</f>
        <v>250</v>
      </c>
      <c r="F21" s="42">
        <f>IF(E21="",0,E21*PREMIOS!F20)</f>
        <v>21250</v>
      </c>
      <c r="G21" s="30">
        <f t="shared" si="7"/>
        <v>-10690</v>
      </c>
    </row>
    <row r="22" spans="1:11" x14ac:dyDescent="0.35">
      <c r="A22" s="28" t="s">
        <v>100</v>
      </c>
      <c r="B22" s="132">
        <f>IF(DigitaHONDURAS!E2&lt;&gt;"",DigitaHONDURAS!E2,"")</f>
        <v>98</v>
      </c>
      <c r="C22" s="29">
        <f>IF(DigitaHONDURAS!$E$10&lt;&gt;"",DigitaHONDURAS!$E$10,"")</f>
        <v>13000</v>
      </c>
      <c r="D22" s="42">
        <f>IF(C22="",0,C22*J$18)</f>
        <v>1560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11440</v>
      </c>
    </row>
    <row r="23" spans="1:11" x14ac:dyDescent="0.35">
      <c r="A23" s="28" t="s">
        <v>101</v>
      </c>
      <c r="B23" s="132">
        <f>IF(DigitaHONDURAS!G2&lt;&gt;"",DigitaHONDURAS!G2,"")</f>
        <v>17</v>
      </c>
      <c r="C23" s="29">
        <f>IF(DigitaHONDURAS!$G$10&lt;&gt;"",DigitaHONDURAS!$G$10,"")</f>
        <v>19300</v>
      </c>
      <c r="D23" s="42">
        <f>IF(C23="",0,C23*J$18)</f>
        <v>2316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16984</v>
      </c>
    </row>
    <row r="24" spans="1:11" x14ac:dyDescent="0.35">
      <c r="A24" s="28" t="s">
        <v>107</v>
      </c>
      <c r="B24" s="132">
        <f>IF(DigitaDOMINICANA!C2&lt;&gt;"",DigitaDOMINICANA!C2,"")</f>
        <v>60</v>
      </c>
      <c r="C24" s="29">
        <f>IF(DigitaDOMINICANA!$C$10&lt;&gt;"",DigitaDOMINICANA!$C$10,"")</f>
        <v>37250</v>
      </c>
      <c r="D24" s="42">
        <f>IF(C24="",0,C24*J$19)</f>
        <v>4470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32780</v>
      </c>
    </row>
    <row r="25" spans="1:11" x14ac:dyDescent="0.35">
      <c r="A25" s="28" t="s">
        <v>108</v>
      </c>
      <c r="B25" s="132">
        <f>IF(DigitaDOMINICANA!E2&lt;&gt;"",DigitaDOMINICANA!E2,"")</f>
        <v>50</v>
      </c>
      <c r="C25" s="29">
        <f>IF(DigitaDOMINICANA!$E$10&lt;&gt;"",DigitaDOMINICANA!$E$10,"")</f>
        <v>43500</v>
      </c>
      <c r="D25" s="42">
        <f>IF(C25="",0,C25*J$19)</f>
        <v>5220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38280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757550</v>
      </c>
      <c r="D27" s="68">
        <f t="shared" ref="D27:F27" si="9">SUM(D5:D26)</f>
        <v>90166</v>
      </c>
      <c r="E27" s="68">
        <f t="shared" si="9"/>
        <v>5850</v>
      </c>
      <c r="F27" s="68">
        <f t="shared" si="9"/>
        <v>425000</v>
      </c>
      <c r="G27" s="88">
        <f>SUM(G5:G26)</f>
        <v>242384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7.4531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ISA</v>
      </c>
      <c r="C2" s="281"/>
      <c r="D2" s="282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9500</v>
      </c>
      <c r="K4" s="231">
        <f t="shared" ref="K4" si="0">D7+D11+D15</f>
        <v>1140</v>
      </c>
      <c r="L4" s="220">
        <f>F7+F11+F15</f>
        <v>85000</v>
      </c>
    </row>
    <row r="5" spans="1:12" x14ac:dyDescent="0.35">
      <c r="A5" s="28" t="s">
        <v>43</v>
      </c>
      <c r="B5" s="132">
        <f>IF(DigitaNICA!C2&lt;&gt;"",DigitaNICA!C2,"")</f>
        <v>53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75</v>
      </c>
      <c r="C7" s="29">
        <f>IF(DigitaTICA!C11&lt;&gt;"",DigitaTICA!C11,"")</f>
        <v>2500</v>
      </c>
      <c r="D7" s="42">
        <f>IF(C7="",0,C7*J$11)</f>
        <v>300</v>
      </c>
      <c r="E7" s="29">
        <f>IF(DigitaTICA!D11&lt;&gt;"",DigitaTICA!D11,"")</f>
        <v>0</v>
      </c>
      <c r="F7" s="133">
        <f>IF(E7="",0,E7*PREMIOS!F7)</f>
        <v>0</v>
      </c>
      <c r="G7" s="30">
        <f t="shared" si="1"/>
        <v>2200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36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2">
        <f>IF(DigitaTICA!E2&lt;&gt;"",DigitaTICA!E2,"")</f>
        <v>23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1150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37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61</v>
      </c>
      <c r="C15" s="29">
        <f>IF(DigitaTICA!G11&lt;&gt;"",DigitaTICA!G11,"")</f>
        <v>7000</v>
      </c>
      <c r="D15" s="42">
        <f>IF(C15="",0,C15*J$11)</f>
        <v>840</v>
      </c>
      <c r="E15" s="29">
        <f>IF(DigitaTICA!H11&lt;&gt;"",DigitaTICA!H11,"")</f>
        <v>1000</v>
      </c>
      <c r="F15" s="133">
        <f>IF(E15="",0,E15*PREMIOS!F15)</f>
        <v>85000</v>
      </c>
      <c r="G15" s="30">
        <f t="shared" si="4"/>
        <v>-78840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34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19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76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9500</v>
      </c>
      <c r="D21" s="122">
        <f t="shared" ref="D21:G21" si="5">SUM(D5:D20)</f>
        <v>1140</v>
      </c>
      <c r="E21" s="122">
        <f t="shared" si="5"/>
        <v>1000</v>
      </c>
      <c r="F21" s="122">
        <f t="shared" si="5"/>
        <v>85000</v>
      </c>
      <c r="G21" s="123">
        <f t="shared" si="5"/>
        <v>-76640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9"/>
  <sheetViews>
    <sheetView showGridLines="0" topLeftCell="A10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JUAN FELIX</v>
      </c>
      <c r="C2" s="281"/>
      <c r="D2" s="282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87500</v>
      </c>
      <c r="K4" s="231">
        <f>D7+D11+D15</f>
        <v>10500</v>
      </c>
      <c r="L4" s="220">
        <f>F7+F11+F15</f>
        <v>106250</v>
      </c>
    </row>
    <row r="5" spans="1:12" x14ac:dyDescent="0.35">
      <c r="A5" s="28" t="s">
        <v>43</v>
      </c>
      <c r="B5" s="132">
        <f>IF(DigitaNICA!C2&lt;&gt;"",DigitaNICA!C2,"")</f>
        <v>53</v>
      </c>
      <c r="C5" s="29">
        <f>IF(DigitaNICA!C12&lt;&gt;"",DigitaNICA!C12,"")</f>
        <v>34150</v>
      </c>
      <c r="D5" s="42">
        <f>IF(C5="",0,C5*J$12)</f>
        <v>4098</v>
      </c>
      <c r="E5" s="29">
        <f>IF(DigitaNICA!D12&lt;&gt;"",DigitaNICA!D12,"")</f>
        <v>0</v>
      </c>
      <c r="F5" s="42">
        <f>IF(E5="",0,E5*PREMIOS!F5)</f>
        <v>0</v>
      </c>
      <c r="G5" s="30">
        <f t="shared" ref="G5:G12" si="0">IF(OR(C5="",E5=""),0,C5-D5-F5)</f>
        <v>30052</v>
      </c>
      <c r="I5" s="217" t="s">
        <v>37</v>
      </c>
      <c r="J5" s="221">
        <f>SUM(IF(C5="",0,C5),IF(C9="",0,C9),IF(C13="",0,C13),IF(C17="",0,C17))</f>
        <v>56350</v>
      </c>
      <c r="K5" s="225">
        <f t="shared" ref="K5" si="1">D5+D9+D13+D17</f>
        <v>6762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2750</v>
      </c>
      <c r="K6" s="226">
        <f t="shared" ref="K6" si="2">+D8+D12+D16</f>
        <v>275</v>
      </c>
      <c r="L6" s="227">
        <f>+F8+F12+F16</f>
        <v>50000</v>
      </c>
    </row>
    <row r="7" spans="1:12" x14ac:dyDescent="0.35">
      <c r="A7" s="28" t="s">
        <v>46</v>
      </c>
      <c r="B7" s="132">
        <f>IF(DigitaTICA!C2&lt;&gt;"",DigitaTICA!C2,"")</f>
        <v>75</v>
      </c>
      <c r="C7" s="29">
        <f>IF(DigitaTICA!C12&lt;&gt;"",DigitaTICA!C12,"")</f>
        <v>38400</v>
      </c>
      <c r="D7" s="42">
        <f>IF(C7="",0,C7*J$11)</f>
        <v>4608</v>
      </c>
      <c r="E7" s="29">
        <f>IF(DigitaTICA!D12&lt;&gt;"",DigitaTICA!D12,"")</f>
        <v>250</v>
      </c>
      <c r="F7" s="42">
        <f>IF(E7="",0,E7*PREMIOS!F7)</f>
        <v>21250</v>
      </c>
      <c r="G7" s="30">
        <f t="shared" si="0"/>
        <v>12542</v>
      </c>
      <c r="I7" s="217" t="s">
        <v>96</v>
      </c>
      <c r="J7" s="223">
        <f>SUM(IF(C19="",0,C19),IF(C20="",0,C20))</f>
        <v>45000</v>
      </c>
      <c r="K7" s="226">
        <f>+D19+D20</f>
        <v>5400</v>
      </c>
      <c r="L7" s="227">
        <f>+F19+F20</f>
        <v>17000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>
        <f>IF(DigitaREVENTADO!C12&lt;&gt;"",DigitaREVENTADO!C12,"")</f>
        <v>2250</v>
      </c>
      <c r="D8" s="42">
        <f>IF(C8="",0,C8*J$13)</f>
        <v>225</v>
      </c>
      <c r="E8" s="29">
        <f>IF(DigitaREVENTADO!D12&lt;&gt;"",DigitaREVENTADO!D12,"")</f>
        <v>250</v>
      </c>
      <c r="F8" s="42">
        <f>IF(E8="",0,E8*PREMIOS!F8)</f>
        <v>50000</v>
      </c>
      <c r="G8" s="30">
        <f t="shared" si="0"/>
        <v>-47975</v>
      </c>
      <c r="I8" s="218" t="s">
        <v>104</v>
      </c>
      <c r="J8" s="224">
        <f>SUM(IF(C21="",0,C21),IF(C22="",0,C22),IF(C23="",0,C23))</f>
        <v>0</v>
      </c>
      <c r="K8" s="228">
        <f>+D21+D22+D23</f>
        <v>0</v>
      </c>
      <c r="L8" s="229">
        <f>+F21+F22+F23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36</v>
      </c>
      <c r="C9" s="29">
        <f>IF(DigitaNICA!E12&lt;&gt;"",DigitaNICA!E12,"")</f>
        <v>22200</v>
      </c>
      <c r="D9" s="42">
        <f>IF(C9="",0,C9*J$12)</f>
        <v>2664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19536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2">
        <f>IF(DigitaTICA!E2&lt;&gt;"",DigitaTICA!E2,"")</f>
        <v>23</v>
      </c>
      <c r="C11" s="29">
        <f>IF(DigitaTICA!E12&lt;&gt;"",DigitaTICA!E12,"")</f>
        <v>24550</v>
      </c>
      <c r="D11" s="42">
        <f>IF(C11="",0,C11*J$11)</f>
        <v>2946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21604</v>
      </c>
      <c r="I11" s="60" t="s">
        <v>36</v>
      </c>
      <c r="J11" s="61">
        <v>0.12</v>
      </c>
      <c r="K11" s="62">
        <f>MROUND(D7+D11+D15,50)</f>
        <v>10500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IF(DigitaREVENTADO!E12&lt;&gt;"",DigitaREVENTADO!E12,"")</f>
        <v>500</v>
      </c>
      <c r="D12" s="42">
        <f>IF(C12="",0,C12*J$13)</f>
        <v>50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450</v>
      </c>
      <c r="I12" s="63" t="s">
        <v>37</v>
      </c>
      <c r="J12" s="64">
        <v>0.12</v>
      </c>
      <c r="K12" s="30">
        <f>MROUND(D5+D9+D13+D17,50)</f>
        <v>6750</v>
      </c>
    </row>
    <row r="13" spans="1:12" x14ac:dyDescent="0.35">
      <c r="A13" s="28" t="s">
        <v>50</v>
      </c>
      <c r="B13" s="132">
        <f>IF(DigitaNICA!G2&lt;&gt;"",DigitaNICA!G2,"")</f>
        <v>37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300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5400</v>
      </c>
    </row>
    <row r="15" spans="1:12" ht="15" thickBot="1" x14ac:dyDescent="0.4">
      <c r="A15" s="28" t="s">
        <v>61</v>
      </c>
      <c r="B15" s="132">
        <f>IF(DigitaTICA!G2&lt;&gt;"",DigitaTICA!G2,"")</f>
        <v>61</v>
      </c>
      <c r="C15" s="29">
        <f>IF(DigitaTICA!G12&lt;&gt;"",DigitaTICA!G12,"")</f>
        <v>24550</v>
      </c>
      <c r="D15" s="42">
        <f>IF(C15="",0,C15*J$11)</f>
        <v>2946</v>
      </c>
      <c r="E15" s="29">
        <f>IF(DigitaTICA!H12&lt;&gt;"",DigitaTICA!H12,"")</f>
        <v>1000</v>
      </c>
      <c r="F15" s="42">
        <f>IF(E15="",0,E15*PREMIOS!F15)</f>
        <v>85000</v>
      </c>
      <c r="G15" s="30">
        <f t="shared" si="3"/>
        <v>-63396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34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19</v>
      </c>
      <c r="C19" s="29">
        <f>IF(DigitaPRIMERA!$C$12&lt;&gt;"",DigitaPRIMERA!$C$12,"")</f>
        <v>45000</v>
      </c>
      <c r="D19" s="42">
        <f>IF(C19="",0,C19*J$14)</f>
        <v>5400</v>
      </c>
      <c r="E19" s="29">
        <f>IF(DigitaPRIMERA!$D$12&lt;&gt;"",DigitaPRIMERA!$D$12,"")</f>
        <v>200</v>
      </c>
      <c r="F19" s="42">
        <f>IF(E19="",0,E19*PREMIOS!F19)</f>
        <v>17000</v>
      </c>
      <c r="G19" s="30">
        <f t="shared" si="3"/>
        <v>22600</v>
      </c>
    </row>
    <row r="20" spans="1:7" x14ac:dyDescent="0.35">
      <c r="A20" s="28" t="s">
        <v>98</v>
      </c>
      <c r="B20" s="132">
        <f>IF(DigitaPRIMERA!E2&lt;&gt;"",DigitaPRIMERA!E2,"")</f>
        <v>76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 t="str">
        <f>IF(DigitaHONDURAS!C2&lt;&gt;"",DigitaHONDURAS!C2,"")</f>
        <v>07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98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17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191600</v>
      </c>
      <c r="D24" s="68">
        <f t="shared" ref="D24:G24" si="4">SUM(D5:D23)</f>
        <v>22937</v>
      </c>
      <c r="E24" s="68">
        <f t="shared" si="4"/>
        <v>1700</v>
      </c>
      <c r="F24" s="68">
        <f t="shared" si="4"/>
        <v>173250</v>
      </c>
      <c r="G24" s="88">
        <f t="shared" si="4"/>
        <v>-4587</v>
      </c>
    </row>
    <row r="27" spans="1:7" x14ac:dyDescent="0.35">
      <c r="G27" s="21">
        <v>263713</v>
      </c>
    </row>
    <row r="28" spans="1:7" x14ac:dyDescent="0.35">
      <c r="G28" s="141">
        <f>+G24+G27</f>
        <v>259126</v>
      </c>
    </row>
    <row r="29" spans="1:7" x14ac:dyDescent="0.35">
      <c r="G29" s="258"/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57</v>
      </c>
      <c r="C2" s="281"/>
      <c r="D2" s="282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79600</v>
      </c>
      <c r="K4" s="231">
        <f t="shared" ref="K4" si="0">D7+D11+D15</f>
        <v>9552</v>
      </c>
      <c r="L4" s="220">
        <f>F7+F11+F15</f>
        <v>42500</v>
      </c>
    </row>
    <row r="5" spans="1:12" ht="15" thickBot="1" x14ac:dyDescent="0.4">
      <c r="A5" s="28" t="s">
        <v>43</v>
      </c>
      <c r="B5" s="132">
        <f>IF(DigitaNICA!C2&lt;&gt;"",DigitaNICA!C2,"")</f>
        <v>53</v>
      </c>
      <c r="C5" s="29">
        <f>IF(DigitaNICA!C13&lt;&gt;"",DigitaNICA!C13,"")</f>
        <v>9600</v>
      </c>
      <c r="D5" s="42">
        <f>IF(C5="",0,C5*J$10)</f>
        <v>1152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8448</v>
      </c>
      <c r="I5" s="218" t="s">
        <v>37</v>
      </c>
      <c r="J5" s="232">
        <f>SUM(IF(C5="",0,C5),IF(C9="",0,C9),IF(C13="",0,C13),IF(C17="",0,C17))</f>
        <v>21500</v>
      </c>
      <c r="K5" s="233">
        <f t="shared" ref="K5" si="2">D5+D9+D13+D17</f>
        <v>2580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75</v>
      </c>
      <c r="C7" s="29">
        <f>IF(DigitaTICA!C13&lt;&gt;"",DigitaTICA!C13,"")</f>
        <v>24100</v>
      </c>
      <c r="D7" s="42">
        <f>IF(C7="",0,C7*J$9)</f>
        <v>2892</v>
      </c>
      <c r="E7" s="29">
        <f>IF(DigitaTICA!D13&lt;&gt;"",DigitaTICA!D13,"")</f>
        <v>0</v>
      </c>
      <c r="F7" s="133">
        <f>IF(E7="",0,E7*PREMIOS!F7)</f>
        <v>0</v>
      </c>
      <c r="G7" s="30">
        <f t="shared" si="1"/>
        <v>21208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2">
        <f>IF(DigitaNICA!E2&lt;&gt;"",DigitaNICA!E2,"")</f>
        <v>36</v>
      </c>
      <c r="C9" s="29">
        <f>IF(DigitaNICA!E13&lt;&gt;"",DigitaNICA!E13,"")</f>
        <v>11400</v>
      </c>
      <c r="D9" s="42">
        <f>IF(C9="",0,C9*J$10)</f>
        <v>1368</v>
      </c>
      <c r="E9" s="29">
        <f>IF(DigitaNICA!F13&lt;&gt;"",DigitaNICA!F13,"")</f>
        <v>0</v>
      </c>
      <c r="F9" s="133">
        <f>IF(E9="",0,E9*PREMIOS!E9)</f>
        <v>0</v>
      </c>
      <c r="G9" s="30">
        <f t="shared" si="1"/>
        <v>10032</v>
      </c>
      <c r="I9" s="60" t="s">
        <v>36</v>
      </c>
      <c r="J9" s="61">
        <v>0.12</v>
      </c>
      <c r="K9" s="62">
        <f>MROUND(D7+D11+D15,50)</f>
        <v>9550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2600</v>
      </c>
    </row>
    <row r="11" spans="1:12" ht="15" thickBot="1" x14ac:dyDescent="0.4">
      <c r="A11" s="28" t="s">
        <v>59</v>
      </c>
      <c r="B11" s="132">
        <f>IF(DigitaTICA!E2&lt;&gt;"",DigitaTICA!E2,"")</f>
        <v>23</v>
      </c>
      <c r="C11" s="29">
        <f>IF(DigitaTICA!E13&lt;&gt;"",DigitaTICA!E13,"")</f>
        <v>11050</v>
      </c>
      <c r="D11" s="42">
        <f>IF(C11="",0,C11*J$9)</f>
        <v>1326</v>
      </c>
      <c r="E11" s="29">
        <f>IF(DigitaTICA!F13&lt;&gt;"",DigitaTICA!F13,"")</f>
        <v>500</v>
      </c>
      <c r="F11" s="133">
        <f>IF(E11="",0,E11*PREMIOS!F11)</f>
        <v>42500</v>
      </c>
      <c r="G11" s="30">
        <f t="shared" si="1"/>
        <v>-32776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37</v>
      </c>
      <c r="C13" s="29" t="str">
        <f>IF(DigitaNICA!G13&lt;&gt;"",DigitaNICA!G13,"")</f>
        <v/>
      </c>
      <c r="D13" s="42">
        <f>IF(C13="",0,C13*J$10)</f>
        <v>0</v>
      </c>
      <c r="E13" s="29" t="str">
        <f>IF(DigitaNICA!H13&lt;&gt;"",DigitaNICA!H13,"")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61</v>
      </c>
      <c r="C15" s="29">
        <f>IF(DigitaTICA!G13&lt;&gt;"",DigitaTICA!G13,"")</f>
        <v>44450</v>
      </c>
      <c r="D15" s="42">
        <f>IF(C15="",0,C15*J$9)</f>
        <v>5334</v>
      </c>
      <c r="E15" s="29">
        <f>IF(DigitaTICA!H13&lt;&gt;"",DigitaTICA!H13,"")</f>
        <v>0</v>
      </c>
      <c r="F15" s="133">
        <f>IF(E15="",0,E15*PREMIOS!F15)</f>
        <v>0</v>
      </c>
      <c r="G15" s="30">
        <f t="shared" si="3"/>
        <v>39116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34</v>
      </c>
      <c r="C17" s="29">
        <f>IF(DigitaNICA!I13&lt;&gt;"",DigitaNICA!I13,"")</f>
        <v>500</v>
      </c>
      <c r="D17" s="42">
        <f>IF(C17="",0,C17*J$10)</f>
        <v>60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440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101100</v>
      </c>
      <c r="D19" s="68">
        <f>MROUND(SUM(D5:D18),50)</f>
        <v>12150</v>
      </c>
      <c r="E19" s="68">
        <f>SUM(E5:E18)</f>
        <v>500</v>
      </c>
      <c r="F19" s="68">
        <f>SUM(F5:F18)</f>
        <v>42500</v>
      </c>
      <c r="G19" s="88">
        <f>SUM(G5:G18)</f>
        <v>46468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54</v>
      </c>
      <c r="C2" s="281"/>
      <c r="D2" s="282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82150</v>
      </c>
      <c r="K4" s="236">
        <f t="shared" ref="K4" si="0">D7+D11+D15</f>
        <v>12322.5</v>
      </c>
      <c r="L4" s="237">
        <f>F7+F11+F15</f>
        <v>48000</v>
      </c>
    </row>
    <row r="5" spans="1:12" x14ac:dyDescent="0.35">
      <c r="A5" s="28" t="s">
        <v>43</v>
      </c>
      <c r="B5" s="132">
        <f>IF(DigitaNICA!C2&lt;&gt;"",DigitaNICA!C2,"")</f>
        <v>53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75</v>
      </c>
      <c r="C7" s="29">
        <f>IF(DigitaTICA!C14&lt;&gt;"",DigitaTICA!C14,"")</f>
        <v>37800</v>
      </c>
      <c r="D7" s="42">
        <f>IF(C7="",0,C7*J$9)</f>
        <v>5670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32130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2">
        <f>IF(DigitaNICA!E2&lt;&gt;"",DigitaNICA!E2,"")</f>
        <v>36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12300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23</v>
      </c>
      <c r="C11" s="29">
        <f>IF(DigitaTICA!E14&lt;&gt;"",DigitaTICA!E14,"")</f>
        <v>16650</v>
      </c>
      <c r="D11" s="42">
        <f>IF(C11="",0,C11*J$9)</f>
        <v>2497.5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14152.5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37</v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61</v>
      </c>
      <c r="C15" s="29">
        <f>IF(DigitaTICA!G14&lt;&gt;"",DigitaTICA!G14,"")</f>
        <v>27700</v>
      </c>
      <c r="D15" s="42">
        <f>IF(C15="",0,C15*J$9)</f>
        <v>4155</v>
      </c>
      <c r="E15" s="29">
        <f>IF(DigitaTICA!H14&lt;&gt;"",DigitaTICA!H14,"")</f>
        <v>600</v>
      </c>
      <c r="F15" s="42">
        <f>IF(E15="",0,E15*PREMIOS!E15)</f>
        <v>48000</v>
      </c>
      <c r="G15" s="30">
        <f t="shared" si="2"/>
        <v>-24455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34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82150</v>
      </c>
      <c r="D19" s="68">
        <f>MROUND(SUM(D5:D18),50)</f>
        <v>12300</v>
      </c>
      <c r="E19" s="68">
        <f>SUM(E5:E18)</f>
        <v>600</v>
      </c>
      <c r="F19" s="68">
        <f>SUM(F5:F18)</f>
        <v>48000</v>
      </c>
      <c r="G19" s="88">
        <f>SUM(G5:G18)</f>
        <v>21827.5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55</v>
      </c>
      <c r="C2" s="281"/>
      <c r="D2" s="282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53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75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2">
        <f>IF(DigitaNICA!E2&lt;&gt;"",DigitaNICA!E2,"")</f>
        <v>36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23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37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61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34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MINERO</v>
      </c>
      <c r="C2" s="281"/>
      <c r="D2" s="282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58650</v>
      </c>
      <c r="K4" s="231">
        <f>D7+D11+D15</f>
        <v>7038</v>
      </c>
      <c r="L4" s="220">
        <f>F7+F11+F15</f>
        <v>42500</v>
      </c>
    </row>
    <row r="5" spans="1:12" x14ac:dyDescent="0.35">
      <c r="A5" s="28" t="s">
        <v>43</v>
      </c>
      <c r="B5" s="132">
        <f>IF(DigitaNICA!C2&lt;&gt;"",DigitaNICA!C2,"")</f>
        <v>53</v>
      </c>
      <c r="C5" s="29">
        <f>IF(DigitaNICA!C16&lt;&gt;"",DigitaNICA!C16,"")</f>
        <v>3300</v>
      </c>
      <c r="D5" s="42">
        <f>IF(C5="",0,C5*J$12)</f>
        <v>396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2904</v>
      </c>
      <c r="I5" s="63" t="s">
        <v>37</v>
      </c>
      <c r="J5" s="225">
        <f>SUM(IF(C5="",0,C5),IF(C9="",0,C9),IF(C13="",0,C13),IF(C17="",0,C17))</f>
        <v>35200</v>
      </c>
      <c r="K5" s="225">
        <f t="shared" ref="K5" si="1">D5+D9+D13+D17</f>
        <v>4224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2500</v>
      </c>
      <c r="K6" s="226">
        <f t="shared" ref="K6" si="2">+D8+D12+D16</f>
        <v>250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75</v>
      </c>
      <c r="C7" s="29">
        <f>IF(DigitaTICA!C16&lt;&gt;"",DigitaTICA!C16,"")</f>
        <v>14750</v>
      </c>
      <c r="D7" s="42">
        <f>IF(C7="",0,C7*J$11)</f>
        <v>1770</v>
      </c>
      <c r="E7" s="29">
        <f>IF(DigitaTICA!D16&lt;&gt;"",DigitaTICA!D16,"")</f>
        <v>0</v>
      </c>
      <c r="F7" s="133">
        <f>IF(E7="",0,E7*PREMIOS!F7)</f>
        <v>0</v>
      </c>
      <c r="G7" s="30">
        <f t="shared" si="0"/>
        <v>12980</v>
      </c>
      <c r="I7" s="63" t="s">
        <v>96</v>
      </c>
      <c r="J7" s="226">
        <f>SUM(IF(C19="",0,C19),IF(C20="",0,C20))</f>
        <v>3200</v>
      </c>
      <c r="K7" s="226">
        <f>+D19+D20</f>
        <v>384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>
        <f>IF(DigitaREVENTADO!C16&lt;&gt;"",DigitaREVENTADO!C16,"")</f>
        <v>1500</v>
      </c>
      <c r="D8" s="42">
        <f>IF(C8="",0,C8*J$13)</f>
        <v>150</v>
      </c>
      <c r="E8" s="29">
        <f>IF(DigitaREVENTADO!D16&lt;&gt;"",DigitaREVENTADO!D16,"")</f>
        <v>0</v>
      </c>
      <c r="F8" s="133">
        <f>IF(E8="",0,E8*PREMIOS!F8)</f>
        <v>0</v>
      </c>
      <c r="G8" s="30">
        <f t="shared" si="0"/>
        <v>1350</v>
      </c>
      <c r="I8" s="65" t="s">
        <v>104</v>
      </c>
      <c r="J8" s="228">
        <f>SUM(IF(C21="",0,C21),IF(C22="",0,C22),IF(C23="",0,C23))</f>
        <v>0</v>
      </c>
      <c r="K8" s="228">
        <f>D21+D22+D23</f>
        <v>0</v>
      </c>
      <c r="L8" s="229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36</v>
      </c>
      <c r="C9" s="29">
        <f>IF(DigitaNICA!E16&lt;&gt;"",DigitaNICA!E16,"")</f>
        <v>2100</v>
      </c>
      <c r="D9" s="42">
        <f>IF(C9="",0,C9*J$12)</f>
        <v>252</v>
      </c>
      <c r="E9" s="29">
        <f>IF(DigitaNICA!F16&lt;&gt;"",DigitaNICA!F16,"")</f>
        <v>0</v>
      </c>
      <c r="F9" s="133">
        <f>IF(E9="",0,E9*PREMIOS!E9)</f>
        <v>0</v>
      </c>
      <c r="G9" s="30">
        <f t="shared" si="0"/>
        <v>1848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2">
        <f>IF(DigitaTICA!E2&lt;&gt;"",DigitaTICA!E2,"")</f>
        <v>23</v>
      </c>
      <c r="C11" s="29">
        <f>IF(DigitaTICA!E16&lt;&gt;"",DigitaTICA!E16,"")</f>
        <v>19850</v>
      </c>
      <c r="D11" s="42">
        <f>IF(C11="",0,C11*J$11)</f>
        <v>2382</v>
      </c>
      <c r="E11" s="29">
        <f>IF(DigitaTICA!F16&lt;&gt;"",DigitaTICA!F16,"")</f>
        <v>500</v>
      </c>
      <c r="F11" s="133">
        <f>IF(E11="",0,E11*PREMIOS!F11)</f>
        <v>42500</v>
      </c>
      <c r="G11" s="30">
        <f t="shared" si="0"/>
        <v>-25032</v>
      </c>
      <c r="I11" s="76" t="s">
        <v>36</v>
      </c>
      <c r="J11" s="77">
        <v>0.12</v>
      </c>
      <c r="K11" s="78">
        <f>MROUND(D7+D11+D15,50)</f>
        <v>7050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IF(DigitaREVENTADO!E16&lt;&gt;"",DigitaREVENTADO!E16,"")</f>
        <v>1000</v>
      </c>
      <c r="D12" s="42">
        <f>IF(C12="",0,C12*J$13)</f>
        <v>100</v>
      </c>
      <c r="E12" s="29">
        <f>IF(DigitaREVENTADO!F16&lt;&gt;"",DigitaREVENTADO!F16,"")</f>
        <v>0</v>
      </c>
      <c r="F12" s="133">
        <f>IF(E12="",0,E12*PREMIOS!F12)</f>
        <v>0</v>
      </c>
      <c r="G12" s="30">
        <f t="shared" si="0"/>
        <v>900</v>
      </c>
      <c r="I12" s="63" t="s">
        <v>37</v>
      </c>
      <c r="J12" s="64">
        <v>0.12</v>
      </c>
      <c r="K12" s="30">
        <f>MROUND(D5+D9+D13+D17,50)</f>
        <v>4200</v>
      </c>
    </row>
    <row r="13" spans="1:12" x14ac:dyDescent="0.35">
      <c r="A13" s="28" t="s">
        <v>50</v>
      </c>
      <c r="B13" s="132">
        <f>IF(DigitaNICA!G2&lt;&gt;"",DigitaNICA!G2,"")</f>
        <v>37</v>
      </c>
      <c r="C13" s="29" t="str">
        <f>IF(DigitaNICA!G16&lt;&gt;"",DigitaNICA!G16,"")</f>
        <v/>
      </c>
      <c r="D13" s="42">
        <f>IF(C13="",0,C13*J$12)</f>
        <v>0</v>
      </c>
      <c r="E13" s="29" t="str">
        <f>IF(DigitaNICA!H16&lt;&gt;"",DigitaNICA!H16,"")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250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400</v>
      </c>
    </row>
    <row r="15" spans="1:12" ht="15" thickBot="1" x14ac:dyDescent="0.4">
      <c r="A15" s="28" t="s">
        <v>61</v>
      </c>
      <c r="B15" s="132">
        <f>IF(DigitaTICA!G2&lt;&gt;"",DigitaTICA!G2,"")</f>
        <v>61</v>
      </c>
      <c r="C15" s="29">
        <f>IF(DigitaTICA!G16&lt;&gt;"",DigitaTICA!G16,"")</f>
        <v>24050</v>
      </c>
      <c r="D15" s="42">
        <f>IF(C15="",0,C15*J$11)</f>
        <v>2886</v>
      </c>
      <c r="E15" s="29">
        <f>IF(DigitaTICA!H16&lt;&gt;"",DigitaTICA!H16,"")</f>
        <v>0</v>
      </c>
      <c r="F15" s="133">
        <f>IF(E15="",0,E15*PREMIOS!F15)</f>
        <v>0</v>
      </c>
      <c r="G15" s="30">
        <f t="shared" si="3"/>
        <v>21164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IF(DigitaREVENTADO!G16&lt;&gt;"",DigitaREVENTADO!G16,"")</f>
        <v/>
      </c>
      <c r="D16" s="42">
        <f>IF(C16="",0,C16*J$13)</f>
        <v>0</v>
      </c>
      <c r="E16" s="29" t="str">
        <f>IF(DigitaREVENTADO!H16&lt;&gt;"",DigitaREVENTADO!H16,"")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34</v>
      </c>
      <c r="C17" s="29">
        <f>IF(DigitaNICA!I16&lt;&gt;"",DigitaNICA!I16,"")</f>
        <v>29800</v>
      </c>
      <c r="D17" s="42">
        <f>IF(C17="",0,C17*J$12)</f>
        <v>3576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26224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19</v>
      </c>
      <c r="C19" s="29">
        <f>IF(DigitaPRIMERA!C16&lt;&gt;"",DigitaPRIMERA!C16,"")</f>
        <v>2400</v>
      </c>
      <c r="D19" s="42">
        <f>IF(C19="",0,C19*J$14)</f>
        <v>288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2112</v>
      </c>
    </row>
    <row r="20" spans="1:7" x14ac:dyDescent="0.35">
      <c r="A20" s="28" t="s">
        <v>98</v>
      </c>
      <c r="B20" s="132">
        <f>IF(DigitaPRIMERA!E2&lt;&gt;"",DigitaPRIMERA!E2,"")</f>
        <v>76</v>
      </c>
      <c r="C20" s="29">
        <f>IF(DigitaPRIMERA!E16&lt;&gt;"",DigitaPRIMERA!E16,"")</f>
        <v>800</v>
      </c>
      <c r="D20" s="42">
        <f>IF(C20="",0,C20*J$14)</f>
        <v>96</v>
      </c>
      <c r="E20" s="29">
        <f>IF(DigitaPRIMERA!F16&lt;&gt;"",DigitaPRIMERA!F16,"")</f>
        <v>0</v>
      </c>
      <c r="F20" s="42">
        <f>IF(E20="",0,E20*PREMIOS!E19)</f>
        <v>0</v>
      </c>
      <c r="G20" s="30">
        <f t="shared" si="3"/>
        <v>704</v>
      </c>
    </row>
    <row r="21" spans="1:7" x14ac:dyDescent="0.35">
      <c r="A21" s="28" t="s">
        <v>99</v>
      </c>
      <c r="B21" s="132" t="str">
        <f>IF(DigitaHONDURAS!C2&lt;&gt;"",DigitaHONDURAS!C2,"")</f>
        <v>07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98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17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99550</v>
      </c>
      <c r="D24" s="122">
        <f t="shared" ref="D24:G24" si="5">SUM(D5:D23)</f>
        <v>11896</v>
      </c>
      <c r="E24" s="122">
        <f t="shared" si="5"/>
        <v>500</v>
      </c>
      <c r="F24" s="122">
        <f t="shared" si="5"/>
        <v>42500</v>
      </c>
      <c r="G24" s="123">
        <f t="shared" si="5"/>
        <v>45154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91</v>
      </c>
      <c r="C2" s="281"/>
      <c r="D2" s="282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53</v>
      </c>
      <c r="C5" s="89" t="str">
        <f>IF(DigitaNICA!C17&lt;&gt;"",DigitaNICA!C17,"")</f>
        <v/>
      </c>
      <c r="D5" s="42">
        <f>IF(C5="",0,C5*J$16)</f>
        <v>0</v>
      </c>
      <c r="E5" s="89" t="str">
        <f>IF(DigitaNICA!D17&lt;&gt;"",DigitaNICA!D17,"")</f>
        <v/>
      </c>
      <c r="F5" s="42">
        <f>IF(E5="",0,E5*PREMIOS!F5)</f>
        <v>0</v>
      </c>
      <c r="G5" s="9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75</v>
      </c>
      <c r="C7" s="89" t="str">
        <f>IF(DigitaTICA!C17&lt;&gt;"",DigitaTICA!C17,"")</f>
        <v/>
      </c>
      <c r="D7" s="42">
        <f>IF(C7="",0,C7*J$15)</f>
        <v>0</v>
      </c>
      <c r="E7" s="89" t="str">
        <f>IF(DigitaTICA!D17&lt;&gt;"",DigitaTICA!D17,"")</f>
        <v/>
      </c>
      <c r="F7" s="42">
        <f>IF(E7="",0,E7*PREMIOS!F7)</f>
        <v>0</v>
      </c>
      <c r="G7" s="9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89" t="str">
        <f>IF(DigitaREVENTADO!C17&lt;&gt;"",DigitaREVENTADO!C17,"")</f>
        <v/>
      </c>
      <c r="D8" s="42">
        <f>IF(C8="",0,C8*J$17)</f>
        <v>0</v>
      </c>
      <c r="E8" s="89" t="str">
        <f>IF(DigitaREVENTADO!D17&lt;&gt;"",DigitaREVENTADO!D17,"")</f>
        <v/>
      </c>
      <c r="F8" s="42">
        <f>IF(E8="",0,E8*PREMIOS!F8)</f>
        <v>0</v>
      </c>
      <c r="G8" s="9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36</v>
      </c>
      <c r="C9" s="89" t="str">
        <f>IF(DigitaNICA!E17&lt;&gt;"",DigitaNICA!E17,"")</f>
        <v/>
      </c>
      <c r="D9" s="42">
        <f>IF(C9="",0,C9*J$16)</f>
        <v>0</v>
      </c>
      <c r="E9" s="89" t="str">
        <f>IF(DigitaNICA!F17&lt;&gt;"",DigitaNICA!F17,"")</f>
        <v/>
      </c>
      <c r="F9" s="42">
        <f>IF(E9="",0,E9*PREMIOS!F9)</f>
        <v>0</v>
      </c>
      <c r="G9" s="9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23</v>
      </c>
      <c r="C11" s="89" t="str">
        <f>IF(DigitaTICA!E17&lt;&gt;"",DigitaTICA!E17,"")</f>
        <v/>
      </c>
      <c r="D11" s="42">
        <f>IF(C11="",0,C11*J$15)</f>
        <v>0</v>
      </c>
      <c r="E11" s="89" t="str">
        <f>IF(DigitaTICA!F17&lt;&gt;"",DigitaTICA!F17,"")</f>
        <v/>
      </c>
      <c r="F11" s="42">
        <f>IF(E11="",0,E11*PREMIOS!F11)</f>
        <v>0</v>
      </c>
      <c r="G11" s="9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89" t="str">
        <f>IF(DigitaREVENTADO!E17&lt;&gt;"",DigitaREVENTADO!E17,"")</f>
        <v/>
      </c>
      <c r="D12" s="42">
        <f>IF(C12="",0,C12*J$17)</f>
        <v>0</v>
      </c>
      <c r="E12" s="89" t="str">
        <f>IF(DigitaREVENTADO!F17&lt;&gt;"",DigitaREVENTADO!F17,"")</f>
        <v/>
      </c>
      <c r="F12" s="42">
        <f>IF(E12="",0,E12*PREMIOS!F12)</f>
        <v>0</v>
      </c>
      <c r="G12" s="90">
        <f t="shared" si="1"/>
        <v>0</v>
      </c>
    </row>
    <row r="13" spans="1:12" ht="15" thickBot="1" x14ac:dyDescent="0.4">
      <c r="A13" s="28" t="s">
        <v>50</v>
      </c>
      <c r="B13" s="132">
        <f>IF(DigitaNICA!G2&lt;&gt;"",DigitaNICA!G2,"")</f>
        <v>37</v>
      </c>
      <c r="C13" s="89" t="str">
        <f>IF(DigitaNICA!G17&lt;&gt;"",DigitaNICA!G17,"")</f>
        <v/>
      </c>
      <c r="D13" s="42">
        <f>IF(C13="",0,C13*J$16)</f>
        <v>0</v>
      </c>
      <c r="E13" s="89" t="str">
        <f>IF(DigitaNICA!H17&lt;&gt;"",DigitaNICA!H17,"")</f>
        <v/>
      </c>
      <c r="F13" s="42">
        <f>IF(E13="",0,E13*PREMIOS!F13)</f>
        <v>0</v>
      </c>
      <c r="G13" s="90">
        <f>IF(OR(C13="",E13=""),0,C13-D13-F13)</f>
        <v>0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80" t="s">
        <v>34</v>
      </c>
      <c r="J14" s="280"/>
      <c r="K14" s="280"/>
    </row>
    <row r="15" spans="1:12" x14ac:dyDescent="0.35">
      <c r="A15" s="28" t="s">
        <v>61</v>
      </c>
      <c r="B15" s="132">
        <f>IF(DigitaTICA!G2&lt;&gt;"",DigitaTICA!G2,"")</f>
        <v>61</v>
      </c>
      <c r="C15" s="89" t="str">
        <f>IF(DigitaTICA!G17&lt;&gt;"",DigitaTICA!G17,"")</f>
        <v/>
      </c>
      <c r="D15" s="42">
        <f>IF(C15="",0,C15*J$15)</f>
        <v>0</v>
      </c>
      <c r="E15" s="89" t="str">
        <f>IF(DigitaTICA!H17&lt;&gt;"",DigitaTICA!H17,"")</f>
        <v/>
      </c>
      <c r="F15" s="42">
        <f>IF(E15="",0,E15*PREMIOS!F15)</f>
        <v>0</v>
      </c>
      <c r="G15" s="9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89" t="str">
        <f>IF(DigitaREVENTADO!G17&lt;&gt;"",DigitaREVENTADO!G17,"")</f>
        <v/>
      </c>
      <c r="D16" s="42">
        <f>IF(C16="",0,C16*J$17)</f>
        <v>0</v>
      </c>
      <c r="E16" s="89" t="str">
        <f>IF(DigitaREVENTADO!H17&lt;&gt;"",DigitaREVENTADO!H17,"")</f>
        <v/>
      </c>
      <c r="F16" s="42">
        <f>IF(E16="",0,E16*PREMIOS!F16)</f>
        <v>0</v>
      </c>
      <c r="G16" s="9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">
        <v>52</v>
      </c>
      <c r="B17" s="132">
        <f>IF(DigitaNICA!I2&lt;&gt;"",DigitaNICA!I2,"")</f>
        <v>34</v>
      </c>
      <c r="C17" s="89" t="str">
        <f>IF(DigitaNICA!I17&lt;&gt;"",DigitaNICA!I17,"")</f>
        <v/>
      </c>
      <c r="D17" s="42">
        <f>IF(C17="",0,C17*J$16)</f>
        <v>0</v>
      </c>
      <c r="E17" s="89" t="str">
        <f>IF(DigitaNICA!J17&lt;&gt;"",DigitaNICA!J17,"")</f>
        <v/>
      </c>
      <c r="F17" s="42">
        <f>IF(E17="",0,E17*PREMIOS!F17)</f>
        <v>0</v>
      </c>
      <c r="G17" s="9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19</v>
      </c>
      <c r="C19" s="29" t="str">
        <f>IF(DigitaPRIMERA!$C$17&lt;&gt;"",DigitaPRIMERA!$C$17,"")</f>
        <v/>
      </c>
      <c r="D19" s="42">
        <f>IF(C19="",0,C19*J$18)</f>
        <v>0</v>
      </c>
      <c r="E19" s="29" t="str">
        <f>IF(DigitaPRIMERA!$D$17&lt;&gt;"",DigitaPRIMERA!$D$17,"")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76</v>
      </c>
      <c r="C20" s="29" t="str">
        <f>IF(DigitaPRIMERA!$E$17&lt;&gt;"",DigitaPRIMERA!$E$17,"")</f>
        <v/>
      </c>
      <c r="D20" s="42">
        <f>IF(C20="",0,C20*J$18)</f>
        <v>0</v>
      </c>
      <c r="E20" s="29" t="str">
        <f>IF(DigitaPRIMERA!$F$17&lt;&gt;"",DigitaPRIMERA!$F$17,"")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 t="str">
        <f>IF(DigitaHONDURAS!C2&lt;&gt;"",DigitaHONDURAS!C2,"")</f>
        <v>07</v>
      </c>
      <c r="C21" s="29" t="str">
        <f>IF(DigitaHONDURAS!$C$17&lt;&gt;"",DigitaHONDURAS!$C$17,"")</f>
        <v/>
      </c>
      <c r="D21" s="42">
        <f>IF(C21="",0,C21*J$19)</f>
        <v>0</v>
      </c>
      <c r="E21" s="29" t="str">
        <f>IF(DigitaHONDURAS!$D$17&lt;&gt;"",DigitaHONDURAS!$D$17,"")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98</v>
      </c>
      <c r="C22" s="29" t="str">
        <f>IF(DigitaHONDURAS!$E$17&lt;&gt;"",DigitaHONDURAS!$E$17,"")</f>
        <v/>
      </c>
      <c r="D22" s="42">
        <f>IF(C22="",0,C22*J$19)</f>
        <v>0</v>
      </c>
      <c r="E22" s="29" t="str">
        <f>IF(DigitaHONDURAS!$F$17&lt;&gt;"",DigitaHONDURAS!$F$17,"")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17</v>
      </c>
      <c r="C23" s="29" t="str">
        <f>IF(DigitaHONDURAS!$G$17&lt;&gt;"",DigitaHONDURAS!$G$17,"")</f>
        <v/>
      </c>
      <c r="D23" s="42">
        <f>IF(C23="",0,C23*J$19)</f>
        <v>0</v>
      </c>
      <c r="E23" s="29" t="str">
        <f>IF(DigitaHONDURAS!$H$17&lt;&gt;"",DigitaHONDURAS!$H$17,"")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60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50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92</v>
      </c>
      <c r="C2" s="281"/>
      <c r="D2" s="282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tr">
        <f>+Vendedor1!A5</f>
        <v>Nica 11am</v>
      </c>
      <c r="B5" s="132">
        <f>IF(DigitaNICA!C2&lt;&gt;"",DigitaNICA!C2,"")</f>
        <v>53</v>
      </c>
      <c r="C5" s="29" t="str">
        <f>IF(DigitaNICA!C18&lt;&gt;"",DigitaNICA!C18,"")</f>
        <v/>
      </c>
      <c r="D5" s="42">
        <f>IF(C5="",0,C5*J$16)</f>
        <v>0</v>
      </c>
      <c r="E5" s="29" t="str">
        <f>IF(DigitaNICA!D18&lt;&gt;"",DigitaNICA!D18,"")</f>
        <v/>
      </c>
      <c r="F5" s="42">
        <f>IF(E5="",0,E5*PREMIOS!F5)</f>
        <v>0</v>
      </c>
      <c r="G5" s="3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tr">
        <f>+Vendedor1!A7</f>
        <v>Tica 1pm</v>
      </c>
      <c r="B7" s="132">
        <f>IF(DigitaTICA!C2&lt;&gt;"",DigitaTICA!C2,"")</f>
        <v>75</v>
      </c>
      <c r="C7" s="29" t="str">
        <f>IF(DigitaTICA!C18&lt;&gt;"",DigitaTICA!C18,"")</f>
        <v/>
      </c>
      <c r="D7" s="42">
        <f>IF(C7="",0,C7*J$15)</f>
        <v>0</v>
      </c>
      <c r="E7" s="29" t="str">
        <f>IF(DigitaTICA!D18&lt;&gt;"",DigitaTICA!D18,"")</f>
        <v/>
      </c>
      <c r="F7" s="42">
        <f>IF(E7="",0,E7*PREMIOS!F7)</f>
        <v>0</v>
      </c>
      <c r="G7" s="3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tr">
        <f>+Vendedor1!A8</f>
        <v>Reventado 1pm</v>
      </c>
      <c r="B8" s="132" t="str">
        <f>IF(B7&lt;&gt;"",PREMIOS!B8,"")</f>
        <v>Roja</v>
      </c>
      <c r="C8" s="29" t="str">
        <f>IF(DigitaREVENTADO!C18&lt;&gt;"",DigitaREVENTADO!C18,"")</f>
        <v/>
      </c>
      <c r="D8" s="42">
        <f>IF(C8="",0,C8*J$17)</f>
        <v>0</v>
      </c>
      <c r="E8" s="29" t="str">
        <f>IF(DigitaREVENTADO!D18&lt;&gt;"",DigitaREVENTADO!D18,"")</f>
        <v/>
      </c>
      <c r="F8" s="42">
        <f>IF(E8="",0,E8*PREMIOS!F8)</f>
        <v>0</v>
      </c>
      <c r="G8" s="3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tr">
        <f>+Vendedor1!A9</f>
        <v>Nica 3pm</v>
      </c>
      <c r="B9" s="132">
        <f>IF(DigitaNICA!E2&lt;&gt;"",DigitaNICA!E2,"")</f>
        <v>36</v>
      </c>
      <c r="C9" s="29" t="str">
        <f>IF(DigitaNICA!E18&lt;&gt;"",DigitaNICA!E18,"")</f>
        <v/>
      </c>
      <c r="D9" s="42">
        <f>IF(C9="",0,C9*J$16)</f>
        <v>0</v>
      </c>
      <c r="E9" s="29" t="str">
        <f>IF(DigitaNICA!F18&lt;&gt;"",DigitaNICA!F18,"")</f>
        <v/>
      </c>
      <c r="F9" s="42">
        <f>IF(E9="",0,E9*PREMIOS!F9)</f>
        <v>0</v>
      </c>
      <c r="G9" s="3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23</v>
      </c>
      <c r="C11" s="29" t="str">
        <f>IF(DigitaTICA!E18&lt;&gt;"",DigitaTICA!E18,"")</f>
        <v/>
      </c>
      <c r="D11" s="42">
        <f>IF(C11="",0,C11*J$15)</f>
        <v>0</v>
      </c>
      <c r="E11" s="29" t="str">
        <f>IF(DigitaTICA!F18&lt;&gt;"",DigitaTICA!F18,"")</f>
        <v/>
      </c>
      <c r="F11" s="42">
        <f>IF(E11="",0,E11*PREMIOS!F11)</f>
        <v>0</v>
      </c>
      <c r="G11" s="3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IF(DigitaREVENTADO!E18&lt;&gt;"",DigitaREVENTADO!E18,"")</f>
        <v/>
      </c>
      <c r="D12" s="42">
        <f>IF(C12="",0,C12*J$17)</f>
        <v>0</v>
      </c>
      <c r="E12" s="29" t="str">
        <f>IF(DigitaREVENTADO!F18&lt;&gt;"",DigitaREVENTADO!F18,"")</f>
        <v/>
      </c>
      <c r="F12" s="42">
        <f>IF(E12="",0,E12*PREMIOS!F12)</f>
        <v>0</v>
      </c>
      <c r="G12" s="30">
        <f t="shared" si="1"/>
        <v>0</v>
      </c>
    </row>
    <row r="13" spans="1:12" ht="15" thickBot="1" x14ac:dyDescent="0.4">
      <c r="A13" s="28" t="str">
        <f>+Vendedor1!A13</f>
        <v>Nica 6pm</v>
      </c>
      <c r="B13" s="132">
        <f>IF(DigitaNICA!G2&lt;&gt;"",DigitaNICA!G2,"")</f>
        <v>37</v>
      </c>
      <c r="C13" s="29" t="str">
        <f>IF(DigitaNICA!G18&lt;&gt;"",DigitaNICA!G18,"")</f>
        <v/>
      </c>
      <c r="D13" s="42">
        <f>IF(C13="",0,C13*J$16)</f>
        <v>0</v>
      </c>
      <c r="E13" s="29" t="str">
        <f>IF(DigitaNICA!H18&lt;&gt;"",DigitaNICA!H18,"")</f>
        <v/>
      </c>
      <c r="F13" s="42">
        <f>IF(E13="",0,E13*PREMIOS!F13)</f>
        <v>0</v>
      </c>
      <c r="G13" s="30">
        <f>IF(OR(C13="",E13=""),0,C13-D13-F13)</f>
        <v>0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6" t="s">
        <v>34</v>
      </c>
      <c r="J14" s="287"/>
      <c r="K14" s="288"/>
    </row>
    <row r="15" spans="1:12" x14ac:dyDescent="0.35">
      <c r="A15" s="28" t="str">
        <f>+Vendedor1!A15</f>
        <v>Tica 7:30pm</v>
      </c>
      <c r="B15" s="132">
        <f>IF(DigitaTICA!G2&lt;&gt;"",DigitaTICA!G2,"")</f>
        <v>61</v>
      </c>
      <c r="C15" s="29" t="str">
        <f>IF(DigitaTICA!G18&lt;&gt;"",DigitaTICA!G18,"")</f>
        <v/>
      </c>
      <c r="D15" s="42">
        <f>IF(C15="",0,C15*J$15)</f>
        <v>0</v>
      </c>
      <c r="E15" s="29" t="str">
        <f>IF(DigitaTICA!H18&lt;&gt;"",DigitaTICA!H18,"")</f>
        <v/>
      </c>
      <c r="F15" s="42">
        <f>IF(E15="",0,E15*PREMIOS!F15)</f>
        <v>0</v>
      </c>
      <c r="G15" s="3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IF(DigitaREVENTADO!G18&lt;&gt;"",DigitaREVENTADO!G18,"")</f>
        <v/>
      </c>
      <c r="D16" s="42">
        <f>IF(C16="",0,C16*J$17)</f>
        <v>0</v>
      </c>
      <c r="E16" s="29" t="str">
        <f>IF(DigitaREVENTADO!H18&lt;&gt;"",DigitaREVENTADO!H18,"")</f>
        <v/>
      </c>
      <c r="F16" s="42">
        <f>IF(E16="",0,E16*PREMIOS!F16)</f>
        <v>0</v>
      </c>
      <c r="G16" s="3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tr">
        <f>+Vendedor1!A17</f>
        <v>Nica 9pm</v>
      </c>
      <c r="B17" s="132">
        <f>IF(DigitaNICA!I2&lt;&gt;"",DigitaNICA!I2,"")</f>
        <v>34</v>
      </c>
      <c r="C17" s="29" t="str">
        <f>IF(DigitaNICA!I18&lt;&gt;"",DigitaNICA!I18,"")</f>
        <v/>
      </c>
      <c r="D17" s="42">
        <f>IF(C17="",0,C17*J$16)</f>
        <v>0</v>
      </c>
      <c r="E17" s="29" t="str">
        <f>IF(DigitaNICA!J18&lt;&gt;"",DigitaNICA!J18,"")</f>
        <v/>
      </c>
      <c r="F17" s="42">
        <f>IF(E17="",0,E17*PREMIOS!F17)</f>
        <v>0</v>
      </c>
      <c r="G17" s="3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19</v>
      </c>
      <c r="C19" s="29" t="str">
        <f>IF(DigitaPRIMERA!$C$18&lt;&gt;"",DigitaPRIMERA!$C$18,"")</f>
        <v/>
      </c>
      <c r="D19" s="42">
        <f>IF(C19="",0,C19*J$18)</f>
        <v>0</v>
      </c>
      <c r="E19" s="29" t="str">
        <f>IF(DigitaPRIMERA!$D$18&lt;&gt;"",DigitaPRIMERA!$D$18,"")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76</v>
      </c>
      <c r="C20" s="29" t="str">
        <f>IF(DigitaPRIMERA!$E$18&lt;&gt;"",DigitaPRIMERA!$E$18,"")</f>
        <v/>
      </c>
      <c r="D20" s="42">
        <f>IF(C20="",0,C20*J$18)</f>
        <v>0</v>
      </c>
      <c r="E20" s="29" t="str">
        <f>IF(DigitaPRIMERA!$F$18&lt;&gt;"",DigitaPRIMERA!$F$18,"")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 t="str">
        <f>IF(DigitaHONDURAS!C2&lt;&gt;"",DigitaHONDURAS!C2,"")</f>
        <v>07</v>
      </c>
      <c r="C21" s="29" t="str">
        <f>IF(DigitaHONDURAS!$C$18&lt;&gt;"",DigitaHONDURAS!$C$18,"")</f>
        <v/>
      </c>
      <c r="D21" s="42">
        <f>IF(C21="",0,C21*J$19)</f>
        <v>0</v>
      </c>
      <c r="E21" s="29" t="str">
        <f>IF(DigitaHONDURAS!$D$18&lt;&gt;"",DigitaHONDURAS!$D$18,"")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98</v>
      </c>
      <c r="C22" s="29" t="str">
        <f>IF(DigitaHONDURAS!$E$18&lt;&gt;"",DigitaHONDURAS!$E$18,"")</f>
        <v/>
      </c>
      <c r="D22" s="42">
        <f>IF(C22="",0,C22*J$19)</f>
        <v>0</v>
      </c>
      <c r="E22" s="29" t="str">
        <f>IF(DigitaHONDURAS!$F$18&lt;&gt;"",DigitaHONDURAS!$F$18,"")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17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60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50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2" t="s">
        <v>88</v>
      </c>
      <c r="D2" s="282"/>
      <c r="E2" s="282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53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75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Roja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tr">
        <f>+Vendedor1!A9</f>
        <v>Nica 3pm</v>
      </c>
      <c r="B9" s="132">
        <f>IF(DigitaNICA!E2&lt;&gt;"",DigitaNICA!E2,"")</f>
        <v>36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23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>
        <f>IF(DigitaNICA!G2&lt;&gt;"",DigitaNICA!G2,"")</f>
        <v>37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61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34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2" t="s">
        <v>85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53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75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">
        <v>48</v>
      </c>
      <c r="B9" s="132">
        <f>IF(DigitaNICA!E2&lt;&gt;"",DigitaNICA!E2,"")</f>
        <v>36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23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37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61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34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2" t="s">
        <v>84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53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75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">
        <v>48</v>
      </c>
      <c r="B9" s="132">
        <f>IF(DigitaNICA!E2&lt;&gt;"",DigitaNICA!E2,"")</f>
        <v>36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23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37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61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34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2" t="s">
        <v>83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53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75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">
        <v>48</v>
      </c>
      <c r="B9" s="132">
        <f>IF(DigitaNICA!E2&lt;&gt;"",DigitaNICA!E2,"")</f>
        <v>36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23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37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61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34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2" t="s">
        <v>82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53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75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">
        <v>48</v>
      </c>
      <c r="B9" s="132">
        <f>IF(DigitaNICA!E2&lt;&gt;"",DigitaNICA!E2,"")</f>
        <v>36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23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37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61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34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67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70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2" t="s">
        <v>81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>
        <f>IF(DigitaTICA!C27&lt;&gt;"",DigitaTICA!C27,"")</f>
        <v>-14750</v>
      </c>
      <c r="D7" s="42">
        <f>IF(C7="",0,C7*J$9)</f>
        <v>-1770</v>
      </c>
      <c r="E7" s="29">
        <f>IF(DigitaTICA!D27&lt;&gt;"",DigitaTICA!D27,"")</f>
        <v>0</v>
      </c>
      <c r="F7" s="42">
        <f>IF(E7="",0,E7*PREMIOS!F7)</f>
        <v>0</v>
      </c>
      <c r="G7" s="30">
        <f t="shared" si="0"/>
        <v>-12980</v>
      </c>
    </row>
    <row r="8" spans="1:11" ht="15" thickBot="1" x14ac:dyDescent="0.4">
      <c r="A8" s="28" t="s">
        <v>47</v>
      </c>
      <c r="B8" s="126"/>
      <c r="C8" s="29">
        <f>IF(DigitaREVENTADO!C27&lt;&gt;"",DigitaREVENTADO!C27,"")</f>
        <v>-1500</v>
      </c>
      <c r="D8" s="42">
        <f>IF(C8="",0,C8*J$11)</f>
        <v>-150</v>
      </c>
      <c r="E8" s="29">
        <f>IF(DigitaREVENTADO!D27&lt;&gt;"",DigitaREVENTADO!D27,"")</f>
        <v>0</v>
      </c>
      <c r="F8" s="42">
        <f>IF(E8="",0,E8*PREMIOS!F8)</f>
        <v>0</v>
      </c>
      <c r="G8" s="30">
        <f t="shared" si="0"/>
        <v>-1350</v>
      </c>
      <c r="I8" s="280" t="s">
        <v>34</v>
      </c>
      <c r="J8" s="280"/>
      <c r="K8" s="280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-1750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-150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-16250</v>
      </c>
      <c r="D27" s="68">
        <f t="shared" ref="D27:G27" si="2">SUM(D5:D26)</f>
        <v>-1920</v>
      </c>
      <c r="E27" s="68">
        <f t="shared" si="2"/>
        <v>0</v>
      </c>
      <c r="F27" s="68">
        <f t="shared" si="2"/>
        <v>0</v>
      </c>
      <c r="G27" s="88">
        <f t="shared" si="2"/>
        <v>-14330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106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64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69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58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79" t="s">
        <v>19</v>
      </c>
      <c r="B1" s="79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21" customHeight="1" x14ac:dyDescent="0.35">
      <c r="C2" s="268">
        <f>IF(PREMIOS!$B7="","",PREMIOS!$B7)</f>
        <v>75</v>
      </c>
      <c r="D2" s="269"/>
      <c r="E2" s="268">
        <f>IF(PREMIOS!$B11="","",PREMIOS!$B11)</f>
        <v>23</v>
      </c>
      <c r="F2" s="269"/>
      <c r="G2" s="268">
        <f>IF(PREMIOS!$B15="","",PREMIOS!$B15)</f>
        <v>61</v>
      </c>
      <c r="H2" s="269"/>
    </row>
    <row r="3" spans="1:11" ht="21" customHeight="1" thickBot="1" x14ac:dyDescent="0.4">
      <c r="C3" s="268"/>
      <c r="D3" s="269"/>
      <c r="E3" s="268"/>
      <c r="F3" s="269"/>
      <c r="G3" s="268"/>
      <c r="H3" s="269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57500</v>
      </c>
      <c r="D4" s="78">
        <f t="shared" ref="D4:H27" si="0">IF(C4="","",0)</f>
        <v>0</v>
      </c>
      <c r="E4" s="189">
        <v>51100</v>
      </c>
      <c r="F4" s="78">
        <v>850</v>
      </c>
      <c r="G4" s="189">
        <v>81450</v>
      </c>
      <c r="H4" s="78">
        <f t="shared" si="0"/>
        <v>0</v>
      </c>
      <c r="J4" s="42">
        <f t="shared" ref="J4:J8" si="1">+C4+E4+G4</f>
        <v>190050</v>
      </c>
      <c r="K4" s="42">
        <f>IF(D4="",0,IF(F4="",D4,IF(H4="",D4+F4,D4+F4+H4)))</f>
        <v>850</v>
      </c>
    </row>
    <row r="5" spans="1:11" x14ac:dyDescent="0.35">
      <c r="A5" s="47">
        <v>2</v>
      </c>
      <c r="B5" s="178" t="str">
        <f>Vendedor2!$B$2</f>
        <v>PUESTO 2</v>
      </c>
      <c r="C5" s="180">
        <v>62200</v>
      </c>
      <c r="D5" s="30">
        <v>1500</v>
      </c>
      <c r="E5" s="180">
        <v>25600</v>
      </c>
      <c r="F5" s="30">
        <v>550</v>
      </c>
      <c r="G5" s="180">
        <v>60400</v>
      </c>
      <c r="H5" s="30">
        <f t="shared" si="0"/>
        <v>0</v>
      </c>
      <c r="J5" s="42">
        <f t="shared" si="1"/>
        <v>148200</v>
      </c>
      <c r="K5" s="42">
        <f t="shared" ref="K5:K27" si="2">IF(D5="",0,IF(F5="",D5,IF(H5="",D5+F5,D5+F5+H5)))</f>
        <v>2050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180"/>
      <c r="F7" s="30" t="str">
        <f t="shared" si="0"/>
        <v/>
      </c>
      <c r="G7" s="180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53050</v>
      </c>
      <c r="D8" s="30">
        <f t="shared" si="0"/>
        <v>0</v>
      </c>
      <c r="E8" s="180">
        <v>45150</v>
      </c>
      <c r="F8" s="30">
        <v>2000</v>
      </c>
      <c r="G8" s="180">
        <v>53350</v>
      </c>
      <c r="H8" s="30">
        <v>500</v>
      </c>
      <c r="J8" s="42">
        <f t="shared" si="1"/>
        <v>151550</v>
      </c>
      <c r="K8" s="42">
        <f t="shared" si="2"/>
        <v>2500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35000+97800</f>
        <v>132800</v>
      </c>
      <c r="D10" s="30">
        <f>500+0</f>
        <v>500</v>
      </c>
      <c r="E10" s="180">
        <f>21700+73700</f>
        <v>95400</v>
      </c>
      <c r="F10" s="30">
        <f>700+950</f>
        <v>1650</v>
      </c>
      <c r="G10" s="180">
        <f>26900+89450</f>
        <v>116350</v>
      </c>
      <c r="H10" s="30">
        <v>300</v>
      </c>
      <c r="J10" s="42">
        <f t="shared" si="3"/>
        <v>344550</v>
      </c>
      <c r="K10" s="42">
        <f t="shared" si="2"/>
        <v>2450</v>
      </c>
    </row>
    <row r="11" spans="1:11" x14ac:dyDescent="0.35">
      <c r="A11" s="47">
        <v>8</v>
      </c>
      <c r="B11" s="178" t="str">
        <f>Vendedor8!$B$2</f>
        <v>ISA</v>
      </c>
      <c r="C11" s="180">
        <f>750+500+1250</f>
        <v>2500</v>
      </c>
      <c r="D11" s="30">
        <f t="shared" si="0"/>
        <v>0</v>
      </c>
      <c r="E11" s="180"/>
      <c r="F11" s="30" t="str">
        <f t="shared" si="0"/>
        <v/>
      </c>
      <c r="G11" s="180">
        <f>2000+4000+1000</f>
        <v>7000</v>
      </c>
      <c r="H11" s="30">
        <v>1000</v>
      </c>
      <c r="J11" s="42">
        <f t="shared" si="3"/>
        <v>9500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38400</v>
      </c>
      <c r="D12" s="30">
        <v>250</v>
      </c>
      <c r="E12" s="180">
        <v>24550</v>
      </c>
      <c r="F12" s="30">
        <f t="shared" si="0"/>
        <v>0</v>
      </c>
      <c r="G12" s="180">
        <v>24550</v>
      </c>
      <c r="H12" s="30">
        <v>1000</v>
      </c>
      <c r="J12" s="42">
        <f t="shared" si="3"/>
        <v>87500</v>
      </c>
      <c r="K12" s="42">
        <f t="shared" si="2"/>
        <v>1250</v>
      </c>
    </row>
    <row r="13" spans="1:11" x14ac:dyDescent="0.35">
      <c r="A13" s="47">
        <v>10</v>
      </c>
      <c r="B13" s="178" t="str">
        <f>Vendedor10!$B$2</f>
        <v>MARIALIZ</v>
      </c>
      <c r="C13" s="180">
        <v>24100</v>
      </c>
      <c r="D13" s="30">
        <f t="shared" si="0"/>
        <v>0</v>
      </c>
      <c r="E13" s="180">
        <v>11050</v>
      </c>
      <c r="F13" s="30">
        <v>500</v>
      </c>
      <c r="G13" s="180">
        <v>44450</v>
      </c>
      <c r="H13" s="30">
        <f t="shared" si="0"/>
        <v>0</v>
      </c>
      <c r="J13" s="42">
        <f t="shared" si="3"/>
        <v>79600</v>
      </c>
      <c r="K13" s="42">
        <f t="shared" si="2"/>
        <v>500</v>
      </c>
    </row>
    <row r="14" spans="1:11" x14ac:dyDescent="0.35">
      <c r="A14" s="47">
        <v>11</v>
      </c>
      <c r="B14" s="178" t="str">
        <f>Vendedor11!$B$2</f>
        <v>CHARLY</v>
      </c>
      <c r="C14" s="180">
        <v>37800</v>
      </c>
      <c r="D14" s="30">
        <f t="shared" si="0"/>
        <v>0</v>
      </c>
      <c r="E14" s="180">
        <v>16650</v>
      </c>
      <c r="F14" s="30">
        <f t="shared" si="0"/>
        <v>0</v>
      </c>
      <c r="G14" s="180">
        <v>27700</v>
      </c>
      <c r="H14" s="30">
        <v>600</v>
      </c>
      <c r="J14" s="42">
        <f t="shared" si="3"/>
        <v>82150</v>
      </c>
      <c r="K14" s="42">
        <f t="shared" si="2"/>
        <v>600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180"/>
      <c r="F15" s="30" t="str">
        <f t="shared" si="0"/>
        <v/>
      </c>
      <c r="G15" s="180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14750</v>
      </c>
      <c r="D16" s="30">
        <f t="shared" si="0"/>
        <v>0</v>
      </c>
      <c r="E16" s="180">
        <v>19850</v>
      </c>
      <c r="F16" s="30">
        <v>500</v>
      </c>
      <c r="G16" s="180">
        <v>24050</v>
      </c>
      <c r="H16" s="30">
        <f t="shared" si="0"/>
        <v>0</v>
      </c>
      <c r="J16" s="42">
        <f t="shared" si="3"/>
        <v>58650</v>
      </c>
      <c r="K16" s="42">
        <f t="shared" si="2"/>
        <v>500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2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2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>
        <v>-14750</v>
      </c>
      <c r="D27" s="50">
        <f t="shared" si="0"/>
        <v>0</v>
      </c>
      <c r="E27" s="181"/>
      <c r="F27" s="50" t="str">
        <f t="shared" si="0"/>
        <v/>
      </c>
      <c r="G27" s="181"/>
      <c r="H27" s="50" t="str">
        <f t="shared" si="4"/>
        <v/>
      </c>
      <c r="J27" s="42">
        <f t="shared" si="3"/>
        <v>-14750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408350</v>
      </c>
      <c r="D32" s="44">
        <f t="shared" si="6"/>
        <v>2250</v>
      </c>
      <c r="E32" s="43">
        <f t="shared" si="6"/>
        <v>289350</v>
      </c>
      <c r="F32" s="44">
        <f t="shared" si="6"/>
        <v>6050</v>
      </c>
      <c r="G32" s="43">
        <f t="shared" si="6"/>
        <v>439300</v>
      </c>
      <c r="H32" s="44">
        <f t="shared" si="6"/>
        <v>3400</v>
      </c>
      <c r="J32" s="95">
        <f>SUM(J4:J31)</f>
        <v>1137000</v>
      </c>
      <c r="K32" s="95"/>
    </row>
    <row r="33" spans="2:8" x14ac:dyDescent="0.35">
      <c r="D33" s="99">
        <f>+D32*85</f>
        <v>191250</v>
      </c>
      <c r="F33" s="99">
        <f>+F32*85</f>
        <v>514250</v>
      </c>
      <c r="H33" s="99">
        <f>+H32*85</f>
        <v>289000</v>
      </c>
    </row>
    <row r="34" spans="2:8" x14ac:dyDescent="0.35">
      <c r="B34" s="247" t="s">
        <v>149</v>
      </c>
      <c r="C34" s="43">
        <f t="shared" ref="C34:H34" si="7">+C4+C5+C6+C8+C13</f>
        <v>196850</v>
      </c>
      <c r="D34" s="43" t="e">
        <f t="shared" si="7"/>
        <v>#VALUE!</v>
      </c>
      <c r="E34" s="43">
        <f t="shared" si="7"/>
        <v>132900</v>
      </c>
      <c r="F34" s="43" t="e">
        <f t="shared" si="7"/>
        <v>#VALUE!</v>
      </c>
      <c r="G34" s="43">
        <f t="shared" si="7"/>
        <v>239650</v>
      </c>
      <c r="H34" s="43" t="e">
        <f t="shared" si="7"/>
        <v>#VALUE!</v>
      </c>
    </row>
    <row r="35" spans="2:8" x14ac:dyDescent="0.35">
      <c r="B35" s="247" t="s">
        <v>150</v>
      </c>
      <c r="C35" s="43">
        <f>+C11+C14+C15+C17+C18</f>
        <v>40300</v>
      </c>
      <c r="D35" s="43" t="e">
        <f t="shared" ref="D35:H35" si="8">+D11+D14+D15+D17+D18</f>
        <v>#VALUE!</v>
      </c>
      <c r="E35" s="43">
        <f t="shared" si="8"/>
        <v>16650</v>
      </c>
      <c r="F35" s="43" t="e">
        <f t="shared" si="8"/>
        <v>#VALUE!</v>
      </c>
      <c r="G35" s="43">
        <f t="shared" si="8"/>
        <v>34700</v>
      </c>
      <c r="H35" s="43" t="e">
        <f t="shared" si="8"/>
        <v>#VALUE!</v>
      </c>
    </row>
    <row r="36" spans="2:8" x14ac:dyDescent="0.35">
      <c r="B36" s="247" t="s">
        <v>151</v>
      </c>
      <c r="C36" s="43">
        <f>+C10+C12+C27</f>
        <v>156450</v>
      </c>
      <c r="D36" s="43">
        <f t="shared" ref="D36:H36" si="9">+D10+D12+D27</f>
        <v>750</v>
      </c>
      <c r="E36" s="43">
        <f t="shared" si="9"/>
        <v>119950</v>
      </c>
      <c r="F36" s="43" t="e">
        <f t="shared" si="9"/>
        <v>#VALUE!</v>
      </c>
      <c r="G36" s="43">
        <f t="shared" si="9"/>
        <v>140900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79" t="s">
        <v>22</v>
      </c>
      <c r="B1" s="79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3" ht="21" customHeight="1" x14ac:dyDescent="0.35">
      <c r="C2" s="268">
        <f>IF(PREMIOS!$B5="","",PREMIOS!$B5)</f>
        <v>53</v>
      </c>
      <c r="D2" s="269"/>
      <c r="E2" s="268">
        <f>IF(PREMIOS!$B9="","",PREMIOS!$B9)</f>
        <v>36</v>
      </c>
      <c r="F2" s="269"/>
      <c r="G2" s="268">
        <f>IF(PREMIOS!$B13="","",PREMIOS!$B13)</f>
        <v>37</v>
      </c>
      <c r="H2" s="269"/>
      <c r="I2" s="268">
        <f>IF(PREMIOS!$B17="","",PREMIOS!$B17)</f>
        <v>34</v>
      </c>
      <c r="J2" s="269"/>
    </row>
    <row r="3" spans="1:13" ht="21" customHeight="1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18000</v>
      </c>
      <c r="D4" s="78">
        <f t="shared" ref="D4:J27" si="0">IF(C4="","",0)</f>
        <v>0</v>
      </c>
      <c r="E4" s="206">
        <v>11450</v>
      </c>
      <c r="F4" s="78">
        <f t="shared" si="0"/>
        <v>0</v>
      </c>
      <c r="G4" s="189">
        <v>7500</v>
      </c>
      <c r="H4" s="78">
        <f t="shared" ref="H4:H27" si="1">IF(G4="","",0)</f>
        <v>0</v>
      </c>
      <c r="I4" s="189">
        <v>3950</v>
      </c>
      <c r="J4" s="78">
        <f t="shared" si="0"/>
        <v>0</v>
      </c>
      <c r="L4" s="42">
        <f t="shared" ref="L4:L8" si="2">+C4+E4+G4+I4</f>
        <v>40900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8" t="str">
        <f>Vendedor2!$B$2</f>
        <v>PUESTO 2</v>
      </c>
      <c r="C5" s="180">
        <v>14200</v>
      </c>
      <c r="D5" s="30">
        <v>1000</v>
      </c>
      <c r="E5" s="207">
        <v>16150</v>
      </c>
      <c r="F5" s="30">
        <f t="shared" si="0"/>
        <v>0</v>
      </c>
      <c r="G5" s="180"/>
      <c r="H5" s="30" t="str">
        <f t="shared" si="1"/>
        <v/>
      </c>
      <c r="I5" s="180">
        <v>4000</v>
      </c>
      <c r="J5" s="30">
        <f t="shared" ref="J5:J27" si="3">IF(I5="","",0)</f>
        <v>0</v>
      </c>
      <c r="L5" s="42">
        <f t="shared" si="2"/>
        <v>34350</v>
      </c>
      <c r="M5" s="42">
        <f t="shared" ref="M5:M27" si="4">IF(D5=0,0,IF(F5="",D5,IF(H5="",D5+F5,IF(J5="",D5+F5+H5,D5+F5+H5+J5))))</f>
        <v>1000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50750</v>
      </c>
      <c r="D8" s="30">
        <f t="shared" si="0"/>
        <v>0</v>
      </c>
      <c r="E8" s="207">
        <v>49600</v>
      </c>
      <c r="F8" s="30">
        <f t="shared" si="0"/>
        <v>0</v>
      </c>
      <c r="G8" s="180">
        <v>14400</v>
      </c>
      <c r="H8" s="30">
        <v>250</v>
      </c>
      <c r="I8" s="180">
        <v>50900</v>
      </c>
      <c r="J8" s="30">
        <f t="shared" si="0"/>
        <v>0</v>
      </c>
      <c r="L8" s="42">
        <f t="shared" si="2"/>
        <v>165650</v>
      </c>
      <c r="M8" s="42">
        <f t="shared" si="4"/>
        <v>0</v>
      </c>
    </row>
    <row r="9" spans="1:13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19300+23350</f>
        <v>42650</v>
      </c>
      <c r="D10" s="30">
        <f>100+1300</f>
        <v>1400</v>
      </c>
      <c r="E10" s="207">
        <f>25450+24850</f>
        <v>50300</v>
      </c>
      <c r="F10" s="30">
        <v>200</v>
      </c>
      <c r="G10" s="180">
        <v>50500</v>
      </c>
      <c r="H10" s="30">
        <f t="shared" si="0"/>
        <v>0</v>
      </c>
      <c r="I10" s="180">
        <f>29700+18700</f>
        <v>48400</v>
      </c>
      <c r="J10" s="30">
        <v>150</v>
      </c>
      <c r="L10" s="42">
        <f t="shared" si="5"/>
        <v>191850</v>
      </c>
      <c r="M10" s="42">
        <f t="shared" si="4"/>
        <v>1750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34150</v>
      </c>
      <c r="D12" s="30">
        <f t="shared" si="0"/>
        <v>0</v>
      </c>
      <c r="E12" s="207">
        <v>22200</v>
      </c>
      <c r="F12" s="30">
        <f t="shared" si="0"/>
        <v>0</v>
      </c>
      <c r="G12" s="180"/>
      <c r="H12" s="30" t="str">
        <f t="shared" si="0"/>
        <v/>
      </c>
      <c r="I12" s="180"/>
      <c r="J12" s="30" t="str">
        <f t="shared" si="0"/>
        <v/>
      </c>
      <c r="L12" s="42">
        <f t="shared" si="5"/>
        <v>56350</v>
      </c>
      <c r="M12" s="42">
        <f t="shared" si="4"/>
        <v>0</v>
      </c>
    </row>
    <row r="13" spans="1:13" x14ac:dyDescent="0.35">
      <c r="A13" s="47">
        <v>10</v>
      </c>
      <c r="B13" s="178" t="str">
        <f>Vendedor10!$B$2</f>
        <v>MARIALIZ</v>
      </c>
      <c r="C13" s="180">
        <v>9600</v>
      </c>
      <c r="D13" s="30">
        <f t="shared" si="0"/>
        <v>0</v>
      </c>
      <c r="E13" s="207">
        <v>11400</v>
      </c>
      <c r="F13" s="30">
        <f t="shared" si="0"/>
        <v>0</v>
      </c>
      <c r="G13" s="180"/>
      <c r="H13" s="30" t="str">
        <f t="shared" si="0"/>
        <v/>
      </c>
      <c r="I13" s="180">
        <v>500</v>
      </c>
      <c r="J13" s="30">
        <f t="shared" si="0"/>
        <v>0</v>
      </c>
      <c r="L13" s="42">
        <f t="shared" si="5"/>
        <v>21500</v>
      </c>
      <c r="M13" s="42">
        <f t="shared" si="4"/>
        <v>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3300</v>
      </c>
      <c r="D16" s="30">
        <f t="shared" si="0"/>
        <v>0</v>
      </c>
      <c r="E16" s="207">
        <v>2100</v>
      </c>
      <c r="F16" s="30">
        <f t="shared" si="0"/>
        <v>0</v>
      </c>
      <c r="G16" s="180"/>
      <c r="H16" s="30" t="str">
        <f t="shared" si="0"/>
        <v/>
      </c>
      <c r="I16" s="180">
        <v>29800</v>
      </c>
      <c r="J16" s="30">
        <f t="shared" si="0"/>
        <v>0</v>
      </c>
      <c r="L16" s="42">
        <f t="shared" si="5"/>
        <v>35200</v>
      </c>
      <c r="M16" s="42">
        <f t="shared" si="4"/>
        <v>0</v>
      </c>
    </row>
    <row r="17" spans="1:13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207"/>
      <c r="F17" s="30" t="str">
        <f t="shared" si="0"/>
        <v/>
      </c>
      <c r="G17" s="180"/>
      <c r="H17" s="30" t="str">
        <f t="shared" si="0"/>
        <v/>
      </c>
      <c r="I17" s="180"/>
      <c r="J17" s="30" t="str">
        <f t="shared" si="0"/>
        <v/>
      </c>
      <c r="L17" s="42">
        <f t="shared" si="5"/>
        <v>0</v>
      </c>
      <c r="M17" s="42" t="str">
        <f t="shared" si="4"/>
        <v/>
      </c>
    </row>
    <row r="18" spans="1:13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207"/>
      <c r="F18" s="30" t="str">
        <f t="shared" si="0"/>
        <v/>
      </c>
      <c r="G18" s="180"/>
      <c r="H18" s="30" t="str">
        <f t="shared" si="0"/>
        <v/>
      </c>
      <c r="I18" s="180"/>
      <c r="J18" s="30" t="str">
        <f t="shared" si="3"/>
        <v/>
      </c>
      <c r="L18" s="42">
        <f t="shared" si="5"/>
        <v>0</v>
      </c>
      <c r="M18" s="42" t="str">
        <f t="shared" si="4"/>
        <v/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1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172650</v>
      </c>
      <c r="D32" s="44">
        <f t="shared" si="7"/>
        <v>2400</v>
      </c>
      <c r="E32" s="43">
        <f t="shared" si="7"/>
        <v>163200</v>
      </c>
      <c r="F32" s="44">
        <f t="shared" si="7"/>
        <v>200</v>
      </c>
      <c r="G32" s="43">
        <f t="shared" si="7"/>
        <v>72400</v>
      </c>
      <c r="H32" s="44">
        <f t="shared" si="7"/>
        <v>250</v>
      </c>
      <c r="I32" s="43">
        <f t="shared" si="7"/>
        <v>137550</v>
      </c>
      <c r="J32" s="44">
        <f t="shared" si="7"/>
        <v>150</v>
      </c>
      <c r="L32" s="95">
        <f>SUM(L9:L31)</f>
        <v>304900</v>
      </c>
      <c r="M32" s="95">
        <f>SUM(M9:M31)</f>
        <v>1750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21" customHeight="1" x14ac:dyDescent="0.35">
      <c r="C2" s="268" t="str">
        <f>IF(C33=0,"",CONCATENATE(PREMIOS!$B7," ",PREMIOS!$B8))</f>
        <v>75 Roja</v>
      </c>
      <c r="D2" s="269"/>
      <c r="E2" s="268" t="str">
        <f>IF(E33=0,"",CONCATENATE(PREMIOS!$B11," ",PREMIOS!$B12))</f>
        <v>23 Blanca</v>
      </c>
      <c r="F2" s="269"/>
      <c r="G2" s="268" t="str">
        <f>IF(G33=0,"",CONCATENATE(PREMIOS!$B15," ",PREMIOS!$B16))</f>
        <v>61 Blanca</v>
      </c>
      <c r="H2" s="269"/>
    </row>
    <row r="3" spans="1:11" ht="21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9300+8000</f>
        <v>17300</v>
      </c>
      <c r="D10" s="30">
        <f t="shared" si="0"/>
        <v>0</v>
      </c>
      <c r="E10" s="180">
        <f>3000+4850</f>
        <v>7850</v>
      </c>
      <c r="F10" s="30">
        <f>500+350</f>
        <v>850</v>
      </c>
      <c r="G10" s="180">
        <f>2500+9350</f>
        <v>11850</v>
      </c>
      <c r="H10" s="30">
        <f t="shared" si="0"/>
        <v>0</v>
      </c>
      <c r="J10" s="42">
        <f t="shared" si="3"/>
        <v>37000</v>
      </c>
      <c r="K10" s="42">
        <f t="shared" si="4"/>
        <v>850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2250</v>
      </c>
      <c r="D12" s="30">
        <v>250</v>
      </c>
      <c r="E12" s="180">
        <v>500</v>
      </c>
      <c r="F12" s="30">
        <f t="shared" si="1"/>
        <v>0</v>
      </c>
      <c r="G12" s="180"/>
      <c r="H12" s="30" t="str">
        <f t="shared" si="0"/>
        <v/>
      </c>
      <c r="J12" s="42">
        <f t="shared" si="3"/>
        <v>2750</v>
      </c>
      <c r="K12" s="42">
        <f t="shared" si="4"/>
        <v>250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>
        <v>1500</v>
      </c>
      <c r="D16" s="195">
        <f t="shared" si="0"/>
        <v>0</v>
      </c>
      <c r="E16" s="194">
        <v>1000</v>
      </c>
      <c r="F16" s="195">
        <f t="shared" si="1"/>
        <v>0</v>
      </c>
      <c r="G16" s="194"/>
      <c r="H16" s="195" t="str">
        <f t="shared" si="0"/>
        <v/>
      </c>
      <c r="J16" s="42">
        <f t="shared" si="3"/>
        <v>2500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>
        <v>-1500</v>
      </c>
      <c r="D27" s="50">
        <f t="shared" ref="D27" si="5">IF(C27="","",0)</f>
        <v>0</v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-1500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19550</v>
      </c>
      <c r="D33" s="44">
        <f t="shared" si="7"/>
        <v>250</v>
      </c>
      <c r="E33" s="43">
        <f t="shared" si="7"/>
        <v>9350</v>
      </c>
      <c r="F33" s="44">
        <f t="shared" si="7"/>
        <v>850</v>
      </c>
      <c r="G33" s="43">
        <f t="shared" si="7"/>
        <v>11850</v>
      </c>
      <c r="H33" s="44">
        <f t="shared" si="7"/>
        <v>0</v>
      </c>
      <c r="J33" s="45">
        <f>SUM(J4:J32)</f>
        <v>40750</v>
      </c>
      <c r="K33" s="95">
        <f>SUM(K4:K32)</f>
        <v>1100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2" t="s">
        <v>97</v>
      </c>
      <c r="D1" s="273"/>
      <c r="E1" s="272" t="s">
        <v>98</v>
      </c>
      <c r="F1" s="273"/>
    </row>
    <row r="2" spans="1:9" ht="21" customHeight="1" x14ac:dyDescent="0.35">
      <c r="C2" s="268">
        <f>IF(PREMIOS!$B19="","",PREMIOS!$B19)</f>
        <v>19</v>
      </c>
      <c r="D2" s="269"/>
      <c r="E2" s="268">
        <f>IF(PREMIOS!$C19="","",PREMIOS!$C19)</f>
        <v>76</v>
      </c>
      <c r="F2" s="269"/>
    </row>
    <row r="3" spans="1:9" ht="21" customHeight="1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9800</v>
      </c>
      <c r="D4" s="78">
        <f t="shared" ref="D4:F27" si="0">IF(C4="","",0)</f>
        <v>0</v>
      </c>
      <c r="E4" s="189">
        <v>1000</v>
      </c>
      <c r="F4" s="78">
        <f t="shared" si="0"/>
        <v>0</v>
      </c>
      <c r="H4" s="42">
        <f>+C4+E4</f>
        <v>10800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80">
        <v>8000</v>
      </c>
      <c r="D5" s="30">
        <f t="shared" si="0"/>
        <v>0</v>
      </c>
      <c r="E5" s="180"/>
      <c r="F5" s="30" t="str">
        <f t="shared" ref="F5:F27" si="1">IF(E5="","",0)</f>
        <v/>
      </c>
      <c r="H5" s="42">
        <f t="shared" ref="H5:H32" si="2">+C5+E5</f>
        <v>8000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23950</v>
      </c>
      <c r="D8" s="30">
        <v>1000</v>
      </c>
      <c r="E8" s="194">
        <v>33300</v>
      </c>
      <c r="F8" s="195">
        <f t="shared" si="1"/>
        <v>0</v>
      </c>
      <c r="H8" s="42">
        <f t="shared" si="2"/>
        <v>57250</v>
      </c>
      <c r="I8" s="42">
        <f t="shared" si="3"/>
        <v>1000</v>
      </c>
    </row>
    <row r="9" spans="1:9" x14ac:dyDescent="0.35">
      <c r="A9" s="47">
        <v>6</v>
      </c>
      <c r="B9" s="178" t="str">
        <f>Vendedor6!$B$2</f>
        <v>MARTA ROSA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f>23350+10200</f>
        <v>33550</v>
      </c>
      <c r="D10" s="30">
        <f>250+100</f>
        <v>350</v>
      </c>
      <c r="E10" s="180">
        <v>25550</v>
      </c>
      <c r="F10" s="195">
        <v>200</v>
      </c>
      <c r="H10" s="42">
        <f t="shared" si="2"/>
        <v>59100</v>
      </c>
      <c r="I10" s="42">
        <f t="shared" si="3"/>
        <v>550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45000</v>
      </c>
      <c r="D12" s="30">
        <v>200</v>
      </c>
      <c r="E12" s="194"/>
      <c r="F12" s="30" t="str">
        <f t="shared" si="0"/>
        <v/>
      </c>
      <c r="H12" s="42">
        <f t="shared" si="2"/>
        <v>45000</v>
      </c>
      <c r="I12" s="42">
        <f t="shared" si="3"/>
        <v>200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>
        <v>2400</v>
      </c>
      <c r="D16" s="195">
        <f t="shared" si="0"/>
        <v>0</v>
      </c>
      <c r="E16" s="194">
        <v>800</v>
      </c>
      <c r="F16" s="195">
        <f t="shared" si="0"/>
        <v>0</v>
      </c>
      <c r="H16" s="42">
        <f t="shared" si="2"/>
        <v>3200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195" t="str">
        <f t="shared" si="0"/>
        <v/>
      </c>
      <c r="E17" s="180"/>
      <c r="F17" s="30" t="str">
        <f t="shared" si="0"/>
        <v/>
      </c>
      <c r="H17" s="42">
        <f t="shared" si="2"/>
        <v>0</v>
      </c>
      <c r="I17" s="42">
        <f t="shared" si="3"/>
        <v>0</v>
      </c>
    </row>
    <row r="18" spans="1:9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0"/>
        <v/>
      </c>
      <c r="H18" s="42">
        <f t="shared" si="2"/>
        <v>0</v>
      </c>
      <c r="I18" s="42">
        <f t="shared" si="3"/>
        <v>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122700</v>
      </c>
      <c r="D33" s="44">
        <f>SUM(D4:D32)</f>
        <v>1550</v>
      </c>
      <c r="E33" s="43">
        <f>SUM(E4:E32)</f>
        <v>60650</v>
      </c>
      <c r="F33" s="44">
        <f>SUM(F4:F32)</f>
        <v>200</v>
      </c>
      <c r="H33" s="95">
        <f>SUM(H4:H32)</f>
        <v>183350</v>
      </c>
      <c r="I33" s="95">
        <f>SUM(I4:I32)</f>
        <v>1750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2" t="s">
        <v>99</v>
      </c>
      <c r="D1" s="273"/>
      <c r="E1" s="272" t="s">
        <v>100</v>
      </c>
      <c r="F1" s="273"/>
      <c r="G1" s="272" t="s">
        <v>101</v>
      </c>
      <c r="H1" s="273"/>
    </row>
    <row r="2" spans="1:11" ht="21" customHeight="1" x14ac:dyDescent="0.35">
      <c r="C2" s="268" t="str">
        <f>IF(PREMIOS!$B20="","",PREMIOS!$B20)</f>
        <v>07</v>
      </c>
      <c r="D2" s="269"/>
      <c r="E2" s="268">
        <f>IF(PREMIOS!$C20="","",PREMIOS!$C20)</f>
        <v>98</v>
      </c>
      <c r="F2" s="269"/>
      <c r="G2" s="268">
        <f>IF(PREMIOS!$D20="","",PREMIOS!$D20)</f>
        <v>17</v>
      </c>
      <c r="H2" s="269"/>
    </row>
    <row r="3" spans="1:11" ht="21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12000</v>
      </c>
      <c r="D10" s="195">
        <v>250</v>
      </c>
      <c r="E10" s="180">
        <v>13000</v>
      </c>
      <c r="F10" s="30">
        <f t="shared" si="0"/>
        <v>0</v>
      </c>
      <c r="G10" s="180">
        <f>13600+5700</f>
        <v>19300</v>
      </c>
      <c r="H10" s="195">
        <f t="shared" si="0"/>
        <v>0</v>
      </c>
      <c r="J10" s="42">
        <f t="shared" si="3"/>
        <v>44300</v>
      </c>
      <c r="K10" s="42">
        <f t="shared" si="4"/>
        <v>250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/>
      <c r="D12" s="195" t="str">
        <f t="shared" si="0"/>
        <v/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/>
      <c r="D17" s="195" t="str">
        <f t="shared" si="0"/>
        <v/>
      </c>
      <c r="E17" s="194"/>
      <c r="F17" s="195" t="str">
        <f t="shared" si="0"/>
        <v/>
      </c>
      <c r="G17" s="194"/>
      <c r="H17" s="195" t="str">
        <f t="shared" si="2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1"/>
        <v/>
      </c>
      <c r="G18" s="180"/>
      <c r="H18" s="30" t="str">
        <f t="shared" si="2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12000</v>
      </c>
      <c r="D33" s="44">
        <f t="shared" si="6"/>
        <v>250</v>
      </c>
      <c r="E33" s="43">
        <f t="shared" si="6"/>
        <v>13000</v>
      </c>
      <c r="F33" s="44">
        <f t="shared" si="6"/>
        <v>0</v>
      </c>
      <c r="G33" s="43">
        <f t="shared" si="6"/>
        <v>19300</v>
      </c>
      <c r="H33" s="44">
        <f t="shared" si="6"/>
        <v>0</v>
      </c>
      <c r="J33" s="45">
        <f>SUM(J4:J32)</f>
        <v>44300</v>
      </c>
      <c r="K33" s="95">
        <f>SUM(K4:K32)</f>
        <v>250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3" sqref="E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2" t="s">
        <v>110</v>
      </c>
      <c r="D1" s="273"/>
      <c r="E1" s="272" t="s">
        <v>111</v>
      </c>
      <c r="F1" s="273"/>
    </row>
    <row r="2" spans="1:9" ht="21" customHeight="1" x14ac:dyDescent="0.35">
      <c r="C2" s="268">
        <f>IF(PREMIOS!$B21="","",PREMIOS!$B21)</f>
        <v>60</v>
      </c>
      <c r="D2" s="269"/>
      <c r="E2" s="268">
        <f>IF(PREMIOS!$C21="","",PREMIOS!$C21)</f>
        <v>50</v>
      </c>
      <c r="F2" s="269"/>
    </row>
    <row r="3" spans="1:9" ht="21" customHeight="1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37250</v>
      </c>
      <c r="D10" s="30">
        <f t="shared" si="0"/>
        <v>0</v>
      </c>
      <c r="E10" s="180">
        <v>43500</v>
      </c>
      <c r="F10" s="30">
        <f t="shared" si="0"/>
        <v>0</v>
      </c>
      <c r="H10" s="42">
        <f t="shared" si="2"/>
        <v>80750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37250</v>
      </c>
      <c r="D33" s="44">
        <f>SUM(D4:D32)</f>
        <v>0</v>
      </c>
      <c r="E33" s="43">
        <f>SUM(E4:E32)</f>
        <v>43500</v>
      </c>
      <c r="F33" s="44">
        <f>SUM(F4:F32)</f>
        <v>0</v>
      </c>
      <c r="H33" s="45">
        <f>SUM(H4:H32)</f>
        <v>80750</v>
      </c>
      <c r="I33" s="95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79" t="s">
        <v>38</v>
      </c>
      <c r="B1" s="79"/>
      <c r="C1" s="272" t="s">
        <v>109</v>
      </c>
      <c r="D1" s="273"/>
    </row>
    <row r="2" spans="1:4" ht="21" customHeight="1" x14ac:dyDescent="0.35">
      <c r="C2" s="268" t="str">
        <f>IF(PREMIOS!$B22="","",PREMIOS!$B22)</f>
        <v/>
      </c>
      <c r="D2" s="269"/>
    </row>
    <row r="3" spans="1:4" ht="21" customHeight="1" thickBot="1" x14ac:dyDescent="0.4">
      <c r="C3" s="268"/>
      <c r="D3" s="269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2026-07-29T17:21:06Z</dcterms:modified>
  <dc:language>es-CR</dc:language>
</cp:coreProperties>
</file>
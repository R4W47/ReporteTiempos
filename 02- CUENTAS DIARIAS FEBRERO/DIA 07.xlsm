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irg\Mi unidad\02- CUENTAS DIARIAS FEBRERO\"/>
    </mc:Choice>
  </mc:AlternateContent>
  <xr:revisionPtr revIDLastSave="0" documentId="13_ncr:1_{7EDBA7B7-C832-4EBA-AC0D-3A23D805B228}" xr6:coauthVersionLast="47" xr6:coauthVersionMax="47" xr10:uidLastSave="{00000000-0000-0000-0000-000000000000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G10" i="62"/>
  <c r="I10" i="61"/>
  <c r="H17" i="60"/>
  <c r="G17" i="60"/>
  <c r="G10" i="60"/>
  <c r="H18" i="60"/>
  <c r="G18" i="60"/>
  <c r="G10" i="61"/>
  <c r="E10" i="65"/>
  <c r="F16" i="65"/>
  <c r="E10" i="61"/>
  <c r="E10" i="62"/>
  <c r="F17" i="60"/>
  <c r="E17" i="60"/>
  <c r="F10" i="60"/>
  <c r="E10" i="60"/>
  <c r="E18" i="60"/>
  <c r="C10" i="62"/>
  <c r="D17" i="60"/>
  <c r="C17" i="60"/>
  <c r="D10" i="60"/>
  <c r="C10" i="60"/>
  <c r="C18" i="60"/>
  <c r="D10" i="61"/>
  <c r="C10" i="61"/>
  <c r="C10" i="64"/>
  <c r="C10" i="65"/>
  <c r="D10" i="65" s="1"/>
  <c r="B2" i="23"/>
  <c r="B2" i="25"/>
  <c r="D27" i="65"/>
  <c r="D26" i="65"/>
  <c r="D25" i="65"/>
  <c r="D24" i="65"/>
  <c r="D23" i="65"/>
  <c r="D22" i="65"/>
  <c r="D21" i="65"/>
  <c r="D20" i="65"/>
  <c r="D19" i="65"/>
  <c r="D18" i="65"/>
  <c r="D16" i="65"/>
  <c r="D15" i="65"/>
  <c r="D14" i="65"/>
  <c r="D13" i="65"/>
  <c r="D12" i="65"/>
  <c r="D11" i="65"/>
  <c r="D9" i="65"/>
  <c r="D8" i="65"/>
  <c r="D7" i="65"/>
  <c r="D6" i="65"/>
  <c r="D5" i="65"/>
  <c r="F14" i="19"/>
  <c r="F10" i="19"/>
  <c r="F6" i="19"/>
  <c r="F14" i="8"/>
  <c r="F10" i="8"/>
  <c r="F6" i="8"/>
  <c r="D37" i="73"/>
  <c r="H12" i="69"/>
  <c r="H9" i="69"/>
  <c r="I27" i="73" l="1"/>
  <c r="I26" i="73"/>
  <c r="I25" i="73"/>
  <c r="I24" i="73"/>
  <c r="I23" i="73"/>
  <c r="I22" i="73"/>
  <c r="I21" i="73"/>
  <c r="I20" i="73"/>
  <c r="I19" i="73"/>
  <c r="I18" i="73"/>
  <c r="I17" i="73"/>
  <c r="I16" i="73"/>
  <c r="I15" i="73"/>
  <c r="I14" i="73"/>
  <c r="I13" i="73"/>
  <c r="I12" i="73"/>
  <c r="I11" i="73"/>
  <c r="I10" i="73"/>
  <c r="I9" i="73"/>
  <c r="I8" i="73"/>
  <c r="I7" i="73"/>
  <c r="I6" i="73"/>
  <c r="I5" i="73"/>
  <c r="I4" i="73"/>
  <c r="K27" i="72"/>
  <c r="K26" i="72"/>
  <c r="K25" i="72"/>
  <c r="K24" i="72"/>
  <c r="K23" i="72"/>
  <c r="K22" i="72"/>
  <c r="K21" i="72"/>
  <c r="K20" i="72"/>
  <c r="K19" i="72"/>
  <c r="K18" i="72"/>
  <c r="K17" i="72"/>
  <c r="K16" i="72"/>
  <c r="K15" i="72"/>
  <c r="K14" i="72"/>
  <c r="K13" i="72"/>
  <c r="K12" i="72"/>
  <c r="K11" i="72"/>
  <c r="K9" i="72"/>
  <c r="K8" i="72"/>
  <c r="K7" i="72"/>
  <c r="K6" i="72"/>
  <c r="K5" i="72"/>
  <c r="K4" i="72"/>
  <c r="M27" i="71"/>
  <c r="M26" i="71"/>
  <c r="M25" i="71"/>
  <c r="M24" i="71"/>
  <c r="M23" i="71"/>
  <c r="M22" i="71"/>
  <c r="M21" i="71"/>
  <c r="M20" i="71"/>
  <c r="M19" i="71"/>
  <c r="M16" i="71"/>
  <c r="M15" i="71"/>
  <c r="M14" i="71"/>
  <c r="M13" i="71"/>
  <c r="M12" i="71"/>
  <c r="M11" i="71"/>
  <c r="M9" i="71"/>
  <c r="M8" i="71"/>
  <c r="M7" i="71"/>
  <c r="M6" i="71"/>
  <c r="M5" i="71"/>
  <c r="M4" i="71"/>
  <c r="G36" i="60" l="1"/>
  <c r="E36" i="60"/>
  <c r="G35" i="60"/>
  <c r="E35" i="60"/>
  <c r="D35" i="60"/>
  <c r="C36" i="60"/>
  <c r="C35" i="60"/>
  <c r="G34" i="60"/>
  <c r="E34" i="60"/>
  <c r="C34" i="60"/>
  <c r="K6" i="23"/>
  <c r="J6" i="23"/>
  <c r="L5" i="23"/>
  <c r="K5" i="23"/>
  <c r="J5" i="23"/>
  <c r="L4" i="23"/>
  <c r="K4" i="23"/>
  <c r="J4" i="23"/>
  <c r="F26" i="19"/>
  <c r="L10" i="19" s="1"/>
  <c r="F25" i="19"/>
  <c r="F24" i="19"/>
  <c r="F23" i="19"/>
  <c r="F26" i="8"/>
  <c r="F25" i="8"/>
  <c r="F24" i="8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5" i="61"/>
  <c r="D14" i="61"/>
  <c r="D13" i="61"/>
  <c r="D11" i="61"/>
  <c r="D9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8" i="60"/>
  <c r="D16" i="60"/>
  <c r="D15" i="60"/>
  <c r="D14" i="60"/>
  <c r="D12" i="60"/>
  <c r="D11" i="60"/>
  <c r="E7" i="16" s="1"/>
  <c r="D36" i="60"/>
  <c r="D9" i="60"/>
  <c r="D7" i="60"/>
  <c r="D4" i="60"/>
  <c r="F20" i="23"/>
  <c r="F17" i="23"/>
  <c r="F13" i="23"/>
  <c r="F9" i="23"/>
  <c r="F18" i="23"/>
  <c r="F15" i="23"/>
  <c r="F14" i="23"/>
  <c r="F10" i="23"/>
  <c r="F6" i="23"/>
  <c r="F6" i="14"/>
  <c r="F10" i="14"/>
  <c r="F14" i="14"/>
  <c r="F18" i="14"/>
  <c r="F23" i="14"/>
  <c r="F22" i="14"/>
  <c r="H10" i="64"/>
  <c r="D10" i="64"/>
  <c r="F17" i="65"/>
  <c r="F18" i="62"/>
  <c r="D5" i="61"/>
  <c r="F18" i="61"/>
  <c r="F16" i="61"/>
  <c r="D6" i="60"/>
  <c r="F18" i="60"/>
  <c r="F15" i="60"/>
  <c r="F14" i="60"/>
  <c r="F35" i="60" s="1"/>
  <c r="F12" i="60"/>
  <c r="F11" i="60"/>
  <c r="F9" i="60"/>
  <c r="F7" i="60"/>
  <c r="F6" i="60"/>
  <c r="F4" i="60"/>
  <c r="H13" i="60"/>
  <c r="H12" i="60"/>
  <c r="H11" i="60"/>
  <c r="H9" i="60"/>
  <c r="H7" i="60"/>
  <c r="H6" i="60"/>
  <c r="F18" i="21"/>
  <c r="F14" i="21"/>
  <c r="F10" i="21"/>
  <c r="F6" i="21"/>
  <c r="F26" i="21"/>
  <c r="L10" i="21" s="1"/>
  <c r="K10" i="19"/>
  <c r="J10" i="19"/>
  <c r="L9" i="19"/>
  <c r="K9" i="19"/>
  <c r="J9" i="19"/>
  <c r="L10" i="8"/>
  <c r="K10" i="8"/>
  <c r="J10" i="8"/>
  <c r="K10" i="21"/>
  <c r="J10" i="21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2" i="61"/>
  <c r="J11" i="61"/>
  <c r="J9" i="61"/>
  <c r="J7" i="61"/>
  <c r="F15" i="61"/>
  <c r="F14" i="61"/>
  <c r="F13" i="61"/>
  <c r="F12" i="61"/>
  <c r="F11" i="61"/>
  <c r="E9" i="16" s="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F4" i="61"/>
  <c r="E5" i="16"/>
  <c r="H36" i="60" l="1"/>
  <c r="H34" i="60"/>
  <c r="F36" i="60"/>
  <c r="F34" i="60"/>
  <c r="D34" i="60"/>
  <c r="J8" i="14"/>
  <c r="D21" i="14"/>
  <c r="C12" i="71"/>
  <c r="D22" i="14"/>
  <c r="K15" i="14" s="1"/>
  <c r="G12" i="71"/>
  <c r="E19" i="16"/>
  <c r="D4" i="65"/>
  <c r="D20" i="16"/>
  <c r="K15" i="70"/>
  <c r="K26" i="70"/>
  <c r="K25" i="70"/>
  <c r="K24" i="70"/>
  <c r="K23" i="70"/>
  <c r="K22" i="70"/>
  <c r="K21" i="70"/>
  <c r="K20" i="70"/>
  <c r="K14" i="70"/>
  <c r="K13" i="70"/>
  <c r="K11" i="70"/>
  <c r="K7" i="70"/>
  <c r="O26" i="59"/>
  <c r="O25" i="59"/>
  <c r="O24" i="59"/>
  <c r="O23" i="59"/>
  <c r="O22" i="59"/>
  <c r="O21" i="59"/>
  <c r="O20" i="59"/>
  <c r="F18" i="64"/>
  <c r="F17" i="62"/>
  <c r="E11" i="16"/>
  <c r="K6" i="25"/>
  <c r="K6" i="22"/>
  <c r="D18" i="64"/>
  <c r="F4" i="65"/>
  <c r="E17" i="16"/>
  <c r="E15" i="16"/>
  <c r="C25" i="1"/>
  <c r="B25" i="1"/>
  <c r="C24" i="1"/>
  <c r="B24" i="1"/>
  <c r="C23" i="1"/>
  <c r="B23" i="1"/>
  <c r="C22" i="1"/>
  <c r="B22" i="1"/>
  <c r="C21" i="1"/>
  <c r="B21" i="1"/>
  <c r="C20" i="1"/>
  <c r="B20" i="1"/>
  <c r="C19" i="1"/>
  <c r="B19" i="1"/>
  <c r="C20" i="15"/>
  <c r="E16" i="70" s="1"/>
  <c r="C19" i="15"/>
  <c r="D19" i="15" s="1"/>
  <c r="E20" i="15"/>
  <c r="F20" i="15" s="1"/>
  <c r="F11" i="65"/>
  <c r="E20" i="16" s="1"/>
  <c r="F20" i="16" s="1"/>
  <c r="H16" i="62"/>
  <c r="H15" i="62"/>
  <c r="H14" i="62"/>
  <c r="H13" i="62"/>
  <c r="H12" i="62"/>
  <c r="H11" i="62"/>
  <c r="E16" i="16" s="1"/>
  <c r="H10" i="62"/>
  <c r="H16" i="61"/>
  <c r="H15" i="61"/>
  <c r="H14" i="61"/>
  <c r="H13" i="61"/>
  <c r="H12" i="61"/>
  <c r="H11" i="61"/>
  <c r="E13" i="16" s="1"/>
  <c r="H35" i="60"/>
  <c r="M26" i="52"/>
  <c r="M25" i="52"/>
  <c r="M24" i="52"/>
  <c r="M23" i="52"/>
  <c r="M22" i="52"/>
  <c r="M21" i="52"/>
  <c r="M20" i="52"/>
  <c r="M6" i="52"/>
  <c r="M5" i="52"/>
  <c r="M4" i="52"/>
  <c r="J12" i="71" l="1"/>
  <c r="K12" i="71" s="1"/>
  <c r="K8" i="14"/>
  <c r="F16" i="70"/>
  <c r="D19" i="16"/>
  <c r="K14" i="16" s="1"/>
  <c r="G20" i="16"/>
  <c r="J7" i="16"/>
  <c r="J7" i="15"/>
  <c r="D20" i="15"/>
  <c r="K14" i="15" s="1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6" i="17"/>
  <c r="F14" i="17"/>
  <c r="F12" i="17"/>
  <c r="F10" i="17"/>
  <c r="F8" i="17"/>
  <c r="F6" i="17"/>
  <c r="F18" i="7"/>
  <c r="F16" i="7"/>
  <c r="F14" i="7"/>
  <c r="F12" i="7"/>
  <c r="F10" i="7"/>
  <c r="F8" i="7"/>
  <c r="F6" i="7"/>
  <c r="F18" i="6"/>
  <c r="F14" i="6"/>
  <c r="F10" i="6"/>
  <c r="F6" i="6"/>
  <c r="E8" i="16"/>
  <c r="D9" i="62"/>
  <c r="G20" i="15" l="1"/>
  <c r="K7" i="15"/>
  <c r="G19" i="16"/>
  <c r="K7" i="16"/>
  <c r="D16" i="70"/>
  <c r="F19" i="15"/>
  <c r="G19" i="15"/>
  <c r="C2" i="73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F18" i="72"/>
  <c r="C24" i="8"/>
  <c r="C17" i="72" s="1"/>
  <c r="E24" i="19"/>
  <c r="E25" i="19"/>
  <c r="C25" i="19"/>
  <c r="C24" i="19"/>
  <c r="C18" i="72" s="1"/>
  <c r="C25" i="8"/>
  <c r="E24" i="8"/>
  <c r="E18" i="72"/>
  <c r="C20" i="22"/>
  <c r="E8" i="70" s="1"/>
  <c r="C19" i="22"/>
  <c r="E17" i="72" l="1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C2" i="68"/>
  <c r="E2" i="66"/>
  <c r="E2" i="72" s="1"/>
  <c r="C2" i="66"/>
  <c r="C2" i="72" s="1"/>
  <c r="E2" i="64"/>
  <c r="C2" i="64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9" i="73"/>
  <c r="I29" i="73" s="1"/>
  <c r="F29" i="73"/>
  <c r="H28" i="73"/>
  <c r="I28" i="73" s="1"/>
  <c r="F28" i="73"/>
  <c r="H26" i="73"/>
  <c r="H25" i="73"/>
  <c r="H24" i="73"/>
  <c r="H23" i="73"/>
  <c r="H22" i="73"/>
  <c r="H21" i="73"/>
  <c r="H20" i="73"/>
  <c r="H16" i="73"/>
  <c r="H15" i="73"/>
  <c r="H14" i="73"/>
  <c r="H13" i="73"/>
  <c r="H12" i="73"/>
  <c r="H11" i="73"/>
  <c r="H9" i="73"/>
  <c r="H8" i="73"/>
  <c r="H7" i="73"/>
  <c r="H6" i="73"/>
  <c r="H5" i="73"/>
  <c r="H4" i="73"/>
  <c r="F26" i="73"/>
  <c r="F25" i="73"/>
  <c r="F24" i="73"/>
  <c r="F23" i="73"/>
  <c r="F22" i="73"/>
  <c r="F21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C31" i="73"/>
  <c r="B31" i="73"/>
  <c r="D30" i="73"/>
  <c r="C30" i="73"/>
  <c r="B30" i="73"/>
  <c r="D29" i="73"/>
  <c r="C29" i="73"/>
  <c r="B29" i="73"/>
  <c r="D28" i="73"/>
  <c r="C28" i="73"/>
  <c r="B28" i="73"/>
  <c r="B27" i="73"/>
  <c r="L26" i="73"/>
  <c r="D26" i="73"/>
  <c r="C26" i="73"/>
  <c r="B26" i="73"/>
  <c r="D25" i="73"/>
  <c r="C25" i="73"/>
  <c r="B25" i="73"/>
  <c r="D24" i="73"/>
  <c r="C24" i="73"/>
  <c r="B24" i="73"/>
  <c r="D23" i="73"/>
  <c r="C23" i="73"/>
  <c r="B23" i="73"/>
  <c r="D22" i="73"/>
  <c r="C22" i="73"/>
  <c r="B22" i="73"/>
  <c r="D21" i="73"/>
  <c r="C21" i="73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F27" i="72"/>
  <c r="E27" i="72"/>
  <c r="D18" i="72"/>
  <c r="H18" i="72"/>
  <c r="D17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C26" i="72"/>
  <c r="B26" i="72"/>
  <c r="J25" i="72"/>
  <c r="I25" i="72"/>
  <c r="H25" i="72"/>
  <c r="N25" i="72" s="1"/>
  <c r="F25" i="72"/>
  <c r="E25" i="72"/>
  <c r="D25" i="72"/>
  <c r="C25" i="72"/>
  <c r="B25" i="72"/>
  <c r="J24" i="72"/>
  <c r="F24" i="72"/>
  <c r="E24" i="72"/>
  <c r="D24" i="72"/>
  <c r="C24" i="72"/>
  <c r="H24" i="72" s="1"/>
  <c r="B24" i="72"/>
  <c r="F23" i="72"/>
  <c r="E23" i="72"/>
  <c r="D23" i="72"/>
  <c r="J23" i="72" s="1"/>
  <c r="C23" i="72"/>
  <c r="H23" i="72" s="1"/>
  <c r="B23" i="72"/>
  <c r="H22" i="72"/>
  <c r="F22" i="72"/>
  <c r="E22" i="72"/>
  <c r="D22" i="72"/>
  <c r="J22" i="72" s="1"/>
  <c r="C22" i="72"/>
  <c r="B22" i="72"/>
  <c r="J21" i="72"/>
  <c r="I21" i="72"/>
  <c r="H21" i="72"/>
  <c r="N21" i="72" s="1"/>
  <c r="F21" i="72"/>
  <c r="E21" i="72"/>
  <c r="D21" i="72"/>
  <c r="C21" i="72"/>
  <c r="B21" i="72"/>
  <c r="J20" i="72"/>
  <c r="F20" i="72"/>
  <c r="E20" i="72"/>
  <c r="D20" i="72"/>
  <c r="C20" i="72"/>
  <c r="H20" i="72" s="1"/>
  <c r="B20" i="72"/>
  <c r="B19" i="72"/>
  <c r="B18" i="72"/>
  <c r="B17" i="72"/>
  <c r="J16" i="72"/>
  <c r="H16" i="72"/>
  <c r="I16" i="72" s="1"/>
  <c r="N16" i="72" s="1"/>
  <c r="B16" i="72"/>
  <c r="N15" i="72"/>
  <c r="J15" i="72"/>
  <c r="I15" i="72"/>
  <c r="H15" i="72"/>
  <c r="B15" i="72"/>
  <c r="J14" i="72"/>
  <c r="I14" i="72"/>
  <c r="H14" i="72"/>
  <c r="B14" i="72"/>
  <c r="J13" i="72"/>
  <c r="H13" i="72"/>
  <c r="B13" i="72"/>
  <c r="J12" i="72"/>
  <c r="I12" i="72"/>
  <c r="N12" i="72" s="1"/>
  <c r="H12" i="72"/>
  <c r="B12" i="72"/>
  <c r="J11" i="72"/>
  <c r="I11" i="72"/>
  <c r="N11" i="72" s="1"/>
  <c r="H11" i="72"/>
  <c r="B10" i="72"/>
  <c r="J9" i="72"/>
  <c r="H9" i="72"/>
  <c r="I9" i="72" s="1"/>
  <c r="N9" i="72" s="1"/>
  <c r="B9" i="72"/>
  <c r="J8" i="72"/>
  <c r="I8" i="72"/>
  <c r="H8" i="72"/>
  <c r="J7" i="72"/>
  <c r="I7" i="72"/>
  <c r="H7" i="72"/>
  <c r="B7" i="72"/>
  <c r="H6" i="72"/>
  <c r="J6" i="72"/>
  <c r="B6" i="72"/>
  <c r="J5" i="72"/>
  <c r="H5" i="72"/>
  <c r="B5" i="72"/>
  <c r="J4" i="72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C25" i="71"/>
  <c r="B25" i="71"/>
  <c r="L24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C22" i="71"/>
  <c r="B22" i="71"/>
  <c r="H21" i="71"/>
  <c r="G21" i="71"/>
  <c r="F21" i="71"/>
  <c r="E21" i="71"/>
  <c r="D21" i="71"/>
  <c r="L21" i="71" s="1"/>
  <c r="C21" i="71"/>
  <c r="B21" i="71"/>
  <c r="H20" i="71"/>
  <c r="G20" i="71"/>
  <c r="F20" i="71"/>
  <c r="E20" i="71"/>
  <c r="D20" i="71"/>
  <c r="L20" i="71" s="1"/>
  <c r="C20" i="71"/>
  <c r="B20" i="71"/>
  <c r="B19" i="71"/>
  <c r="B18" i="71"/>
  <c r="B17" i="71"/>
  <c r="L16" i="71"/>
  <c r="J16" i="71"/>
  <c r="B16" i="71"/>
  <c r="L15" i="71"/>
  <c r="J15" i="71"/>
  <c r="B15" i="71"/>
  <c r="L14" i="71"/>
  <c r="J14" i="71"/>
  <c r="B14" i="71"/>
  <c r="L13" i="71"/>
  <c r="J13" i="71"/>
  <c r="B13" i="71"/>
  <c r="B12" i="71"/>
  <c r="J11" i="71"/>
  <c r="L11" i="71"/>
  <c r="B10" i="71"/>
  <c r="L9" i="71"/>
  <c r="J9" i="71"/>
  <c r="L8" i="71"/>
  <c r="J8" i="71"/>
  <c r="L7" i="71"/>
  <c r="J7" i="71"/>
  <c r="J6" i="71"/>
  <c r="L6" i="71"/>
  <c r="B6" i="71"/>
  <c r="L5" i="7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30" i="70"/>
  <c r="J29" i="70"/>
  <c r="J28" i="70"/>
  <c r="H31" i="70"/>
  <c r="H30" i="70"/>
  <c r="H29" i="70"/>
  <c r="H28" i="70"/>
  <c r="J20" i="70"/>
  <c r="J15" i="70"/>
  <c r="J14" i="70"/>
  <c r="J13" i="70"/>
  <c r="J11" i="70"/>
  <c r="J7" i="70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F26" i="66"/>
  <c r="F25" i="66"/>
  <c r="F24" i="66"/>
  <c r="F23" i="66"/>
  <c r="F22" i="66"/>
  <c r="F21" i="66"/>
  <c r="F20" i="66"/>
  <c r="F19" i="66"/>
  <c r="F18" i="66"/>
  <c r="F17" i="66"/>
  <c r="E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D17" i="66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E23" i="8"/>
  <c r="F23" i="8" s="1"/>
  <c r="H16" i="64"/>
  <c r="H15" i="64"/>
  <c r="H14" i="64"/>
  <c r="H13" i="64"/>
  <c r="H12" i="64"/>
  <c r="E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F15" i="64"/>
  <c r="F14" i="64"/>
  <c r="F13" i="64"/>
  <c r="F12" i="64"/>
  <c r="E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D16" i="64"/>
  <c r="K16" i="64" s="1"/>
  <c r="D15" i="64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J7" i="19" s="1"/>
  <c r="C26" i="19"/>
  <c r="D26" i="19" s="1"/>
  <c r="K21" i="19" s="1"/>
  <c r="D25" i="19"/>
  <c r="D24" i="19"/>
  <c r="K20" i="19" s="1"/>
  <c r="C23" i="19"/>
  <c r="G18" i="71" s="1"/>
  <c r="C22" i="19"/>
  <c r="C21" i="19"/>
  <c r="C20" i="19"/>
  <c r="D20" i="19" s="1"/>
  <c r="C19" i="8"/>
  <c r="C26" i="8"/>
  <c r="C17" i="73" s="1"/>
  <c r="F17" i="73" s="1"/>
  <c r="D24" i="8"/>
  <c r="C23" i="8"/>
  <c r="D23" i="8" s="1"/>
  <c r="C22" i="8"/>
  <c r="C21" i="8"/>
  <c r="C20" i="8"/>
  <c r="D20" i="8" s="1"/>
  <c r="E19" i="8"/>
  <c r="F19" i="8" s="1"/>
  <c r="E26" i="21"/>
  <c r="C26" i="21"/>
  <c r="D26" i="21" s="1"/>
  <c r="K20" i="21" s="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9" i="66"/>
  <c r="I8" i="66"/>
  <c r="I7" i="66"/>
  <c r="I6" i="66"/>
  <c r="I5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B30" i="70"/>
  <c r="F29" i="70"/>
  <c r="E29" i="70"/>
  <c r="D29" i="70"/>
  <c r="C29" i="70"/>
  <c r="B29" i="70"/>
  <c r="F28" i="70"/>
  <c r="K28" i="70" s="1"/>
  <c r="E28" i="70"/>
  <c r="D28" i="70"/>
  <c r="C28" i="70"/>
  <c r="B28" i="70"/>
  <c r="B27" i="70"/>
  <c r="F26" i="70"/>
  <c r="E26" i="70"/>
  <c r="D26" i="70"/>
  <c r="J26" i="70" s="1"/>
  <c r="C26" i="70"/>
  <c r="B26" i="70"/>
  <c r="F25" i="70"/>
  <c r="E25" i="70"/>
  <c r="D25" i="70"/>
  <c r="J25" i="70" s="1"/>
  <c r="C25" i="70"/>
  <c r="B25" i="70"/>
  <c r="F24" i="70"/>
  <c r="E24" i="70"/>
  <c r="D24" i="70"/>
  <c r="J24" i="70" s="1"/>
  <c r="C24" i="70"/>
  <c r="H24" i="70" s="1"/>
  <c r="B24" i="70"/>
  <c r="F23" i="70"/>
  <c r="E23" i="70"/>
  <c r="D23" i="70"/>
  <c r="J23" i="70" s="1"/>
  <c r="C23" i="70"/>
  <c r="H23" i="70" s="1"/>
  <c r="B23" i="70"/>
  <c r="F22" i="70"/>
  <c r="E22" i="70"/>
  <c r="D22" i="70"/>
  <c r="J22" i="70" s="1"/>
  <c r="C22" i="70"/>
  <c r="H22" i="70" s="1"/>
  <c r="B22" i="70"/>
  <c r="F21" i="70"/>
  <c r="E21" i="70"/>
  <c r="D21" i="70"/>
  <c r="J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B18" i="68"/>
  <c r="E26" i="8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F6" i="66"/>
  <c r="D6" i="66"/>
  <c r="B6" i="66"/>
  <c r="F5" i="66"/>
  <c r="D5" i="66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L6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K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D19" i="17" l="1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F21" i="29"/>
  <c r="D27" i="71"/>
  <c r="C33" i="64"/>
  <c r="J30" i="64"/>
  <c r="F27" i="71"/>
  <c r="F22" i="29"/>
  <c r="N27" i="71" s="1"/>
  <c r="F23" i="29"/>
  <c r="H27" i="71"/>
  <c r="L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J28" i="71"/>
  <c r="L30" i="71"/>
  <c r="M30" i="71" s="1"/>
  <c r="L31" i="71"/>
  <c r="M31" i="71" s="1"/>
  <c r="J23" i="71"/>
  <c r="J20" i="71"/>
  <c r="K20" i="71" s="1"/>
  <c r="J21" i="71"/>
  <c r="L23" i="7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21" i="7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K21" i="8" s="1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F21" i="19" l="1"/>
  <c r="L8" i="19" s="1"/>
  <c r="F21" i="8"/>
  <c r="L8" i="8" s="1"/>
  <c r="K6" i="17"/>
  <c r="K6" i="7"/>
  <c r="K12" i="7"/>
  <c r="K12" i="6"/>
  <c r="K19" i="21"/>
  <c r="K8" i="19"/>
  <c r="L8" i="14"/>
  <c r="G21" i="14"/>
  <c r="D12" i="71"/>
  <c r="L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N17" i="7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J5" i="19" s="1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F5" i="15" s="1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E16" i="23"/>
  <c r="F16" i="23" s="1"/>
  <c r="L6" i="23" s="1"/>
  <c r="E15" i="23"/>
  <c r="E13" i="23"/>
  <c r="E12" i="23"/>
  <c r="F12" i="23" s="1"/>
  <c r="E11" i="23"/>
  <c r="F11" i="23" s="1"/>
  <c r="E9" i="23"/>
  <c r="E8" i="23"/>
  <c r="F8" i="23" s="1"/>
  <c r="E7" i="23"/>
  <c r="F7" i="23" s="1"/>
  <c r="E5" i="23"/>
  <c r="F5" i="23" s="1"/>
  <c r="C17" i="23"/>
  <c r="C16" i="23"/>
  <c r="C15" i="23"/>
  <c r="C13" i="23"/>
  <c r="G9" i="59" s="1"/>
  <c r="C12" i="23"/>
  <c r="C11" i="23"/>
  <c r="C9" i="23"/>
  <c r="C8" i="23"/>
  <c r="C7" i="23"/>
  <c r="C5" i="23"/>
  <c r="J6" i="15" l="1"/>
  <c r="F17" i="52"/>
  <c r="F12" i="8"/>
  <c r="N18" i="71"/>
  <c r="P18" i="71" s="1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E21" i="15"/>
  <c r="C2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 s="1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N25" i="59"/>
  <c r="L25" i="59"/>
  <c r="M25" i="59" s="1"/>
  <c r="L24" i="59"/>
  <c r="M24" i="59" s="1"/>
  <c r="N24" i="59"/>
  <c r="L23" i="59"/>
  <c r="M23" i="59" s="1"/>
  <c r="N23" i="59"/>
  <c r="L22" i="59"/>
  <c r="M22" i="59" s="1"/>
  <c r="N22" i="59"/>
  <c r="L21" i="59"/>
  <c r="M21" i="59" s="1"/>
  <c r="N21" i="59"/>
  <c r="N20" i="59"/>
  <c r="E17" i="22"/>
  <c r="F17" i="22" s="1"/>
  <c r="E16" i="22"/>
  <c r="F16" i="22" s="1"/>
  <c r="L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L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E15" i="17"/>
  <c r="F15" i="17" s="1"/>
  <c r="E13" i="17"/>
  <c r="F13" i="17" s="1"/>
  <c r="E12" i="17"/>
  <c r="E11" i="17"/>
  <c r="F11" i="17" s="1"/>
  <c r="E9" i="17"/>
  <c r="F9" i="17" s="1"/>
  <c r="E8" i="17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E15" i="7"/>
  <c r="F15" i="7" s="1"/>
  <c r="E13" i="7"/>
  <c r="F13" i="7" s="1"/>
  <c r="E12" i="7"/>
  <c r="E11" i="7"/>
  <c r="F11" i="7" s="1"/>
  <c r="E9" i="7"/>
  <c r="F9" i="7" s="1"/>
  <c r="E8" i="7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K5" i="8" l="1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F21" i="15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D21" i="15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H19" i="73"/>
  <c r="D32" i="73"/>
  <c r="D33" i="73" s="1"/>
  <c r="J19" i="72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I32" i="73" l="1"/>
  <c r="F10" i="74" s="1"/>
  <c r="D38" i="7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D9" i="69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B5" i="1" l="1"/>
  <c r="K5" i="58"/>
  <c r="C4" i="1" s="1"/>
  <c r="B4" i="1"/>
  <c r="K4" i="58"/>
  <c r="B3" i="1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C3" i="1"/>
  <c r="P6" i="58"/>
  <c r="C5" i="1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P26" i="58" s="1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M13" i="58" l="1"/>
  <c r="K16" i="58"/>
  <c r="K29" i="58"/>
  <c r="P29" i="58" s="1"/>
  <c r="K23" i="58"/>
  <c r="P23" i="58" s="1"/>
  <c r="K25" i="58"/>
  <c r="P25" i="58" s="1"/>
  <c r="K31" i="58"/>
  <c r="P31" i="58" s="1"/>
  <c r="K22" i="58"/>
  <c r="P22" i="58" s="1"/>
  <c r="K9" i="58"/>
  <c r="K28" i="58"/>
  <c r="P28" i="58" s="1"/>
  <c r="K21" i="58"/>
  <c r="P21" i="58" s="1"/>
  <c r="K12" i="58"/>
  <c r="K10" i="58"/>
  <c r="K27" i="58"/>
  <c r="P27" i="58" s="1"/>
  <c r="K20" i="58"/>
  <c r="P20" i="58" s="1"/>
  <c r="K17" i="58"/>
  <c r="K19" i="58"/>
  <c r="K24" i="58"/>
  <c r="P24" i="58" s="1"/>
  <c r="K15" i="58"/>
  <c r="K30" i="58"/>
  <c r="P30" i="58" s="1"/>
  <c r="K14" i="58"/>
  <c r="K13" i="58"/>
  <c r="P19" i="58" l="1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K26" i="52" s="1"/>
  <c r="B26" i="52"/>
  <c r="J25" i="52"/>
  <c r="K25" i="52" s="1"/>
  <c r="B25" i="52"/>
  <c r="B24" i="52"/>
  <c r="J22" i="52"/>
  <c r="K22" i="52" s="1"/>
  <c r="J19" i="52"/>
  <c r="J16" i="52"/>
  <c r="B12" i="52"/>
  <c r="J10" i="52"/>
  <c r="J8" i="52"/>
  <c r="B5" i="52"/>
  <c r="B4" i="52"/>
  <c r="J24" i="52"/>
  <c r="K24" i="52" s="1"/>
  <c r="J10" i="30"/>
  <c r="J11" i="30"/>
  <c r="J9" i="30"/>
  <c r="K19" i="52" l="1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52" s="1"/>
  <c r="K4" i="20"/>
  <c r="J23" i="52"/>
  <c r="K23" i="52" s="1"/>
  <c r="J27" i="52"/>
  <c r="J29" i="52"/>
  <c r="K29" i="52" s="1"/>
  <c r="J7" i="52"/>
  <c r="J9" i="52"/>
  <c r="J13" i="52"/>
  <c r="J17" i="52"/>
  <c r="J21" i="52"/>
  <c r="K21" i="52" s="1"/>
  <c r="J6" i="52"/>
  <c r="K6" i="52" s="1"/>
  <c r="J12" i="52"/>
  <c r="J5" i="52"/>
  <c r="K5" i="52" s="1"/>
  <c r="J15" i="52"/>
  <c r="J20" i="52"/>
  <c r="K20" i="52" s="1"/>
  <c r="J14" i="52"/>
  <c r="F16" i="2"/>
  <c r="F12" i="2"/>
  <c r="K14" i="52" l="1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F24" i="14" l="1"/>
  <c r="L6" i="14"/>
  <c r="L6" i="8"/>
  <c r="L6" i="21"/>
  <c r="Q15" i="52"/>
  <c r="G16" i="19"/>
  <c r="O12" i="52"/>
  <c r="D11" i="1" s="1"/>
  <c r="G21" i="15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0" i="52" l="1"/>
  <c r="D19" i="1"/>
  <c r="Q23" i="52"/>
  <c r="D22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<sst xmlns="http://schemas.openxmlformats.org/spreadsheetml/2006/main" count="1288" uniqueCount="160">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</sst>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30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0" fillId="2" borderId="0" xfId="0" applyFill="1" applyAlignment="1">
      <alignment horizontal="right"/>
    </xf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1" fillId="25" borderId="0" xfId="0" applyFont="1" applyFill="1" applyAlignment="1">
      <alignment wrapText="1"/>
    </xf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6" borderId="17" xfId="0" applyNumberFormat="1" applyFill="1" applyBorder="1"/>
    <xf numFmtId="2" fontId="0" fillId="26" borderId="19" xfId="0" applyNumberFormat="1" applyFill="1" applyBorder="1"/>
    <xf numFmtId="2" fontId="0" fillId="26" borderId="21" xfId="0" applyNumberFormat="1" applyFill="1" applyBorder="1"/>
    <xf numFmtId="2" fontId="0" fillId="26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6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6" borderId="18" xfId="0" applyNumberFormat="1" applyFill="1" applyBorder="1"/>
    <xf numFmtId="2" fontId="0" fillId="26" borderId="27" xfId="0" applyNumberFormat="1" applyFill="1" applyBorder="1"/>
    <xf numFmtId="2" fontId="0" fillId="26" borderId="22" xfId="0" applyNumberFormat="1" applyFill="1" applyBorder="1"/>
    <xf numFmtId="2" fontId="0" fillId="26" borderId="23" xfId="0" applyNumberFormat="1" applyFill="1" applyBorder="1"/>
    <xf numFmtId="2" fontId="0" fillId="26" borderId="2" xfId="0" applyNumberFormat="1" applyFill="1" applyBorder="1"/>
    <xf numFmtId="2" fontId="0" fillId="26" borderId="3" xfId="0" applyNumberFormat="1" applyFill="1" applyBorder="1"/>
    <xf numFmtId="2" fontId="0" fillId="26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7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8" borderId="23" xfId="2" applyNumberFormat="1" applyFont="1" applyFill="1" applyBorder="1"/>
    <xf numFmtId="166" fontId="21" fillId="29" borderId="55" xfId="0" applyNumberFormat="1" applyFont="1" applyFill="1" applyBorder="1"/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35</xdr:row>
      <xdr:rowOff>0</xdr:rowOff>
    </xdr:from>
    <xdr:to>
      <xdr:col>14</xdr:col>
      <xdr:colOff>435566</xdr:colOff>
      <xdr:row>37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600722" y="4226278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0</xdr:rowOff>
    </xdr:from>
    <xdr:to>
      <xdr:col>17</xdr:col>
      <xdr:colOff>661344</xdr:colOff>
      <xdr:row>26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11027833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16</xdr:row>
      <xdr:rowOff>0</xdr:rowOff>
    </xdr:from>
    <xdr:to>
      <xdr:col>15</xdr:col>
      <xdr:colOff>661345</xdr:colOff>
      <xdr:row>26</xdr:row>
      <xdr:rowOff>64594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9278056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1</xdr:colOff>
      <xdr:row>9</xdr:row>
      <xdr:rowOff>28222</xdr:rowOff>
    </xdr:from>
    <xdr:to>
      <xdr:col>14</xdr:col>
      <xdr:colOff>390690</xdr:colOff>
      <xdr:row>12</xdr:row>
      <xdr:rowOff>36272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10329334" y="1714500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390690</xdr:colOff>
      <xdr:row>12</xdr:row>
      <xdr:rowOff>8050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8921750" y="16954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386279</xdr:colOff>
      <xdr:row>12</xdr:row>
      <xdr:rowOff>1876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461625" y="1666875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637889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880110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10329333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428690</xdr:colOff>
      <xdr:row>16</xdr:row>
      <xdr:rowOff>3280</xdr:rowOff>
    </xdr:from>
    <xdr:to>
      <xdr:col>10</xdr:col>
      <xdr:colOff>328740</xdr:colOff>
      <xdr:row>19</xdr:row>
      <xdr:rowOff>5040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5527740" y="2981430"/>
          <a:ext cx="1989200" cy="5605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390690</xdr:colOff>
      <xdr:row>6</xdr:row>
      <xdr:rowOff>8756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10209389" y="5715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8</xdr:row>
      <xdr:rowOff>7056</xdr:rowOff>
    </xdr:from>
    <xdr:to>
      <xdr:col>14</xdr:col>
      <xdr:colOff>390690</xdr:colOff>
      <xdr:row>11</xdr:row>
      <xdr:rowOff>8051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10209389" y="1502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16</xdr:row>
      <xdr:rowOff>127000</xdr:rowOff>
    </xdr:from>
    <xdr:to>
      <xdr:col>14</xdr:col>
      <xdr:colOff>521645</xdr:colOff>
      <xdr:row>27</xdr:row>
      <xdr:rowOff>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10167056" y="3062111"/>
          <a:ext cx="1989200" cy="4233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232834</xdr:colOff>
      <xdr:row>16</xdr:row>
      <xdr:rowOff>21167</xdr:rowOff>
    </xdr:from>
    <xdr:to>
      <xdr:col>16</xdr:col>
      <xdr:colOff>500479</xdr:colOff>
      <xdr:row>26</xdr:row>
      <xdr:rowOff>98778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FB0268-3BA6-4FFF-B820-FD9D5AACA062}"/>
            </a:ext>
          </a:extLst>
        </xdr:cNvPr>
        <xdr:cNvSpPr/>
      </xdr:nvSpPr>
      <xdr:spPr>
        <a:xfrm>
          <a:off x="11415890" y="2956278"/>
          <a:ext cx="1989200" cy="4445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42334</xdr:rowOff>
    </xdr:from>
    <xdr:to>
      <xdr:col>14</xdr:col>
      <xdr:colOff>507534</xdr:colOff>
      <xdr:row>26</xdr:row>
      <xdr:rowOff>28223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8A2311-7EF5-480D-8907-6E0A8C238116}"/>
            </a:ext>
          </a:extLst>
        </xdr:cNvPr>
        <xdr:cNvSpPr/>
      </xdr:nvSpPr>
      <xdr:spPr>
        <a:xfrm>
          <a:off x="9673167" y="2794001"/>
          <a:ext cx="1989200" cy="536222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10</xdr:col>
      <xdr:colOff>550334</xdr:colOff>
      <xdr:row>15</xdr:row>
      <xdr:rowOff>112888</xdr:rowOff>
    </xdr:from>
    <xdr:to>
      <xdr:col>13</xdr:col>
      <xdr:colOff>338201</xdr:colOff>
      <xdr:row>17</xdr:row>
      <xdr:rowOff>116804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93B7D9-70D1-47FF-AE83-A3DD358CE626}"/>
            </a:ext>
          </a:extLst>
        </xdr:cNvPr>
        <xdr:cNvSpPr/>
      </xdr:nvSpPr>
      <xdr:spPr>
        <a:xfrm>
          <a:off x="8487834" y="2864555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148166</xdr:rowOff>
    </xdr:from>
    <xdr:to>
      <xdr:col>14</xdr:col>
      <xdr:colOff>507534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2B9FDA-D2BA-490D-A115-D561832CCC32}"/>
            </a:ext>
          </a:extLst>
        </xdr:cNvPr>
        <xdr:cNvSpPr/>
      </xdr:nvSpPr>
      <xdr:spPr>
        <a:xfrm>
          <a:off x="9673167" y="2899833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28222</xdr:colOff>
      <xdr:row>15</xdr:row>
      <xdr:rowOff>176389</xdr:rowOff>
    </xdr:from>
    <xdr:to>
      <xdr:col>12</xdr:col>
      <xdr:colOff>549867</xdr:colOff>
      <xdr:row>26</xdr:row>
      <xdr:rowOff>176388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8FEF0-5427-4AE0-A76C-AB6AC680920B}"/>
            </a:ext>
          </a:extLst>
        </xdr:cNvPr>
        <xdr:cNvSpPr/>
      </xdr:nvSpPr>
      <xdr:spPr>
        <a:xfrm>
          <a:off x="7965722" y="2928056"/>
          <a:ext cx="1989201" cy="55738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21166</xdr:colOff>
      <xdr:row>15</xdr:row>
      <xdr:rowOff>148166</xdr:rowOff>
    </xdr:from>
    <xdr:to>
      <xdr:col>7</xdr:col>
      <xdr:colOff>542811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D38CD-F5BD-4244-9F08-0E16EBC79153}"/>
            </a:ext>
          </a:extLst>
        </xdr:cNvPr>
        <xdr:cNvSpPr/>
      </xdr:nvSpPr>
      <xdr:spPr>
        <a:xfrm>
          <a:off x="4190999" y="2899833"/>
          <a:ext cx="1989201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12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1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16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J71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90625" style="1" customWidth="1"/>
    <col min="3" max="3" width="11.90625" style="1" customWidth="1"/>
    <col min="4" max="4" width="12.453125" style="1" customWidth="1"/>
    <col min="5" max="5" width="3.6328125" style="1" customWidth="1"/>
    <col min="6" max="6" width="14" style="1" bestFit="1" customWidth="1"/>
    <col min="7" max="11" width="9.1796875" style="1"/>
    <col min="12" max="17" width="11.54296875" style="1" hidden="1" customWidth="1"/>
    <col min="18" max="1015" width="9.1796875" style="1" hidden="1"/>
  </cols>
  <sheetData>
    <row r="1" spans="1:1024" ht="15" thickBot="1" x14ac:dyDescent="0.4">
      <c r="AMB1" s="215"/>
      <c r="AMC1" s="215"/>
      <c r="AMD1" s="215"/>
      <c r="AME1" s="215"/>
      <c r="AMF1" s="215"/>
      <c r="AMG1" s="215"/>
      <c r="AMH1" s="215"/>
      <c r="AMI1" s="215"/>
      <c r="AMJ1" s="215"/>
    </row>
    <row r="2" spans="1:1024" s="8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AMB2" s="216"/>
      <c r="AMC2" s="216"/>
      <c r="AMD2" s="216"/>
      <c r="AME2" s="216"/>
      <c r="AMF2" s="216"/>
      <c r="AMG2" s="216"/>
      <c r="AMH2" s="216"/>
      <c r="AMI2" s="216"/>
      <c r="AMJ2" s="216"/>
    </row>
    <row r="3" spans="1:1024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206450</v>
      </c>
      <c r="C3" s="9">
        <f>+HojaTICA!K4+HojaNICA!M4+HojaREVENTADO!K4+HojaPrimera!I4+HojaHonduras!K4+HojaDominicana!I4+HojaPANA!G4</f>
        <v>26800</v>
      </c>
      <c r="D3" s="9">
        <f>+HojaTICA!N4+HojaNICA!P4+HojaREVENTADO!O4+HojaPrimera!L4+HojaHonduras!N4+HojaDominicana!L4+HojaPANA!J4</f>
        <v>125000</v>
      </c>
      <c r="F3" s="10">
        <f t="shared" ref="F3:F27" si="0">+B3-C3-D3</f>
        <v>54650</v>
      </c>
      <c r="AMB3" s="215"/>
      <c r="AMC3" s="215"/>
      <c r="AMD3" s="215"/>
      <c r="AME3" s="215"/>
      <c r="AMF3" s="215"/>
      <c r="AMG3" s="215"/>
      <c r="AMH3" s="215"/>
      <c r="AMI3" s="215"/>
      <c r="AMJ3" s="215"/>
    </row>
    <row r="4" spans="1:1024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190500</v>
      </c>
      <c r="C4" s="9">
        <f>+HojaTICA!K5+HojaNICA!M5+HojaREVENTADO!K5+HojaPrimera!I5+HojaHonduras!K5+HojaDominicana!I5+HojaPANA!G5</f>
        <v>24750</v>
      </c>
      <c r="D4" s="9">
        <f>+HojaTICA!N5+HojaNICA!P5+HojaREVENTADO!O5+HojaPrimera!L5+HojaHonduras!N5+HojaDominicana!L5+HojaPANA!J5</f>
        <v>127500</v>
      </c>
      <c r="F4" s="14">
        <f t="shared" si="0"/>
        <v>38250</v>
      </c>
      <c r="AMB4" s="215"/>
      <c r="AMC4" s="215"/>
      <c r="AMD4" s="215"/>
      <c r="AME4" s="215"/>
      <c r="AMF4" s="215"/>
      <c r="AMG4" s="215"/>
      <c r="AMH4" s="215"/>
      <c r="AMI4" s="215"/>
      <c r="AMJ4" s="215"/>
    </row>
    <row r="5" spans="1:1024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  <c r="AMB5" s="215"/>
      <c r="AMC5" s="215"/>
      <c r="AMD5" s="215"/>
      <c r="AME5" s="215"/>
      <c r="AMF5" s="215"/>
      <c r="AMG5" s="215"/>
      <c r="AMH5" s="215"/>
      <c r="AMI5" s="215"/>
      <c r="AMJ5" s="215"/>
    </row>
    <row r="6" spans="1:1024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  <c r="AMB6" s="215"/>
      <c r="AMC6" s="215"/>
      <c r="AMD6" s="215"/>
      <c r="AME6" s="215"/>
      <c r="AMF6" s="215"/>
      <c r="AMG6" s="215"/>
      <c r="AMH6" s="215"/>
      <c r="AMI6" s="215"/>
      <c r="AMJ6" s="215"/>
    </row>
    <row r="7" spans="1:1024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407400</v>
      </c>
      <c r="C7" s="9">
        <f>+HojaTICA!K8+HojaNICA!M8+HojaREVENTADO!K8+HojaPrimera!I8+HojaHonduras!K8+HojaDominicana!I8+HojaPANA!G8</f>
        <v>48900</v>
      </c>
      <c r="D7" s="9">
        <f>+HojaTICA!N8+HojaNICA!P8+HojaREVENTADO!O8+HojaPrimera!L8+HojaHonduras!N8+HojaDominicana!L8+HojaPANA!J8</f>
        <v>422500</v>
      </c>
      <c r="F7" s="14">
        <f t="shared" si="0"/>
        <v>-64000</v>
      </c>
      <c r="AMB7" s="215"/>
      <c r="AMC7" s="215"/>
      <c r="AMD7" s="215"/>
      <c r="AME7" s="215"/>
      <c r="AMF7" s="215"/>
      <c r="AMG7" s="215"/>
      <c r="AMH7" s="215"/>
      <c r="AMI7" s="215"/>
      <c r="AMJ7" s="215"/>
    </row>
    <row r="8" spans="1:1024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  <c r="AMB8" s="215"/>
      <c r="AMC8" s="215"/>
      <c r="AMD8" s="215"/>
      <c r="AME8" s="215"/>
      <c r="AMF8" s="215"/>
      <c r="AMG8" s="215"/>
      <c r="AMH8" s="215"/>
      <c r="AMI8" s="215"/>
      <c r="AMJ8" s="215"/>
    </row>
    <row r="9" spans="1:1024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1235900</v>
      </c>
      <c r="C9" s="9">
        <f>+HojaTICA!K10+HojaNICA!M10+HojaREVENTADO!K10+HojaPrimera!I10+HojaHonduras!K10+HojaDominicana!I10+HojaPANA!G10</f>
        <v>146710</v>
      </c>
      <c r="D9" s="9">
        <f>+HojaTICA!N10+HojaNICA!P10+HojaREVENTADO!O10+HojaPrimera!L10+HojaHonduras!N10+HojaDominicana!L10+HojaPANA!J10</f>
        <v>1602250</v>
      </c>
      <c r="F9" s="14">
        <f t="shared" si="0"/>
        <v>-513060</v>
      </c>
      <c r="AMB9" s="215"/>
      <c r="AMC9" s="215"/>
      <c r="AMD9" s="215"/>
      <c r="AME9" s="215"/>
      <c r="AMF9" s="215"/>
      <c r="AMG9" s="215"/>
      <c r="AMH9" s="215"/>
      <c r="AMI9" s="215"/>
      <c r="AMJ9" s="215"/>
    </row>
    <row r="10" spans="1:1024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49000</v>
      </c>
      <c r="C10" s="9">
        <f>+HojaTICA!K11+HojaNICA!M11+HojaREVENTADO!K11+HojaPrimera!I11+HojaHonduras!K11+HojaDominicana!I11+HojaPANA!G11</f>
        <v>5900</v>
      </c>
      <c r="D10" s="9">
        <f>+HojaTICA!N11+HojaNICA!P11+HojaREVENTADO!O11+HojaPrimera!L11+HojaHonduras!N11+HojaDominicana!L11+HojaPANA!J11</f>
        <v>0</v>
      </c>
      <c r="F10" s="14">
        <f t="shared" si="0"/>
        <v>43100</v>
      </c>
      <c r="AMB10" s="215"/>
      <c r="AMC10" s="215"/>
      <c r="AMD10" s="215"/>
      <c r="AME10" s="215"/>
      <c r="AMF10" s="215"/>
      <c r="AMG10" s="215"/>
      <c r="AMH10" s="215"/>
      <c r="AMI10" s="215"/>
      <c r="AMJ10" s="215"/>
    </row>
    <row r="11" spans="1:1024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77500</v>
      </c>
      <c r="C11" s="9">
        <f>+HojaTICA!K12+HojaNICA!M12+HojaREVENTADO!K12+HojaPrimera!I12+HojaHonduras!K12+HojaDominicana!I12+HojaPANA!G12</f>
        <v>9250</v>
      </c>
      <c r="D11" s="9">
        <f>+HojaTICA!N12+HojaNICA!P12+HojaREVENTADO!O12+HojaPrimera!L12+HojaHonduras!N12+HojaDominicana!L12+HojaPANA!J12</f>
        <v>85000</v>
      </c>
      <c r="F11" s="14">
        <f t="shared" si="0"/>
        <v>-16750</v>
      </c>
      <c r="AMB11" s="215"/>
      <c r="AMC11" s="215"/>
      <c r="AMD11" s="215"/>
      <c r="AME11" s="215"/>
      <c r="AMF11" s="215"/>
      <c r="AMG11" s="215"/>
      <c r="AMH11" s="215"/>
      <c r="AMI11" s="215"/>
      <c r="AMJ11" s="215"/>
    </row>
    <row r="12" spans="1:1024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177050</v>
      </c>
      <c r="C12" s="9">
        <f>+HojaTICA!K13+HojaNICA!M13+HojaREVENTADO!K13+HojaPrimera!I13+HojaHonduras!K13+HojaDominicana!I13+HojaPANA!G13</f>
        <v>21250</v>
      </c>
      <c r="D12" s="9">
        <f>+HojaTICA!N13+HojaNICA!P13+HojaREVENTADO!O13+HojaPrimera!L13+HojaHonduras!N13+HojaDominicana!L13+HojaPANA!J13</f>
        <v>58500</v>
      </c>
      <c r="F12" s="14">
        <f t="shared" si="0"/>
        <v>97300</v>
      </c>
      <c r="AMB12" s="215"/>
      <c r="AMC12" s="215"/>
      <c r="AMD12" s="215"/>
      <c r="AME12" s="215"/>
      <c r="AMF12" s="215"/>
      <c r="AMG12" s="215"/>
      <c r="AMH12" s="215"/>
      <c r="AMI12" s="215"/>
      <c r="AMJ12" s="215"/>
    </row>
    <row r="13" spans="1:1024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115050</v>
      </c>
      <c r="C13" s="9">
        <f>+HojaTICA!K14+HojaNICA!M14+HojaREVENTADO!K14+HojaPrimera!I14+HojaHonduras!K14+HojaDominicana!I14+HojaPANA!G14</f>
        <v>17250</v>
      </c>
      <c r="D13" s="9">
        <f>+HojaTICA!N14+HojaNICA!P14+HojaREVENTADO!O14+HojaPrimera!L14+HojaHonduras!N14+HojaDominicana!L14+HojaPANA!J14</f>
        <v>40000</v>
      </c>
      <c r="F13" s="14">
        <f t="shared" si="0"/>
        <v>57800</v>
      </c>
      <c r="AMB13" s="215"/>
      <c r="AMC13" s="215"/>
      <c r="AMD13" s="215"/>
      <c r="AME13" s="215"/>
      <c r="AMF13" s="215"/>
      <c r="AMG13" s="215"/>
      <c r="AMH13" s="215"/>
      <c r="AMI13" s="215"/>
      <c r="AMJ13" s="215"/>
    </row>
    <row r="14" spans="1:1024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16800</v>
      </c>
      <c r="C14" s="9">
        <f>+HojaTICA!K15+HojaNICA!M15+HojaREVENTADO!K15+HojaPrimera!I15+HojaHonduras!K15+HojaDominicana!I15+HojaPANA!G15</f>
        <v>1800</v>
      </c>
      <c r="D14" s="9">
        <f>+HojaTICA!N15+HojaNICA!P15+HojaREVENTADO!O15+HojaPrimera!L15+HojaHonduras!N15+HojaDominicana!L15+HojaPANA!J15</f>
        <v>8500</v>
      </c>
      <c r="F14" s="14">
        <f t="shared" si="0"/>
        <v>6500</v>
      </c>
      <c r="AMB14" s="215"/>
      <c r="AMC14" s="215"/>
      <c r="AMD14" s="215"/>
      <c r="AME14" s="215"/>
      <c r="AMF14" s="215"/>
      <c r="AMG14" s="215"/>
      <c r="AMH14" s="215"/>
      <c r="AMI14" s="215"/>
      <c r="AMJ14" s="215"/>
    </row>
    <row r="15" spans="1:1024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125350</v>
      </c>
      <c r="C15" s="9">
        <f>+HojaTICA!K16+HojaNICA!M16+HojaREVENTADO!K16+HojaPrimera!I16+HojaHonduras!K16+HojaDominicana!I16+HojaPANA!G16</f>
        <v>15070</v>
      </c>
      <c r="D15" s="9">
        <f>+HojaTICA!N16+HojaNICA!P16+HojaREVENTADO!O16+HojaPrimera!L16+HojaHonduras!N16+HojaDominicana!L16+HojaPANA!J16</f>
        <v>139500</v>
      </c>
      <c r="F15" s="14">
        <f t="shared" si="0"/>
        <v>-29220</v>
      </c>
      <c r="AMB15" s="215"/>
      <c r="AMC15" s="215"/>
      <c r="AMD15" s="215"/>
      <c r="AME15" s="215"/>
      <c r="AMF15" s="215"/>
      <c r="AMG15" s="215"/>
      <c r="AMH15" s="215"/>
      <c r="AMI15" s="215"/>
      <c r="AMJ15" s="215"/>
    </row>
    <row r="16" spans="1:1024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1100200</v>
      </c>
      <c r="C16" s="9">
        <f>+HojaTICA!K17+HojaNICA!M17+HojaREVENTADO!K17+HojaPrimera!I17+HojaHonduras!K17+HojaDominicana!I17+HojaPANA!G17</f>
        <v>130850</v>
      </c>
      <c r="D16" s="9">
        <f>+HojaTICA!N17+HojaNICA!P17+HojaREVENTADO!O17+HojaPrimera!L17+HojaHonduras!N17+HojaDominicana!L17+HojaPANA!J17</f>
        <v>918500</v>
      </c>
      <c r="F16" s="14">
        <f t="shared" si="0"/>
        <v>50850</v>
      </c>
      <c r="AMB16" s="215"/>
      <c r="AMC16" s="215"/>
      <c r="AMD16" s="215"/>
      <c r="AME16" s="215"/>
      <c r="AMF16" s="215"/>
      <c r="AMG16" s="215"/>
      <c r="AMH16" s="215"/>
      <c r="AMI16" s="215"/>
      <c r="AMJ16" s="215"/>
    </row>
    <row r="17" spans="1:1024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404300</v>
      </c>
      <c r="C17" s="9">
        <f>+HojaTICA!K18+HojaNICA!M18+HojaREVENTADO!K18+HojaPrimera!I18+HojaHonduras!K18+HojaDominicana!I18+HojaPANA!G18</f>
        <v>47750</v>
      </c>
      <c r="D17" s="9">
        <f>+HojaTICA!N18+HojaNICA!P18+HojaREVENTADO!O18+HojaPrimera!L18+HojaHonduras!N18+HojaDominicana!L18+HojaPANA!J18</f>
        <v>347250</v>
      </c>
      <c r="F17" s="14">
        <f t="shared" si="0"/>
        <v>9300</v>
      </c>
      <c r="AMB17" s="215"/>
      <c r="AMC17" s="215"/>
      <c r="AMD17" s="215"/>
      <c r="AME17" s="215"/>
      <c r="AMF17" s="215"/>
      <c r="AMG17" s="215"/>
      <c r="AMH17" s="215"/>
      <c r="AMI17" s="215"/>
      <c r="AMJ17" s="215"/>
    </row>
    <row r="18" spans="1:1024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  <c r="AMB18" s="215"/>
      <c r="AMC18" s="215"/>
      <c r="AMD18" s="215"/>
      <c r="AME18" s="215"/>
      <c r="AMF18" s="215"/>
      <c r="AMG18" s="215"/>
      <c r="AMH18" s="215"/>
      <c r="AMI18" s="215"/>
      <c r="AMJ18" s="215"/>
    </row>
    <row r="19" spans="1:1024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  <c r="AMB19" s="215"/>
      <c r="AMC19" s="215"/>
      <c r="AMD19" s="215"/>
      <c r="AME19" s="215"/>
      <c r="AMF19" s="215"/>
      <c r="AMG19" s="215"/>
      <c r="AMH19" s="215"/>
      <c r="AMI19" s="215"/>
      <c r="AMJ19" s="215"/>
    </row>
    <row r="20" spans="1:1024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  <c r="AMB20" s="215"/>
      <c r="AMC20" s="215"/>
      <c r="AMD20" s="215"/>
      <c r="AME20" s="215"/>
      <c r="AMF20" s="215"/>
      <c r="AMG20" s="215"/>
      <c r="AMH20" s="215"/>
      <c r="AMI20" s="215"/>
      <c r="AMJ20" s="215"/>
    </row>
    <row r="21" spans="1:1024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  <c r="AMB21" s="215"/>
      <c r="AMC21" s="215"/>
      <c r="AMD21" s="215"/>
      <c r="AME21" s="215"/>
      <c r="AMF21" s="215"/>
      <c r="AMG21" s="215"/>
      <c r="AMH21" s="215"/>
      <c r="AMI21" s="215"/>
      <c r="AMJ21" s="215"/>
    </row>
    <row r="22" spans="1:1024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  <c r="AMB22" s="215"/>
      <c r="AMC22" s="215"/>
      <c r="AMD22" s="215"/>
      <c r="AME22" s="215"/>
      <c r="AMF22" s="215"/>
      <c r="AMG22" s="215"/>
      <c r="AMH22" s="215"/>
      <c r="AMI22" s="215"/>
      <c r="AMJ22" s="215"/>
    </row>
    <row r="23" spans="1:1024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  <c r="AMB23" s="215"/>
      <c r="AMC23" s="215"/>
      <c r="AMD23" s="215"/>
      <c r="AME23" s="215"/>
      <c r="AMF23" s="215"/>
      <c r="AMG23" s="215"/>
      <c r="AMH23" s="215"/>
      <c r="AMI23" s="215"/>
      <c r="AMJ23" s="215"/>
    </row>
    <row r="24" spans="1:1024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  <c r="AMB24" s="215"/>
      <c r="AMC24" s="215"/>
      <c r="AMD24" s="215"/>
      <c r="AME24" s="215"/>
      <c r="AMF24" s="215"/>
      <c r="AMG24" s="215"/>
      <c r="AMH24" s="215"/>
      <c r="AMI24" s="215"/>
      <c r="AMJ24" s="215"/>
    </row>
    <row r="25" spans="1:1024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  <c r="AMB25" s="215"/>
      <c r="AMC25" s="215"/>
      <c r="AMD25" s="215"/>
      <c r="AME25" s="215"/>
      <c r="AMF25" s="215"/>
      <c r="AMG25" s="215"/>
      <c r="AMH25" s="215"/>
      <c r="AMI25" s="215"/>
      <c r="AMJ25" s="215"/>
    </row>
    <row r="26" spans="1:1024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  <c r="AMB26" s="215"/>
      <c r="AMC26" s="215"/>
      <c r="AMD26" s="215"/>
      <c r="AME26" s="215"/>
      <c r="AMF26" s="215"/>
      <c r="AMG26" s="215"/>
      <c r="AMH26" s="215"/>
      <c r="AMI26" s="215"/>
      <c r="AMJ26" s="215"/>
    </row>
    <row r="27" spans="1:1024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  <c r="AMB27" s="215"/>
      <c r="AMC27" s="215"/>
      <c r="AMD27" s="215"/>
      <c r="AME27" s="215"/>
      <c r="AMF27" s="215"/>
      <c r="AMG27" s="215"/>
      <c r="AMH27" s="215"/>
      <c r="AMI27" s="215"/>
      <c r="AMJ27" s="215"/>
    </row>
    <row r="28" spans="1:1024" ht="16.5" customHeight="1" thickBot="1" x14ac:dyDescent="0.4">
      <c r="A28" s="16" t="s">
        <v>5</v>
      </c>
      <c r="B28" s="19">
        <f t="shared" ref="B28:D28" si="1">SUM(B3:B27)</f>
        <v>4105500</v>
      </c>
      <c r="C28" s="17">
        <f t="shared" si="1"/>
        <v>496280</v>
      </c>
      <c r="D28" s="18">
        <f t="shared" si="1"/>
        <v>3874500</v>
      </c>
      <c r="F28" s="20">
        <f>SUM(F3:F27)</f>
        <v>-265280</v>
      </c>
      <c r="AMB28" s="215"/>
      <c r="AMC28" s="215"/>
      <c r="AMD28" s="215"/>
      <c r="AME28" s="215"/>
      <c r="AMF28" s="215"/>
      <c r="AMG28" s="215"/>
      <c r="AMH28" s="215"/>
      <c r="AMI28" s="215"/>
      <c r="AMJ28" s="215"/>
    </row>
    <row r="29" spans="1:1024" x14ac:dyDescent="0.35">
      <c r="AMB29" s="215"/>
      <c r="AMC29" s="215"/>
      <c r="AMD29" s="215"/>
      <c r="AME29" s="215"/>
      <c r="AMF29" s="215"/>
      <c r="AMG29" s="215"/>
      <c r="AMH29" s="215"/>
      <c r="AMI29" s="215"/>
      <c r="AMJ29" s="215"/>
    </row>
    <row r="30" spans="1:1024" x14ac:dyDescent="0.35">
      <c r="AMB30" s="215"/>
      <c r="AMC30" s="215"/>
      <c r="AMD30" s="215"/>
      <c r="AME30" s="215"/>
      <c r="AMF30" s="215"/>
      <c r="AMG30" s="215"/>
      <c r="AMH30" s="215"/>
      <c r="AMI30" s="215"/>
      <c r="AMJ30" s="215"/>
    </row>
    <row r="31" spans="1:1024" x14ac:dyDescent="0.35">
      <c r="AMB31" s="215"/>
      <c r="AMC31" s="215"/>
      <c r="AMD31" s="215"/>
      <c r="AME31" s="215"/>
      <c r="AMF31" s="215"/>
      <c r="AMG31" s="215"/>
      <c r="AMH31" s="215"/>
      <c r="AMI31" s="215"/>
      <c r="AMJ31" s="215"/>
    </row>
    <row r="32" spans="1:1024" ht="18" x14ac:dyDescent="0.4">
      <c r="B32" s="98"/>
      <c r="C32" s="98"/>
      <c r="D32" s="98"/>
      <c r="E32" s="98"/>
      <c r="F32" s="97"/>
      <c r="AMB32" s="215"/>
      <c r="AMC32" s="215"/>
      <c r="AMD32" s="215"/>
      <c r="AME32" s="215"/>
      <c r="AMF32" s="215"/>
      <c r="AMG32" s="215"/>
      <c r="AMH32" s="215"/>
      <c r="AMI32" s="215"/>
      <c r="AMJ32" s="215"/>
    </row>
    <row r="33" spans="1016:1024" x14ac:dyDescent="0.35">
      <c r="AMB33" s="215"/>
      <c r="AMC33" s="215"/>
      <c r="AMD33" s="215"/>
      <c r="AME33" s="215"/>
      <c r="AMF33" s="215"/>
      <c r="AMG33" s="215"/>
      <c r="AMH33" s="215"/>
      <c r="AMI33" s="215"/>
      <c r="AMJ33" s="215"/>
    </row>
    <row r="34" spans="1016:1024" x14ac:dyDescent="0.35">
      <c r="AMB34" s="215"/>
      <c r="AMC34" s="215"/>
      <c r="AMD34" s="215"/>
      <c r="AME34" s="215"/>
      <c r="AMF34" s="215"/>
      <c r="AMG34" s="215"/>
      <c r="AMH34" s="215"/>
      <c r="AMI34" s="215"/>
      <c r="AMJ34" s="215"/>
    </row>
    <row r="35" spans="1016:1024" x14ac:dyDescent="0.35">
      <c r="AMB35" s="215"/>
      <c r="AMC35" s="215"/>
      <c r="AMD35" s="215"/>
      <c r="AME35" s="215"/>
      <c r="AMF35" s="215"/>
      <c r="AMG35" s="215"/>
      <c r="AMH35" s="215"/>
      <c r="AMI35" s="215"/>
      <c r="AMJ35" s="215"/>
    </row>
    <row r="36" spans="1016:1024" x14ac:dyDescent="0.35">
      <c r="AMB36" s="215"/>
      <c r="AMC36" s="215"/>
      <c r="AMD36" s="215"/>
      <c r="AME36" s="215"/>
      <c r="AMF36" s="215"/>
      <c r="AMG36" s="215"/>
      <c r="AMH36" s="215"/>
      <c r="AMI36" s="215"/>
      <c r="AMJ36" s="215"/>
    </row>
    <row r="37" spans="1016:1024" x14ac:dyDescent="0.35">
      <c r="AMB37" s="215"/>
      <c r="AMC37" s="215"/>
      <c r="AMD37" s="215"/>
      <c r="AME37" s="215"/>
      <c r="AMF37" s="215"/>
      <c r="AMG37" s="215"/>
      <c r="AMH37" s="215"/>
      <c r="AMI37" s="215"/>
      <c r="AMJ37" s="215"/>
    </row>
    <row r="38" spans="1016:1024" x14ac:dyDescent="0.35">
      <c r="AMB38" s="215"/>
      <c r="AMC38" s="215"/>
      <c r="AMD38" s="215"/>
      <c r="AME38" s="215"/>
      <c r="AMF38" s="215"/>
      <c r="AMG38" s="215"/>
      <c r="AMH38" s="215"/>
      <c r="AMI38" s="215"/>
      <c r="AMJ38" s="215"/>
    </row>
    <row r="39" spans="1016:1024" x14ac:dyDescent="0.35">
      <c r="AMB39" s="215"/>
      <c r="AMC39" s="215"/>
      <c r="AMD39" s="215"/>
      <c r="AME39" s="215"/>
      <c r="AMF39" s="215"/>
      <c r="AMG39" s="215"/>
      <c r="AMH39" s="215"/>
      <c r="AMI39" s="215"/>
      <c r="AMJ39" s="215"/>
    </row>
    <row r="40" spans="1016:1024" x14ac:dyDescent="0.35">
      <c r="AMB40" s="215"/>
      <c r="AMC40" s="215"/>
      <c r="AMD40" s="215"/>
      <c r="AME40" s="215"/>
      <c r="AMF40" s="215"/>
      <c r="AMG40" s="215"/>
      <c r="AMH40" s="215"/>
      <c r="AMI40" s="215"/>
      <c r="AMJ40" s="215"/>
    </row>
    <row r="41" spans="1016:1024" x14ac:dyDescent="0.35">
      <c r="AMB41" s="215"/>
      <c r="AMC41" s="215"/>
      <c r="AMD41" s="215"/>
      <c r="AME41" s="215"/>
      <c r="AMF41" s="215"/>
      <c r="AMG41" s="215"/>
      <c r="AMH41" s="215"/>
      <c r="AMI41" s="215"/>
      <c r="AMJ41" s="215"/>
    </row>
    <row r="42" spans="1016:1024" x14ac:dyDescent="0.35">
      <c r="AMB42" s="215"/>
      <c r="AMC42" s="215"/>
      <c r="AMD42" s="215"/>
      <c r="AME42" s="215"/>
      <c r="AMF42" s="215"/>
      <c r="AMG42" s="215"/>
      <c r="AMH42" s="215"/>
      <c r="AMI42" s="215"/>
      <c r="AMJ42" s="215"/>
    </row>
    <row r="43" spans="1016:1024" x14ac:dyDescent="0.35">
      <c r="AMB43" s="215"/>
      <c r="AMC43" s="215"/>
      <c r="AMD43" s="215"/>
      <c r="AME43" s="215"/>
      <c r="AMF43" s="215"/>
      <c r="AMG43" s="215"/>
      <c r="AMH43" s="215"/>
      <c r="AMI43" s="215"/>
      <c r="AMJ43" s="215"/>
    </row>
    <row r="44" spans="1016:1024" x14ac:dyDescent="0.35">
      <c r="AMB44" s="215"/>
      <c r="AMC44" s="215"/>
      <c r="AMD44" s="215"/>
      <c r="AME44" s="215"/>
      <c r="AMF44" s="215"/>
      <c r="AMG44" s="215"/>
      <c r="AMH44" s="215"/>
      <c r="AMI44" s="215"/>
      <c r="AMJ44" s="215"/>
    </row>
    <row r="45" spans="1016:1024" x14ac:dyDescent="0.35">
      <c r="AMB45" s="215"/>
      <c r="AMC45" s="215"/>
      <c r="AMD45" s="215"/>
      <c r="AME45" s="215"/>
      <c r="AMF45" s="215"/>
      <c r="AMG45" s="215"/>
      <c r="AMH45" s="215"/>
      <c r="AMI45" s="215"/>
      <c r="AMJ45" s="215"/>
    </row>
    <row r="46" spans="1016:1024" x14ac:dyDescent="0.35">
      <c r="AMB46" s="215"/>
      <c r="AMC46" s="215"/>
      <c r="AMD46" s="215"/>
      <c r="AME46" s="215"/>
      <c r="AMF46" s="215"/>
      <c r="AMG46" s="215"/>
      <c r="AMH46" s="215"/>
      <c r="AMI46" s="215"/>
      <c r="AMJ46" s="215"/>
    </row>
    <row r="47" spans="1016:1024" x14ac:dyDescent="0.35">
      <c r="AMB47" s="215"/>
      <c r="AMC47" s="215"/>
      <c r="AMD47" s="215"/>
      <c r="AME47" s="215"/>
      <c r="AMF47" s="215"/>
      <c r="AMG47" s="215"/>
      <c r="AMH47" s="215"/>
      <c r="AMI47" s="215"/>
      <c r="AMJ47" s="215"/>
    </row>
    <row r="48" spans="1016:1024" x14ac:dyDescent="0.35">
      <c r="AMB48" s="215"/>
      <c r="AMC48" s="215"/>
      <c r="AMD48" s="215"/>
      <c r="AME48" s="215"/>
      <c r="AMF48" s="215"/>
      <c r="AMG48" s="215"/>
      <c r="AMH48" s="215"/>
      <c r="AMI48" s="215"/>
      <c r="AMJ48" s="215"/>
    </row>
    <row r="49" spans="1016:1024" x14ac:dyDescent="0.35">
      <c r="AMB49" s="215"/>
      <c r="AMC49" s="215"/>
      <c r="AMD49" s="215"/>
      <c r="AME49" s="215"/>
      <c r="AMF49" s="215"/>
      <c r="AMG49" s="215"/>
      <c r="AMH49" s="215"/>
      <c r="AMI49" s="215"/>
      <c r="AMJ49" s="215"/>
    </row>
    <row r="50" spans="1016:1024" x14ac:dyDescent="0.35">
      <c r="AMB50" s="215"/>
      <c r="AMC50" s="215"/>
      <c r="AMD50" s="215"/>
      <c r="AME50" s="215"/>
      <c r="AMF50" s="215"/>
      <c r="AMG50" s="215"/>
      <c r="AMH50" s="215"/>
      <c r="AMI50" s="215"/>
      <c r="AMJ50" s="215"/>
    </row>
    <row r="51" spans="1016:1024" x14ac:dyDescent="0.35">
      <c r="AMB51" s="215"/>
      <c r="AMC51" s="215"/>
      <c r="AMD51" s="215"/>
      <c r="AME51" s="215"/>
      <c r="AMF51" s="215"/>
      <c r="AMG51" s="215"/>
      <c r="AMH51" s="215"/>
      <c r="AMI51" s="215"/>
      <c r="AMJ51" s="215"/>
    </row>
    <row r="52" spans="1016:1024" x14ac:dyDescent="0.35">
      <c r="AMB52" s="215"/>
      <c r="AMC52" s="215"/>
      <c r="AMD52" s="215"/>
      <c r="AME52" s="215"/>
      <c r="AMF52" s="215"/>
      <c r="AMG52" s="215"/>
      <c r="AMH52" s="215"/>
      <c r="AMI52" s="215"/>
      <c r="AMJ52" s="215"/>
    </row>
    <row r="53" spans="1016:1024" x14ac:dyDescent="0.35">
      <c r="AMB53" s="215"/>
      <c r="AMC53" s="215"/>
      <c r="AMD53" s="215"/>
      <c r="AME53" s="215"/>
      <c r="AMF53" s="215"/>
      <c r="AMG53" s="215"/>
      <c r="AMH53" s="215"/>
      <c r="AMI53" s="215"/>
      <c r="AMJ53" s="215"/>
    </row>
    <row r="54" spans="1016:1024" x14ac:dyDescent="0.35">
      <c r="AMB54" s="215"/>
      <c r="AMC54" s="215"/>
      <c r="AMD54" s="215"/>
      <c r="AME54" s="215"/>
      <c r="AMF54" s="215"/>
      <c r="AMG54" s="215"/>
      <c r="AMH54" s="215"/>
      <c r="AMI54" s="215"/>
      <c r="AMJ54" s="215"/>
    </row>
    <row r="55" spans="1016:1024" x14ac:dyDescent="0.35">
      <c r="AMB55" s="215"/>
      <c r="AMC55" s="215"/>
      <c r="AMD55" s="215"/>
      <c r="AME55" s="215"/>
      <c r="AMF55" s="215"/>
      <c r="AMG55" s="215"/>
      <c r="AMH55" s="215"/>
      <c r="AMI55" s="215"/>
      <c r="AMJ55" s="215"/>
    </row>
    <row r="56" spans="1016:1024" x14ac:dyDescent="0.35">
      <c r="AMB56" s="215"/>
      <c r="AMC56" s="215"/>
      <c r="AMD56" s="215"/>
      <c r="AME56" s="215"/>
      <c r="AMF56" s="215"/>
      <c r="AMG56" s="215"/>
      <c r="AMH56" s="215"/>
      <c r="AMI56" s="215"/>
      <c r="AMJ56" s="215"/>
    </row>
    <row r="57" spans="1016:1024" x14ac:dyDescent="0.35">
      <c r="AMB57" s="215"/>
      <c r="AMC57" s="215"/>
      <c r="AMD57" s="215"/>
      <c r="AME57" s="215"/>
      <c r="AMF57" s="215"/>
      <c r="AMG57" s="215"/>
      <c r="AMH57" s="215"/>
      <c r="AMI57" s="215"/>
      <c r="AMJ57" s="215"/>
    </row>
    <row r="58" spans="1016:1024" x14ac:dyDescent="0.35">
      <c r="AMB58" s="215"/>
      <c r="AMC58" s="215"/>
      <c r="AMD58" s="215"/>
      <c r="AME58" s="215"/>
      <c r="AMF58" s="215"/>
      <c r="AMG58" s="215"/>
      <c r="AMH58" s="215"/>
      <c r="AMI58" s="215"/>
      <c r="AMJ58" s="215"/>
    </row>
    <row r="59" spans="1016:1024" x14ac:dyDescent="0.35">
      <c r="AMB59" s="215"/>
      <c r="AMC59" s="215"/>
      <c r="AMD59" s="215"/>
      <c r="AME59" s="215"/>
      <c r="AMF59" s="215"/>
      <c r="AMG59" s="215"/>
      <c r="AMH59" s="215"/>
      <c r="AMI59" s="215"/>
      <c r="AMJ59" s="215"/>
    </row>
    <row r="60" spans="1016:1024" x14ac:dyDescent="0.35">
      <c r="AMB60" s="215"/>
      <c r="AMC60" s="215"/>
      <c r="AMD60" s="215"/>
      <c r="AME60" s="215"/>
      <c r="AMF60" s="215"/>
      <c r="AMG60" s="215"/>
      <c r="AMH60" s="215"/>
      <c r="AMI60" s="215"/>
      <c r="AMJ60" s="215"/>
    </row>
    <row r="61" spans="1016:1024" x14ac:dyDescent="0.35">
      <c r="AMB61" s="215"/>
      <c r="AMC61" s="215"/>
      <c r="AMD61" s="215"/>
      <c r="AME61" s="215"/>
      <c r="AMF61" s="215"/>
      <c r="AMG61" s="215"/>
      <c r="AMH61" s="215"/>
      <c r="AMI61" s="215"/>
      <c r="AMJ61" s="215"/>
    </row>
    <row r="62" spans="1016:1024" x14ac:dyDescent="0.35">
      <c r="AMB62" s="215"/>
      <c r="AMC62" s="215"/>
      <c r="AMD62" s="215"/>
      <c r="AME62" s="215"/>
      <c r="AMF62" s="215"/>
      <c r="AMG62" s="215"/>
      <c r="AMH62" s="215"/>
      <c r="AMI62" s="215"/>
      <c r="AMJ62" s="215"/>
    </row>
    <row r="63" spans="1016:1024" x14ac:dyDescent="0.35">
      <c r="AMB63" s="215"/>
      <c r="AMC63" s="215"/>
      <c r="AMD63" s="215"/>
      <c r="AME63" s="215"/>
      <c r="AMF63" s="215"/>
      <c r="AMG63" s="215"/>
      <c r="AMH63" s="215"/>
      <c r="AMI63" s="215"/>
      <c r="AMJ63" s="215"/>
    </row>
    <row r="64" spans="1016:1024" x14ac:dyDescent="0.35">
      <c r="AMB64" s="215"/>
      <c r="AMC64" s="215"/>
      <c r="AMD64" s="215"/>
      <c r="AME64" s="215"/>
      <c r="AMF64" s="215"/>
      <c r="AMG64" s="215"/>
      <c r="AMH64" s="215"/>
      <c r="AMI64" s="215"/>
      <c r="AMJ64" s="215"/>
    </row>
    <row r="65" spans="1016:1024" x14ac:dyDescent="0.35">
      <c r="AMB65" s="215"/>
      <c r="AMC65" s="215"/>
      <c r="AMD65" s="215"/>
      <c r="AME65" s="215"/>
      <c r="AMF65" s="215"/>
      <c r="AMG65" s="215"/>
      <c r="AMH65" s="215"/>
      <c r="AMI65" s="215"/>
      <c r="AMJ65" s="215"/>
    </row>
    <row r="66" spans="1016:1024" x14ac:dyDescent="0.35">
      <c r="AMB66" s="215"/>
      <c r="AMC66" s="215"/>
      <c r="AMD66" s="215"/>
      <c r="AME66" s="215"/>
      <c r="AMF66" s="215"/>
      <c r="AMG66" s="215"/>
      <c r="AMH66" s="215"/>
      <c r="AMI66" s="215"/>
      <c r="AMJ66" s="215"/>
    </row>
    <row r="67" spans="1016:1024" x14ac:dyDescent="0.35">
      <c r="AMB67" s="215"/>
      <c r="AMC67" s="215"/>
      <c r="AMD67" s="215"/>
      <c r="AME67" s="215"/>
      <c r="AMF67" s="215"/>
      <c r="AMG67" s="215"/>
      <c r="AMH67" s="215"/>
      <c r="AMI67" s="215"/>
      <c r="AMJ67" s="215"/>
    </row>
    <row r="68" spans="1016:1024" x14ac:dyDescent="0.35">
      <c r="AMB68" s="215"/>
      <c r="AMC68" s="215"/>
      <c r="AMD68" s="215"/>
      <c r="AME68" s="215"/>
      <c r="AMF68" s="215"/>
      <c r="AMG68" s="215"/>
      <c r="AMH68" s="215"/>
      <c r="AMI68" s="215"/>
      <c r="AMJ68" s="215"/>
    </row>
    <row r="69" spans="1016:1024" x14ac:dyDescent="0.35">
      <c r="AMB69" s="215"/>
      <c r="AMC69" s="215"/>
      <c r="AMD69" s="215"/>
      <c r="AME69" s="215"/>
      <c r="AMF69" s="215"/>
      <c r="AMG69" s="215"/>
      <c r="AMH69" s="215"/>
      <c r="AMI69" s="215"/>
      <c r="AMJ69" s="215"/>
    </row>
    <row r="70" spans="1016:1024" x14ac:dyDescent="0.35">
      <c r="AMB70" s="215"/>
      <c r="AMC70" s="215"/>
      <c r="AMD70" s="215"/>
      <c r="AME70" s="215"/>
      <c r="AMF70" s="215"/>
      <c r="AMG70" s="215"/>
      <c r="AMH70" s="215"/>
      <c r="AMI70" s="215"/>
      <c r="AMJ70" s="215"/>
    </row>
    <row r="71" spans="1016:1024" x14ac:dyDescent="0.35">
      <c r="AMB71" s="215"/>
      <c r="AMC71" s="215"/>
      <c r="AMD71" s="215"/>
      <c r="AME71" s="215"/>
      <c r="AMF71" s="215"/>
      <c r="AMG71" s="215"/>
      <c r="AMH71" s="215"/>
      <c r="AMI71" s="215"/>
      <c r="AMJ71" s="215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2000000}"/>
    <hyperlink ref="A6" location="Vendedor4!B5" display="#Vendedor4.B5" xr:uid="{00000000-0004-0000-0000-000003000000}"/>
    <hyperlink ref="A7" location="Vendedor5!B5" display="Vendedor5!B5" xr:uid="{00000000-0004-0000-0000-000004000000}"/>
    <hyperlink ref="A8" location="Vendedor6!B5" display="#Vendedor6.B5" xr:uid="{00000000-0004-0000-0000-000005000000}"/>
    <hyperlink ref="A9" location="Vendedor7!B5" display="#Vendedor7.B5" xr:uid="{00000000-0004-0000-0000-000006000000}"/>
    <hyperlink ref="A10" location="Vendedor8!B5" display="#Vendedor8.B5" xr:uid="{00000000-0004-0000-0000-000007000000}"/>
    <hyperlink ref="A11" location="Vendedor9!B5" display="Vendedor9!B5" xr:uid="{00000000-0004-0000-0000-000008000000}"/>
    <hyperlink ref="A12" location="Vendedor10!B5" display="#Vendedor10.B5" xr:uid="{00000000-0004-0000-0000-000009000000}"/>
    <hyperlink ref="A13" location="Vendedor11!B5" display="#Vendedor11.B5" xr:uid="{00000000-0004-0000-0000-00000A000000}"/>
    <hyperlink ref="A14" location="Vendedor12!B5" display="#Vendedor12.B5" xr:uid="{00000000-0004-0000-0000-00000B000000}"/>
    <hyperlink ref="A15" location="Vendedor13!B5" display="#Vendedor13.B5" xr:uid="{00000000-0004-0000-0000-00000C000000}"/>
    <hyperlink ref="A16" location="Vendedor14!B5" display="#Vendedor14.B5" xr:uid="{00000000-0004-0000-0000-00000D000000}"/>
    <hyperlink ref="A17" location="Vendedor15!B5" display="#Vendedor15.B5" xr:uid="{00000000-0004-0000-0000-00000E000000}"/>
    <hyperlink ref="A18" location="Vendedor16!B5" display="#Vendedor16.B5" xr:uid="{00000000-0004-0000-0000-00000F000000}"/>
    <hyperlink ref="A19" location="Vendedor17!B5" display="#Vendedor17.B5" xr:uid="{00000000-0004-0000-0000-000010000000}"/>
    <hyperlink ref="A20" location="Vendedor18!B5" display="#Vendedor18.B5" xr:uid="{00000000-0004-0000-0000-000011000000}"/>
    <hyperlink ref="A21" location="Vendedor19!B5" display="#Vendedor19.B5" xr:uid="{00000000-0004-0000-0000-000012000000}"/>
    <hyperlink ref="A22" location="Vendedor20!B5" display="#Vendedor20.B5" xr:uid="{00000000-0004-0000-0000-000013000000}"/>
    <hyperlink ref="A23" location="Vendedor21!B5" display="#Vendedor21.B5" xr:uid="{00000000-0004-0000-0000-000014000000}"/>
    <hyperlink ref="A24" location="Vendedor22!B5" display="#Vendedor22.B5" xr:uid="{00000000-0004-0000-0000-000015000000}"/>
    <hyperlink ref="A25" location="Vendedor23!B5" display="#Vendedor23.B5" xr:uid="{00000000-0004-0000-0000-000016000000}"/>
    <hyperlink ref="A26" location="Vendedor24!B5" display="#Vendedor24.B5" xr:uid="{00000000-0004-0000-0000-000017000000}"/>
    <hyperlink ref="A27" location="Vendedor25!B5" display="#Vendedor25.B5" xr:uid="{00000000-0004-0000-0000-000018000000}"/>
    <hyperlink ref="A4" location="Vendedor2!B5" display="Vendedor2!B5" xr:uid="{00000000-0004-0000-0000-000001000000}"/>
  </hyperlink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8" sqref="C18"/>
    </sheetView>
  </sheetViews>
  <sheetFormatPr baseColWidth="10" defaultColWidth="11.453125" defaultRowHeight="14.5" x14ac:dyDescent="0.35"/>
  <cols>
    <col min="1" max="1" width="16.54296875" style="21" bestFit="1" customWidth="1"/>
    <col min="2" max="2" width="8.08984375" style="21" bestFit="1" customWidth="1"/>
    <col min="3" max="3" width="8.089843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8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6" t="s">
        <v>119</v>
      </c>
      <c r="C4" s="126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70</v>
      </c>
      <c r="C5" s="133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3"/>
      <c r="C6" s="133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33</v>
      </c>
      <c r="C7" s="133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82</v>
      </c>
      <c r="C9" s="133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3"/>
      <c r="C10" s="133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27</v>
      </c>
      <c r="C11" s="133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3">
        <v>77</v>
      </c>
      <c r="C13" s="133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3"/>
      <c r="C14" s="133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69</v>
      </c>
      <c r="C15" s="133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Roja</v>
      </c>
      <c r="C16" s="136"/>
      <c r="D16" s="137" t="s">
        <v>65</v>
      </c>
      <c r="E16" s="30">
        <f>IF(D16=J$10,K$10,IF(D16=J$11,K$11,IF(D16=J$12,K$12,"")))</f>
        <v>200</v>
      </c>
      <c r="F16" s="30">
        <f>IF(D16=J$10,L$10,IF(D16=J$11,L$11,IF(D16=J$12,L$12,"")))</f>
        <v>200</v>
      </c>
      <c r="G16" s="30">
        <f>IF($D16=$J$10,$M$10,IF($D16=$J$11,$M$11,IF($D16=$J$12,$M$12,"")))</f>
        <v>200</v>
      </c>
    </row>
    <row r="17" spans="1:7" x14ac:dyDescent="0.35">
      <c r="A17" s="28" t="s">
        <v>52</v>
      </c>
      <c r="B17" s="163">
        <v>58</v>
      </c>
      <c r="C17" s="133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3"/>
      <c r="C18" s="133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36</v>
      </c>
      <c r="C19" s="133">
        <v>12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85</v>
      </c>
      <c r="C20" s="163">
        <v>88</v>
      </c>
      <c r="D20" s="166">
        <v>83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64" t="s">
        <v>159</v>
      </c>
      <c r="C21" s="164">
        <v>79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3" t="s">
        <v>21</v>
      </c>
      <c r="B22" s="135"/>
      <c r="C22" s="135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8190D-5D2D-4086-BCA1-C9EF5CD602A4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33</v>
      </c>
      <c r="D2" s="268"/>
      <c r="E2" s="267">
        <f>DigitaTICA!E2</f>
        <v>27</v>
      </c>
      <c r="F2" s="268"/>
      <c r="G2" s="267">
        <f>DigitaTICA!G2</f>
        <v>69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54700</v>
      </c>
      <c r="D4" s="30">
        <f>IF(Vendedor1!$E$7="",0,Vendedor1!$E$7)</f>
        <v>0</v>
      </c>
      <c r="E4" s="180">
        <f>IF(Vendedor1!$C$11="",0,Vendedor1!$C$11)</f>
        <v>30300</v>
      </c>
      <c r="F4" s="30">
        <f>IF(Vendedor1!$E$11="",0,Vendedor1!$E$11)</f>
        <v>0</v>
      </c>
      <c r="G4" s="180">
        <f>IF(Vendedor1!$C$15="",0,Vendedor1!$C$15)</f>
        <v>77450</v>
      </c>
      <c r="H4" s="30">
        <f>IF(Vendedor1!$E$15="",0,Vendedor1!$E$15)</f>
        <v>1000</v>
      </c>
      <c r="J4" s="42">
        <f t="shared" ref="J4:J7" si="0">+C4+E4+G4</f>
        <v>162450</v>
      </c>
      <c r="K4" s="41">
        <f>MROUND(J4*Vendedor1!J$9,50)</f>
        <v>21100</v>
      </c>
      <c r="L4" s="42">
        <f t="shared" ref="L4:L7" si="1">+D4+F4+H4</f>
        <v>1000</v>
      </c>
      <c r="M4" s="42">
        <f t="shared" ref="M4:M7" si="2">+L4*85</f>
        <v>85000</v>
      </c>
      <c r="N4" s="42">
        <f>Vendedor1!$F$7+Vendedor1!$F$11+Vendedor1!$F$15</f>
        <v>85000</v>
      </c>
      <c r="P4" s="42">
        <f t="shared" ref="P4:P7" si="3">+J4-K4-N4</f>
        <v>56350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38450</v>
      </c>
      <c r="D5" s="30">
        <f>IF(Vendedor2!$E$7="",0,Vendedor2!$E$7)</f>
        <v>250</v>
      </c>
      <c r="E5" s="180">
        <f>IF(Vendedor2!$C$11="",0,Vendedor2!$C$11)</f>
        <v>35650</v>
      </c>
      <c r="F5" s="30">
        <f>IF(Vendedor2!$E$11="",0,Vendedor2!$E$11)</f>
        <v>500</v>
      </c>
      <c r="G5" s="180">
        <f>IF(Vendedor2!$C$15="",0,Vendedor2!$C$15)</f>
        <v>90250</v>
      </c>
      <c r="H5" s="30">
        <f>IF(Vendedor2!$E$15="",0,Vendedor2!$E$15)</f>
        <v>750</v>
      </c>
      <c r="J5" s="42">
        <f t="shared" si="0"/>
        <v>164350</v>
      </c>
      <c r="K5" s="41">
        <f>MROUND(J5*Vendedor2!J$9,50)</f>
        <v>21350</v>
      </c>
      <c r="L5" s="42">
        <f t="shared" si="1"/>
        <v>1500</v>
      </c>
      <c r="M5" s="42">
        <f t="shared" si="2"/>
        <v>127500</v>
      </c>
      <c r="N5" s="42">
        <f>Vendedor2!$F$7+Vendedor2!$F$11+Vendedor2!$F$15</f>
        <v>127500</v>
      </c>
      <c r="P5" s="42">
        <f t="shared" si="3"/>
        <v>15500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72400</v>
      </c>
      <c r="D8" s="30">
        <f>IF(Vendedor5!$E$7="",0,Vendedor5!$E$7)</f>
        <v>500</v>
      </c>
      <c r="E8" s="180">
        <f>IF(Vendedor5!$C$11="",0,Vendedor5!$C$11)</f>
        <v>65650</v>
      </c>
      <c r="F8" s="30">
        <f>IF(Vendedor5!$E$11="",0,Vendedor5!$E$11)</f>
        <v>400</v>
      </c>
      <c r="G8" s="180">
        <f>IF(Vendedor5!$C$15="",0,Vendedor5!$C$15)</f>
        <v>67400</v>
      </c>
      <c r="H8" s="30">
        <f>IF(Vendedor5!$E$15="",0,Vendedor5!$E$15)</f>
        <v>1200</v>
      </c>
      <c r="J8" s="42">
        <f t="shared" ref="J8" si="4">+C8+E8+G8</f>
        <v>205450</v>
      </c>
      <c r="K8" s="41">
        <f>MROUND(J8*Vendedor5!J$11,50)</f>
        <v>24650</v>
      </c>
      <c r="L8" s="42">
        <f t="shared" ref="L8" si="5">+D8+F8+H8</f>
        <v>2100</v>
      </c>
      <c r="M8" s="42">
        <f t="shared" ref="M8" si="6">+L8*85</f>
        <v>178500</v>
      </c>
      <c r="N8" s="42">
        <f>Vendedor5!$F$7+Vendedor5!$F$11+Vendedor5!$F$15</f>
        <v>178500</v>
      </c>
      <c r="P8" s="42">
        <f t="shared" ref="P8" si="7">+J8-K8-N8</f>
        <v>2300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169000</v>
      </c>
      <c r="D10" s="30">
        <f>IF(Vendedor7!$E$7="",0,Vendedor7!$E$7)</f>
        <v>6350</v>
      </c>
      <c r="E10" s="180">
        <f>IF(Vendedor7!$C$11="",0,Vendedor7!$C$11)</f>
        <v>137700</v>
      </c>
      <c r="F10" s="30">
        <f>IF(Vendedor7!$E$11="",0,Vendedor7!$E$11)</f>
        <v>1900</v>
      </c>
      <c r="G10" s="180">
        <f>IF(Vendedor7!$C$15="",0,Vendedor7!$C$15)</f>
        <v>185000</v>
      </c>
      <c r="H10" s="30">
        <f>IF(Vendedor7!$E$15="",0,Vendedor7!$E$15)</f>
        <v>1300</v>
      </c>
      <c r="J10" s="42">
        <f t="shared" si="8"/>
        <v>491700</v>
      </c>
      <c r="K10" s="41">
        <f>MROUND(J10*Vendedor7!J$14,50)</f>
        <v>59000</v>
      </c>
      <c r="L10" s="42">
        <f t="shared" si="9"/>
        <v>9550</v>
      </c>
      <c r="M10" s="42">
        <f t="shared" si="10"/>
        <v>811750</v>
      </c>
      <c r="N10" s="42">
        <f>Vendedor7!$F$7+Vendedor7!$F$11+Vendedor7!$F$15</f>
        <v>811750</v>
      </c>
      <c r="P10" s="42">
        <f t="shared" si="11"/>
        <v>-379050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12000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37000</v>
      </c>
      <c r="H11" s="30">
        <f>IF(Vendedor8!$E$15="",0,Vendedor8!$E$15)</f>
        <v>0</v>
      </c>
      <c r="J11" s="42">
        <f t="shared" si="8"/>
        <v>49000</v>
      </c>
      <c r="K11" s="41">
        <f>MROUND(J11*Vendedor8!J$11,50)</f>
        <v>5900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43100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10200</v>
      </c>
      <c r="D12" s="30">
        <f>IF(Vendedor9!$E$7="",0,Vendedor9!$E$7)</f>
        <v>0</v>
      </c>
      <c r="E12" s="180">
        <f>IF(Vendedor9!$C$11="",0,Vendedor9!$C$11)</f>
        <v>4500</v>
      </c>
      <c r="F12" s="30">
        <f>IF(Vendedor9!$E$11="",0,Vendedor9!$E$11)</f>
        <v>0</v>
      </c>
      <c r="G12" s="180">
        <f>IF(Vendedor9!$C$15="",0,Vendedor9!$C$15)</f>
        <v>10300</v>
      </c>
      <c r="H12" s="30">
        <f>IF(Vendedor9!$E$15="",0,Vendedor9!$E$15)</f>
        <v>0</v>
      </c>
      <c r="J12" s="42">
        <f t="shared" si="8"/>
        <v>25000</v>
      </c>
      <c r="K12" s="41">
        <f>MROUND(J12*Vendedor9!J$11,50)</f>
        <v>3000</v>
      </c>
      <c r="L12" s="42">
        <f t="shared" si="9"/>
        <v>0</v>
      </c>
      <c r="M12" s="42">
        <f t="shared" si="10"/>
        <v>0</v>
      </c>
      <c r="N12" s="42">
        <f>Vendedor9!$F$7+Vendedor9!$F$11+Vendedor9!$F$15</f>
        <v>0</v>
      </c>
      <c r="P12" s="42">
        <f t="shared" si="11"/>
        <v>22000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46550</v>
      </c>
      <c r="D13" s="30">
        <f>IF(Vendedor10!$E$7="",0,Vendedor10!$E$7)</f>
        <v>400</v>
      </c>
      <c r="E13" s="180">
        <f>IF(Vendedor10!$C$11="",0,Vendedor10!$C$11)</f>
        <v>27650</v>
      </c>
      <c r="F13" s="30">
        <f>IF(Vendedor10!$E$11="",0,Vendedor10!$E$11)</f>
        <v>100</v>
      </c>
      <c r="G13" s="180">
        <f>IF(Vendedor10!$C$15="",0,Vendedor10!$C$15)</f>
        <v>40050</v>
      </c>
      <c r="H13" s="30">
        <f>IF(Vendedor10!$E$15="",0,Vendedor10!$E$15)</f>
        <v>0</v>
      </c>
      <c r="J13" s="42">
        <f t="shared" si="8"/>
        <v>114250</v>
      </c>
      <c r="K13" s="41">
        <f>MROUND(J13*Vendedor10!J$9,50)</f>
        <v>13700</v>
      </c>
      <c r="L13" s="42">
        <f t="shared" si="9"/>
        <v>500</v>
      </c>
      <c r="M13" s="42">
        <f t="shared" si="10"/>
        <v>42500</v>
      </c>
      <c r="N13" s="42">
        <f>Vendedor10!$F$7+Vendedor10!$F$11+Vendedor10!$F$15</f>
        <v>42500</v>
      </c>
      <c r="P13" s="42">
        <f t="shared" si="11"/>
        <v>58050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43600</v>
      </c>
      <c r="D14" s="30">
        <f>IF(Vendedor11!$E$7="",0,Vendedor11!$E$7)</f>
        <v>0</v>
      </c>
      <c r="E14" s="180">
        <f>IF(Vendedor11!$C$11="",0,Vendedor11!$C$11)</f>
        <v>32100</v>
      </c>
      <c r="F14" s="30">
        <f>IF(Vendedor11!$E$11="",0,Vendedor11!$E$11)</f>
        <v>0</v>
      </c>
      <c r="G14" s="180">
        <f>IF(Vendedor11!$C$15="",0,Vendedor11!$C$15)</f>
        <v>39350</v>
      </c>
      <c r="H14" s="30">
        <f>IF(Vendedor11!$E$15="",0,Vendedor11!$E$15)</f>
        <v>500</v>
      </c>
      <c r="J14" s="42">
        <f t="shared" si="8"/>
        <v>115050</v>
      </c>
      <c r="K14" s="41">
        <f>MROUND(J14*Vendedor11!J$9,50)</f>
        <v>17250</v>
      </c>
      <c r="L14" s="42">
        <f t="shared" si="9"/>
        <v>500</v>
      </c>
      <c r="M14" s="42">
        <f t="shared" si="10"/>
        <v>42500</v>
      </c>
      <c r="N14" s="42">
        <f>Vendedor11!$F$7+Vendedor11!$F$11+Vendedor11!$F$15</f>
        <v>40000</v>
      </c>
      <c r="P14" s="42">
        <f t="shared" si="11"/>
        <v>57800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12000</v>
      </c>
      <c r="H15" s="30">
        <f>IF(Vendedor12!$E$15="",0,Vendedor12!$E$15)</f>
        <v>100</v>
      </c>
      <c r="J15" s="42">
        <f t="shared" si="8"/>
        <v>12000</v>
      </c>
      <c r="K15" s="41">
        <f>MROUND(J15*Vendedor12!J$9,50)</f>
        <v>1200</v>
      </c>
      <c r="L15" s="42">
        <f t="shared" si="9"/>
        <v>100</v>
      </c>
      <c r="M15" s="42">
        <f t="shared" si="10"/>
        <v>8500</v>
      </c>
      <c r="N15" s="42">
        <f>Vendedor12!$F$7+Vendedor12!$F$11+Vendedor12!$F$15</f>
        <v>8500</v>
      </c>
      <c r="P15" s="42">
        <f t="shared" si="11"/>
        <v>2300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21500</v>
      </c>
      <c r="D16" s="30">
        <f>IF(Vendedor13!$E$7="",0,Vendedor13!$E$7)</f>
        <v>0</v>
      </c>
      <c r="E16" s="180">
        <f>IF(Vendedor13!$C$11="",0,Vendedor13!$C$11)</f>
        <v>10250</v>
      </c>
      <c r="F16" s="30">
        <f>IF(Vendedor13!$E$11="",0,Vendedor13!$E$11)</f>
        <v>250</v>
      </c>
      <c r="G16" s="180">
        <f>IF(Vendedor13!$C$15="",0,Vendedor13!$C$15)</f>
        <v>38500</v>
      </c>
      <c r="H16" s="30">
        <f>IF(Vendedor13!$E$15="",0,Vendedor13!$E$15)</f>
        <v>450</v>
      </c>
      <c r="J16" s="42">
        <f t="shared" si="8"/>
        <v>70250</v>
      </c>
      <c r="K16" s="41">
        <f>MROUND(J16*Vendedor13!J$11,50)</f>
        <v>8450</v>
      </c>
      <c r="L16" s="42">
        <f t="shared" si="9"/>
        <v>700</v>
      </c>
      <c r="M16" s="42">
        <f t="shared" si="10"/>
        <v>59500</v>
      </c>
      <c r="N16" s="42">
        <f>Vendedor13!$F$7+Vendedor13!$F$11+Vendedor13!$F$15</f>
        <v>59500</v>
      </c>
      <c r="P16" s="42">
        <f t="shared" si="11"/>
        <v>2300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146200</v>
      </c>
      <c r="D17" s="30">
        <f>IF(Vendedor14!$E$7="",0,Vendedor14!$E$7)</f>
        <v>1200</v>
      </c>
      <c r="E17" s="180">
        <f>IF(Vendedor14!$C$11="",0,Vendedor14!$C$11)</f>
        <v>108950</v>
      </c>
      <c r="F17" s="30">
        <f>IF(Vendedor14!$E$11="",0,Vendedor14!$E$11)</f>
        <v>500</v>
      </c>
      <c r="G17" s="180">
        <f>IF(Vendedor14!$C$15="",0,Vendedor14!$C$15)</f>
        <v>174200</v>
      </c>
      <c r="H17" s="30">
        <f>IF(Vendedor14!$E$15="",0,Vendedor14!$E$15)</f>
        <v>1650</v>
      </c>
      <c r="J17" s="42">
        <f t="shared" si="8"/>
        <v>429350</v>
      </c>
      <c r="K17" s="41">
        <f>MROUND(J17*Vendedor14!J$15,50)</f>
        <v>51500</v>
      </c>
      <c r="L17" s="42">
        <f t="shared" si="9"/>
        <v>3350</v>
      </c>
      <c r="M17" s="42">
        <f t="shared" si="10"/>
        <v>284750</v>
      </c>
      <c r="N17" s="42">
        <f>Vendedor14!$F$7+Vendedor14!$F$11+Vendedor14!$F$15</f>
        <v>284750</v>
      </c>
      <c r="P17" s="42">
        <f t="shared" si="11"/>
        <v>93100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47850</v>
      </c>
      <c r="D18" s="30">
        <f>IF(Vendedor15!$E$7="",0,Vendedor15!$E$7)</f>
        <v>0</v>
      </c>
      <c r="E18" s="180">
        <f>IF(Vendedor15!$C$11="",0,Vendedor15!$C$11)</f>
        <v>37700</v>
      </c>
      <c r="F18" s="30">
        <f>IF(Vendedor15!$E$11="",0,Vendedor15!$E$11)</f>
        <v>0</v>
      </c>
      <c r="G18" s="180">
        <f>IF(Vendedor15!$C$15="",0,Vendedor15!$C$15)</f>
        <v>52800</v>
      </c>
      <c r="H18" s="30">
        <f>IF(Vendedor15!$E$15="",0,Vendedor15!$E$15)</f>
        <v>150</v>
      </c>
      <c r="J18" s="42">
        <f t="shared" ref="J18" si="12">+C18+E18+G18</f>
        <v>138350</v>
      </c>
      <c r="K18" s="41">
        <f>MROUND(J18*Vendedor15!J$15,50)</f>
        <v>16600</v>
      </c>
      <c r="L18" s="42">
        <f t="shared" ref="L18" si="13">+D18+F18+H18</f>
        <v>150</v>
      </c>
      <c r="M18" s="42">
        <f t="shared" ref="M18" si="14">+L18*85</f>
        <v>12750</v>
      </c>
      <c r="N18" s="42">
        <f>Vendedor15!$F$7+Vendedor15!$F$11+Vendedor15!$F$15</f>
        <v>12750</v>
      </c>
      <c r="P18" s="42">
        <f t="shared" ref="P18" si="15">+J18-K18-N18</f>
        <v>109000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662450</v>
      </c>
      <c r="D32" s="44">
        <f t="shared" si="16"/>
        <v>8700</v>
      </c>
      <c r="E32" s="43">
        <f t="shared" si="16"/>
        <v>490450</v>
      </c>
      <c r="F32" s="44">
        <f t="shared" si="16"/>
        <v>3650</v>
      </c>
      <c r="G32" s="43">
        <f t="shared" si="16"/>
        <v>824300</v>
      </c>
      <c r="H32" s="44">
        <f t="shared" si="16"/>
        <v>7100</v>
      </c>
      <c r="J32" s="96">
        <f>SUM(J4:J31)</f>
        <v>1977200</v>
      </c>
      <c r="K32" s="45">
        <f>SUM(K7:K31)</f>
        <v>201250</v>
      </c>
      <c r="L32" s="96">
        <f>SUM(L4:L31)</f>
        <v>19450</v>
      </c>
      <c r="M32" s="96">
        <f>SUM(M4:M31)</f>
        <v>1653250</v>
      </c>
      <c r="N32" s="96">
        <f>SUM(N4:N31)</f>
        <v>1650750</v>
      </c>
      <c r="P32" s="80">
        <f>SUM(P4:P31)</f>
        <v>82750</v>
      </c>
    </row>
    <row r="33" spans="3:13" x14ac:dyDescent="0.35">
      <c r="D33" s="100">
        <f>+D32*85</f>
        <v>739500</v>
      </c>
      <c r="F33" s="100">
        <f>+F32*85</f>
        <v>310250</v>
      </c>
      <c r="H33" s="100">
        <f>+H32*85</f>
        <v>603500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1977200</v>
      </c>
      <c r="E36" s="43">
        <f>+D36-J4-J5-J6</f>
        <v>1650400</v>
      </c>
      <c r="G36" s="102"/>
    </row>
    <row r="37" spans="3:13" x14ac:dyDescent="0.35">
      <c r="C37" s="47" t="s">
        <v>33</v>
      </c>
      <c r="D37" s="48">
        <f>D36*13%</f>
        <v>257036</v>
      </c>
      <c r="E37">
        <f>+D37-K4-K5-K6</f>
        <v>214586</v>
      </c>
      <c r="G37" s="101"/>
      <c r="H37" s="101"/>
    </row>
    <row r="38" spans="3:13" ht="15" thickBot="1" x14ac:dyDescent="0.4">
      <c r="C38" s="47" t="s">
        <v>30</v>
      </c>
      <c r="D38" s="30">
        <f>M32</f>
        <v>1653250</v>
      </c>
      <c r="G38" s="101"/>
      <c r="H38" s="101"/>
    </row>
    <row r="39" spans="3:13" ht="15" thickBot="1" x14ac:dyDescent="0.4">
      <c r="C39" s="49" t="s">
        <v>4</v>
      </c>
      <c r="D39" s="81">
        <f>+D36-D37-D38</f>
        <v>66914</v>
      </c>
      <c r="F39" s="99">
        <f>+P32-D39</f>
        <v>15836</v>
      </c>
      <c r="G39" s="102"/>
      <c r="H39" s="102"/>
    </row>
    <row r="40" spans="3:13" ht="15" thickBot="1" x14ac:dyDescent="0.4">
      <c r="G40" s="101"/>
    </row>
    <row r="41" spans="3:13" x14ac:dyDescent="0.35">
      <c r="C41" s="105" t="s">
        <v>78</v>
      </c>
      <c r="D41" s="106">
        <v>0</v>
      </c>
      <c r="G41" s="101"/>
    </row>
    <row r="42" spans="3:13" x14ac:dyDescent="0.35">
      <c r="C42" s="107" t="s">
        <v>80</v>
      </c>
      <c r="D42" s="108">
        <v>0</v>
      </c>
      <c r="G42" s="101"/>
    </row>
    <row r="43" spans="3:13" ht="15" thickBot="1" x14ac:dyDescent="0.4">
      <c r="C43" s="109" t="s">
        <v>79</v>
      </c>
      <c r="D43" s="110">
        <f>+D39+D41+D42</f>
        <v>66914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5E745-A575-4727-B65B-98F980A2386F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10" width="12.54296875" customWidth="1"/>
    <col min="11" max="11" width="3.6328125" customWidth="1"/>
    <col min="12" max="16" width="12.6328125" customWidth="1"/>
    <col min="17" max="17" width="3.6328125" customWidth="1"/>
  </cols>
  <sheetData>
    <row r="1" spans="1:18" x14ac:dyDescent="0.35">
      <c r="A1" s="80" t="s">
        <v>22</v>
      </c>
      <c r="B1" s="80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70</v>
      </c>
      <c r="D2" s="268"/>
      <c r="E2" s="267">
        <f>DigitaNICA!E2</f>
        <v>82</v>
      </c>
      <c r="F2" s="268"/>
      <c r="G2" s="267">
        <f>DigitaNICA!G2</f>
        <v>77</v>
      </c>
      <c r="H2" s="268"/>
      <c r="I2" s="267">
        <f>DigitaNICA!I2</f>
        <v>58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26200</v>
      </c>
      <c r="D4" s="79">
        <f>IF(Vendedor1!$E$5="",0,Vendedor1!$E$5)</f>
        <v>0</v>
      </c>
      <c r="E4" s="189">
        <f>IF(Vendedor1!$C$9="",0,Vendedor1!$C$9)</f>
        <v>4400</v>
      </c>
      <c r="F4" s="79">
        <f>IF(Vendedor1!$E$9="",0,Vendedor1!$E$9)</f>
        <v>0</v>
      </c>
      <c r="G4" s="189">
        <f>IF(Vendedor1!$C$13="",0,Vendedor1!$C$13)</f>
        <v>6500</v>
      </c>
      <c r="H4" s="79">
        <f>IF(Vendedor1!$E$13="",0,Vendedor1!$E$13)</f>
        <v>0</v>
      </c>
      <c r="I4" s="189">
        <f>IF(Vendedor1!$C$17="",0,Vendedor1!$C$17)</f>
        <v>1500</v>
      </c>
      <c r="J4" s="79">
        <f>IF(Vendedor1!$E$17="",0,Vendedor1!$E$17)</f>
        <v>500</v>
      </c>
      <c r="L4" s="42">
        <f t="shared" ref="L4:L7" si="0">C4+E4+G4+I4</f>
        <v>38600</v>
      </c>
      <c r="M4" s="41">
        <f>MROUND(L4*Vendedor1!J$10,50)</f>
        <v>5000</v>
      </c>
      <c r="N4" s="42">
        <f t="shared" ref="N4:N7" si="1">D4+F4+H4+J4</f>
        <v>500</v>
      </c>
      <c r="O4" s="41">
        <f>IFERROR(N4*85,0)</f>
        <v>42500</v>
      </c>
      <c r="P4" s="42">
        <f>Vendedor1!$F$5+Vendedor1!$F$9+Vendedor1!$F$13+Vendedor1!$F$17</f>
        <v>40000</v>
      </c>
      <c r="R4" s="41">
        <f t="shared" ref="R4:R7" si="2">+L4-M4-O4</f>
        <v>-8900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14050</v>
      </c>
      <c r="D5" s="30">
        <f>IF(Vendedor2!$E$5="",0,Vendedor2!$E$5)</f>
        <v>0</v>
      </c>
      <c r="E5" s="180">
        <f>IF(Vendedor2!$C$9="",0,Vendedor2!$C$9)</f>
        <v>6100</v>
      </c>
      <c r="F5" s="30">
        <f>IF(Vendedor2!$E$9="",0,Vendedor2!$E$9)</f>
        <v>0</v>
      </c>
      <c r="G5" s="180">
        <f>IF(Vendedor2!$C$13="",0,Vendedor2!$C$13)</f>
        <v>5000</v>
      </c>
      <c r="H5" s="30">
        <f>IF(Vendedor2!$E$13="",0,Vendedor2!$E$13)</f>
        <v>0</v>
      </c>
      <c r="I5" s="180">
        <f>IF(Vendedor2!$C$17="",0,Vendedor2!$C$17)</f>
        <v>500</v>
      </c>
      <c r="J5" s="30">
        <f>IF(Vendedor2!$E$17="",0,Vendedor2!$E$17)</f>
        <v>0</v>
      </c>
      <c r="L5" s="42">
        <f t="shared" si="0"/>
        <v>25650</v>
      </c>
      <c r="M5" s="41">
        <f>MROUND(L5*Vendedor2!J$10,50)</f>
        <v>3350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22300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65700</v>
      </c>
      <c r="D8" s="30">
        <f>IF(Vendedor5!$E$5="",0,Vendedor5!$E$5)</f>
        <v>1550</v>
      </c>
      <c r="E8" s="180">
        <f>IF(Vendedor5!$C$9="",0,Vendedor5!$C$9)</f>
        <v>56100</v>
      </c>
      <c r="F8" s="30">
        <f>IF(Vendedor5!$E$9="",0,Vendedor5!$E$9)</f>
        <v>500</v>
      </c>
      <c r="G8" s="180">
        <f>IF(Vendedor5!$C$13="",0,Vendedor5!$C$13)</f>
        <v>17200</v>
      </c>
      <c r="H8" s="30">
        <f>IF(Vendedor5!$E$13="",0,Vendedor5!$E$13)</f>
        <v>0</v>
      </c>
      <c r="I8" s="180">
        <f>IF(Vendedor5!$C$17="",0,Vendedor5!$C$17)</f>
        <v>35500</v>
      </c>
      <c r="J8" s="30">
        <f>IF(Vendedor5!$E$17="",0,Vendedor5!$E$17)</f>
        <v>600</v>
      </c>
      <c r="L8" s="42">
        <f t="shared" ref="L8" si="4">C8+E8+G8+I8</f>
        <v>174500</v>
      </c>
      <c r="M8" s="41">
        <f>MROUND(L8*Vendedor5!J$12,50)</f>
        <v>20950</v>
      </c>
      <c r="N8" s="42">
        <f t="shared" ref="N8" si="5">D8+F8+H8+J8</f>
        <v>2650</v>
      </c>
      <c r="O8" s="41">
        <f t="shared" si="3"/>
        <v>225250</v>
      </c>
      <c r="P8" s="42">
        <f>Vendedor5!$F$5+Vendedor5!$F$9+Vendedor5!$F$13+Vendedor5!$F$17</f>
        <v>212000</v>
      </c>
      <c r="Q8">
        <v>17</v>
      </c>
      <c r="R8" s="41">
        <f t="shared" ref="R8" si="6">+L8-M8-O8</f>
        <v>-71700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116450</v>
      </c>
      <c r="D10" s="30">
        <f>IF(Vendedor7!$E$5="",0,Vendedor7!$E$5)</f>
        <v>2550</v>
      </c>
      <c r="E10" s="180">
        <f>IF(Vendedor7!$C$9="",0,Vendedor7!$C$9)</f>
        <v>103550</v>
      </c>
      <c r="F10" s="30">
        <f>IF(Vendedor7!$E$9="",0,Vendedor7!$E$9)</f>
        <v>100</v>
      </c>
      <c r="G10" s="180">
        <f>IF(Vendedor7!$C$13="",0,Vendedor7!$C$13)</f>
        <v>57350</v>
      </c>
      <c r="H10" s="30">
        <f>IF(Vendedor7!$E$13="",0,Vendedor7!$E$13)</f>
        <v>550</v>
      </c>
      <c r="I10" s="180">
        <f>IF(Vendedor7!$C$17="",0,Vendedor7!$C$17)</f>
        <v>116650</v>
      </c>
      <c r="J10" s="30">
        <f>IF(Vendedor7!$E$17="",0,Vendedor7!$E$17)</f>
        <v>5200</v>
      </c>
      <c r="L10" s="42">
        <f t="shared" si="7"/>
        <v>394000</v>
      </c>
      <c r="M10" s="41">
        <f>MROUND(L10*Vendedor7!J$15,50)</f>
        <v>47300</v>
      </c>
      <c r="N10" s="42">
        <f t="shared" ref="N10:N27" si="9">D10+F10+H10+J10</f>
        <v>8400</v>
      </c>
      <c r="O10" s="41">
        <f t="shared" si="3"/>
        <v>714000</v>
      </c>
      <c r="P10" s="42">
        <f>Vendedor7!$F$5+Vendedor7!$F$9+Vendedor7!$F$13+Vendedor7!$F$17</f>
        <v>714000</v>
      </c>
      <c r="R10" s="41">
        <f t="shared" si="8"/>
        <v>-367300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29400</v>
      </c>
      <c r="D12" s="30">
        <f>IF(Vendedor9!$E$5="",0,Vendedor9!$E$5)</f>
        <v>1000</v>
      </c>
      <c r="E12" s="180">
        <f>IF(Vendedor9!$C$9="",0,Vendedor9!$C$9)</f>
        <v>4500</v>
      </c>
      <c r="F12" s="30">
        <f>IF(Vendedor9!$E$9="",0,Vendedor9!$E$9)</f>
        <v>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33900</v>
      </c>
      <c r="M12" s="41">
        <f>MROUND(L12*Vendedor9!J$12,50)</f>
        <v>4050</v>
      </c>
      <c r="N12" s="42">
        <f t="shared" si="9"/>
        <v>1000</v>
      </c>
      <c r="O12" s="41">
        <f t="shared" si="3"/>
        <v>85000</v>
      </c>
      <c r="P12" s="42">
        <f>Vendedor9!$F$5+Vendedor9!$F$9+Vendedor9!$F$13+Vendedor9!$F$17</f>
        <v>85000</v>
      </c>
      <c r="R12" s="41">
        <f t="shared" si="8"/>
        <v>-55150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21200</v>
      </c>
      <c r="D13" s="30">
        <f>IF(Vendedor10!$E$5="",0,Vendedor10!$E$5)</f>
        <v>0</v>
      </c>
      <c r="E13" s="180">
        <f>IF(Vendedor10!$C$9="",0,Vendedor10!$C$9)</f>
        <v>28000</v>
      </c>
      <c r="F13" s="30">
        <f>IF(Vendedor10!$E$9="",0,Vendedor10!$E$9)</f>
        <v>0</v>
      </c>
      <c r="G13" s="180">
        <f>IF(Vendedor10!$C$13="",0,Vendedor10!$C$13)</f>
        <v>9700</v>
      </c>
      <c r="H13" s="30">
        <f>IF(Vendedor10!$E$13="",0,Vendedor10!$E$13)</f>
        <v>0</v>
      </c>
      <c r="I13" s="180">
        <f>IF(Vendedor10!$C$17="",0,Vendedor10!$C$17)</f>
        <v>3900</v>
      </c>
      <c r="J13" s="30">
        <f>IF(Vendedor10!$E$17="",0,Vendedor10!$E$17)</f>
        <v>200</v>
      </c>
      <c r="L13" s="42">
        <f t="shared" si="7"/>
        <v>62800</v>
      </c>
      <c r="M13" s="41">
        <f>MROUND(L13*Vendedor10!J$10,50)</f>
        <v>7550</v>
      </c>
      <c r="N13" s="42">
        <f t="shared" si="9"/>
        <v>200</v>
      </c>
      <c r="O13" s="41">
        <f t="shared" si="3"/>
        <v>17000</v>
      </c>
      <c r="P13" s="42">
        <f>Vendedor10!$F$5+Vendedor10!$F$9+Vendedor10!$F$13+Vendedor10!$F$17</f>
        <v>16000</v>
      </c>
      <c r="R13" s="41">
        <f t="shared" si="8"/>
        <v>38250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4800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4800</v>
      </c>
      <c r="M15" s="41">
        <f>MROUND(L15*Vendedor12!J$10,50)</f>
        <v>600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4200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8500</v>
      </c>
      <c r="D16" s="30">
        <f>IF(Vendedor13!$E$5="",0,Vendedor13!$E$5)</f>
        <v>1000</v>
      </c>
      <c r="E16" s="180">
        <f>IF(Vendedor13!$C$9="",0,Vendedor13!$C$9)</f>
        <v>2300</v>
      </c>
      <c r="F16" s="30">
        <f>IF(Vendedor13!$E$9="",0,Vendedor13!$E$9)</f>
        <v>0</v>
      </c>
      <c r="G16" s="180">
        <f>IF(Vendedor13!$C$13="",0,Vendedor13!$C$13)</f>
        <v>3500</v>
      </c>
      <c r="H16" s="30">
        <f>IF(Vendedor13!$E$13="",0,Vendedor13!$E$13)</f>
        <v>0</v>
      </c>
      <c r="I16" s="180">
        <f>IF(Vendedor13!$C$17="",0,Vendedor13!$C$17)</f>
        <v>31000</v>
      </c>
      <c r="J16" s="30">
        <f>IF(Vendedor13!$E$17="",0,Vendedor13!$E$17)</f>
        <v>0</v>
      </c>
      <c r="L16" s="42">
        <f t="shared" si="7"/>
        <v>45300</v>
      </c>
      <c r="M16" s="41">
        <f>MROUND(L16*Vendedor13!J$12,50)</f>
        <v>5450</v>
      </c>
      <c r="N16" s="42">
        <f t="shared" si="9"/>
        <v>1000</v>
      </c>
      <c r="O16" s="41">
        <f t="shared" si="3"/>
        <v>85000</v>
      </c>
      <c r="P16" s="42">
        <f>Vendedor13!$F$5+Vendedor13!$F$9+Vendedor13!$F$13+Vendedor13!$F$17</f>
        <v>80000</v>
      </c>
      <c r="R16" s="41">
        <f t="shared" si="8"/>
        <v>-45150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97000</v>
      </c>
      <c r="D17" s="30">
        <f>IF(Vendedor14!$E$5="",0,Vendedor14!$E$5)</f>
        <v>2900</v>
      </c>
      <c r="E17" s="180">
        <f>IF(Vendedor14!$C$9="",0,Vendedor14!$C$9)</f>
        <v>97700</v>
      </c>
      <c r="F17" s="30">
        <f>IF(Vendedor14!$E$9="",0,Vendedor14!$E$9)</f>
        <v>400</v>
      </c>
      <c r="G17" s="180">
        <f>IF(Vendedor14!$C$13="",0,Vendedor14!$C$13)</f>
        <v>53600</v>
      </c>
      <c r="H17" s="30">
        <f>IF(Vendedor14!$E$13="",0,Vendedor14!$E$13)</f>
        <v>650</v>
      </c>
      <c r="I17" s="180">
        <f>IF(Vendedor14!$C$17="",0,Vendedor14!$C$17)</f>
        <v>159150</v>
      </c>
      <c r="J17" s="30">
        <f>IF(Vendedor14!$E$17="",0,Vendedor14!$E$17)</f>
        <v>100</v>
      </c>
      <c r="L17" s="42">
        <f>C17+E17+G17+I17</f>
        <v>407450</v>
      </c>
      <c r="M17" s="41">
        <f>MROUND(L17*Vendedor14!J$16,50)</f>
        <v>48900</v>
      </c>
      <c r="N17" s="42">
        <f t="shared" si="9"/>
        <v>4050</v>
      </c>
      <c r="O17" s="41">
        <f t="shared" si="3"/>
        <v>344250</v>
      </c>
      <c r="P17" s="42">
        <f>Vendedor14!$F$5+Vendedor14!$F$9+Vendedor14!$F$13+Vendedor14!$F$17</f>
        <v>344250</v>
      </c>
      <c r="R17" s="41">
        <f t="shared" si="8"/>
        <v>14300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38650</v>
      </c>
      <c r="D18" s="30">
        <f>IF(Vendedor15!$E$5="",0,Vendedor15!$E$5)</f>
        <v>1900</v>
      </c>
      <c r="E18" s="180">
        <f>IF(Vendedor15!$C$9="",0,Vendedor15!$C$9)</f>
        <v>51600</v>
      </c>
      <c r="F18" s="30">
        <f>IF(Vendedor15!$E$9="",0,Vendedor15!$E$9)</f>
        <v>0</v>
      </c>
      <c r="G18" s="180">
        <f>IF(Vendedor15!$C$13="",0,Vendedor15!$C$13)</f>
        <v>38200</v>
      </c>
      <c r="H18" s="30">
        <f>IF(Vendedor15!$E$13="",0,Vendedor15!$E$13)</f>
        <v>200</v>
      </c>
      <c r="I18" s="180">
        <f>IF(Vendedor15!$C$17="",0,Vendedor15!$C$17)</f>
        <v>17100</v>
      </c>
      <c r="J18" s="30">
        <f>IF(Vendedor15!$E$17="",0,Vendedor15!$E$17)</f>
        <v>1000</v>
      </c>
      <c r="L18" s="42">
        <f t="shared" ref="L18:L27" si="10">C18+E18+G18+I18</f>
        <v>145550</v>
      </c>
      <c r="M18" s="41">
        <f>MROUND(L18*Vendedor15!J$16,50)</f>
        <v>17450</v>
      </c>
      <c r="N18" s="42">
        <f t="shared" si="9"/>
        <v>3100</v>
      </c>
      <c r="O18" s="41">
        <f t="shared" si="3"/>
        <v>263500</v>
      </c>
      <c r="P18" s="42">
        <f>Vendedor15!$F$5+Vendedor15!$F$9+Vendedor15!$F$13+Vendedor15!$F$17</f>
        <v>263500</v>
      </c>
      <c r="R18" s="41">
        <f t="shared" si="8"/>
        <v>-135400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421950</v>
      </c>
      <c r="D32" s="44">
        <f t="shared" si="14"/>
        <v>10900</v>
      </c>
      <c r="E32" s="43">
        <f t="shared" si="14"/>
        <v>354250</v>
      </c>
      <c r="F32" s="44">
        <f t="shared" si="14"/>
        <v>1000</v>
      </c>
      <c r="G32" s="43">
        <f t="shared" si="14"/>
        <v>191050</v>
      </c>
      <c r="H32" s="44">
        <f t="shared" si="14"/>
        <v>1400</v>
      </c>
      <c r="I32" s="43">
        <f t="shared" si="14"/>
        <v>365300</v>
      </c>
      <c r="J32" s="44">
        <f t="shared" si="14"/>
        <v>7600</v>
      </c>
      <c r="L32" s="45">
        <f>SUM(L4:L31)</f>
        <v>1332550</v>
      </c>
      <c r="M32" s="45">
        <f>SUM(M7:M31)</f>
        <v>152250</v>
      </c>
      <c r="N32" s="96">
        <f>SUM(N4:N31)</f>
        <v>20900</v>
      </c>
      <c r="O32" s="46">
        <f>SUM(O4:O31)</f>
        <v>1776500</v>
      </c>
      <c r="P32" s="140">
        <f>SUM(P4:P31)</f>
        <v>1754750</v>
      </c>
      <c r="R32" s="80">
        <f>SUM(R4:R31)</f>
        <v>-604550</v>
      </c>
    </row>
    <row r="33" spans="3:15" x14ac:dyDescent="0.35">
      <c r="D33" s="121">
        <f>+D32*85</f>
        <v>926500</v>
      </c>
      <c r="F33" s="121">
        <f>+F32*85</f>
        <v>85000</v>
      </c>
      <c r="H33" s="121">
        <f>+H32*85</f>
        <v>119000</v>
      </c>
      <c r="J33" s="121">
        <f>+J32*85</f>
        <v>646000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1332550</v>
      </c>
      <c r="E36" s="43">
        <f>+D36-L4-L5-L6</f>
        <v>1268300</v>
      </c>
    </row>
    <row r="37" spans="3:15" x14ac:dyDescent="0.35">
      <c r="C37" s="47" t="s">
        <v>33</v>
      </c>
      <c r="D37" s="48">
        <f>D36*13%</f>
        <v>173231.5</v>
      </c>
      <c r="E37">
        <f>+D37-M4-M5-M6</f>
        <v>164881.5</v>
      </c>
    </row>
    <row r="38" spans="3:15" x14ac:dyDescent="0.35">
      <c r="C38" s="47" t="s">
        <v>30</v>
      </c>
      <c r="D38" s="30">
        <f>SUM(O4:O27)</f>
        <v>1776500</v>
      </c>
      <c r="G38" s="101"/>
    </row>
    <row r="39" spans="3:15" ht="15" thickBot="1" x14ac:dyDescent="0.4">
      <c r="C39" s="49" t="s">
        <v>4</v>
      </c>
      <c r="D39" s="81">
        <f>+D36-D37-D38</f>
        <v>-617181.5</v>
      </c>
      <c r="G39" s="102"/>
    </row>
    <row r="40" spans="3:15" ht="15" thickBot="1" x14ac:dyDescent="0.4">
      <c r="G40" s="101"/>
    </row>
    <row r="41" spans="3:15" x14ac:dyDescent="0.35">
      <c r="C41" s="105" t="s">
        <v>78</v>
      </c>
      <c r="D41" s="106">
        <v>0</v>
      </c>
      <c r="G41" s="101"/>
    </row>
    <row r="42" spans="3:15" x14ac:dyDescent="0.35">
      <c r="C42" s="107" t="s">
        <v>80</v>
      </c>
      <c r="D42" s="108">
        <v>0</v>
      </c>
      <c r="G42" s="101"/>
    </row>
    <row r="43" spans="3:15" ht="15" thickBot="1" x14ac:dyDescent="0.4">
      <c r="C43" s="109" t="s">
        <v>79</v>
      </c>
      <c r="D43" s="110">
        <f>+D39+D41+D42</f>
        <v>-617181.5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0FE3-0EE5-40FF-8308-05E77EB9389A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8" width="12.54296875" customWidth="1"/>
    <col min="9" max="9" width="3.6328125" customWidth="1"/>
    <col min="10" max="14" width="12.6328125" customWidth="1"/>
    <col min="15" max="15" width="14.81640625" bestFit="1" customWidth="1"/>
    <col min="16" max="16" width="3.6328125" customWidth="1"/>
  </cols>
  <sheetData>
    <row r="1" spans="1:17" x14ac:dyDescent="0.35">
      <c r="A1" s="80" t="s">
        <v>38</v>
      </c>
      <c r="B1" s="80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33 Blanca</v>
      </c>
      <c r="D2" s="268"/>
      <c r="E2" s="267" t="str">
        <f>IF(E33=0,"",CONCATENATE(PREMIOS!$B11," ",PREMIOS!$B12))</f>
        <v>27 Blanca</v>
      </c>
      <c r="F2" s="268"/>
      <c r="G2" s="267" t="str">
        <f>IF(G33=0,"",CONCATENATE(PREMIOS!$B15," ",PREMIOS!$B16))</f>
        <v>69 Roja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9">
        <f>IF(Vendedor1!$E$8="",0,Vendedor1!$E$8)</f>
        <v>0</v>
      </c>
      <c r="E4" s="189">
        <f>IF(Vendedor1!$C$12="",0,Vendedor1!$C$12)</f>
        <v>0</v>
      </c>
      <c r="F4" s="79">
        <f>IF(Vendedor1!$E$12="",0,Vendedor1!$E$12)</f>
        <v>0</v>
      </c>
      <c r="G4" s="189">
        <f>IF(Vendedor1!$C$16="",0,Vendedor1!$C$16)</f>
        <v>0</v>
      </c>
      <c r="H4" s="79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20600</v>
      </c>
      <c r="D10" s="30">
        <f>IF(Vendedor7!$E$8="",0,Vendedor7!$E$8)</f>
        <v>0</v>
      </c>
      <c r="E10" s="180">
        <f>IF(Vendedor7!$C$12="",0,Vendedor7!$C$12)</f>
        <v>22750</v>
      </c>
      <c r="F10" s="30">
        <f>IF(Vendedor7!$E$12="",0,Vendedor7!$E$12)</f>
        <v>250</v>
      </c>
      <c r="G10" s="180">
        <f>IF(Vendedor7!$C$16="",0,Vendedor7!$C$16)</f>
        <v>36250</v>
      </c>
      <c r="H10" s="30">
        <f>IF(Vendedor7!$E$16="",0,Vendedor7!$E$16)</f>
        <v>0</v>
      </c>
      <c r="J10" s="42">
        <f t="shared" si="1"/>
        <v>79600</v>
      </c>
      <c r="K10" s="41">
        <f>J10*Vendedor7!J$16</f>
        <v>7960</v>
      </c>
      <c r="L10" s="42">
        <f t="shared" si="2"/>
        <v>0</v>
      </c>
      <c r="M10" s="42">
        <f t="shared" si="3"/>
        <v>250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71640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1500</v>
      </c>
      <c r="D12" s="30">
        <f>IF(Vendedor9!$E$8="",0,Vendedor9!$E$8)</f>
        <v>0</v>
      </c>
      <c r="E12" s="180">
        <f>IF(Vendedor9!$C$12="",0,Vendedor9!$C$12)</f>
        <v>0</v>
      </c>
      <c r="F12" s="30">
        <f>IF(Vendedor9!$E$12="",0,Vendedor9!$E$12)</f>
        <v>0</v>
      </c>
      <c r="G12" s="180">
        <f>IF(Vendedor9!$C$16="",0,Vendedor9!$C$16)</f>
        <v>500</v>
      </c>
      <c r="H12" s="30">
        <f>IF(Vendedor9!$E$16="",0,Vendedor9!$E$16)</f>
        <v>0</v>
      </c>
      <c r="J12" s="42">
        <f t="shared" si="1"/>
        <v>2000</v>
      </c>
      <c r="K12" s="41">
        <f>J12*Vendedor9!J$13</f>
        <v>200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1800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200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0</v>
      </c>
      <c r="H16" s="30">
        <f>IF(Vendedor13!$E$16="",0,Vendedor13!$E$16)</f>
        <v>0</v>
      </c>
      <c r="J16" s="42">
        <f t="shared" si="1"/>
        <v>200</v>
      </c>
      <c r="K16" s="41">
        <f>J16*Vendedor13!J$13</f>
        <v>20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180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27400</v>
      </c>
      <c r="D17" s="30">
        <f>IF(Vendedor14!$E$8="",0,Vendedor14!$E$8)</f>
        <v>0</v>
      </c>
      <c r="E17" s="180">
        <f>IF(Vendedor14!$C$12="",0,Vendedor14!$C$12)</f>
        <v>12800</v>
      </c>
      <c r="F17" s="30">
        <f>IF(Vendedor14!$E$12="",0,Vendedor14!$E$12)</f>
        <v>0</v>
      </c>
      <c r="G17" s="180">
        <f>IF(Vendedor14!$C$16="",0,Vendedor14!$C$16)</f>
        <v>19300</v>
      </c>
      <c r="H17" s="30">
        <f>IF(Vendedor14!$E$16="",0,Vendedor14!$E$16)</f>
        <v>300</v>
      </c>
      <c r="J17" s="42">
        <f t="shared" si="1"/>
        <v>59500</v>
      </c>
      <c r="K17" s="41">
        <f>J17*Vendedor14!J$17</f>
        <v>5950</v>
      </c>
      <c r="L17" s="42">
        <f t="shared" si="2"/>
        <v>300</v>
      </c>
      <c r="M17" s="42">
        <f t="shared" si="3"/>
        <v>300</v>
      </c>
      <c r="N17" s="42">
        <f t="shared" si="0"/>
        <v>66000</v>
      </c>
      <c r="O17" s="42">
        <f>Vendedor14!$F$8+Vendedor14!$F$12+Vendedor14!$F$16</f>
        <v>60000</v>
      </c>
      <c r="Q17" s="42">
        <f t="shared" si="4"/>
        <v>-6450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11900</v>
      </c>
      <c r="D18" s="30">
        <f>IF(Vendedor15!$E$8="",0,Vendedor15!$E$8)</f>
        <v>0</v>
      </c>
      <c r="E18" s="180">
        <f>IF(Vendedor15!$C$12="",0,Vendedor15!$C$12)</f>
        <v>9500</v>
      </c>
      <c r="F18" s="30">
        <f>IF(Vendedor15!$E$12="",0,Vendedor15!$E$12)</f>
        <v>0</v>
      </c>
      <c r="G18" s="180">
        <f>IF(Vendedor15!$C$16="",0,Vendedor15!$C$16)</f>
        <v>15600</v>
      </c>
      <c r="H18" s="30">
        <f>IF(Vendedor15!$E$16="",0,Vendedor15!$E$16)</f>
        <v>100</v>
      </c>
      <c r="J18" s="42">
        <f t="shared" ref="J18" si="5">+C18+E18+G18</f>
        <v>37000</v>
      </c>
      <c r="K18" s="41">
        <f>J18*Vendedor15!J$17</f>
        <v>3700</v>
      </c>
      <c r="L18" s="42">
        <f t="shared" si="2"/>
        <v>100</v>
      </c>
      <c r="M18" s="42">
        <f t="shared" si="3"/>
        <v>100</v>
      </c>
      <c r="N18" s="42">
        <f t="shared" si="0"/>
        <v>22000</v>
      </c>
      <c r="O18" s="42">
        <f>Vendedor15!$F$8+Vendedor15!$F$12+Vendedor15!$F$16</f>
        <v>20000</v>
      </c>
      <c r="Q18" s="42">
        <f t="shared" si="4"/>
        <v>13300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61600</v>
      </c>
      <c r="D33" s="44">
        <f>IF(PREMIOS!E8&lt;&gt;0,SUM(D4:D32),0)</f>
        <v>0</v>
      </c>
      <c r="E33" s="43">
        <f>SUM(E4:E32)</f>
        <v>45050</v>
      </c>
      <c r="F33" s="44">
        <f>IF(PREMIOS!E12&lt;&gt;0,SUM(F4:F32),0)</f>
        <v>0</v>
      </c>
      <c r="G33" s="43">
        <f>SUM(G4:G32)</f>
        <v>71650</v>
      </c>
      <c r="H33" s="44">
        <f>IF(PREMIOS!E16&lt;&gt;0,SUM(H4:H32),0)</f>
        <v>400</v>
      </c>
      <c r="J33" s="45">
        <f>SUM(J4:J32)</f>
        <v>178300</v>
      </c>
      <c r="K33" s="45">
        <f>SUM(K7:K32)</f>
        <v>17830</v>
      </c>
      <c r="L33" s="96">
        <f>SUM(L7:L32)</f>
        <v>400</v>
      </c>
      <c r="M33" s="96">
        <f>SUM(M7:M32)</f>
        <v>650</v>
      </c>
      <c r="N33" s="96">
        <f>SUM(N4:N27)</f>
        <v>88000</v>
      </c>
      <c r="O33" s="96">
        <f>SUM(O4:O27)</f>
        <v>80000</v>
      </c>
      <c r="Q33" s="80">
        <f>SUM(Q4:Q32)</f>
        <v>80470</v>
      </c>
    </row>
    <row r="34" spans="3:17" x14ac:dyDescent="0.35">
      <c r="D34" s="119">
        <f>IF(PREMIOS!$D8=PREMIOS!$J$10,D33*$G$38,IF(PREMIOS!$D8=PREMIOS!$J$11,D33*$F$38,IF(PREMIOS!$D8=PREMIOS!$J$12,0,"")))</f>
        <v>0</v>
      </c>
      <c r="F34" s="119">
        <f>IF(PREMIOS!$D12=PREMIOS!$J$10,F33*$G$38,IF(PREMIOS!$D12=PREMIOS!$J$11,F33*$F$38,IF(PREMIOS!$D12=PREMIOS!$J$12,0,"")))</f>
        <v>0</v>
      </c>
      <c r="H34" s="119">
        <f>IF(PREMIOS!$D16=PREMIOS!$J$10,H33*$G$38,IF(PREMIOS!$D16=PREMIOS!$J$11,H33*$F$38,IF(PREMIOS!$D16=PREMIOS!$J$12,0,"")))</f>
        <v>88000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178300</v>
      </c>
      <c r="E37" s="43">
        <f>+D37-J4-J5-J6</f>
        <v>178300</v>
      </c>
      <c r="F37" s="275"/>
      <c r="G37" s="275"/>
    </row>
    <row r="38" spans="3:17" ht="15" thickBot="1" x14ac:dyDescent="0.4">
      <c r="C38" s="47" t="s">
        <v>33</v>
      </c>
      <c r="D38" s="30">
        <f>D37*10%</f>
        <v>17830</v>
      </c>
      <c r="E38" s="43">
        <f>+D38-K4-K5-K6</f>
        <v>17830</v>
      </c>
      <c r="F38" s="104">
        <v>220</v>
      </c>
      <c r="G38" s="104">
        <v>0</v>
      </c>
    </row>
    <row r="39" spans="3:17" x14ac:dyDescent="0.35">
      <c r="C39" s="47" t="s">
        <v>30</v>
      </c>
      <c r="D39" s="30">
        <f>+D34+F34+H34</f>
        <v>88000</v>
      </c>
    </row>
    <row r="40" spans="3:17" ht="15" thickBot="1" x14ac:dyDescent="0.4">
      <c r="C40" s="49" t="s">
        <v>4</v>
      </c>
      <c r="D40" s="81">
        <f>+D37-D38-D39</f>
        <v>72470</v>
      </c>
    </row>
    <row r="41" spans="3:17" ht="15" thickBot="1" x14ac:dyDescent="0.4"/>
    <row r="42" spans="3:17" x14ac:dyDescent="0.35">
      <c r="C42" s="105" t="s">
        <v>78</v>
      </c>
      <c r="D42" s="117">
        <v>0</v>
      </c>
    </row>
    <row r="43" spans="3:17" x14ac:dyDescent="0.35">
      <c r="C43" s="107" t="s">
        <v>80</v>
      </c>
      <c r="D43" s="153">
        <v>0</v>
      </c>
    </row>
    <row r="44" spans="3:17" ht="15" thickBot="1" x14ac:dyDescent="0.4">
      <c r="C44" s="109" t="s">
        <v>79</v>
      </c>
      <c r="D44" s="110">
        <f>+D42+D40+D43</f>
        <v>72470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F1D2-EADF-4726-9EC4-F5309B5AAB09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36</v>
      </c>
      <c r="D2" s="268"/>
      <c r="E2" s="267">
        <f>DigitaPRIMERA!E2</f>
        <v>12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5400</v>
      </c>
      <c r="D4" s="79">
        <f>IF(Vendedor1!$E$19="",0,Vendedor1!$E$19)</f>
        <v>0</v>
      </c>
      <c r="E4" s="189">
        <f>IF(Vendedor1!$C$20="",0,Vendedor1!$C$20)</f>
        <v>0</v>
      </c>
      <c r="F4" s="79">
        <f>IF(Vendedor1!$E$20="",0,Vendedor1!$E$20)</f>
        <v>0</v>
      </c>
      <c r="H4" s="42">
        <f>+C4+E4</f>
        <v>5400</v>
      </c>
      <c r="I4" s="41">
        <f>MROUND(H4*Vendedor1!J$9,50)</f>
        <v>700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4700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500</v>
      </c>
      <c r="D5" s="30">
        <f>IF(Vendedor2!$E$19="",0,Vendedor2!$E$19)</f>
        <v>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500</v>
      </c>
      <c r="I5" s="41">
        <f>MROUND(H5*Vendedor2!J$9,50)</f>
        <v>50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450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4"/>
      <c r="E7" s="193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21400</v>
      </c>
      <c r="D8" s="30">
        <f>IF(Vendedor5!$E$19="",0,Vendedor5!$E$19)</f>
        <v>0</v>
      </c>
      <c r="E8" s="180">
        <f>IF(Vendedor5!$C$20="",0,Vendedor5!$C$20)</f>
        <v>6050</v>
      </c>
      <c r="F8" s="30">
        <f>IF(Vendedor5!$E$20="",0,Vendedor5!$E$20)</f>
        <v>400</v>
      </c>
      <c r="H8" s="134">
        <f t="shared" si="1"/>
        <v>27450</v>
      </c>
      <c r="I8" s="148">
        <f>MROUND(H8*Vendedor5!J$11,50)</f>
        <v>3300</v>
      </c>
      <c r="J8" s="134">
        <f t="shared" si="2"/>
        <v>400</v>
      </c>
      <c r="K8" s="134">
        <f t="shared" si="3"/>
        <v>34000</v>
      </c>
      <c r="L8" s="134">
        <f>Vendedor5!$F$19+Vendedor5!$F$20</f>
        <v>32000</v>
      </c>
      <c r="M8" s="155"/>
      <c r="N8" s="134">
        <f t="shared" si="0"/>
        <v>-7850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4">
        <f t="shared" si="1"/>
        <v>0</v>
      </c>
      <c r="I9" s="148">
        <f>MROUND(H9*Vendedor6!J$11,50)</f>
        <v>0</v>
      </c>
      <c r="J9" s="134">
        <f t="shared" si="2"/>
        <v>0</v>
      </c>
      <c r="K9" s="134">
        <f t="shared" si="3"/>
        <v>0</v>
      </c>
      <c r="L9" s="134">
        <f>Vendedor6!$F$19+Vendedor6!$F$20</f>
        <v>0</v>
      </c>
      <c r="M9" s="155"/>
      <c r="N9" s="134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40750</v>
      </c>
      <c r="D10" s="30">
        <f>IF(Vendedor7!$E$19="",0,Vendedor7!$E$19)</f>
        <v>0</v>
      </c>
      <c r="E10" s="180">
        <f>IF(Vendedor7!$C$20="",0,Vendedor7!$C$20)</f>
        <v>29750</v>
      </c>
      <c r="F10" s="30">
        <f>IF(Vendedor7!$E$20="",0,Vendedor7!$E$20)</f>
        <v>150</v>
      </c>
      <c r="H10" s="42">
        <f t="shared" si="1"/>
        <v>70500</v>
      </c>
      <c r="I10" s="41">
        <f>MROUND(H10*Vendedor7!J$14,50)</f>
        <v>8450</v>
      </c>
      <c r="J10" s="42">
        <f t="shared" si="2"/>
        <v>150</v>
      </c>
      <c r="K10" s="42">
        <f t="shared" si="3"/>
        <v>12750</v>
      </c>
      <c r="L10" s="42">
        <f>Vendedor7!$F$19+Vendedor7!$F$20</f>
        <v>12750</v>
      </c>
      <c r="N10" s="42">
        <f t="shared" si="0"/>
        <v>49300</v>
      </c>
    </row>
    <row r="11" spans="1:14" x14ac:dyDescent="0.35">
      <c r="A11" s="202">
        <v>8</v>
      </c>
      <c r="B11" s="192" t="str">
        <f>Vendedor8!$B$2</f>
        <v>ISA</v>
      </c>
      <c r="C11" s="193"/>
      <c r="D11" s="84"/>
      <c r="E11" s="193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16600</v>
      </c>
      <c r="D12" s="30">
        <f>IF(Vendedor9!$E$19="",0,Vendedor9!$E$19)</f>
        <v>0</v>
      </c>
      <c r="E12" s="180">
        <f>IF(Vendedor9!$C$20="",0,Vendedor9!$C$20)</f>
        <v>0</v>
      </c>
      <c r="F12" s="30">
        <f>IF(Vendedor9!$E$20="",0,Vendedor9!$E$20)</f>
        <v>0</v>
      </c>
      <c r="H12" s="134">
        <f t="shared" si="1"/>
        <v>16600</v>
      </c>
      <c r="I12" s="148">
        <f>MROUND(H12*Vendedor9!J$11,50)</f>
        <v>2000</v>
      </c>
      <c r="J12" s="134">
        <f t="shared" si="2"/>
        <v>0</v>
      </c>
      <c r="K12" s="134">
        <f t="shared" si="3"/>
        <v>0</v>
      </c>
      <c r="L12" s="134">
        <f>Vendedor9!$F$19+Vendedor9!$F$20</f>
        <v>0</v>
      </c>
      <c r="M12" s="155"/>
      <c r="N12" s="134">
        <f t="shared" si="0"/>
        <v>14600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4"/>
      <c r="E13" s="193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4"/>
      <c r="E14" s="193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4"/>
      <c r="E15" s="193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7600</v>
      </c>
      <c r="D16" s="30">
        <f>IF(Vendedor13!$E$19="",0,Vendedor13!$E$19)</f>
        <v>0</v>
      </c>
      <c r="E16" s="180">
        <f>IF(Vendedor13!$C$20="",0,Vendedor13!$C$20)</f>
        <v>2000</v>
      </c>
      <c r="F16" s="30">
        <f>IF(Vendedor13!$E$20="",0,Vendedor13!$E$20)</f>
        <v>0</v>
      </c>
      <c r="H16" s="134">
        <f t="shared" si="1"/>
        <v>9600</v>
      </c>
      <c r="I16" s="148">
        <f>MROUND(H16*Vendedor13!J$11,50)</f>
        <v>1150</v>
      </c>
      <c r="J16" s="134">
        <f t="shared" si="2"/>
        <v>0</v>
      </c>
      <c r="K16" s="134">
        <f t="shared" si="3"/>
        <v>0</v>
      </c>
      <c r="L16" s="42">
        <f>Vendedor13!$F$19+Vendedor13!$F$20</f>
        <v>0</v>
      </c>
      <c r="M16" s="155"/>
      <c r="N16" s="134">
        <f t="shared" si="0"/>
        <v>8450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94400</v>
      </c>
      <c r="D17" s="30">
        <f>IF(Vendedor14!$E$19="",0,Vendedor14!$E$19)</f>
        <v>600</v>
      </c>
      <c r="E17" s="180">
        <f>IF(Vendedor14!$C$20="",0,Vendedor14!$C$20)</f>
        <v>24150</v>
      </c>
      <c r="F17" s="30">
        <f>IF(Vendedor14!$E$20="",0,Vendedor14!$E$20)</f>
        <v>0</v>
      </c>
      <c r="H17" s="42">
        <f t="shared" si="1"/>
        <v>118550</v>
      </c>
      <c r="I17" s="41">
        <f>MROUND(H17*Vendedor14!J$15,50)</f>
        <v>14250</v>
      </c>
      <c r="J17" s="42">
        <f t="shared" si="2"/>
        <v>600</v>
      </c>
      <c r="K17" s="42">
        <f t="shared" si="3"/>
        <v>51000</v>
      </c>
      <c r="L17" s="42">
        <f>Vendedor14!$F$19+Vendedor14!$F$20</f>
        <v>51000</v>
      </c>
      <c r="N17" s="42">
        <f t="shared" si="0"/>
        <v>53300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31500</v>
      </c>
      <c r="D18" s="30">
        <f>IF(Vendedor15!$E$19="",0,Vendedor15!$E$19)</f>
        <v>0</v>
      </c>
      <c r="E18" s="180">
        <f>IF(Vendedor15!$C$20="",0,Vendedor15!$C$20)</f>
        <v>32000</v>
      </c>
      <c r="F18" s="30">
        <f>IF(Vendedor15!$E$20="",0,Vendedor15!$E$20)</f>
        <v>600</v>
      </c>
      <c r="H18" s="42">
        <f t="shared" si="1"/>
        <v>63500</v>
      </c>
      <c r="I18" s="41">
        <f>MROUND(H18*Vendedor15!J$15,50)</f>
        <v>7600</v>
      </c>
      <c r="J18" s="42">
        <f t="shared" si="2"/>
        <v>600</v>
      </c>
      <c r="K18" s="42">
        <f t="shared" si="3"/>
        <v>51000</v>
      </c>
      <c r="L18" s="42">
        <f>Vendedor15!$F$19+Vendedor15!$F$20</f>
        <v>51000</v>
      </c>
      <c r="N18" s="42">
        <f t="shared" si="0"/>
        <v>4900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218150</v>
      </c>
      <c r="D32" s="44">
        <f>SUM(D4:D31)</f>
        <v>600</v>
      </c>
      <c r="E32" s="43">
        <f>SUM(E4:E31)</f>
        <v>93950</v>
      </c>
      <c r="F32" s="44">
        <f>SUM(F4:F31)</f>
        <v>1150</v>
      </c>
      <c r="H32" s="96">
        <f>SUM(H4:H31)</f>
        <v>312100</v>
      </c>
      <c r="I32" s="45">
        <f>SUM(I7:I31)</f>
        <v>36750</v>
      </c>
      <c r="J32" s="96"/>
      <c r="K32" s="96">
        <f>SUM(K4:K31)</f>
        <v>148750</v>
      </c>
      <c r="L32" s="96">
        <f>SUM(L4:L31)</f>
        <v>146750</v>
      </c>
      <c r="N32" s="80">
        <f>SUM(N4:N31)</f>
        <v>127850</v>
      </c>
    </row>
    <row r="33" spans="3:6" x14ac:dyDescent="0.35">
      <c r="D33" s="100">
        <f>+D32*85</f>
        <v>51000</v>
      </c>
      <c r="F33" s="100">
        <f>+F32*85</f>
        <v>97750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312100</v>
      </c>
      <c r="E36" s="43">
        <f>+D36-H4-H5-H6</f>
        <v>306200</v>
      </c>
    </row>
    <row r="37" spans="3:6" x14ac:dyDescent="0.35">
      <c r="C37" s="47" t="s">
        <v>33</v>
      </c>
      <c r="D37" s="48">
        <f>D36*13%</f>
        <v>40573</v>
      </c>
      <c r="E37">
        <f>+D37-I4-I5-I6</f>
        <v>39823</v>
      </c>
    </row>
    <row r="38" spans="3:6" ht="15" thickBot="1" x14ac:dyDescent="0.4">
      <c r="C38" s="47" t="s">
        <v>30</v>
      </c>
      <c r="D38" s="30">
        <f>SUM(K4:K27)</f>
        <v>148750</v>
      </c>
    </row>
    <row r="39" spans="3:6" ht="15" thickBot="1" x14ac:dyDescent="0.4">
      <c r="C39" s="49" t="s">
        <v>4</v>
      </c>
      <c r="D39" s="81">
        <f>+D36-D37-D38</f>
        <v>122777</v>
      </c>
      <c r="F39" s="99">
        <f>+N32-D39</f>
        <v>5073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122777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B32B7-089C-4684-801C-F515235FABDD}">
  <sheetPr codeName="Hoja5"/>
  <dimension ref="A1:P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85</v>
      </c>
      <c r="D2" s="268"/>
      <c r="E2" s="267">
        <f>DigitaHONDURAS!E2</f>
        <v>88</v>
      </c>
      <c r="F2" s="268"/>
      <c r="G2" s="267">
        <f>DigitaHONDURAS!G2</f>
        <v>83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4"/>
      <c r="E4" s="193"/>
      <c r="F4" s="84"/>
      <c r="G4" s="193"/>
      <c r="H4" s="84"/>
      <c r="J4" s="83">
        <f t="shared" ref="J4:J31" si="0">+C4+E4+G4</f>
        <v>0</v>
      </c>
      <c r="K4" s="130">
        <f>MROUND(J4*Vendedor1!J$9,50)</f>
        <v>0</v>
      </c>
      <c r="L4" s="83">
        <f t="shared" ref="L4:L31" si="1">+D4+F4+H4</f>
        <v>0</v>
      </c>
      <c r="M4" s="83">
        <f>+L4*85</f>
        <v>0</v>
      </c>
      <c r="N4" s="83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4"/>
      <c r="E5" s="193"/>
      <c r="F5" s="84"/>
      <c r="G5" s="193"/>
      <c r="H5" s="84"/>
      <c r="J5" s="83">
        <f t="shared" si="0"/>
        <v>0</v>
      </c>
      <c r="K5" s="130">
        <f>MROUND(J5*Vendedor2!J$9,50)</f>
        <v>0</v>
      </c>
      <c r="L5" s="83">
        <f t="shared" si="1"/>
        <v>0</v>
      </c>
      <c r="M5" s="83">
        <f t="shared" ref="M5:M27" si="3">+L5*85</f>
        <v>0</v>
      </c>
      <c r="N5" s="83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4"/>
      <c r="E6" s="193"/>
      <c r="F6" s="84"/>
      <c r="G6" s="193"/>
      <c r="H6" s="84"/>
      <c r="J6" s="83">
        <f t="shared" si="0"/>
        <v>0</v>
      </c>
      <c r="K6" s="130">
        <f>MROUND(J6*Vendedor3!J$9,50)</f>
        <v>0</v>
      </c>
      <c r="L6" s="83">
        <f t="shared" si="1"/>
        <v>0</v>
      </c>
      <c r="M6" s="83">
        <f t="shared" si="3"/>
        <v>0</v>
      </c>
      <c r="N6" s="83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4"/>
      <c r="E7" s="193"/>
      <c r="F7" s="84"/>
      <c r="G7" s="193"/>
      <c r="H7" s="84"/>
      <c r="J7" s="83">
        <f t="shared" si="0"/>
        <v>0</v>
      </c>
      <c r="K7" s="130">
        <f>MROUND(J7*Vendedor4!J$9,50)</f>
        <v>0</v>
      </c>
      <c r="L7" s="83">
        <f t="shared" si="1"/>
        <v>0</v>
      </c>
      <c r="M7" s="83">
        <f t="shared" si="3"/>
        <v>0</v>
      </c>
      <c r="N7" s="83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4"/>
      <c r="E8" s="193"/>
      <c r="F8" s="84"/>
      <c r="G8" s="193"/>
      <c r="H8" s="84"/>
      <c r="J8" s="83">
        <f t="shared" si="0"/>
        <v>0</v>
      </c>
      <c r="K8" s="130">
        <f>MROUND(J8*Vendedor5!J$11,50)</f>
        <v>0</v>
      </c>
      <c r="L8" s="83">
        <f t="shared" si="1"/>
        <v>0</v>
      </c>
      <c r="M8" s="83">
        <f t="shared" si="3"/>
        <v>0</v>
      </c>
      <c r="N8" s="83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4"/>
      <c r="E9" s="193"/>
      <c r="F9" s="84"/>
      <c r="G9" s="193"/>
      <c r="H9" s="84"/>
      <c r="J9" s="83">
        <f t="shared" si="0"/>
        <v>0</v>
      </c>
      <c r="K9" s="130">
        <f>MROUND(J9*Vendedor6!J$11,50)</f>
        <v>0</v>
      </c>
      <c r="L9" s="83">
        <f t="shared" si="1"/>
        <v>0</v>
      </c>
      <c r="M9" s="83">
        <f t="shared" si="3"/>
        <v>0</v>
      </c>
      <c r="N9" s="83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17650</v>
      </c>
      <c r="D10" s="30">
        <f>IF(Vendedor7!$E$21="",0,Vendedor7!$E$21)</f>
        <v>0</v>
      </c>
      <c r="E10" s="180">
        <f>IF(Vendedor7!$C$22="",0,Vendedor7!$C$22)</f>
        <v>7500</v>
      </c>
      <c r="F10" s="30">
        <f>IF(Vendedor7!$E$22="",0,Vendedor7!$E$22)</f>
        <v>0</v>
      </c>
      <c r="G10" s="180">
        <f>IF(Vendedor7!$C$23="",0,Vendedor7!$C$23)</f>
        <v>9950</v>
      </c>
      <c r="H10" s="30">
        <f>IF(Vendedor7!$E$23="",0,Vendedor7!$E$23)</f>
        <v>0</v>
      </c>
      <c r="J10" s="42">
        <f t="shared" si="0"/>
        <v>35100</v>
      </c>
      <c r="K10" s="41">
        <f>MROUND(J10*Vendedor7!J$14,50)</f>
        <v>4200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30900</v>
      </c>
    </row>
    <row r="11" spans="1:16" x14ac:dyDescent="0.35">
      <c r="A11" s="41">
        <v>8</v>
      </c>
      <c r="B11" s="178" t="str">
        <f>Vendedor8!$B$2</f>
        <v>ISA</v>
      </c>
      <c r="C11" s="193"/>
      <c r="D11" s="84"/>
      <c r="E11" s="193"/>
      <c r="F11" s="84"/>
      <c r="G11" s="193"/>
      <c r="H11" s="84"/>
      <c r="J11" s="83">
        <f t="shared" si="0"/>
        <v>0</v>
      </c>
      <c r="K11" s="130">
        <f>MROUND(J11*Vendedor8!J$11,50)</f>
        <v>0</v>
      </c>
      <c r="L11" s="83">
        <f t="shared" si="1"/>
        <v>0</v>
      </c>
      <c r="M11" s="83">
        <f t="shared" si="3"/>
        <v>0</v>
      </c>
      <c r="N11" s="83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4"/>
      <c r="E13" s="193"/>
      <c r="F13" s="84"/>
      <c r="G13" s="193"/>
      <c r="H13" s="84"/>
      <c r="J13" s="83">
        <f t="shared" si="0"/>
        <v>0</v>
      </c>
      <c r="K13" s="130">
        <f>MROUND(J13*Vendedor10!J$9,50)</f>
        <v>0</v>
      </c>
      <c r="L13" s="83">
        <f t="shared" si="1"/>
        <v>0</v>
      </c>
      <c r="M13" s="83">
        <f t="shared" si="3"/>
        <v>0</v>
      </c>
      <c r="N13" s="83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4"/>
      <c r="E14" s="193"/>
      <c r="F14" s="84"/>
      <c r="G14" s="193"/>
      <c r="H14" s="84"/>
      <c r="J14" s="83">
        <f t="shared" si="0"/>
        <v>0</v>
      </c>
      <c r="K14" s="130">
        <f>MROUND(J14*Vendedor11!J$9,50)</f>
        <v>0</v>
      </c>
      <c r="L14" s="83">
        <f t="shared" si="1"/>
        <v>0</v>
      </c>
      <c r="M14" s="83">
        <f t="shared" si="3"/>
        <v>0</v>
      </c>
      <c r="N14" s="83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4"/>
      <c r="E15" s="193"/>
      <c r="F15" s="84"/>
      <c r="G15" s="193"/>
      <c r="H15" s="84"/>
      <c r="J15" s="83">
        <f t="shared" si="0"/>
        <v>0</v>
      </c>
      <c r="K15" s="130">
        <f>MROUND(J15*Vendedor12!J$9,50)</f>
        <v>0</v>
      </c>
      <c r="L15" s="83">
        <f t="shared" si="1"/>
        <v>0</v>
      </c>
      <c r="M15" s="83">
        <f t="shared" si="3"/>
        <v>0</v>
      </c>
      <c r="N15" s="83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93"/>
      <c r="D16" s="84"/>
      <c r="E16" s="193"/>
      <c r="F16" s="84"/>
      <c r="G16" s="193"/>
      <c r="H16" s="84"/>
      <c r="J16" s="83">
        <f t="shared" si="0"/>
        <v>0</v>
      </c>
      <c r="K16" s="130">
        <f>MROUND(J16*Vendedor13!J$11,50)</f>
        <v>0</v>
      </c>
      <c r="L16" s="83">
        <f t="shared" si="1"/>
        <v>0</v>
      </c>
      <c r="M16" s="83">
        <f t="shared" si="3"/>
        <v>0</v>
      </c>
      <c r="N16" s="8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60300</v>
      </c>
      <c r="D17" s="30">
        <f>IF(Vendedor14!$E$21="",0,Vendedor14!$E$21)</f>
        <v>250</v>
      </c>
      <c r="E17" s="180">
        <f>IF(Vendedor14!$C$22="",0,Vendedor14!$C$22)</f>
        <v>8700</v>
      </c>
      <c r="F17" s="30">
        <f>IF(Vendedor14!$E$22="",0,Vendedor14!$E$22)</f>
        <v>1250</v>
      </c>
      <c r="G17" s="180">
        <f>IF(Vendedor14!$C$23="",0,Vendedor14!$C$23)</f>
        <v>16350</v>
      </c>
      <c r="H17" s="30">
        <f>IF(Vendedor14!$E$23="",0,Vendedor14!$E$23)</f>
        <v>600</v>
      </c>
      <c r="J17" s="42">
        <f t="shared" si="0"/>
        <v>85350</v>
      </c>
      <c r="K17" s="41">
        <f>MROUND(J17*Vendedor14!J$15,50)</f>
        <v>10250</v>
      </c>
      <c r="L17" s="42">
        <f t="shared" si="1"/>
        <v>2100</v>
      </c>
      <c r="M17" s="42">
        <f t="shared" si="3"/>
        <v>178500</v>
      </c>
      <c r="N17" s="42">
        <f>Vendedor14!$F$21+Vendedor14!$F$22+Vendedor14!$F$23</f>
        <v>178500</v>
      </c>
      <c r="P17" s="42">
        <f t="shared" si="2"/>
        <v>-103400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11750</v>
      </c>
      <c r="D18" s="30">
        <f>IF(Vendedor15!$E$21="",0,Vendedor15!$E$21)</f>
        <v>0</v>
      </c>
      <c r="E18" s="180">
        <f>IF(Vendedor15!$C$22="",0,Vendedor15!$C$22)</f>
        <v>8150</v>
      </c>
      <c r="F18" s="30">
        <f>IF(Vendedor15!$E$22="",0,Vendedor15!$E$22)</f>
        <v>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19900</v>
      </c>
      <c r="K18" s="41">
        <f>MROUND(J18*Vendedor15!J$15,50)</f>
        <v>2400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17500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89700</v>
      </c>
      <c r="D32" s="44">
        <f t="shared" si="8"/>
        <v>250</v>
      </c>
      <c r="E32" s="43">
        <f t="shared" si="8"/>
        <v>24350</v>
      </c>
      <c r="F32" s="44">
        <f t="shared" si="8"/>
        <v>1250</v>
      </c>
      <c r="G32" s="43">
        <f t="shared" si="8"/>
        <v>26300</v>
      </c>
      <c r="H32" s="44">
        <f t="shared" si="8"/>
        <v>600</v>
      </c>
      <c r="J32" s="96">
        <f>SUM(J4:J31)</f>
        <v>140350</v>
      </c>
      <c r="K32" s="45">
        <f>SUM(K7:K31)</f>
        <v>16850</v>
      </c>
      <c r="L32" s="96"/>
      <c r="M32" s="96">
        <f>SUM(M4:M31)</f>
        <v>178500</v>
      </c>
      <c r="N32" s="96">
        <f>SUM(N4:N31)</f>
        <v>178500</v>
      </c>
      <c r="P32" s="80">
        <f>SUM(P4:P31)</f>
        <v>-55000</v>
      </c>
    </row>
    <row r="33" spans="3:8" x14ac:dyDescent="0.35">
      <c r="D33" s="100">
        <f>+D32*85</f>
        <v>21250</v>
      </c>
      <c r="F33" s="100">
        <f>+F32*85</f>
        <v>106250</v>
      </c>
      <c r="H33" s="100">
        <f>+H32*85</f>
        <v>51000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140350</v>
      </c>
      <c r="E36" s="43">
        <f>+D36-J4-J5-J6</f>
        <v>140350</v>
      </c>
    </row>
    <row r="37" spans="3:8" x14ac:dyDescent="0.35">
      <c r="C37" s="47" t="s">
        <v>33</v>
      </c>
      <c r="D37" s="48">
        <f>D36*13%</f>
        <v>18245.5</v>
      </c>
      <c r="E37">
        <f>+D37-K4-K5-K6</f>
        <v>18245.5</v>
      </c>
    </row>
    <row r="38" spans="3:8" ht="15" thickBot="1" x14ac:dyDescent="0.4">
      <c r="C38" s="47" t="s">
        <v>30</v>
      </c>
      <c r="D38" s="30">
        <f>SUM(M4:M27)</f>
        <v>178500</v>
      </c>
      <c r="G38" s="101"/>
    </row>
    <row r="39" spans="3:8" ht="15" thickBot="1" x14ac:dyDescent="0.4">
      <c r="C39" s="49" t="s">
        <v>4</v>
      </c>
      <c r="D39" s="81">
        <f>+D36-D37-D38</f>
        <v>-56395.5</v>
      </c>
      <c r="F39" s="99">
        <f>+P32-D39</f>
        <v>1395.5</v>
      </c>
      <c r="G39" s="102"/>
    </row>
    <row r="40" spans="3:8" ht="15" thickBot="1" x14ac:dyDescent="0.4">
      <c r="G40" s="101"/>
    </row>
    <row r="41" spans="3:8" x14ac:dyDescent="0.35">
      <c r="C41" s="105" t="s">
        <v>78</v>
      </c>
      <c r="D41" s="106">
        <v>0</v>
      </c>
      <c r="G41" s="101"/>
    </row>
    <row r="42" spans="3:8" x14ac:dyDescent="0.35">
      <c r="C42" s="107" t="s">
        <v>80</v>
      </c>
      <c r="D42" s="108">
        <v>0</v>
      </c>
      <c r="G42" s="101"/>
    </row>
    <row r="43" spans="3:8" ht="15" thickBot="1" x14ac:dyDescent="0.4">
      <c r="C43" s="109" t="s">
        <v>79</v>
      </c>
      <c r="D43" s="110">
        <f>+D39+D41+D42</f>
        <v>-56395.5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EAA0B-A40D-4AB2-8133-25E108569181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1" t="s">
        <v>114</v>
      </c>
      <c r="D1" s="272"/>
      <c r="E1" s="271" t="s">
        <v>115</v>
      </c>
      <c r="F1" s="272"/>
    </row>
    <row r="2" spans="1:14" x14ac:dyDescent="0.35">
      <c r="C2" s="267" t="str">
        <f>DigitaDOMINICANA!C2</f>
        <v>01</v>
      </c>
      <c r="D2" s="268"/>
      <c r="E2" s="267">
        <f>DigitaDOMINICANA!E2</f>
        <v>79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3">
        <f>+C4+E4</f>
        <v>0</v>
      </c>
      <c r="I4" s="130">
        <f>MROUND(H4*Vendedor1!J$9,50)</f>
        <v>0</v>
      </c>
      <c r="J4" s="83">
        <f>+D4+F4</f>
        <v>0</v>
      </c>
      <c r="K4" s="83">
        <f>+J4*85</f>
        <v>0</v>
      </c>
      <c r="L4" s="83"/>
      <c r="M4" s="131"/>
      <c r="N4" s="83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4"/>
      <c r="E5" s="193"/>
      <c r="F5" s="84"/>
      <c r="H5" s="83">
        <f t="shared" ref="H5:H31" si="1">+C5+E5</f>
        <v>0</v>
      </c>
      <c r="I5" s="130">
        <f>MROUND(H5*Vendedor2!J$9,50)</f>
        <v>0</v>
      </c>
      <c r="J5" s="83">
        <f t="shared" ref="J5:J31" si="2">+D5+F5</f>
        <v>0</v>
      </c>
      <c r="K5" s="83">
        <f t="shared" ref="K5:K27" si="3">+J5*85</f>
        <v>0</v>
      </c>
      <c r="L5" s="83"/>
      <c r="M5" s="131"/>
      <c r="N5" s="83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4"/>
      <c r="E6" s="193"/>
      <c r="F6" s="84"/>
      <c r="H6" s="83">
        <f t="shared" si="1"/>
        <v>0</v>
      </c>
      <c r="I6" s="130">
        <f>MROUND(H6*Vendedor3!J$9,50)</f>
        <v>0</v>
      </c>
      <c r="J6" s="83">
        <f t="shared" si="2"/>
        <v>0</v>
      </c>
      <c r="K6" s="83">
        <f t="shared" si="3"/>
        <v>0</v>
      </c>
      <c r="L6" s="83"/>
      <c r="M6" s="131"/>
      <c r="N6" s="83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4"/>
      <c r="E7" s="193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4"/>
      <c r="E8" s="193"/>
      <c r="F8" s="84"/>
      <c r="H8" s="83">
        <f t="shared" si="1"/>
        <v>0</v>
      </c>
      <c r="I8" s="130">
        <f>MROUND(H8*Vendedor5!J$11,50)</f>
        <v>0</v>
      </c>
      <c r="J8" s="83">
        <f t="shared" si="2"/>
        <v>0</v>
      </c>
      <c r="K8" s="83">
        <f t="shared" si="3"/>
        <v>0</v>
      </c>
      <c r="L8" s="83"/>
      <c r="M8" s="131"/>
      <c r="N8" s="83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4"/>
      <c r="E9" s="193"/>
      <c r="F9" s="84"/>
      <c r="H9" s="83">
        <f t="shared" si="1"/>
        <v>0</v>
      </c>
      <c r="I9" s="130">
        <f>MROUND(H9*Vendedor6!J$11,50)</f>
        <v>0</v>
      </c>
      <c r="J9" s="83">
        <f t="shared" si="2"/>
        <v>0</v>
      </c>
      <c r="K9" s="83">
        <f t="shared" si="3"/>
        <v>0</v>
      </c>
      <c r="L9" s="83"/>
      <c r="M9" s="131"/>
      <c r="N9" s="8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82000</v>
      </c>
      <c r="D10" s="30">
        <f>IF(Vendedor7!$E$24="",0,Vendedor7!$E$24)</f>
        <v>750</v>
      </c>
      <c r="E10" s="180">
        <f>IF(Vendedor7!$C$25="",0,Vendedor7!$C$25)</f>
        <v>83000</v>
      </c>
      <c r="F10" s="30">
        <f>IF(Vendedor7!$E$25="",0,Vendedor7!$E$25)</f>
        <v>0</v>
      </c>
      <c r="H10" s="42">
        <f t="shared" si="1"/>
        <v>165000</v>
      </c>
      <c r="I10" s="41">
        <f>MROUND(H10*Vendedor7!J$14,50)</f>
        <v>19800</v>
      </c>
      <c r="J10" s="42">
        <f t="shared" si="2"/>
        <v>750</v>
      </c>
      <c r="K10" s="42">
        <f t="shared" si="3"/>
        <v>63750</v>
      </c>
      <c r="L10" s="42">
        <f>Vendedor7!$F$24+Vendedor7!$F$25</f>
        <v>63750</v>
      </c>
      <c r="N10" s="42">
        <f t="shared" si="0"/>
        <v>81450</v>
      </c>
    </row>
    <row r="11" spans="1:14" x14ac:dyDescent="0.35">
      <c r="A11" s="202">
        <v>8</v>
      </c>
      <c r="B11" s="192" t="str">
        <f>Vendedor8!$B$2</f>
        <v>ISA</v>
      </c>
      <c r="C11" s="193"/>
      <c r="D11" s="84"/>
      <c r="E11" s="193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4"/>
      <c r="E12" s="193"/>
      <c r="F12" s="84"/>
      <c r="H12" s="83">
        <f t="shared" si="1"/>
        <v>0</v>
      </c>
      <c r="I12" s="130">
        <f>MROUND(H12*Vendedor9!J$11,50)</f>
        <v>0</v>
      </c>
      <c r="J12" s="83">
        <f t="shared" si="2"/>
        <v>0</v>
      </c>
      <c r="K12" s="83">
        <f t="shared" si="3"/>
        <v>0</v>
      </c>
      <c r="L12" s="83"/>
      <c r="M12" s="131"/>
      <c r="N12" s="83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4"/>
      <c r="E13" s="193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4"/>
      <c r="E14" s="193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4"/>
      <c r="E15" s="193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4"/>
      <c r="E16" s="193"/>
      <c r="F16" s="84"/>
      <c r="H16" s="83">
        <f t="shared" si="1"/>
        <v>0</v>
      </c>
      <c r="I16" s="130">
        <f>MROUND(H16*Vendedor13!J$11,50)</f>
        <v>0</v>
      </c>
      <c r="J16" s="83">
        <f t="shared" si="2"/>
        <v>0</v>
      </c>
      <c r="K16" s="83">
        <f t="shared" si="3"/>
        <v>0</v>
      </c>
      <c r="L16" s="83"/>
      <c r="M16" s="131"/>
      <c r="N16" s="83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82000</v>
      </c>
      <c r="D32" s="44">
        <f>SUM(D4:D31)</f>
        <v>750</v>
      </c>
      <c r="E32" s="43">
        <f>SUM(E4:E31)</f>
        <v>83000</v>
      </c>
      <c r="F32" s="44">
        <f>SUM(F4:F31)</f>
        <v>0</v>
      </c>
      <c r="H32" s="96">
        <f>SUM(H4:H31)</f>
        <v>165000</v>
      </c>
      <c r="I32" s="45">
        <f>SUM(I7:I31)</f>
        <v>19800</v>
      </c>
      <c r="J32" s="96"/>
      <c r="K32" s="96">
        <f>SUM(K4:K31)</f>
        <v>63750</v>
      </c>
      <c r="L32" s="96">
        <f>SUM(L4:L31)</f>
        <v>63750</v>
      </c>
      <c r="N32" s="80">
        <f>SUM(N4:N31)</f>
        <v>81450</v>
      </c>
    </row>
    <row r="33" spans="3:6" x14ac:dyDescent="0.35">
      <c r="D33" s="100">
        <f>+D32*85</f>
        <v>63750</v>
      </c>
      <c r="F33" s="100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165000</v>
      </c>
      <c r="E36" s="43">
        <f>+D36-H4-H5-H6</f>
        <v>165000</v>
      </c>
    </row>
    <row r="37" spans="3:6" x14ac:dyDescent="0.35">
      <c r="C37" s="47" t="s">
        <v>33</v>
      </c>
      <c r="D37" s="48">
        <f>D36*13%</f>
        <v>21450</v>
      </c>
      <c r="E37">
        <f>+D37-I4-I5-I6</f>
        <v>21450</v>
      </c>
    </row>
    <row r="38" spans="3:6" ht="15" thickBot="1" x14ac:dyDescent="0.4">
      <c r="C38" s="47" t="s">
        <v>30</v>
      </c>
      <c r="D38" s="30">
        <f>SUM(K4:K27)</f>
        <v>63750</v>
      </c>
    </row>
    <row r="39" spans="3:6" ht="15" thickBot="1" x14ac:dyDescent="0.4">
      <c r="C39" s="49" t="s">
        <v>4</v>
      </c>
      <c r="D39" s="81">
        <f>+D36-D37-D38</f>
        <v>79800</v>
      </c>
      <c r="F39" s="99">
        <f>+N32-D39</f>
        <v>1650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79800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86703-217A-4E87-84CA-BBB86BAB6970}">
  <sheetPr codeName="Hoja49"/>
  <dimension ref="A1:L43"/>
  <sheetViews>
    <sheetView showGridLines="0" topLeftCell="A11" zoomScale="90" zoomScaleNormal="90" workbookViewId="0">
      <selection activeCell="D38" sqref="D38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4" width="12.54296875" customWidth="1"/>
    <col min="5" max="5" width="3.6328125" customWidth="1"/>
    <col min="6" max="8" width="12.632812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80" t="s">
        <v>19</v>
      </c>
      <c r="B1" s="80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3">
        <f>+C4</f>
        <v>0</v>
      </c>
      <c r="G4" s="130">
        <f>MROUND(F4*Vendedor1!J$9,50)</f>
        <v>0</v>
      </c>
      <c r="H4" s="83">
        <f>+D4</f>
        <v>0</v>
      </c>
      <c r="I4" s="83">
        <f>+H4*85</f>
        <v>0</v>
      </c>
      <c r="J4" s="83"/>
      <c r="K4" s="131"/>
      <c r="L4" s="83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4"/>
      <c r="F5" s="83">
        <f t="shared" ref="F5:F27" si="1">+C5</f>
        <v>0</v>
      </c>
      <c r="G5" s="130">
        <f>MROUND(F5*Vendedor2!J$9,50)</f>
        <v>0</v>
      </c>
      <c r="H5" s="83">
        <f t="shared" ref="H5:H27" si="2">+D5</f>
        <v>0</v>
      </c>
      <c r="I5" s="83">
        <f t="shared" ref="I5:I27" si="3">+H5*85</f>
        <v>0</v>
      </c>
      <c r="J5" s="83"/>
      <c r="K5" s="131"/>
      <c r="L5" s="83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4"/>
      <c r="F6" s="83">
        <f t="shared" si="1"/>
        <v>0</v>
      </c>
      <c r="G6" s="130">
        <f>MROUND(F6*Vendedor3!J$9,50)</f>
        <v>0</v>
      </c>
      <c r="H6" s="83">
        <f t="shared" si="2"/>
        <v>0</v>
      </c>
      <c r="I6" s="83">
        <f t="shared" si="3"/>
        <v>0</v>
      </c>
      <c r="J6" s="83"/>
      <c r="K6" s="131"/>
      <c r="L6" s="83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4"/>
      <c r="F7" s="83">
        <f t="shared" si="1"/>
        <v>0</v>
      </c>
      <c r="G7" s="130">
        <f>MROUND(F7*Vendedor4!J$9,50)</f>
        <v>0</v>
      </c>
      <c r="H7" s="83">
        <f t="shared" si="2"/>
        <v>0</v>
      </c>
      <c r="I7" s="83">
        <f t="shared" si="3"/>
        <v>0</v>
      </c>
      <c r="J7" s="83"/>
      <c r="K7" s="131"/>
      <c r="L7" s="83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4"/>
      <c r="F8" s="83">
        <f t="shared" si="1"/>
        <v>0</v>
      </c>
      <c r="G8" s="130">
        <f>MROUND(F8*Vendedor5!J$11,50)</f>
        <v>0</v>
      </c>
      <c r="H8" s="83">
        <f t="shared" si="2"/>
        <v>0</v>
      </c>
      <c r="I8" s="83">
        <f t="shared" si="3"/>
        <v>0</v>
      </c>
      <c r="J8" s="83"/>
      <c r="K8" s="131"/>
      <c r="L8" s="83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4"/>
      <c r="F9" s="83">
        <f t="shared" si="1"/>
        <v>0</v>
      </c>
      <c r="G9" s="130">
        <f>MROUND(F9*Vendedor6!J$11,50)</f>
        <v>0</v>
      </c>
      <c r="H9" s="83">
        <f t="shared" si="2"/>
        <v>0</v>
      </c>
      <c r="I9" s="83">
        <f t="shared" si="3"/>
        <v>0</v>
      </c>
      <c r="J9" s="83"/>
      <c r="K9" s="131"/>
      <c r="L9" s="83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4"/>
      <c r="F11" s="83">
        <f t="shared" si="1"/>
        <v>0</v>
      </c>
      <c r="G11" s="130">
        <f>MROUND(F11*Vendedor8!J$11,50)</f>
        <v>0</v>
      </c>
      <c r="H11" s="83">
        <f t="shared" si="2"/>
        <v>0</v>
      </c>
      <c r="I11" s="83">
        <f t="shared" si="3"/>
        <v>0</v>
      </c>
      <c r="J11" s="83"/>
      <c r="K11" s="131"/>
      <c r="L11" s="83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4"/>
      <c r="F12" s="83">
        <f t="shared" si="1"/>
        <v>0</v>
      </c>
      <c r="G12" s="130">
        <f>MROUND(F12*Vendedor9!J$11,50)</f>
        <v>0</v>
      </c>
      <c r="H12" s="83">
        <f t="shared" si="2"/>
        <v>0</v>
      </c>
      <c r="I12" s="83">
        <f t="shared" si="3"/>
        <v>0</v>
      </c>
      <c r="J12" s="83"/>
      <c r="K12" s="131"/>
      <c r="L12" s="83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4"/>
      <c r="F13" s="83">
        <f t="shared" si="1"/>
        <v>0</v>
      </c>
      <c r="G13" s="130">
        <f>MROUND(F13*Vendedor10!J$9,50)</f>
        <v>0</v>
      </c>
      <c r="H13" s="83">
        <f t="shared" si="2"/>
        <v>0</v>
      </c>
      <c r="I13" s="83">
        <f t="shared" si="3"/>
        <v>0</v>
      </c>
      <c r="J13" s="83"/>
      <c r="K13" s="131"/>
      <c r="L13" s="83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4"/>
      <c r="F14" s="83">
        <f t="shared" si="1"/>
        <v>0</v>
      </c>
      <c r="G14" s="130">
        <f>MROUND(F14*Vendedor11!J$9,50)</f>
        <v>0</v>
      </c>
      <c r="H14" s="83">
        <f t="shared" si="2"/>
        <v>0</v>
      </c>
      <c r="I14" s="83">
        <f t="shared" si="3"/>
        <v>0</v>
      </c>
      <c r="J14" s="83"/>
      <c r="K14" s="131"/>
      <c r="L14" s="83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4"/>
      <c r="F15" s="83">
        <f t="shared" si="1"/>
        <v>0</v>
      </c>
      <c r="G15" s="130">
        <f>MROUND(F15*Vendedor12!J$9,50)</f>
        <v>0</v>
      </c>
      <c r="H15" s="83">
        <f t="shared" si="2"/>
        <v>0</v>
      </c>
      <c r="I15" s="83">
        <f t="shared" si="3"/>
        <v>0</v>
      </c>
      <c r="J15" s="83"/>
      <c r="K15" s="131"/>
      <c r="L15" s="83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4"/>
      <c r="F16" s="83">
        <f t="shared" si="1"/>
        <v>0</v>
      </c>
      <c r="G16" s="130">
        <f>MROUND(F16*Vendedor13!J$11,50)</f>
        <v>0</v>
      </c>
      <c r="H16" s="83">
        <f t="shared" si="2"/>
        <v>0</v>
      </c>
      <c r="I16" s="83">
        <f t="shared" si="3"/>
        <v>0</v>
      </c>
      <c r="J16" s="83"/>
      <c r="K16" s="131"/>
      <c r="L16" s="83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6">
        <f>SUM(F4:F31)</f>
        <v>0</v>
      </c>
      <c r="G32" s="96">
        <f>SUM(G7:G31)</f>
        <v>0</v>
      </c>
      <c r="H32" s="96"/>
      <c r="I32" s="96">
        <f>SUM(I4:I31)</f>
        <v>0</v>
      </c>
      <c r="J32" s="96">
        <f>SUM(J4:J31)</f>
        <v>0</v>
      </c>
      <c r="L32" s="92">
        <f>SUM(L4:L31)</f>
        <v>0</v>
      </c>
    </row>
    <row r="33" spans="3:6" ht="16" customHeight="1" x14ac:dyDescent="0.35">
      <c r="D33" s="100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1">
        <f>+D36-D37-D38</f>
        <v>0</v>
      </c>
    </row>
    <row r="40" spans="3:6" ht="15" thickBot="1" x14ac:dyDescent="0.4"/>
    <row r="41" spans="3:6" x14ac:dyDescent="0.35">
      <c r="C41" s="105" t="s">
        <v>78</v>
      </c>
      <c r="D41" s="117">
        <v>0</v>
      </c>
    </row>
    <row r="42" spans="3:6" x14ac:dyDescent="0.35">
      <c r="C42" s="107" t="s">
        <v>80</v>
      </c>
      <c r="D42" s="153">
        <v>0</v>
      </c>
    </row>
    <row r="43" spans="3:6" ht="15" thickBot="1" x14ac:dyDescent="0.4">
      <c r="C43" s="109" t="s">
        <v>79</v>
      </c>
      <c r="D43" s="110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896E-9A1C-47F7-8EAA-5A8C615B2DE7}">
  <sheetPr codeName="Hoja60"/>
  <dimension ref="A1:O3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6328125" bestFit="1" customWidth="1"/>
    <col min="8" max="8" width="13.7265625" bestFit="1" customWidth="1"/>
    <col min="9" max="9" width="14.6328125" bestFit="1" customWidth="1"/>
    <col min="10" max="10" width="13.7265625" hidden="1" customWidth="1"/>
    <col min="11" max="11" width="14.6328125" hidden="1" customWidth="1"/>
    <col min="12" max="15" width="0" hidden="1" customWidth="1"/>
    <col min="16" max="16384" width="10.90625" hidden="1"/>
  </cols>
  <sheetData>
    <row r="1" spans="1:9" ht="18.5" x14ac:dyDescent="0.45">
      <c r="A1" s="276" t="str">
        <f ca="1">CONCATENATE("Cuentas ALI ",TEXT('Ctas Banca'!I5,"dd-mm-yyyy"))</f>
        <v>Cuentas ALI 19-02-2026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6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1268300</v>
      </c>
      <c r="C4" s="157">
        <f>HojaNICA!M32</f>
        <v>152250</v>
      </c>
      <c r="D4" s="150">
        <f>HojaNICA!E37</f>
        <v>164881.5</v>
      </c>
      <c r="E4" s="150">
        <f>HojaNICA!P32</f>
        <v>1754750</v>
      </c>
      <c r="F4" s="150">
        <f>HojaNICA!O32</f>
        <v>1776500</v>
      </c>
      <c r="G4" s="151">
        <f t="shared" ref="G4:G10" si="0">+D4-C4+F4-E4</f>
        <v>34381.5</v>
      </c>
      <c r="H4" s="21"/>
      <c r="I4" s="182"/>
    </row>
    <row r="5" spans="1:9" x14ac:dyDescent="0.35">
      <c r="A5" s="28" t="s">
        <v>19</v>
      </c>
      <c r="B5" s="156">
        <f>HojaTICA!$E$36</f>
        <v>1650400</v>
      </c>
      <c r="C5" s="157">
        <f>HojaTICA!K32</f>
        <v>201250</v>
      </c>
      <c r="D5" s="150">
        <f>HojaTICA!E37</f>
        <v>214586</v>
      </c>
      <c r="E5" s="150">
        <f>HojaTICA!N32</f>
        <v>1650750</v>
      </c>
      <c r="F5" s="150">
        <f>HojaTICA!D38</f>
        <v>1653250</v>
      </c>
      <c r="G5" s="151">
        <f t="shared" si="0"/>
        <v>15836</v>
      </c>
      <c r="H5" s="21"/>
      <c r="I5" s="182"/>
    </row>
    <row r="6" spans="1:9" x14ac:dyDescent="0.35">
      <c r="A6" s="28" t="s">
        <v>125</v>
      </c>
      <c r="B6" s="156">
        <f>HojaREVENTADO!$E$37</f>
        <v>178300</v>
      </c>
      <c r="C6" s="157">
        <f>HojaREVENTADO!K33</f>
        <v>17830</v>
      </c>
      <c r="D6" s="150">
        <f>HojaREVENTADO!E38</f>
        <v>17830</v>
      </c>
      <c r="E6" s="150">
        <f>HojaREVENTADO!O33</f>
        <v>80000</v>
      </c>
      <c r="F6" s="150">
        <f>HojaREVENTADO!N33</f>
        <v>88000</v>
      </c>
      <c r="G6" s="151">
        <f t="shared" si="0"/>
        <v>8000</v>
      </c>
      <c r="H6" s="21"/>
      <c r="I6" s="182"/>
    </row>
    <row r="7" spans="1:9" x14ac:dyDescent="0.35">
      <c r="A7" s="28" t="s">
        <v>96</v>
      </c>
      <c r="B7" s="156">
        <f>HojaPrimera!$E$36</f>
        <v>306200</v>
      </c>
      <c r="C7" s="157">
        <f>HojaPrimera!I32</f>
        <v>36750</v>
      </c>
      <c r="D7" s="150">
        <f>HojaPrimera!E37</f>
        <v>39823</v>
      </c>
      <c r="E7" s="150">
        <f>HojaPrimera!L32</f>
        <v>146750</v>
      </c>
      <c r="F7" s="150">
        <f>HojaPrimera!K32</f>
        <v>148750</v>
      </c>
      <c r="G7" s="151">
        <f t="shared" si="0"/>
        <v>5073</v>
      </c>
      <c r="H7" s="21"/>
      <c r="I7" s="21"/>
    </row>
    <row r="8" spans="1:9" x14ac:dyDescent="0.35">
      <c r="A8" s="28" t="s">
        <v>104</v>
      </c>
      <c r="B8" s="156">
        <f>HojaHonduras!$E$36</f>
        <v>140350</v>
      </c>
      <c r="C8" s="157">
        <f>HojaHonduras!K32</f>
        <v>16850</v>
      </c>
      <c r="D8" s="150">
        <f>HojaHonduras!E37</f>
        <v>18245.5</v>
      </c>
      <c r="E8" s="150">
        <f>HojaHonduras!N32</f>
        <v>178500</v>
      </c>
      <c r="F8" s="150">
        <f>HojaHonduras!M32</f>
        <v>178500</v>
      </c>
      <c r="G8" s="151">
        <f t="shared" si="0"/>
        <v>1395.5</v>
      </c>
      <c r="H8" s="21"/>
      <c r="I8" s="21"/>
    </row>
    <row r="9" spans="1:9" x14ac:dyDescent="0.35">
      <c r="A9" s="28" t="s">
        <v>20</v>
      </c>
      <c r="B9" s="156">
        <f>HojaDominicana!$E$36</f>
        <v>165000</v>
      </c>
      <c r="C9" s="157">
        <f>HojaDominicana!I32</f>
        <v>19800</v>
      </c>
      <c r="D9" s="150">
        <f>HojaDominicana!E37</f>
        <v>21450</v>
      </c>
      <c r="E9" s="150">
        <f>HojaDominicana!L32</f>
        <v>63750</v>
      </c>
      <c r="F9" s="150">
        <f>HojaDominicana!K32</f>
        <v>63750</v>
      </c>
      <c r="G9" s="151">
        <f t="shared" si="0"/>
        <v>1650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3708550</v>
      </c>
      <c r="C11" s="175">
        <f>SUM(C4:C10)</f>
        <v>444730</v>
      </c>
      <c r="D11" s="175">
        <f t="shared" ref="D11:F11" si="1">SUM(D4:D10)</f>
        <v>476816</v>
      </c>
      <c r="E11" s="175">
        <f t="shared" si="1"/>
        <v>3874500</v>
      </c>
      <c r="F11" s="175">
        <f t="shared" si="1"/>
        <v>3908750</v>
      </c>
      <c r="G11" s="176">
        <f>SUM(G4:G10)</f>
        <v>66336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v>20000</v>
      </c>
      <c r="H12" s="141">
        <f>+G11-G12</f>
        <v>46336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206450</v>
      </c>
      <c r="E16" s="157">
        <f>+Vendedor1!D21</f>
        <v>26838.5</v>
      </c>
      <c r="F16" s="158">
        <f>IF(D16&lt;&gt;0,15000,0)</f>
        <v>15000</v>
      </c>
      <c r="G16" s="151">
        <f>+E16-F16</f>
        <v>11838.5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190500</v>
      </c>
      <c r="E17" s="157">
        <f>+Vendedor2!D21</f>
        <v>24765</v>
      </c>
      <c r="F17" s="158">
        <f>IF(D17&lt;&gt;0,15000,0)</f>
        <v>15000</v>
      </c>
      <c r="G17" s="151">
        <f>+E17-F17</f>
        <v>9765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396950</v>
      </c>
      <c r="E19" s="159">
        <f>SUM(E16:E18)</f>
        <v>51603.5</v>
      </c>
      <c r="F19" s="160">
        <f>SUM(F16:F18)</f>
        <v>30000</v>
      </c>
      <c r="G19" s="161">
        <f>SUM(G16:G18)</f>
        <v>21603.5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67939.5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  <row r="26" spans="1:9" ht="14.5" customHeight="1" x14ac:dyDescent="0.35">
      <c r="A26" s="21"/>
      <c r="B26" s="21"/>
      <c r="C26" s="21"/>
      <c r="D26" s="21"/>
      <c r="E26" s="21"/>
      <c r="F26" s="21"/>
      <c r="G26" s="21"/>
      <c r="H26" s="21"/>
      <c r="I26" s="21"/>
    </row>
    <row r="27" spans="1:9" ht="14.5" customHeight="1" x14ac:dyDescent="0.35">
      <c r="A27" s="21"/>
      <c r="B27" s="21"/>
      <c r="C27" s="21"/>
      <c r="D27" s="21"/>
      <c r="E27" s="21"/>
      <c r="F27" s="21"/>
      <c r="G27" s="21"/>
      <c r="H27" s="21"/>
      <c r="I27" s="21"/>
    </row>
    <row r="28" spans="1:9" ht="14.5" customHeight="1" x14ac:dyDescent="0.35">
      <c r="A28" s="21"/>
      <c r="B28" s="21"/>
      <c r="C28" s="21"/>
      <c r="D28" s="21"/>
      <c r="E28" s="21"/>
      <c r="F28" s="21"/>
      <c r="G28" s="21"/>
      <c r="H28" s="21"/>
      <c r="I28" s="21"/>
    </row>
    <row r="29" spans="1:9" ht="14.5" customHeight="1" x14ac:dyDescent="0.35">
      <c r="A29" s="21"/>
      <c r="B29" s="21"/>
      <c r="C29" s="21"/>
      <c r="D29" s="21"/>
      <c r="E29" s="21"/>
      <c r="F29" s="21"/>
      <c r="G29" s="21"/>
      <c r="H29" s="21"/>
      <c r="I29" s="21"/>
    </row>
    <row r="30" spans="1:9" ht="14.5" customHeight="1" x14ac:dyDescent="0.35">
      <c r="A30" s="21"/>
      <c r="B30" s="21"/>
      <c r="C30" s="21"/>
      <c r="D30" s="21"/>
      <c r="E30" s="21"/>
      <c r="F30" s="21"/>
      <c r="G30" s="21"/>
      <c r="H30" s="21"/>
      <c r="I30" s="21"/>
    </row>
    <row r="31" spans="1:9" ht="14.5" customHeight="1" x14ac:dyDescent="0.35">
      <c r="A31" s="21"/>
      <c r="B31" s="21"/>
      <c r="C31" s="21"/>
      <c r="D31" s="21"/>
      <c r="E31" s="21"/>
      <c r="F31" s="21"/>
      <c r="G31" s="21"/>
      <c r="H31" s="21"/>
      <c r="I31" s="21"/>
    </row>
    <row r="32" spans="1:9" ht="14.5" customHeight="1" x14ac:dyDescent="0.35">
      <c r="A32" s="21"/>
      <c r="B32" s="21"/>
      <c r="C32" s="141"/>
      <c r="D32" s="21"/>
      <c r="E32" s="21"/>
      <c r="F32" s="21"/>
      <c r="G32" s="21"/>
      <c r="H32" s="21"/>
      <c r="I32" s="21"/>
    </row>
    <row r="33" spans="1:9" ht="14.5" customHeight="1" x14ac:dyDescent="0.35">
      <c r="A33" s="21"/>
      <c r="B33" s="21"/>
      <c r="C33" s="21"/>
      <c r="D33" s="21"/>
      <c r="E33" s="21"/>
      <c r="F33" s="21"/>
      <c r="G33" s="21"/>
      <c r="H33" s="21"/>
      <c r="I33" s="21"/>
    </row>
    <row r="34" spans="1:9" ht="14.5" customHeight="1" x14ac:dyDescent="0.35">
      <c r="A34" s="21"/>
      <c r="B34" s="21"/>
      <c r="C34" s="21"/>
      <c r="D34" s="21"/>
      <c r="E34" s="21"/>
      <c r="F34" s="21"/>
      <c r="G34" s="21"/>
      <c r="H34" s="21"/>
      <c r="I34" s="21"/>
    </row>
    <row r="35" spans="1:9" ht="14.5" customHeight="1" x14ac:dyDescent="0.35">
      <c r="A35" s="21"/>
      <c r="B35" s="21"/>
      <c r="C35" s="21"/>
      <c r="D35" s="21"/>
      <c r="E35" s="21"/>
      <c r="F35" s="21"/>
      <c r="G35" s="21"/>
      <c r="H35" s="21"/>
      <c r="I3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C3F06-2BB5-4681-9A97-75307C3BEDF1}">
  <sheetPr codeName="Hoja59"/>
  <dimension ref="A2:O16"/>
  <sheetViews>
    <sheetView showGridLines="0" workbookViewId="0">
      <selection sqref="A1:H12"/>
    </sheetView>
  </sheetViews>
  <sheetFormatPr baseColWidth="10" defaultRowHeight="14.5" x14ac:dyDescent="0.35"/>
  <cols>
    <col min="1" max="1" width="16.54296875" bestFit="1" customWidth="1"/>
    <col min="2" max="2" width="13.36328125" bestFit="1" customWidth="1"/>
    <col min="3" max="3" width="11.81640625" bestFit="1" customWidth="1"/>
    <col min="4" max="4" width="13.36328125" bestFit="1" customWidth="1"/>
    <col min="6" max="6" width="11" bestFit="1" customWidth="1"/>
    <col min="7" max="7" width="4.08984375" customWidth="1"/>
    <col min="9" max="9" width="14.81640625" bestFit="1" customWidth="1"/>
    <col min="10" max="13" width="10.90625" customWidth="1"/>
  </cols>
  <sheetData>
    <row r="2" spans="1:15" x14ac:dyDescent="0.35">
      <c r="A2" s="278" t="str">
        <f ca="1">CONCATENATE("Tiempos Pana ",TEXT(I5,"dd-mm-yyyy"))</f>
        <v>Tiempos Pana 19-02-2026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9" t="s">
        <v>144</v>
      </c>
      <c r="L4" s="154"/>
    </row>
    <row r="5" spans="1:15" ht="21" x14ac:dyDescent="0.5">
      <c r="A5" s="47" t="s">
        <v>37</v>
      </c>
      <c r="B5" s="150">
        <f>HojaNICA!D36</f>
        <v>1332550</v>
      </c>
      <c r="C5" s="150">
        <f>HojaNICA!D37</f>
        <v>173231.5</v>
      </c>
      <c r="D5" s="150">
        <f>HojaNICA!D38</f>
        <v>1776500</v>
      </c>
      <c r="E5" s="150"/>
      <c r="F5" s="151">
        <f>+B5-C5-D5+E5</f>
        <v>-617181.5</v>
      </c>
      <c r="H5" s="250" t="s">
        <v>105</v>
      </c>
      <c r="I5" s="244">
        <f ca="1">TODAY()-2</f>
        <v>46072</v>
      </c>
      <c r="O5" s="120"/>
    </row>
    <row r="6" spans="1:15" ht="15" thickBot="1" x14ac:dyDescent="0.4">
      <c r="A6" s="47" t="s">
        <v>36</v>
      </c>
      <c r="B6" s="150">
        <f>HojaTICA!D36</f>
        <v>1977200</v>
      </c>
      <c r="C6" s="150">
        <f>HojaTICA!D37</f>
        <v>257036</v>
      </c>
      <c r="D6" s="150">
        <f>HojaTICA!D38</f>
        <v>1653250</v>
      </c>
      <c r="E6" s="150"/>
      <c r="F6" s="151">
        <f t="shared" ref="F6:F11" si="0">+B6-C6-D6+E6</f>
        <v>66914</v>
      </c>
      <c r="H6" s="257">
        <v>0</v>
      </c>
    </row>
    <row r="7" spans="1:15" ht="15" thickBot="1" x14ac:dyDescent="0.4">
      <c r="A7" s="47" t="s">
        <v>38</v>
      </c>
      <c r="B7" s="150">
        <f>HojaREVENTADO!D37</f>
        <v>178300</v>
      </c>
      <c r="C7" s="150">
        <f>HojaREVENTADO!D38</f>
        <v>17830</v>
      </c>
      <c r="D7" s="150">
        <f>HojaREVENTADO!D39</f>
        <v>88000</v>
      </c>
      <c r="E7" s="150"/>
      <c r="F7" s="151">
        <f t="shared" si="0"/>
        <v>72470</v>
      </c>
    </row>
    <row r="8" spans="1:15" x14ac:dyDescent="0.35">
      <c r="A8" s="47" t="s">
        <v>96</v>
      </c>
      <c r="B8" s="150">
        <f>HojaPrimera!$D36</f>
        <v>312100</v>
      </c>
      <c r="C8" s="150">
        <f>HojaPrimera!$D37</f>
        <v>40573</v>
      </c>
      <c r="D8" s="150">
        <f>HojaPrimera!$D38</f>
        <v>148750</v>
      </c>
      <c r="E8" s="150"/>
      <c r="F8" s="151">
        <f t="shared" si="0"/>
        <v>122777</v>
      </c>
      <c r="H8" s="250" t="s">
        <v>153</v>
      </c>
    </row>
    <row r="9" spans="1:15" ht="15" thickBot="1" x14ac:dyDescent="0.4">
      <c r="A9" s="47" t="s">
        <v>104</v>
      </c>
      <c r="B9" s="150">
        <f>HojaHonduras!$D36</f>
        <v>140350</v>
      </c>
      <c r="C9" s="150">
        <f>HojaHonduras!$D37</f>
        <v>18245.5</v>
      </c>
      <c r="D9" s="150">
        <f>HojaHonduras!$D38</f>
        <v>178500</v>
      </c>
      <c r="E9" s="150"/>
      <c r="F9" s="151">
        <f t="shared" si="0"/>
        <v>-56395.5</v>
      </c>
      <c r="H9" s="251">
        <f>+K12-K10-H6</f>
        <v>-331616</v>
      </c>
    </row>
    <row r="10" spans="1:15" ht="15" thickBot="1" x14ac:dyDescent="0.4">
      <c r="A10" s="47" t="s">
        <v>20</v>
      </c>
      <c r="B10" s="150">
        <f>HojaDominicana!$D36</f>
        <v>165000</v>
      </c>
      <c r="C10" s="150">
        <f>HojaDominicana!$D37</f>
        <v>21450</v>
      </c>
      <c r="D10" s="150">
        <f>HojaDominicana!$D38</f>
        <v>63750</v>
      </c>
      <c r="E10" s="150"/>
      <c r="F10" s="151">
        <f t="shared" si="0"/>
        <v>79800</v>
      </c>
      <c r="H10" s="154"/>
      <c r="J10" t="s">
        <v>148</v>
      </c>
      <c r="K10" s="253">
        <v>10225130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4">
        <f>+K10+F12+H6</f>
        <v>9893514</v>
      </c>
    </row>
    <row r="12" spans="1:15" ht="16" thickBot="1" x14ac:dyDescent="0.4">
      <c r="A12" s="144" t="s">
        <v>5</v>
      </c>
      <c r="B12" s="152">
        <f>SUM(B5:B11)</f>
        <v>4105500</v>
      </c>
      <c r="C12" s="152">
        <f>SUM(C5:C11)</f>
        <v>528366</v>
      </c>
      <c r="D12" s="152">
        <f>SUM(D5:D11)</f>
        <v>3908750</v>
      </c>
      <c r="E12" s="152"/>
      <c r="F12" s="256">
        <f>SUM(F5:F11)</f>
        <v>-331616</v>
      </c>
      <c r="H12" s="252">
        <f>K12</f>
        <v>9893514</v>
      </c>
      <c r="J12" t="s">
        <v>140</v>
      </c>
      <c r="K12" s="255">
        <f>2092663.28+818963.49+3554284.8+3427602.43</f>
        <v>9893514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9"/>
      <c r="J3" s="52" t="s">
        <v>39</v>
      </c>
      <c r="K3" s="240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1" t="s">
        <v>36</v>
      </c>
      <c r="J4" s="220">
        <f>SUM(IF(C7="",0,C7),IF(C11="",0,C11),IF(C15="",0,C15))</f>
        <v>162450</v>
      </c>
      <c r="K4" s="232">
        <f t="shared" ref="K4" si="0">D7+D11+D15</f>
        <v>21118.5</v>
      </c>
      <c r="L4" s="221">
        <f>F7+F11+F15</f>
        <v>85000</v>
      </c>
    </row>
    <row r="5" spans="1:12" x14ac:dyDescent="0.35">
      <c r="A5" s="28" t="s">
        <v>43</v>
      </c>
      <c r="B5" s="133">
        <f>IF(DigitaNICA!C2&lt;&gt;"",DigitaNICA!C2,"")</f>
        <v>70</v>
      </c>
      <c r="C5" s="29">
        <f>IF(DigitaNICA!C4&lt;&gt;"",DigitaNICA!C4,"")</f>
        <v>26200</v>
      </c>
      <c r="D5" s="42">
        <f>IF(C5="",0,C5*J$10)</f>
        <v>3406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22794</v>
      </c>
      <c r="I5" s="242" t="s">
        <v>37</v>
      </c>
      <c r="J5" s="222">
        <f>SUM(IF(C5="",0,C5),IF(C9="",0,C9),IF(C13="",0,C13),IF(C17="",0,C17))</f>
        <v>38600</v>
      </c>
      <c r="K5" s="226">
        <f t="shared" ref="K5" si="2">D5+D9+D13+D17</f>
        <v>5018</v>
      </c>
      <c r="L5" s="223">
        <f>F5+F9+F13+F17</f>
        <v>40000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3" t="s">
        <v>96</v>
      </c>
      <c r="J6" s="225">
        <f>SUM(IF(C19="",0,C19),IF(C20="",0,C20))</f>
        <v>5400</v>
      </c>
      <c r="K6" s="229">
        <f>D19+D20</f>
        <v>702</v>
      </c>
      <c r="L6" s="230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33</v>
      </c>
      <c r="C7" s="29">
        <f>IF(DigitaTICA!C4&lt;&gt;"",DigitaTICA!C4,"")</f>
        <v>54700</v>
      </c>
      <c r="D7" s="42">
        <f>IF(C7="",0,C7*J$9)</f>
        <v>7111</v>
      </c>
      <c r="E7" s="29">
        <f>IF(DigitaTICA!D4&lt;&gt;"",DigitaTICA!D4,"")</f>
        <v>0</v>
      </c>
      <c r="F7" s="42">
        <f>IF(E7="",0,E7*PREMIOS!F7)</f>
        <v>0</v>
      </c>
      <c r="G7" s="30">
        <f t="shared" si="1"/>
        <v>47589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3">
        <f>IF(DigitaNICA!E2&lt;&gt;"",DigitaNICA!E2,"")</f>
        <v>82</v>
      </c>
      <c r="C9" s="29">
        <f>IF(DigitaNICA!E4&lt;&gt;"",DigitaNICA!E4,"")</f>
        <v>4400</v>
      </c>
      <c r="D9" s="42">
        <f>IF(C9="",0,C9*J$10)</f>
        <v>572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3828</v>
      </c>
      <c r="I9" s="77" t="s">
        <v>36</v>
      </c>
      <c r="J9" s="78">
        <v>0.13</v>
      </c>
      <c r="K9" s="79">
        <f>MROUND(D7+D11+D15,50)</f>
        <v>21100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5000</v>
      </c>
    </row>
    <row r="11" spans="1:12" x14ac:dyDescent="0.35">
      <c r="A11" s="28" t="s">
        <v>59</v>
      </c>
      <c r="B11" s="133">
        <f>IF(DigitaTICA!E2&lt;&gt;"",DigitaTICA!E2,"")</f>
        <v>27</v>
      </c>
      <c r="C11" s="29">
        <f>IF(DigitaTICA!E4&lt;&gt;"",DigitaTICA!E4,"")</f>
        <v>30300</v>
      </c>
      <c r="D11" s="42">
        <f>IF(C11="",0,C11*J$9)</f>
        <v>3939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26361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700</v>
      </c>
    </row>
    <row r="13" spans="1:12" x14ac:dyDescent="0.35">
      <c r="A13" s="28" t="s">
        <v>50</v>
      </c>
      <c r="B13" s="133">
        <f>IF(DigitaNICA!G2&lt;&gt;"",DigitaNICA!G2,"")</f>
        <v>77</v>
      </c>
      <c r="C13" s="29">
        <f>IF(DigitaNICA!G4&lt;&gt;"",DigitaNICA!G4,"")</f>
        <v>6500</v>
      </c>
      <c r="D13" s="42">
        <f>IF(C13="",0,C13*J$10)</f>
        <v>845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5655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69</v>
      </c>
      <c r="C15" s="29">
        <f>IF(DigitaTICA!G4&lt;&gt;"",DigitaTICA!G4,"")</f>
        <v>77450</v>
      </c>
      <c r="D15" s="42">
        <f>IF(C15="",0,C15*J$9)</f>
        <v>10068.5</v>
      </c>
      <c r="E15" s="29">
        <f>IF(DigitaTICA!H4&lt;&gt;"",DigitaTICA!H4,"")</f>
        <v>1000</v>
      </c>
      <c r="F15" s="42">
        <f>IF(E15="",0,E15*PREMIOS!F15)</f>
        <v>85000</v>
      </c>
      <c r="G15" s="30">
        <f t="shared" si="3"/>
        <v>-17618.5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58</v>
      </c>
      <c r="C17" s="29">
        <f>IF(DigitaNICA!I4&lt;&gt;"",DigitaNICA!I4,"")</f>
        <v>1500</v>
      </c>
      <c r="D17" s="42">
        <f>IF(C17="",0,C17*J$10)</f>
        <v>195</v>
      </c>
      <c r="E17" s="29">
        <f>IF(DigitaNICA!J4&lt;&gt;"",DigitaNICA!J4,"")</f>
        <v>500</v>
      </c>
      <c r="F17" s="42">
        <f>IF(E17="",0,E17*PREMIOS!E17)</f>
        <v>40000</v>
      </c>
      <c r="G17" s="30">
        <f t="shared" si="3"/>
        <v>-38695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36</v>
      </c>
      <c r="C19" s="29">
        <f>IF(DigitaPRIMERA!C4&lt;&gt;"",DigitaPRIMERA!C4,"")</f>
        <v>5400</v>
      </c>
      <c r="D19" s="42">
        <f>IF(C19="",0,C19*J$12)</f>
        <v>702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4698</v>
      </c>
    </row>
    <row r="20" spans="1:7" x14ac:dyDescent="0.35">
      <c r="A20" s="28" t="s">
        <v>98</v>
      </c>
      <c r="B20" s="133">
        <f>IF(DigitaPRIMERA!E2&lt;&gt;"",DigitaPRIMERA!E2,"")</f>
        <v>12</v>
      </c>
      <c r="C20" s="29" t="str">
        <f>IF(DigitaPRIMERA!E4&lt;&gt;"",DigitaPRIMERA!E4,"")</f>
        <v/>
      </c>
      <c r="D20" s="42">
        <f>IF(C20="",0,C20*J$12)</f>
        <v>0</v>
      </c>
      <c r="E20" s="29" t="str">
        <f>IF(DigitaPRIMERA!F4&lt;&gt;"",DigitaPRIMERA!F4,"")</f>
        <v/>
      </c>
      <c r="F20" s="42">
        <f>IF(E20="",0,E20*PREMIOS!E19)</f>
        <v>0</v>
      </c>
      <c r="G20" s="30">
        <f t="shared" ref="G20" si="5">IF(OR(C20="",E20=""),0,C20-D20-F20)</f>
        <v>0</v>
      </c>
    </row>
    <row r="21" spans="1:7" ht="15" thickBot="1" x14ac:dyDescent="0.4">
      <c r="A21" s="122" t="s">
        <v>5</v>
      </c>
      <c r="B21" s="129"/>
      <c r="C21" s="123">
        <f>SUM(C5:C20)</f>
        <v>206450</v>
      </c>
      <c r="D21" s="123">
        <f t="shared" ref="D21:G21" si="6">SUM(D5:D20)</f>
        <v>26838.5</v>
      </c>
      <c r="E21" s="123">
        <f t="shared" si="6"/>
        <v>1500</v>
      </c>
      <c r="F21" s="123">
        <f t="shared" si="6"/>
        <v>125000</v>
      </c>
      <c r="G21" s="124">
        <f t="shared" si="6"/>
        <v>54611.5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9"/>
      <c r="J3" s="52" t="s">
        <v>39</v>
      </c>
      <c r="K3" s="240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1" t="s">
        <v>36</v>
      </c>
      <c r="J4" s="220">
        <f>SUM(IF(C7="",0,C7),IF(C11="",0,C11),IF(C15="",0,C15))</f>
        <v>164350</v>
      </c>
      <c r="K4" s="232">
        <f t="shared" ref="K4" si="0">D7+D11+D15</f>
        <v>21365.5</v>
      </c>
      <c r="L4" s="221">
        <f>F7+F11+F15</f>
        <v>127500</v>
      </c>
    </row>
    <row r="5" spans="1:12" x14ac:dyDescent="0.35">
      <c r="A5" s="28" t="s">
        <v>43</v>
      </c>
      <c r="B5" s="133">
        <f>IF(DigitaNICA!C2&lt;&gt;"",DigitaNICA!C2,"")</f>
        <v>70</v>
      </c>
      <c r="C5" s="29">
        <f>IF(DigitaNICA!C5&lt;&gt;"",DigitaNICA!C5,"")</f>
        <v>14050</v>
      </c>
      <c r="D5" s="42">
        <f>IF(C5="",0,C5*J$10)</f>
        <v>1826.5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12223.5</v>
      </c>
      <c r="I5" s="242" t="s">
        <v>37</v>
      </c>
      <c r="J5" s="222">
        <f>SUM(IF(C5="",0,C5),IF(C9="",0,C9),IF(C13="",0,C13),IF(C17="",0,C17))</f>
        <v>25650</v>
      </c>
      <c r="K5" s="226">
        <f t="shared" ref="K5" si="2">D5+D9+D13+D17</f>
        <v>3334.5</v>
      </c>
      <c r="L5" s="223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3" t="s">
        <v>96</v>
      </c>
      <c r="J6" s="225">
        <f>SUM(IF(C19="",0,C19),IF(C20="",0,C20))</f>
        <v>500</v>
      </c>
      <c r="K6" s="229">
        <f>D19+D20</f>
        <v>65</v>
      </c>
      <c r="L6" s="230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33</v>
      </c>
      <c r="C7" s="29">
        <f>IF(DigitaTICA!C5&lt;&gt;"",DigitaTICA!C5,"")</f>
        <v>38450</v>
      </c>
      <c r="D7" s="42">
        <f>IF(C7="",0,C7*J$9)</f>
        <v>4998.5</v>
      </c>
      <c r="E7" s="29">
        <f>IF(DigitaTICA!D5&lt;&gt;"",DigitaTICA!D5,"")</f>
        <v>250</v>
      </c>
      <c r="F7" s="42">
        <f>IF(E7="",0,E7*PREMIOS!F7)</f>
        <v>21250</v>
      </c>
      <c r="G7" s="30">
        <f t="shared" si="1"/>
        <v>12201.5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3">
        <f>IF(DigitaNICA!E2&lt;&gt;"",DigitaNICA!E2,"")</f>
        <v>82</v>
      </c>
      <c r="C9" s="29">
        <f>IF(DigitaNICA!E5&lt;&gt;"",DigitaNICA!E5,"")</f>
        <v>6100</v>
      </c>
      <c r="D9" s="42">
        <f>IF(C9="",0,C9*J$10)</f>
        <v>793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5307</v>
      </c>
      <c r="I9" s="60" t="s">
        <v>36</v>
      </c>
      <c r="J9" s="61">
        <v>0.13</v>
      </c>
      <c r="K9" s="62">
        <f>MROUND(D7+D11+D15,50)</f>
        <v>21350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3350</v>
      </c>
    </row>
    <row r="11" spans="1:12" x14ac:dyDescent="0.35">
      <c r="A11" s="28" t="s">
        <v>59</v>
      </c>
      <c r="B11" s="133">
        <f>IF(DigitaTICA!E2&lt;&gt;"",DigitaTICA!E2,"")</f>
        <v>27</v>
      </c>
      <c r="C11" s="29">
        <f>IF(DigitaTICA!E5&lt;&gt;"",DigitaTICA!E5,"")</f>
        <v>35650</v>
      </c>
      <c r="D11" s="42">
        <f>IF(C11="",0,C11*J$9)</f>
        <v>4634.5</v>
      </c>
      <c r="E11" s="29">
        <f>IF(DigitaTICA!F5&lt;&gt;"",DigitaTICA!F5,"")</f>
        <v>500</v>
      </c>
      <c r="F11" s="42">
        <f>IF(E11="",0,E11*PREMIOS!F11)</f>
        <v>42500</v>
      </c>
      <c r="G11" s="30">
        <f t="shared" si="1"/>
        <v>-11484.5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50</v>
      </c>
    </row>
    <row r="13" spans="1:12" x14ac:dyDescent="0.35">
      <c r="A13" s="28" t="s">
        <v>50</v>
      </c>
      <c r="B13" s="133">
        <f>IF(DigitaNICA!G2&lt;&gt;"",DigitaNICA!G2,"")</f>
        <v>77</v>
      </c>
      <c r="C13" s="29">
        <f>IF(DigitaNICA!G5&lt;&gt;"",DigitaNICA!G5,"")</f>
        <v>5000</v>
      </c>
      <c r="D13" s="42">
        <f>IF(C13="",0,C13*J$10)</f>
        <v>650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4350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69</v>
      </c>
      <c r="C15" s="29">
        <f>IF(DigitaTICA!G5&lt;&gt;"",DigitaTICA!G5,"")</f>
        <v>90250</v>
      </c>
      <c r="D15" s="42">
        <f>IF(C15="",0,C15*J$9)</f>
        <v>11732.5</v>
      </c>
      <c r="E15" s="29">
        <f>IF(DigitaTICA!H5&lt;&gt;"",DigitaTICA!H5,"")</f>
        <v>750</v>
      </c>
      <c r="F15" s="42">
        <f>IF(E15="",0,E15*PREMIOS!F15)</f>
        <v>63750</v>
      </c>
      <c r="G15" s="30">
        <f t="shared" si="3"/>
        <v>14767.5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58</v>
      </c>
      <c r="C17" s="29">
        <f>IF(DigitaNICA!I5&lt;&gt;"",DigitaNICA!I5,"")</f>
        <v>500</v>
      </c>
      <c r="D17" s="42">
        <f>IF(C17="",0,C17*J$10)</f>
        <v>65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435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36</v>
      </c>
      <c r="C19" s="29">
        <f>IF(DigitaPRIMERA!C5&lt;&gt;"",DigitaPRIMERA!C5,"")</f>
        <v>500</v>
      </c>
      <c r="D19" s="42">
        <f>IF(C19="",0,C19*J$12)</f>
        <v>65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435</v>
      </c>
    </row>
    <row r="20" spans="1:7" x14ac:dyDescent="0.35">
      <c r="A20" s="28" t="s">
        <v>98</v>
      </c>
      <c r="B20" s="133">
        <f>IF(DigitaPRIMERA!E2&lt;&gt;"",DigitaPRIMERA!E2,"")</f>
        <v>12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190500</v>
      </c>
      <c r="D21" s="68">
        <f t="shared" ref="D21:G21" si="4">SUM(D5:D20)</f>
        <v>24765</v>
      </c>
      <c r="E21" s="68">
        <f t="shared" si="4"/>
        <v>1500</v>
      </c>
      <c r="F21" s="68">
        <f t="shared" si="4"/>
        <v>127500</v>
      </c>
      <c r="G21" s="89">
        <f t="shared" si="4"/>
        <v>38235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 C7:C9 E7:E17 C11:C17" unlockedFormula="1"/>
  </ignoredError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/>
  <dimension ref="A1:AMK21"/>
  <sheetViews>
    <sheetView showGridLines="0" zoomScale="90" zoomScaleNormal="90" workbookViewId="0"/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9"/>
      <c r="J3" s="52" t="s">
        <v>39</v>
      </c>
      <c r="K3" s="240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1" t="s">
        <v>36</v>
      </c>
      <c r="J4" s="220">
        <f>SUM(IF(C7="",0,C7),IF(C11="",0,C11),IF(C15="",0,C15))</f>
        <v>0</v>
      </c>
      <c r="K4" s="232">
        <f t="shared" ref="K4" si="0">D7+D11+D15</f>
        <v>0</v>
      </c>
      <c r="L4" s="221">
        <f>F7+F11+F15</f>
        <v>0</v>
      </c>
    </row>
    <row r="5" spans="1:12" x14ac:dyDescent="0.35">
      <c r="A5" s="28" t="s">
        <v>43</v>
      </c>
      <c r="B5" s="133">
        <f>IF(DigitaNICA!C2&lt;&gt;"",DigitaNICA!C2,"")</f>
        <v>70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2" t="s">
        <v>37</v>
      </c>
      <c r="J5" s="222">
        <f>SUM(IF(C5="",0,C5),IF(C9="",0,C9),IF(C13="",0,C13),IF(C17="",0,C17))</f>
        <v>0</v>
      </c>
      <c r="K5" s="226">
        <f t="shared" ref="K5" si="2">D5+D9+D13+D17</f>
        <v>0</v>
      </c>
      <c r="L5" s="223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3" t="s">
        <v>96</v>
      </c>
      <c r="J6" s="225">
        <f>SUM(IF(C19="",0,C19),IF(C20="",0,C20))</f>
        <v>0</v>
      </c>
      <c r="K6" s="229">
        <f>D19+D20</f>
        <v>0</v>
      </c>
      <c r="L6" s="230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33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3">
        <f>IF(DigitaNICA!E2&lt;&gt;"",DigitaNICA!E2,"")</f>
        <v>82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7" t="s">
        <v>36</v>
      </c>
      <c r="J9" s="78">
        <v>0.13</v>
      </c>
      <c r="K9" s="79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>
        <f>IF(DigitaTICA!E2&lt;&gt;"",DigitaTICA!E2,"")</f>
        <v>27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>
        <f>IF(DigitaNICA!G2&lt;&gt;"",DigitaNICA!G2,"")</f>
        <v>77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69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58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36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12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9"/>
      <c r="J3" s="52" t="s">
        <v>39</v>
      </c>
      <c r="K3" s="240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1" t="s">
        <v>36</v>
      </c>
      <c r="J4" s="220">
        <f>SUM(IF(C7="",0,C7),IF(C11="",0,C11),IF(C15="",0,C15))</f>
        <v>0</v>
      </c>
      <c r="K4" s="232">
        <f t="shared" ref="K4" si="0">D7+D11+D15</f>
        <v>0</v>
      </c>
      <c r="L4" s="221">
        <f>F7+F11+F15</f>
        <v>0</v>
      </c>
    </row>
    <row r="5" spans="1:12" x14ac:dyDescent="0.35">
      <c r="A5" s="28" t="s">
        <v>43</v>
      </c>
      <c r="B5" s="133">
        <f>IF(DigitaNICA!C2&lt;&gt;"",DigitaNICA!C2,"")</f>
        <v>70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2" t="s">
        <v>37</v>
      </c>
      <c r="J5" s="222">
        <f>SUM(IF(C5="",0,C5),IF(C9="",0,C9),IF(C13="",0,C13),IF(C17="",0,C17))</f>
        <v>0</v>
      </c>
      <c r="K5" s="226">
        <f t="shared" ref="K5" si="2">D5+D9+D13+D17</f>
        <v>0</v>
      </c>
      <c r="L5" s="223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9">
        <f t="shared" ref="K6" si="3">+D8+D12+D16</f>
        <v>0</v>
      </c>
      <c r="L6" s="230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33</v>
      </c>
      <c r="C7" s="95" t="str">
        <f>IF(DigitaTICA!C7&lt;&gt;"",DigitaTICA!C7,"")</f>
        <v/>
      </c>
      <c r="D7" s="113">
        <f>IF(C7="",0,C7*J$9)</f>
        <v>0</v>
      </c>
      <c r="E7" s="114" t="str">
        <f>IF(DigitaTICA!D7&lt;&gt;"",DigitaTICA!D7,"")</f>
        <v/>
      </c>
      <c r="F7" s="113">
        <f>IF(E7="",0,E7*PREMIOS!F7)</f>
        <v>0</v>
      </c>
      <c r="G7" s="115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95" t="str">
        <f>IF(DigitaREVENTADO!C7&lt;&gt;"",DigitaREVENTADO!C7,"")</f>
        <v/>
      </c>
      <c r="D8" s="113">
        <f>IF(C8="",0,C8*J$11)</f>
        <v>0</v>
      </c>
      <c r="E8" s="114" t="str">
        <f>IF(DigitaREVENTADO!D7&lt;&gt;"",DigitaREVENTADO!D7,"")</f>
        <v/>
      </c>
      <c r="F8" s="113">
        <f>IF(E8="",0,E8*PREMIOS!F8)</f>
        <v>0</v>
      </c>
      <c r="G8" s="115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3">
        <f>IF(DigitaNICA!E2&lt;&gt;"",DigitaNICA!E2,"")</f>
        <v>82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27</v>
      </c>
      <c r="C11" s="95" t="str">
        <f>IF(DigitaTICA!E7&lt;&gt;"",DigitaTICA!E7,"")</f>
        <v/>
      </c>
      <c r="D11" s="113">
        <f>IF(C11="",0,C11*J$9)</f>
        <v>0</v>
      </c>
      <c r="E11" s="114" t="str">
        <f>IF(DigitaTICA!F7&lt;&gt;"",DigitaTICA!F7,"")</f>
        <v/>
      </c>
      <c r="F11" s="113">
        <f>IF(E11="",0,E11*PREMIOS!F11)</f>
        <v>0</v>
      </c>
      <c r="G11" s="115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95" t="str">
        <f>IF(DigitaREVENTADO!E7&lt;&gt;"",DigitaREVENTADO!E7,"")</f>
        <v/>
      </c>
      <c r="D12" s="113">
        <f>IF(C12="",0,C12*J$11)</f>
        <v>0</v>
      </c>
      <c r="E12" s="114" t="str">
        <f>IF(DigitaREVENTADO!F7&lt;&gt;"",DigitaREVENTADO!F7,"")</f>
        <v/>
      </c>
      <c r="F12" s="113">
        <f>IF(E12="",0,E12*PREMIOS!F12)</f>
        <v>0</v>
      </c>
      <c r="G12" s="115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77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69</v>
      </c>
      <c r="C15" s="95" t="str">
        <f>IF(DigitaTICA!G7&lt;&gt;"",DigitaTICA!G7,"")</f>
        <v/>
      </c>
      <c r="D15" s="113">
        <f>IF(C15="",0,C15*J$9)</f>
        <v>0</v>
      </c>
      <c r="E15" s="114" t="str">
        <f>IF(DigitaTICA!H7&lt;&gt;"",DigitaTICA!H7,"")</f>
        <v/>
      </c>
      <c r="F15" s="113">
        <f>IF(E15="",0,E15*PREMIOS!F15)</f>
        <v>0</v>
      </c>
      <c r="G15" s="115">
        <f t="shared" si="4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95" t="str">
        <f>IF(DigitaREVENTADO!G7&lt;&gt;"",DigitaREVENTADO!G7,"")</f>
        <v/>
      </c>
      <c r="D16" s="113">
        <f>IF(C16="",0,C16*J$11)</f>
        <v>0</v>
      </c>
      <c r="E16" s="114" t="str">
        <f>IF(DigitaREVENTADO!H7&lt;&gt;"",DigitaREVENTADO!H7,"")</f>
        <v/>
      </c>
      <c r="F16" s="113">
        <f>IF(E16="",0,E16*PREMIOS!F16)</f>
        <v>0</v>
      </c>
      <c r="G16" s="115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58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5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9"/>
      <c r="J3" s="52" t="s">
        <v>39</v>
      </c>
      <c r="K3" s="240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1" t="s">
        <v>36</v>
      </c>
      <c r="J4" s="220">
        <f>SUM(IF(C7="",0,C7),IF(C11="",0,C11),IF(C15="",0,C15))</f>
        <v>205450</v>
      </c>
      <c r="K4" s="232">
        <f t="shared" ref="K4" si="0">D7+D11+D15</f>
        <v>24654</v>
      </c>
      <c r="L4" s="221">
        <f>F7+F11+F15</f>
        <v>178500</v>
      </c>
    </row>
    <row r="5" spans="1:12" x14ac:dyDescent="0.35">
      <c r="A5" s="28" t="s">
        <v>43</v>
      </c>
      <c r="B5" s="133">
        <f>IF(DigitaNICA!C2&lt;&gt;"",DigitaNICA!C2,"")</f>
        <v>70</v>
      </c>
      <c r="C5" s="29">
        <f>IF(DigitaNICA!C8&lt;&gt;"",DigitaNICA!C8,"")</f>
        <v>65700</v>
      </c>
      <c r="D5" s="42">
        <f>IF(C5="",0,C5*J$12)</f>
        <v>7884</v>
      </c>
      <c r="E5" s="29">
        <f>IF(DigitaNICA!D8&lt;&gt;"",DigitaNICA!D8,"")</f>
        <v>1550</v>
      </c>
      <c r="F5" s="42">
        <f>IF(E5="",0,E5*PREMIOS!E5)</f>
        <v>124000</v>
      </c>
      <c r="G5" s="30">
        <f t="shared" ref="G5:G12" si="1">IF(OR(C5="",E5=""),0,C5-D5-F5)</f>
        <v>-66184</v>
      </c>
      <c r="I5" s="242" t="s">
        <v>37</v>
      </c>
      <c r="J5" s="222">
        <f>SUM(IF(C5="",0,C5),IF(C9="",0,C9),IF(C13="",0,C13),IF(C17="",0,C17))</f>
        <v>174500</v>
      </c>
      <c r="K5" s="226">
        <f t="shared" ref="K5" si="2">D5+D9+D13+D17</f>
        <v>20940</v>
      </c>
      <c r="L5" s="223">
        <f>F5+F9+F13+F17</f>
        <v>212000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7">
        <f t="shared" ref="K6" si="3">+D8+D12+D16</f>
        <v>0</v>
      </c>
      <c r="L6" s="228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33</v>
      </c>
      <c r="C7" s="29">
        <f>IF(DigitaTICA!C8&lt;&gt;"",DigitaTICA!C8,"")</f>
        <v>72400</v>
      </c>
      <c r="D7" s="42">
        <f>IF(C7="",0,C7*J$11)</f>
        <v>8688</v>
      </c>
      <c r="E7" s="29">
        <f>IF(DigitaTICA!D8&lt;&gt;"",DigitaTICA!D8,"")</f>
        <v>500</v>
      </c>
      <c r="F7" s="42">
        <f>IF(E7="",0,E7*PREMIOS!F7)</f>
        <v>42500</v>
      </c>
      <c r="G7" s="30">
        <f t="shared" si="1"/>
        <v>21212</v>
      </c>
      <c r="I7" s="243" t="s">
        <v>96</v>
      </c>
      <c r="J7" s="225">
        <f>SUM(IF(C19="",0,C19),IF(C20="",0,C20))</f>
        <v>27450</v>
      </c>
      <c r="K7" s="229">
        <f>+D19+D20</f>
        <v>3294</v>
      </c>
      <c r="L7" s="230">
        <f>+F19+F20</f>
        <v>32000</v>
      </c>
    </row>
    <row r="8" spans="1:12" x14ac:dyDescent="0.35">
      <c r="A8" s="28" t="s">
        <v>47</v>
      </c>
      <c r="B8" s="133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82</v>
      </c>
      <c r="C9" s="29">
        <f>IF(DigitaNICA!E8&lt;&gt;"",DigitaNICA!E8,"")</f>
        <v>56100</v>
      </c>
      <c r="D9" s="42">
        <f>IF(C9="",0,C9*J$12)</f>
        <v>6732</v>
      </c>
      <c r="E9" s="29">
        <f>IF(DigitaNICA!F8&lt;&gt;"",DigitaNICA!F8,"")</f>
        <v>500</v>
      </c>
      <c r="F9" s="42">
        <f>IF(E9="",0,E9*PREMIOS!E9)</f>
        <v>40000</v>
      </c>
      <c r="G9" s="30">
        <f t="shared" si="1"/>
        <v>9368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3">
        <f>IF(DigitaTICA!E2&lt;&gt;"",DigitaTICA!E2,"")</f>
        <v>27</v>
      </c>
      <c r="C11" s="29">
        <f>IF(DigitaTICA!E8&lt;&gt;"",DigitaTICA!E8,"")</f>
        <v>65650</v>
      </c>
      <c r="D11" s="42">
        <f>IF(C11="",0,C11*J$11)</f>
        <v>7878</v>
      </c>
      <c r="E11" s="29">
        <f>IF(DigitaTICA!F8&lt;&gt;"",DigitaTICA!F8,"")</f>
        <v>400</v>
      </c>
      <c r="F11" s="42">
        <f>IF(E11="",0,E11*PREMIOS!F11)</f>
        <v>34000</v>
      </c>
      <c r="G11" s="30">
        <f t="shared" si="1"/>
        <v>23772</v>
      </c>
      <c r="I11" s="60" t="s">
        <v>36</v>
      </c>
      <c r="J11" s="61">
        <v>0.12</v>
      </c>
      <c r="K11" s="62">
        <f>MROUND(D7+D11+D15,50)</f>
        <v>24650</v>
      </c>
    </row>
    <row r="12" spans="1:12" x14ac:dyDescent="0.35">
      <c r="A12" s="28" t="s">
        <v>60</v>
      </c>
      <c r="B12" s="133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20950</v>
      </c>
    </row>
    <row r="13" spans="1:12" x14ac:dyDescent="0.35">
      <c r="A13" s="28" t="s">
        <v>50</v>
      </c>
      <c r="B13" s="133">
        <f>IF(DigitaNICA!G2&lt;&gt;"",DigitaNICA!G2,"")</f>
        <v>77</v>
      </c>
      <c r="C13" s="29">
        <f>IF(DigitaNICA!G8&lt;&gt;"",DigitaNICA!G8,"")</f>
        <v>17200</v>
      </c>
      <c r="D13" s="42">
        <f>IF(C13="",0,C13*J$12)</f>
        <v>2064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15136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3300</v>
      </c>
    </row>
    <row r="15" spans="1:12" x14ac:dyDescent="0.35">
      <c r="A15" s="28" t="s">
        <v>61</v>
      </c>
      <c r="B15" s="133">
        <f>IF(DigitaTICA!G2&lt;&gt;"",DigitaTICA!G2,"")</f>
        <v>69</v>
      </c>
      <c r="C15" s="29">
        <f>IF(DigitaTICA!G8&lt;&gt;"",DigitaTICA!G8,"")</f>
        <v>67400</v>
      </c>
      <c r="D15" s="42">
        <f>IF(C15="",0,C15*J$11)</f>
        <v>8088</v>
      </c>
      <c r="E15" s="29">
        <f>IF(DigitaTICA!H8&lt;&gt;"",DigitaTICA!H8,"")</f>
        <v>1200</v>
      </c>
      <c r="F15" s="42">
        <f>IF(E15="",0,E15*PREMIOS!F15)</f>
        <v>102000</v>
      </c>
      <c r="G15" s="30">
        <f t="shared" si="4"/>
        <v>-42688</v>
      </c>
      <c r="I15" s="116"/>
    </row>
    <row r="16" spans="1:12" x14ac:dyDescent="0.35">
      <c r="A16" s="28" t="s">
        <v>62</v>
      </c>
      <c r="B16" s="133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58</v>
      </c>
      <c r="C17" s="29">
        <f>IF(DigitaNICA!I8&lt;&gt;"",DigitaNICA!I8,"")</f>
        <v>35500</v>
      </c>
      <c r="D17" s="42">
        <f>IF(C17="",0,C17*J$12)</f>
        <v>4260</v>
      </c>
      <c r="E17" s="29">
        <f>IF(DigitaNICA!J8&lt;&gt;"",DigitaNICA!J8,"")</f>
        <v>600</v>
      </c>
      <c r="F17" s="42">
        <f>IF(E17="",0,E17*PREMIOS!E17)</f>
        <v>48000</v>
      </c>
      <c r="G17" s="30">
        <f t="shared" si="4"/>
        <v>-16760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36</v>
      </c>
      <c r="C19" s="29">
        <f>IF(DigitaPRIMERA!C8&lt;&gt;"",DigitaPRIMERA!C8,"")</f>
        <v>21400</v>
      </c>
      <c r="D19" s="42">
        <f>IF(C19="",0,C19*J$14)</f>
        <v>2568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18832</v>
      </c>
    </row>
    <row r="20" spans="1:7" x14ac:dyDescent="0.35">
      <c r="A20" s="28" t="s">
        <v>98</v>
      </c>
      <c r="B20" s="133">
        <f>IF(DigitaPRIMERA!E2&lt;&gt;"",DigitaPRIMERA!E2,"")</f>
        <v>12</v>
      </c>
      <c r="C20" s="29">
        <f>IF(DigitaPRIMERA!E8&lt;&gt;"",DigitaPRIMERA!E8,"")</f>
        <v>6050</v>
      </c>
      <c r="D20" s="42">
        <f>IF(C20="",0,C20*J$14)</f>
        <v>726</v>
      </c>
      <c r="E20" s="29">
        <f>IF(DigitaPRIMERA!F8&lt;&gt;"",DigitaPRIMERA!F8,"")</f>
        <v>400</v>
      </c>
      <c r="F20" s="42">
        <f>IF(E20="",0,E20*PREMIOS!E19)</f>
        <v>32000</v>
      </c>
      <c r="G20" s="30">
        <f t="shared" si="4"/>
        <v>-26676</v>
      </c>
    </row>
    <row r="21" spans="1:7" ht="15" thickBot="1" x14ac:dyDescent="0.4">
      <c r="A21" s="122" t="s">
        <v>5</v>
      </c>
      <c r="B21" s="129"/>
      <c r="C21" s="123">
        <f>SUM(C5:C20)</f>
        <v>407400</v>
      </c>
      <c r="D21" s="123">
        <f t="shared" ref="D21:G21" si="5">SUM(D5:D20)</f>
        <v>48888</v>
      </c>
      <c r="E21" s="123">
        <f t="shared" si="5"/>
        <v>5150</v>
      </c>
      <c r="F21" s="123">
        <f t="shared" si="5"/>
        <v>422500</v>
      </c>
      <c r="G21" s="124">
        <f t="shared" si="5"/>
        <v>-63988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9"/>
      <c r="J3" s="245" t="s">
        <v>39</v>
      </c>
      <c r="K3" s="246" t="s">
        <v>141</v>
      </c>
      <c r="L3" s="247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1" t="s">
        <v>36</v>
      </c>
      <c r="J4" s="222">
        <f>SUM(IF(C7="",0,C7),IF(C11="",0,C11),IF(C15="",0,C15))</f>
        <v>0</v>
      </c>
      <c r="K4" s="226">
        <f t="shared" ref="K4" si="0">D7+D11+D15</f>
        <v>0</v>
      </c>
      <c r="L4" s="223">
        <f>F7+F11+F15</f>
        <v>0</v>
      </c>
    </row>
    <row r="5" spans="1:12" x14ac:dyDescent="0.35">
      <c r="A5" s="28" t="s">
        <v>43</v>
      </c>
      <c r="B5" s="133">
        <f>IF(DigitaNICA!C2&lt;&gt;"",DigitaNICA!C2,"")</f>
        <v>70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2" t="s">
        <v>37</v>
      </c>
      <c r="J5" s="222">
        <f>SUM(IF(C5="",0,C5),IF(C9="",0,C9),IF(C13="",0,C13),IF(C17="",0,C17))</f>
        <v>0</v>
      </c>
      <c r="K5" s="226">
        <f t="shared" ref="K5" si="2">D5+D9+D13+D17</f>
        <v>0</v>
      </c>
      <c r="L5" s="223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2" t="s">
        <v>38</v>
      </c>
      <c r="J6" s="222">
        <f>SUM(IF(C8="",0,C8),IF(C12="",0,C12),IF(C16="",0,C16))</f>
        <v>0</v>
      </c>
      <c r="K6" s="226">
        <f>D8+D12+D16</f>
        <v>0</v>
      </c>
      <c r="L6" s="223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33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3" t="s">
        <v>96</v>
      </c>
      <c r="J7" s="225">
        <f>SUM(IF(C19="",0,C19),IF(C20="",0,C20))</f>
        <v>0</v>
      </c>
      <c r="K7" s="229">
        <f>+D19+D20</f>
        <v>0</v>
      </c>
      <c r="L7" s="230">
        <f>+F19+F20</f>
        <v>0</v>
      </c>
    </row>
    <row r="8" spans="1:12" x14ac:dyDescent="0.35">
      <c r="A8" s="28" t="s">
        <v>47</v>
      </c>
      <c r="B8" s="133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82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3">
        <f>IF(DigitaTICA!E2&lt;&gt;"",DigitaTICA!E2,"")</f>
        <v>27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77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69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58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36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12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2"/>
      <c r="C21" s="8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3" t="s">
        <v>39</v>
      </c>
      <c r="K3" s="231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7" t="s">
        <v>36</v>
      </c>
      <c r="J4" s="220">
        <f>SUM(IF(C7="",0,C7),IF(C11="",0,C11),IF(C15="",0,C15))</f>
        <v>491700</v>
      </c>
      <c r="K4" s="232">
        <f t="shared" ref="K4" si="0">D7+D11+D15</f>
        <v>59004</v>
      </c>
      <c r="L4" s="221">
        <f>F7+F11+F15</f>
        <v>811750</v>
      </c>
    </row>
    <row r="5" spans="1:12" x14ac:dyDescent="0.35">
      <c r="A5" s="28" t="s">
        <v>43</v>
      </c>
      <c r="B5" s="133">
        <f>IF(DigitaNICA!C2&lt;&gt;"",DigitaNICA!C2,"")</f>
        <v>70</v>
      </c>
      <c r="C5" s="29">
        <f>IF(DigitaNICA!C10&lt;&gt;"",DigitaNICA!C10,"")</f>
        <v>116450</v>
      </c>
      <c r="D5" s="42">
        <f>IF(C5="",0,C5*J$15)</f>
        <v>13974</v>
      </c>
      <c r="E5" s="29">
        <f>IF(DigitaNICA!D10&lt;&gt;"",DigitaNICA!D10,"")</f>
        <v>2550</v>
      </c>
      <c r="F5" s="42">
        <f>IF(E5="",0,E5*PREMIOS!F5)</f>
        <v>216750</v>
      </c>
      <c r="G5" s="30">
        <f t="shared" ref="G5:G12" si="1">IF(OR(C5="",E5=""),0,C5-D5-F5)</f>
        <v>-114274</v>
      </c>
      <c r="I5" s="218" t="s">
        <v>37</v>
      </c>
      <c r="J5" s="222">
        <f>SUM(IF(C5="",0,C5),IF(C9="",0,C9),IF(C13="",0,C13),IF(C17="",0,C17))</f>
        <v>394000</v>
      </c>
      <c r="K5" s="226">
        <f t="shared" ref="K5" si="2">D5+D9+D13+D17</f>
        <v>47280</v>
      </c>
      <c r="L5" s="223">
        <f>F5+F9+F13+F17</f>
        <v>714000</v>
      </c>
    </row>
    <row r="6" spans="1:12" x14ac:dyDescent="0.35">
      <c r="A6" s="28" t="s">
        <v>45</v>
      </c>
      <c r="B6" s="133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8" t="s">
        <v>38</v>
      </c>
      <c r="J6" s="222">
        <f>SUM(IF(C8="",0,C8),IF(C12="",0,C12),IF(C16="",0,C16))</f>
        <v>79600</v>
      </c>
      <c r="K6" s="227">
        <f t="shared" ref="K6" si="3">+D8+D12+D16</f>
        <v>7960</v>
      </c>
      <c r="L6" s="228">
        <f>F8+F12+F16</f>
        <v>0</v>
      </c>
    </row>
    <row r="7" spans="1:12" x14ac:dyDescent="0.35">
      <c r="A7" s="28" t="s">
        <v>46</v>
      </c>
      <c r="B7" s="133">
        <f>IF(DigitaTICA!C2&lt;&gt;"",DigitaTICA!C2,"")</f>
        <v>33</v>
      </c>
      <c r="C7" s="29">
        <f>IF(DigitaTICA!C10&lt;&gt;"",DigitaTICA!C10,"")</f>
        <v>169000</v>
      </c>
      <c r="D7" s="42">
        <f>IF(C7="",0,C7*J$14)</f>
        <v>20280</v>
      </c>
      <c r="E7" s="29">
        <f>IF(DigitaTICA!D10&lt;&gt;"",DigitaTICA!D10,"")</f>
        <v>6350</v>
      </c>
      <c r="F7" s="42">
        <f>IF(E7="",0,E7*PREMIOS!F7)</f>
        <v>539750</v>
      </c>
      <c r="G7" s="30">
        <f t="shared" si="1"/>
        <v>-391030</v>
      </c>
      <c r="I7" s="218" t="s">
        <v>96</v>
      </c>
      <c r="J7" s="224">
        <f>SUM(IF(C19="",0,C19),IF(C20="",0,C20))</f>
        <v>70500</v>
      </c>
      <c r="K7" s="227">
        <f>+D19+D20</f>
        <v>8460</v>
      </c>
      <c r="L7" s="228">
        <f>+F19+F20</f>
        <v>12750</v>
      </c>
    </row>
    <row r="8" spans="1:12" x14ac:dyDescent="0.35">
      <c r="A8" s="28" t="s">
        <v>47</v>
      </c>
      <c r="B8" s="133" t="str">
        <f>IF(B7&lt;&gt;"",PREMIOS!B8,"")</f>
        <v>Blanca</v>
      </c>
      <c r="C8" s="29">
        <f>IF(DigitaREVENTADO!C10&lt;&gt;"",DigitaREVENTADO!C10,"")</f>
        <v>20600</v>
      </c>
      <c r="D8" s="42">
        <f>IF(C8="",0,C8*J$16)</f>
        <v>2060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18540</v>
      </c>
      <c r="I8" s="218" t="s">
        <v>104</v>
      </c>
      <c r="J8" s="224">
        <f>SUM(IF(C21="",0,C21),IF(C22="",0,C22),IF(C23="",0,C23))</f>
        <v>35100</v>
      </c>
      <c r="K8" s="227">
        <f t="shared" ref="K8" si="4">D21+D22+D23</f>
        <v>4212</v>
      </c>
      <c r="L8" s="228">
        <f>F21+F22+F23</f>
        <v>0</v>
      </c>
    </row>
    <row r="9" spans="1:12" x14ac:dyDescent="0.35">
      <c r="A9" s="28" t="s">
        <v>48</v>
      </c>
      <c r="B9" s="133">
        <f>IF(DigitaNICA!E2&lt;&gt;"",DigitaNICA!E2,"")</f>
        <v>82</v>
      </c>
      <c r="C9" s="29">
        <f>IF(DigitaNICA!E10&lt;&gt;"",DigitaNICA!E10,"")</f>
        <v>103550</v>
      </c>
      <c r="D9" s="42">
        <f>IF(C9="",0,C9*J$15)</f>
        <v>12426</v>
      </c>
      <c r="E9" s="29">
        <f>IF(DigitaNICA!F10&lt;&gt;"",DigitaNICA!F10,"")</f>
        <v>100</v>
      </c>
      <c r="F9" s="42">
        <f>IF(E9="",0,E9*PREMIOS!F9)</f>
        <v>8500</v>
      </c>
      <c r="G9" s="30">
        <f t="shared" si="1"/>
        <v>82624</v>
      </c>
      <c r="I9" s="218" t="s">
        <v>20</v>
      </c>
      <c r="J9" s="224">
        <f>SUM(IF(C24="",0,C24),IF(C25="",0,C25))</f>
        <v>165000</v>
      </c>
      <c r="K9" s="227">
        <f t="shared" ref="K9" si="5">+D24+D25</f>
        <v>19800</v>
      </c>
      <c r="L9" s="228">
        <f>F24+F25</f>
        <v>63750</v>
      </c>
    </row>
    <row r="10" spans="1:12" ht="15" thickBot="1" x14ac:dyDescent="0.4">
      <c r="A10" s="28" t="s">
        <v>49</v>
      </c>
      <c r="B10" s="133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9" t="s">
        <v>21</v>
      </c>
      <c r="J10" s="225">
        <f>IF(C26="",0,C26)</f>
        <v>0</v>
      </c>
      <c r="K10" s="229">
        <f>+D26</f>
        <v>0</v>
      </c>
      <c r="L10" s="230">
        <f>F26</f>
        <v>0</v>
      </c>
    </row>
    <row r="11" spans="1:12" x14ac:dyDescent="0.35">
      <c r="A11" s="28" t="s">
        <v>59</v>
      </c>
      <c r="B11" s="133">
        <f>IF(DigitaTICA!E2&lt;&gt;"",DigitaTICA!E2,"")</f>
        <v>27</v>
      </c>
      <c r="C11" s="29">
        <f>IF(DigitaTICA!E10&lt;&gt;"",DigitaTICA!E10,"")</f>
        <v>137700</v>
      </c>
      <c r="D11" s="42">
        <f>IF(C11="",0,C11*J$14)</f>
        <v>16524</v>
      </c>
      <c r="E11" s="29">
        <f>IF(DigitaTICA!F10&lt;&gt;"",DigitaTICA!F10,"")</f>
        <v>1900</v>
      </c>
      <c r="F11" s="42">
        <f>IF(E11="",0,E11*PREMIOS!F11)</f>
        <v>161500</v>
      </c>
      <c r="G11" s="30">
        <f t="shared" si="1"/>
        <v>-40324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>
        <f>IF(DigitaREVENTADO!E10&lt;&gt;"",DigitaREVENTADO!E10,"")</f>
        <v>22750</v>
      </c>
      <c r="D12" s="42">
        <f>IF(C12="",0,C12*J$16)</f>
        <v>2275</v>
      </c>
      <c r="E12" s="29">
        <f>IF(DigitaREVENTADO!F10&lt;&gt;"",DigitaREVENTADO!F10,"")</f>
        <v>250</v>
      </c>
      <c r="F12" s="42">
        <f>IF(E12="",0,E12*PREMIOS!F12)</f>
        <v>0</v>
      </c>
      <c r="G12" s="30">
        <f t="shared" si="1"/>
        <v>20475</v>
      </c>
    </row>
    <row r="13" spans="1:12" ht="15" thickBot="1" x14ac:dyDescent="0.4">
      <c r="A13" s="28" t="s">
        <v>50</v>
      </c>
      <c r="B13" s="133">
        <f>IF(DigitaNICA!G2&lt;&gt;"",DigitaNICA!G2,"")</f>
        <v>77</v>
      </c>
      <c r="C13" s="29">
        <f>IF(DigitaNICA!G10&lt;&gt;"",DigitaNICA!G10,"")</f>
        <v>57350</v>
      </c>
      <c r="D13" s="42">
        <f>IF(C13="",0,C13*J$15)</f>
        <v>6882</v>
      </c>
      <c r="E13" s="29">
        <f>IF(DigitaNICA!H10&lt;&gt;"",DigitaNICA!H10,"")</f>
        <v>550</v>
      </c>
      <c r="F13" s="42">
        <f>IF(E13="",0,E13*PREMIOS!F13)</f>
        <v>46750</v>
      </c>
      <c r="G13" s="30">
        <f>IF(OR(C13="",E13=""),0,C13-D13-F13)</f>
        <v>3718</v>
      </c>
      <c r="I13" s="279" t="s">
        <v>34</v>
      </c>
      <c r="J13" s="279"/>
      <c r="K13" s="279"/>
    </row>
    <row r="14" spans="1:12" x14ac:dyDescent="0.35">
      <c r="A14" s="28" t="s">
        <v>51</v>
      </c>
      <c r="B14" s="133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7" t="s">
        <v>36</v>
      </c>
      <c r="J14" s="78">
        <v>0.12</v>
      </c>
      <c r="K14" s="79">
        <f>MROUND(D7+D11+D15,50)</f>
        <v>59000</v>
      </c>
    </row>
    <row r="15" spans="1:12" x14ac:dyDescent="0.35">
      <c r="A15" s="28" t="s">
        <v>61</v>
      </c>
      <c r="B15" s="133">
        <f>IF(DigitaTICA!G2&lt;&gt;"",DigitaTICA!G2,"")</f>
        <v>69</v>
      </c>
      <c r="C15" s="29">
        <f>IF(DigitaTICA!G10&lt;&gt;"",DigitaTICA!G10,"")</f>
        <v>185000</v>
      </c>
      <c r="D15" s="42">
        <f>IF(C15="",0,C15*J$14)</f>
        <v>22200</v>
      </c>
      <c r="E15" s="29">
        <f>IF(DigitaTICA!H10&lt;&gt;"",DigitaTICA!H10,"")</f>
        <v>1300</v>
      </c>
      <c r="F15" s="42">
        <f>IF(E15="",0,E15*PREMIOS!F15)</f>
        <v>110500</v>
      </c>
      <c r="G15" s="30">
        <f t="shared" si="6"/>
        <v>52300</v>
      </c>
      <c r="I15" s="63" t="s">
        <v>37</v>
      </c>
      <c r="J15" s="64">
        <v>0.12</v>
      </c>
      <c r="K15" s="30">
        <f>MROUND(D5+D9+D13+D17,50)</f>
        <v>47300</v>
      </c>
    </row>
    <row r="16" spans="1:12" x14ac:dyDescent="0.35">
      <c r="A16" s="28" t="s">
        <v>62</v>
      </c>
      <c r="B16" s="133" t="str">
        <f>IF(B15&lt;&gt;"",PREMIOS!B16,"")</f>
        <v>Roja</v>
      </c>
      <c r="C16" s="29">
        <f>IF(DigitaREVENTADO!G10&lt;&gt;"",DigitaREVENTADO!G10,"")</f>
        <v>36250</v>
      </c>
      <c r="D16" s="42">
        <f>IF(C16="",0,C16*J$16)</f>
        <v>3625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32625</v>
      </c>
      <c r="I16" s="63" t="s">
        <v>38</v>
      </c>
      <c r="J16" s="64">
        <v>0.1</v>
      </c>
      <c r="K16" s="30">
        <f>MROUND(D6+D8+D10+D12+D14+D16+D18,50)</f>
        <v>7950</v>
      </c>
    </row>
    <row r="17" spans="1:11" x14ac:dyDescent="0.35">
      <c r="A17" s="28" t="s">
        <v>52</v>
      </c>
      <c r="B17" s="133">
        <f>IF(DigitaNICA!I2&lt;&gt;"",DigitaNICA!I2,"")</f>
        <v>58</v>
      </c>
      <c r="C17" s="29">
        <f>IF(DigitaNICA!I10&lt;&gt;"",DigitaNICA!I10,"")</f>
        <v>116650</v>
      </c>
      <c r="D17" s="42">
        <f>IF(C17="",0,C17*J$15)</f>
        <v>13998</v>
      </c>
      <c r="E17" s="29">
        <f>IF(DigitaNICA!J10&lt;&gt;"",DigitaNICA!J10,"")</f>
        <v>5200</v>
      </c>
      <c r="F17" s="42">
        <f>IF(E17="",0,E17*PREMIOS!F17)</f>
        <v>442000</v>
      </c>
      <c r="G17" s="30">
        <f t="shared" si="6"/>
        <v>-339348</v>
      </c>
      <c r="I17" s="63" t="s">
        <v>96</v>
      </c>
      <c r="J17" s="64">
        <v>0.12</v>
      </c>
      <c r="K17" s="30">
        <f>MROUND(D19+D20,50)</f>
        <v>8450</v>
      </c>
    </row>
    <row r="18" spans="1:11" x14ac:dyDescent="0.35">
      <c r="A18" s="28" t="s">
        <v>53</v>
      </c>
      <c r="B18" s="133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4200</v>
      </c>
    </row>
    <row r="19" spans="1:11" x14ac:dyDescent="0.35">
      <c r="A19" s="28" t="s">
        <v>97</v>
      </c>
      <c r="B19" s="133">
        <f>IF(DigitaPRIMERA!C2&lt;&gt;"",DigitaPRIMERA!C2,"")</f>
        <v>36</v>
      </c>
      <c r="C19" s="29">
        <f>IF(DigitaPRIMERA!$C$10&lt;&gt;"",DigitaPRIMERA!$C$10,"")</f>
        <v>40750</v>
      </c>
      <c r="D19" s="42">
        <f>IF(C19="",0,C19*J$17)</f>
        <v>4890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35860</v>
      </c>
      <c r="I19" s="63" t="s">
        <v>20</v>
      </c>
      <c r="J19" s="64">
        <v>0.12</v>
      </c>
      <c r="K19" s="30">
        <f>MROUND(D24+D25,50)</f>
        <v>19800</v>
      </c>
    </row>
    <row r="20" spans="1:11" ht="15" thickBot="1" x14ac:dyDescent="0.4">
      <c r="A20" s="28" t="s">
        <v>98</v>
      </c>
      <c r="B20" s="133">
        <f>IF(DigitaPRIMERA!E2&lt;&gt;"",DigitaPRIMERA!E2,"")</f>
        <v>12</v>
      </c>
      <c r="C20" s="29">
        <f>IF(DigitaPRIMERA!$E$10&lt;&gt;"",DigitaPRIMERA!$E$10,"")</f>
        <v>29750</v>
      </c>
      <c r="D20" s="42">
        <f>IF(C20="",0,C20*J$17)</f>
        <v>3570</v>
      </c>
      <c r="E20" s="29">
        <f>IF(DigitaPRIMERA!$F$10&lt;&gt;"",DigitaPRIMERA!$F$10,"")</f>
        <v>150</v>
      </c>
      <c r="F20" s="42">
        <f>IF(E20="",0,E20*PREMIOS!F19)</f>
        <v>12750</v>
      </c>
      <c r="G20" s="30">
        <f t="shared" si="7"/>
        <v>13430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3">
        <f>IF(DigitaHONDURAS!C2&lt;&gt;"",DigitaHONDURAS!C2,"")</f>
        <v>85</v>
      </c>
      <c r="C21" s="29">
        <f>IF(DigitaHONDURAS!$C$10&lt;&gt;"",DigitaHONDURAS!$C$10,"")</f>
        <v>17650</v>
      </c>
      <c r="D21" s="42">
        <f>IF(C21="",0,C21*J$18)</f>
        <v>2118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15532</v>
      </c>
    </row>
    <row r="22" spans="1:11" x14ac:dyDescent="0.35">
      <c r="A22" s="28" t="s">
        <v>100</v>
      </c>
      <c r="B22" s="133">
        <f>IF(DigitaHONDURAS!E2&lt;&gt;"",DigitaHONDURAS!E2,"")</f>
        <v>88</v>
      </c>
      <c r="C22" s="29">
        <f>IF(DigitaHONDURAS!$E$10&lt;&gt;"",DigitaHONDURAS!$E$10,"")</f>
        <v>7500</v>
      </c>
      <c r="D22" s="42">
        <f>IF(C22="",0,C22*J$18)</f>
        <v>900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6600</v>
      </c>
    </row>
    <row r="23" spans="1:11" x14ac:dyDescent="0.35">
      <c r="A23" s="28" t="s">
        <v>101</v>
      </c>
      <c r="B23" s="133">
        <f>IF(DigitaHONDURAS!G2&lt;&gt;"",DigitaHONDURAS!G2,"")</f>
        <v>83</v>
      </c>
      <c r="C23" s="29">
        <f>IF(DigitaHONDURAS!$G$10&lt;&gt;"",DigitaHONDURAS!$G$10,"")</f>
        <v>9950</v>
      </c>
      <c r="D23" s="42">
        <f>IF(C23="",0,C23*J$18)</f>
        <v>1194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8756</v>
      </c>
    </row>
    <row r="24" spans="1:11" x14ac:dyDescent="0.35">
      <c r="A24" s="28" t="s">
        <v>107</v>
      </c>
      <c r="B24" s="133" t="str">
        <f>IF(DigitaDOMINICANA!C2&lt;&gt;"",DigitaDOMINICANA!C2,"")</f>
        <v>01</v>
      </c>
      <c r="C24" s="29">
        <f>IF(DigitaDOMINICANA!$C$10&lt;&gt;"",DigitaDOMINICANA!$C$10,"")</f>
        <v>82000</v>
      </c>
      <c r="D24" s="42">
        <f>IF(C24="",0,C24*J$19)</f>
        <v>9840</v>
      </c>
      <c r="E24" s="29">
        <f>IF(DigitaDOMINICANA!$D$10&lt;&gt;"",DigitaDOMINICANA!$D$10,"")</f>
        <v>750</v>
      </c>
      <c r="F24" s="42">
        <f>IF(E24="",0,E24*PREMIOS!F21)</f>
        <v>63750</v>
      </c>
      <c r="G24" s="30">
        <f t="shared" si="8"/>
        <v>8410</v>
      </c>
    </row>
    <row r="25" spans="1:11" x14ac:dyDescent="0.35">
      <c r="A25" s="28" t="s">
        <v>108</v>
      </c>
      <c r="B25" s="133">
        <f>IF(DigitaDOMINICANA!E2&lt;&gt;"",DigitaDOMINICANA!E2,"")</f>
        <v>79</v>
      </c>
      <c r="C25" s="29">
        <f>IF(DigitaDOMINICANA!$E$10&lt;&gt;"",DigitaDOMINICANA!$E$10,"")</f>
        <v>83000</v>
      </c>
      <c r="D25" s="42">
        <f>IF(C25="",0,C25*J$19)</f>
        <v>9960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73040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8"/>
      <c r="C27" s="68">
        <f>SUM(C5:C26)</f>
        <v>1235900</v>
      </c>
      <c r="D27" s="68">
        <f t="shared" ref="D27:F27" si="9">SUM(D5:D26)</f>
        <v>146716</v>
      </c>
      <c r="E27" s="68">
        <f t="shared" si="9"/>
        <v>19100</v>
      </c>
      <c r="F27" s="68">
        <f t="shared" si="9"/>
        <v>1602250</v>
      </c>
      <c r="G27" s="89">
        <f>SUM(G5:G26)</f>
        <v>-513066</v>
      </c>
    </row>
  </sheetData>
  <mergeCells count="2">
    <mergeCell ref="I13:K13"/>
    <mergeCell ref="B2:D2"/>
  </mergeCells>
  <pageMargins left="0.7" right="0.7" top="0.75" bottom="0.75" header="0.51180555555555496" footer="0.51180555555555496"/>
  <pageSetup orientation="portrait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4" style="21" customWidth="1"/>
    <col min="9" max="12" width="11.6328125" style="21" customWidth="1"/>
    <col min="13" max="13" width="3.90625" style="21" customWidth="1"/>
    <col min="14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9"/>
      <c r="J3" s="52" t="s">
        <v>39</v>
      </c>
      <c r="K3" s="240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1" t="s">
        <v>36</v>
      </c>
      <c r="J4" s="220">
        <f>SUM(IF(C7="",0,C7),IF(C11="",0,C11),IF(C15="",0,C15))</f>
        <v>49000</v>
      </c>
      <c r="K4" s="232">
        <f t="shared" ref="K4" si="0">D7+D11+D15</f>
        <v>5880</v>
      </c>
      <c r="L4" s="221">
        <f>F7+F11+F15</f>
        <v>0</v>
      </c>
    </row>
    <row r="5" spans="1:12" x14ac:dyDescent="0.35">
      <c r="A5" s="28" t="s">
        <v>43</v>
      </c>
      <c r="B5" s="133">
        <f>IF(DigitaNICA!C2&lt;&gt;"",DigitaNICA!C2,"")</f>
        <v>70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2" t="s">
        <v>37</v>
      </c>
      <c r="J5" s="222">
        <f>SUM(IF(C5="",0,C5),IF(C9="",0,C9),IF(C13="",0,C13),IF(C17="",0,C17))</f>
        <v>0</v>
      </c>
      <c r="K5" s="226">
        <f t="shared" ref="K5" si="2">D5+D9+D13+D17</f>
        <v>0</v>
      </c>
      <c r="L5" s="223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7">
        <f t="shared" ref="K6" si="3">+D8+D12+D16</f>
        <v>0</v>
      </c>
      <c r="L6" s="228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33</v>
      </c>
      <c r="C7" s="29">
        <f>IF(DigitaTICA!C11&lt;&gt;"",DigitaTICA!C11,"")</f>
        <v>12000</v>
      </c>
      <c r="D7" s="42">
        <f>IF(C7="",0,C7*J$11)</f>
        <v>1440</v>
      </c>
      <c r="E7" s="29">
        <f>IF(DigitaTICA!D11&lt;&gt;"",DigitaTICA!D11,"")</f>
        <v>0</v>
      </c>
      <c r="F7" s="134">
        <f>IF(E7="",0,E7*PREMIOS!F7)</f>
        <v>0</v>
      </c>
      <c r="G7" s="30">
        <f t="shared" si="1"/>
        <v>10560</v>
      </c>
      <c r="I7" s="243" t="s">
        <v>96</v>
      </c>
      <c r="J7" s="225">
        <f>SUM(IF(C19="",0,C19),IF(C20="",0,C20))</f>
        <v>0</v>
      </c>
      <c r="K7" s="229">
        <f>+D19+D20</f>
        <v>0</v>
      </c>
      <c r="L7" s="230">
        <f>+F19+F20</f>
        <v>0</v>
      </c>
    </row>
    <row r="8" spans="1:12" x14ac:dyDescent="0.35">
      <c r="A8" s="28" t="s">
        <v>47</v>
      </c>
      <c r="B8" s="133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4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82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4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3">
        <f>IF(DigitaTICA!E2&lt;&gt;"",DigitaTICA!E2,"")</f>
        <v>27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4">
        <f>IF(E11="",0,E11*PREMIOS!F11)</f>
        <v>0</v>
      </c>
      <c r="G11" s="30">
        <f t="shared" si="1"/>
        <v>0</v>
      </c>
      <c r="I11" s="77" t="s">
        <v>36</v>
      </c>
      <c r="J11" s="78">
        <v>0.12</v>
      </c>
      <c r="K11" s="79">
        <f>MROUND(D7+D11+D15,50)</f>
        <v>5900</v>
      </c>
    </row>
    <row r="12" spans="1:12" x14ac:dyDescent="0.35">
      <c r="A12" s="28" t="s">
        <v>60</v>
      </c>
      <c r="B12" s="133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4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77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69</v>
      </c>
      <c r="C15" s="29">
        <f>IF(DigitaTICA!G11&lt;&gt;"",DigitaTICA!G11,"")</f>
        <v>37000</v>
      </c>
      <c r="D15" s="42">
        <f>IF(C15="",0,C15*J$11)</f>
        <v>4440</v>
      </c>
      <c r="E15" s="29">
        <f>IF(DigitaTICA!H11&lt;&gt;"",DigitaTICA!H11,"")</f>
        <v>0</v>
      </c>
      <c r="F15" s="134">
        <f>IF(E15="",0,E15*PREMIOS!F15)</f>
        <v>0</v>
      </c>
      <c r="G15" s="30">
        <f t="shared" si="4"/>
        <v>32560</v>
      </c>
    </row>
    <row r="16" spans="1:12" x14ac:dyDescent="0.35">
      <c r="A16" s="28" t="s">
        <v>62</v>
      </c>
      <c r="B16" s="133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4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58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36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12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49000</v>
      </c>
      <c r="D21" s="123">
        <f t="shared" ref="D21:G21" si="5">SUM(D5:D20)</f>
        <v>5880</v>
      </c>
      <c r="E21" s="123">
        <f t="shared" si="5"/>
        <v>0</v>
      </c>
      <c r="F21" s="123">
        <f t="shared" si="5"/>
        <v>0</v>
      </c>
      <c r="G21" s="124">
        <f t="shared" si="5"/>
        <v>43120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10 E10 E6 C14 E14" unlockedFormula="1"/>
  </ignoredErrors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:AML28"/>
  <sheetViews>
    <sheetView showGridLines="0" topLeftCell="A14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3" t="s">
        <v>39</v>
      </c>
      <c r="K3" s="231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7" t="s">
        <v>36</v>
      </c>
      <c r="J4" s="220">
        <f>SUM(IF(C7="",0,C7),IF(C11="",0,C11),IF(C15="",0,C15))</f>
        <v>25000</v>
      </c>
      <c r="K4" s="232">
        <f>D7+D11+D15</f>
        <v>3000</v>
      </c>
      <c r="L4" s="221">
        <f>F7+F11+F15</f>
        <v>0</v>
      </c>
    </row>
    <row r="5" spans="1:12" x14ac:dyDescent="0.35">
      <c r="A5" s="28" t="s">
        <v>43</v>
      </c>
      <c r="B5" s="133">
        <f>IF(DigitaNICA!C2&lt;&gt;"",DigitaNICA!C2,"")</f>
        <v>70</v>
      </c>
      <c r="C5" s="29">
        <f>IF(DigitaNICA!C12&lt;&gt;"",DigitaNICA!C12,"")</f>
        <v>29400</v>
      </c>
      <c r="D5" s="42">
        <f>IF(C5="",0,C5*J$12)</f>
        <v>3528</v>
      </c>
      <c r="E5" s="29">
        <f>IF(DigitaNICA!D12&lt;&gt;"",DigitaNICA!D12,"")</f>
        <v>1000</v>
      </c>
      <c r="F5" s="42">
        <f>IF(E5="",0,E5*PREMIOS!F5)</f>
        <v>85000</v>
      </c>
      <c r="G5" s="30">
        <f t="shared" ref="G5:G12" si="0">IF(OR(C5="",E5=""),0,C5-D5-F5)</f>
        <v>-59128</v>
      </c>
      <c r="I5" s="218" t="s">
        <v>37</v>
      </c>
      <c r="J5" s="222">
        <f>SUM(IF(C5="",0,C5),IF(C9="",0,C9),IF(C13="",0,C13),IF(C17="",0,C17))</f>
        <v>33900</v>
      </c>
      <c r="K5" s="226">
        <f t="shared" ref="K5" si="1">D5+D9+D13+D17</f>
        <v>4068</v>
      </c>
      <c r="L5" s="223">
        <f>F5+F9+F13+F17</f>
        <v>85000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8" t="s">
        <v>38</v>
      </c>
      <c r="J6" s="222">
        <f>SUM(IF(C8="",0,C8),IF(C12="",0,C12),IF(C16="",0,C16))</f>
        <v>2000</v>
      </c>
      <c r="K6" s="227">
        <f t="shared" ref="K6" si="2">+D8+D12+D16</f>
        <v>200</v>
      </c>
      <c r="L6" s="228">
        <f>+F8+F12+F16</f>
        <v>0</v>
      </c>
    </row>
    <row r="7" spans="1:12" x14ac:dyDescent="0.35">
      <c r="A7" s="28" t="s">
        <v>46</v>
      </c>
      <c r="B7" s="133">
        <f>IF(DigitaTICA!C2&lt;&gt;"",DigitaTICA!C2,"")</f>
        <v>33</v>
      </c>
      <c r="C7" s="29">
        <f>IF(DigitaTICA!C12&lt;&gt;"",DigitaTICA!C12,"")</f>
        <v>10200</v>
      </c>
      <c r="D7" s="42">
        <f>IF(C7="",0,C7*J$11)</f>
        <v>1224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8976</v>
      </c>
      <c r="I7" s="218" t="s">
        <v>96</v>
      </c>
      <c r="J7" s="224">
        <f>SUM(IF(C19="",0,C19),IF(C20="",0,C20))</f>
        <v>16600</v>
      </c>
      <c r="K7" s="227">
        <f>+D19+D20</f>
        <v>1992</v>
      </c>
      <c r="L7" s="228">
        <f>+F19+F20</f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>
        <f>IF(DigitaREVENTADO!C12&lt;&gt;"",DigitaREVENTADO!C12,"")</f>
        <v>1500</v>
      </c>
      <c r="D8" s="42">
        <f>IF(C8="",0,C8*J$13)</f>
        <v>150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1350</v>
      </c>
      <c r="I8" s="219" t="s">
        <v>104</v>
      </c>
      <c r="J8" s="225">
        <f>SUM(IF(C21="",0,C21),IF(C22="",0,C22),IF(C23="",0,C23))</f>
        <v>0</v>
      </c>
      <c r="K8" s="229">
        <f>+D21+D22+D23</f>
        <v>0</v>
      </c>
      <c r="L8" s="230">
        <f>+F21+F22+F23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82</v>
      </c>
      <c r="C9" s="29">
        <f>IF(DigitaNICA!E12&lt;&gt;"",DigitaNICA!E12,"")</f>
        <v>4500</v>
      </c>
      <c r="D9" s="42">
        <f>IF(C9="",0,C9*J$12)</f>
        <v>540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3960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3">
        <f>IF(DigitaTICA!E2&lt;&gt;"",DigitaTICA!E2,"")</f>
        <v>27</v>
      </c>
      <c r="C11" s="29">
        <f>IF(DigitaTICA!E12&lt;&gt;"",DigitaTICA!E12,"")</f>
        <v>4500</v>
      </c>
      <c r="D11" s="42">
        <f>IF(C11="",0,C11*J$11)</f>
        <v>540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3960</v>
      </c>
      <c r="I11" s="60" t="s">
        <v>36</v>
      </c>
      <c r="J11" s="61">
        <v>0.12</v>
      </c>
      <c r="K11" s="62">
        <f>MROUND(D7+D11+D15,50)</f>
        <v>3000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4050</v>
      </c>
    </row>
    <row r="13" spans="1:12" x14ac:dyDescent="0.35">
      <c r="A13" s="28" t="s">
        <v>50</v>
      </c>
      <c r="B13" s="133">
        <f>IF(DigitaNICA!G2&lt;&gt;"",DigitaNICA!G2,"")</f>
        <v>77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200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2000</v>
      </c>
    </row>
    <row r="15" spans="1:12" ht="15" thickBot="1" x14ac:dyDescent="0.4">
      <c r="A15" s="28" t="s">
        <v>61</v>
      </c>
      <c r="B15" s="133">
        <f>IF(DigitaTICA!G2&lt;&gt;"",DigitaTICA!G2,"")</f>
        <v>69</v>
      </c>
      <c r="C15" s="29">
        <f>IF(DigitaTICA!G12&lt;&gt;"",DigitaTICA!G12,"")</f>
        <v>10300</v>
      </c>
      <c r="D15" s="42">
        <f>IF(C15="",0,C15*J$11)</f>
        <v>1236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9064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>
        <f>IF(DigitaREVENTADO!G12&lt;&gt;"",DigitaREVENTADO!G12,"")</f>
        <v>500</v>
      </c>
      <c r="D16" s="42">
        <f>IF(C16="",0,C16*J$13)</f>
        <v>50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450</v>
      </c>
    </row>
    <row r="17" spans="1:7" x14ac:dyDescent="0.35">
      <c r="A17" s="28" t="s">
        <v>52</v>
      </c>
      <c r="B17" s="133">
        <f>IF(DigitaNICA!I2&lt;&gt;"",DigitaNICA!I2,"")</f>
        <v>58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36</v>
      </c>
      <c r="C19" s="29">
        <f>IF(DigitaPRIMERA!$C$12&lt;&gt;"",DigitaPRIMERA!$C$12,"")</f>
        <v>16600</v>
      </c>
      <c r="D19" s="42">
        <f>IF(C19="",0,C19*J$14)</f>
        <v>1992</v>
      </c>
      <c r="E19" s="29">
        <f>IF(DigitaPRIMERA!$D$12&lt;&gt;"",DigitaPRIMERA!$D$12,"")</f>
        <v>0</v>
      </c>
      <c r="F19" s="42">
        <f>IF(E19="",0,E19*PREMIOS!F19)</f>
        <v>0</v>
      </c>
      <c r="G19" s="30">
        <f t="shared" si="3"/>
        <v>14608</v>
      </c>
    </row>
    <row r="20" spans="1:7" x14ac:dyDescent="0.35">
      <c r="A20" s="28" t="s">
        <v>98</v>
      </c>
      <c r="B20" s="133">
        <f>IF(DigitaPRIMERA!E2&lt;&gt;"",DigitaPRIMERA!E2,"")</f>
        <v>12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85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88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83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8"/>
      <c r="C24" s="68">
        <f>SUM(C5:C23)</f>
        <v>77500</v>
      </c>
      <c r="D24" s="68">
        <f t="shared" ref="D24:G24" si="4">SUM(D5:D23)</f>
        <v>9260</v>
      </c>
      <c r="E24" s="68">
        <f t="shared" si="4"/>
        <v>1000</v>
      </c>
      <c r="F24" s="68">
        <f t="shared" si="4"/>
        <v>85000</v>
      </c>
      <c r="G24" s="89">
        <f t="shared" si="4"/>
        <v>-16760</v>
      </c>
    </row>
    <row r="27" spans="1:7" x14ac:dyDescent="0.35">
      <c r="G27" s="21">
        <v>-48415</v>
      </c>
    </row>
    <row r="28" spans="1:7" x14ac:dyDescent="0.35">
      <c r="G28" s="141">
        <f>+G24+G27</f>
        <v>-65175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5"/>
  <dimension ref="A1:AMK19"/>
  <sheetViews>
    <sheetView showGridLines="0" zoomScaleNormal="100" workbookViewId="0">
      <selection activeCell="F8" sqref="F8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3" t="s">
        <v>39</v>
      </c>
      <c r="K3" s="231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7" t="s">
        <v>36</v>
      </c>
      <c r="J4" s="220">
        <f>SUM(IF(C7="",0,C7),IF(C11="",0,C11),IF(C15="",0,C15))</f>
        <v>114250</v>
      </c>
      <c r="K4" s="232">
        <f t="shared" ref="K4" si="0">D7+D11+D15</f>
        <v>13710</v>
      </c>
      <c r="L4" s="221">
        <f>F7+F11+F15</f>
        <v>42500</v>
      </c>
    </row>
    <row r="5" spans="1:12" ht="15" thickBot="1" x14ac:dyDescent="0.4">
      <c r="A5" s="28" t="s">
        <v>43</v>
      </c>
      <c r="B5" s="133">
        <f>IF(DigitaNICA!C2&lt;&gt;"",DigitaNICA!C2,"")</f>
        <v>70</v>
      </c>
      <c r="C5" s="29">
        <f>IF(DigitaNICA!C13&lt;&gt;"",DigitaNICA!C13,"")</f>
        <v>21200</v>
      </c>
      <c r="D5" s="42">
        <f>IF(C5="",0,C5*J$10)</f>
        <v>2544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18656</v>
      </c>
      <c r="I5" s="219" t="s">
        <v>37</v>
      </c>
      <c r="J5" s="233">
        <f>SUM(IF(C5="",0,C5),IF(C9="",0,C9),IF(C13="",0,C13),IF(C17="",0,C17))</f>
        <v>62800</v>
      </c>
      <c r="K5" s="234">
        <f t="shared" ref="K5" si="2">D5+D9+D13+D17</f>
        <v>7536</v>
      </c>
      <c r="L5" s="235">
        <f>F5+F9+F13+F17</f>
        <v>16000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33</v>
      </c>
      <c r="C7" s="29">
        <f>IF(DigitaTICA!C13&lt;&gt;"",DigitaTICA!C13,"")</f>
        <v>46550</v>
      </c>
      <c r="D7" s="42">
        <f>IF(C7="",0,C7*J$9)</f>
        <v>5586</v>
      </c>
      <c r="E7" s="29">
        <f>IF(DigitaTICA!D13&lt;&gt;"",DigitaTICA!D13,"")</f>
        <v>400</v>
      </c>
      <c r="F7" s="134">
        <f>IF(E7="",0,E7*PREMIOS!F7)</f>
        <v>34000</v>
      </c>
      <c r="G7" s="30">
        <f t="shared" si="1"/>
        <v>6964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4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3">
        <f>IF(DigitaNICA!E2&lt;&gt;"",DigitaNICA!E2,"")</f>
        <v>82</v>
      </c>
      <c r="C9" s="29">
        <f>IF(DigitaNICA!E13&lt;&gt;"",DigitaNICA!E13,"")</f>
        <v>28000</v>
      </c>
      <c r="D9" s="42">
        <f>IF(C9="",0,C9*J$10)</f>
        <v>3360</v>
      </c>
      <c r="E9" s="29">
        <f>IF(DigitaNICA!F13&lt;&gt;"",DigitaNICA!F13,"")</f>
        <v>0</v>
      </c>
      <c r="F9" s="134">
        <f>IF(E9="",0,E9*PREMIOS!E9)</f>
        <v>0</v>
      </c>
      <c r="G9" s="30">
        <f t="shared" si="1"/>
        <v>24640</v>
      </c>
      <c r="I9" s="60" t="s">
        <v>36</v>
      </c>
      <c r="J9" s="61">
        <v>0.12</v>
      </c>
      <c r="K9" s="62">
        <f>MROUND(D7+D11+D15,50)</f>
        <v>13700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7550</v>
      </c>
    </row>
    <row r="11" spans="1:12" ht="15" thickBot="1" x14ac:dyDescent="0.4">
      <c r="A11" s="28" t="s">
        <v>59</v>
      </c>
      <c r="B11" s="133">
        <f>IF(DigitaTICA!E2&lt;&gt;"",DigitaTICA!E2,"")</f>
        <v>27</v>
      </c>
      <c r="C11" s="29">
        <f>IF(DigitaTICA!E13&lt;&gt;"",DigitaTICA!E13,"")</f>
        <v>27650</v>
      </c>
      <c r="D11" s="42">
        <f>IF(C11="",0,C11*J$9)</f>
        <v>3318</v>
      </c>
      <c r="E11" s="29">
        <f>IF(DigitaTICA!F13&lt;&gt;"",DigitaTICA!F13,"")</f>
        <v>100</v>
      </c>
      <c r="F11" s="134">
        <f>IF(E11="",0,E11*PREMIOS!F11)</f>
        <v>8500</v>
      </c>
      <c r="G11" s="30">
        <f t="shared" si="1"/>
        <v>15832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77</v>
      </c>
      <c r="C13" s="29">
        <f>IF(DigitaNICA!G13&lt;&gt;"",DigitaNICA!G13,"")</f>
        <v>9700</v>
      </c>
      <c r="D13" s="42">
        <f>IF(C13="",0,C13*J$10)</f>
        <v>1164</v>
      </c>
      <c r="E13" s="29">
        <f>IF(DigitaNICA!H13&lt;&gt;"",DigitaNICA!H13,"")</f>
        <v>0</v>
      </c>
      <c r="F13" s="134">
        <f>IF(E13="",0,E13*PREMIOS!E13)</f>
        <v>0</v>
      </c>
      <c r="G13" s="30">
        <f>IF(OR(C13="",E13=""),0,C13-D13-F13)</f>
        <v>8536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69</v>
      </c>
      <c r="C15" s="29">
        <f>IF(DigitaTICA!G13&lt;&gt;"",DigitaTICA!G13,"")</f>
        <v>40050</v>
      </c>
      <c r="D15" s="42">
        <f>IF(C15="",0,C15*J$9)</f>
        <v>4806</v>
      </c>
      <c r="E15" s="29">
        <f>IF(DigitaTICA!H13&lt;&gt;"",DigitaTICA!H13,"")</f>
        <v>0</v>
      </c>
      <c r="F15" s="134">
        <f>IF(E15="",0,E15*PREMIOS!F15)</f>
        <v>0</v>
      </c>
      <c r="G15" s="30">
        <f t="shared" si="3"/>
        <v>35244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58</v>
      </c>
      <c r="C17" s="29">
        <f>IF(DigitaNICA!I13&lt;&gt;"",DigitaNICA!I13,"")</f>
        <v>3900</v>
      </c>
      <c r="D17" s="42">
        <f>IF(C17="",0,C17*J$10)</f>
        <v>468</v>
      </c>
      <c r="E17" s="29">
        <f>IF(DigitaNICA!J13&lt;&gt;"",DigitaNICA!J13,"")</f>
        <v>200</v>
      </c>
      <c r="F17" s="42">
        <f>IF(E17="",0,E17*PREMIOS!E17)</f>
        <v>16000</v>
      </c>
      <c r="G17" s="30">
        <f t="shared" si="3"/>
        <v>-12568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177050</v>
      </c>
      <c r="D19" s="68">
        <f>MROUND(SUM(D5:D18),50)</f>
        <v>21250</v>
      </c>
      <c r="E19" s="68">
        <f>SUM(E5:E18)</f>
        <v>700</v>
      </c>
      <c r="F19" s="68">
        <f>SUM(F5:F18)</f>
        <v>58500</v>
      </c>
      <c r="G19" s="89">
        <f>SUM(G5:G18)</f>
        <v>97304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AMK19"/>
  <sheetViews>
    <sheetView showGridLines="0" zoomScaleNormal="10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3" t="s">
        <v>39</v>
      </c>
      <c r="K3" s="231" t="s">
        <v>141</v>
      </c>
      <c r="L3" s="74" t="s">
        <v>12</v>
      </c>
    </row>
    <row r="4" spans="1:12" ht="15" thickBot="1" x14ac:dyDescent="0.4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6">
        <f>SUM(IF(C7="",0,C7),IF(C11="",0,C11),IF(C15="",0,C15))</f>
        <v>115050</v>
      </c>
      <c r="K4" s="237">
        <f t="shared" ref="K4" si="0">D7+D11+D15</f>
        <v>17257.5</v>
      </c>
      <c r="L4" s="238">
        <f>F7+F11+F15</f>
        <v>40000</v>
      </c>
    </row>
    <row r="5" spans="1:12" x14ac:dyDescent="0.35">
      <c r="A5" s="28" t="s">
        <v>43</v>
      </c>
      <c r="B5" s="133">
        <f>IF(DigitaNICA!C2&lt;&gt;"",DigitaNICA!C2,"")</f>
        <v>70</v>
      </c>
      <c r="C5" s="82" t="str">
        <f>IF(DigitaNICA!C14&lt;&gt;"",DigitaNICA!C14,"")</f>
        <v/>
      </c>
      <c r="D5" s="83">
        <f>IF(C5="",0,C5*J$10)</f>
        <v>0</v>
      </c>
      <c r="E5" s="82" t="str">
        <f>IF(DigitaNICA!D14&lt;&gt;"",DigitaNICA!D14,"")</f>
        <v/>
      </c>
      <c r="F5" s="83">
        <f>IF(E5="",0,E5*PREMIOS!E5)</f>
        <v>0</v>
      </c>
      <c r="G5" s="84">
        <f t="shared" ref="G5:G12" si="1">IF(OR(C5="",E5=""),0,C5-D5-F5)</f>
        <v>0</v>
      </c>
    </row>
    <row r="6" spans="1:12" x14ac:dyDescent="0.35">
      <c r="A6" s="28" t="s">
        <v>45</v>
      </c>
      <c r="B6" s="133"/>
      <c r="C6" s="82"/>
      <c r="D6" s="83">
        <f>IF(C6="",0,C6*J$11)</f>
        <v>0</v>
      </c>
      <c r="E6" s="82"/>
      <c r="F6" s="83">
        <f>IF(E6="",0,E6*PREMIOS!E6)</f>
        <v>0</v>
      </c>
      <c r="G6" s="84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33</v>
      </c>
      <c r="C7" s="29">
        <f>IF(DigitaTICA!C14&lt;&gt;"",DigitaTICA!C14,"")</f>
        <v>43600</v>
      </c>
      <c r="D7" s="42">
        <f>IF(C7="",0,C7*J$9)</f>
        <v>6540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37060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3">
        <f>IF(DigitaNICA!E2&lt;&gt;"",DigitaNICA!E2,"")</f>
        <v>82</v>
      </c>
      <c r="C9" s="82" t="str">
        <f>IF(DigitaNICA!E14&lt;&gt;"",DigitaNICA!E14,"")</f>
        <v/>
      </c>
      <c r="D9" s="83">
        <f>IF(C9="",0,C9*J$10)</f>
        <v>0</v>
      </c>
      <c r="E9" s="82" t="str">
        <f>IF(DigitaNICA!F14&lt;&gt;"",DigitaNICA!F14,"")</f>
        <v/>
      </c>
      <c r="F9" s="83">
        <f>IF(E9="",0,E9*PREMIOS!E9)</f>
        <v>0</v>
      </c>
      <c r="G9" s="84">
        <f t="shared" si="1"/>
        <v>0</v>
      </c>
      <c r="I9" s="60" t="s">
        <v>36</v>
      </c>
      <c r="J9" s="61">
        <v>0.15</v>
      </c>
      <c r="K9" s="62">
        <f>MROUND(D7+D11+D15,50)</f>
        <v>17250</v>
      </c>
    </row>
    <row r="10" spans="1:12" x14ac:dyDescent="0.35">
      <c r="A10" s="28" t="s">
        <v>49</v>
      </c>
      <c r="B10" s="133"/>
      <c r="C10" s="82"/>
      <c r="D10" s="83">
        <f>IF(C10="",0,C10*J$11)</f>
        <v>0</v>
      </c>
      <c r="E10" s="82"/>
      <c r="F10" s="83">
        <f>IF(E10="",0,E10*PREMIOS!E10)</f>
        <v>0</v>
      </c>
      <c r="G10" s="84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27</v>
      </c>
      <c r="C11" s="29">
        <f>IF(DigitaTICA!E14&lt;&gt;"",DigitaTICA!E14,"")</f>
        <v>32100</v>
      </c>
      <c r="D11" s="42">
        <f>IF(C11="",0,C11*J$9)</f>
        <v>4815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27285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77</v>
      </c>
      <c r="C13" s="82" t="str">
        <f>IF(DigitaNICA!G14&lt;&gt;"",DigitaNICA!G14,"")</f>
        <v/>
      </c>
      <c r="D13" s="83">
        <f>IF(C13="",0,C13*J$10)</f>
        <v>0</v>
      </c>
      <c r="E13" s="82" t="str">
        <f>IF(DigitaNICA!H14&lt;&gt;"",DigitaNICA!H14,"")</f>
        <v/>
      </c>
      <c r="F13" s="83">
        <f>IF(E13="",0,E13*PREMIOS!E13)</f>
        <v>0</v>
      </c>
      <c r="G13" s="84">
        <f>IF(OR(C13="",E13=""),0,C13-D13-F13)</f>
        <v>0</v>
      </c>
    </row>
    <row r="14" spans="1:12" x14ac:dyDescent="0.35">
      <c r="A14" s="28" t="s">
        <v>51</v>
      </c>
      <c r="B14" s="133"/>
      <c r="C14" s="82"/>
      <c r="D14" s="83">
        <f>IF(C14="",0,C14*J$11)</f>
        <v>0</v>
      </c>
      <c r="E14" s="82"/>
      <c r="F14" s="83">
        <f>IF(E14="",0,E14*PREMIOS!E14)</f>
        <v>0</v>
      </c>
      <c r="G14" s="84">
        <f t="shared" ref="G14:G18" si="2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69</v>
      </c>
      <c r="C15" s="29">
        <f>IF(DigitaTICA!G14&lt;&gt;"",DigitaTICA!G14,"")</f>
        <v>39350</v>
      </c>
      <c r="D15" s="42">
        <f>IF(C15="",0,C15*J$9)</f>
        <v>5902.5</v>
      </c>
      <c r="E15" s="29">
        <f>IF(DigitaTICA!H14&lt;&gt;"",DigitaTICA!H14,"")</f>
        <v>500</v>
      </c>
      <c r="F15" s="42">
        <f>IF(E15="",0,E15*PREMIOS!E15)</f>
        <v>40000</v>
      </c>
      <c r="G15" s="30">
        <f t="shared" si="2"/>
        <v>-6552.5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3">
        <f>IF(DigitaNICA!I2&lt;&gt;"",DigitaNICA!I2,"")</f>
        <v>58</v>
      </c>
      <c r="C17" s="82" t="str">
        <f>IF(DigitaNICA!I14&lt;&gt;"",DigitaNICA!I14,"")</f>
        <v/>
      </c>
      <c r="D17" s="83">
        <f>IF(C17="",0,C17*J$10)</f>
        <v>0</v>
      </c>
      <c r="E17" s="82" t="str">
        <f>IF(DigitaNICA!J14&lt;&gt;"",DigitaNICA!J14,"")</f>
        <v/>
      </c>
      <c r="F17" s="83">
        <f>IF(E17="",0,E17*PREMIOS!E17)</f>
        <v>0</v>
      </c>
      <c r="G17" s="84">
        <f t="shared" si="2"/>
        <v>0</v>
      </c>
    </row>
    <row r="18" spans="1:7" x14ac:dyDescent="0.35">
      <c r="A18" s="28" t="s">
        <v>53</v>
      </c>
      <c r="B18" s="133"/>
      <c r="C18" s="82"/>
      <c r="D18" s="83">
        <f>IF(C18="",0,C18*J$11)</f>
        <v>0</v>
      </c>
      <c r="E18" s="82"/>
      <c r="F18" s="83">
        <f>IF(E18="",0,E18*PREMIOS!E18)</f>
        <v>0</v>
      </c>
      <c r="G18" s="84">
        <f t="shared" si="2"/>
        <v>0</v>
      </c>
    </row>
    <row r="19" spans="1:7" ht="15" thickBot="1" x14ac:dyDescent="0.4">
      <c r="A19" s="67" t="s">
        <v>5</v>
      </c>
      <c r="B19" s="128"/>
      <c r="C19" s="68">
        <f>SUM(C5:C18)</f>
        <v>115050</v>
      </c>
      <c r="D19" s="68">
        <f>MROUND(SUM(D5:D18),50)</f>
        <v>17250</v>
      </c>
      <c r="E19" s="68">
        <f>SUM(E5:E18)</f>
        <v>500</v>
      </c>
      <c r="F19" s="68">
        <f>SUM(F5:F18)</f>
        <v>40000</v>
      </c>
      <c r="G19" s="89">
        <f>SUM(G5:G18)</f>
        <v>57792.5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8 E7:E18 E5:E6" unlockedFormula="1"/>
  </ignoredErrors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AMK19"/>
  <sheetViews>
    <sheetView showGridLines="0" zoomScaleNormal="100" workbookViewId="0">
      <selection activeCell="F5" sqref="F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3" t="s">
        <v>39</v>
      </c>
      <c r="K3" s="231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7" t="s">
        <v>36</v>
      </c>
      <c r="J4" s="220">
        <f>SUM(IF(C7="",0,C7),IF(C11="",0,C11),IF(C15="",0,C15))</f>
        <v>12000</v>
      </c>
      <c r="K4" s="232">
        <f t="shared" ref="K4" si="0">D7+D11+D15</f>
        <v>1200</v>
      </c>
      <c r="L4" s="221">
        <f>F7+F11+F15</f>
        <v>8500</v>
      </c>
    </row>
    <row r="5" spans="1:12" ht="15" thickBot="1" x14ac:dyDescent="0.4">
      <c r="A5" s="28" t="s">
        <v>43</v>
      </c>
      <c r="B5" s="133">
        <f>IF(DigitaNICA!C2&lt;&gt;"",DigitaNICA!C2,"")</f>
        <v>70</v>
      </c>
      <c r="C5" s="29">
        <f>IF(DigitaNICA!C15&lt;&gt;"",DigitaNICA!C15,"")</f>
        <v>4800</v>
      </c>
      <c r="D5" s="42">
        <f>IF(C5="",0,C5*J$10)</f>
        <v>576</v>
      </c>
      <c r="E5" s="29">
        <f>IF(DigitaNICA!D15&lt;&gt;"",DigitaNICA!D15,"")</f>
        <v>0</v>
      </c>
      <c r="F5" s="134">
        <f>IF(E5="",0,E5*PREMIOS!E5)</f>
        <v>0</v>
      </c>
      <c r="G5" s="30">
        <f t="shared" ref="G5:G12" si="1">IF(OR(C5="",E5=""),0,C5-D5-F5)</f>
        <v>4224</v>
      </c>
      <c r="I5" s="219" t="s">
        <v>37</v>
      </c>
      <c r="J5" s="233">
        <f>SUM(IF(C5="",0,C5),IF(C9="",0,C9),IF(C13="",0,C13),IF(C17="",0,C17))</f>
        <v>4800</v>
      </c>
      <c r="K5" s="234">
        <f t="shared" ref="K5" si="2">D5+D9+D13+D17</f>
        <v>576</v>
      </c>
      <c r="L5" s="235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134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33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4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4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3">
        <f>IF(DigitaNICA!E2&lt;&gt;"",DigitaNICA!E2,"")</f>
        <v>82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4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1200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600</v>
      </c>
    </row>
    <row r="11" spans="1:12" ht="15" thickBot="1" x14ac:dyDescent="0.4">
      <c r="A11" s="28" t="s">
        <v>59</v>
      </c>
      <c r="B11" s="133">
        <f>IF(DigitaTICA!E2&lt;&gt;"",DigitaTICA!E2,"")</f>
        <v>27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4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77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69</v>
      </c>
      <c r="C15" s="29">
        <f>IF(DigitaTICA!G15&lt;&gt;"",DigitaTICA!G15,"")</f>
        <v>12000</v>
      </c>
      <c r="D15" s="42">
        <f>IF(C15="",0,C15*J$9)</f>
        <v>1200</v>
      </c>
      <c r="E15" s="29">
        <f>IF(DigitaTICA!H15&lt;&gt;"",DigitaTICA!H15,"")</f>
        <v>100</v>
      </c>
      <c r="F15" s="134">
        <f>IF(E15="",0,E15*PREMIOS!F15)</f>
        <v>8500</v>
      </c>
      <c r="G15" s="30">
        <f t="shared" si="3"/>
        <v>2300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58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4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134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16800</v>
      </c>
      <c r="D19" s="68">
        <f>MROUND(SUM(D5:D18),50)</f>
        <v>1800</v>
      </c>
      <c r="E19" s="68">
        <f>SUM(E5:E18)</f>
        <v>100</v>
      </c>
      <c r="F19" s="68">
        <f>SUM(F5:F18)</f>
        <v>8500</v>
      </c>
      <c r="G19" s="89">
        <f>SUM(G5:G18)</f>
        <v>6524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3" t="s">
        <v>39</v>
      </c>
      <c r="K3" s="231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7" t="s">
        <v>36</v>
      </c>
      <c r="J4" s="220">
        <f>SUM(IF(C7="",0,C7),IF(C11="",0,C11),IF(C15="",0,C15))</f>
        <v>70250</v>
      </c>
      <c r="K4" s="232">
        <f>D7+D11+D15</f>
        <v>8430</v>
      </c>
      <c r="L4" s="221">
        <f>F7+F11+F15</f>
        <v>59500</v>
      </c>
    </row>
    <row r="5" spans="1:12" x14ac:dyDescent="0.35">
      <c r="A5" s="28" t="s">
        <v>43</v>
      </c>
      <c r="B5" s="133">
        <f>IF(DigitaNICA!C2&lt;&gt;"",DigitaNICA!C2,"")</f>
        <v>70</v>
      </c>
      <c r="C5" s="29">
        <f>IF(DigitaNICA!C16&lt;&gt;"",DigitaNICA!C16,"")</f>
        <v>8500</v>
      </c>
      <c r="D5" s="42">
        <f>IF(C5="",0,C5*J$12)</f>
        <v>1020</v>
      </c>
      <c r="E5" s="29">
        <f>IF(DigitaNICA!D16&lt;&gt;"",DigitaNICA!D16,"")</f>
        <v>1000</v>
      </c>
      <c r="F5" s="42">
        <f>IF(E5="",0,E5*PREMIOS!E5)</f>
        <v>80000</v>
      </c>
      <c r="G5" s="30">
        <f t="shared" ref="G5:G12" si="0">IF(OR(C5="",E5=""),0,C5-D5-F5)</f>
        <v>-72520</v>
      </c>
      <c r="I5" s="218" t="s">
        <v>37</v>
      </c>
      <c r="J5" s="222">
        <f>SUM(IF(C5="",0,C5),IF(C9="",0,C9),IF(C13="",0,C13),IF(C17="",0,C17))</f>
        <v>45300</v>
      </c>
      <c r="K5" s="226">
        <f t="shared" ref="K5" si="1">D5+D9+D13+D17</f>
        <v>5436</v>
      </c>
      <c r="L5" s="223">
        <f>F5+F9+F13+F17</f>
        <v>80000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134">
        <f>IF(E6="",0,E6*PREMIOS!E6)</f>
        <v>0</v>
      </c>
      <c r="G6" s="30">
        <f t="shared" si="0"/>
        <v>0</v>
      </c>
      <c r="I6" s="218" t="s">
        <v>38</v>
      </c>
      <c r="J6" s="224">
        <f>SUM(IF(C8="",0,C8),IF(C12="",0,C12),IF(C16="",0,C16))</f>
        <v>200</v>
      </c>
      <c r="K6" s="227">
        <f t="shared" ref="K6" si="2">+D8+D12+D16</f>
        <v>20</v>
      </c>
      <c r="L6" s="228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33</v>
      </c>
      <c r="C7" s="29">
        <f>IF(DigitaTICA!C16&lt;&gt;"",DigitaTICA!C16,"")</f>
        <v>21500</v>
      </c>
      <c r="D7" s="42">
        <f>IF(C7="",0,C7*J$11)</f>
        <v>2580</v>
      </c>
      <c r="E7" s="29">
        <f>IF(DigitaTICA!D16&lt;&gt;"",DigitaTICA!D16,"")</f>
        <v>0</v>
      </c>
      <c r="F7" s="134">
        <f>IF(E7="",0,E7*PREMIOS!F7)</f>
        <v>0</v>
      </c>
      <c r="G7" s="30">
        <f t="shared" si="0"/>
        <v>18920</v>
      </c>
      <c r="I7" s="219" t="s">
        <v>96</v>
      </c>
      <c r="J7" s="225">
        <f>SUM(IF(C19="",0,C19),IF(C20="",0,C20))</f>
        <v>9600</v>
      </c>
      <c r="K7" s="229">
        <f>+D19+D20</f>
        <v>1152</v>
      </c>
      <c r="L7" s="230">
        <f>+F19+F20</f>
        <v>0</v>
      </c>
    </row>
    <row r="8" spans="1:12" x14ac:dyDescent="0.35">
      <c r="A8" s="28" t="s">
        <v>47</v>
      </c>
      <c r="B8" s="133" t="str">
        <f>IF(B7&lt;&gt;"",PREMIOS!B8,"")</f>
        <v>Blanca</v>
      </c>
      <c r="C8" s="29">
        <f>IF(DigitaREVENTADO!C16&lt;&gt;"",DigitaREVENTADO!C16,"")</f>
        <v>200</v>
      </c>
      <c r="D8" s="42">
        <f>IF(C8="",0,C8*J$13)</f>
        <v>20</v>
      </c>
      <c r="E8" s="29">
        <f>IF(DigitaREVENTADO!D16&lt;&gt;"",DigitaREVENTADO!D16,"")</f>
        <v>0</v>
      </c>
      <c r="F8" s="134">
        <f>IF(E8="",0,E8*PREMIOS!F8)</f>
        <v>0</v>
      </c>
      <c r="G8" s="30">
        <f t="shared" si="0"/>
        <v>180</v>
      </c>
    </row>
    <row r="9" spans="1:12" ht="15" thickBot="1" x14ac:dyDescent="0.4">
      <c r="A9" s="28" t="s">
        <v>48</v>
      </c>
      <c r="B9" s="133">
        <f>IF(DigitaNICA!E2&lt;&gt;"",DigitaNICA!E2,"")</f>
        <v>82</v>
      </c>
      <c r="C9" s="29">
        <f>IF(DigitaNICA!E16&lt;&gt;"",DigitaNICA!E16,"")</f>
        <v>2300</v>
      </c>
      <c r="D9" s="42">
        <f>IF(C9="",0,C9*J$12)</f>
        <v>276</v>
      </c>
      <c r="E9" s="29">
        <f>IF(DigitaNICA!F16&lt;&gt;"",DigitaNICA!F16,"")</f>
        <v>0</v>
      </c>
      <c r="F9" s="134">
        <f>IF(E9="",0,E9*PREMIOS!E9)</f>
        <v>0</v>
      </c>
      <c r="G9" s="30">
        <f t="shared" si="0"/>
        <v>2024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3">
        <f>IF(DigitaTICA!E2&lt;&gt;"",DigitaTICA!E2,"")</f>
        <v>27</v>
      </c>
      <c r="C11" s="29">
        <f>IF(DigitaTICA!E16&lt;&gt;"",DigitaTICA!E16,"")</f>
        <v>10250</v>
      </c>
      <c r="D11" s="42">
        <f>IF(C11="",0,C11*J$11)</f>
        <v>1230</v>
      </c>
      <c r="E11" s="29">
        <f>IF(DigitaTICA!F16&lt;&gt;"",DigitaTICA!F16,"")</f>
        <v>250</v>
      </c>
      <c r="F11" s="134">
        <f>IF(E11="",0,E11*PREMIOS!F11)</f>
        <v>21250</v>
      </c>
      <c r="G11" s="30">
        <f t="shared" si="0"/>
        <v>-12230</v>
      </c>
      <c r="I11" s="77" t="s">
        <v>36</v>
      </c>
      <c r="J11" s="78">
        <v>0.12</v>
      </c>
      <c r="K11" s="79">
        <f>MROUND(D7+D11+D15,50)</f>
        <v>8450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4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5450</v>
      </c>
    </row>
    <row r="13" spans="1:12" x14ac:dyDescent="0.35">
      <c r="A13" s="28" t="s">
        <v>50</v>
      </c>
      <c r="B13" s="133">
        <f>IF(DigitaNICA!G2&lt;&gt;"",DigitaNICA!G2,"")</f>
        <v>77</v>
      </c>
      <c r="C13" s="29">
        <f>IF(DigitaNICA!G16&lt;&gt;"",DigitaNICA!G16,"")</f>
        <v>3500</v>
      </c>
      <c r="D13" s="42">
        <f>IF(C13="",0,C13*J$12)</f>
        <v>420</v>
      </c>
      <c r="E13" s="29">
        <f>IF(DigitaNICA!H16&lt;&gt;"",DigitaNICA!H16,"")</f>
        <v>0</v>
      </c>
      <c r="F13" s="134">
        <f>IF(E13="",0,E13*PREMIOS!E13)</f>
        <v>0</v>
      </c>
      <c r="G13" s="30">
        <f>IF(OR(C13="",E13=""),0,C13-D13-F13)</f>
        <v>3080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1150</v>
      </c>
    </row>
    <row r="15" spans="1:12" x14ac:dyDescent="0.35">
      <c r="A15" s="28" t="s">
        <v>61</v>
      </c>
      <c r="B15" s="133">
        <f>IF(DigitaTICA!G2&lt;&gt;"",DigitaTICA!G2,"")</f>
        <v>69</v>
      </c>
      <c r="C15" s="29">
        <f>IF(DigitaTICA!G16&lt;&gt;"",DigitaTICA!G16,"")</f>
        <v>38500</v>
      </c>
      <c r="D15" s="42">
        <f>IF(C15="",0,C15*J$11)</f>
        <v>4620</v>
      </c>
      <c r="E15" s="29">
        <f>IF(DigitaTICA!H16&lt;&gt;"",DigitaTICA!H16,"")</f>
        <v>450</v>
      </c>
      <c r="F15" s="134">
        <f>IF(E15="",0,E15*PREMIOS!F15)</f>
        <v>38250</v>
      </c>
      <c r="G15" s="30">
        <f t="shared" si="3"/>
        <v>-4370</v>
      </c>
    </row>
    <row r="16" spans="1:12" x14ac:dyDescent="0.35">
      <c r="A16" s="28" t="s">
        <v>62</v>
      </c>
      <c r="B16" s="133" t="str">
        <f>IF(B15&lt;&gt;"",PREMIOS!B16,"")</f>
        <v>Roja</v>
      </c>
      <c r="C16" s="29">
        <f>IF(DigitaREVENTADO!G16&lt;&gt;"",DigitaREVENTADO!G16,"")</f>
        <v>0</v>
      </c>
      <c r="D16" s="42">
        <f>IF(C16="",0,C16*J$13)</f>
        <v>0</v>
      </c>
      <c r="E16" s="29">
        <f>IF(DigitaREVENTADO!H16&lt;&gt;"",DigitaREVENTADO!H16,"")</f>
        <v>0</v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58</v>
      </c>
      <c r="C17" s="29">
        <f>IF(DigitaNICA!I16&lt;&gt;"",DigitaNICA!I16,"")</f>
        <v>31000</v>
      </c>
      <c r="D17" s="42">
        <f>IF(C17="",0,C17*J$12)</f>
        <v>3720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27280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36</v>
      </c>
      <c r="C19" s="29">
        <f>IF(DigitaPRIMERA!C16&lt;&gt;"",DigitaPRIMERA!C16,"")</f>
        <v>7600</v>
      </c>
      <c r="D19" s="42">
        <f>IF(C19="",0,C19*J$14)</f>
        <v>912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6688</v>
      </c>
    </row>
    <row r="20" spans="1:7" x14ac:dyDescent="0.35">
      <c r="A20" s="28" t="s">
        <v>98</v>
      </c>
      <c r="B20" s="133">
        <f>IF(DigitaPRIMERA!E2&lt;&gt;"",DigitaPRIMERA!E2,"")</f>
        <v>12</v>
      </c>
      <c r="C20" s="29">
        <f>IF(DigitaPRIMERA!E16&lt;&gt;"",DigitaPRIMERA!E16,"")</f>
        <v>2000</v>
      </c>
      <c r="D20" s="42">
        <f>IF(C20="",0,C20*J$14)</f>
        <v>240</v>
      </c>
      <c r="E20" s="29">
        <f>IF(DigitaPRIMERA!F16&lt;&gt;"",DigitaPRIMERA!F16,"")</f>
        <v>0</v>
      </c>
      <c r="F20" s="42">
        <f>IF(E20="",0,E20*PREMIOS!E19)</f>
        <v>0</v>
      </c>
      <c r="G20" s="30">
        <f t="shared" si="3"/>
        <v>1760</v>
      </c>
    </row>
    <row r="21" spans="1:7" ht="15" thickBot="1" x14ac:dyDescent="0.4">
      <c r="A21" s="122" t="s">
        <v>5</v>
      </c>
      <c r="B21" s="129"/>
      <c r="C21" s="123">
        <f>SUM(C5:C20)</f>
        <v>125350</v>
      </c>
      <c r="D21" s="123">
        <f t="shared" ref="D21:G21" si="4">SUM(D5:D20)</f>
        <v>15038</v>
      </c>
      <c r="E21" s="123">
        <f t="shared" si="4"/>
        <v>1700</v>
      </c>
      <c r="F21" s="123">
        <f t="shared" si="4"/>
        <v>139500</v>
      </c>
      <c r="G21" s="124">
        <f t="shared" si="4"/>
        <v>-29188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AMK27"/>
  <sheetViews>
    <sheetView showGridLines="0" zoomScale="80" zoomScaleNormal="8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3" t="s">
        <v>39</v>
      </c>
      <c r="K3" s="231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7" t="s">
        <v>36</v>
      </c>
      <c r="J4" s="220">
        <f>SUM(IF(C7="",0,C7),IF(C11="",0,C11),IF(C15="",0,C15))</f>
        <v>429350</v>
      </c>
      <c r="K4" s="232">
        <f t="shared" ref="K4" si="0">D7+D11+D15</f>
        <v>51522</v>
      </c>
      <c r="L4" s="221">
        <f>F7+F11+F15</f>
        <v>284750</v>
      </c>
    </row>
    <row r="5" spans="1:12" x14ac:dyDescent="0.35">
      <c r="A5" s="28" t="s">
        <v>43</v>
      </c>
      <c r="B5" s="133">
        <f>IF(DigitaNICA!C2&lt;&gt;"",DigitaNICA!C2,"")</f>
        <v>70</v>
      </c>
      <c r="C5" s="90">
        <f>IF(DigitaNICA!C17&lt;&gt;"",DigitaNICA!C17,"")</f>
        <v>97000</v>
      </c>
      <c r="D5" s="42">
        <f>IF(C5="",0,C5*J$16)</f>
        <v>11640</v>
      </c>
      <c r="E5" s="90">
        <f>IF(DigitaNICA!D17&lt;&gt;"",DigitaNICA!D17,"")</f>
        <v>2900</v>
      </c>
      <c r="F5" s="42">
        <f>IF(E5="",0,E5*PREMIOS!F5)</f>
        <v>246500</v>
      </c>
      <c r="G5" s="91">
        <f t="shared" ref="G5:G12" si="1">IF(OR(C5="",E5=""),0,C5-D5-F5)</f>
        <v>-161140</v>
      </c>
      <c r="I5" s="218" t="s">
        <v>37</v>
      </c>
      <c r="J5" s="222">
        <f>SUM(IF(C5="",0,C5),IF(C9="",0,C9),IF(C13="",0,C13),IF(C17="",0,C17))</f>
        <v>407450</v>
      </c>
      <c r="K5" s="226">
        <f t="shared" ref="K5" si="2">D5+D9+D13+D17</f>
        <v>48894</v>
      </c>
      <c r="L5" s="223">
        <f>F5+F9+F13+F17</f>
        <v>344250</v>
      </c>
    </row>
    <row r="6" spans="1:12" x14ac:dyDescent="0.35">
      <c r="A6" s="28" t="s">
        <v>45</v>
      </c>
      <c r="B6" s="133"/>
      <c r="C6" s="90"/>
      <c r="D6" s="42">
        <f>IF(C6="",0,C6*J$17)</f>
        <v>0</v>
      </c>
      <c r="E6" s="90"/>
      <c r="F6" s="42">
        <f>IF(E6="",0,E6*PREMIOS!F6)</f>
        <v>0</v>
      </c>
      <c r="G6" s="91">
        <f t="shared" si="1"/>
        <v>0</v>
      </c>
      <c r="I6" s="218" t="s">
        <v>38</v>
      </c>
      <c r="J6" s="222">
        <f>SUM(IF(C8="",0,C8),IF(C12="",0,C12),IF(C16="",0,C16))</f>
        <v>59500</v>
      </c>
      <c r="K6" s="227">
        <f t="shared" ref="K6" si="3">+D8+D12+D16</f>
        <v>5950</v>
      </c>
      <c r="L6" s="228">
        <f>+F8+F12+F16</f>
        <v>60000</v>
      </c>
    </row>
    <row r="7" spans="1:12" x14ac:dyDescent="0.35">
      <c r="A7" s="28" t="s">
        <v>46</v>
      </c>
      <c r="B7" s="133">
        <f>IF(DigitaTICA!C2&lt;&gt;"",DigitaTICA!C2,"")</f>
        <v>33</v>
      </c>
      <c r="C7" s="90">
        <f>IF(DigitaTICA!C17&lt;&gt;"",DigitaTICA!C17,"")</f>
        <v>146200</v>
      </c>
      <c r="D7" s="42">
        <f>IF(C7="",0,C7*J$15)</f>
        <v>17544</v>
      </c>
      <c r="E7" s="90">
        <f>IF(DigitaTICA!D17&lt;&gt;"",DigitaTICA!D17,"")</f>
        <v>1200</v>
      </c>
      <c r="F7" s="42">
        <f>IF(E7="",0,E7*PREMIOS!F7)</f>
        <v>102000</v>
      </c>
      <c r="G7" s="91">
        <f t="shared" si="1"/>
        <v>26656</v>
      </c>
      <c r="I7" s="218" t="s">
        <v>96</v>
      </c>
      <c r="J7" s="224">
        <f>SUM(IF(C19="",0,C19),IF(C20="",0,C20))</f>
        <v>118550</v>
      </c>
      <c r="K7" s="227">
        <f>+D19+D20</f>
        <v>14226</v>
      </c>
      <c r="L7" s="228">
        <f>+F19+F20</f>
        <v>51000</v>
      </c>
    </row>
    <row r="8" spans="1:12" x14ac:dyDescent="0.35">
      <c r="A8" s="28" t="s">
        <v>47</v>
      </c>
      <c r="B8" s="133" t="str">
        <f>IF(B7&lt;&gt;"",PREMIOS!B8,"")</f>
        <v>Blanca</v>
      </c>
      <c r="C8" s="90">
        <f>IF(DigitaREVENTADO!C17&lt;&gt;"",DigitaREVENTADO!C17,"")</f>
        <v>27400</v>
      </c>
      <c r="D8" s="42">
        <f>IF(C8="",0,C8*J$17)</f>
        <v>2740</v>
      </c>
      <c r="E8" s="90">
        <f>IF(DigitaREVENTADO!D17&lt;&gt;"",DigitaREVENTADO!D17,"")</f>
        <v>0</v>
      </c>
      <c r="F8" s="42">
        <f>IF(E8="",0,E8*PREMIOS!F8)</f>
        <v>0</v>
      </c>
      <c r="G8" s="91">
        <f t="shared" si="1"/>
        <v>24660</v>
      </c>
      <c r="I8" s="218" t="s">
        <v>104</v>
      </c>
      <c r="J8" s="224">
        <f>SUM(IF(C21="",0,C21),IF(C22="",0,C22),IF(C23="",0,C23))</f>
        <v>85350</v>
      </c>
      <c r="K8" s="227">
        <f t="shared" ref="K8" si="4">D21+D22+D23</f>
        <v>10242</v>
      </c>
      <c r="L8" s="228">
        <f>F21+F22+F23</f>
        <v>178500</v>
      </c>
    </row>
    <row r="9" spans="1:12" x14ac:dyDescent="0.35">
      <c r="A9" s="28" t="s">
        <v>48</v>
      </c>
      <c r="B9" s="133">
        <f>IF(DigitaNICA!E2&lt;&gt;"",DigitaNICA!E2,"")</f>
        <v>82</v>
      </c>
      <c r="C9" s="90">
        <f>IF(DigitaNICA!E17&lt;&gt;"",DigitaNICA!E17,"")</f>
        <v>97700</v>
      </c>
      <c r="D9" s="42">
        <f>IF(C9="",0,C9*J$16)</f>
        <v>11724</v>
      </c>
      <c r="E9" s="90">
        <f>IF(DigitaNICA!F17&lt;&gt;"",DigitaNICA!F17,"")</f>
        <v>400</v>
      </c>
      <c r="F9" s="42">
        <f>IF(E9="",0,E9*PREMIOS!F9)</f>
        <v>34000</v>
      </c>
      <c r="G9" s="91">
        <f t="shared" si="1"/>
        <v>51976</v>
      </c>
      <c r="I9" s="218" t="s">
        <v>20</v>
      </c>
      <c r="J9" s="224">
        <f>SUM(IF(C24="",0,C24),IF(C25="",0,C25))</f>
        <v>0</v>
      </c>
      <c r="K9" s="227">
        <f t="shared" ref="K9" si="5">+D24+D25</f>
        <v>0</v>
      </c>
      <c r="L9" s="228">
        <f>F24+F25</f>
        <v>0</v>
      </c>
    </row>
    <row r="10" spans="1:12" ht="15" thickBot="1" x14ac:dyDescent="0.4">
      <c r="A10" s="28" t="s">
        <v>49</v>
      </c>
      <c r="B10" s="133"/>
      <c r="C10" s="90"/>
      <c r="D10" s="42">
        <f>IF(C10="",0,C10*J$17)</f>
        <v>0</v>
      </c>
      <c r="E10" s="90"/>
      <c r="F10" s="42">
        <f>IF(E10="",0,E10*PREMIOS!F10)</f>
        <v>0</v>
      </c>
      <c r="G10" s="91">
        <f t="shared" si="1"/>
        <v>0</v>
      </c>
      <c r="I10" s="219" t="s">
        <v>21</v>
      </c>
      <c r="J10" s="225">
        <f>IF(C26="",0,C26)</f>
        <v>0</v>
      </c>
      <c r="K10" s="229">
        <f>+D26</f>
        <v>0</v>
      </c>
      <c r="L10" s="230">
        <f>F26</f>
        <v>0</v>
      </c>
    </row>
    <row r="11" spans="1:12" x14ac:dyDescent="0.35">
      <c r="A11" s="28" t="s">
        <v>59</v>
      </c>
      <c r="B11" s="133">
        <f>IF(DigitaTICA!E2&lt;&gt;"",DigitaTICA!E2,"")</f>
        <v>27</v>
      </c>
      <c r="C11" s="90">
        <f>IF(DigitaTICA!E17&lt;&gt;"",DigitaTICA!E17,"")</f>
        <v>108950</v>
      </c>
      <c r="D11" s="42">
        <f>IF(C11="",0,C11*J$15)</f>
        <v>13074</v>
      </c>
      <c r="E11" s="90">
        <f>IF(DigitaTICA!F17&lt;&gt;"",DigitaTICA!F17,"")</f>
        <v>500</v>
      </c>
      <c r="F11" s="42">
        <f>IF(E11="",0,E11*PREMIOS!F11)</f>
        <v>42500</v>
      </c>
      <c r="G11" s="91">
        <f t="shared" si="1"/>
        <v>53376</v>
      </c>
    </row>
    <row r="12" spans="1:12" x14ac:dyDescent="0.35">
      <c r="A12" s="28" t="s">
        <v>60</v>
      </c>
      <c r="B12" s="133" t="str">
        <f>IF(B11&lt;&gt;"",PREMIOS!B12,"")</f>
        <v>Blanca</v>
      </c>
      <c r="C12" s="90">
        <f>IF(DigitaREVENTADO!E17&lt;&gt;"",DigitaREVENTADO!E17,"")</f>
        <v>12800</v>
      </c>
      <c r="D12" s="42">
        <f>IF(C12="",0,C12*J$17)</f>
        <v>1280</v>
      </c>
      <c r="E12" s="90">
        <f>IF(DigitaREVENTADO!F17&lt;&gt;"",DigitaREVENTADO!F17,"")</f>
        <v>0</v>
      </c>
      <c r="F12" s="42">
        <f>IF(E12="",0,E12*PREMIOS!F12)</f>
        <v>0</v>
      </c>
      <c r="G12" s="91">
        <f t="shared" si="1"/>
        <v>11520</v>
      </c>
    </row>
    <row r="13" spans="1:12" ht="15" thickBot="1" x14ac:dyDescent="0.4">
      <c r="A13" s="28" t="s">
        <v>50</v>
      </c>
      <c r="B13" s="133">
        <f>IF(DigitaNICA!G2&lt;&gt;"",DigitaNICA!G2,"")</f>
        <v>77</v>
      </c>
      <c r="C13" s="90">
        <f>IF(DigitaNICA!G17&lt;&gt;"",DigitaNICA!G17,"")</f>
        <v>53600</v>
      </c>
      <c r="D13" s="42">
        <f>IF(C13="",0,C13*J$16)</f>
        <v>6432</v>
      </c>
      <c r="E13" s="90">
        <f>IF(DigitaNICA!H17&lt;&gt;"",DigitaNICA!H17,"")</f>
        <v>650</v>
      </c>
      <c r="F13" s="42">
        <f>IF(E13="",0,E13*PREMIOS!F13)</f>
        <v>55250</v>
      </c>
      <c r="G13" s="91">
        <f>IF(OR(C13="",E13=""),0,C13-D13-F13)</f>
        <v>-8082</v>
      </c>
    </row>
    <row r="14" spans="1:12" ht="15" thickBot="1" x14ac:dyDescent="0.4">
      <c r="A14" s="28" t="s">
        <v>51</v>
      </c>
      <c r="B14" s="133"/>
      <c r="C14" s="90"/>
      <c r="D14" s="42">
        <f>IF(C14="",0,C14*J$17)</f>
        <v>0</v>
      </c>
      <c r="E14" s="90"/>
      <c r="F14" s="42">
        <f>IF(E14="",0,E14*PREMIOS!F14)</f>
        <v>0</v>
      </c>
      <c r="G14" s="91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3">
        <f>IF(DigitaTICA!G2&lt;&gt;"",DigitaTICA!G2,"")</f>
        <v>69</v>
      </c>
      <c r="C15" s="90">
        <f>IF(DigitaTICA!G17&lt;&gt;"",DigitaTICA!G17,"")</f>
        <v>174200</v>
      </c>
      <c r="D15" s="42">
        <f>IF(C15="",0,C15*J$15)</f>
        <v>20904</v>
      </c>
      <c r="E15" s="90">
        <f>IF(DigitaTICA!H17&lt;&gt;"",DigitaTICA!H17,"")</f>
        <v>1650</v>
      </c>
      <c r="F15" s="42">
        <f>IF(E15="",0,E15*PREMIOS!F15)</f>
        <v>140250</v>
      </c>
      <c r="G15" s="91">
        <f t="shared" si="6"/>
        <v>13046</v>
      </c>
      <c r="I15" s="77" t="s">
        <v>36</v>
      </c>
      <c r="J15" s="78">
        <v>0.12</v>
      </c>
      <c r="K15" s="79">
        <f>MROUND(D7+D11+D15,50)</f>
        <v>51500</v>
      </c>
    </row>
    <row r="16" spans="1:12" x14ac:dyDescent="0.35">
      <c r="A16" s="28" t="s">
        <v>62</v>
      </c>
      <c r="B16" s="133" t="str">
        <f>IF(B15&lt;&gt;"",PREMIOS!B16,"")</f>
        <v>Roja</v>
      </c>
      <c r="C16" s="90">
        <f>IF(DigitaREVENTADO!G17&lt;&gt;"",DigitaREVENTADO!G17,"")</f>
        <v>19300</v>
      </c>
      <c r="D16" s="42">
        <f>IF(C16="",0,C16*J$17)</f>
        <v>1930</v>
      </c>
      <c r="E16" s="90">
        <f>IF(DigitaREVENTADO!H17&lt;&gt;"",DigitaREVENTADO!H17,"")</f>
        <v>300</v>
      </c>
      <c r="F16" s="42">
        <f>IF(E16="",0,E16*PREMIOS!F16)</f>
        <v>60000</v>
      </c>
      <c r="G16" s="91">
        <f t="shared" si="6"/>
        <v>-42630</v>
      </c>
      <c r="I16" s="63" t="s">
        <v>37</v>
      </c>
      <c r="J16" s="64">
        <v>0.12</v>
      </c>
      <c r="K16" s="30">
        <f>MROUND(D5+D9+D13+D17,50)</f>
        <v>48900</v>
      </c>
    </row>
    <row r="17" spans="1:11" x14ac:dyDescent="0.35">
      <c r="A17" s="28" t="s">
        <v>52</v>
      </c>
      <c r="B17" s="133">
        <f>IF(DigitaNICA!I2&lt;&gt;"",DigitaNICA!I2,"")</f>
        <v>58</v>
      </c>
      <c r="C17" s="90">
        <f>IF(DigitaNICA!I17&lt;&gt;"",DigitaNICA!I17,"")</f>
        <v>159150</v>
      </c>
      <c r="D17" s="42">
        <f>IF(C17="",0,C17*J$16)</f>
        <v>19098</v>
      </c>
      <c r="E17" s="90">
        <f>IF(DigitaNICA!J17&lt;&gt;"",DigitaNICA!J17,"")</f>
        <v>100</v>
      </c>
      <c r="F17" s="42">
        <f>IF(E17="",0,E17*PREMIOS!F17)</f>
        <v>8500</v>
      </c>
      <c r="G17" s="91">
        <f t="shared" si="6"/>
        <v>131552</v>
      </c>
      <c r="I17" s="63" t="s">
        <v>38</v>
      </c>
      <c r="J17" s="64">
        <v>0.1</v>
      </c>
      <c r="K17" s="30">
        <f>MROUND(D6+D8+D10+D12+D14+D16+D18,50)</f>
        <v>5950</v>
      </c>
    </row>
    <row r="18" spans="1:11" x14ac:dyDescent="0.35">
      <c r="A18" s="28" t="s">
        <v>53</v>
      </c>
      <c r="B18" s="133"/>
      <c r="C18" s="90"/>
      <c r="D18" s="42">
        <f>IF(C18="",0,C18*J$17)</f>
        <v>0</v>
      </c>
      <c r="E18" s="90"/>
      <c r="F18" s="42">
        <f>IF(E18="",0,E18*PREMIOS!E18)</f>
        <v>0</v>
      </c>
      <c r="G18" s="91">
        <f t="shared" si="6"/>
        <v>0</v>
      </c>
      <c r="I18" s="63" t="s">
        <v>96</v>
      </c>
      <c r="J18" s="64">
        <v>0.12</v>
      </c>
      <c r="K18" s="30">
        <f>MROUND(D19+D20,50)</f>
        <v>14250</v>
      </c>
    </row>
    <row r="19" spans="1:11" x14ac:dyDescent="0.35">
      <c r="A19" s="28" t="s">
        <v>97</v>
      </c>
      <c r="B19" s="133">
        <f>IF(DigitaPRIMERA!C2&lt;&gt;"",DigitaPRIMERA!C2,"")</f>
        <v>36</v>
      </c>
      <c r="C19" s="29">
        <f>IF(DigitaPRIMERA!$C$17&lt;&gt;"",DigitaPRIMERA!$C$17,"")</f>
        <v>94400</v>
      </c>
      <c r="D19" s="42">
        <f>IF(C19="",0,C19*J$18)</f>
        <v>11328</v>
      </c>
      <c r="E19" s="29">
        <f>IF(DigitaPRIMERA!$D$17&lt;&gt;"",DigitaPRIMERA!$D$17,"")</f>
        <v>600</v>
      </c>
      <c r="F19" s="42">
        <f>IF(E19="",0,E19*PREMIOS!F19)</f>
        <v>51000</v>
      </c>
      <c r="G19" s="30">
        <f t="shared" si="6"/>
        <v>32072</v>
      </c>
      <c r="I19" s="63" t="s">
        <v>104</v>
      </c>
      <c r="J19" s="64">
        <v>0.12</v>
      </c>
      <c r="K19" s="30">
        <f>MROUND(D21+D22+D23,50)</f>
        <v>10250</v>
      </c>
    </row>
    <row r="20" spans="1:11" x14ac:dyDescent="0.35">
      <c r="A20" s="28" t="s">
        <v>98</v>
      </c>
      <c r="B20" s="133">
        <f>IF(DigitaPRIMERA!E2&lt;&gt;"",DigitaPRIMERA!E2,"")</f>
        <v>12</v>
      </c>
      <c r="C20" s="29">
        <f>IF(DigitaPRIMERA!$E$17&lt;&gt;"",DigitaPRIMERA!$E$17,"")</f>
        <v>24150</v>
      </c>
      <c r="D20" s="42">
        <f>IF(C20="",0,C20*J$18)</f>
        <v>2898</v>
      </c>
      <c r="E20" s="29">
        <f>IF(DigitaPRIMERA!$F$17&lt;&gt;"",DigitaPRIMERA!$F$17,"")</f>
        <v>0</v>
      </c>
      <c r="F20" s="42">
        <f>IF(E20="",0,E20*PREMIOS!F19)</f>
        <v>0</v>
      </c>
      <c r="G20" s="30">
        <f t="shared" si="6"/>
        <v>21252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85</v>
      </c>
      <c r="C21" s="29">
        <f>IF(DigitaHONDURAS!$C$17&lt;&gt;"",DigitaHONDURAS!$C$17,"")</f>
        <v>60300</v>
      </c>
      <c r="D21" s="42">
        <f>IF(C21="",0,C21*J$19)</f>
        <v>7236</v>
      </c>
      <c r="E21" s="29">
        <f>IF(DigitaHONDURAS!$D$17&lt;&gt;"",DigitaHONDURAS!$D$17,"")</f>
        <v>250</v>
      </c>
      <c r="F21" s="42">
        <f>IF(E21="",0,E21*PREMIOS!F20)</f>
        <v>21250</v>
      </c>
      <c r="G21" s="30">
        <f t="shared" si="6"/>
        <v>31814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88</v>
      </c>
      <c r="C22" s="29">
        <f>IF(DigitaHONDURAS!$E$17&lt;&gt;"",DigitaHONDURAS!$E$17,"")</f>
        <v>8700</v>
      </c>
      <c r="D22" s="42">
        <f>IF(C22="",0,C22*J$19)</f>
        <v>1044</v>
      </c>
      <c r="E22" s="29">
        <f>IF(DigitaHONDURAS!$F$17&lt;&gt;"",DigitaHONDURAS!$F$17,"")</f>
        <v>1250</v>
      </c>
      <c r="F22" s="42">
        <f>IF(E22="",0,E22*PREMIOS!F20)</f>
        <v>106250</v>
      </c>
      <c r="G22" s="30">
        <f t="shared" si="6"/>
        <v>-98594</v>
      </c>
    </row>
    <row r="23" spans="1:11" x14ac:dyDescent="0.35">
      <c r="A23" s="28" t="s">
        <v>101</v>
      </c>
      <c r="B23" s="133">
        <f>IF(DigitaHONDURAS!G2&lt;&gt;"",DigitaHONDURAS!G2,"")</f>
        <v>83</v>
      </c>
      <c r="C23" s="29">
        <f>IF(DigitaHONDURAS!$G$17&lt;&gt;"",DigitaHONDURAS!$G$17,"")</f>
        <v>16350</v>
      </c>
      <c r="D23" s="42">
        <f>IF(C23="",0,C23*J$19)</f>
        <v>1962</v>
      </c>
      <c r="E23" s="29">
        <f>IF(DigitaHONDURAS!$H$17&lt;&gt;"",DigitaHONDURAS!$H$17,"")</f>
        <v>600</v>
      </c>
      <c r="F23" s="42">
        <f>IF(E23="",0,E23*PREMIOS!F20)</f>
        <v>51000</v>
      </c>
      <c r="G23" s="30">
        <f t="shared" si="6"/>
        <v>-36612</v>
      </c>
    </row>
    <row r="24" spans="1:11" x14ac:dyDescent="0.35">
      <c r="A24" s="28" t="s">
        <v>102</v>
      </c>
      <c r="B24" s="133" t="str">
        <f>IF(DigitaDOMINICANA!C2&lt;&gt;"",DigitaDOMINICANA!C2,"")</f>
        <v>01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79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1100200</v>
      </c>
      <c r="D27" s="68">
        <f t="shared" ref="D27:G27" si="7">SUM(D5:D26)</f>
        <v>130834</v>
      </c>
      <c r="E27" s="68">
        <f t="shared" si="7"/>
        <v>10400</v>
      </c>
      <c r="F27" s="68">
        <f t="shared" si="7"/>
        <v>918500</v>
      </c>
      <c r="G27" s="89">
        <f t="shared" si="7"/>
        <v>50866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/>
  <dimension ref="A1:AMK27"/>
  <sheetViews>
    <sheetView showGridLines="0" zoomScale="80" zoomScaleNormal="80" workbookViewId="0">
      <selection activeCell="A2" sqref="A2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3" t="s">
        <v>39</v>
      </c>
      <c r="K3" s="231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7" t="s">
        <v>36</v>
      </c>
      <c r="J4" s="220">
        <f>SUM(IF(C7="",0,C7),IF(C11="",0,C11),IF(C15="",0,C15))</f>
        <v>138350</v>
      </c>
      <c r="K4" s="232">
        <f t="shared" ref="K4" si="0">D7+D11+D15</f>
        <v>16602</v>
      </c>
      <c r="L4" s="221">
        <f>F7+F11+F15</f>
        <v>12750</v>
      </c>
    </row>
    <row r="5" spans="1:12" x14ac:dyDescent="0.35">
      <c r="A5" s="28" t="str">
        <f>+Vendedor1!A5</f>
        <v>Nica 11am</v>
      </c>
      <c r="B5" s="133">
        <f>IF(DigitaNICA!C2&lt;&gt;"",DigitaNICA!C2,"")</f>
        <v>70</v>
      </c>
      <c r="C5" s="29">
        <f>IF(DigitaNICA!C18&lt;&gt;"",DigitaNICA!C18,"")</f>
        <v>38650</v>
      </c>
      <c r="D5" s="42">
        <f>IF(C5="",0,C5*J$16)</f>
        <v>4638</v>
      </c>
      <c r="E5" s="29">
        <f>IF(DigitaNICA!D18&lt;&gt;"",DigitaNICA!D18,"")</f>
        <v>1900</v>
      </c>
      <c r="F5" s="42">
        <f>IF(E5="",0,E5*PREMIOS!F5)</f>
        <v>161500</v>
      </c>
      <c r="G5" s="30">
        <f t="shared" ref="G5:G12" si="1">IF(OR(C5="",E5=""),0,C5-D5-F5)</f>
        <v>-127488</v>
      </c>
      <c r="I5" s="218" t="s">
        <v>37</v>
      </c>
      <c r="J5" s="222">
        <f>SUM(IF(C5="",0,C5),IF(C9="",0,C9),IF(C13="",0,C13),IF(C17="",0,C17))</f>
        <v>145550</v>
      </c>
      <c r="K5" s="226">
        <f t="shared" ref="K5" si="2">D5+D9+D13+D17</f>
        <v>17466</v>
      </c>
      <c r="L5" s="223">
        <f>F5+F9+F13+F17</f>
        <v>263500</v>
      </c>
    </row>
    <row r="6" spans="1:12" x14ac:dyDescent="0.35">
      <c r="A6" s="28" t="str">
        <f>+Vendedor1!A6</f>
        <v>Reventado 11am</v>
      </c>
      <c r="B6" s="133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8" t="s">
        <v>38</v>
      </c>
      <c r="J6" s="222">
        <f>SUM(IF(C8="",0,C8),IF(C12="",0,C12),IF(C16="",0,C16))</f>
        <v>37000</v>
      </c>
      <c r="K6" s="227">
        <f t="shared" ref="K6" si="3">+D8+D12+D16</f>
        <v>3700</v>
      </c>
      <c r="L6" s="228">
        <f>+F8+F12+F16</f>
        <v>20000</v>
      </c>
    </row>
    <row r="7" spans="1:12" x14ac:dyDescent="0.35">
      <c r="A7" s="28" t="str">
        <f>+Vendedor1!A7</f>
        <v>Tica 1pm</v>
      </c>
      <c r="B7" s="133">
        <f>IF(DigitaTICA!C2&lt;&gt;"",DigitaTICA!C2,"")</f>
        <v>33</v>
      </c>
      <c r="C7" s="29">
        <f>IF(DigitaTICA!C18&lt;&gt;"",DigitaTICA!C18,"")</f>
        <v>47850</v>
      </c>
      <c r="D7" s="42">
        <f>IF(C7="",0,C7*J$15)</f>
        <v>5742</v>
      </c>
      <c r="E7" s="29">
        <f>IF(DigitaTICA!D18&lt;&gt;"",DigitaTICA!D18,"")</f>
        <v>0</v>
      </c>
      <c r="F7" s="42">
        <f>IF(E7="",0,E7*PREMIOS!F7)</f>
        <v>0</v>
      </c>
      <c r="G7" s="30">
        <f t="shared" si="1"/>
        <v>42108</v>
      </c>
      <c r="I7" s="218" t="s">
        <v>96</v>
      </c>
      <c r="J7" s="224">
        <f>SUM(IF(C19="",0,C19),IF(C20="",0,C20))</f>
        <v>63500</v>
      </c>
      <c r="K7" s="227">
        <f>+D19+D20</f>
        <v>7620</v>
      </c>
      <c r="L7" s="228">
        <f>+F19+F20</f>
        <v>51000</v>
      </c>
    </row>
    <row r="8" spans="1:12" x14ac:dyDescent="0.35">
      <c r="A8" s="28" t="str">
        <f>+Vendedor1!A8</f>
        <v>Reventado 1pm</v>
      </c>
      <c r="B8" s="133" t="str">
        <f>IF(B7&lt;&gt;"",PREMIOS!B8,"")</f>
        <v>Blanca</v>
      </c>
      <c r="C8" s="29">
        <f>IF(DigitaREVENTADO!C18&lt;&gt;"",DigitaREVENTADO!C18,"")</f>
        <v>11900</v>
      </c>
      <c r="D8" s="42">
        <f>IF(C8="",0,C8*J$17)</f>
        <v>1190</v>
      </c>
      <c r="E8" s="29">
        <f>IF(DigitaREVENTADO!D18&lt;&gt;"",DigitaREVENTADO!D18,"")</f>
        <v>0</v>
      </c>
      <c r="F8" s="42">
        <f>IF(E8="",0,E8*PREMIOS!F8)</f>
        <v>0</v>
      </c>
      <c r="G8" s="30">
        <f t="shared" si="1"/>
        <v>10710</v>
      </c>
      <c r="I8" s="218" t="s">
        <v>104</v>
      </c>
      <c r="J8" s="224">
        <f>SUM(IF(C21="",0,C21),IF(C22="",0,C22),IF(C23="",0,C23))</f>
        <v>19900</v>
      </c>
      <c r="K8" s="227">
        <f t="shared" ref="K8" si="4">D21+D22+D23</f>
        <v>2388</v>
      </c>
      <c r="L8" s="228">
        <f>F21+F22+F23</f>
        <v>0</v>
      </c>
    </row>
    <row r="9" spans="1:12" x14ac:dyDescent="0.35">
      <c r="A9" s="28" t="str">
        <f>+Vendedor1!A9</f>
        <v>Nica 3pm</v>
      </c>
      <c r="B9" s="133">
        <f>IF(DigitaNICA!E2&lt;&gt;"",DigitaNICA!E2,"")</f>
        <v>82</v>
      </c>
      <c r="C9" s="29">
        <f>IF(DigitaNICA!E18&lt;&gt;"",DigitaNICA!E18,"")</f>
        <v>51600</v>
      </c>
      <c r="D9" s="42">
        <f>IF(C9="",0,C9*J$16)</f>
        <v>6192</v>
      </c>
      <c r="E9" s="29">
        <f>IF(DigitaNICA!F18&lt;&gt;"",DigitaNICA!F18,"")</f>
        <v>0</v>
      </c>
      <c r="F9" s="42">
        <f>IF(E9="",0,E9*PREMIOS!F9)</f>
        <v>0</v>
      </c>
      <c r="G9" s="30">
        <f t="shared" si="1"/>
        <v>45408</v>
      </c>
      <c r="I9" s="218" t="s">
        <v>20</v>
      </c>
      <c r="J9" s="224">
        <f>SUM(IF(C24="",0,C24),IF(C25="",0,C25))</f>
        <v>0</v>
      </c>
      <c r="K9" s="227">
        <f t="shared" ref="K9" si="5">+D24+D25</f>
        <v>0</v>
      </c>
      <c r="L9" s="228">
        <f>F24+F25</f>
        <v>0</v>
      </c>
    </row>
    <row r="10" spans="1:12" ht="15" thickBot="1" x14ac:dyDescent="0.4">
      <c r="A10" s="28" t="str">
        <f>+Vendedor1!A10</f>
        <v>Reventado 3pm</v>
      </c>
      <c r="B10" s="133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9" t="s">
        <v>21</v>
      </c>
      <c r="J10" s="225">
        <f>IF(C26="",0,C26)</f>
        <v>0</v>
      </c>
      <c r="K10" s="229">
        <f>+D26</f>
        <v>0</v>
      </c>
      <c r="L10" s="230">
        <f>F26</f>
        <v>0</v>
      </c>
    </row>
    <row r="11" spans="1:12" x14ac:dyDescent="0.35">
      <c r="A11" s="28" t="s">
        <v>59</v>
      </c>
      <c r="B11" s="133">
        <f>IF(DigitaTICA!E2&lt;&gt;"",DigitaTICA!E2,"")</f>
        <v>27</v>
      </c>
      <c r="C11" s="29">
        <f>IF(DigitaTICA!E18&lt;&gt;"",DigitaTICA!E18,"")</f>
        <v>37700</v>
      </c>
      <c r="D11" s="42">
        <f>IF(C11="",0,C11*J$15)</f>
        <v>4524</v>
      </c>
      <c r="E11" s="29">
        <f>IF(DigitaTICA!F18&lt;&gt;"",DigitaTICA!F18,"")</f>
        <v>0</v>
      </c>
      <c r="F11" s="42">
        <f>IF(E11="",0,E11*PREMIOS!F11)</f>
        <v>0</v>
      </c>
      <c r="G11" s="30">
        <f t="shared" si="1"/>
        <v>33176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IF(DigitaREVENTADO!E18&lt;&gt;"",DigitaREVENTADO!E18,"")</f>
        <v>9500</v>
      </c>
      <c r="D12" s="42">
        <f>IF(C12="",0,C12*J$17)</f>
        <v>950</v>
      </c>
      <c r="E12" s="29">
        <f>IF(DigitaREVENTADO!F18&lt;&gt;"",DigitaREVENTADO!F18,"")</f>
        <v>0</v>
      </c>
      <c r="F12" s="42">
        <f>IF(E12="",0,E12*PREMIOS!F12)</f>
        <v>0</v>
      </c>
      <c r="G12" s="30">
        <f t="shared" si="1"/>
        <v>8550</v>
      </c>
    </row>
    <row r="13" spans="1:12" ht="15" thickBot="1" x14ac:dyDescent="0.4">
      <c r="A13" s="28" t="str">
        <f>+Vendedor1!A13</f>
        <v>Nica 6pm</v>
      </c>
      <c r="B13" s="133">
        <f>IF(DigitaNICA!G2&lt;&gt;"",DigitaNICA!G2,"")</f>
        <v>77</v>
      </c>
      <c r="C13" s="29">
        <f>IF(DigitaNICA!G18&lt;&gt;"",DigitaNICA!G18,"")</f>
        <v>38200</v>
      </c>
      <c r="D13" s="42">
        <f>IF(C13="",0,C13*J$16)</f>
        <v>4584</v>
      </c>
      <c r="E13" s="29">
        <f>IF(DigitaNICA!H18&lt;&gt;"",DigitaNICA!H18,"")</f>
        <v>200</v>
      </c>
      <c r="F13" s="42">
        <f>IF(E13="",0,E13*PREMIOS!F13)</f>
        <v>17000</v>
      </c>
      <c r="G13" s="30">
        <f>IF(OR(C13="",E13=""),0,C13-D13-F13)</f>
        <v>16616</v>
      </c>
    </row>
    <row r="14" spans="1:12" ht="15" thickBot="1" x14ac:dyDescent="0.4">
      <c r="A14" s="28" t="str">
        <f>+Vendedor1!A14</f>
        <v>Reventado 6pm</v>
      </c>
      <c r="B14" s="133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3">
        <f>IF(DigitaTICA!G2&lt;&gt;"",DigitaTICA!G2,"")</f>
        <v>69</v>
      </c>
      <c r="C15" s="29">
        <f>IF(DigitaTICA!G18&lt;&gt;"",DigitaTICA!G18,"")</f>
        <v>52800</v>
      </c>
      <c r="D15" s="42">
        <f>IF(C15="",0,C15*J$15)</f>
        <v>6336</v>
      </c>
      <c r="E15" s="29">
        <f>IF(DigitaTICA!H18&lt;&gt;"",DigitaTICA!H18,"")</f>
        <v>150</v>
      </c>
      <c r="F15" s="42">
        <f>IF(E15="",0,E15*PREMIOS!F15)</f>
        <v>12750</v>
      </c>
      <c r="G15" s="30">
        <f t="shared" si="6"/>
        <v>33714</v>
      </c>
      <c r="I15" s="77" t="s">
        <v>36</v>
      </c>
      <c r="J15" s="78">
        <v>0.12</v>
      </c>
      <c r="K15" s="79">
        <f>MROUND(D7+D11+D15,50)</f>
        <v>16600</v>
      </c>
    </row>
    <row r="16" spans="1:12" x14ac:dyDescent="0.35">
      <c r="A16" s="28" t="str">
        <f>+Vendedor1!A16</f>
        <v>Reventado 7:30pm</v>
      </c>
      <c r="B16" s="133" t="str">
        <f>IF(B15&lt;&gt;"",PREMIOS!B16,"")</f>
        <v>Roja</v>
      </c>
      <c r="C16" s="29">
        <f>IF(DigitaREVENTADO!G18&lt;&gt;"",DigitaREVENTADO!G18,"")</f>
        <v>15600</v>
      </c>
      <c r="D16" s="42">
        <f>IF(C16="",0,C16*J$17)</f>
        <v>1560</v>
      </c>
      <c r="E16" s="29">
        <f>IF(DigitaREVENTADO!H18&lt;&gt;"",DigitaREVENTADO!H18,"")</f>
        <v>100</v>
      </c>
      <c r="F16" s="42">
        <f>IF(E16="",0,E16*PREMIOS!F16)</f>
        <v>20000</v>
      </c>
      <c r="G16" s="30">
        <f t="shared" si="6"/>
        <v>-5960</v>
      </c>
      <c r="I16" s="63" t="s">
        <v>37</v>
      </c>
      <c r="J16" s="64">
        <v>0.12</v>
      </c>
      <c r="K16" s="30">
        <f>MROUND(D5+D9+D13+D17,50)</f>
        <v>17450</v>
      </c>
    </row>
    <row r="17" spans="1:11" x14ac:dyDescent="0.35">
      <c r="A17" s="28" t="str">
        <f>+Vendedor1!A17</f>
        <v>Nica 9pm</v>
      </c>
      <c r="B17" s="133">
        <f>IF(DigitaNICA!I2&lt;&gt;"",DigitaNICA!I2,"")</f>
        <v>58</v>
      </c>
      <c r="C17" s="29">
        <f>IF(DigitaNICA!I18&lt;&gt;"",DigitaNICA!I18,"")</f>
        <v>17100</v>
      </c>
      <c r="D17" s="42">
        <f>IF(C17="",0,C17*J$16)</f>
        <v>2052</v>
      </c>
      <c r="E17" s="29">
        <f>IF(DigitaNICA!J18&lt;&gt;"",DigitaNICA!J18,"")</f>
        <v>1000</v>
      </c>
      <c r="F17" s="42">
        <f>IF(E17="",0,E17*PREMIOS!F17)</f>
        <v>85000</v>
      </c>
      <c r="G17" s="30">
        <f t="shared" si="6"/>
        <v>-69952</v>
      </c>
      <c r="I17" s="63" t="s">
        <v>38</v>
      </c>
      <c r="J17" s="64">
        <v>0.1</v>
      </c>
      <c r="K17" s="30">
        <f>MROUND(D6+D8+D10+D12+D14+D16+D18,50)</f>
        <v>3700</v>
      </c>
    </row>
    <row r="18" spans="1:11" x14ac:dyDescent="0.35">
      <c r="A18" s="28" t="str">
        <f>+Vendedor1!A18</f>
        <v>Reventado 9pm</v>
      </c>
      <c r="B18" s="133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7600</v>
      </c>
    </row>
    <row r="19" spans="1:11" x14ac:dyDescent="0.35">
      <c r="A19" s="28" t="s">
        <v>97</v>
      </c>
      <c r="B19" s="133">
        <f>IF(DigitaPRIMERA!C2&lt;&gt;"",DigitaPRIMERA!C2,"")</f>
        <v>36</v>
      </c>
      <c r="C19" s="29">
        <f>IF(DigitaPRIMERA!$C$18&lt;&gt;"",DigitaPRIMERA!$C$18,"")</f>
        <v>31500</v>
      </c>
      <c r="D19" s="42">
        <f>IF(C19="",0,C19*J$18)</f>
        <v>3780</v>
      </c>
      <c r="E19" s="29">
        <f>IF(DigitaPRIMERA!$D$18&lt;&gt;"",DigitaPRIMERA!$D$18,"")</f>
        <v>0</v>
      </c>
      <c r="F19" s="42">
        <f>IF(E19="",0,E19*PREMIOS!F19)</f>
        <v>0</v>
      </c>
      <c r="G19" s="30">
        <f t="shared" si="6"/>
        <v>27720</v>
      </c>
      <c r="I19" s="63" t="s">
        <v>104</v>
      </c>
      <c r="J19" s="64">
        <v>0.12</v>
      </c>
      <c r="K19" s="30">
        <f>MROUND(D21+D22+D23,50)</f>
        <v>2400</v>
      </c>
    </row>
    <row r="20" spans="1:11" x14ac:dyDescent="0.35">
      <c r="A20" s="28" t="s">
        <v>98</v>
      </c>
      <c r="B20" s="133">
        <f>IF(DigitaPRIMERA!E2&lt;&gt;"",DigitaPRIMERA!E2,"")</f>
        <v>12</v>
      </c>
      <c r="C20" s="29">
        <f>IF(DigitaPRIMERA!$E$18&lt;&gt;"",DigitaPRIMERA!$E$18,"")</f>
        <v>32000</v>
      </c>
      <c r="D20" s="42">
        <f>IF(C20="",0,C20*J$18)</f>
        <v>3840</v>
      </c>
      <c r="E20" s="29">
        <f>IF(DigitaPRIMERA!$F$18&lt;&gt;"",DigitaPRIMERA!$F$18,"")</f>
        <v>600</v>
      </c>
      <c r="F20" s="42">
        <f>IF(E20="",0,E20*PREMIOS!F19)</f>
        <v>51000</v>
      </c>
      <c r="G20" s="30">
        <f t="shared" si="6"/>
        <v>-22840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85</v>
      </c>
      <c r="C21" s="29">
        <f>IF(DigitaHONDURAS!$C$18&lt;&gt;"",DigitaHONDURAS!$C$18,"")</f>
        <v>11750</v>
      </c>
      <c r="D21" s="42">
        <f>IF(C21="",0,C21*J$19)</f>
        <v>1410</v>
      </c>
      <c r="E21" s="29">
        <f>IF(DigitaHONDURAS!$D$18&lt;&gt;"",DigitaHONDURAS!$D$18,"")</f>
        <v>0</v>
      </c>
      <c r="F21" s="42">
        <f>IF(E21="",0,E21*PREMIOS!F20)</f>
        <v>0</v>
      </c>
      <c r="G21" s="30">
        <f t="shared" si="6"/>
        <v>10340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88</v>
      </c>
      <c r="C22" s="29">
        <f>IF(DigitaHONDURAS!$E$18&lt;&gt;"",DigitaHONDURAS!$E$18,"")</f>
        <v>8150</v>
      </c>
      <c r="D22" s="42">
        <f>IF(C22="",0,C22*J$19)</f>
        <v>978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7172</v>
      </c>
    </row>
    <row r="23" spans="1:11" x14ac:dyDescent="0.35">
      <c r="A23" s="28" t="s">
        <v>101</v>
      </c>
      <c r="B23" s="133">
        <f>IF(DigitaHONDURAS!G2&lt;&gt;"",DigitaHONDURAS!G2,"")</f>
        <v>83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3" t="str">
        <f>IF(DigitaDOMINICANA!C2&lt;&gt;"",DigitaDOMINICANA!C2,"")</f>
        <v>01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79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404300</v>
      </c>
      <c r="D27" s="68">
        <f t="shared" ref="D27:G27" si="7">SUM(D5:D26)</f>
        <v>47776</v>
      </c>
      <c r="E27" s="68">
        <f t="shared" si="7"/>
        <v>3950</v>
      </c>
      <c r="F27" s="68">
        <f t="shared" si="7"/>
        <v>347250</v>
      </c>
      <c r="G27" s="89">
        <f t="shared" si="7"/>
        <v>9274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2" spans="1:11" x14ac:dyDescent="0.35">
      <c r="A2" s="51" t="s">
        <v>35</v>
      </c>
      <c r="B2" s="125"/>
      <c r="C2" s="281" t="s">
        <v>88</v>
      </c>
      <c r="D2" s="281"/>
      <c r="E2" s="281"/>
    </row>
    <row r="3" spans="1:11" ht="15" thickBot="1" x14ac:dyDescent="0.4">
      <c r="J3" s="73" t="s">
        <v>39</v>
      </c>
      <c r="K3" s="74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5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3">
        <f>IF(DigitaNICA!C2&lt;&gt;"",DigitaNICA!C2,"")</f>
        <v>70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6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3">
        <f>IF(DigitaTICA!C2&lt;&gt;"",DigitaTICA!C2,"")</f>
        <v>33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3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3">
        <f>IF(DigitaNICA!E2&lt;&gt;"",DigitaNICA!E2,"")</f>
        <v>82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MROUND(D7+D11+D15,50)</f>
        <v>0</v>
      </c>
    </row>
    <row r="10" spans="1:11" x14ac:dyDescent="0.35">
      <c r="A10" s="28" t="str">
        <f>+Vendedor1!A10</f>
        <v>Reventado 3pm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27</v>
      </c>
      <c r="C11" s="85" t="str">
        <f>IF(DigitaTICA!E19&lt;&gt;"",DigitaTICA!E19,"")</f>
        <v/>
      </c>
      <c r="D11" s="86">
        <f>IF(C11="",0,C11*J$9)</f>
        <v>0</v>
      </c>
      <c r="E11" s="85" t="str">
        <f>IF(DigitaTICA!F19&lt;&gt;"",DigitaTICA!F19,"")</f>
        <v/>
      </c>
      <c r="F11" s="86">
        <f>IF(E11="",0,E11*PREMIOS!F11)</f>
        <v>0</v>
      </c>
      <c r="G11" s="87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3">
        <f>IF(DigitaNICA!G2&lt;&gt;"",DigitaNICA!G2,"")</f>
        <v>77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3">
        <f>IF(DigitaTICA!G2&lt;&gt;"",DigitaTICA!G2,"")</f>
        <v>69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3" t="str">
        <f>IF(B15&lt;&gt;"",PREMIOS!B16,"")</f>
        <v>Roja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3">
        <f>IF(DigitaNICA!I2&lt;&gt;"",DigitaNICA!I2,"")</f>
        <v>58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5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3">
        <f>IF(DigitaNICA!C2&lt;&gt;"",DigitaNICA!C2,"")</f>
        <v>70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3">
        <f>IF(DigitaTICA!C2&lt;&gt;"",DigitaTICA!C2,"")</f>
        <v>33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3">
        <f>IF(DigitaNICA!E2&lt;&gt;"",DigitaNICA!E2,"")</f>
        <v>82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27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3">
        <f>IF(DigitaNICA!G2&lt;&gt;"",DigitaNICA!G2,"")</f>
        <v>77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3">
        <f>IF(DigitaTICA!G2&lt;&gt;"",DigitaTICA!G2,"")</f>
        <v>69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58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1" t="s">
        <v>84</v>
      </c>
      <c r="D2" s="281"/>
      <c r="E2" s="281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70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33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3">
        <f>IF(DigitaNICA!E2&lt;&gt;"",DigitaNICA!E2,"")</f>
        <v>82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27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  <c r="L11" s="72"/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77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69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58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1" t="s">
        <v>83</v>
      </c>
      <c r="D2" s="281"/>
      <c r="E2" s="281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70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33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3">
        <f>IF(DigitaNICA!E2&lt;&gt;"",DigitaNICA!E2,"")</f>
        <v>82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27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77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69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58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1" t="s">
        <v>82</v>
      </c>
      <c r="D2" s="281"/>
      <c r="E2" s="281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70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33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3">
        <f>IF(DigitaNICA!E2&lt;&gt;"",DigitaNICA!E2,"")</f>
        <v>82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27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77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69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58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  <row r="20" spans="1:6" ht="15" thickBot="1" x14ac:dyDescent="0.4"/>
    <row r="21" spans="1:6" ht="15" thickBot="1" x14ac:dyDescent="0.4">
      <c r="A21" s="93">
        <v>0.18</v>
      </c>
      <c r="B21" s="94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30"/>
  <dimension ref="A2:AMK27"/>
  <sheetViews>
    <sheetView showGridLines="0" topLeftCell="A10" zoomScaleNormal="100" workbookViewId="0">
      <selection activeCell="C27" sqref="C27:G27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5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7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7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7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7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7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IFERROR(MROUND(D7+D11+D15,50),MROUND(D7+D11+D15,-50))</f>
        <v>0</v>
      </c>
    </row>
    <row r="10" spans="1:11" x14ac:dyDescent="0.35">
      <c r="A10" s="28" t="s">
        <v>49</v>
      </c>
      <c r="B10" s="127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7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7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7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7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7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7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7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7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7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7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7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7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7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7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7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7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8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9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8 E7:E8 E5:E6 C10:C17 E10:E17" unlockedFormula="1"/>
  </ignoredErrors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0CE8-B81B-44A7-B94C-7987BAE7E37C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</cols>
  <sheetData>
    <row r="1" spans="1:11" x14ac:dyDescent="0.35">
      <c r="A1" s="80" t="s">
        <v>19</v>
      </c>
      <c r="B1" s="80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33</v>
      </c>
      <c r="D2" s="268"/>
      <c r="E2" s="267">
        <f>IF(PREMIOS!$B11="","",PREMIOS!$B11)</f>
        <v>27</v>
      </c>
      <c r="F2" s="268"/>
      <c r="G2" s="267">
        <f>IF(PREMIOS!$B15="","",PREMIOS!$B15)</f>
        <v>69</v>
      </c>
      <c r="H2" s="268"/>
    </row>
    <row r="3" spans="1:11" ht="15" thickBot="1" x14ac:dyDescent="0.4">
      <c r="C3" s="267"/>
      <c r="D3" s="268"/>
      <c r="E3" s="267"/>
      <c r="F3" s="268"/>
      <c r="G3" s="267"/>
      <c r="H3" s="268"/>
      <c r="J3" s="111" t="s">
        <v>28</v>
      </c>
      <c r="K3" s="111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54700</v>
      </c>
      <c r="D4" s="79">
        <f t="shared" ref="D4:H27" si="0">IF(C4="","",0)</f>
        <v>0</v>
      </c>
      <c r="E4" s="189">
        <v>30300</v>
      </c>
      <c r="F4" s="79">
        <f t="shared" si="0"/>
        <v>0</v>
      </c>
      <c r="G4" s="189">
        <v>77450</v>
      </c>
      <c r="H4" s="79">
        <v>1000</v>
      </c>
      <c r="J4" s="42">
        <f t="shared" ref="J4:J8" si="1">+C4+E4+G4</f>
        <v>162450</v>
      </c>
      <c r="K4" s="42">
        <f>IF(D4="",0,IF(F4="",D4,IF(H4="",D4+F4,D4+F4+H4)))</f>
        <v>1000</v>
      </c>
    </row>
    <row r="5" spans="1:11" x14ac:dyDescent="0.35">
      <c r="A5" s="47">
        <v>2</v>
      </c>
      <c r="B5" s="178" t="str">
        <f>Vendedor2!$B$2</f>
        <v>PUESTO 2</v>
      </c>
      <c r="C5" s="180">
        <v>38450</v>
      </c>
      <c r="D5" s="30">
        <v>250</v>
      </c>
      <c r="E5" s="180">
        <v>35650</v>
      </c>
      <c r="F5" s="30">
        <v>500</v>
      </c>
      <c r="G5" s="180">
        <v>90250</v>
      </c>
      <c r="H5" s="30">
        <v>750</v>
      </c>
      <c r="J5" s="42">
        <f t="shared" si="1"/>
        <v>164350</v>
      </c>
      <c r="K5" s="42">
        <f t="shared" ref="K5:K27" si="2">IF(D5="",0,IF(F5="",D5,IF(H5="",D5+F5,D5+F5+H5)))</f>
        <v>1500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72400</v>
      </c>
      <c r="D8" s="30">
        <v>500</v>
      </c>
      <c r="E8" s="180">
        <v>65650</v>
      </c>
      <c r="F8" s="30">
        <v>400</v>
      </c>
      <c r="G8" s="180">
        <v>67400</v>
      </c>
      <c r="H8" s="30">
        <v>1200</v>
      </c>
      <c r="J8" s="42">
        <f t="shared" si="1"/>
        <v>205450</v>
      </c>
      <c r="K8" s="42">
        <f t="shared" si="2"/>
        <v>2100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63600+105400</f>
        <v>169000</v>
      </c>
      <c r="D10" s="30">
        <f>4500+1850</f>
        <v>6350</v>
      </c>
      <c r="E10" s="180">
        <f>33700+104000</f>
        <v>137700</v>
      </c>
      <c r="F10" s="30">
        <f>750+1150</f>
        <v>1900</v>
      </c>
      <c r="G10" s="180">
        <f>78000+107000</f>
        <v>185000</v>
      </c>
      <c r="H10" s="30">
        <v>1300</v>
      </c>
      <c r="J10" s="42">
        <f t="shared" si="3"/>
        <v>491700</v>
      </c>
      <c r="K10" s="42">
        <f t="shared" si="2"/>
        <v>9550</v>
      </c>
    </row>
    <row r="11" spans="1:11" x14ac:dyDescent="0.35">
      <c r="A11" s="47">
        <v>8</v>
      </c>
      <c r="B11" s="178" t="str">
        <f>Vendedor8!$B$2</f>
        <v>ISA</v>
      </c>
      <c r="C11" s="180">
        <v>12000</v>
      </c>
      <c r="D11" s="30">
        <f t="shared" si="0"/>
        <v>0</v>
      </c>
      <c r="E11" s="180"/>
      <c r="F11" s="30" t="str">
        <f t="shared" si="0"/>
        <v/>
      </c>
      <c r="G11" s="180">
        <v>37000</v>
      </c>
      <c r="H11" s="30">
        <f t="shared" si="0"/>
        <v>0</v>
      </c>
      <c r="J11" s="42">
        <f t="shared" si="3"/>
        <v>49000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10200</v>
      </c>
      <c r="D12" s="30">
        <f t="shared" si="0"/>
        <v>0</v>
      </c>
      <c r="E12" s="180">
        <v>4500</v>
      </c>
      <c r="F12" s="30">
        <f t="shared" si="0"/>
        <v>0</v>
      </c>
      <c r="G12" s="180">
        <v>10300</v>
      </c>
      <c r="H12" s="30">
        <f t="shared" si="0"/>
        <v>0</v>
      </c>
      <c r="J12" s="42">
        <f t="shared" si="3"/>
        <v>25000</v>
      </c>
      <c r="K12" s="42">
        <f t="shared" si="2"/>
        <v>0</v>
      </c>
    </row>
    <row r="13" spans="1:11" x14ac:dyDescent="0.35">
      <c r="A13" s="47">
        <v>10</v>
      </c>
      <c r="B13" s="178" t="str">
        <f>Vendedor10!$B$2</f>
        <v>MARIALIZ</v>
      </c>
      <c r="C13" s="180">
        <v>46550</v>
      </c>
      <c r="D13" s="30">
        <v>400</v>
      </c>
      <c r="E13" s="180">
        <v>27650</v>
      </c>
      <c r="F13" s="30">
        <v>100</v>
      </c>
      <c r="G13" s="180">
        <v>40050</v>
      </c>
      <c r="H13" s="30">
        <f t="shared" si="0"/>
        <v>0</v>
      </c>
      <c r="J13" s="42">
        <f t="shared" si="3"/>
        <v>114250</v>
      </c>
      <c r="K13" s="42">
        <f t="shared" si="2"/>
        <v>500</v>
      </c>
    </row>
    <row r="14" spans="1:11" x14ac:dyDescent="0.35">
      <c r="A14" s="47">
        <v>11</v>
      </c>
      <c r="B14" s="178" t="str">
        <f>Vendedor11!$B$2</f>
        <v>CHARLY</v>
      </c>
      <c r="C14" s="180">
        <v>43600</v>
      </c>
      <c r="D14" s="30">
        <f t="shared" si="0"/>
        <v>0</v>
      </c>
      <c r="E14" s="180">
        <v>32100</v>
      </c>
      <c r="F14" s="30">
        <f t="shared" si="0"/>
        <v>0</v>
      </c>
      <c r="G14" s="180">
        <v>39350</v>
      </c>
      <c r="H14" s="30">
        <v>500</v>
      </c>
      <c r="J14" s="42">
        <f t="shared" si="3"/>
        <v>115050</v>
      </c>
      <c r="K14" s="42">
        <f t="shared" si="2"/>
        <v>500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>
        <v>12000</v>
      </c>
      <c r="H15" s="30">
        <v>100</v>
      </c>
      <c r="J15" s="42">
        <f t="shared" si="3"/>
        <v>12000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21500</v>
      </c>
      <c r="D16" s="30">
        <f t="shared" si="0"/>
        <v>0</v>
      </c>
      <c r="E16" s="180">
        <v>10250</v>
      </c>
      <c r="F16" s="30">
        <v>250</v>
      </c>
      <c r="G16" s="180">
        <v>38500</v>
      </c>
      <c r="H16" s="30">
        <v>450</v>
      </c>
      <c r="J16" s="42">
        <f t="shared" si="3"/>
        <v>70250</v>
      </c>
      <c r="K16" s="42">
        <f t="shared" si="2"/>
        <v>700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f>111000+35200</f>
        <v>146200</v>
      </c>
      <c r="D17" s="30">
        <f>1200+0</f>
        <v>1200</v>
      </c>
      <c r="E17" s="180">
        <f>96150+12800</f>
        <v>108950</v>
      </c>
      <c r="F17" s="30">
        <f>500+0</f>
        <v>500</v>
      </c>
      <c r="G17" s="180">
        <f>147250+26950</f>
        <v>174200</v>
      </c>
      <c r="H17" s="30">
        <f>1350+300</f>
        <v>1650</v>
      </c>
      <c r="J17" s="42">
        <f t="shared" si="3"/>
        <v>429350</v>
      </c>
      <c r="K17" s="42">
        <f t="shared" si="2"/>
        <v>3350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f>32950+14900</f>
        <v>47850</v>
      </c>
      <c r="D18" s="30">
        <f t="shared" si="0"/>
        <v>0</v>
      </c>
      <c r="E18" s="180">
        <f>28200+9500</f>
        <v>37700</v>
      </c>
      <c r="F18" s="30">
        <f t="shared" si="0"/>
        <v>0</v>
      </c>
      <c r="G18" s="180">
        <f>37200+15600</f>
        <v>52800</v>
      </c>
      <c r="H18" s="30">
        <f>50+100</f>
        <v>150</v>
      </c>
      <c r="J18" s="42">
        <f t="shared" si="3"/>
        <v>138350</v>
      </c>
      <c r="K18" s="42">
        <f t="shared" si="2"/>
        <v>150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662450</v>
      </c>
      <c r="D32" s="44">
        <f t="shared" si="6"/>
        <v>8700</v>
      </c>
      <c r="E32" s="43">
        <f t="shared" si="6"/>
        <v>490450</v>
      </c>
      <c r="F32" s="44">
        <f t="shared" si="6"/>
        <v>3650</v>
      </c>
      <c r="G32" s="43">
        <f t="shared" si="6"/>
        <v>824300</v>
      </c>
      <c r="H32" s="44">
        <f t="shared" si="6"/>
        <v>7100</v>
      </c>
      <c r="J32" s="96">
        <f>SUM(J4:J31)</f>
        <v>1977200</v>
      </c>
      <c r="K32" s="96"/>
    </row>
    <row r="33" spans="2:8" x14ac:dyDescent="0.35">
      <c r="D33" s="100">
        <f>+D32*85</f>
        <v>739500</v>
      </c>
      <c r="F33" s="100">
        <f>+F32*85</f>
        <v>310250</v>
      </c>
      <c r="H33" s="100">
        <f>+H32*85</f>
        <v>603500</v>
      </c>
    </row>
    <row r="34" spans="2:8" x14ac:dyDescent="0.35">
      <c r="B34" s="248" t="s">
        <v>149</v>
      </c>
      <c r="C34" s="43">
        <f t="shared" ref="C34:H34" si="7">+C4+C5+C6+C8+C13</f>
        <v>212100</v>
      </c>
      <c r="D34" s="43" t="e">
        <f t="shared" si="7"/>
        <v>#VALUE!</v>
      </c>
      <c r="E34" s="43">
        <f t="shared" si="7"/>
        <v>159250</v>
      </c>
      <c r="F34" s="43" t="e">
        <f t="shared" si="7"/>
        <v>#VALUE!</v>
      </c>
      <c r="G34" s="43">
        <f t="shared" si="7"/>
        <v>275150</v>
      </c>
      <c r="H34" s="43" t="e">
        <f t="shared" si="7"/>
        <v>#VALUE!</v>
      </c>
    </row>
    <row r="35" spans="2:8" x14ac:dyDescent="0.35">
      <c r="B35" s="248" t="s">
        <v>150</v>
      </c>
      <c r="C35" s="43">
        <f>+C11+C14+C15+C17+C18</f>
        <v>249650</v>
      </c>
      <c r="D35" s="43" t="e">
        <f t="shared" ref="D35:H35" si="8">+D11+D14+D15+D17+D18</f>
        <v>#VALUE!</v>
      </c>
      <c r="E35" s="43">
        <f t="shared" si="8"/>
        <v>178750</v>
      </c>
      <c r="F35" s="43" t="e">
        <f t="shared" si="8"/>
        <v>#VALUE!</v>
      </c>
      <c r="G35" s="43">
        <f t="shared" si="8"/>
        <v>315350</v>
      </c>
      <c r="H35" s="43">
        <f t="shared" si="8"/>
        <v>2400</v>
      </c>
    </row>
    <row r="36" spans="2:8" x14ac:dyDescent="0.35">
      <c r="B36" s="248" t="s">
        <v>151</v>
      </c>
      <c r="C36" s="43">
        <f>+C10+C12+C27</f>
        <v>179200</v>
      </c>
      <c r="D36" s="43" t="e">
        <f t="shared" ref="D36:H36" si="9">+D10+D12+D27</f>
        <v>#VALUE!</v>
      </c>
      <c r="E36" s="43">
        <f t="shared" si="9"/>
        <v>142200</v>
      </c>
      <c r="F36" s="43" t="e">
        <f t="shared" si="9"/>
        <v>#VALUE!</v>
      </c>
      <c r="G36" s="43">
        <f t="shared" si="9"/>
        <v>195300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7B6F0-4D0E-4EA7-8789-F54188FFFE47}">
  <sheetPr codeName="Hoja52"/>
  <dimension ref="A1:M32"/>
  <sheetViews>
    <sheetView showGridLines="0" zoomScale="90" zoomScaleNormal="90" workbookViewId="0">
      <selection activeCell="I15" sqref="I15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10" width="12.54296875" customWidth="1"/>
    <col min="11" max="11" width="3.6328125" customWidth="1"/>
    <col min="12" max="13" width="12.6328125" customWidth="1"/>
    <col min="14" max="14" width="3.6328125" customWidth="1"/>
  </cols>
  <sheetData>
    <row r="1" spans="1:13" x14ac:dyDescent="0.35">
      <c r="A1" s="80" t="s">
        <v>22</v>
      </c>
      <c r="B1" s="80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x14ac:dyDescent="0.35">
      <c r="C2" s="267">
        <f>IF(PREMIOS!$B5="","",PREMIOS!$B5)</f>
        <v>70</v>
      </c>
      <c r="D2" s="268"/>
      <c r="E2" s="267">
        <f>IF(PREMIOS!$B9="","",PREMIOS!$B9)</f>
        <v>82</v>
      </c>
      <c r="F2" s="268"/>
      <c r="G2" s="267">
        <f>IF(PREMIOS!$B13="","",PREMIOS!$B13)</f>
        <v>77</v>
      </c>
      <c r="H2" s="268"/>
      <c r="I2" s="267">
        <f>IF(PREMIOS!$B17="","",PREMIOS!$B17)</f>
        <v>58</v>
      </c>
      <c r="J2" s="268"/>
    </row>
    <row r="3" spans="1:13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26200</v>
      </c>
      <c r="D4" s="79">
        <f t="shared" ref="D4:J27" si="0">IF(C4="","",0)</f>
        <v>0</v>
      </c>
      <c r="E4" s="206">
        <v>4400</v>
      </c>
      <c r="F4" s="79">
        <f t="shared" si="0"/>
        <v>0</v>
      </c>
      <c r="G4" s="189">
        <v>6500</v>
      </c>
      <c r="H4" s="79">
        <f t="shared" ref="H4:H27" si="1">IF(G4="","",0)</f>
        <v>0</v>
      </c>
      <c r="I4" s="189">
        <v>1500</v>
      </c>
      <c r="J4" s="79">
        <v>500</v>
      </c>
      <c r="L4" s="42">
        <f t="shared" ref="L4:L8" si="2">+C4+E4+G4+I4</f>
        <v>38600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8" t="str">
        <f>Vendedor2!$B$2</f>
        <v>PUESTO 2</v>
      </c>
      <c r="C5" s="180">
        <v>14050</v>
      </c>
      <c r="D5" s="30">
        <f t="shared" si="0"/>
        <v>0</v>
      </c>
      <c r="E5" s="207">
        <v>6100</v>
      </c>
      <c r="F5" s="30">
        <f t="shared" si="0"/>
        <v>0</v>
      </c>
      <c r="G5" s="180">
        <v>5000</v>
      </c>
      <c r="H5" s="30">
        <f t="shared" si="1"/>
        <v>0</v>
      </c>
      <c r="I5" s="180">
        <v>500</v>
      </c>
      <c r="J5" s="30">
        <f t="shared" ref="J5:J27" si="3">IF(I5="","",0)</f>
        <v>0</v>
      </c>
      <c r="L5" s="42">
        <f t="shared" si="2"/>
        <v>25650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65700</v>
      </c>
      <c r="D8" s="30">
        <v>1550</v>
      </c>
      <c r="E8" s="207">
        <v>56100</v>
      </c>
      <c r="F8" s="30">
        <v>500</v>
      </c>
      <c r="G8" s="180">
        <v>17200</v>
      </c>
      <c r="H8" s="30">
        <f t="shared" si="1"/>
        <v>0</v>
      </c>
      <c r="I8" s="180">
        <v>35500</v>
      </c>
      <c r="J8" s="30">
        <v>600</v>
      </c>
      <c r="L8" s="42">
        <f t="shared" si="2"/>
        <v>174500</v>
      </c>
      <c r="M8" s="42">
        <f t="shared" si="4"/>
        <v>2650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37100+79350</f>
        <v>116450</v>
      </c>
      <c r="D10" s="30">
        <f>1600+950</f>
        <v>2550</v>
      </c>
      <c r="E10" s="207">
        <f>31500+72050</f>
        <v>103550</v>
      </c>
      <c r="F10" s="30">
        <v>100</v>
      </c>
      <c r="G10" s="180">
        <f>23100+34250</f>
        <v>57350</v>
      </c>
      <c r="H10" s="30">
        <v>550</v>
      </c>
      <c r="I10" s="180">
        <f>50500+66150</f>
        <v>116650</v>
      </c>
      <c r="J10" s="30">
        <v>5200</v>
      </c>
      <c r="L10" s="42">
        <f t="shared" si="5"/>
        <v>394000</v>
      </c>
      <c r="M10" s="42">
        <f t="shared" si="4"/>
        <v>8400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29400</v>
      </c>
      <c r="D12" s="30">
        <v>1000</v>
      </c>
      <c r="E12" s="207">
        <v>4500</v>
      </c>
      <c r="F12" s="30">
        <f t="shared" si="0"/>
        <v>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33900</v>
      </c>
      <c r="M12" s="42">
        <f t="shared" si="4"/>
        <v>1000</v>
      </c>
    </row>
    <row r="13" spans="1:13" x14ac:dyDescent="0.35">
      <c r="A13" s="47">
        <v>10</v>
      </c>
      <c r="B13" s="178" t="str">
        <f>Vendedor10!$B$2</f>
        <v>MARIALIZ</v>
      </c>
      <c r="C13" s="180">
        <v>21200</v>
      </c>
      <c r="D13" s="30">
        <f t="shared" si="0"/>
        <v>0</v>
      </c>
      <c r="E13" s="207">
        <v>28000</v>
      </c>
      <c r="F13" s="30">
        <f t="shared" si="0"/>
        <v>0</v>
      </c>
      <c r="G13" s="180">
        <v>9700</v>
      </c>
      <c r="H13" s="30">
        <f t="shared" si="0"/>
        <v>0</v>
      </c>
      <c r="I13" s="180">
        <v>3900</v>
      </c>
      <c r="J13" s="30">
        <v>200</v>
      </c>
      <c r="L13" s="42">
        <f t="shared" si="5"/>
        <v>62800</v>
      </c>
      <c r="M13" s="42">
        <f t="shared" si="4"/>
        <v>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2">
        <f t="shared" si="5"/>
        <v>0</v>
      </c>
      <c r="M14" s="112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>
        <v>4800</v>
      </c>
      <c r="D15" s="30">
        <f t="shared" si="0"/>
        <v>0</v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4800</v>
      </c>
      <c r="M15" s="42">
        <f t="shared" si="4"/>
        <v>0</v>
      </c>
    </row>
    <row r="16" spans="1:13" x14ac:dyDescent="0.35">
      <c r="A16" s="47">
        <v>13</v>
      </c>
      <c r="B16" s="178" t="str">
        <f>Vendedor13!$B$2</f>
        <v>MINERO</v>
      </c>
      <c r="C16" s="180">
        <v>8500</v>
      </c>
      <c r="D16" s="30">
        <v>1000</v>
      </c>
      <c r="E16" s="207">
        <v>2300</v>
      </c>
      <c r="F16" s="30">
        <f t="shared" si="0"/>
        <v>0</v>
      </c>
      <c r="G16" s="180">
        <v>3500</v>
      </c>
      <c r="H16" s="30">
        <f t="shared" si="0"/>
        <v>0</v>
      </c>
      <c r="I16" s="180">
        <v>31000</v>
      </c>
      <c r="J16" s="30">
        <f t="shared" si="0"/>
        <v>0</v>
      </c>
      <c r="L16" s="42">
        <f t="shared" si="5"/>
        <v>45300</v>
      </c>
      <c r="M16" s="42">
        <f t="shared" si="4"/>
        <v>1000</v>
      </c>
    </row>
    <row r="17" spans="1:13" x14ac:dyDescent="0.35">
      <c r="A17" s="47">
        <v>14</v>
      </c>
      <c r="B17" s="178" t="str">
        <f>Vendedor14!$B$2</f>
        <v>EDUARDO TIEMPOS LICORERA</v>
      </c>
      <c r="C17" s="180">
        <v>97000</v>
      </c>
      <c r="D17" s="30">
        <v>2900</v>
      </c>
      <c r="E17" s="207">
        <v>97700</v>
      </c>
      <c r="F17" s="30">
        <v>400</v>
      </c>
      <c r="G17" s="180">
        <v>53600</v>
      </c>
      <c r="H17" s="30">
        <v>650</v>
      </c>
      <c r="I17" s="180">
        <v>159150</v>
      </c>
      <c r="J17" s="30">
        <v>100</v>
      </c>
      <c r="L17" s="42">
        <f t="shared" si="5"/>
        <v>407450</v>
      </c>
      <c r="M17" s="42">
        <f t="shared" si="4"/>
        <v>4050</v>
      </c>
    </row>
    <row r="18" spans="1:13" x14ac:dyDescent="0.35">
      <c r="A18" s="47">
        <v>15</v>
      </c>
      <c r="B18" s="178" t="str">
        <f>Vendedor15!$B$2</f>
        <v>EDUARDO PUESTO CENTRO</v>
      </c>
      <c r="C18" s="180">
        <v>38650</v>
      </c>
      <c r="D18" s="30">
        <v>1900</v>
      </c>
      <c r="E18" s="207">
        <v>51600</v>
      </c>
      <c r="F18" s="30">
        <f t="shared" si="0"/>
        <v>0</v>
      </c>
      <c r="G18" s="180">
        <v>38200</v>
      </c>
      <c r="H18" s="30">
        <v>200</v>
      </c>
      <c r="I18" s="180">
        <v>17100</v>
      </c>
      <c r="J18" s="30">
        <v>1000</v>
      </c>
      <c r="L18" s="42">
        <f t="shared" si="5"/>
        <v>145550</v>
      </c>
      <c r="M18" s="42">
        <f t="shared" si="4"/>
        <v>3100</v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421950</v>
      </c>
      <c r="D32" s="44">
        <f t="shared" si="7"/>
        <v>10900</v>
      </c>
      <c r="E32" s="43">
        <f t="shared" si="7"/>
        <v>354250</v>
      </c>
      <c r="F32" s="44">
        <f t="shared" si="7"/>
        <v>1000</v>
      </c>
      <c r="G32" s="43">
        <f t="shared" si="7"/>
        <v>191050</v>
      </c>
      <c r="H32" s="44">
        <f t="shared" si="7"/>
        <v>1400</v>
      </c>
      <c r="I32" s="43">
        <f t="shared" si="7"/>
        <v>365300</v>
      </c>
      <c r="J32" s="44">
        <f t="shared" si="7"/>
        <v>7600</v>
      </c>
      <c r="L32" s="96">
        <f>SUM(L9:L31)</f>
        <v>1093800</v>
      </c>
      <c r="M32" s="96">
        <f>SUM(M9:M31)</f>
        <v>17550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95EF-EBB8-44B0-A420-D8F15CBE39AE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80" t="s">
        <v>38</v>
      </c>
      <c r="B1" s="80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14.5" customHeight="1" x14ac:dyDescent="0.35">
      <c r="C2" s="267" t="str">
        <f>IF(C33=0,"",CONCATENATE(PREMIOS!$B7," ",PREMIOS!$B8))</f>
        <v>33 Blanca</v>
      </c>
      <c r="D2" s="268"/>
      <c r="E2" s="267" t="str">
        <f>IF(E33=0,"",CONCATENATE(PREMIOS!$B11," ",PREMIOS!$B12))</f>
        <v>27 Blanca</v>
      </c>
      <c r="F2" s="268"/>
      <c r="G2" s="267" t="str">
        <f>IF(G33=0,"",CONCATENATE(PREMIOS!$B15," ",PREMIOS!$B16))</f>
        <v>69 Roja</v>
      </c>
      <c r="H2" s="268"/>
    </row>
    <row r="3" spans="1:11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16800+3800</f>
        <v>20600</v>
      </c>
      <c r="D10" s="30">
        <f t="shared" si="0"/>
        <v>0</v>
      </c>
      <c r="E10" s="180">
        <f>14900+7850</f>
        <v>22750</v>
      </c>
      <c r="F10" s="30">
        <v>250</v>
      </c>
      <c r="G10" s="180">
        <f>23500+12750</f>
        <v>36250</v>
      </c>
      <c r="H10" s="30">
        <f t="shared" si="0"/>
        <v>0</v>
      </c>
      <c r="J10" s="42">
        <f t="shared" si="3"/>
        <v>79600</v>
      </c>
      <c r="K10" s="42">
        <f t="shared" si="4"/>
        <v>250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1500</v>
      </c>
      <c r="D12" s="30">
        <f t="shared" si="0"/>
        <v>0</v>
      </c>
      <c r="E12" s="180"/>
      <c r="F12" s="30" t="str">
        <f t="shared" si="1"/>
        <v/>
      </c>
      <c r="G12" s="180">
        <v>500</v>
      </c>
      <c r="H12" s="30">
        <f t="shared" si="0"/>
        <v>0</v>
      </c>
      <c r="J12" s="42">
        <f t="shared" si="3"/>
        <v>2000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200</v>
      </c>
      <c r="D16" s="195">
        <f t="shared" si="0"/>
        <v>0</v>
      </c>
      <c r="E16" s="194">
        <v>0</v>
      </c>
      <c r="F16" s="195">
        <f t="shared" si="1"/>
        <v>0</v>
      </c>
      <c r="G16" s="194">
        <v>0</v>
      </c>
      <c r="H16" s="195">
        <f t="shared" si="0"/>
        <v>0</v>
      </c>
      <c r="J16" s="42">
        <f t="shared" si="3"/>
        <v>200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v>27400</v>
      </c>
      <c r="D17" s="30">
        <f t="shared" si="0"/>
        <v>0</v>
      </c>
      <c r="E17" s="180">
        <v>12800</v>
      </c>
      <c r="F17" s="30">
        <f t="shared" si="0"/>
        <v>0</v>
      </c>
      <c r="G17" s="180">
        <v>19300</v>
      </c>
      <c r="H17" s="30">
        <v>300</v>
      </c>
      <c r="J17" s="42">
        <f t="shared" si="3"/>
        <v>59500</v>
      </c>
      <c r="K17" s="42">
        <f t="shared" si="4"/>
        <v>300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11900</v>
      </c>
      <c r="D18" s="30">
        <f t="shared" si="0"/>
        <v>0</v>
      </c>
      <c r="E18" s="180">
        <v>9500</v>
      </c>
      <c r="F18" s="30">
        <f t="shared" si="0"/>
        <v>0</v>
      </c>
      <c r="G18" s="180">
        <v>15600</v>
      </c>
      <c r="H18" s="30">
        <v>100</v>
      </c>
      <c r="J18" s="42">
        <f t="shared" si="3"/>
        <v>37000</v>
      </c>
      <c r="K18" s="42">
        <f t="shared" si="4"/>
        <v>100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61600</v>
      </c>
      <c r="D33" s="44">
        <f t="shared" si="7"/>
        <v>0</v>
      </c>
      <c r="E33" s="43">
        <f t="shared" si="7"/>
        <v>45050</v>
      </c>
      <c r="F33" s="44">
        <f t="shared" si="7"/>
        <v>250</v>
      </c>
      <c r="G33" s="43">
        <f t="shared" si="7"/>
        <v>71650</v>
      </c>
      <c r="H33" s="44">
        <f t="shared" si="7"/>
        <v>400</v>
      </c>
      <c r="J33" s="45">
        <f>SUM(J4:J32)</f>
        <v>178300</v>
      </c>
      <c r="K33" s="96">
        <f>SUM(K4:K32)</f>
        <v>650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AF75-6CD1-4FE3-8085-429DD720DFF2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80" t="s">
        <v>38</v>
      </c>
      <c r="B1" s="80"/>
      <c r="C1" s="271" t="s">
        <v>97</v>
      </c>
      <c r="D1" s="272"/>
      <c r="E1" s="271" t="s">
        <v>98</v>
      </c>
      <c r="F1" s="272"/>
    </row>
    <row r="2" spans="1:9" x14ac:dyDescent="0.35">
      <c r="C2" s="267">
        <f>IF(PREMIOS!$B19="","",PREMIOS!$B19)</f>
        <v>36</v>
      </c>
      <c r="D2" s="268"/>
      <c r="E2" s="267">
        <f>IF(PREMIOS!$C19="","",PREMIOS!$C19)</f>
        <v>12</v>
      </c>
      <c r="F2" s="268"/>
    </row>
    <row r="3" spans="1:9" ht="15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5400</v>
      </c>
      <c r="D4" s="79">
        <f t="shared" ref="D4:F27" si="0">IF(C4="","",0)</f>
        <v>0</v>
      </c>
      <c r="E4" s="189"/>
      <c r="F4" s="79" t="str">
        <f t="shared" si="0"/>
        <v/>
      </c>
      <c r="H4" s="42">
        <f>+C4+E4</f>
        <v>5400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>
        <v>500</v>
      </c>
      <c r="D5" s="30">
        <f t="shared" si="0"/>
        <v>0</v>
      </c>
      <c r="E5" s="180"/>
      <c r="F5" s="30" t="str">
        <f t="shared" ref="F5:F27" si="1">IF(E5="","",0)</f>
        <v/>
      </c>
      <c r="H5" s="42">
        <f t="shared" ref="H5:H32" si="2">+C5+E5</f>
        <v>500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4" t="str">
        <f t="shared" si="0"/>
        <v/>
      </c>
      <c r="E7" s="193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21400</v>
      </c>
      <c r="D8" s="30">
        <f t="shared" si="0"/>
        <v>0</v>
      </c>
      <c r="E8" s="194">
        <v>6050</v>
      </c>
      <c r="F8" s="195">
        <v>400</v>
      </c>
      <c r="H8" s="42">
        <f t="shared" si="2"/>
        <v>27450</v>
      </c>
      <c r="I8" s="42">
        <f t="shared" si="3"/>
        <v>400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f>9500+31250</f>
        <v>40750</v>
      </c>
      <c r="D10" s="30">
        <f t="shared" si="0"/>
        <v>0</v>
      </c>
      <c r="E10" s="180">
        <f>14150+15600</f>
        <v>29750</v>
      </c>
      <c r="F10" s="195">
        <v>150</v>
      </c>
      <c r="H10" s="42">
        <f t="shared" si="2"/>
        <v>70500</v>
      </c>
      <c r="I10" s="42">
        <f t="shared" si="3"/>
        <v>150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16600</v>
      </c>
      <c r="D12" s="30">
        <f t="shared" si="0"/>
        <v>0</v>
      </c>
      <c r="E12" s="194"/>
      <c r="F12" s="30" t="str">
        <f t="shared" si="0"/>
        <v/>
      </c>
      <c r="H12" s="42">
        <f t="shared" si="2"/>
        <v>16600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4" t="str">
        <f t="shared" si="0"/>
        <v/>
      </c>
      <c r="E13" s="193"/>
      <c r="F13" s="84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4" t="str">
        <f t="shared" si="0"/>
        <v/>
      </c>
      <c r="E14" s="193"/>
      <c r="F14" s="84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4" t="str">
        <f t="shared" si="0"/>
        <v/>
      </c>
      <c r="E15" s="193"/>
      <c r="F15" s="84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>
        <v>7600</v>
      </c>
      <c r="D16" s="195">
        <f t="shared" si="0"/>
        <v>0</v>
      </c>
      <c r="E16" s="194">
        <v>2000</v>
      </c>
      <c r="F16" s="30">
        <f t="shared" si="0"/>
        <v>0</v>
      </c>
      <c r="H16" s="42">
        <f t="shared" si="2"/>
        <v>9600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>
        <v>94400</v>
      </c>
      <c r="D17" s="195">
        <v>600</v>
      </c>
      <c r="E17" s="180">
        <v>24150</v>
      </c>
      <c r="F17" s="30">
        <f t="shared" si="0"/>
        <v>0</v>
      </c>
      <c r="H17" s="42">
        <f t="shared" si="2"/>
        <v>118550</v>
      </c>
      <c r="I17" s="42">
        <f t="shared" si="3"/>
        <v>600</v>
      </c>
    </row>
    <row r="18" spans="1:9" x14ac:dyDescent="0.35">
      <c r="A18" s="47">
        <v>15</v>
      </c>
      <c r="B18" s="178" t="str">
        <f>Vendedor15!$B$2</f>
        <v>EDUARDO PUESTO CENTRO</v>
      </c>
      <c r="C18" s="180">
        <v>31500</v>
      </c>
      <c r="D18" s="195">
        <f t="shared" si="0"/>
        <v>0</v>
      </c>
      <c r="E18" s="180">
        <v>32000</v>
      </c>
      <c r="F18" s="30">
        <v>600</v>
      </c>
      <c r="H18" s="42">
        <f t="shared" si="2"/>
        <v>63500</v>
      </c>
      <c r="I18" s="42">
        <f t="shared" si="3"/>
        <v>600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218150</v>
      </c>
      <c r="D33" s="44">
        <f>SUM(D4:D32)</f>
        <v>600</v>
      </c>
      <c r="E33" s="43">
        <f>SUM(E4:E32)</f>
        <v>93950</v>
      </c>
      <c r="F33" s="44">
        <f>SUM(F4:F32)</f>
        <v>1150</v>
      </c>
      <c r="H33" s="96">
        <f>SUM(H4:H32)</f>
        <v>312100</v>
      </c>
      <c r="I33" s="96">
        <f>SUM(I4:I32)</f>
        <v>1750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C10-856F-4B96-A2A5-2AB20FBCD38E}">
  <sheetPr codeName="Hoja55"/>
  <dimension ref="A1:K33"/>
  <sheetViews>
    <sheetView showGridLines="0" topLeftCell="A2" zoomScale="90" zoomScaleNormal="90" workbookViewId="0">
      <selection activeCell="G15" sqref="G15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80" t="s">
        <v>38</v>
      </c>
      <c r="B1" s="80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x14ac:dyDescent="0.35">
      <c r="C2" s="267">
        <f>IF(PREMIOS!$B20="","",PREMIOS!$B20)</f>
        <v>85</v>
      </c>
      <c r="D2" s="268"/>
      <c r="E2" s="267">
        <f>IF(PREMIOS!$C20="","",PREMIOS!$C20)</f>
        <v>88</v>
      </c>
      <c r="F2" s="268"/>
      <c r="G2" s="267">
        <f>IF(PREMIOS!$D20="","",PREMIOS!$D20)</f>
        <v>83</v>
      </c>
      <c r="H2" s="268"/>
    </row>
    <row r="3" spans="1:11" ht="15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4" t="str">
        <f t="shared" si="0"/>
        <v/>
      </c>
      <c r="E5" s="193"/>
      <c r="F5" s="84" t="str">
        <f t="shared" si="1"/>
        <v/>
      </c>
      <c r="G5" s="193"/>
      <c r="H5" s="8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4" t="str">
        <f t="shared" si="0"/>
        <v/>
      </c>
      <c r="E6" s="193"/>
      <c r="F6" s="84" t="str">
        <f t="shared" si="1"/>
        <v/>
      </c>
      <c r="G6" s="193"/>
      <c r="H6" s="8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4" t="str">
        <f t="shared" si="0"/>
        <v/>
      </c>
      <c r="E7" s="193"/>
      <c r="F7" s="84" t="str">
        <f t="shared" si="1"/>
        <v/>
      </c>
      <c r="G7" s="193"/>
      <c r="H7" s="8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4" t="str">
        <f t="shared" si="0"/>
        <v/>
      </c>
      <c r="E8" s="193"/>
      <c r="F8" s="84" t="str">
        <f t="shared" si="1"/>
        <v/>
      </c>
      <c r="G8" s="193"/>
      <c r="H8" s="8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4" t="str">
        <f t="shared" si="0"/>
        <v/>
      </c>
      <c r="E9" s="193"/>
      <c r="F9" s="84" t="str">
        <f t="shared" si="1"/>
        <v/>
      </c>
      <c r="G9" s="193"/>
      <c r="H9" s="84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4000+13650</f>
        <v>17650</v>
      </c>
      <c r="D10" s="195">
        <f t="shared" si="0"/>
        <v>0</v>
      </c>
      <c r="E10" s="180">
        <v>7500</v>
      </c>
      <c r="F10" s="30">
        <f t="shared" si="0"/>
        <v>0</v>
      </c>
      <c r="G10" s="180">
        <v>9950</v>
      </c>
      <c r="H10" s="195">
        <f t="shared" si="0"/>
        <v>0</v>
      </c>
      <c r="J10" s="42">
        <f t="shared" si="3"/>
        <v>35100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193"/>
      <c r="D11" s="84" t="str">
        <f t="shared" si="0"/>
        <v/>
      </c>
      <c r="E11" s="193"/>
      <c r="F11" s="84" t="str">
        <f t="shared" si="1"/>
        <v/>
      </c>
      <c r="G11" s="193"/>
      <c r="H11" s="84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/>
      <c r="D12" s="195" t="str">
        <f t="shared" si="0"/>
        <v/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4" t="str">
        <f t="shared" si="0"/>
        <v/>
      </c>
      <c r="E13" s="193"/>
      <c r="F13" s="84" t="str">
        <f t="shared" si="1"/>
        <v/>
      </c>
      <c r="G13" s="193"/>
      <c r="H13" s="84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4" t="str">
        <f t="shared" si="0"/>
        <v/>
      </c>
      <c r="E14" s="193"/>
      <c r="F14" s="84" t="str">
        <f t="shared" si="1"/>
        <v/>
      </c>
      <c r="G14" s="193"/>
      <c r="H14" s="84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4" t="str">
        <f t="shared" si="0"/>
        <v/>
      </c>
      <c r="E15" s="193"/>
      <c r="F15" s="84" t="str">
        <f t="shared" si="1"/>
        <v/>
      </c>
      <c r="G15" s="193"/>
      <c r="H15" s="84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3"/>
      <c r="D16" s="84" t="str">
        <f t="shared" si="0"/>
        <v/>
      </c>
      <c r="E16" s="193"/>
      <c r="F16" s="84" t="str">
        <f t="shared" si="1"/>
        <v/>
      </c>
      <c r="G16" s="193"/>
      <c r="H16" s="84" t="str">
        <f t="shared" si="2"/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v>60300</v>
      </c>
      <c r="D17" s="30">
        <v>250</v>
      </c>
      <c r="E17" s="180">
        <v>8700</v>
      </c>
      <c r="F17" s="30">
        <v>1250</v>
      </c>
      <c r="G17" s="180">
        <v>16350</v>
      </c>
      <c r="H17" s="30">
        <v>600</v>
      </c>
      <c r="J17" s="42">
        <f t="shared" si="3"/>
        <v>85350</v>
      </c>
      <c r="K17" s="42">
        <f t="shared" si="4"/>
        <v>2100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11750</v>
      </c>
      <c r="D18" s="30">
        <f t="shared" si="0"/>
        <v>0</v>
      </c>
      <c r="E18" s="180">
        <v>8150</v>
      </c>
      <c r="F18" s="30">
        <f t="shared" si="1"/>
        <v>0</v>
      </c>
      <c r="G18" s="180"/>
      <c r="H18" s="30" t="str">
        <f t="shared" si="2"/>
        <v/>
      </c>
      <c r="J18" s="42">
        <f t="shared" si="3"/>
        <v>19900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89700</v>
      </c>
      <c r="D33" s="44">
        <f t="shared" si="6"/>
        <v>250</v>
      </c>
      <c r="E33" s="43">
        <f t="shared" si="6"/>
        <v>24350</v>
      </c>
      <c r="F33" s="44">
        <f t="shared" si="6"/>
        <v>1250</v>
      </c>
      <c r="G33" s="43">
        <f t="shared" si="6"/>
        <v>26300</v>
      </c>
      <c r="H33" s="44">
        <f t="shared" si="6"/>
        <v>600</v>
      </c>
      <c r="J33" s="45">
        <f>SUM(J4:J32)</f>
        <v>140350</v>
      </c>
      <c r="K33" s="96">
        <f>SUM(K4:K32)</f>
        <v>2100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2518-5010-46CF-9B97-AF98DB44DE4D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80" t="s">
        <v>38</v>
      </c>
      <c r="B1" s="80"/>
      <c r="C1" s="271" t="s">
        <v>110</v>
      </c>
      <c r="D1" s="272"/>
      <c r="E1" s="271" t="s">
        <v>111</v>
      </c>
      <c r="F1" s="272"/>
    </row>
    <row r="2" spans="1:9" x14ac:dyDescent="0.35">
      <c r="C2" s="267" t="str">
        <f>IF(PREMIOS!$B21="","",PREMIOS!$B21)</f>
        <v>01</v>
      </c>
      <c r="D2" s="268"/>
      <c r="E2" s="267">
        <f>IF(PREMIOS!$C21="","",PREMIOS!$C21)</f>
        <v>79</v>
      </c>
      <c r="F2" s="268"/>
    </row>
    <row r="3" spans="1:9" ht="15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4" t="str">
        <f t="shared" si="0"/>
        <v/>
      </c>
      <c r="E5" s="193"/>
      <c r="F5" s="84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4" t="str">
        <f t="shared" si="0"/>
        <v/>
      </c>
      <c r="E6" s="193"/>
      <c r="F6" s="84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4" t="str">
        <f t="shared" si="0"/>
        <v/>
      </c>
      <c r="E7" s="193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4" t="str">
        <f t="shared" si="0"/>
        <v/>
      </c>
      <c r="E8" s="193"/>
      <c r="F8" s="84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4" t="str">
        <f t="shared" si="0"/>
        <v/>
      </c>
      <c r="E9" s="193"/>
      <c r="F9" s="8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82000</v>
      </c>
      <c r="D10" s="30">
        <v>750</v>
      </c>
      <c r="E10" s="180">
        <v>83000</v>
      </c>
      <c r="F10" s="30">
        <f t="shared" si="0"/>
        <v>0</v>
      </c>
      <c r="H10" s="42">
        <f t="shared" si="2"/>
        <v>165000</v>
      </c>
      <c r="I10" s="42">
        <f t="shared" si="3"/>
        <v>750</v>
      </c>
    </row>
    <row r="11" spans="1:9" x14ac:dyDescent="0.35">
      <c r="A11" s="47">
        <v>8</v>
      </c>
      <c r="B11" s="178" t="str">
        <f>Vendedor8!$B$2</f>
        <v>ISA</v>
      </c>
      <c r="C11" s="193"/>
      <c r="D11" s="84" t="str">
        <f t="shared" si="0"/>
        <v/>
      </c>
      <c r="E11" s="193"/>
      <c r="F11" s="8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4" t="str">
        <f t="shared" si="0"/>
        <v/>
      </c>
      <c r="E12" s="193"/>
      <c r="F12" s="84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4" t="str">
        <f t="shared" si="0"/>
        <v/>
      </c>
      <c r="E13" s="193"/>
      <c r="F13" s="84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4" t="str">
        <f t="shared" si="0"/>
        <v/>
      </c>
      <c r="E14" s="193"/>
      <c r="F14" s="84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4" t="str">
        <f t="shared" si="0"/>
        <v/>
      </c>
      <c r="E15" s="193"/>
      <c r="F15" s="84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4" t="str">
        <f t="shared" si="0"/>
        <v/>
      </c>
      <c r="E16" s="193"/>
      <c r="F16" s="84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82000</v>
      </c>
      <c r="D33" s="44">
        <f>SUM(D4:D32)</f>
        <v>750</v>
      </c>
      <c r="E33" s="43">
        <f>SUM(E4:E32)</f>
        <v>83000</v>
      </c>
      <c r="F33" s="44">
        <f>SUM(F4:F32)</f>
        <v>0</v>
      </c>
      <c r="H33" s="45">
        <f>SUM(H4:H32)</f>
        <v>165000</v>
      </c>
      <c r="I33" s="96">
        <f>SUM(I4:I32)</f>
        <v>750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8A604-1B04-4A68-8B44-F0F02AC6DB3A}">
  <sheetPr codeName="Hoja58"/>
  <dimension ref="A1:D33"/>
  <sheetViews>
    <sheetView showGridLines="0" zoomScale="90" zoomScaleNormal="90" workbookViewId="0">
      <selection activeCell="C17" sqref="C17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4" width="12.54296875" customWidth="1"/>
    <col min="5" max="5" width="3.6328125" customWidth="1"/>
  </cols>
  <sheetData>
    <row r="1" spans="1:4" x14ac:dyDescent="0.35">
      <c r="A1" s="80" t="s">
        <v>38</v>
      </c>
      <c r="B1" s="80"/>
      <c r="C1" s="271" t="s">
        <v>109</v>
      </c>
      <c r="D1" s="272"/>
    </row>
    <row r="2" spans="1:4" x14ac:dyDescent="0.35">
      <c r="C2" s="267" t="str">
        <f>IF(PREMIOS!$B22="","",PREMIOS!$B22)</f>
        <v/>
      </c>
      <c r="D2" s="268"/>
    </row>
    <row r="3" spans="1:4" ht="15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4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4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4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4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4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4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4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4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4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4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4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1</vt:i4>
      </vt:variant>
    </vt:vector>
  </HeadingPairs>
  <TitlesOfParts>
    <vt:vector size="48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Jair Ali Gonzalez Garcia</cp:lastModifiedBy>
  <cp:revision>6</cp:revision>
  <dcterms:created xsi:type="dcterms:W3CDTF">2015-06-05T18:19:34Z</dcterms:created>
  <dcterms:modified xsi:type="dcterms:W3CDTF">2026-02-21T22:04:21Z</dcterms:modified>
  <dc:language>es-CR</dc:language>
</cp:coreProperties>
</file>